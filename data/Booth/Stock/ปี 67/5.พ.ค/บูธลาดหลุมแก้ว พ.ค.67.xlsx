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4A027771-BA7D-4AF4-B130-AF00909869C7}" xr6:coauthVersionLast="47" xr6:coauthVersionMax="47" xr10:uidLastSave="{00000000-0000-0000-0000-000000000000}"/>
  <bookViews>
    <workbookView xWindow="0" yWindow="105" windowWidth="18525" windowHeight="15060" tabRatio="896" xr2:uid="{2177D37D-7D7D-451A-9D4E-DAEF3C0260D9}"/>
  </bookViews>
  <sheets>
    <sheet name="สรุป" sheetId="9" r:id="rId1"/>
    <sheet name="ยกมา" sheetId="10" r:id="rId2"/>
    <sheet name="1" sheetId="22" r:id="rId3"/>
    <sheet name="2" sheetId="23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31" r:id="rId12"/>
    <sheet name="11" sheetId="1" r:id="rId13"/>
    <sheet name="12" sheetId="2" r:id="rId14"/>
    <sheet name="13" sheetId="3" r:id="rId15"/>
    <sheet name="14" sheetId="4" r:id="rId16"/>
    <sheet name="15" sheetId="5" r:id="rId17"/>
    <sheet name="16" sheetId="6" r:id="rId18"/>
    <sheet name="17" sheetId="7" r:id="rId19"/>
    <sheet name="18" sheetId="8" r:id="rId20"/>
    <sheet name="19" sheetId="11" r:id="rId21"/>
    <sheet name="20" sheetId="12" r:id="rId22"/>
    <sheet name="21" sheetId="13" r:id="rId23"/>
    <sheet name="22" sheetId="14" r:id="rId24"/>
    <sheet name="23" sheetId="15" r:id="rId25"/>
    <sheet name="24" sheetId="16" r:id="rId26"/>
    <sheet name="25" sheetId="17" r:id="rId27"/>
    <sheet name="26" sheetId="18" r:id="rId28"/>
    <sheet name="27" sheetId="19" r:id="rId29"/>
    <sheet name="28" sheetId="20" r:id="rId30"/>
    <sheet name="29" sheetId="21" r:id="rId31"/>
    <sheet name="30" sheetId="32" r:id="rId32"/>
    <sheet name="31" sheetId="33" r:id="rId33"/>
  </sheets>
  <externalReferences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1" i="9" l="1"/>
  <c r="J192" i="9"/>
  <c r="J193" i="9"/>
  <c r="J194" i="9"/>
  <c r="J195" i="9"/>
  <c r="J196" i="9"/>
  <c r="J197" i="9"/>
  <c r="J198" i="9"/>
  <c r="J199" i="9"/>
  <c r="J200" i="9"/>
  <c r="J201" i="9"/>
  <c r="H191" i="9"/>
  <c r="H192" i="9"/>
  <c r="G192" i="9" s="1"/>
  <c r="H193" i="9"/>
  <c r="H194" i="9"/>
  <c r="G194" i="9" s="1"/>
  <c r="H195" i="9"/>
  <c r="G195" i="9" s="1"/>
  <c r="H196" i="9"/>
  <c r="H197" i="9"/>
  <c r="H198" i="9"/>
  <c r="G198" i="9" s="1"/>
  <c r="H199" i="9"/>
  <c r="G199" i="9" s="1"/>
  <c r="H200" i="9"/>
  <c r="G200" i="9" s="1"/>
  <c r="H201" i="9"/>
  <c r="G193" i="9"/>
  <c r="G196" i="9"/>
  <c r="G197" i="9"/>
  <c r="F192" i="9"/>
  <c r="F193" i="9"/>
  <c r="F194" i="9"/>
  <c r="F195" i="9"/>
  <c r="F196" i="9"/>
  <c r="F197" i="9"/>
  <c r="F198" i="9"/>
  <c r="F199" i="9"/>
  <c r="F200" i="9"/>
  <c r="E193" i="9"/>
  <c r="E194" i="9"/>
  <c r="E195" i="9"/>
  <c r="E196" i="9"/>
  <c r="E197" i="9"/>
  <c r="E198" i="9"/>
  <c r="E199" i="9"/>
  <c r="E200" i="9"/>
  <c r="D193" i="9"/>
  <c r="D194" i="9"/>
  <c r="D195" i="9"/>
  <c r="D196" i="9"/>
  <c r="D197" i="9"/>
  <c r="D198" i="9"/>
  <c r="D199" i="9"/>
  <c r="D200" i="9"/>
  <c r="K218" i="15"/>
  <c r="K219" i="15"/>
  <c r="C149" i="30"/>
  <c r="K208" i="24"/>
  <c r="C5" i="22"/>
  <c r="C9" i="22"/>
  <c r="C10" i="22"/>
  <c r="C11" i="22"/>
  <c r="C12" i="22"/>
  <c r="C13" i="22"/>
  <c r="C14" i="22"/>
  <c r="C16" i="22"/>
  <c r="C22" i="22"/>
  <c r="C24" i="22"/>
  <c r="C26" i="22"/>
  <c r="C28" i="22"/>
  <c r="C34" i="22"/>
  <c r="C36" i="22"/>
  <c r="C38" i="22"/>
  <c r="C39" i="22"/>
  <c r="C40" i="22"/>
  <c r="C46" i="22"/>
  <c r="C48" i="22"/>
  <c r="C50" i="22"/>
  <c r="C52" i="22"/>
  <c r="C53" i="22"/>
  <c r="C57" i="22"/>
  <c r="C58" i="22"/>
  <c r="C59" i="22"/>
  <c r="C60" i="22"/>
  <c r="C61" i="22"/>
  <c r="C72" i="22"/>
  <c r="C73" i="22"/>
  <c r="C75" i="22"/>
  <c r="C76" i="22"/>
  <c r="C84" i="22"/>
  <c r="C88" i="22"/>
  <c r="C89" i="22"/>
  <c r="C93" i="22"/>
  <c r="C94" i="22"/>
  <c r="C98" i="22"/>
  <c r="C99" i="22"/>
  <c r="C101" i="22"/>
  <c r="C106" i="22"/>
  <c r="C107" i="22"/>
  <c r="C109" i="22"/>
  <c r="C117" i="22"/>
  <c r="C120" i="22"/>
  <c r="C121" i="22"/>
  <c r="C122" i="22"/>
  <c r="C124" i="22"/>
  <c r="C131" i="22"/>
  <c r="C134" i="22"/>
  <c r="C135" i="22"/>
  <c r="C136" i="22"/>
  <c r="C142" i="22"/>
  <c r="C146" i="22"/>
  <c r="C147" i="22"/>
  <c r="C153" i="22"/>
  <c r="C154" i="22"/>
  <c r="C155" i="22"/>
  <c r="C157" i="22"/>
  <c r="C165" i="22"/>
  <c r="C168" i="22"/>
  <c r="C169" i="22"/>
  <c r="C170" i="22"/>
  <c r="C172" i="22"/>
  <c r="C179" i="22"/>
  <c r="C182" i="22"/>
  <c r="C183" i="22"/>
  <c r="C184" i="22"/>
  <c r="C190" i="22"/>
  <c r="C194" i="22"/>
  <c r="C195" i="22"/>
  <c r="C202" i="22"/>
  <c r="C203" i="22"/>
  <c r="K219" i="10"/>
  <c r="K211" i="10"/>
  <c r="K208" i="10"/>
  <c r="K218" i="10" s="1"/>
  <c r="J203" i="10"/>
  <c r="M203" i="10" s="1"/>
  <c r="C203" i="10"/>
  <c r="E203" i="10" s="1"/>
  <c r="G203" i="10" s="1"/>
  <c r="M202" i="10"/>
  <c r="J202" i="10"/>
  <c r="C202" i="10"/>
  <c r="E202" i="10" s="1"/>
  <c r="G202" i="10" s="1"/>
  <c r="J201" i="10"/>
  <c r="M201" i="10" s="1"/>
  <c r="C201" i="10"/>
  <c r="E201" i="10" s="1"/>
  <c r="G201" i="10" s="1"/>
  <c r="C201" i="22" s="1"/>
  <c r="J200" i="10"/>
  <c r="M200" i="10" s="1"/>
  <c r="C200" i="10"/>
  <c r="E200" i="10" s="1"/>
  <c r="G200" i="10" s="1"/>
  <c r="C200" i="22" s="1"/>
  <c r="J199" i="10"/>
  <c r="M199" i="10" s="1"/>
  <c r="C199" i="10"/>
  <c r="E199" i="10" s="1"/>
  <c r="G199" i="10" s="1"/>
  <c r="C199" i="22" s="1"/>
  <c r="J198" i="10"/>
  <c r="M198" i="10" s="1"/>
  <c r="C198" i="10"/>
  <c r="E198" i="10" s="1"/>
  <c r="G198" i="10" s="1"/>
  <c r="C198" i="22" s="1"/>
  <c r="J197" i="10"/>
  <c r="M197" i="10" s="1"/>
  <c r="E197" i="10"/>
  <c r="G197" i="10" s="1"/>
  <c r="C197" i="22" s="1"/>
  <c r="C197" i="10"/>
  <c r="J196" i="10"/>
  <c r="M196" i="10" s="1"/>
  <c r="C196" i="10"/>
  <c r="E196" i="10" s="1"/>
  <c r="G196" i="10" s="1"/>
  <c r="C196" i="22" s="1"/>
  <c r="J195" i="10"/>
  <c r="M195" i="10" s="1"/>
  <c r="C195" i="10"/>
  <c r="E195" i="10" s="1"/>
  <c r="G195" i="10" s="1"/>
  <c r="M194" i="10"/>
  <c r="J194" i="10"/>
  <c r="C194" i="10"/>
  <c r="E194" i="10" s="1"/>
  <c r="G194" i="10" s="1"/>
  <c r="J193" i="10"/>
  <c r="M193" i="10" s="1"/>
  <c r="C193" i="10"/>
  <c r="E193" i="10" s="1"/>
  <c r="G193" i="10" s="1"/>
  <c r="C193" i="22" s="1"/>
  <c r="M192" i="10"/>
  <c r="J192" i="10"/>
  <c r="C192" i="10"/>
  <c r="E192" i="10" s="1"/>
  <c r="G192" i="10" s="1"/>
  <c r="C192" i="22" s="1"/>
  <c r="J191" i="10"/>
  <c r="M191" i="10" s="1"/>
  <c r="G191" i="10"/>
  <c r="C191" i="22" s="1"/>
  <c r="E191" i="10"/>
  <c r="C191" i="10"/>
  <c r="J190" i="10"/>
  <c r="M190" i="10" s="1"/>
  <c r="C190" i="10"/>
  <c r="E190" i="10" s="1"/>
  <c r="G190" i="10" s="1"/>
  <c r="J189" i="10"/>
  <c r="M189" i="10" s="1"/>
  <c r="C189" i="10"/>
  <c r="E189" i="10" s="1"/>
  <c r="G189" i="10" s="1"/>
  <c r="C189" i="22" s="1"/>
  <c r="J188" i="10"/>
  <c r="M188" i="10" s="1"/>
  <c r="E188" i="10"/>
  <c r="G188" i="10" s="1"/>
  <c r="C188" i="22" s="1"/>
  <c r="C188" i="10"/>
  <c r="J187" i="10"/>
  <c r="M187" i="10" s="1"/>
  <c r="C187" i="10"/>
  <c r="E187" i="10" s="1"/>
  <c r="G187" i="10" s="1"/>
  <c r="C187" i="22" s="1"/>
  <c r="J186" i="10"/>
  <c r="M186" i="10" s="1"/>
  <c r="C186" i="10"/>
  <c r="E186" i="10" s="1"/>
  <c r="G186" i="10" s="1"/>
  <c r="C186" i="22" s="1"/>
  <c r="J185" i="10"/>
  <c r="M185" i="10" s="1"/>
  <c r="C185" i="10"/>
  <c r="E185" i="10" s="1"/>
  <c r="G185" i="10" s="1"/>
  <c r="C185" i="22" s="1"/>
  <c r="M184" i="10"/>
  <c r="J184" i="10"/>
  <c r="C184" i="10"/>
  <c r="E184" i="10" s="1"/>
  <c r="G184" i="10" s="1"/>
  <c r="J183" i="10"/>
  <c r="M183" i="10" s="1"/>
  <c r="G183" i="10"/>
  <c r="C183" i="10"/>
  <c r="E183" i="10" s="1"/>
  <c r="J182" i="10"/>
  <c r="M182" i="10" s="1"/>
  <c r="C182" i="10"/>
  <c r="E182" i="10" s="1"/>
  <c r="G182" i="10" s="1"/>
  <c r="M181" i="10"/>
  <c r="J181" i="10"/>
  <c r="C181" i="10"/>
  <c r="E181" i="10" s="1"/>
  <c r="G181" i="10" s="1"/>
  <c r="C181" i="22" s="1"/>
  <c r="J180" i="10"/>
  <c r="M180" i="10" s="1"/>
  <c r="E180" i="10"/>
  <c r="G180" i="10" s="1"/>
  <c r="C180" i="22" s="1"/>
  <c r="C180" i="10"/>
  <c r="J179" i="10"/>
  <c r="M179" i="10" s="1"/>
  <c r="C179" i="10"/>
  <c r="E179" i="10" s="1"/>
  <c r="G179" i="10" s="1"/>
  <c r="J178" i="10"/>
  <c r="M178" i="10" s="1"/>
  <c r="C178" i="10"/>
  <c r="E178" i="10" s="1"/>
  <c r="G178" i="10" s="1"/>
  <c r="C178" i="22" s="1"/>
  <c r="J177" i="10"/>
  <c r="M177" i="10" s="1"/>
  <c r="C177" i="10"/>
  <c r="E177" i="10" s="1"/>
  <c r="G177" i="10" s="1"/>
  <c r="C177" i="22" s="1"/>
  <c r="M176" i="10"/>
  <c r="J176" i="10"/>
  <c r="C176" i="10"/>
  <c r="E176" i="10" s="1"/>
  <c r="G176" i="10" s="1"/>
  <c r="C176" i="22" s="1"/>
  <c r="J175" i="10"/>
  <c r="M175" i="10" s="1"/>
  <c r="C175" i="10"/>
  <c r="E175" i="10" s="1"/>
  <c r="G175" i="10" s="1"/>
  <c r="C175" i="22" s="1"/>
  <c r="J174" i="10"/>
  <c r="M174" i="10" s="1"/>
  <c r="C174" i="10"/>
  <c r="E174" i="10" s="1"/>
  <c r="G174" i="10" s="1"/>
  <c r="C174" i="22" s="1"/>
  <c r="M173" i="10"/>
  <c r="J173" i="10"/>
  <c r="C173" i="10"/>
  <c r="E173" i="10" s="1"/>
  <c r="G173" i="10" s="1"/>
  <c r="C173" i="22" s="1"/>
  <c r="J172" i="10"/>
  <c r="M172" i="10" s="1"/>
  <c r="C172" i="10"/>
  <c r="E172" i="10" s="1"/>
  <c r="G172" i="10" s="1"/>
  <c r="J171" i="10"/>
  <c r="M171" i="10" s="1"/>
  <c r="C171" i="10"/>
  <c r="E171" i="10" s="1"/>
  <c r="G171" i="10" s="1"/>
  <c r="C171" i="22" s="1"/>
  <c r="M170" i="10"/>
  <c r="J170" i="10"/>
  <c r="C170" i="10"/>
  <c r="E170" i="10" s="1"/>
  <c r="G170" i="10" s="1"/>
  <c r="J169" i="10"/>
  <c r="M169" i="10" s="1"/>
  <c r="E169" i="10"/>
  <c r="G169" i="10" s="1"/>
  <c r="C169" i="10"/>
  <c r="M168" i="10"/>
  <c r="J168" i="10"/>
  <c r="C168" i="10"/>
  <c r="E168" i="10" s="1"/>
  <c r="G168" i="10" s="1"/>
  <c r="J167" i="10"/>
  <c r="M167" i="10" s="1"/>
  <c r="E167" i="10"/>
  <c r="G167" i="10" s="1"/>
  <c r="C167" i="22" s="1"/>
  <c r="C167" i="10"/>
  <c r="J166" i="10"/>
  <c r="M166" i="10" s="1"/>
  <c r="C166" i="10"/>
  <c r="E166" i="10" s="1"/>
  <c r="G166" i="10" s="1"/>
  <c r="C166" i="22" s="1"/>
  <c r="M165" i="10"/>
  <c r="J165" i="10"/>
  <c r="E165" i="10"/>
  <c r="G165" i="10" s="1"/>
  <c r="C165" i="10"/>
  <c r="J164" i="10"/>
  <c r="M164" i="10" s="1"/>
  <c r="C164" i="10"/>
  <c r="E164" i="10" s="1"/>
  <c r="G164" i="10" s="1"/>
  <c r="C164" i="22" s="1"/>
  <c r="J163" i="10"/>
  <c r="M163" i="10" s="1"/>
  <c r="C163" i="10"/>
  <c r="E163" i="10" s="1"/>
  <c r="G163" i="10" s="1"/>
  <c r="C163" i="22" s="1"/>
  <c r="J162" i="10"/>
  <c r="M162" i="10" s="1"/>
  <c r="C162" i="10"/>
  <c r="E162" i="10" s="1"/>
  <c r="G162" i="10" s="1"/>
  <c r="C162" i="22" s="1"/>
  <c r="J161" i="10"/>
  <c r="M161" i="10" s="1"/>
  <c r="E161" i="10"/>
  <c r="G161" i="10" s="1"/>
  <c r="C161" i="22" s="1"/>
  <c r="C161" i="10"/>
  <c r="M160" i="10"/>
  <c r="J160" i="10"/>
  <c r="C160" i="10"/>
  <c r="E160" i="10" s="1"/>
  <c r="G160" i="10" s="1"/>
  <c r="C160" i="22" s="1"/>
  <c r="J159" i="10"/>
  <c r="M159" i="10" s="1"/>
  <c r="G159" i="10"/>
  <c r="C159" i="22" s="1"/>
  <c r="E159" i="10"/>
  <c r="C159" i="10"/>
  <c r="J158" i="10"/>
  <c r="M158" i="10" s="1"/>
  <c r="C158" i="10"/>
  <c r="E158" i="10" s="1"/>
  <c r="G158" i="10" s="1"/>
  <c r="C158" i="22" s="1"/>
  <c r="M157" i="10"/>
  <c r="J157" i="10"/>
  <c r="C157" i="10"/>
  <c r="E157" i="10" s="1"/>
  <c r="G157" i="10" s="1"/>
  <c r="J156" i="10"/>
  <c r="M156" i="10" s="1"/>
  <c r="C156" i="10"/>
  <c r="E156" i="10" s="1"/>
  <c r="G156" i="10" s="1"/>
  <c r="C156" i="22" s="1"/>
  <c r="J155" i="10"/>
  <c r="M155" i="10" s="1"/>
  <c r="C155" i="10"/>
  <c r="E155" i="10" s="1"/>
  <c r="G155" i="10" s="1"/>
  <c r="J154" i="10"/>
  <c r="M154" i="10" s="1"/>
  <c r="C154" i="10"/>
  <c r="E154" i="10" s="1"/>
  <c r="G154" i="10" s="1"/>
  <c r="J153" i="10"/>
  <c r="M153" i="10" s="1"/>
  <c r="C153" i="10"/>
  <c r="E153" i="10" s="1"/>
  <c r="G153" i="10" s="1"/>
  <c r="J152" i="10"/>
  <c r="M152" i="10" s="1"/>
  <c r="C152" i="10"/>
  <c r="E152" i="10" s="1"/>
  <c r="G152" i="10" s="1"/>
  <c r="C152" i="22" s="1"/>
  <c r="J151" i="10"/>
  <c r="M151" i="10" s="1"/>
  <c r="G151" i="10"/>
  <c r="C151" i="22" s="1"/>
  <c r="E151" i="10"/>
  <c r="C151" i="10"/>
  <c r="J150" i="10"/>
  <c r="M150" i="10" s="1"/>
  <c r="C150" i="10"/>
  <c r="E150" i="10" s="1"/>
  <c r="G150" i="10" s="1"/>
  <c r="C150" i="22" s="1"/>
  <c r="J149" i="10"/>
  <c r="M149" i="10" s="1"/>
  <c r="C149" i="10"/>
  <c r="E149" i="10" s="1"/>
  <c r="G149" i="10" s="1"/>
  <c r="C149" i="22" s="1"/>
  <c r="J148" i="10"/>
  <c r="M148" i="10" s="1"/>
  <c r="C148" i="10"/>
  <c r="E148" i="10" s="1"/>
  <c r="G148" i="10" s="1"/>
  <c r="C148" i="22" s="1"/>
  <c r="J147" i="10"/>
  <c r="M147" i="10" s="1"/>
  <c r="C147" i="10"/>
  <c r="E147" i="10" s="1"/>
  <c r="G147" i="10" s="1"/>
  <c r="M146" i="10"/>
  <c r="J146" i="10"/>
  <c r="C146" i="10"/>
  <c r="E146" i="10" s="1"/>
  <c r="G146" i="10" s="1"/>
  <c r="J145" i="10"/>
  <c r="M145" i="10" s="1"/>
  <c r="C145" i="10"/>
  <c r="E145" i="10" s="1"/>
  <c r="G145" i="10" s="1"/>
  <c r="C145" i="22" s="1"/>
  <c r="M144" i="10"/>
  <c r="J144" i="10"/>
  <c r="C144" i="10"/>
  <c r="E144" i="10" s="1"/>
  <c r="G144" i="10" s="1"/>
  <c r="C144" i="22" s="1"/>
  <c r="J143" i="10"/>
  <c r="M143" i="10" s="1"/>
  <c r="G143" i="10"/>
  <c r="C143" i="22" s="1"/>
  <c r="E143" i="10"/>
  <c r="C143" i="10"/>
  <c r="J142" i="10"/>
  <c r="M142" i="10" s="1"/>
  <c r="C142" i="10"/>
  <c r="E142" i="10" s="1"/>
  <c r="G142" i="10" s="1"/>
  <c r="J141" i="10"/>
  <c r="M141" i="10" s="1"/>
  <c r="C141" i="10"/>
  <c r="E141" i="10" s="1"/>
  <c r="G141" i="10" s="1"/>
  <c r="C141" i="22" s="1"/>
  <c r="J140" i="10"/>
  <c r="M140" i="10" s="1"/>
  <c r="E140" i="10"/>
  <c r="G140" i="10" s="1"/>
  <c r="C140" i="22" s="1"/>
  <c r="C140" i="10"/>
  <c r="J139" i="10"/>
  <c r="M139" i="10" s="1"/>
  <c r="C139" i="10"/>
  <c r="E139" i="10" s="1"/>
  <c r="G139" i="10" s="1"/>
  <c r="C139" i="22" s="1"/>
  <c r="J138" i="10"/>
  <c r="M138" i="10" s="1"/>
  <c r="C138" i="10"/>
  <c r="E138" i="10" s="1"/>
  <c r="G138" i="10" s="1"/>
  <c r="C138" i="22" s="1"/>
  <c r="J137" i="10"/>
  <c r="M137" i="10" s="1"/>
  <c r="C137" i="10"/>
  <c r="E137" i="10" s="1"/>
  <c r="G137" i="10" s="1"/>
  <c r="C137" i="22" s="1"/>
  <c r="M136" i="10"/>
  <c r="J136" i="10"/>
  <c r="C136" i="10"/>
  <c r="E136" i="10" s="1"/>
  <c r="G136" i="10" s="1"/>
  <c r="J135" i="10"/>
  <c r="M135" i="10" s="1"/>
  <c r="G135" i="10"/>
  <c r="C135" i="10"/>
  <c r="E135" i="10" s="1"/>
  <c r="J134" i="10"/>
  <c r="M134" i="10" s="1"/>
  <c r="C134" i="10"/>
  <c r="E134" i="10" s="1"/>
  <c r="G134" i="10" s="1"/>
  <c r="M133" i="10"/>
  <c r="J133" i="10"/>
  <c r="C133" i="10"/>
  <c r="E133" i="10" s="1"/>
  <c r="G133" i="10" s="1"/>
  <c r="C133" i="22" s="1"/>
  <c r="J132" i="10"/>
  <c r="M132" i="10" s="1"/>
  <c r="E132" i="10"/>
  <c r="G132" i="10" s="1"/>
  <c r="C132" i="22" s="1"/>
  <c r="C132" i="10"/>
  <c r="J131" i="10"/>
  <c r="M131" i="10" s="1"/>
  <c r="C131" i="10"/>
  <c r="E131" i="10" s="1"/>
  <c r="G131" i="10" s="1"/>
  <c r="J130" i="10"/>
  <c r="M130" i="10" s="1"/>
  <c r="C130" i="10"/>
  <c r="E130" i="10" s="1"/>
  <c r="G130" i="10" s="1"/>
  <c r="C130" i="22" s="1"/>
  <c r="J129" i="10"/>
  <c r="M129" i="10" s="1"/>
  <c r="C129" i="10"/>
  <c r="E129" i="10" s="1"/>
  <c r="G129" i="10" s="1"/>
  <c r="C129" i="22" s="1"/>
  <c r="M128" i="10"/>
  <c r="J128" i="10"/>
  <c r="C128" i="10"/>
  <c r="E128" i="10" s="1"/>
  <c r="G128" i="10" s="1"/>
  <c r="C128" i="22" s="1"/>
  <c r="J127" i="10"/>
  <c r="M127" i="10" s="1"/>
  <c r="C127" i="10"/>
  <c r="E127" i="10" s="1"/>
  <c r="G127" i="10" s="1"/>
  <c r="C127" i="22" s="1"/>
  <c r="J126" i="10"/>
  <c r="M126" i="10" s="1"/>
  <c r="C126" i="10"/>
  <c r="E126" i="10" s="1"/>
  <c r="G126" i="10" s="1"/>
  <c r="C126" i="22" s="1"/>
  <c r="M125" i="10"/>
  <c r="J125" i="10"/>
  <c r="C125" i="10"/>
  <c r="E125" i="10" s="1"/>
  <c r="G125" i="10" s="1"/>
  <c r="C125" i="22" s="1"/>
  <c r="J124" i="10"/>
  <c r="M124" i="10" s="1"/>
  <c r="C124" i="10"/>
  <c r="E124" i="10" s="1"/>
  <c r="G124" i="10" s="1"/>
  <c r="J123" i="10"/>
  <c r="M123" i="10" s="1"/>
  <c r="C123" i="10"/>
  <c r="E123" i="10" s="1"/>
  <c r="G123" i="10" s="1"/>
  <c r="C123" i="22" s="1"/>
  <c r="M122" i="10"/>
  <c r="J122" i="10"/>
  <c r="C122" i="10"/>
  <c r="E122" i="10" s="1"/>
  <c r="G122" i="10" s="1"/>
  <c r="J121" i="10"/>
  <c r="M121" i="10" s="1"/>
  <c r="E121" i="10"/>
  <c r="G121" i="10" s="1"/>
  <c r="C121" i="10"/>
  <c r="M120" i="10"/>
  <c r="J120" i="10"/>
  <c r="C120" i="10"/>
  <c r="E120" i="10" s="1"/>
  <c r="G120" i="10" s="1"/>
  <c r="J119" i="10"/>
  <c r="M119" i="10" s="1"/>
  <c r="E119" i="10"/>
  <c r="G119" i="10" s="1"/>
  <c r="C119" i="22" s="1"/>
  <c r="C119" i="10"/>
  <c r="J118" i="10"/>
  <c r="M118" i="10" s="1"/>
  <c r="C118" i="10"/>
  <c r="E118" i="10" s="1"/>
  <c r="G118" i="10" s="1"/>
  <c r="C118" i="22" s="1"/>
  <c r="M117" i="10"/>
  <c r="J117" i="10"/>
  <c r="E117" i="10"/>
  <c r="G117" i="10" s="1"/>
  <c r="C117" i="10"/>
  <c r="J116" i="10"/>
  <c r="M116" i="10" s="1"/>
  <c r="C116" i="10"/>
  <c r="E116" i="10" s="1"/>
  <c r="G116" i="10" s="1"/>
  <c r="C116" i="22" s="1"/>
  <c r="J115" i="10"/>
  <c r="M115" i="10" s="1"/>
  <c r="C115" i="10"/>
  <c r="E115" i="10" s="1"/>
  <c r="G115" i="10" s="1"/>
  <c r="C115" i="22" s="1"/>
  <c r="J114" i="10"/>
  <c r="M114" i="10" s="1"/>
  <c r="C114" i="10"/>
  <c r="E114" i="10" s="1"/>
  <c r="G114" i="10" s="1"/>
  <c r="C114" i="22" s="1"/>
  <c r="J113" i="10"/>
  <c r="M113" i="10" s="1"/>
  <c r="E113" i="10"/>
  <c r="G113" i="10" s="1"/>
  <c r="C113" i="22" s="1"/>
  <c r="C113" i="10"/>
  <c r="M112" i="10"/>
  <c r="J112" i="10"/>
  <c r="C112" i="10"/>
  <c r="E112" i="10" s="1"/>
  <c r="G112" i="10" s="1"/>
  <c r="C112" i="22" s="1"/>
  <c r="J111" i="10"/>
  <c r="M111" i="10" s="1"/>
  <c r="G111" i="10"/>
  <c r="C111" i="22" s="1"/>
  <c r="E111" i="10"/>
  <c r="C111" i="10"/>
  <c r="J110" i="10"/>
  <c r="M110" i="10" s="1"/>
  <c r="C110" i="10"/>
  <c r="E110" i="10" s="1"/>
  <c r="G110" i="10" s="1"/>
  <c r="C110" i="22" s="1"/>
  <c r="M109" i="10"/>
  <c r="J109" i="10"/>
  <c r="E109" i="10"/>
  <c r="G109" i="10" s="1"/>
  <c r="C109" i="10"/>
  <c r="J108" i="10"/>
  <c r="M108" i="10" s="1"/>
  <c r="E108" i="10"/>
  <c r="G108" i="10" s="1"/>
  <c r="C108" i="22" s="1"/>
  <c r="C108" i="10"/>
  <c r="J107" i="10"/>
  <c r="M107" i="10" s="1"/>
  <c r="C107" i="10"/>
  <c r="E107" i="10" s="1"/>
  <c r="G107" i="10" s="1"/>
  <c r="J106" i="10"/>
  <c r="M106" i="10" s="1"/>
  <c r="E106" i="10"/>
  <c r="G106" i="10" s="1"/>
  <c r="C106" i="10"/>
  <c r="J105" i="10"/>
  <c r="M105" i="10" s="1"/>
  <c r="C105" i="10"/>
  <c r="E105" i="10" s="1"/>
  <c r="G105" i="10" s="1"/>
  <c r="C105" i="22" s="1"/>
  <c r="Z104" i="10"/>
  <c r="J104" i="10"/>
  <c r="M104" i="10" s="1"/>
  <c r="C104" i="10"/>
  <c r="E104" i="10" s="1"/>
  <c r="G104" i="10" s="1"/>
  <c r="C104" i="22" s="1"/>
  <c r="X103" i="10"/>
  <c r="S103" i="10"/>
  <c r="U103" i="10" s="1"/>
  <c r="M103" i="10"/>
  <c r="J103" i="10"/>
  <c r="C103" i="10"/>
  <c r="E103" i="10" s="1"/>
  <c r="G103" i="10" s="1"/>
  <c r="C103" i="22" s="1"/>
  <c r="X102" i="10"/>
  <c r="S102" i="10"/>
  <c r="U102" i="10" s="1"/>
  <c r="M102" i="10"/>
  <c r="J102" i="10"/>
  <c r="C102" i="10"/>
  <c r="E102" i="10" s="1"/>
  <c r="G102" i="10" s="1"/>
  <c r="C102" i="22" s="1"/>
  <c r="X101" i="10"/>
  <c r="S101" i="10"/>
  <c r="U101" i="10" s="1"/>
  <c r="J101" i="10"/>
  <c r="M101" i="10" s="1"/>
  <c r="C101" i="10"/>
  <c r="E101" i="10" s="1"/>
  <c r="G101" i="10" s="1"/>
  <c r="X100" i="10"/>
  <c r="S100" i="10"/>
  <c r="U100" i="10" s="1"/>
  <c r="M100" i="10"/>
  <c r="J100" i="10"/>
  <c r="C100" i="10"/>
  <c r="E100" i="10" s="1"/>
  <c r="G100" i="10" s="1"/>
  <c r="C100" i="22" s="1"/>
  <c r="X99" i="10"/>
  <c r="S99" i="10"/>
  <c r="U99" i="10" s="1"/>
  <c r="M99" i="10"/>
  <c r="J99" i="10"/>
  <c r="C99" i="10"/>
  <c r="E99" i="10" s="1"/>
  <c r="G99" i="10" s="1"/>
  <c r="X98" i="10"/>
  <c r="S98" i="10"/>
  <c r="U98" i="10" s="1"/>
  <c r="M98" i="10"/>
  <c r="J98" i="10"/>
  <c r="C98" i="10"/>
  <c r="E98" i="10" s="1"/>
  <c r="G98" i="10" s="1"/>
  <c r="X97" i="10"/>
  <c r="S97" i="10"/>
  <c r="U97" i="10" s="1"/>
  <c r="J97" i="10"/>
  <c r="M97" i="10" s="1"/>
  <c r="C97" i="10"/>
  <c r="E97" i="10" s="1"/>
  <c r="G97" i="10" s="1"/>
  <c r="C97" i="22" s="1"/>
  <c r="X96" i="10"/>
  <c r="S96" i="10"/>
  <c r="U96" i="10" s="1"/>
  <c r="J96" i="10"/>
  <c r="M96" i="10" s="1"/>
  <c r="C96" i="10"/>
  <c r="E96" i="10" s="1"/>
  <c r="G96" i="10" s="1"/>
  <c r="C96" i="22" s="1"/>
  <c r="X95" i="10"/>
  <c r="S95" i="10"/>
  <c r="U95" i="10" s="1"/>
  <c r="J95" i="10"/>
  <c r="M95" i="10" s="1"/>
  <c r="C95" i="10"/>
  <c r="E95" i="10" s="1"/>
  <c r="G95" i="10" s="1"/>
  <c r="C95" i="22" s="1"/>
  <c r="X94" i="10"/>
  <c r="S94" i="10"/>
  <c r="U94" i="10" s="1"/>
  <c r="M94" i="10"/>
  <c r="J94" i="10"/>
  <c r="C94" i="10"/>
  <c r="E94" i="10" s="1"/>
  <c r="G94" i="10" s="1"/>
  <c r="X93" i="10"/>
  <c r="S93" i="10"/>
  <c r="U93" i="10" s="1"/>
  <c r="J93" i="10"/>
  <c r="M93" i="10" s="1"/>
  <c r="C93" i="10"/>
  <c r="E93" i="10" s="1"/>
  <c r="G93" i="10" s="1"/>
  <c r="X92" i="10"/>
  <c r="S92" i="10"/>
  <c r="U92" i="10" s="1"/>
  <c r="M92" i="10"/>
  <c r="J92" i="10"/>
  <c r="C92" i="10"/>
  <c r="E92" i="10" s="1"/>
  <c r="G92" i="10" s="1"/>
  <c r="C92" i="22" s="1"/>
  <c r="X91" i="10"/>
  <c r="S91" i="10"/>
  <c r="U91" i="10" s="1"/>
  <c r="M91" i="10"/>
  <c r="J91" i="10"/>
  <c r="C91" i="10"/>
  <c r="E91" i="10" s="1"/>
  <c r="G91" i="10" s="1"/>
  <c r="C91" i="22" s="1"/>
  <c r="X90" i="10"/>
  <c r="S90" i="10"/>
  <c r="U90" i="10" s="1"/>
  <c r="J90" i="10"/>
  <c r="M90" i="10" s="1"/>
  <c r="C90" i="10"/>
  <c r="E90" i="10" s="1"/>
  <c r="G90" i="10" s="1"/>
  <c r="C90" i="22" s="1"/>
  <c r="X89" i="10"/>
  <c r="S89" i="10"/>
  <c r="U89" i="10" s="1"/>
  <c r="M89" i="10"/>
  <c r="J89" i="10"/>
  <c r="C89" i="10"/>
  <c r="E89" i="10" s="1"/>
  <c r="G89" i="10" s="1"/>
  <c r="X88" i="10"/>
  <c r="S88" i="10"/>
  <c r="U88" i="10" s="1"/>
  <c r="J88" i="10"/>
  <c r="M88" i="10" s="1"/>
  <c r="C88" i="10"/>
  <c r="E88" i="10" s="1"/>
  <c r="G88" i="10" s="1"/>
  <c r="X87" i="10"/>
  <c r="S87" i="10"/>
  <c r="U87" i="10" s="1"/>
  <c r="M87" i="10"/>
  <c r="J87" i="10"/>
  <c r="C87" i="10"/>
  <c r="E87" i="10" s="1"/>
  <c r="G87" i="10" s="1"/>
  <c r="C87" i="22" s="1"/>
  <c r="X86" i="10"/>
  <c r="S86" i="10"/>
  <c r="U86" i="10" s="1"/>
  <c r="M86" i="10"/>
  <c r="J86" i="10"/>
  <c r="C86" i="10"/>
  <c r="E86" i="10" s="1"/>
  <c r="G86" i="10" s="1"/>
  <c r="C86" i="22" s="1"/>
  <c r="X85" i="10"/>
  <c r="S85" i="10"/>
  <c r="U85" i="10" s="1"/>
  <c r="J85" i="10"/>
  <c r="M85" i="10" s="1"/>
  <c r="C85" i="10"/>
  <c r="E85" i="10" s="1"/>
  <c r="G85" i="10" s="1"/>
  <c r="C85" i="22" s="1"/>
  <c r="X84" i="10"/>
  <c r="S84" i="10"/>
  <c r="U84" i="10" s="1"/>
  <c r="M84" i="10"/>
  <c r="J84" i="10"/>
  <c r="C84" i="10"/>
  <c r="E84" i="10" s="1"/>
  <c r="G84" i="10" s="1"/>
  <c r="X83" i="10"/>
  <c r="S83" i="10"/>
  <c r="U83" i="10" s="1"/>
  <c r="J83" i="10"/>
  <c r="M83" i="10" s="1"/>
  <c r="E83" i="10"/>
  <c r="G83" i="10" s="1"/>
  <c r="C83" i="22" s="1"/>
  <c r="C83" i="10"/>
  <c r="X82" i="10"/>
  <c r="S82" i="10"/>
  <c r="U82" i="10" s="1"/>
  <c r="M82" i="10"/>
  <c r="J82" i="10"/>
  <c r="C82" i="10"/>
  <c r="E82" i="10" s="1"/>
  <c r="G82" i="10" s="1"/>
  <c r="C82" i="22" s="1"/>
  <c r="X81" i="10"/>
  <c r="S81" i="10"/>
  <c r="U81" i="10" s="1"/>
  <c r="J81" i="10"/>
  <c r="M81" i="10" s="1"/>
  <c r="C81" i="10"/>
  <c r="E81" i="10" s="1"/>
  <c r="G81" i="10" s="1"/>
  <c r="C81" i="22" s="1"/>
  <c r="X80" i="10"/>
  <c r="S80" i="10"/>
  <c r="U80" i="10" s="1"/>
  <c r="J80" i="10"/>
  <c r="M80" i="10" s="1"/>
  <c r="C80" i="10"/>
  <c r="E80" i="10" s="1"/>
  <c r="G80" i="10" s="1"/>
  <c r="C80" i="22" s="1"/>
  <c r="X79" i="10"/>
  <c r="S79" i="10"/>
  <c r="U79" i="10" s="1"/>
  <c r="J79" i="10"/>
  <c r="M79" i="10" s="1"/>
  <c r="C79" i="10"/>
  <c r="E79" i="10" s="1"/>
  <c r="G79" i="10" s="1"/>
  <c r="C79" i="22" s="1"/>
  <c r="X78" i="10"/>
  <c r="S78" i="10"/>
  <c r="U78" i="10" s="1"/>
  <c r="J78" i="10"/>
  <c r="M78" i="10" s="1"/>
  <c r="C78" i="10"/>
  <c r="E78" i="10" s="1"/>
  <c r="G78" i="10" s="1"/>
  <c r="C78" i="22" s="1"/>
  <c r="X77" i="10"/>
  <c r="S77" i="10"/>
  <c r="U77" i="10" s="1"/>
  <c r="M77" i="10"/>
  <c r="J77" i="10"/>
  <c r="C77" i="10"/>
  <c r="E77" i="10" s="1"/>
  <c r="G77" i="10" s="1"/>
  <c r="C77" i="22" s="1"/>
  <c r="X76" i="10"/>
  <c r="S76" i="10"/>
  <c r="U76" i="10" s="1"/>
  <c r="M76" i="10"/>
  <c r="J76" i="10"/>
  <c r="C76" i="10"/>
  <c r="E76" i="10" s="1"/>
  <c r="G76" i="10" s="1"/>
  <c r="X75" i="10"/>
  <c r="S75" i="10"/>
  <c r="U75" i="10" s="1"/>
  <c r="M75" i="10"/>
  <c r="J75" i="10"/>
  <c r="C75" i="10"/>
  <c r="E75" i="10" s="1"/>
  <c r="G75" i="10" s="1"/>
  <c r="X74" i="10"/>
  <c r="U74" i="10"/>
  <c r="S74" i="10"/>
  <c r="M74" i="10"/>
  <c r="J74" i="10"/>
  <c r="C74" i="10"/>
  <c r="E74" i="10" s="1"/>
  <c r="G74" i="10" s="1"/>
  <c r="C74" i="22" s="1"/>
  <c r="X73" i="10"/>
  <c r="S73" i="10"/>
  <c r="U73" i="10" s="1"/>
  <c r="M73" i="10"/>
  <c r="J73" i="10"/>
  <c r="C73" i="10"/>
  <c r="E73" i="10" s="1"/>
  <c r="G73" i="10" s="1"/>
  <c r="X72" i="10"/>
  <c r="S72" i="10"/>
  <c r="U72" i="10" s="1"/>
  <c r="J72" i="10"/>
  <c r="M72" i="10" s="1"/>
  <c r="C72" i="10"/>
  <c r="E72" i="10" s="1"/>
  <c r="G72" i="10" s="1"/>
  <c r="X71" i="10"/>
  <c r="S71" i="10"/>
  <c r="U71" i="10" s="1"/>
  <c r="J71" i="10"/>
  <c r="M71" i="10" s="1"/>
  <c r="C71" i="10"/>
  <c r="E71" i="10" s="1"/>
  <c r="G71" i="10" s="1"/>
  <c r="C71" i="22" s="1"/>
  <c r="X70" i="10"/>
  <c r="U70" i="10"/>
  <c r="S70" i="10"/>
  <c r="J70" i="10"/>
  <c r="M70" i="10" s="1"/>
  <c r="C70" i="10"/>
  <c r="E70" i="10" s="1"/>
  <c r="G70" i="10" s="1"/>
  <c r="C70" i="22" s="1"/>
  <c r="X69" i="10"/>
  <c r="S69" i="10"/>
  <c r="U69" i="10" s="1"/>
  <c r="J69" i="10"/>
  <c r="M69" i="10" s="1"/>
  <c r="C69" i="10"/>
  <c r="E69" i="10" s="1"/>
  <c r="G69" i="10" s="1"/>
  <c r="C69" i="22" s="1"/>
  <c r="X68" i="10"/>
  <c r="U68" i="10"/>
  <c r="S68" i="10"/>
  <c r="M68" i="10"/>
  <c r="J68" i="10"/>
  <c r="C68" i="10"/>
  <c r="E68" i="10" s="1"/>
  <c r="G68" i="10" s="1"/>
  <c r="C68" i="22" s="1"/>
  <c r="X67" i="10"/>
  <c r="S67" i="10"/>
  <c r="U67" i="10" s="1"/>
  <c r="J67" i="10"/>
  <c r="M67" i="10" s="1"/>
  <c r="C67" i="10"/>
  <c r="E67" i="10" s="1"/>
  <c r="G67" i="10" s="1"/>
  <c r="C67" i="22" s="1"/>
  <c r="X66" i="10"/>
  <c r="S66" i="10"/>
  <c r="U66" i="10" s="1"/>
  <c r="M66" i="10"/>
  <c r="J66" i="10"/>
  <c r="C66" i="10"/>
  <c r="E66" i="10" s="1"/>
  <c r="G66" i="10" s="1"/>
  <c r="C66" i="22" s="1"/>
  <c r="X65" i="10"/>
  <c r="S65" i="10"/>
  <c r="U65" i="10" s="1"/>
  <c r="J65" i="10"/>
  <c r="M65" i="10" s="1"/>
  <c r="C65" i="10"/>
  <c r="E65" i="10" s="1"/>
  <c r="G65" i="10" s="1"/>
  <c r="C65" i="22" s="1"/>
  <c r="X64" i="10"/>
  <c r="S64" i="10"/>
  <c r="U64" i="10" s="1"/>
  <c r="M64" i="10"/>
  <c r="J64" i="10"/>
  <c r="C64" i="10"/>
  <c r="E64" i="10" s="1"/>
  <c r="G64" i="10" s="1"/>
  <c r="C64" i="22" s="1"/>
  <c r="X63" i="10"/>
  <c r="S63" i="10"/>
  <c r="U63" i="10" s="1"/>
  <c r="M63" i="10"/>
  <c r="J63" i="10"/>
  <c r="C63" i="10"/>
  <c r="E63" i="10" s="1"/>
  <c r="G63" i="10" s="1"/>
  <c r="C63" i="22" s="1"/>
  <c r="X62" i="10"/>
  <c r="U62" i="10"/>
  <c r="S62" i="10"/>
  <c r="M62" i="10"/>
  <c r="J62" i="10"/>
  <c r="C62" i="10"/>
  <c r="E62" i="10" s="1"/>
  <c r="G62" i="10" s="1"/>
  <c r="C62" i="22" s="1"/>
  <c r="X61" i="10"/>
  <c r="S61" i="10"/>
  <c r="U61" i="10" s="1"/>
  <c r="J61" i="10"/>
  <c r="M61" i="10" s="1"/>
  <c r="C61" i="10"/>
  <c r="E61" i="10" s="1"/>
  <c r="G61" i="10" s="1"/>
  <c r="X60" i="10"/>
  <c r="S60" i="10"/>
  <c r="U60" i="10" s="1"/>
  <c r="M60" i="10"/>
  <c r="J60" i="10"/>
  <c r="E60" i="10"/>
  <c r="G60" i="10" s="1"/>
  <c r="C60" i="10"/>
  <c r="X59" i="10"/>
  <c r="S59" i="10"/>
  <c r="U59" i="10" s="1"/>
  <c r="J59" i="10"/>
  <c r="M59" i="10" s="1"/>
  <c r="C59" i="10"/>
  <c r="E59" i="10" s="1"/>
  <c r="G59" i="10" s="1"/>
  <c r="X58" i="10"/>
  <c r="S58" i="10"/>
  <c r="U58" i="10" s="1"/>
  <c r="J58" i="10"/>
  <c r="M58" i="10" s="1"/>
  <c r="C58" i="10"/>
  <c r="E58" i="10" s="1"/>
  <c r="G58" i="10" s="1"/>
  <c r="X57" i="10"/>
  <c r="S57" i="10"/>
  <c r="U57" i="10" s="1"/>
  <c r="M57" i="10"/>
  <c r="J57" i="10"/>
  <c r="C57" i="10"/>
  <c r="E57" i="10" s="1"/>
  <c r="G57" i="10" s="1"/>
  <c r="X56" i="10"/>
  <c r="U56" i="10"/>
  <c r="S56" i="10"/>
  <c r="J56" i="10"/>
  <c r="M56" i="10" s="1"/>
  <c r="C56" i="10"/>
  <c r="E56" i="10" s="1"/>
  <c r="G56" i="10" s="1"/>
  <c r="C56" i="22" s="1"/>
  <c r="X55" i="10"/>
  <c r="S55" i="10"/>
  <c r="U55" i="10" s="1"/>
  <c r="M55" i="10"/>
  <c r="J55" i="10"/>
  <c r="C55" i="10"/>
  <c r="E55" i="10" s="1"/>
  <c r="G55" i="10" s="1"/>
  <c r="C55" i="22" s="1"/>
  <c r="X54" i="10"/>
  <c r="S54" i="10"/>
  <c r="U54" i="10" s="1"/>
  <c r="J54" i="10"/>
  <c r="M54" i="10" s="1"/>
  <c r="C54" i="10"/>
  <c r="E54" i="10" s="1"/>
  <c r="G54" i="10" s="1"/>
  <c r="C54" i="22" s="1"/>
  <c r="X53" i="10"/>
  <c r="S53" i="10"/>
  <c r="U53" i="10" s="1"/>
  <c r="J53" i="10"/>
  <c r="M53" i="10" s="1"/>
  <c r="C53" i="10"/>
  <c r="E53" i="10" s="1"/>
  <c r="G53" i="10" s="1"/>
  <c r="X52" i="10"/>
  <c r="S52" i="10"/>
  <c r="U52" i="10" s="1"/>
  <c r="M52" i="10"/>
  <c r="J52" i="10"/>
  <c r="C52" i="10"/>
  <c r="E52" i="10" s="1"/>
  <c r="G52" i="10" s="1"/>
  <c r="X51" i="10"/>
  <c r="S51" i="10"/>
  <c r="U51" i="10" s="1"/>
  <c r="J51" i="10"/>
  <c r="M51" i="10" s="1"/>
  <c r="C51" i="10"/>
  <c r="E51" i="10" s="1"/>
  <c r="G51" i="10" s="1"/>
  <c r="C51" i="22" s="1"/>
  <c r="X50" i="10"/>
  <c r="U50" i="10"/>
  <c r="S50" i="10"/>
  <c r="J50" i="10"/>
  <c r="M50" i="10" s="1"/>
  <c r="C50" i="10"/>
  <c r="E50" i="10" s="1"/>
  <c r="G50" i="10" s="1"/>
  <c r="X49" i="10"/>
  <c r="S49" i="10"/>
  <c r="U49" i="10" s="1"/>
  <c r="M49" i="10"/>
  <c r="J49" i="10"/>
  <c r="C49" i="10"/>
  <c r="E49" i="10" s="1"/>
  <c r="G49" i="10" s="1"/>
  <c r="C49" i="22" s="1"/>
  <c r="X48" i="10"/>
  <c r="U48" i="10"/>
  <c r="S48" i="10"/>
  <c r="J48" i="10"/>
  <c r="M48" i="10" s="1"/>
  <c r="C48" i="10"/>
  <c r="E48" i="10" s="1"/>
  <c r="G48" i="10" s="1"/>
  <c r="X47" i="10"/>
  <c r="S47" i="10"/>
  <c r="U47" i="10" s="1"/>
  <c r="J47" i="10"/>
  <c r="M47" i="10" s="1"/>
  <c r="C47" i="10"/>
  <c r="E47" i="10" s="1"/>
  <c r="G47" i="10" s="1"/>
  <c r="C47" i="22" s="1"/>
  <c r="X46" i="10"/>
  <c r="U46" i="10"/>
  <c r="S46" i="10"/>
  <c r="M46" i="10"/>
  <c r="J46" i="10"/>
  <c r="C46" i="10"/>
  <c r="E46" i="10" s="1"/>
  <c r="G46" i="10" s="1"/>
  <c r="X45" i="10"/>
  <c r="S45" i="10"/>
  <c r="U45" i="10" s="1"/>
  <c r="J45" i="10"/>
  <c r="M45" i="10" s="1"/>
  <c r="C45" i="10"/>
  <c r="E45" i="10" s="1"/>
  <c r="G45" i="10" s="1"/>
  <c r="C45" i="22" s="1"/>
  <c r="X44" i="10"/>
  <c r="S44" i="10"/>
  <c r="U44" i="10" s="1"/>
  <c r="M44" i="10"/>
  <c r="J44" i="10"/>
  <c r="C44" i="10"/>
  <c r="E44" i="10" s="1"/>
  <c r="G44" i="10" s="1"/>
  <c r="C44" i="22" s="1"/>
  <c r="X43" i="10"/>
  <c r="S43" i="10"/>
  <c r="U43" i="10" s="1"/>
  <c r="J43" i="10"/>
  <c r="M43" i="10" s="1"/>
  <c r="C43" i="10"/>
  <c r="E43" i="10" s="1"/>
  <c r="G43" i="10" s="1"/>
  <c r="C43" i="22" s="1"/>
  <c r="X42" i="10"/>
  <c r="S42" i="10"/>
  <c r="U42" i="10" s="1"/>
  <c r="M42" i="10"/>
  <c r="J42" i="10"/>
  <c r="C42" i="10"/>
  <c r="E42" i="10" s="1"/>
  <c r="G42" i="10" s="1"/>
  <c r="C42" i="22" s="1"/>
  <c r="X41" i="10"/>
  <c r="S41" i="10"/>
  <c r="U41" i="10" s="1"/>
  <c r="M41" i="10"/>
  <c r="J41" i="10"/>
  <c r="C41" i="10"/>
  <c r="E41" i="10" s="1"/>
  <c r="G41" i="10" s="1"/>
  <c r="C41" i="22" s="1"/>
  <c r="X40" i="10"/>
  <c r="U40" i="10"/>
  <c r="S40" i="10"/>
  <c r="J40" i="10"/>
  <c r="M40" i="10" s="1"/>
  <c r="C40" i="10"/>
  <c r="E40" i="10" s="1"/>
  <c r="G40" i="10" s="1"/>
  <c r="X39" i="10"/>
  <c r="S39" i="10"/>
  <c r="U39" i="10" s="1"/>
  <c r="J39" i="10"/>
  <c r="M39" i="10" s="1"/>
  <c r="C39" i="10"/>
  <c r="E39" i="10" s="1"/>
  <c r="G39" i="10" s="1"/>
  <c r="X38" i="10"/>
  <c r="S38" i="10"/>
  <c r="U38" i="10" s="1"/>
  <c r="J38" i="10"/>
  <c r="M38" i="10" s="1"/>
  <c r="C38" i="10"/>
  <c r="E38" i="10" s="1"/>
  <c r="G38" i="10" s="1"/>
  <c r="X37" i="10"/>
  <c r="S37" i="10"/>
  <c r="U37" i="10" s="1"/>
  <c r="J37" i="10"/>
  <c r="M37" i="10" s="1"/>
  <c r="C37" i="10"/>
  <c r="E37" i="10" s="1"/>
  <c r="G37" i="10" s="1"/>
  <c r="C37" i="22" s="1"/>
  <c r="X36" i="10"/>
  <c r="S36" i="10"/>
  <c r="U36" i="10" s="1"/>
  <c r="M36" i="10"/>
  <c r="J36" i="10"/>
  <c r="C36" i="10"/>
  <c r="E36" i="10" s="1"/>
  <c r="G36" i="10" s="1"/>
  <c r="X35" i="10"/>
  <c r="S35" i="10"/>
  <c r="U35" i="10" s="1"/>
  <c r="M35" i="10"/>
  <c r="J35" i="10"/>
  <c r="C35" i="10"/>
  <c r="E35" i="10" s="1"/>
  <c r="G35" i="10" s="1"/>
  <c r="C35" i="22" s="1"/>
  <c r="X34" i="10"/>
  <c r="S34" i="10"/>
  <c r="U34" i="10" s="1"/>
  <c r="J34" i="10"/>
  <c r="M34" i="10" s="1"/>
  <c r="C34" i="10"/>
  <c r="E34" i="10" s="1"/>
  <c r="G34" i="10" s="1"/>
  <c r="X33" i="10"/>
  <c r="S33" i="10"/>
  <c r="U33" i="10" s="1"/>
  <c r="M33" i="10"/>
  <c r="J33" i="10"/>
  <c r="C33" i="10"/>
  <c r="E33" i="10" s="1"/>
  <c r="G33" i="10" s="1"/>
  <c r="C33" i="22" s="1"/>
  <c r="X32" i="10"/>
  <c r="U32" i="10"/>
  <c r="S32" i="10"/>
  <c r="J32" i="10"/>
  <c r="M32" i="10" s="1"/>
  <c r="C32" i="10"/>
  <c r="E32" i="10" s="1"/>
  <c r="G32" i="10" s="1"/>
  <c r="C32" i="22" s="1"/>
  <c r="X31" i="10"/>
  <c r="S31" i="10"/>
  <c r="U31" i="10" s="1"/>
  <c r="M31" i="10"/>
  <c r="J31" i="10"/>
  <c r="C31" i="10"/>
  <c r="E31" i="10" s="1"/>
  <c r="G31" i="10" s="1"/>
  <c r="C31" i="22" s="1"/>
  <c r="X30" i="10"/>
  <c r="S30" i="10"/>
  <c r="U30" i="10" s="1"/>
  <c r="J30" i="10"/>
  <c r="M30" i="10" s="1"/>
  <c r="C30" i="10"/>
  <c r="E30" i="10" s="1"/>
  <c r="G30" i="10" s="1"/>
  <c r="C30" i="22" s="1"/>
  <c r="X29" i="10"/>
  <c r="S29" i="10"/>
  <c r="U29" i="10" s="1"/>
  <c r="J29" i="10"/>
  <c r="M29" i="10" s="1"/>
  <c r="C29" i="10"/>
  <c r="E29" i="10" s="1"/>
  <c r="G29" i="10" s="1"/>
  <c r="C29" i="22" s="1"/>
  <c r="X28" i="10"/>
  <c r="S28" i="10"/>
  <c r="U28" i="10" s="1"/>
  <c r="M28" i="10"/>
  <c r="J28" i="10"/>
  <c r="C28" i="10"/>
  <c r="E28" i="10" s="1"/>
  <c r="G28" i="10" s="1"/>
  <c r="X27" i="10"/>
  <c r="S27" i="10"/>
  <c r="U27" i="10" s="1"/>
  <c r="J27" i="10"/>
  <c r="M27" i="10" s="1"/>
  <c r="C27" i="10"/>
  <c r="E27" i="10" s="1"/>
  <c r="G27" i="10" s="1"/>
  <c r="C27" i="22" s="1"/>
  <c r="X26" i="10"/>
  <c r="U26" i="10"/>
  <c r="S26" i="10"/>
  <c r="J26" i="10"/>
  <c r="M26" i="10" s="1"/>
  <c r="C26" i="10"/>
  <c r="E26" i="10" s="1"/>
  <c r="G26" i="10" s="1"/>
  <c r="X25" i="10"/>
  <c r="S25" i="10"/>
  <c r="U25" i="10" s="1"/>
  <c r="M25" i="10"/>
  <c r="J25" i="10"/>
  <c r="C25" i="10"/>
  <c r="E25" i="10" s="1"/>
  <c r="G25" i="10" s="1"/>
  <c r="C25" i="22" s="1"/>
  <c r="X24" i="10"/>
  <c r="U24" i="10"/>
  <c r="S24" i="10"/>
  <c r="J24" i="10"/>
  <c r="M24" i="10" s="1"/>
  <c r="C24" i="10"/>
  <c r="E24" i="10" s="1"/>
  <c r="G24" i="10" s="1"/>
  <c r="X23" i="10"/>
  <c r="S23" i="10"/>
  <c r="U23" i="10" s="1"/>
  <c r="J23" i="10"/>
  <c r="M23" i="10" s="1"/>
  <c r="C23" i="10"/>
  <c r="E23" i="10" s="1"/>
  <c r="G23" i="10" s="1"/>
  <c r="C23" i="22" s="1"/>
  <c r="X22" i="10"/>
  <c r="U22" i="10"/>
  <c r="S22" i="10"/>
  <c r="M22" i="10"/>
  <c r="J22" i="10"/>
  <c r="C22" i="10"/>
  <c r="E22" i="10" s="1"/>
  <c r="G22" i="10" s="1"/>
  <c r="X21" i="10"/>
  <c r="S21" i="10"/>
  <c r="U21" i="10" s="1"/>
  <c r="J21" i="10"/>
  <c r="M21" i="10" s="1"/>
  <c r="C21" i="10"/>
  <c r="E21" i="10" s="1"/>
  <c r="G21" i="10" s="1"/>
  <c r="C21" i="22" s="1"/>
  <c r="X20" i="10"/>
  <c r="S20" i="10"/>
  <c r="U20" i="10" s="1"/>
  <c r="M20" i="10"/>
  <c r="J20" i="10"/>
  <c r="C20" i="10"/>
  <c r="E20" i="10" s="1"/>
  <c r="G20" i="10" s="1"/>
  <c r="C20" i="22" s="1"/>
  <c r="X19" i="10"/>
  <c r="S19" i="10"/>
  <c r="U19" i="10" s="1"/>
  <c r="J19" i="10"/>
  <c r="M19" i="10" s="1"/>
  <c r="C19" i="10"/>
  <c r="E19" i="10" s="1"/>
  <c r="G19" i="10" s="1"/>
  <c r="C19" i="22" s="1"/>
  <c r="X18" i="10"/>
  <c r="S18" i="10"/>
  <c r="U18" i="10" s="1"/>
  <c r="M18" i="10"/>
  <c r="J18" i="10"/>
  <c r="C18" i="10"/>
  <c r="E18" i="10" s="1"/>
  <c r="G18" i="10" s="1"/>
  <c r="C18" i="22" s="1"/>
  <c r="X17" i="10"/>
  <c r="S17" i="10"/>
  <c r="U17" i="10" s="1"/>
  <c r="M17" i="10"/>
  <c r="J17" i="10"/>
  <c r="C17" i="10"/>
  <c r="E17" i="10" s="1"/>
  <c r="G17" i="10" s="1"/>
  <c r="C17" i="22" s="1"/>
  <c r="X16" i="10"/>
  <c r="U16" i="10"/>
  <c r="S16" i="10"/>
  <c r="J16" i="10"/>
  <c r="M16" i="10" s="1"/>
  <c r="C16" i="10"/>
  <c r="E16" i="10" s="1"/>
  <c r="G16" i="10" s="1"/>
  <c r="X15" i="10"/>
  <c r="S15" i="10"/>
  <c r="U15" i="10" s="1"/>
  <c r="J15" i="10"/>
  <c r="M15" i="10" s="1"/>
  <c r="C15" i="10"/>
  <c r="E15" i="10" s="1"/>
  <c r="G15" i="10" s="1"/>
  <c r="C15" i="22" s="1"/>
  <c r="X14" i="10"/>
  <c r="S14" i="10"/>
  <c r="U14" i="10" s="1"/>
  <c r="J14" i="10"/>
  <c r="M14" i="10" s="1"/>
  <c r="C14" i="10"/>
  <c r="E14" i="10" s="1"/>
  <c r="G14" i="10" s="1"/>
  <c r="X13" i="10"/>
  <c r="S13" i="10"/>
  <c r="U13" i="10" s="1"/>
  <c r="J13" i="10"/>
  <c r="M13" i="10" s="1"/>
  <c r="C13" i="10"/>
  <c r="E13" i="10" s="1"/>
  <c r="G13" i="10" s="1"/>
  <c r="X12" i="10"/>
  <c r="S12" i="10"/>
  <c r="U12" i="10" s="1"/>
  <c r="M12" i="10"/>
  <c r="J12" i="10"/>
  <c r="C12" i="10"/>
  <c r="E12" i="10" s="1"/>
  <c r="G12" i="10" s="1"/>
  <c r="X11" i="10"/>
  <c r="S11" i="10"/>
  <c r="U11" i="10" s="1"/>
  <c r="M11" i="10"/>
  <c r="J11" i="10"/>
  <c r="C11" i="10"/>
  <c r="E11" i="10" s="1"/>
  <c r="G11" i="10" s="1"/>
  <c r="X10" i="10"/>
  <c r="S10" i="10"/>
  <c r="U10" i="10" s="1"/>
  <c r="J10" i="10"/>
  <c r="M10" i="10" s="1"/>
  <c r="C10" i="10"/>
  <c r="E10" i="10" s="1"/>
  <c r="G10" i="10" s="1"/>
  <c r="X9" i="10"/>
  <c r="S9" i="10"/>
  <c r="U9" i="10" s="1"/>
  <c r="M9" i="10"/>
  <c r="J9" i="10"/>
  <c r="C9" i="10"/>
  <c r="E9" i="10" s="1"/>
  <c r="G9" i="10" s="1"/>
  <c r="X8" i="10"/>
  <c r="U8" i="10"/>
  <c r="S8" i="10"/>
  <c r="J8" i="10"/>
  <c r="M8" i="10" s="1"/>
  <c r="C8" i="10"/>
  <c r="E8" i="10" s="1"/>
  <c r="G8" i="10" s="1"/>
  <c r="C8" i="22" s="1"/>
  <c r="X7" i="10"/>
  <c r="S7" i="10"/>
  <c r="U7" i="10" s="1"/>
  <c r="M7" i="10"/>
  <c r="J7" i="10"/>
  <c r="C7" i="10"/>
  <c r="E7" i="10" s="1"/>
  <c r="G7" i="10" s="1"/>
  <c r="C7" i="22" s="1"/>
  <c r="X6" i="10"/>
  <c r="S6" i="10"/>
  <c r="U6" i="10" s="1"/>
  <c r="J6" i="10"/>
  <c r="M6" i="10" s="1"/>
  <c r="C6" i="10"/>
  <c r="E6" i="10" s="1"/>
  <c r="G6" i="10" s="1"/>
  <c r="C6" i="22" s="1"/>
  <c r="X5" i="10"/>
  <c r="S5" i="10"/>
  <c r="U5" i="10" s="1"/>
  <c r="J5" i="10"/>
  <c r="M5" i="10" s="1"/>
  <c r="C5" i="10"/>
  <c r="E5" i="10" s="1"/>
  <c r="G5" i="10" s="1"/>
  <c r="X4" i="10"/>
  <c r="S4" i="10"/>
  <c r="U4" i="10" s="1"/>
  <c r="M4" i="10"/>
  <c r="J4" i="10"/>
  <c r="C4" i="10"/>
  <c r="E4" i="10" s="1"/>
  <c r="G4" i="10" s="1"/>
  <c r="X106" i="10" l="1"/>
  <c r="J205" i="10" s="1"/>
  <c r="K206" i="10"/>
  <c r="K212" i="10" l="1"/>
  <c r="K215" i="10" l="1"/>
  <c r="K214" i="10"/>
  <c r="K217" i="10" s="1"/>
  <c r="J205" i="9" l="1"/>
  <c r="J207" i="9"/>
  <c r="J208" i="9"/>
  <c r="J209" i="9"/>
  <c r="J210" i="9"/>
  <c r="J211" i="9"/>
  <c r="J212" i="9"/>
  <c r="J213" i="9"/>
  <c r="J214" i="9"/>
  <c r="J215" i="9"/>
  <c r="J216" i="9"/>
  <c r="J217" i="9"/>
  <c r="J221" i="9"/>
  <c r="J222" i="9"/>
  <c r="J223" i="9"/>
  <c r="J224" i="9"/>
  <c r="J22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202" i="9"/>
  <c r="H203" i="9"/>
  <c r="H204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5" i="9"/>
  <c r="K208" i="14"/>
  <c r="E203" i="22" l="1"/>
  <c r="G203" i="22" s="1"/>
  <c r="E202" i="22"/>
  <c r="G202" i="22" s="1"/>
  <c r="E201" i="22"/>
  <c r="G201" i="22" s="1"/>
  <c r="E200" i="22"/>
  <c r="G200" i="22" s="1"/>
  <c r="E199" i="22"/>
  <c r="G199" i="22" s="1"/>
  <c r="E198" i="22"/>
  <c r="G198" i="22" s="1"/>
  <c r="E197" i="22"/>
  <c r="G197" i="22" s="1"/>
  <c r="E196" i="22"/>
  <c r="G196" i="22" s="1"/>
  <c r="E195" i="22"/>
  <c r="G195" i="22" s="1"/>
  <c r="E194" i="22"/>
  <c r="G194" i="22" s="1"/>
  <c r="E193" i="22"/>
  <c r="G193" i="22" s="1"/>
  <c r="E192" i="22"/>
  <c r="G192" i="22" s="1"/>
  <c r="E191" i="22"/>
  <c r="G191" i="22" s="1"/>
  <c r="E190" i="22"/>
  <c r="G190" i="22" s="1"/>
  <c r="E189" i="22"/>
  <c r="G189" i="22" s="1"/>
  <c r="E188" i="22"/>
  <c r="G188" i="22" s="1"/>
  <c r="E187" i="22"/>
  <c r="G187" i="22" s="1"/>
  <c r="E186" i="22"/>
  <c r="G186" i="22" s="1"/>
  <c r="E185" i="22"/>
  <c r="G185" i="22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77" i="22"/>
  <c r="G177" i="22" s="1"/>
  <c r="E176" i="22"/>
  <c r="G176" i="22" s="1"/>
  <c r="E175" i="22"/>
  <c r="G175" i="22" s="1"/>
  <c r="E174" i="22"/>
  <c r="G174" i="22" s="1"/>
  <c r="E173" i="22"/>
  <c r="G173" i="22" s="1"/>
  <c r="E172" i="22"/>
  <c r="G172" i="22" s="1"/>
  <c r="E171" i="22"/>
  <c r="G171" i="22" s="1"/>
  <c r="E170" i="22"/>
  <c r="G170" i="22" s="1"/>
  <c r="E169" i="22"/>
  <c r="G169" i="22" s="1"/>
  <c r="E168" i="22"/>
  <c r="G168" i="22" s="1"/>
  <c r="E167" i="22"/>
  <c r="G167" i="22" s="1"/>
  <c r="E166" i="22"/>
  <c r="G166" i="22" s="1"/>
  <c r="E165" i="22"/>
  <c r="G165" i="22" s="1"/>
  <c r="E164" i="22"/>
  <c r="G164" i="22" s="1"/>
  <c r="E163" i="22"/>
  <c r="G163" i="22" s="1"/>
  <c r="E162" i="22"/>
  <c r="G162" i="22" s="1"/>
  <c r="E161" i="22"/>
  <c r="G161" i="22" s="1"/>
  <c r="E160" i="22"/>
  <c r="G160" i="22" s="1"/>
  <c r="E159" i="22"/>
  <c r="G159" i="22" s="1"/>
  <c r="E158" i="22"/>
  <c r="G158" i="22" s="1"/>
  <c r="E157" i="22"/>
  <c r="G157" i="22" s="1"/>
  <c r="E156" i="22"/>
  <c r="G156" i="22" s="1"/>
  <c r="E155" i="22"/>
  <c r="G155" i="22" s="1"/>
  <c r="E154" i="22"/>
  <c r="G154" i="22" s="1"/>
  <c r="E153" i="22"/>
  <c r="G153" i="22" s="1"/>
  <c r="E152" i="22"/>
  <c r="G152" i="22" s="1"/>
  <c r="E151" i="22"/>
  <c r="G151" i="22" s="1"/>
  <c r="E150" i="22"/>
  <c r="G150" i="22" s="1"/>
  <c r="E149" i="22"/>
  <c r="G149" i="22" s="1"/>
  <c r="E148" i="22"/>
  <c r="G148" i="22" s="1"/>
  <c r="E147" i="22"/>
  <c r="G147" i="22" s="1"/>
  <c r="E146" i="22"/>
  <c r="G146" i="22" s="1"/>
  <c r="E145" i="22"/>
  <c r="G145" i="22" s="1"/>
  <c r="E144" i="22"/>
  <c r="G144" i="22" s="1"/>
  <c r="E143" i="22"/>
  <c r="G143" i="22" s="1"/>
  <c r="E142" i="22"/>
  <c r="G142" i="22" s="1"/>
  <c r="E141" i="22"/>
  <c r="G141" i="22" s="1"/>
  <c r="E140" i="22"/>
  <c r="G140" i="22" s="1"/>
  <c r="E139" i="22"/>
  <c r="G139" i="22" s="1"/>
  <c r="E138" i="22"/>
  <c r="G138" i="22" s="1"/>
  <c r="E137" i="22"/>
  <c r="G137" i="22" s="1"/>
  <c r="E136" i="22"/>
  <c r="G136" i="22" s="1"/>
  <c r="E135" i="22"/>
  <c r="G135" i="22" s="1"/>
  <c r="E134" i="22"/>
  <c r="G134" i="22" s="1"/>
  <c r="E133" i="22"/>
  <c r="G133" i="22" s="1"/>
  <c r="E132" i="22"/>
  <c r="G132" i="22" s="1"/>
  <c r="E131" i="22"/>
  <c r="G131" i="22" s="1"/>
  <c r="E130" i="22"/>
  <c r="G130" i="22" s="1"/>
  <c r="E129" i="22"/>
  <c r="G129" i="22" s="1"/>
  <c r="E128" i="22"/>
  <c r="G128" i="22" s="1"/>
  <c r="E127" i="22"/>
  <c r="G127" i="22" s="1"/>
  <c r="E126" i="22"/>
  <c r="G126" i="22" s="1"/>
  <c r="E125" i="22"/>
  <c r="G125" i="22" s="1"/>
  <c r="E124" i="22"/>
  <c r="G124" i="22" s="1"/>
  <c r="E123" i="22"/>
  <c r="G123" i="22" s="1"/>
  <c r="E122" i="22"/>
  <c r="G122" i="22" s="1"/>
  <c r="E121" i="22"/>
  <c r="G121" i="22" s="1"/>
  <c r="E120" i="22"/>
  <c r="G120" i="22" s="1"/>
  <c r="E119" i="22"/>
  <c r="G119" i="22" s="1"/>
  <c r="E118" i="22"/>
  <c r="G118" i="22" s="1"/>
  <c r="E117" i="22"/>
  <c r="G117" i="22" s="1"/>
  <c r="E116" i="22"/>
  <c r="G116" i="22" s="1"/>
  <c r="E115" i="22"/>
  <c r="G115" i="22" s="1"/>
  <c r="E114" i="22"/>
  <c r="G114" i="22" s="1"/>
  <c r="E113" i="22"/>
  <c r="G113" i="22" s="1"/>
  <c r="E112" i="22"/>
  <c r="G112" i="22" s="1"/>
  <c r="E111" i="22"/>
  <c r="G111" i="22" s="1"/>
  <c r="E110" i="22"/>
  <c r="G110" i="22" s="1"/>
  <c r="E109" i="22"/>
  <c r="G109" i="22" s="1"/>
  <c r="E108" i="22"/>
  <c r="G108" i="22" s="1"/>
  <c r="E107" i="22"/>
  <c r="G107" i="22" s="1"/>
  <c r="E106" i="22"/>
  <c r="G106" i="22" s="1"/>
  <c r="E105" i="22"/>
  <c r="G105" i="22" s="1"/>
  <c r="E104" i="22"/>
  <c r="G104" i="22" s="1"/>
  <c r="E103" i="22"/>
  <c r="G103" i="22" s="1"/>
  <c r="E102" i="22"/>
  <c r="G102" i="22" s="1"/>
  <c r="E101" i="22"/>
  <c r="G101" i="22" s="1"/>
  <c r="E100" i="22"/>
  <c r="G100" i="22" s="1"/>
  <c r="E99" i="22"/>
  <c r="G99" i="22" s="1"/>
  <c r="E98" i="22"/>
  <c r="G98" i="22" s="1"/>
  <c r="E97" i="22"/>
  <c r="G97" i="22" s="1"/>
  <c r="E96" i="22"/>
  <c r="G96" i="22" s="1"/>
  <c r="E95" i="22"/>
  <c r="G95" i="22" s="1"/>
  <c r="E94" i="22"/>
  <c r="G94" i="22" s="1"/>
  <c r="E93" i="22"/>
  <c r="G93" i="22" s="1"/>
  <c r="E92" i="22"/>
  <c r="G92" i="22" s="1"/>
  <c r="E91" i="22"/>
  <c r="G91" i="22" s="1"/>
  <c r="E90" i="22"/>
  <c r="G90" i="22" s="1"/>
  <c r="E89" i="22"/>
  <c r="G89" i="22" s="1"/>
  <c r="E88" i="22"/>
  <c r="G88" i="22" s="1"/>
  <c r="E87" i="22"/>
  <c r="G87" i="22" s="1"/>
  <c r="E86" i="22"/>
  <c r="G86" i="22" s="1"/>
  <c r="E85" i="22"/>
  <c r="G85" i="22" s="1"/>
  <c r="E84" i="22"/>
  <c r="G84" i="22" s="1"/>
  <c r="E83" i="22"/>
  <c r="G83" i="22" s="1"/>
  <c r="E82" i="22"/>
  <c r="G82" i="22" s="1"/>
  <c r="E81" i="22"/>
  <c r="G81" i="22" s="1"/>
  <c r="E80" i="22"/>
  <c r="G80" i="22" s="1"/>
  <c r="E79" i="22"/>
  <c r="G79" i="22" s="1"/>
  <c r="E78" i="22"/>
  <c r="G78" i="22" s="1"/>
  <c r="E77" i="22"/>
  <c r="G77" i="22" s="1"/>
  <c r="E76" i="22"/>
  <c r="G76" i="22" s="1"/>
  <c r="E75" i="22"/>
  <c r="G75" i="22" s="1"/>
  <c r="E74" i="22"/>
  <c r="G74" i="22" s="1"/>
  <c r="E73" i="22"/>
  <c r="G73" i="22" s="1"/>
  <c r="E72" i="22"/>
  <c r="G72" i="22" s="1"/>
  <c r="E71" i="22"/>
  <c r="G71" i="22" s="1"/>
  <c r="E70" i="22"/>
  <c r="G70" i="22" s="1"/>
  <c r="E69" i="22"/>
  <c r="G69" i="22" s="1"/>
  <c r="E68" i="22"/>
  <c r="G68" i="22" s="1"/>
  <c r="E67" i="22"/>
  <c r="G67" i="22" s="1"/>
  <c r="E66" i="22"/>
  <c r="G66" i="22" s="1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G59" i="22" s="1"/>
  <c r="E58" i="22"/>
  <c r="G58" i="22" s="1"/>
  <c r="E57" i="22"/>
  <c r="G57" i="22" s="1"/>
  <c r="E56" i="22"/>
  <c r="G56" i="22" s="1"/>
  <c r="E55" i="22"/>
  <c r="G55" i="22" s="1"/>
  <c r="E54" i="22"/>
  <c r="G54" i="22" s="1"/>
  <c r="E53" i="22"/>
  <c r="G53" i="22" s="1"/>
  <c r="E52" i="22"/>
  <c r="G52" i="22" s="1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E44" i="22"/>
  <c r="G44" i="22" s="1"/>
  <c r="E43" i="22"/>
  <c r="G43" i="22" s="1"/>
  <c r="E42" i="22"/>
  <c r="G42" i="22" s="1"/>
  <c r="E41" i="22"/>
  <c r="G41" i="22" s="1"/>
  <c r="E40" i="22"/>
  <c r="G40" i="22" s="1"/>
  <c r="E39" i="22"/>
  <c r="G39" i="22" s="1"/>
  <c r="E38" i="22"/>
  <c r="G38" i="22" s="1"/>
  <c r="E37" i="22"/>
  <c r="G37" i="22" s="1"/>
  <c r="E36" i="22"/>
  <c r="G36" i="22" s="1"/>
  <c r="E35" i="22"/>
  <c r="G35" i="22" s="1"/>
  <c r="E34" i="22"/>
  <c r="G34" i="22" s="1"/>
  <c r="E33" i="22"/>
  <c r="G33" i="22" s="1"/>
  <c r="E32" i="22"/>
  <c r="G32" i="22" s="1"/>
  <c r="E31" i="22"/>
  <c r="G31" i="22" s="1"/>
  <c r="E30" i="22"/>
  <c r="G30" i="22" s="1"/>
  <c r="E29" i="22"/>
  <c r="G29" i="22" s="1"/>
  <c r="E28" i="22"/>
  <c r="G28" i="22" s="1"/>
  <c r="E27" i="22"/>
  <c r="G27" i="22" s="1"/>
  <c r="E26" i="22"/>
  <c r="G26" i="22" s="1"/>
  <c r="E25" i="22"/>
  <c r="G25" i="22" s="1"/>
  <c r="E24" i="22"/>
  <c r="G24" i="22" s="1"/>
  <c r="E23" i="22"/>
  <c r="G23" i="22" s="1"/>
  <c r="E22" i="22"/>
  <c r="G22" i="22" s="1"/>
  <c r="E21" i="22"/>
  <c r="G21" i="22" s="1"/>
  <c r="E20" i="22"/>
  <c r="G20" i="22" s="1"/>
  <c r="E19" i="22"/>
  <c r="G19" i="22" s="1"/>
  <c r="E18" i="22"/>
  <c r="G18" i="22" s="1"/>
  <c r="E17" i="22"/>
  <c r="G17" i="22" s="1"/>
  <c r="E16" i="22"/>
  <c r="G16" i="22" s="1"/>
  <c r="E15" i="22"/>
  <c r="G15" i="22" s="1"/>
  <c r="E14" i="22"/>
  <c r="G14" i="22" s="1"/>
  <c r="E13" i="22"/>
  <c r="G13" i="22" s="1"/>
  <c r="E12" i="22"/>
  <c r="G12" i="22" s="1"/>
  <c r="E11" i="22"/>
  <c r="G11" i="22" s="1"/>
  <c r="E10" i="22"/>
  <c r="G10" i="22" s="1"/>
  <c r="E9" i="22"/>
  <c r="G9" i="22" s="1"/>
  <c r="E8" i="22"/>
  <c r="G8" i="22" s="1"/>
  <c r="E7" i="22"/>
  <c r="G7" i="22" s="1"/>
  <c r="E6" i="22"/>
  <c r="G6" i="22" s="1"/>
  <c r="E5" i="22"/>
  <c r="G5" i="22" s="1"/>
  <c r="C4" i="22"/>
  <c r="C29" i="23" l="1"/>
  <c r="E29" i="23" s="1"/>
  <c r="G29" i="23" s="1"/>
  <c r="C29" i="24" s="1"/>
  <c r="C77" i="23"/>
  <c r="E77" i="23" s="1"/>
  <c r="G77" i="23" s="1"/>
  <c r="C77" i="24" s="1"/>
  <c r="C113" i="23"/>
  <c r="E113" i="23" s="1"/>
  <c r="G113" i="23" s="1"/>
  <c r="C113" i="24" s="1"/>
  <c r="C161" i="23"/>
  <c r="E161" i="23" s="1"/>
  <c r="G161" i="23" s="1"/>
  <c r="C161" i="24" s="1"/>
  <c r="E197" i="23"/>
  <c r="C197" i="23"/>
  <c r="C30" i="23"/>
  <c r="E30" i="23" s="1"/>
  <c r="G30" i="23" s="1"/>
  <c r="C30" i="24" s="1"/>
  <c r="C66" i="23"/>
  <c r="E66" i="23" s="1"/>
  <c r="G66" i="23" s="1"/>
  <c r="C66" i="24" s="1"/>
  <c r="C102" i="23"/>
  <c r="E102" i="23" s="1"/>
  <c r="G102" i="23" s="1"/>
  <c r="C102" i="24" s="1"/>
  <c r="C126" i="23"/>
  <c r="E126" i="23" s="1"/>
  <c r="G126" i="23" s="1"/>
  <c r="C126" i="24" s="1"/>
  <c r="C150" i="23"/>
  <c r="E150" i="23" s="1"/>
  <c r="G150" i="23" s="1"/>
  <c r="C150" i="24" s="1"/>
  <c r="E198" i="23"/>
  <c r="C198" i="23"/>
  <c r="C31" i="23"/>
  <c r="E31" i="23" s="1"/>
  <c r="G31" i="23" s="1"/>
  <c r="C31" i="24" s="1"/>
  <c r="C67" i="23"/>
  <c r="E67" i="23" s="1"/>
  <c r="G67" i="23" s="1"/>
  <c r="C67" i="24" s="1"/>
  <c r="C91" i="23"/>
  <c r="E91" i="23" s="1"/>
  <c r="G91" i="23" s="1"/>
  <c r="C91" i="24" s="1"/>
  <c r="C127" i="23"/>
  <c r="E127" i="23" s="1"/>
  <c r="G127" i="23" s="1"/>
  <c r="C127" i="24" s="1"/>
  <c r="C151" i="23"/>
  <c r="E151" i="23" s="1"/>
  <c r="G151" i="23" s="1"/>
  <c r="C151" i="24" s="1"/>
  <c r="E187" i="23"/>
  <c r="C187" i="23"/>
  <c r="C20" i="23"/>
  <c r="E20" i="23" s="1"/>
  <c r="G20" i="23" s="1"/>
  <c r="C20" i="24" s="1"/>
  <c r="C44" i="23"/>
  <c r="E44" i="23" s="1"/>
  <c r="G44" i="23" s="1"/>
  <c r="C44" i="24" s="1"/>
  <c r="C80" i="23"/>
  <c r="E80" i="23" s="1"/>
  <c r="G80" i="23" s="1"/>
  <c r="C80" i="24" s="1"/>
  <c r="C104" i="23"/>
  <c r="E104" i="23" s="1"/>
  <c r="G104" i="23" s="1"/>
  <c r="C104" i="24" s="1"/>
  <c r="C128" i="23"/>
  <c r="E128" i="23" s="1"/>
  <c r="G128" i="23" s="1"/>
  <c r="C128" i="24" s="1"/>
  <c r="E152" i="23"/>
  <c r="C152" i="23"/>
  <c r="C188" i="23"/>
  <c r="E188" i="23" s="1"/>
  <c r="G188" i="23" s="1"/>
  <c r="C188" i="24" s="1"/>
  <c r="C21" i="23"/>
  <c r="E21" i="23" s="1"/>
  <c r="G21" i="23" s="1"/>
  <c r="C21" i="24" s="1"/>
  <c r="C57" i="23"/>
  <c r="E57" i="23" s="1"/>
  <c r="G57" i="23" s="1"/>
  <c r="C57" i="24" s="1"/>
  <c r="C93" i="23"/>
  <c r="E93" i="23" s="1"/>
  <c r="G93" i="23" s="1"/>
  <c r="C93" i="24" s="1"/>
  <c r="C129" i="23"/>
  <c r="E129" i="23" s="1"/>
  <c r="G129" i="23" s="1"/>
  <c r="C129" i="24" s="1"/>
  <c r="E153" i="23"/>
  <c r="C153" i="23"/>
  <c r="C201" i="23"/>
  <c r="E201" i="23" s="1"/>
  <c r="G201" i="23" s="1"/>
  <c r="C201" i="24" s="1"/>
  <c r="C12" i="23"/>
  <c r="E12" i="23" s="1"/>
  <c r="G12" i="23" s="1"/>
  <c r="C12" i="24" s="1"/>
  <c r="C36" i="23"/>
  <c r="E36" i="23" s="1"/>
  <c r="G36" i="23" s="1"/>
  <c r="C36" i="24" s="1"/>
  <c r="C60" i="23"/>
  <c r="E60" i="23" s="1"/>
  <c r="G60" i="23" s="1"/>
  <c r="C60" i="24" s="1"/>
  <c r="C84" i="23"/>
  <c r="E84" i="23" s="1"/>
  <c r="G84" i="23" s="1"/>
  <c r="C84" i="24" s="1"/>
  <c r="E108" i="23"/>
  <c r="C108" i="23"/>
  <c r="C132" i="23"/>
  <c r="E132" i="23" s="1"/>
  <c r="G132" i="23" s="1"/>
  <c r="C132" i="24" s="1"/>
  <c r="C156" i="23"/>
  <c r="E156" i="23" s="1"/>
  <c r="G156" i="23" s="1"/>
  <c r="C156" i="24" s="1"/>
  <c r="C192" i="23"/>
  <c r="E192" i="23" s="1"/>
  <c r="G192" i="23" s="1"/>
  <c r="C192" i="24" s="1"/>
  <c r="C13" i="23"/>
  <c r="E13" i="23" s="1"/>
  <c r="G13" i="23" s="1"/>
  <c r="C13" i="24" s="1"/>
  <c r="C25" i="23"/>
  <c r="E25" i="23" s="1"/>
  <c r="G25" i="23" s="1"/>
  <c r="C25" i="24" s="1"/>
  <c r="E49" i="23"/>
  <c r="C49" i="23"/>
  <c r="C61" i="23"/>
  <c r="E61" i="23" s="1"/>
  <c r="G61" i="23" s="1"/>
  <c r="C61" i="24" s="1"/>
  <c r="C73" i="23"/>
  <c r="E73" i="23" s="1"/>
  <c r="G73" i="23" s="1"/>
  <c r="C73" i="24" s="1"/>
  <c r="C85" i="23"/>
  <c r="E85" i="23" s="1"/>
  <c r="G85" i="23" s="1"/>
  <c r="C85" i="24" s="1"/>
  <c r="C97" i="23"/>
  <c r="E97" i="23" s="1"/>
  <c r="G97" i="23" s="1"/>
  <c r="C97" i="24" s="1"/>
  <c r="C109" i="23"/>
  <c r="E109" i="23" s="1"/>
  <c r="G109" i="23" s="1"/>
  <c r="C109" i="24" s="1"/>
  <c r="E121" i="23"/>
  <c r="C121" i="23"/>
  <c r="C133" i="23"/>
  <c r="E133" i="23" s="1"/>
  <c r="G133" i="23" s="1"/>
  <c r="C133" i="24" s="1"/>
  <c r="C145" i="23"/>
  <c r="E145" i="23" s="1"/>
  <c r="G145" i="23" s="1"/>
  <c r="C145" i="24" s="1"/>
  <c r="C157" i="23"/>
  <c r="E157" i="23" s="1"/>
  <c r="G157" i="23" s="1"/>
  <c r="C157" i="24" s="1"/>
  <c r="C169" i="23"/>
  <c r="E169" i="23" s="1"/>
  <c r="G169" i="23" s="1"/>
  <c r="C169" i="24" s="1"/>
  <c r="C181" i="23"/>
  <c r="E181" i="23" s="1"/>
  <c r="G181" i="23" s="1"/>
  <c r="C181" i="24" s="1"/>
  <c r="E193" i="23"/>
  <c r="C193" i="23"/>
  <c r="C41" i="23"/>
  <c r="E41" i="23" s="1"/>
  <c r="G41" i="23" s="1"/>
  <c r="C41" i="24" s="1"/>
  <c r="C89" i="23"/>
  <c r="E89" i="23" s="1"/>
  <c r="G89" i="23" s="1"/>
  <c r="C89" i="24" s="1"/>
  <c r="C137" i="23"/>
  <c r="E137" i="23" s="1"/>
  <c r="G137" i="23" s="1"/>
  <c r="C137" i="24" s="1"/>
  <c r="C176" i="23"/>
  <c r="E176" i="23" s="1"/>
  <c r="G176" i="23" s="1"/>
  <c r="C176" i="24" s="1"/>
  <c r="C9" i="23"/>
  <c r="E9" i="23" s="1"/>
  <c r="G9" i="23" s="1"/>
  <c r="C9" i="24" s="1"/>
  <c r="E45" i="23"/>
  <c r="C45" i="23"/>
  <c r="C81" i="23"/>
  <c r="E81" i="23" s="1"/>
  <c r="G81" i="23" s="1"/>
  <c r="C81" i="24" s="1"/>
  <c r="C105" i="23"/>
  <c r="E105" i="23" s="1"/>
  <c r="G105" i="23" s="1"/>
  <c r="C105" i="24" s="1"/>
  <c r="C141" i="23"/>
  <c r="E141" i="23" s="1"/>
  <c r="G141" i="23" s="1"/>
  <c r="C141" i="24" s="1"/>
  <c r="C165" i="23"/>
  <c r="E165" i="23" s="1"/>
  <c r="G165" i="23" s="1"/>
  <c r="C165" i="24" s="1"/>
  <c r="C189" i="23"/>
  <c r="E189" i="23" s="1"/>
  <c r="G189" i="23" s="1"/>
  <c r="C189" i="24" s="1"/>
  <c r="E24" i="23"/>
  <c r="C24" i="23"/>
  <c r="C48" i="23"/>
  <c r="E48" i="23" s="1"/>
  <c r="G48" i="23" s="1"/>
  <c r="C48" i="24" s="1"/>
  <c r="C72" i="23"/>
  <c r="E72" i="23" s="1"/>
  <c r="G72" i="23" s="1"/>
  <c r="C72" i="24" s="1"/>
  <c r="C96" i="23"/>
  <c r="E96" i="23" s="1"/>
  <c r="G96" i="23" s="1"/>
  <c r="C96" i="24" s="1"/>
  <c r="C120" i="23"/>
  <c r="E120" i="23" s="1"/>
  <c r="G120" i="23" s="1"/>
  <c r="C120" i="24" s="1"/>
  <c r="C144" i="23"/>
  <c r="E144" i="23" s="1"/>
  <c r="G144" i="23" s="1"/>
  <c r="C144" i="24" s="1"/>
  <c r="E168" i="23"/>
  <c r="C168" i="23"/>
  <c r="C180" i="23"/>
  <c r="E180" i="23" s="1"/>
  <c r="G180" i="23" s="1"/>
  <c r="C180" i="24" s="1"/>
  <c r="C14" i="23"/>
  <c r="E14" i="23" s="1"/>
  <c r="G14" i="23" s="1"/>
  <c r="C14" i="24" s="1"/>
  <c r="C26" i="23"/>
  <c r="E26" i="23" s="1"/>
  <c r="G26" i="23" s="1"/>
  <c r="C26" i="24" s="1"/>
  <c r="C38" i="23"/>
  <c r="E38" i="23" s="1"/>
  <c r="G38" i="23" s="1"/>
  <c r="C38" i="24" s="1"/>
  <c r="C50" i="23"/>
  <c r="E50" i="23" s="1"/>
  <c r="G50" i="23" s="1"/>
  <c r="C50" i="24" s="1"/>
  <c r="E62" i="23"/>
  <c r="C62" i="23"/>
  <c r="C74" i="23"/>
  <c r="E74" i="23" s="1"/>
  <c r="G74" i="23" s="1"/>
  <c r="C74" i="24" s="1"/>
  <c r="C86" i="23"/>
  <c r="E86" i="23" s="1"/>
  <c r="G86" i="23" s="1"/>
  <c r="C86" i="24" s="1"/>
  <c r="C98" i="23"/>
  <c r="E98" i="23" s="1"/>
  <c r="G98" i="23" s="1"/>
  <c r="C98" i="24" s="1"/>
  <c r="C110" i="23"/>
  <c r="E110" i="23" s="1"/>
  <c r="G110" i="23" s="1"/>
  <c r="C110" i="24" s="1"/>
  <c r="C122" i="23"/>
  <c r="E122" i="23" s="1"/>
  <c r="G122" i="23" s="1"/>
  <c r="C122" i="24" s="1"/>
  <c r="E134" i="23"/>
  <c r="C134" i="23"/>
  <c r="C146" i="23"/>
  <c r="E146" i="23" s="1"/>
  <c r="G146" i="23" s="1"/>
  <c r="C146" i="24" s="1"/>
  <c r="C158" i="23"/>
  <c r="E158" i="23" s="1"/>
  <c r="G158" i="23" s="1"/>
  <c r="C158" i="24" s="1"/>
  <c r="C170" i="23"/>
  <c r="E170" i="23" s="1"/>
  <c r="G170" i="23" s="1"/>
  <c r="C170" i="24" s="1"/>
  <c r="C182" i="23"/>
  <c r="E182" i="23" s="1"/>
  <c r="G182" i="23" s="1"/>
  <c r="C182" i="24" s="1"/>
  <c r="C194" i="23"/>
  <c r="E194" i="23" s="1"/>
  <c r="G194" i="23" s="1"/>
  <c r="C194" i="24" s="1"/>
  <c r="E125" i="23"/>
  <c r="C125" i="23"/>
  <c r="C173" i="23"/>
  <c r="E173" i="23" s="1"/>
  <c r="G173" i="23" s="1"/>
  <c r="C173" i="24" s="1"/>
  <c r="C6" i="23"/>
  <c r="E6" i="23" s="1"/>
  <c r="G6" i="23" s="1"/>
  <c r="C6" i="24" s="1"/>
  <c r="C42" i="23"/>
  <c r="E42" i="23" s="1"/>
  <c r="G42" i="23" s="1"/>
  <c r="C42" i="24" s="1"/>
  <c r="C78" i="23"/>
  <c r="E78" i="23" s="1"/>
  <c r="G78" i="23" s="1"/>
  <c r="C78" i="24" s="1"/>
  <c r="C114" i="23"/>
  <c r="E114" i="23" s="1"/>
  <c r="G114" i="23" s="1"/>
  <c r="C114" i="24" s="1"/>
  <c r="E174" i="23"/>
  <c r="C174" i="23"/>
  <c r="C7" i="23"/>
  <c r="E7" i="23" s="1"/>
  <c r="G7" i="23" s="1"/>
  <c r="C7" i="24" s="1"/>
  <c r="C55" i="23"/>
  <c r="E55" i="23" s="1"/>
  <c r="G55" i="23" s="1"/>
  <c r="C55" i="24" s="1"/>
  <c r="C103" i="23"/>
  <c r="E103" i="23" s="1"/>
  <c r="G103" i="23" s="1"/>
  <c r="C103" i="24" s="1"/>
  <c r="C175" i="23"/>
  <c r="E175" i="23" s="1"/>
  <c r="G175" i="23" s="1"/>
  <c r="C175" i="24" s="1"/>
  <c r="C8" i="23"/>
  <c r="E8" i="23" s="1"/>
  <c r="G8" i="23" s="1"/>
  <c r="C8" i="24" s="1"/>
  <c r="E56" i="23"/>
  <c r="C56" i="23"/>
  <c r="C27" i="23"/>
  <c r="E27" i="23" s="1"/>
  <c r="G27" i="23" s="1"/>
  <c r="C27" i="24" s="1"/>
  <c r="C39" i="23"/>
  <c r="E39" i="23" s="1"/>
  <c r="G39" i="23" s="1"/>
  <c r="C39" i="24" s="1"/>
  <c r="C51" i="23"/>
  <c r="E51" i="23" s="1"/>
  <c r="G51" i="23" s="1"/>
  <c r="C51" i="24" s="1"/>
  <c r="C63" i="23"/>
  <c r="E63" i="23" s="1"/>
  <c r="G63" i="23" s="1"/>
  <c r="C63" i="24" s="1"/>
  <c r="C75" i="23"/>
  <c r="E75" i="23" s="1"/>
  <c r="G75" i="23" s="1"/>
  <c r="C75" i="24" s="1"/>
  <c r="E99" i="23"/>
  <c r="C99" i="23"/>
  <c r="C111" i="23"/>
  <c r="E111" i="23" s="1"/>
  <c r="G111" i="23" s="1"/>
  <c r="C111" i="24" s="1"/>
  <c r="C123" i="23"/>
  <c r="E123" i="23" s="1"/>
  <c r="G123" i="23" s="1"/>
  <c r="C123" i="24" s="1"/>
  <c r="C135" i="23"/>
  <c r="E135" i="23" s="1"/>
  <c r="G135" i="23" s="1"/>
  <c r="C135" i="24" s="1"/>
  <c r="C147" i="23"/>
  <c r="E147" i="23" s="1"/>
  <c r="G147" i="23" s="1"/>
  <c r="C147" i="24" s="1"/>
  <c r="C159" i="23"/>
  <c r="E159" i="23" s="1"/>
  <c r="G159" i="23" s="1"/>
  <c r="C159" i="24" s="1"/>
  <c r="E171" i="23"/>
  <c r="C171" i="23"/>
  <c r="C183" i="23"/>
  <c r="E183" i="23" s="1"/>
  <c r="G183" i="23" s="1"/>
  <c r="C183" i="24" s="1"/>
  <c r="C195" i="23"/>
  <c r="E195" i="23" s="1"/>
  <c r="G195" i="23" s="1"/>
  <c r="C195" i="24" s="1"/>
  <c r="C16" i="23"/>
  <c r="E16" i="23" s="1"/>
  <c r="G16" i="23" s="1"/>
  <c r="C16" i="24" s="1"/>
  <c r="C28" i="23"/>
  <c r="E28" i="23" s="1"/>
  <c r="G28" i="23" s="1"/>
  <c r="C28" i="24" s="1"/>
  <c r="C40" i="23"/>
  <c r="E40" i="23" s="1"/>
  <c r="G40" i="23" s="1"/>
  <c r="C40" i="24" s="1"/>
  <c r="E52" i="23"/>
  <c r="C52" i="23"/>
  <c r="C64" i="23"/>
  <c r="E64" i="23" s="1"/>
  <c r="G64" i="23" s="1"/>
  <c r="C64" i="24" s="1"/>
  <c r="C76" i="23"/>
  <c r="E76" i="23" s="1"/>
  <c r="G76" i="23" s="1"/>
  <c r="C76" i="24" s="1"/>
  <c r="C88" i="23"/>
  <c r="E88" i="23" s="1"/>
  <c r="G88" i="23" s="1"/>
  <c r="C88" i="24" s="1"/>
  <c r="C100" i="23"/>
  <c r="E100" i="23" s="1"/>
  <c r="G100" i="23" s="1"/>
  <c r="C100" i="24" s="1"/>
  <c r="C112" i="23"/>
  <c r="E112" i="23" s="1"/>
  <c r="G112" i="23" s="1"/>
  <c r="C112" i="24" s="1"/>
  <c r="E124" i="23"/>
  <c r="C124" i="23"/>
  <c r="C136" i="23"/>
  <c r="E136" i="23" s="1"/>
  <c r="G136" i="23" s="1"/>
  <c r="C136" i="24" s="1"/>
  <c r="C148" i="23"/>
  <c r="E148" i="23" s="1"/>
  <c r="G148" i="23" s="1"/>
  <c r="C148" i="24" s="1"/>
  <c r="C160" i="23"/>
  <c r="E160" i="23" s="1"/>
  <c r="G160" i="23" s="1"/>
  <c r="C160" i="24" s="1"/>
  <c r="C172" i="23"/>
  <c r="E172" i="23" s="1"/>
  <c r="G172" i="23" s="1"/>
  <c r="C172" i="24" s="1"/>
  <c r="C184" i="23"/>
  <c r="E184" i="23" s="1"/>
  <c r="G184" i="23" s="1"/>
  <c r="C184" i="24" s="1"/>
  <c r="E196" i="23"/>
  <c r="C196" i="23"/>
  <c r="C53" i="23"/>
  <c r="E53" i="23" s="1"/>
  <c r="G53" i="23" s="1"/>
  <c r="C53" i="24" s="1"/>
  <c r="C101" i="23"/>
  <c r="E101" i="23" s="1"/>
  <c r="G101" i="23" s="1"/>
  <c r="C101" i="24" s="1"/>
  <c r="C185" i="23"/>
  <c r="E185" i="23" s="1"/>
  <c r="G185" i="23" s="1"/>
  <c r="C185" i="24" s="1"/>
  <c r="C18" i="23"/>
  <c r="E18" i="23" s="1"/>
  <c r="G18" i="23" s="1"/>
  <c r="C18" i="24" s="1"/>
  <c r="C54" i="23"/>
  <c r="E54" i="23" s="1"/>
  <c r="G54" i="23" s="1"/>
  <c r="C54" i="24" s="1"/>
  <c r="E90" i="23"/>
  <c r="C90" i="23"/>
  <c r="C138" i="23"/>
  <c r="E138" i="23" s="1"/>
  <c r="G138" i="23" s="1"/>
  <c r="C138" i="24" s="1"/>
  <c r="C162" i="23"/>
  <c r="E162" i="23" s="1"/>
  <c r="G162" i="23" s="1"/>
  <c r="C162" i="24" s="1"/>
  <c r="C186" i="23"/>
  <c r="E186" i="23" s="1"/>
  <c r="G186" i="23" s="1"/>
  <c r="C186" i="24" s="1"/>
  <c r="C43" i="23"/>
  <c r="E43" i="23" s="1"/>
  <c r="G43" i="23" s="1"/>
  <c r="C43" i="24" s="1"/>
  <c r="C79" i="23"/>
  <c r="E79" i="23" s="1"/>
  <c r="G79" i="23" s="1"/>
  <c r="C79" i="24" s="1"/>
  <c r="E115" i="23"/>
  <c r="C115" i="23"/>
  <c r="C139" i="23"/>
  <c r="E139" i="23" s="1"/>
  <c r="G139" i="23" s="1"/>
  <c r="C139" i="24" s="1"/>
  <c r="C163" i="23"/>
  <c r="E163" i="23" s="1"/>
  <c r="G163" i="23" s="1"/>
  <c r="C163" i="24" s="1"/>
  <c r="C199" i="23"/>
  <c r="E199" i="23" s="1"/>
  <c r="G199" i="23" s="1"/>
  <c r="C199" i="24" s="1"/>
  <c r="C32" i="23"/>
  <c r="E32" i="23" s="1"/>
  <c r="G32" i="23" s="1"/>
  <c r="C32" i="24" s="1"/>
  <c r="C68" i="23"/>
  <c r="E68" i="23" s="1"/>
  <c r="G68" i="23" s="1"/>
  <c r="C68" i="24" s="1"/>
  <c r="E92" i="23"/>
  <c r="C92" i="23"/>
  <c r="C116" i="23"/>
  <c r="E116" i="23" s="1"/>
  <c r="G116" i="23" s="1"/>
  <c r="C116" i="24" s="1"/>
  <c r="C140" i="23"/>
  <c r="E140" i="23" s="1"/>
  <c r="G140" i="23" s="1"/>
  <c r="C140" i="24" s="1"/>
  <c r="C164" i="23"/>
  <c r="E164" i="23" s="1"/>
  <c r="G164" i="23" s="1"/>
  <c r="C164" i="24" s="1"/>
  <c r="C200" i="23"/>
  <c r="E200" i="23" s="1"/>
  <c r="G200" i="23" s="1"/>
  <c r="C200" i="24" s="1"/>
  <c r="C33" i="23"/>
  <c r="E33" i="23" s="1"/>
  <c r="G33" i="23" s="1"/>
  <c r="C33" i="24" s="1"/>
  <c r="E69" i="23"/>
  <c r="C69" i="23"/>
  <c r="C117" i="23"/>
  <c r="E117" i="23" s="1"/>
  <c r="G117" i="23" s="1"/>
  <c r="C117" i="24" s="1"/>
  <c r="C177" i="23"/>
  <c r="E177" i="23" s="1"/>
  <c r="G177" i="23" s="1"/>
  <c r="C177" i="24" s="1"/>
  <c r="C10" i="23"/>
  <c r="E10" i="23" s="1"/>
  <c r="G10" i="23" s="1"/>
  <c r="C10" i="24" s="1"/>
  <c r="C34" i="23"/>
  <c r="E34" i="23" s="1"/>
  <c r="G34" i="23" s="1"/>
  <c r="C34" i="24" s="1"/>
  <c r="C46" i="23"/>
  <c r="E46" i="23" s="1"/>
  <c r="G46" i="23" s="1"/>
  <c r="C46" i="24" s="1"/>
  <c r="E58" i="23"/>
  <c r="C58" i="23"/>
  <c r="C70" i="23"/>
  <c r="E70" i="23" s="1"/>
  <c r="G70" i="23" s="1"/>
  <c r="C70" i="24" s="1"/>
  <c r="C82" i="23"/>
  <c r="E82" i="23" s="1"/>
  <c r="G82" i="23" s="1"/>
  <c r="C82" i="24" s="1"/>
  <c r="C94" i="23"/>
  <c r="E94" i="23" s="1"/>
  <c r="G94" i="23" s="1"/>
  <c r="C94" i="24" s="1"/>
  <c r="C106" i="23"/>
  <c r="E106" i="23" s="1"/>
  <c r="G106" i="23" s="1"/>
  <c r="C106" i="24" s="1"/>
  <c r="C118" i="23"/>
  <c r="E118" i="23" s="1"/>
  <c r="G118" i="23" s="1"/>
  <c r="C118" i="24" s="1"/>
  <c r="E130" i="23"/>
  <c r="C130" i="23"/>
  <c r="C142" i="23"/>
  <c r="E142" i="23" s="1"/>
  <c r="G142" i="23" s="1"/>
  <c r="C142" i="24" s="1"/>
  <c r="C154" i="23"/>
  <c r="E154" i="23" s="1"/>
  <c r="G154" i="23" s="1"/>
  <c r="C154" i="24" s="1"/>
  <c r="C166" i="23"/>
  <c r="E166" i="23" s="1"/>
  <c r="G166" i="23" s="1"/>
  <c r="C166" i="24" s="1"/>
  <c r="C178" i="23"/>
  <c r="E178" i="23" s="1"/>
  <c r="G178" i="23" s="1"/>
  <c r="C178" i="24" s="1"/>
  <c r="C190" i="23"/>
  <c r="E190" i="23" s="1"/>
  <c r="G190" i="23" s="1"/>
  <c r="C190" i="24" s="1"/>
  <c r="E202" i="23"/>
  <c r="C202" i="23"/>
  <c r="C11" i="23"/>
  <c r="E11" i="23" s="1"/>
  <c r="G11" i="23" s="1"/>
  <c r="C11" i="24" s="1"/>
  <c r="C23" i="23"/>
  <c r="E23" i="23" s="1"/>
  <c r="G23" i="23" s="1"/>
  <c r="C23" i="24" s="1"/>
  <c r="C35" i="23"/>
  <c r="E35" i="23" s="1"/>
  <c r="G35" i="23" s="1"/>
  <c r="C35" i="24" s="1"/>
  <c r="C47" i="23"/>
  <c r="E47" i="23" s="1"/>
  <c r="G47" i="23" s="1"/>
  <c r="C47" i="24" s="1"/>
  <c r="C59" i="23"/>
  <c r="E59" i="23" s="1"/>
  <c r="G59" i="23" s="1"/>
  <c r="C59" i="24" s="1"/>
  <c r="E71" i="23"/>
  <c r="C71" i="23"/>
  <c r="C83" i="23"/>
  <c r="E83" i="23" s="1"/>
  <c r="G83" i="23" s="1"/>
  <c r="C83" i="24" s="1"/>
  <c r="C95" i="23"/>
  <c r="E95" i="23" s="1"/>
  <c r="G95" i="23" s="1"/>
  <c r="C95" i="24" s="1"/>
  <c r="C107" i="23"/>
  <c r="E107" i="23" s="1"/>
  <c r="G107" i="23" s="1"/>
  <c r="C107" i="24" s="1"/>
  <c r="C119" i="23"/>
  <c r="E119" i="23" s="1"/>
  <c r="G119" i="23" s="1"/>
  <c r="C119" i="24" s="1"/>
  <c r="C131" i="23"/>
  <c r="E131" i="23" s="1"/>
  <c r="G131" i="23" s="1"/>
  <c r="C131" i="24" s="1"/>
  <c r="E143" i="23"/>
  <c r="C143" i="23"/>
  <c r="C155" i="23"/>
  <c r="E155" i="23" s="1"/>
  <c r="G155" i="23" s="1"/>
  <c r="C155" i="24" s="1"/>
  <c r="C167" i="23"/>
  <c r="E167" i="23" s="1"/>
  <c r="G167" i="23" s="1"/>
  <c r="C167" i="24" s="1"/>
  <c r="C179" i="23"/>
  <c r="E179" i="23" s="1"/>
  <c r="G179" i="23" s="1"/>
  <c r="C179" i="24" s="1"/>
  <c r="C191" i="23"/>
  <c r="E191" i="23" s="1"/>
  <c r="G191" i="23" s="1"/>
  <c r="C191" i="24" s="1"/>
  <c r="C203" i="23"/>
  <c r="E203" i="23" s="1"/>
  <c r="G203" i="23" s="1"/>
  <c r="C203" i="24" s="1"/>
  <c r="C149" i="23"/>
  <c r="E149" i="23" s="1"/>
  <c r="G149" i="23" s="1"/>
  <c r="C149" i="24" s="1"/>
  <c r="C87" i="23"/>
  <c r="E87" i="23" s="1"/>
  <c r="G87" i="23" s="1"/>
  <c r="C87" i="24" s="1"/>
  <c r="C65" i="23"/>
  <c r="E65" i="23" s="1"/>
  <c r="G65" i="23" s="1"/>
  <c r="C65" i="24" s="1"/>
  <c r="E37" i="23"/>
  <c r="C37" i="23"/>
  <c r="C22" i="23"/>
  <c r="E22" i="23" s="1"/>
  <c r="G22" i="23" s="1"/>
  <c r="C22" i="24" s="1"/>
  <c r="C19" i="23"/>
  <c r="E19" i="23" s="1"/>
  <c r="G19" i="23" s="1"/>
  <c r="C19" i="24" s="1"/>
  <c r="C17" i="23"/>
  <c r="E17" i="23" s="1"/>
  <c r="G17" i="23" s="1"/>
  <c r="C17" i="24" s="1"/>
  <c r="C15" i="23"/>
  <c r="E15" i="23" s="1"/>
  <c r="G15" i="23" s="1"/>
  <c r="C15" i="24" s="1"/>
  <c r="C5" i="23"/>
  <c r="E5" i="23" s="1"/>
  <c r="G5" i="23" s="1"/>
  <c r="C5" i="24" s="1"/>
  <c r="T35" i="9"/>
  <c r="T34" i="9"/>
  <c r="Q34" i="9"/>
  <c r="Q33" i="9"/>
  <c r="P35" i="9"/>
  <c r="P34" i="9"/>
  <c r="P32" i="9"/>
  <c r="P33" i="9"/>
  <c r="T14" i="9"/>
  <c r="Q14" i="9"/>
  <c r="P14" i="9"/>
  <c r="O14" i="9"/>
  <c r="T13" i="9"/>
  <c r="Q13" i="9"/>
  <c r="P13" i="9"/>
  <c r="O13" i="9"/>
  <c r="T12" i="9"/>
  <c r="Q12" i="9"/>
  <c r="P12" i="9"/>
  <c r="O12" i="9"/>
  <c r="Q11" i="9"/>
  <c r="P11" i="9"/>
  <c r="O11" i="9"/>
  <c r="T11" i="9"/>
  <c r="T10" i="9"/>
  <c r="Q10" i="9"/>
  <c r="P10" i="9"/>
  <c r="O10" i="9"/>
  <c r="T9" i="9"/>
  <c r="Q9" i="9"/>
  <c r="P9" i="9"/>
  <c r="O9" i="9"/>
  <c r="T8" i="9"/>
  <c r="Q8" i="9"/>
  <c r="P8" i="9"/>
  <c r="O8" i="9"/>
  <c r="T7" i="9"/>
  <c r="Q7" i="9"/>
  <c r="P7" i="9"/>
  <c r="O7" i="9"/>
  <c r="T6" i="9"/>
  <c r="Q6" i="9"/>
  <c r="P6" i="9"/>
  <c r="O6" i="9"/>
  <c r="T5" i="9"/>
  <c r="Q5" i="9"/>
  <c r="P5" i="9"/>
  <c r="O5" i="9"/>
  <c r="K219" i="33"/>
  <c r="K211" i="33"/>
  <c r="N35" i="9" s="1"/>
  <c r="K208" i="33"/>
  <c r="K218" i="33" s="1"/>
  <c r="J203" i="33"/>
  <c r="M203" i="33" s="1"/>
  <c r="J202" i="33"/>
  <c r="M202" i="33" s="1"/>
  <c r="J201" i="33"/>
  <c r="M201" i="33" s="1"/>
  <c r="J200" i="33"/>
  <c r="M200" i="33" s="1"/>
  <c r="J199" i="33"/>
  <c r="M199" i="33" s="1"/>
  <c r="J198" i="33"/>
  <c r="M198" i="33" s="1"/>
  <c r="M197" i="33"/>
  <c r="J197" i="33"/>
  <c r="J196" i="33"/>
  <c r="M196" i="33" s="1"/>
  <c r="J195" i="33"/>
  <c r="M195" i="33" s="1"/>
  <c r="J194" i="33"/>
  <c r="M194" i="33" s="1"/>
  <c r="J193" i="33"/>
  <c r="M193" i="33" s="1"/>
  <c r="J192" i="33"/>
  <c r="M192" i="33" s="1"/>
  <c r="J191" i="33"/>
  <c r="M191" i="33" s="1"/>
  <c r="M190" i="33"/>
  <c r="J190" i="33"/>
  <c r="J189" i="33"/>
  <c r="M189" i="33" s="1"/>
  <c r="J188" i="33"/>
  <c r="M188" i="33" s="1"/>
  <c r="J187" i="33"/>
  <c r="M187" i="33" s="1"/>
  <c r="J186" i="33"/>
  <c r="M186" i="33" s="1"/>
  <c r="J185" i="33"/>
  <c r="M185" i="33" s="1"/>
  <c r="J184" i="33"/>
  <c r="M184" i="33" s="1"/>
  <c r="J183" i="33"/>
  <c r="M183" i="33" s="1"/>
  <c r="M182" i="33"/>
  <c r="J182" i="33"/>
  <c r="M181" i="33"/>
  <c r="J181" i="33"/>
  <c r="J180" i="33"/>
  <c r="M180" i="33" s="1"/>
  <c r="J179" i="33"/>
  <c r="M179" i="33" s="1"/>
  <c r="J178" i="33"/>
  <c r="M178" i="33" s="1"/>
  <c r="J177" i="33"/>
  <c r="M177" i="33" s="1"/>
  <c r="J176" i="33"/>
  <c r="M176" i="33" s="1"/>
  <c r="J175" i="33"/>
  <c r="M175" i="33" s="1"/>
  <c r="J174" i="33"/>
  <c r="M174" i="33" s="1"/>
  <c r="J173" i="33"/>
  <c r="M173" i="33" s="1"/>
  <c r="J172" i="33"/>
  <c r="M172" i="33" s="1"/>
  <c r="J171" i="33"/>
  <c r="M171" i="33" s="1"/>
  <c r="J170" i="33"/>
  <c r="M170" i="33" s="1"/>
  <c r="J169" i="33"/>
  <c r="M169" i="33" s="1"/>
  <c r="J168" i="33"/>
  <c r="M168" i="33" s="1"/>
  <c r="J167" i="33"/>
  <c r="M167" i="33" s="1"/>
  <c r="J166" i="33"/>
  <c r="M166" i="33" s="1"/>
  <c r="M165" i="33"/>
  <c r="J165" i="33"/>
  <c r="J164" i="33"/>
  <c r="M164" i="33" s="1"/>
  <c r="M163" i="33"/>
  <c r="J163" i="33"/>
  <c r="J162" i="33"/>
  <c r="M162" i="33" s="1"/>
  <c r="J161" i="33"/>
  <c r="M161" i="33" s="1"/>
  <c r="J160" i="33"/>
  <c r="M160" i="33" s="1"/>
  <c r="J159" i="33"/>
  <c r="M159" i="33" s="1"/>
  <c r="J158" i="33"/>
  <c r="M158" i="33" s="1"/>
  <c r="J157" i="33"/>
  <c r="M157" i="33" s="1"/>
  <c r="J156" i="33"/>
  <c r="M156" i="33" s="1"/>
  <c r="M155" i="33"/>
  <c r="J155" i="33"/>
  <c r="M154" i="33"/>
  <c r="J154" i="33"/>
  <c r="J153" i="33"/>
  <c r="M153" i="33" s="1"/>
  <c r="J152" i="33"/>
  <c r="M152" i="33" s="1"/>
  <c r="J151" i="33"/>
  <c r="M151" i="33" s="1"/>
  <c r="J150" i="33"/>
  <c r="M150" i="33" s="1"/>
  <c r="J149" i="33"/>
  <c r="M149" i="33" s="1"/>
  <c r="J148" i="33"/>
  <c r="M148" i="33" s="1"/>
  <c r="J147" i="33"/>
  <c r="M147" i="33" s="1"/>
  <c r="M146" i="33"/>
  <c r="J146" i="33"/>
  <c r="M145" i="33"/>
  <c r="J145" i="33"/>
  <c r="J144" i="33"/>
  <c r="M144" i="33" s="1"/>
  <c r="J143" i="33"/>
  <c r="M143" i="33" s="1"/>
  <c r="J142" i="33"/>
  <c r="M142" i="33" s="1"/>
  <c r="J141" i="33"/>
  <c r="M141" i="33" s="1"/>
  <c r="J140" i="33"/>
  <c r="M140" i="33" s="1"/>
  <c r="J139" i="33"/>
  <c r="M139" i="33" s="1"/>
  <c r="J138" i="33"/>
  <c r="M138" i="33" s="1"/>
  <c r="J137" i="33"/>
  <c r="M137" i="33" s="1"/>
  <c r="J136" i="33"/>
  <c r="M136" i="33" s="1"/>
  <c r="J135" i="33"/>
  <c r="M135" i="33" s="1"/>
  <c r="J134" i="33"/>
  <c r="M134" i="33" s="1"/>
  <c r="J133" i="33"/>
  <c r="M133" i="33" s="1"/>
  <c r="J132" i="33"/>
  <c r="M132" i="33" s="1"/>
  <c r="J131" i="33"/>
  <c r="M131" i="33" s="1"/>
  <c r="J130" i="33"/>
  <c r="M130" i="33" s="1"/>
  <c r="M129" i="33"/>
  <c r="J129" i="33"/>
  <c r="J128" i="33"/>
  <c r="M128" i="33" s="1"/>
  <c r="J127" i="33"/>
  <c r="M127" i="33" s="1"/>
  <c r="J126" i="33"/>
  <c r="M126" i="33" s="1"/>
  <c r="J125" i="33"/>
  <c r="M125" i="33" s="1"/>
  <c r="J124" i="33"/>
  <c r="M124" i="33" s="1"/>
  <c r="J123" i="33"/>
  <c r="M123" i="33" s="1"/>
  <c r="M122" i="33"/>
  <c r="J122" i="33"/>
  <c r="J121" i="33"/>
  <c r="M121" i="33" s="1"/>
  <c r="J120" i="33"/>
  <c r="M120" i="33" s="1"/>
  <c r="J119" i="33"/>
  <c r="M119" i="33" s="1"/>
  <c r="J118" i="33"/>
  <c r="M118" i="33" s="1"/>
  <c r="J117" i="33"/>
  <c r="M117" i="33" s="1"/>
  <c r="J116" i="33"/>
  <c r="M116" i="33" s="1"/>
  <c r="J115" i="33"/>
  <c r="M115" i="33" s="1"/>
  <c r="J114" i="33"/>
  <c r="M114" i="33" s="1"/>
  <c r="J113" i="33"/>
  <c r="M113" i="33" s="1"/>
  <c r="J112" i="33"/>
  <c r="M112" i="33" s="1"/>
  <c r="J111" i="33"/>
  <c r="M111" i="33" s="1"/>
  <c r="J110" i="33"/>
  <c r="M110" i="33" s="1"/>
  <c r="J109" i="33"/>
  <c r="M109" i="33" s="1"/>
  <c r="J108" i="33"/>
  <c r="M108" i="33" s="1"/>
  <c r="J107" i="33"/>
  <c r="M107" i="33" s="1"/>
  <c r="J106" i="33"/>
  <c r="M106" i="33" s="1"/>
  <c r="J105" i="33"/>
  <c r="M105" i="33" s="1"/>
  <c r="Z104" i="33"/>
  <c r="J104" i="33"/>
  <c r="M104" i="33" s="1"/>
  <c r="X103" i="33"/>
  <c r="S103" i="33"/>
  <c r="U103" i="33" s="1"/>
  <c r="J103" i="33"/>
  <c r="M103" i="33" s="1"/>
  <c r="X102" i="33"/>
  <c r="S102" i="33"/>
  <c r="U102" i="33" s="1"/>
  <c r="M102" i="33"/>
  <c r="J102" i="33"/>
  <c r="X101" i="33"/>
  <c r="S101" i="33"/>
  <c r="U101" i="33" s="1"/>
  <c r="J101" i="33"/>
  <c r="M101" i="33" s="1"/>
  <c r="X100" i="33"/>
  <c r="S100" i="33"/>
  <c r="U100" i="33" s="1"/>
  <c r="J100" i="33"/>
  <c r="M100" i="33" s="1"/>
  <c r="X99" i="33"/>
  <c r="S99" i="33"/>
  <c r="U99" i="33" s="1"/>
  <c r="J99" i="33"/>
  <c r="M99" i="33" s="1"/>
  <c r="X98" i="33"/>
  <c r="S98" i="33"/>
  <c r="U98" i="33" s="1"/>
  <c r="J98" i="33"/>
  <c r="M98" i="33" s="1"/>
  <c r="X97" i="33"/>
  <c r="S97" i="33"/>
  <c r="U97" i="33" s="1"/>
  <c r="J97" i="33"/>
  <c r="M97" i="33" s="1"/>
  <c r="X96" i="33"/>
  <c r="S96" i="33"/>
  <c r="U96" i="33" s="1"/>
  <c r="M96" i="33"/>
  <c r="J96" i="33"/>
  <c r="X95" i="33"/>
  <c r="S95" i="33"/>
  <c r="U95" i="33" s="1"/>
  <c r="J95" i="33"/>
  <c r="M95" i="33" s="1"/>
  <c r="X94" i="33"/>
  <c r="S94" i="33"/>
  <c r="U94" i="33" s="1"/>
  <c r="M94" i="33"/>
  <c r="J94" i="33"/>
  <c r="X93" i="33"/>
  <c r="S93" i="33"/>
  <c r="U93" i="33" s="1"/>
  <c r="J93" i="33"/>
  <c r="M93" i="33" s="1"/>
  <c r="X92" i="33"/>
  <c r="S92" i="33"/>
  <c r="U92" i="33" s="1"/>
  <c r="J92" i="33"/>
  <c r="M92" i="33" s="1"/>
  <c r="X91" i="33"/>
  <c r="S91" i="33"/>
  <c r="U91" i="33" s="1"/>
  <c r="J91" i="33"/>
  <c r="M91" i="33" s="1"/>
  <c r="X90" i="33"/>
  <c r="S90" i="33"/>
  <c r="U90" i="33" s="1"/>
  <c r="M90" i="33"/>
  <c r="J90" i="33"/>
  <c r="X89" i="33"/>
  <c r="S89" i="33"/>
  <c r="U89" i="33" s="1"/>
  <c r="J89" i="33"/>
  <c r="M89" i="33" s="1"/>
  <c r="X88" i="33"/>
  <c r="S88" i="33"/>
  <c r="U88" i="33" s="1"/>
  <c r="J88" i="33"/>
  <c r="M88" i="33" s="1"/>
  <c r="X87" i="33"/>
  <c r="S87" i="33"/>
  <c r="U87" i="33" s="1"/>
  <c r="J87" i="33"/>
  <c r="M87" i="33" s="1"/>
  <c r="X86" i="33"/>
  <c r="S86" i="33"/>
  <c r="U86" i="33" s="1"/>
  <c r="M86" i="33"/>
  <c r="J86" i="33"/>
  <c r="X85" i="33"/>
  <c r="S85" i="33"/>
  <c r="U85" i="33" s="1"/>
  <c r="M85" i="33"/>
  <c r="J85" i="33"/>
  <c r="X84" i="33"/>
  <c r="S84" i="33"/>
  <c r="U84" i="33" s="1"/>
  <c r="J84" i="33"/>
  <c r="M84" i="33" s="1"/>
  <c r="X83" i="33"/>
  <c r="S83" i="33"/>
  <c r="U83" i="33" s="1"/>
  <c r="J83" i="33"/>
  <c r="M83" i="33" s="1"/>
  <c r="X82" i="33"/>
  <c r="S82" i="33"/>
  <c r="U82" i="33" s="1"/>
  <c r="J82" i="33"/>
  <c r="M82" i="33" s="1"/>
  <c r="X81" i="33"/>
  <c r="S81" i="33"/>
  <c r="U81" i="33" s="1"/>
  <c r="J81" i="33"/>
  <c r="M81" i="33" s="1"/>
  <c r="X80" i="33"/>
  <c r="S80" i="33"/>
  <c r="U80" i="33" s="1"/>
  <c r="J80" i="33"/>
  <c r="M80" i="33" s="1"/>
  <c r="X79" i="33"/>
  <c r="S79" i="33"/>
  <c r="U79" i="33" s="1"/>
  <c r="J79" i="33"/>
  <c r="M79" i="33" s="1"/>
  <c r="X78" i="33"/>
  <c r="S78" i="33"/>
  <c r="U78" i="33" s="1"/>
  <c r="J78" i="33"/>
  <c r="M78" i="33" s="1"/>
  <c r="X77" i="33"/>
  <c r="S77" i="33"/>
  <c r="U77" i="33" s="1"/>
  <c r="J77" i="33"/>
  <c r="M77" i="33" s="1"/>
  <c r="X76" i="33"/>
  <c r="S76" i="33"/>
  <c r="U76" i="33" s="1"/>
  <c r="J76" i="33"/>
  <c r="M76" i="33" s="1"/>
  <c r="X75" i="33"/>
  <c r="S75" i="33"/>
  <c r="U75" i="33" s="1"/>
  <c r="J75" i="33"/>
  <c r="M75" i="33" s="1"/>
  <c r="X74" i="33"/>
  <c r="S74" i="33"/>
  <c r="U74" i="33" s="1"/>
  <c r="J74" i="33"/>
  <c r="M74" i="33" s="1"/>
  <c r="X73" i="33"/>
  <c r="S73" i="33"/>
  <c r="U73" i="33" s="1"/>
  <c r="J73" i="33"/>
  <c r="M73" i="33" s="1"/>
  <c r="X72" i="33"/>
  <c r="S72" i="33"/>
  <c r="U72" i="33" s="1"/>
  <c r="J72" i="33"/>
  <c r="M72" i="33" s="1"/>
  <c r="X71" i="33"/>
  <c r="S71" i="33"/>
  <c r="U71" i="33" s="1"/>
  <c r="J71" i="33"/>
  <c r="M71" i="33" s="1"/>
  <c r="X70" i="33"/>
  <c r="S70" i="33"/>
  <c r="U70" i="33" s="1"/>
  <c r="J70" i="33"/>
  <c r="M70" i="33" s="1"/>
  <c r="X69" i="33"/>
  <c r="S69" i="33"/>
  <c r="U69" i="33" s="1"/>
  <c r="J69" i="33"/>
  <c r="M69" i="33" s="1"/>
  <c r="X68" i="33"/>
  <c r="S68" i="33"/>
  <c r="U68" i="33" s="1"/>
  <c r="J68" i="33"/>
  <c r="M68" i="33" s="1"/>
  <c r="X67" i="33"/>
  <c r="S67" i="33"/>
  <c r="U67" i="33" s="1"/>
  <c r="J67" i="33"/>
  <c r="M67" i="33" s="1"/>
  <c r="X66" i="33"/>
  <c r="S66" i="33"/>
  <c r="U66" i="33" s="1"/>
  <c r="J66" i="33"/>
  <c r="M66" i="33" s="1"/>
  <c r="X65" i="33"/>
  <c r="S65" i="33"/>
  <c r="U65" i="33" s="1"/>
  <c r="J65" i="33"/>
  <c r="M65" i="33" s="1"/>
  <c r="X64" i="33"/>
  <c r="S64" i="33"/>
  <c r="U64" i="33" s="1"/>
  <c r="J64" i="33"/>
  <c r="M64" i="33" s="1"/>
  <c r="X63" i="33"/>
  <c r="S63" i="33"/>
  <c r="U63" i="33" s="1"/>
  <c r="J63" i="33"/>
  <c r="M63" i="33" s="1"/>
  <c r="X62" i="33"/>
  <c r="S62" i="33"/>
  <c r="U62" i="33" s="1"/>
  <c r="J62" i="33"/>
  <c r="M62" i="33" s="1"/>
  <c r="X61" i="33"/>
  <c r="S61" i="33"/>
  <c r="U61" i="33" s="1"/>
  <c r="J61" i="33"/>
  <c r="M61" i="33" s="1"/>
  <c r="X60" i="33"/>
  <c r="S60" i="33"/>
  <c r="U60" i="33" s="1"/>
  <c r="J60" i="33"/>
  <c r="M60" i="33" s="1"/>
  <c r="X59" i="33"/>
  <c r="S59" i="33"/>
  <c r="U59" i="33" s="1"/>
  <c r="J59" i="33"/>
  <c r="M59" i="33" s="1"/>
  <c r="X58" i="33"/>
  <c r="S58" i="33"/>
  <c r="U58" i="33" s="1"/>
  <c r="J58" i="33"/>
  <c r="M58" i="33" s="1"/>
  <c r="X57" i="33"/>
  <c r="S57" i="33"/>
  <c r="U57" i="33" s="1"/>
  <c r="J57" i="33"/>
  <c r="M57" i="33" s="1"/>
  <c r="X56" i="33"/>
  <c r="U56" i="33"/>
  <c r="S56" i="33"/>
  <c r="J56" i="33"/>
  <c r="M56" i="33" s="1"/>
  <c r="X55" i="33"/>
  <c r="S55" i="33"/>
  <c r="U55" i="33" s="1"/>
  <c r="J55" i="33"/>
  <c r="M55" i="33" s="1"/>
  <c r="X54" i="33"/>
  <c r="S54" i="33"/>
  <c r="U54" i="33" s="1"/>
  <c r="J54" i="33"/>
  <c r="M54" i="33" s="1"/>
  <c r="X53" i="33"/>
  <c r="U53" i="33"/>
  <c r="S53" i="33"/>
  <c r="J53" i="33"/>
  <c r="M53" i="33" s="1"/>
  <c r="X52" i="33"/>
  <c r="S52" i="33"/>
  <c r="U52" i="33" s="1"/>
  <c r="J52" i="33"/>
  <c r="M52" i="33" s="1"/>
  <c r="X51" i="33"/>
  <c r="S51" i="33"/>
  <c r="U51" i="33" s="1"/>
  <c r="J51" i="33"/>
  <c r="M51" i="33" s="1"/>
  <c r="X50" i="33"/>
  <c r="U50" i="33"/>
  <c r="S50" i="33"/>
  <c r="J50" i="33"/>
  <c r="M50" i="33" s="1"/>
  <c r="X49" i="33"/>
  <c r="S49" i="33"/>
  <c r="U49" i="33" s="1"/>
  <c r="J49" i="33"/>
  <c r="M49" i="33" s="1"/>
  <c r="X48" i="33"/>
  <c r="S48" i="33"/>
  <c r="U48" i="33" s="1"/>
  <c r="J48" i="33"/>
  <c r="M48" i="33" s="1"/>
  <c r="X47" i="33"/>
  <c r="U47" i="33"/>
  <c r="S47" i="33"/>
  <c r="J47" i="33"/>
  <c r="M47" i="33" s="1"/>
  <c r="X46" i="33"/>
  <c r="S46" i="33"/>
  <c r="U46" i="33" s="1"/>
  <c r="J46" i="33"/>
  <c r="M46" i="33" s="1"/>
  <c r="X45" i="33"/>
  <c r="S45" i="33"/>
  <c r="U45" i="33" s="1"/>
  <c r="J45" i="33"/>
  <c r="M45" i="33" s="1"/>
  <c r="X44" i="33"/>
  <c r="U44" i="33"/>
  <c r="S44" i="33"/>
  <c r="J44" i="33"/>
  <c r="M44" i="33" s="1"/>
  <c r="X43" i="33"/>
  <c r="S43" i="33"/>
  <c r="U43" i="33" s="1"/>
  <c r="J43" i="33"/>
  <c r="M43" i="33" s="1"/>
  <c r="X42" i="33"/>
  <c r="S42" i="33"/>
  <c r="U42" i="33" s="1"/>
  <c r="J42" i="33"/>
  <c r="M42" i="33" s="1"/>
  <c r="X41" i="33"/>
  <c r="U41" i="33"/>
  <c r="S41" i="33"/>
  <c r="J41" i="33"/>
  <c r="M41" i="33" s="1"/>
  <c r="X40" i="33"/>
  <c r="S40" i="33"/>
  <c r="U40" i="33" s="1"/>
  <c r="J40" i="33"/>
  <c r="M40" i="33" s="1"/>
  <c r="X39" i="33"/>
  <c r="S39" i="33"/>
  <c r="U39" i="33" s="1"/>
  <c r="J39" i="33"/>
  <c r="M39" i="33" s="1"/>
  <c r="X38" i="33"/>
  <c r="U38" i="33"/>
  <c r="S38" i="33"/>
  <c r="J38" i="33"/>
  <c r="M38" i="33" s="1"/>
  <c r="X37" i="33"/>
  <c r="S37" i="33"/>
  <c r="U37" i="33" s="1"/>
  <c r="J37" i="33"/>
  <c r="M37" i="33" s="1"/>
  <c r="X36" i="33"/>
  <c r="S36" i="33"/>
  <c r="U36" i="33" s="1"/>
  <c r="J36" i="33"/>
  <c r="M36" i="33" s="1"/>
  <c r="X35" i="33"/>
  <c r="U35" i="33"/>
  <c r="S35" i="33"/>
  <c r="J35" i="33"/>
  <c r="M35" i="33" s="1"/>
  <c r="X34" i="33"/>
  <c r="S34" i="33"/>
  <c r="U34" i="33" s="1"/>
  <c r="J34" i="33"/>
  <c r="M34" i="33" s="1"/>
  <c r="X33" i="33"/>
  <c r="S33" i="33"/>
  <c r="U33" i="33" s="1"/>
  <c r="J33" i="33"/>
  <c r="M33" i="33" s="1"/>
  <c r="X32" i="33"/>
  <c r="U32" i="33"/>
  <c r="S32" i="33"/>
  <c r="J32" i="33"/>
  <c r="M32" i="33" s="1"/>
  <c r="X31" i="33"/>
  <c r="S31" i="33"/>
  <c r="U31" i="33" s="1"/>
  <c r="J31" i="33"/>
  <c r="M31" i="33" s="1"/>
  <c r="X30" i="33"/>
  <c r="S30" i="33"/>
  <c r="U30" i="33" s="1"/>
  <c r="J30" i="33"/>
  <c r="M30" i="33" s="1"/>
  <c r="X29" i="33"/>
  <c r="U29" i="33"/>
  <c r="S29" i="33"/>
  <c r="J29" i="33"/>
  <c r="M29" i="33" s="1"/>
  <c r="X28" i="33"/>
  <c r="S28" i="33"/>
  <c r="U28" i="33" s="1"/>
  <c r="J28" i="33"/>
  <c r="M28" i="33" s="1"/>
  <c r="X27" i="33"/>
  <c r="S27" i="33"/>
  <c r="U27" i="33" s="1"/>
  <c r="J27" i="33"/>
  <c r="M27" i="33" s="1"/>
  <c r="X26" i="33"/>
  <c r="U26" i="33"/>
  <c r="S26" i="33"/>
  <c r="J26" i="33"/>
  <c r="M26" i="33" s="1"/>
  <c r="X25" i="33"/>
  <c r="S25" i="33"/>
  <c r="U25" i="33" s="1"/>
  <c r="J25" i="33"/>
  <c r="M25" i="33" s="1"/>
  <c r="X24" i="33"/>
  <c r="S24" i="33"/>
  <c r="U24" i="33" s="1"/>
  <c r="J24" i="33"/>
  <c r="M24" i="33" s="1"/>
  <c r="X23" i="33"/>
  <c r="U23" i="33"/>
  <c r="S23" i="33"/>
  <c r="J23" i="33"/>
  <c r="M23" i="33" s="1"/>
  <c r="X22" i="33"/>
  <c r="S22" i="33"/>
  <c r="U22" i="33" s="1"/>
  <c r="J22" i="33"/>
  <c r="M22" i="33" s="1"/>
  <c r="X21" i="33"/>
  <c r="S21" i="33"/>
  <c r="U21" i="33" s="1"/>
  <c r="J21" i="33"/>
  <c r="M21" i="33" s="1"/>
  <c r="X20" i="33"/>
  <c r="U20" i="33"/>
  <c r="S20" i="33"/>
  <c r="J20" i="33"/>
  <c r="M20" i="33" s="1"/>
  <c r="X19" i="33"/>
  <c r="S19" i="33"/>
  <c r="U19" i="33" s="1"/>
  <c r="J19" i="33"/>
  <c r="M19" i="33" s="1"/>
  <c r="X18" i="33"/>
  <c r="S18" i="33"/>
  <c r="U18" i="33" s="1"/>
  <c r="J18" i="33"/>
  <c r="M18" i="33" s="1"/>
  <c r="X17" i="33"/>
  <c r="U17" i="33"/>
  <c r="S17" i="33"/>
  <c r="J17" i="33"/>
  <c r="M17" i="33" s="1"/>
  <c r="X16" i="33"/>
  <c r="S16" i="33"/>
  <c r="U16" i="33" s="1"/>
  <c r="J16" i="33"/>
  <c r="M16" i="33" s="1"/>
  <c r="X15" i="33"/>
  <c r="S15" i="33"/>
  <c r="U15" i="33" s="1"/>
  <c r="J15" i="33"/>
  <c r="M15" i="33" s="1"/>
  <c r="X14" i="33"/>
  <c r="U14" i="33"/>
  <c r="S14" i="33"/>
  <c r="J14" i="33"/>
  <c r="M14" i="33" s="1"/>
  <c r="X13" i="33"/>
  <c r="S13" i="33"/>
  <c r="U13" i="33" s="1"/>
  <c r="J13" i="33"/>
  <c r="M13" i="33" s="1"/>
  <c r="X12" i="33"/>
  <c r="S12" i="33"/>
  <c r="U12" i="33" s="1"/>
  <c r="J12" i="33"/>
  <c r="M12" i="33" s="1"/>
  <c r="X11" i="33"/>
  <c r="U11" i="33"/>
  <c r="S11" i="33"/>
  <c r="J11" i="33"/>
  <c r="M11" i="33" s="1"/>
  <c r="X10" i="33"/>
  <c r="S10" i="33"/>
  <c r="U10" i="33" s="1"/>
  <c r="J10" i="33"/>
  <c r="M10" i="33" s="1"/>
  <c r="X9" i="33"/>
  <c r="S9" i="33"/>
  <c r="U9" i="33" s="1"/>
  <c r="J9" i="33"/>
  <c r="M9" i="33" s="1"/>
  <c r="X8" i="33"/>
  <c r="U8" i="33"/>
  <c r="S8" i="33"/>
  <c r="J8" i="33"/>
  <c r="M8" i="33" s="1"/>
  <c r="X7" i="33"/>
  <c r="S7" i="33"/>
  <c r="U7" i="33" s="1"/>
  <c r="J7" i="33"/>
  <c r="M7" i="33" s="1"/>
  <c r="X6" i="33"/>
  <c r="S6" i="33"/>
  <c r="U6" i="33" s="1"/>
  <c r="J6" i="33"/>
  <c r="M6" i="33" s="1"/>
  <c r="X5" i="33"/>
  <c r="U5" i="33"/>
  <c r="S5" i="33"/>
  <c r="J5" i="33"/>
  <c r="M5" i="33" s="1"/>
  <c r="X4" i="33"/>
  <c r="X106" i="33" s="1"/>
  <c r="J205" i="33" s="1"/>
  <c r="S4" i="33"/>
  <c r="U4" i="33" s="1"/>
  <c r="J4" i="33"/>
  <c r="K219" i="32"/>
  <c r="K211" i="32"/>
  <c r="N34" i="9" s="1"/>
  <c r="K208" i="32"/>
  <c r="K218" i="32" s="1"/>
  <c r="J203" i="32"/>
  <c r="M203" i="32" s="1"/>
  <c r="J202" i="32"/>
  <c r="M202" i="32" s="1"/>
  <c r="J201" i="32"/>
  <c r="M201" i="32" s="1"/>
  <c r="J200" i="32"/>
  <c r="M200" i="32" s="1"/>
  <c r="J199" i="32"/>
  <c r="M199" i="32" s="1"/>
  <c r="J198" i="32"/>
  <c r="M198" i="32" s="1"/>
  <c r="J197" i="32"/>
  <c r="M197" i="32" s="1"/>
  <c r="J196" i="32"/>
  <c r="M196" i="32" s="1"/>
  <c r="J195" i="32"/>
  <c r="M195" i="32" s="1"/>
  <c r="J194" i="32"/>
  <c r="M194" i="32" s="1"/>
  <c r="J193" i="32"/>
  <c r="M193" i="32" s="1"/>
  <c r="J192" i="32"/>
  <c r="M192" i="32" s="1"/>
  <c r="J191" i="32"/>
  <c r="M191" i="32" s="1"/>
  <c r="J190" i="32"/>
  <c r="M190" i="32" s="1"/>
  <c r="J189" i="32"/>
  <c r="M189" i="32" s="1"/>
  <c r="J188" i="32"/>
  <c r="M188" i="32" s="1"/>
  <c r="J187" i="32"/>
  <c r="M187" i="32" s="1"/>
  <c r="J186" i="32"/>
  <c r="M186" i="32" s="1"/>
  <c r="J185" i="32"/>
  <c r="M185" i="32" s="1"/>
  <c r="J184" i="32"/>
  <c r="M184" i="32" s="1"/>
  <c r="J183" i="32"/>
  <c r="M183" i="32" s="1"/>
  <c r="J182" i="32"/>
  <c r="M182" i="32" s="1"/>
  <c r="J181" i="32"/>
  <c r="M181" i="32" s="1"/>
  <c r="J180" i="32"/>
  <c r="M180" i="32" s="1"/>
  <c r="J179" i="32"/>
  <c r="M179" i="32" s="1"/>
  <c r="J178" i="32"/>
  <c r="M178" i="32" s="1"/>
  <c r="J177" i="32"/>
  <c r="M177" i="32" s="1"/>
  <c r="J176" i="32"/>
  <c r="M176" i="32" s="1"/>
  <c r="J175" i="32"/>
  <c r="M175" i="32" s="1"/>
  <c r="J174" i="32"/>
  <c r="M174" i="32" s="1"/>
  <c r="J173" i="32"/>
  <c r="M173" i="32" s="1"/>
  <c r="J172" i="32"/>
  <c r="M172" i="32" s="1"/>
  <c r="J171" i="32"/>
  <c r="M171" i="32" s="1"/>
  <c r="J170" i="32"/>
  <c r="M170" i="32" s="1"/>
  <c r="J169" i="32"/>
  <c r="M169" i="32" s="1"/>
  <c r="J168" i="32"/>
  <c r="M168" i="32" s="1"/>
  <c r="J167" i="32"/>
  <c r="M167" i="32" s="1"/>
  <c r="J166" i="32"/>
  <c r="M166" i="32" s="1"/>
  <c r="J165" i="32"/>
  <c r="M165" i="32" s="1"/>
  <c r="J164" i="32"/>
  <c r="M164" i="32" s="1"/>
  <c r="J163" i="32"/>
  <c r="M163" i="32" s="1"/>
  <c r="J162" i="32"/>
  <c r="M162" i="32" s="1"/>
  <c r="J161" i="32"/>
  <c r="M161" i="32" s="1"/>
  <c r="J160" i="32"/>
  <c r="M160" i="32" s="1"/>
  <c r="J159" i="32"/>
  <c r="M159" i="32" s="1"/>
  <c r="J158" i="32"/>
  <c r="M158" i="32" s="1"/>
  <c r="J157" i="32"/>
  <c r="M157" i="32" s="1"/>
  <c r="J156" i="32"/>
  <c r="M156" i="32" s="1"/>
  <c r="J155" i="32"/>
  <c r="M155" i="32" s="1"/>
  <c r="J154" i="32"/>
  <c r="M154" i="32" s="1"/>
  <c r="J153" i="32"/>
  <c r="M153" i="32" s="1"/>
  <c r="J152" i="32"/>
  <c r="M152" i="32" s="1"/>
  <c r="J151" i="32"/>
  <c r="M151" i="32" s="1"/>
  <c r="J150" i="32"/>
  <c r="M150" i="32" s="1"/>
  <c r="J149" i="32"/>
  <c r="M149" i="32" s="1"/>
  <c r="J148" i="32"/>
  <c r="M148" i="32" s="1"/>
  <c r="M147" i="32"/>
  <c r="J147" i="32"/>
  <c r="J146" i="32"/>
  <c r="M146" i="32" s="1"/>
  <c r="J145" i="32"/>
  <c r="M145" i="32" s="1"/>
  <c r="J144" i="32"/>
  <c r="M144" i="32" s="1"/>
  <c r="J143" i="32"/>
  <c r="M143" i="32" s="1"/>
  <c r="J142" i="32"/>
  <c r="M142" i="32" s="1"/>
  <c r="J141" i="32"/>
  <c r="M141" i="32" s="1"/>
  <c r="J140" i="32"/>
  <c r="M140" i="32" s="1"/>
  <c r="J139" i="32"/>
  <c r="M139" i="32" s="1"/>
  <c r="J138" i="32"/>
  <c r="M138" i="32" s="1"/>
  <c r="J137" i="32"/>
  <c r="M137" i="32" s="1"/>
  <c r="J136" i="32"/>
  <c r="M136" i="32" s="1"/>
  <c r="J135" i="32"/>
  <c r="M135" i="32" s="1"/>
  <c r="J134" i="32"/>
  <c r="M134" i="32" s="1"/>
  <c r="J133" i="32"/>
  <c r="M133" i="32" s="1"/>
  <c r="J132" i="32"/>
  <c r="M132" i="32" s="1"/>
  <c r="J131" i="32"/>
  <c r="M131" i="32" s="1"/>
  <c r="J130" i="32"/>
  <c r="M130" i="32" s="1"/>
  <c r="J129" i="32"/>
  <c r="M129" i="32" s="1"/>
  <c r="J128" i="32"/>
  <c r="M128" i="32" s="1"/>
  <c r="J127" i="32"/>
  <c r="M127" i="32" s="1"/>
  <c r="J126" i="32"/>
  <c r="M126" i="32" s="1"/>
  <c r="J125" i="32"/>
  <c r="M125" i="32" s="1"/>
  <c r="J124" i="32"/>
  <c r="M124" i="32" s="1"/>
  <c r="J123" i="32"/>
  <c r="M123" i="32" s="1"/>
  <c r="J122" i="32"/>
  <c r="M122" i="32" s="1"/>
  <c r="J121" i="32"/>
  <c r="M121" i="32" s="1"/>
  <c r="J120" i="32"/>
  <c r="M120" i="32" s="1"/>
  <c r="J119" i="32"/>
  <c r="M119" i="32" s="1"/>
  <c r="J118" i="32"/>
  <c r="M118" i="32" s="1"/>
  <c r="J117" i="32"/>
  <c r="M117" i="32" s="1"/>
  <c r="J116" i="32"/>
  <c r="M116" i="32" s="1"/>
  <c r="J115" i="32"/>
  <c r="M115" i="32" s="1"/>
  <c r="J114" i="32"/>
  <c r="M114" i="32" s="1"/>
  <c r="J113" i="32"/>
  <c r="M113" i="32" s="1"/>
  <c r="J112" i="32"/>
  <c r="M112" i="32" s="1"/>
  <c r="J111" i="32"/>
  <c r="M111" i="32" s="1"/>
  <c r="J110" i="32"/>
  <c r="M110" i="32" s="1"/>
  <c r="J109" i="32"/>
  <c r="M109" i="32" s="1"/>
  <c r="J108" i="32"/>
  <c r="M108" i="32" s="1"/>
  <c r="M107" i="32"/>
  <c r="J107" i="32"/>
  <c r="J106" i="32"/>
  <c r="M106" i="32" s="1"/>
  <c r="J105" i="32"/>
  <c r="M105" i="32" s="1"/>
  <c r="Z104" i="32"/>
  <c r="J104" i="32"/>
  <c r="M104" i="32" s="1"/>
  <c r="X103" i="32"/>
  <c r="S103" i="32"/>
  <c r="U103" i="32" s="1"/>
  <c r="J103" i="32"/>
  <c r="M103" i="32" s="1"/>
  <c r="X102" i="32"/>
  <c r="S102" i="32"/>
  <c r="U102" i="32" s="1"/>
  <c r="J102" i="32"/>
  <c r="M102" i="32" s="1"/>
  <c r="X101" i="32"/>
  <c r="S101" i="32"/>
  <c r="U101" i="32" s="1"/>
  <c r="J101" i="32"/>
  <c r="M101" i="32" s="1"/>
  <c r="X100" i="32"/>
  <c r="S100" i="32"/>
  <c r="U100" i="32" s="1"/>
  <c r="J100" i="32"/>
  <c r="M100" i="32" s="1"/>
  <c r="X99" i="32"/>
  <c r="S99" i="32"/>
  <c r="U99" i="32" s="1"/>
  <c r="J99" i="32"/>
  <c r="M99" i="32" s="1"/>
  <c r="X98" i="32"/>
  <c r="S98" i="32"/>
  <c r="U98" i="32" s="1"/>
  <c r="J98" i="32"/>
  <c r="M98" i="32" s="1"/>
  <c r="X97" i="32"/>
  <c r="S97" i="32"/>
  <c r="U97" i="32" s="1"/>
  <c r="J97" i="32"/>
  <c r="M97" i="32" s="1"/>
  <c r="X96" i="32"/>
  <c r="S96" i="32"/>
  <c r="U96" i="32" s="1"/>
  <c r="J96" i="32"/>
  <c r="M96" i="32" s="1"/>
  <c r="X95" i="32"/>
  <c r="S95" i="32"/>
  <c r="U95" i="32" s="1"/>
  <c r="J95" i="32"/>
  <c r="M95" i="32" s="1"/>
  <c r="X94" i="32"/>
  <c r="S94" i="32"/>
  <c r="U94" i="32" s="1"/>
  <c r="J94" i="32"/>
  <c r="M94" i="32" s="1"/>
  <c r="X93" i="32"/>
  <c r="S93" i="32"/>
  <c r="U93" i="32" s="1"/>
  <c r="J93" i="32"/>
  <c r="M93" i="32" s="1"/>
  <c r="X92" i="32"/>
  <c r="S92" i="32"/>
  <c r="U92" i="32" s="1"/>
  <c r="J92" i="32"/>
  <c r="M92" i="32" s="1"/>
  <c r="X91" i="32"/>
  <c r="S91" i="32"/>
  <c r="U91" i="32" s="1"/>
  <c r="J91" i="32"/>
  <c r="M91" i="32" s="1"/>
  <c r="X90" i="32"/>
  <c r="S90" i="32"/>
  <c r="U90" i="32" s="1"/>
  <c r="J90" i="32"/>
  <c r="M90" i="32" s="1"/>
  <c r="X89" i="32"/>
  <c r="S89" i="32"/>
  <c r="U89" i="32" s="1"/>
  <c r="J89" i="32"/>
  <c r="M89" i="32" s="1"/>
  <c r="X88" i="32"/>
  <c r="S88" i="32"/>
  <c r="U88" i="32" s="1"/>
  <c r="J88" i="32"/>
  <c r="M88" i="32" s="1"/>
  <c r="X87" i="32"/>
  <c r="S87" i="32"/>
  <c r="U87" i="32" s="1"/>
  <c r="J87" i="32"/>
  <c r="M87" i="32" s="1"/>
  <c r="X86" i="32"/>
  <c r="S86" i="32"/>
  <c r="U86" i="32" s="1"/>
  <c r="J86" i="32"/>
  <c r="M86" i="32" s="1"/>
  <c r="X85" i="32"/>
  <c r="S85" i="32"/>
  <c r="U85" i="32" s="1"/>
  <c r="J85" i="32"/>
  <c r="M85" i="32" s="1"/>
  <c r="X84" i="32"/>
  <c r="S84" i="32"/>
  <c r="U84" i="32" s="1"/>
  <c r="J84" i="32"/>
  <c r="M84" i="32" s="1"/>
  <c r="X83" i="32"/>
  <c r="S83" i="32"/>
  <c r="U83" i="32" s="1"/>
  <c r="J83" i="32"/>
  <c r="M83" i="32" s="1"/>
  <c r="X82" i="32"/>
  <c r="S82" i="32"/>
  <c r="U82" i="32" s="1"/>
  <c r="J82" i="32"/>
  <c r="M82" i="32" s="1"/>
  <c r="X81" i="32"/>
  <c r="S81" i="32"/>
  <c r="U81" i="32" s="1"/>
  <c r="J81" i="32"/>
  <c r="M81" i="32" s="1"/>
  <c r="X80" i="32"/>
  <c r="S80" i="32"/>
  <c r="U80" i="32" s="1"/>
  <c r="J80" i="32"/>
  <c r="M80" i="32" s="1"/>
  <c r="X79" i="32"/>
  <c r="S79" i="32"/>
  <c r="U79" i="32" s="1"/>
  <c r="J79" i="32"/>
  <c r="M79" i="32" s="1"/>
  <c r="X78" i="32"/>
  <c r="S78" i="32"/>
  <c r="U78" i="32" s="1"/>
  <c r="J78" i="32"/>
  <c r="M78" i="32" s="1"/>
  <c r="X77" i="32"/>
  <c r="S77" i="32"/>
  <c r="U77" i="32" s="1"/>
  <c r="J77" i="32"/>
  <c r="M77" i="32" s="1"/>
  <c r="X76" i="32"/>
  <c r="S76" i="32"/>
  <c r="U76" i="32" s="1"/>
  <c r="J76" i="32"/>
  <c r="M76" i="32" s="1"/>
  <c r="X75" i="32"/>
  <c r="S75" i="32"/>
  <c r="U75" i="32" s="1"/>
  <c r="J75" i="32"/>
  <c r="M75" i="32" s="1"/>
  <c r="X74" i="32"/>
  <c r="S74" i="32"/>
  <c r="U74" i="32" s="1"/>
  <c r="J74" i="32"/>
  <c r="M74" i="32" s="1"/>
  <c r="X73" i="32"/>
  <c r="S73" i="32"/>
  <c r="U73" i="32" s="1"/>
  <c r="J73" i="32"/>
  <c r="M73" i="32" s="1"/>
  <c r="X72" i="32"/>
  <c r="S72" i="32"/>
  <c r="U72" i="32" s="1"/>
  <c r="J72" i="32"/>
  <c r="M72" i="32" s="1"/>
  <c r="X71" i="32"/>
  <c r="S71" i="32"/>
  <c r="U71" i="32" s="1"/>
  <c r="J71" i="32"/>
  <c r="M71" i="32" s="1"/>
  <c r="X70" i="32"/>
  <c r="S70" i="32"/>
  <c r="U70" i="32" s="1"/>
  <c r="J70" i="32"/>
  <c r="M70" i="32" s="1"/>
  <c r="X69" i="32"/>
  <c r="S69" i="32"/>
  <c r="U69" i="32" s="1"/>
  <c r="J69" i="32"/>
  <c r="M69" i="32" s="1"/>
  <c r="X68" i="32"/>
  <c r="S68" i="32"/>
  <c r="U68" i="32" s="1"/>
  <c r="J68" i="32"/>
  <c r="M68" i="32" s="1"/>
  <c r="X67" i="32"/>
  <c r="S67" i="32"/>
  <c r="U67" i="32" s="1"/>
  <c r="J67" i="32"/>
  <c r="M67" i="32" s="1"/>
  <c r="X66" i="32"/>
  <c r="S66" i="32"/>
  <c r="U66" i="32" s="1"/>
  <c r="J66" i="32"/>
  <c r="M66" i="32" s="1"/>
  <c r="X65" i="32"/>
  <c r="S65" i="32"/>
  <c r="U65" i="32" s="1"/>
  <c r="J65" i="32"/>
  <c r="M65" i="32" s="1"/>
  <c r="X64" i="32"/>
  <c r="S64" i="32"/>
  <c r="U64" i="32" s="1"/>
  <c r="J64" i="32"/>
  <c r="M64" i="32" s="1"/>
  <c r="X63" i="32"/>
  <c r="S63" i="32"/>
  <c r="U63" i="32" s="1"/>
  <c r="J63" i="32"/>
  <c r="M63" i="32" s="1"/>
  <c r="X62" i="32"/>
  <c r="S62" i="32"/>
  <c r="U62" i="32" s="1"/>
  <c r="J62" i="32"/>
  <c r="M62" i="32" s="1"/>
  <c r="X61" i="32"/>
  <c r="S61" i="32"/>
  <c r="U61" i="32" s="1"/>
  <c r="J61" i="32"/>
  <c r="M61" i="32" s="1"/>
  <c r="X60" i="32"/>
  <c r="S60" i="32"/>
  <c r="U60" i="32" s="1"/>
  <c r="J60" i="32"/>
  <c r="M60" i="32" s="1"/>
  <c r="X59" i="32"/>
  <c r="S59" i="32"/>
  <c r="U59" i="32" s="1"/>
  <c r="J59" i="32"/>
  <c r="M59" i="32" s="1"/>
  <c r="X58" i="32"/>
  <c r="S58" i="32"/>
  <c r="U58" i="32" s="1"/>
  <c r="J58" i="32"/>
  <c r="M58" i="32" s="1"/>
  <c r="X57" i="32"/>
  <c r="S57" i="32"/>
  <c r="U57" i="32" s="1"/>
  <c r="J57" i="32"/>
  <c r="M57" i="32" s="1"/>
  <c r="X56" i="32"/>
  <c r="U56" i="32"/>
  <c r="S56" i="32"/>
  <c r="J56" i="32"/>
  <c r="M56" i="32" s="1"/>
  <c r="X55" i="32"/>
  <c r="S55" i="32"/>
  <c r="U55" i="32" s="1"/>
  <c r="J55" i="32"/>
  <c r="M55" i="32" s="1"/>
  <c r="X54" i="32"/>
  <c r="S54" i="32"/>
  <c r="U54" i="32" s="1"/>
  <c r="J54" i="32"/>
  <c r="M54" i="32" s="1"/>
  <c r="X53" i="32"/>
  <c r="S53" i="32"/>
  <c r="U53" i="32" s="1"/>
  <c r="J53" i="32"/>
  <c r="M53" i="32" s="1"/>
  <c r="X52" i="32"/>
  <c r="S52" i="32"/>
  <c r="U52" i="32" s="1"/>
  <c r="J52" i="32"/>
  <c r="M52" i="32" s="1"/>
  <c r="X51" i="32"/>
  <c r="S51" i="32"/>
  <c r="U51" i="32" s="1"/>
  <c r="J51" i="32"/>
  <c r="M51" i="32" s="1"/>
  <c r="X50" i="32"/>
  <c r="S50" i="32"/>
  <c r="U50" i="32" s="1"/>
  <c r="J50" i="32"/>
  <c r="M50" i="32" s="1"/>
  <c r="X49" i="32"/>
  <c r="S49" i="32"/>
  <c r="U49" i="32" s="1"/>
  <c r="J49" i="32"/>
  <c r="M49" i="32" s="1"/>
  <c r="X48" i="32"/>
  <c r="S48" i="32"/>
  <c r="U48" i="32" s="1"/>
  <c r="J48" i="32"/>
  <c r="M48" i="32" s="1"/>
  <c r="X47" i="32"/>
  <c r="S47" i="32"/>
  <c r="U47" i="32" s="1"/>
  <c r="J47" i="32"/>
  <c r="M47" i="32" s="1"/>
  <c r="X46" i="32"/>
  <c r="S46" i="32"/>
  <c r="U46" i="32" s="1"/>
  <c r="J46" i="32"/>
  <c r="M46" i="32" s="1"/>
  <c r="X45" i="32"/>
  <c r="S45" i="32"/>
  <c r="U45" i="32" s="1"/>
  <c r="J45" i="32"/>
  <c r="M45" i="32" s="1"/>
  <c r="X44" i="32"/>
  <c r="S44" i="32"/>
  <c r="U44" i="32" s="1"/>
  <c r="J44" i="32"/>
  <c r="M44" i="32" s="1"/>
  <c r="X43" i="32"/>
  <c r="S43" i="32"/>
  <c r="U43" i="32" s="1"/>
  <c r="J43" i="32"/>
  <c r="M43" i="32" s="1"/>
  <c r="X42" i="32"/>
  <c r="S42" i="32"/>
  <c r="U42" i="32" s="1"/>
  <c r="J42" i="32"/>
  <c r="M42" i="32" s="1"/>
  <c r="X41" i="32"/>
  <c r="S41" i="32"/>
  <c r="U41" i="32" s="1"/>
  <c r="J41" i="32"/>
  <c r="M41" i="32" s="1"/>
  <c r="X40" i="32"/>
  <c r="S40" i="32"/>
  <c r="U40" i="32" s="1"/>
  <c r="J40" i="32"/>
  <c r="M40" i="32" s="1"/>
  <c r="X39" i="32"/>
  <c r="S39" i="32"/>
  <c r="U39" i="32" s="1"/>
  <c r="J39" i="32"/>
  <c r="M39" i="32" s="1"/>
  <c r="X38" i="32"/>
  <c r="S38" i="32"/>
  <c r="U38" i="32" s="1"/>
  <c r="J38" i="32"/>
  <c r="M38" i="32" s="1"/>
  <c r="X37" i="32"/>
  <c r="S37" i="32"/>
  <c r="U37" i="32" s="1"/>
  <c r="J37" i="32"/>
  <c r="M37" i="32" s="1"/>
  <c r="X36" i="32"/>
  <c r="S36" i="32"/>
  <c r="U36" i="32" s="1"/>
  <c r="J36" i="32"/>
  <c r="M36" i="32" s="1"/>
  <c r="X35" i="32"/>
  <c r="S35" i="32"/>
  <c r="U35" i="32" s="1"/>
  <c r="J35" i="32"/>
  <c r="M35" i="32" s="1"/>
  <c r="X34" i="32"/>
  <c r="S34" i="32"/>
  <c r="U34" i="32" s="1"/>
  <c r="J34" i="32"/>
  <c r="M34" i="32" s="1"/>
  <c r="X33" i="32"/>
  <c r="S33" i="32"/>
  <c r="U33" i="32" s="1"/>
  <c r="J33" i="32"/>
  <c r="M33" i="32" s="1"/>
  <c r="X32" i="32"/>
  <c r="S32" i="32"/>
  <c r="U32" i="32" s="1"/>
  <c r="J32" i="32"/>
  <c r="M32" i="32" s="1"/>
  <c r="X31" i="32"/>
  <c r="S31" i="32"/>
  <c r="U31" i="32" s="1"/>
  <c r="J31" i="32"/>
  <c r="M31" i="32" s="1"/>
  <c r="X30" i="32"/>
  <c r="S30" i="32"/>
  <c r="U30" i="32" s="1"/>
  <c r="J30" i="32"/>
  <c r="M30" i="32" s="1"/>
  <c r="X29" i="32"/>
  <c r="S29" i="32"/>
  <c r="U29" i="32" s="1"/>
  <c r="J29" i="32"/>
  <c r="M29" i="32" s="1"/>
  <c r="X28" i="32"/>
  <c r="S28" i="32"/>
  <c r="U28" i="32" s="1"/>
  <c r="J28" i="32"/>
  <c r="M28" i="32" s="1"/>
  <c r="X27" i="32"/>
  <c r="S27" i="32"/>
  <c r="U27" i="32" s="1"/>
  <c r="J27" i="32"/>
  <c r="M27" i="32" s="1"/>
  <c r="X26" i="32"/>
  <c r="S26" i="32"/>
  <c r="U26" i="32" s="1"/>
  <c r="J26" i="32"/>
  <c r="M26" i="32" s="1"/>
  <c r="X25" i="32"/>
  <c r="S25" i="32"/>
  <c r="U25" i="32" s="1"/>
  <c r="J25" i="32"/>
  <c r="M25" i="32" s="1"/>
  <c r="X24" i="32"/>
  <c r="S24" i="32"/>
  <c r="U24" i="32" s="1"/>
  <c r="J24" i="32"/>
  <c r="M24" i="32" s="1"/>
  <c r="X23" i="32"/>
  <c r="S23" i="32"/>
  <c r="U23" i="32" s="1"/>
  <c r="J23" i="32"/>
  <c r="M23" i="32" s="1"/>
  <c r="X22" i="32"/>
  <c r="S22" i="32"/>
  <c r="U22" i="32" s="1"/>
  <c r="J22" i="32"/>
  <c r="M22" i="32" s="1"/>
  <c r="X21" i="32"/>
  <c r="S21" i="32"/>
  <c r="U21" i="32" s="1"/>
  <c r="J21" i="32"/>
  <c r="M21" i="32" s="1"/>
  <c r="X20" i="32"/>
  <c r="S20" i="32"/>
  <c r="U20" i="32" s="1"/>
  <c r="J20" i="32"/>
  <c r="M20" i="32" s="1"/>
  <c r="X19" i="32"/>
  <c r="S19" i="32"/>
  <c r="U19" i="32" s="1"/>
  <c r="J19" i="32"/>
  <c r="M19" i="32" s="1"/>
  <c r="X18" i="32"/>
  <c r="S18" i="32"/>
  <c r="U18" i="32" s="1"/>
  <c r="J18" i="32"/>
  <c r="M18" i="32" s="1"/>
  <c r="X17" i="32"/>
  <c r="S17" i="32"/>
  <c r="U17" i="32" s="1"/>
  <c r="J17" i="32"/>
  <c r="M17" i="32" s="1"/>
  <c r="X16" i="32"/>
  <c r="S16" i="32"/>
  <c r="U16" i="32" s="1"/>
  <c r="J16" i="32"/>
  <c r="M16" i="32" s="1"/>
  <c r="X15" i="32"/>
  <c r="S15" i="32"/>
  <c r="U15" i="32" s="1"/>
  <c r="J15" i="32"/>
  <c r="M15" i="32" s="1"/>
  <c r="X14" i="32"/>
  <c r="S14" i="32"/>
  <c r="U14" i="32" s="1"/>
  <c r="J14" i="32"/>
  <c r="M14" i="32" s="1"/>
  <c r="X13" i="32"/>
  <c r="S13" i="32"/>
  <c r="U13" i="32" s="1"/>
  <c r="J13" i="32"/>
  <c r="M13" i="32" s="1"/>
  <c r="X12" i="32"/>
  <c r="S12" i="32"/>
  <c r="U12" i="32" s="1"/>
  <c r="J12" i="32"/>
  <c r="M12" i="32" s="1"/>
  <c r="X11" i="32"/>
  <c r="S11" i="32"/>
  <c r="U11" i="32" s="1"/>
  <c r="J11" i="32"/>
  <c r="M11" i="32" s="1"/>
  <c r="X10" i="32"/>
  <c r="S10" i="32"/>
  <c r="U10" i="32" s="1"/>
  <c r="J10" i="32"/>
  <c r="M10" i="32" s="1"/>
  <c r="X9" i="32"/>
  <c r="S9" i="32"/>
  <c r="U9" i="32" s="1"/>
  <c r="J9" i="32"/>
  <c r="M9" i="32" s="1"/>
  <c r="X8" i="32"/>
  <c r="S8" i="32"/>
  <c r="U8" i="32" s="1"/>
  <c r="J8" i="32"/>
  <c r="M8" i="32" s="1"/>
  <c r="X7" i="32"/>
  <c r="S7" i="32"/>
  <c r="U7" i="32" s="1"/>
  <c r="J7" i="32"/>
  <c r="M7" i="32" s="1"/>
  <c r="X6" i="32"/>
  <c r="S6" i="32"/>
  <c r="U6" i="32" s="1"/>
  <c r="J6" i="32"/>
  <c r="M6" i="32" s="1"/>
  <c r="X5" i="32"/>
  <c r="S5" i="32"/>
  <c r="U5" i="32" s="1"/>
  <c r="J5" i="32"/>
  <c r="M5" i="32" s="1"/>
  <c r="X4" i="32"/>
  <c r="S4" i="32"/>
  <c r="U4" i="32" s="1"/>
  <c r="J4" i="32"/>
  <c r="M4" i="32" s="1"/>
  <c r="K219" i="31"/>
  <c r="K211" i="31"/>
  <c r="N14" i="9" s="1"/>
  <c r="K208" i="31"/>
  <c r="K218" i="31" s="1"/>
  <c r="J203" i="31"/>
  <c r="M203" i="31" s="1"/>
  <c r="J202" i="31"/>
  <c r="M202" i="31" s="1"/>
  <c r="J201" i="31"/>
  <c r="M201" i="31" s="1"/>
  <c r="J200" i="31"/>
  <c r="M200" i="31" s="1"/>
  <c r="J199" i="31"/>
  <c r="M199" i="31" s="1"/>
  <c r="J198" i="31"/>
  <c r="M198" i="31" s="1"/>
  <c r="J197" i="31"/>
  <c r="M197" i="31" s="1"/>
  <c r="M196" i="31"/>
  <c r="J196" i="31"/>
  <c r="J195" i="31"/>
  <c r="M195" i="31" s="1"/>
  <c r="J194" i="31"/>
  <c r="M194" i="31" s="1"/>
  <c r="J193" i="31"/>
  <c r="M193" i="31" s="1"/>
  <c r="J192" i="31"/>
  <c r="M192" i="31" s="1"/>
  <c r="J191" i="31"/>
  <c r="M191" i="31" s="1"/>
  <c r="J190" i="31"/>
  <c r="M190" i="31" s="1"/>
  <c r="J189" i="31"/>
  <c r="M189" i="31" s="1"/>
  <c r="J188" i="31"/>
  <c r="M188" i="31" s="1"/>
  <c r="J187" i="31"/>
  <c r="M187" i="31" s="1"/>
  <c r="J186" i="31"/>
  <c r="M186" i="31" s="1"/>
  <c r="J185" i="31"/>
  <c r="M185" i="31" s="1"/>
  <c r="J184" i="31"/>
  <c r="M184" i="31" s="1"/>
  <c r="J183" i="31"/>
  <c r="M183" i="31" s="1"/>
  <c r="J182" i="31"/>
  <c r="M182" i="31" s="1"/>
  <c r="J181" i="31"/>
  <c r="M181" i="31" s="1"/>
  <c r="J180" i="31"/>
  <c r="M180" i="31" s="1"/>
  <c r="J179" i="31"/>
  <c r="M179" i="31" s="1"/>
  <c r="J178" i="31"/>
  <c r="M178" i="31" s="1"/>
  <c r="J177" i="31"/>
  <c r="M177" i="31" s="1"/>
  <c r="J176" i="31"/>
  <c r="M176" i="31" s="1"/>
  <c r="J175" i="31"/>
  <c r="M175" i="31" s="1"/>
  <c r="J174" i="31"/>
  <c r="M174" i="31" s="1"/>
  <c r="J173" i="31"/>
  <c r="M173" i="31" s="1"/>
  <c r="J172" i="31"/>
  <c r="M172" i="31" s="1"/>
  <c r="J171" i="31"/>
  <c r="M171" i="31" s="1"/>
  <c r="J170" i="31"/>
  <c r="M170" i="31" s="1"/>
  <c r="J169" i="31"/>
  <c r="M169" i="31" s="1"/>
  <c r="J168" i="31"/>
  <c r="M168" i="31" s="1"/>
  <c r="J167" i="31"/>
  <c r="M167" i="31" s="1"/>
  <c r="J166" i="31"/>
  <c r="M166" i="31" s="1"/>
  <c r="J165" i="31"/>
  <c r="M165" i="31" s="1"/>
  <c r="J164" i="31"/>
  <c r="M164" i="31" s="1"/>
  <c r="J163" i="31"/>
  <c r="M163" i="31" s="1"/>
  <c r="J162" i="31"/>
  <c r="M162" i="31" s="1"/>
  <c r="J161" i="31"/>
  <c r="M161" i="31" s="1"/>
  <c r="J160" i="31"/>
  <c r="M160" i="31" s="1"/>
  <c r="J159" i="31"/>
  <c r="M159" i="31" s="1"/>
  <c r="J158" i="31"/>
  <c r="M158" i="31" s="1"/>
  <c r="J157" i="31"/>
  <c r="M157" i="31" s="1"/>
  <c r="J156" i="31"/>
  <c r="M156" i="31" s="1"/>
  <c r="J155" i="31"/>
  <c r="M155" i="31" s="1"/>
  <c r="J154" i="31"/>
  <c r="M154" i="31" s="1"/>
  <c r="J153" i="31"/>
  <c r="M153" i="31" s="1"/>
  <c r="J152" i="31"/>
  <c r="M152" i="31" s="1"/>
  <c r="J151" i="31"/>
  <c r="M151" i="31" s="1"/>
  <c r="J150" i="31"/>
  <c r="M150" i="31" s="1"/>
  <c r="J149" i="31"/>
  <c r="M149" i="31" s="1"/>
  <c r="J148" i="31"/>
  <c r="M148" i="31" s="1"/>
  <c r="J147" i="31"/>
  <c r="M147" i="31" s="1"/>
  <c r="J146" i="31"/>
  <c r="M146" i="31" s="1"/>
  <c r="J145" i="31"/>
  <c r="M145" i="31" s="1"/>
  <c r="J144" i="31"/>
  <c r="M144" i="31" s="1"/>
  <c r="J143" i="31"/>
  <c r="M143" i="31" s="1"/>
  <c r="J142" i="31"/>
  <c r="M142" i="31" s="1"/>
  <c r="J141" i="31"/>
  <c r="M141" i="31" s="1"/>
  <c r="J140" i="31"/>
  <c r="M140" i="31" s="1"/>
  <c r="J139" i="31"/>
  <c r="M139" i="31" s="1"/>
  <c r="M138" i="31"/>
  <c r="J138" i="31"/>
  <c r="J137" i="31"/>
  <c r="M137" i="31" s="1"/>
  <c r="J136" i="31"/>
  <c r="M136" i="31" s="1"/>
  <c r="J135" i="31"/>
  <c r="M135" i="31" s="1"/>
  <c r="J134" i="31"/>
  <c r="M134" i="31" s="1"/>
  <c r="J133" i="31"/>
  <c r="M133" i="31" s="1"/>
  <c r="M132" i="31"/>
  <c r="J132" i="31"/>
  <c r="J131" i="31"/>
  <c r="M131" i="31" s="1"/>
  <c r="J130" i="31"/>
  <c r="M130" i="31" s="1"/>
  <c r="J129" i="31"/>
  <c r="M129" i="31" s="1"/>
  <c r="J128" i="31"/>
  <c r="M128" i="31" s="1"/>
  <c r="J127" i="31"/>
  <c r="M127" i="31" s="1"/>
  <c r="J126" i="31"/>
  <c r="M126" i="31" s="1"/>
  <c r="J125" i="31"/>
  <c r="M125" i="31" s="1"/>
  <c r="J124" i="31"/>
  <c r="M124" i="31" s="1"/>
  <c r="J123" i="31"/>
  <c r="M123" i="31" s="1"/>
  <c r="J122" i="31"/>
  <c r="M122" i="31" s="1"/>
  <c r="J121" i="31"/>
  <c r="M121" i="31" s="1"/>
  <c r="J120" i="31"/>
  <c r="M120" i="31" s="1"/>
  <c r="J119" i="31"/>
  <c r="M119" i="31" s="1"/>
  <c r="J118" i="31"/>
  <c r="M118" i="31" s="1"/>
  <c r="J117" i="31"/>
  <c r="M117" i="31" s="1"/>
  <c r="J116" i="31"/>
  <c r="M116" i="31" s="1"/>
  <c r="J115" i="31"/>
  <c r="M115" i="31" s="1"/>
  <c r="J114" i="31"/>
  <c r="M114" i="31" s="1"/>
  <c r="J113" i="31"/>
  <c r="M113" i="31" s="1"/>
  <c r="J112" i="31"/>
  <c r="M112" i="31" s="1"/>
  <c r="J111" i="31"/>
  <c r="M111" i="31" s="1"/>
  <c r="J110" i="31"/>
  <c r="M110" i="31" s="1"/>
  <c r="J109" i="31"/>
  <c r="M109" i="31" s="1"/>
  <c r="J108" i="31"/>
  <c r="M108" i="31" s="1"/>
  <c r="J107" i="31"/>
  <c r="M107" i="31" s="1"/>
  <c r="J106" i="31"/>
  <c r="M106" i="31" s="1"/>
  <c r="J105" i="31"/>
  <c r="M105" i="31" s="1"/>
  <c r="Z104" i="31"/>
  <c r="J104" i="31"/>
  <c r="M104" i="31" s="1"/>
  <c r="X103" i="31"/>
  <c r="S103" i="31"/>
  <c r="U103" i="31" s="1"/>
  <c r="J103" i="31"/>
  <c r="M103" i="31" s="1"/>
  <c r="X102" i="31"/>
  <c r="S102" i="31"/>
  <c r="U102" i="31" s="1"/>
  <c r="J102" i="31"/>
  <c r="M102" i="31" s="1"/>
  <c r="X101" i="31"/>
  <c r="S101" i="31"/>
  <c r="U101" i="31" s="1"/>
  <c r="J101" i="31"/>
  <c r="M101" i="31" s="1"/>
  <c r="X100" i="31"/>
  <c r="S100" i="31"/>
  <c r="U100" i="31" s="1"/>
  <c r="J100" i="31"/>
  <c r="M100" i="31" s="1"/>
  <c r="X99" i="31"/>
  <c r="S99" i="31"/>
  <c r="U99" i="31" s="1"/>
  <c r="J99" i="31"/>
  <c r="M99" i="31" s="1"/>
  <c r="X98" i="31"/>
  <c r="S98" i="31"/>
  <c r="U98" i="31" s="1"/>
  <c r="J98" i="31"/>
  <c r="M98" i="31" s="1"/>
  <c r="X97" i="31"/>
  <c r="S97" i="31"/>
  <c r="U97" i="31" s="1"/>
  <c r="J97" i="31"/>
  <c r="M97" i="31" s="1"/>
  <c r="X96" i="31"/>
  <c r="U96" i="31"/>
  <c r="S96" i="31"/>
  <c r="J96" i="31"/>
  <c r="M96" i="31" s="1"/>
  <c r="X95" i="31"/>
  <c r="S95" i="31"/>
  <c r="U95" i="31" s="1"/>
  <c r="J95" i="31"/>
  <c r="M95" i="31" s="1"/>
  <c r="X94" i="31"/>
  <c r="S94" i="31"/>
  <c r="U94" i="31" s="1"/>
  <c r="J94" i="31"/>
  <c r="M94" i="31" s="1"/>
  <c r="X93" i="31"/>
  <c r="U93" i="31"/>
  <c r="S93" i="31"/>
  <c r="J93" i="31"/>
  <c r="M93" i="31" s="1"/>
  <c r="X92" i="31"/>
  <c r="S92" i="31"/>
  <c r="U92" i="31" s="1"/>
  <c r="J92" i="31"/>
  <c r="M92" i="31" s="1"/>
  <c r="X91" i="31"/>
  <c r="S91" i="31"/>
  <c r="U91" i="31" s="1"/>
  <c r="J91" i="31"/>
  <c r="M91" i="31" s="1"/>
  <c r="X90" i="31"/>
  <c r="U90" i="31"/>
  <c r="S90" i="31"/>
  <c r="J90" i="31"/>
  <c r="M90" i="31" s="1"/>
  <c r="X89" i="31"/>
  <c r="S89" i="31"/>
  <c r="U89" i="31" s="1"/>
  <c r="J89" i="31"/>
  <c r="M89" i="31" s="1"/>
  <c r="X88" i="31"/>
  <c r="S88" i="31"/>
  <c r="U88" i="31" s="1"/>
  <c r="J88" i="31"/>
  <c r="M88" i="31" s="1"/>
  <c r="X87" i="31"/>
  <c r="U87" i="31"/>
  <c r="S87" i="31"/>
  <c r="J87" i="31"/>
  <c r="M87" i="31" s="1"/>
  <c r="X86" i="31"/>
  <c r="S86" i="31"/>
  <c r="U86" i="31" s="1"/>
  <c r="J86" i="31"/>
  <c r="M86" i="31" s="1"/>
  <c r="X85" i="31"/>
  <c r="S85" i="31"/>
  <c r="U85" i="31" s="1"/>
  <c r="J85" i="31"/>
  <c r="M85" i="31" s="1"/>
  <c r="X84" i="31"/>
  <c r="U84" i="31"/>
  <c r="S84" i="31"/>
  <c r="J84" i="31"/>
  <c r="M84" i="31" s="1"/>
  <c r="X83" i="31"/>
  <c r="S83" i="31"/>
  <c r="U83" i="31" s="1"/>
  <c r="J83" i="31"/>
  <c r="M83" i="31" s="1"/>
  <c r="X82" i="31"/>
  <c r="S82" i="31"/>
  <c r="U82" i="31" s="1"/>
  <c r="J82" i="31"/>
  <c r="M82" i="31" s="1"/>
  <c r="X81" i="31"/>
  <c r="U81" i="31"/>
  <c r="S81" i="31"/>
  <c r="J81" i="31"/>
  <c r="M81" i="31" s="1"/>
  <c r="X80" i="31"/>
  <c r="S80" i="31"/>
  <c r="U80" i="31" s="1"/>
  <c r="J80" i="31"/>
  <c r="M80" i="31" s="1"/>
  <c r="X79" i="31"/>
  <c r="S79" i="31"/>
  <c r="U79" i="31" s="1"/>
  <c r="J79" i="31"/>
  <c r="M79" i="31" s="1"/>
  <c r="X78" i="31"/>
  <c r="U78" i="31"/>
  <c r="S78" i="31"/>
  <c r="J78" i="31"/>
  <c r="M78" i="31" s="1"/>
  <c r="X77" i="31"/>
  <c r="S77" i="31"/>
  <c r="U77" i="31" s="1"/>
  <c r="J77" i="31"/>
  <c r="M77" i="31" s="1"/>
  <c r="X76" i="31"/>
  <c r="S76" i="31"/>
  <c r="U76" i="31" s="1"/>
  <c r="J76" i="31"/>
  <c r="M76" i="31" s="1"/>
  <c r="X75" i="31"/>
  <c r="U75" i="31"/>
  <c r="S75" i="31"/>
  <c r="J75" i="31"/>
  <c r="M75" i="31" s="1"/>
  <c r="X74" i="31"/>
  <c r="S74" i="31"/>
  <c r="U74" i="31" s="1"/>
  <c r="J74" i="31"/>
  <c r="M74" i="31" s="1"/>
  <c r="X73" i="31"/>
  <c r="S73" i="31"/>
  <c r="U73" i="31" s="1"/>
  <c r="J73" i="31"/>
  <c r="M73" i="31" s="1"/>
  <c r="X72" i="31"/>
  <c r="U72" i="31"/>
  <c r="S72" i="31"/>
  <c r="J72" i="31"/>
  <c r="M72" i="31" s="1"/>
  <c r="X71" i="31"/>
  <c r="S71" i="31"/>
  <c r="U71" i="31" s="1"/>
  <c r="J71" i="31"/>
  <c r="M71" i="31" s="1"/>
  <c r="X70" i="31"/>
  <c r="S70" i="31"/>
  <c r="U70" i="31" s="1"/>
  <c r="J70" i="31"/>
  <c r="M70" i="31" s="1"/>
  <c r="X69" i="31"/>
  <c r="U69" i="31"/>
  <c r="S69" i="31"/>
  <c r="J69" i="31"/>
  <c r="M69" i="31" s="1"/>
  <c r="X68" i="31"/>
  <c r="S68" i="31"/>
  <c r="U68" i="31" s="1"/>
  <c r="J68" i="31"/>
  <c r="M68" i="31" s="1"/>
  <c r="X67" i="31"/>
  <c r="S67" i="31"/>
  <c r="U67" i="31" s="1"/>
  <c r="J67" i="31"/>
  <c r="M67" i="31" s="1"/>
  <c r="X66" i="31"/>
  <c r="U66" i="31"/>
  <c r="S66" i="31"/>
  <c r="J66" i="31"/>
  <c r="M66" i="31" s="1"/>
  <c r="X65" i="31"/>
  <c r="S65" i="31"/>
  <c r="U65" i="31" s="1"/>
  <c r="J65" i="31"/>
  <c r="M65" i="31" s="1"/>
  <c r="X64" i="31"/>
  <c r="S64" i="31"/>
  <c r="U64" i="31" s="1"/>
  <c r="J64" i="31"/>
  <c r="M64" i="31" s="1"/>
  <c r="X63" i="31"/>
  <c r="U63" i="31"/>
  <c r="S63" i="31"/>
  <c r="J63" i="31"/>
  <c r="M63" i="31" s="1"/>
  <c r="X62" i="31"/>
  <c r="S62" i="31"/>
  <c r="U62" i="31" s="1"/>
  <c r="J62" i="31"/>
  <c r="M62" i="31" s="1"/>
  <c r="X61" i="31"/>
  <c r="S61" i="31"/>
  <c r="U61" i="31" s="1"/>
  <c r="J61" i="31"/>
  <c r="M61" i="31" s="1"/>
  <c r="X60" i="31"/>
  <c r="U60" i="31"/>
  <c r="S60" i="31"/>
  <c r="J60" i="31"/>
  <c r="M60" i="31" s="1"/>
  <c r="X59" i="31"/>
  <c r="S59" i="31"/>
  <c r="U59" i="31" s="1"/>
  <c r="J59" i="31"/>
  <c r="M59" i="31" s="1"/>
  <c r="X58" i="31"/>
  <c r="U58" i="31"/>
  <c r="S58" i="31"/>
  <c r="J58" i="31"/>
  <c r="M58" i="31" s="1"/>
  <c r="X57" i="31"/>
  <c r="S57" i="31"/>
  <c r="U57" i="31" s="1"/>
  <c r="J57" i="31"/>
  <c r="M57" i="31" s="1"/>
  <c r="X56" i="31"/>
  <c r="S56" i="31"/>
  <c r="U56" i="31" s="1"/>
  <c r="J56" i="31"/>
  <c r="M56" i="31" s="1"/>
  <c r="X55" i="31"/>
  <c r="S55" i="31"/>
  <c r="U55" i="31" s="1"/>
  <c r="J55" i="31"/>
  <c r="M55" i="31" s="1"/>
  <c r="X54" i="31"/>
  <c r="S54" i="31"/>
  <c r="U54" i="31" s="1"/>
  <c r="J54" i="31"/>
  <c r="M54" i="31" s="1"/>
  <c r="X53" i="31"/>
  <c r="S53" i="31"/>
  <c r="U53" i="31" s="1"/>
  <c r="J53" i="31"/>
  <c r="M53" i="31" s="1"/>
  <c r="X52" i="31"/>
  <c r="S52" i="31"/>
  <c r="U52" i="31" s="1"/>
  <c r="J52" i="31"/>
  <c r="M52" i="31" s="1"/>
  <c r="X51" i="31"/>
  <c r="S51" i="31"/>
  <c r="U51" i="31" s="1"/>
  <c r="J51" i="31"/>
  <c r="M51" i="31" s="1"/>
  <c r="X50" i="31"/>
  <c r="S50" i="31"/>
  <c r="U50" i="31" s="1"/>
  <c r="J50" i="31"/>
  <c r="M50" i="31" s="1"/>
  <c r="X49" i="31"/>
  <c r="S49" i="31"/>
  <c r="U49" i="31" s="1"/>
  <c r="J49" i="31"/>
  <c r="M49" i="31" s="1"/>
  <c r="X48" i="31"/>
  <c r="S48" i="31"/>
  <c r="U48" i="31" s="1"/>
  <c r="J48" i="31"/>
  <c r="M48" i="31" s="1"/>
  <c r="X47" i="31"/>
  <c r="S47" i="31"/>
  <c r="U47" i="31" s="1"/>
  <c r="J47" i="31"/>
  <c r="M47" i="31" s="1"/>
  <c r="X46" i="31"/>
  <c r="S46" i="31"/>
  <c r="U46" i="31" s="1"/>
  <c r="J46" i="31"/>
  <c r="M46" i="31" s="1"/>
  <c r="X45" i="31"/>
  <c r="S45" i="31"/>
  <c r="U45" i="31" s="1"/>
  <c r="J45" i="31"/>
  <c r="M45" i="31" s="1"/>
  <c r="X44" i="31"/>
  <c r="S44" i="31"/>
  <c r="U44" i="31" s="1"/>
  <c r="J44" i="31"/>
  <c r="M44" i="31" s="1"/>
  <c r="X43" i="31"/>
  <c r="S43" i="31"/>
  <c r="U43" i="31" s="1"/>
  <c r="J43" i="31"/>
  <c r="M43" i="31" s="1"/>
  <c r="X42" i="31"/>
  <c r="S42" i="31"/>
  <c r="U42" i="31" s="1"/>
  <c r="J42" i="31"/>
  <c r="M42" i="31" s="1"/>
  <c r="X41" i="31"/>
  <c r="S41" i="31"/>
  <c r="U41" i="31" s="1"/>
  <c r="J41" i="31"/>
  <c r="M41" i="31" s="1"/>
  <c r="X40" i="31"/>
  <c r="S40" i="31"/>
  <c r="U40" i="31" s="1"/>
  <c r="J40" i="31"/>
  <c r="M40" i="31" s="1"/>
  <c r="X39" i="31"/>
  <c r="S39" i="31"/>
  <c r="U39" i="31" s="1"/>
  <c r="J39" i="31"/>
  <c r="M39" i="31" s="1"/>
  <c r="X38" i="31"/>
  <c r="S38" i="31"/>
  <c r="U38" i="31" s="1"/>
  <c r="J38" i="31"/>
  <c r="M38" i="31" s="1"/>
  <c r="X37" i="31"/>
  <c r="S37" i="31"/>
  <c r="U37" i="31" s="1"/>
  <c r="J37" i="31"/>
  <c r="M37" i="31" s="1"/>
  <c r="X36" i="31"/>
  <c r="S36" i="31"/>
  <c r="U36" i="31" s="1"/>
  <c r="J36" i="31"/>
  <c r="M36" i="31" s="1"/>
  <c r="X35" i="31"/>
  <c r="S35" i="31"/>
  <c r="U35" i="31" s="1"/>
  <c r="J35" i="31"/>
  <c r="M35" i="31" s="1"/>
  <c r="X34" i="31"/>
  <c r="S34" i="31"/>
  <c r="U34" i="31" s="1"/>
  <c r="J34" i="31"/>
  <c r="M34" i="31" s="1"/>
  <c r="X33" i="31"/>
  <c r="S33" i="31"/>
  <c r="U33" i="31" s="1"/>
  <c r="J33" i="31"/>
  <c r="M33" i="31" s="1"/>
  <c r="X32" i="31"/>
  <c r="S32" i="31"/>
  <c r="U32" i="31" s="1"/>
  <c r="J32" i="31"/>
  <c r="M32" i="31" s="1"/>
  <c r="X31" i="31"/>
  <c r="S31" i="31"/>
  <c r="U31" i="31" s="1"/>
  <c r="J31" i="31"/>
  <c r="M31" i="31" s="1"/>
  <c r="X30" i="31"/>
  <c r="S30" i="31"/>
  <c r="U30" i="31" s="1"/>
  <c r="J30" i="31"/>
  <c r="M30" i="31" s="1"/>
  <c r="X29" i="31"/>
  <c r="S29" i="31"/>
  <c r="U29" i="31" s="1"/>
  <c r="J29" i="31"/>
  <c r="M29" i="31" s="1"/>
  <c r="X28" i="31"/>
  <c r="S28" i="31"/>
  <c r="U28" i="31" s="1"/>
  <c r="J28" i="31"/>
  <c r="M28" i="31" s="1"/>
  <c r="X27" i="31"/>
  <c r="S27" i="31"/>
  <c r="U27" i="31" s="1"/>
  <c r="J27" i="31"/>
  <c r="M27" i="31" s="1"/>
  <c r="X26" i="31"/>
  <c r="S26" i="31"/>
  <c r="U26" i="31" s="1"/>
  <c r="J26" i="31"/>
  <c r="M26" i="31" s="1"/>
  <c r="X25" i="31"/>
  <c r="S25" i="31"/>
  <c r="U25" i="31" s="1"/>
  <c r="J25" i="31"/>
  <c r="M25" i="31" s="1"/>
  <c r="X24" i="31"/>
  <c r="S24" i="31"/>
  <c r="U24" i="31" s="1"/>
  <c r="J24" i="31"/>
  <c r="M24" i="31" s="1"/>
  <c r="X23" i="31"/>
  <c r="S23" i="31"/>
  <c r="U23" i="31" s="1"/>
  <c r="J23" i="31"/>
  <c r="M23" i="31" s="1"/>
  <c r="X22" i="31"/>
  <c r="S22" i="31"/>
  <c r="U22" i="31" s="1"/>
  <c r="J22" i="31"/>
  <c r="M22" i="31" s="1"/>
  <c r="X21" i="31"/>
  <c r="S21" i="31"/>
  <c r="U21" i="31" s="1"/>
  <c r="J21" i="31"/>
  <c r="M21" i="31" s="1"/>
  <c r="X20" i="31"/>
  <c r="S20" i="31"/>
  <c r="U20" i="31" s="1"/>
  <c r="J20" i="31"/>
  <c r="M20" i="31" s="1"/>
  <c r="X19" i="31"/>
  <c r="S19" i="31"/>
  <c r="U19" i="31" s="1"/>
  <c r="J19" i="31"/>
  <c r="M19" i="31" s="1"/>
  <c r="X18" i="31"/>
  <c r="S18" i="31"/>
  <c r="U18" i="31" s="1"/>
  <c r="J18" i="31"/>
  <c r="M18" i="31" s="1"/>
  <c r="X17" i="31"/>
  <c r="S17" i="31"/>
  <c r="U17" i="31" s="1"/>
  <c r="J17" i="31"/>
  <c r="M17" i="31" s="1"/>
  <c r="X16" i="31"/>
  <c r="S16" i="31"/>
  <c r="U16" i="31" s="1"/>
  <c r="J16" i="31"/>
  <c r="M16" i="31" s="1"/>
  <c r="X15" i="31"/>
  <c r="S15" i="31"/>
  <c r="U15" i="31" s="1"/>
  <c r="J15" i="31"/>
  <c r="M15" i="31" s="1"/>
  <c r="X14" i="31"/>
  <c r="S14" i="31"/>
  <c r="U14" i="31" s="1"/>
  <c r="J14" i="31"/>
  <c r="M14" i="31" s="1"/>
  <c r="X13" i="31"/>
  <c r="S13" i="31"/>
  <c r="U13" i="31" s="1"/>
  <c r="J13" i="31"/>
  <c r="M13" i="31" s="1"/>
  <c r="X12" i="31"/>
  <c r="S12" i="31"/>
  <c r="U12" i="31" s="1"/>
  <c r="J12" i="31"/>
  <c r="M12" i="31" s="1"/>
  <c r="X11" i="31"/>
  <c r="S11" i="31"/>
  <c r="U11" i="31" s="1"/>
  <c r="J11" i="31"/>
  <c r="M11" i="31" s="1"/>
  <c r="X10" i="31"/>
  <c r="S10" i="31"/>
  <c r="U10" i="31" s="1"/>
  <c r="J10" i="31"/>
  <c r="M10" i="31" s="1"/>
  <c r="X9" i="31"/>
  <c r="S9" i="31"/>
  <c r="U9" i="31" s="1"/>
  <c r="J9" i="31"/>
  <c r="M9" i="31" s="1"/>
  <c r="X8" i="31"/>
  <c r="S8" i="31"/>
  <c r="U8" i="31" s="1"/>
  <c r="J8" i="31"/>
  <c r="M8" i="31" s="1"/>
  <c r="X7" i="31"/>
  <c r="S7" i="31"/>
  <c r="U7" i="31" s="1"/>
  <c r="J7" i="31"/>
  <c r="M7" i="31" s="1"/>
  <c r="X6" i="31"/>
  <c r="S6" i="31"/>
  <c r="U6" i="31" s="1"/>
  <c r="J6" i="31"/>
  <c r="M6" i="31" s="1"/>
  <c r="X5" i="31"/>
  <c r="S5" i="31"/>
  <c r="U5" i="31" s="1"/>
  <c r="J5" i="31"/>
  <c r="M5" i="31" s="1"/>
  <c r="X4" i="31"/>
  <c r="S4" i="31"/>
  <c r="U4" i="31" s="1"/>
  <c r="J4" i="31"/>
  <c r="K219" i="30"/>
  <c r="K211" i="30"/>
  <c r="N13" i="9" s="1"/>
  <c r="K208" i="30"/>
  <c r="K218" i="30" s="1"/>
  <c r="M203" i="30"/>
  <c r="J203" i="30"/>
  <c r="J202" i="30"/>
  <c r="M202" i="30" s="1"/>
  <c r="J201" i="30"/>
  <c r="M201" i="30" s="1"/>
  <c r="J200" i="30"/>
  <c r="M200" i="30" s="1"/>
  <c r="J199" i="30"/>
  <c r="M199" i="30" s="1"/>
  <c r="J198" i="30"/>
  <c r="M198" i="30" s="1"/>
  <c r="J197" i="30"/>
  <c r="M197" i="30" s="1"/>
  <c r="J196" i="30"/>
  <c r="M196" i="30" s="1"/>
  <c r="J195" i="30"/>
  <c r="M195" i="30" s="1"/>
  <c r="J194" i="30"/>
  <c r="M194" i="30" s="1"/>
  <c r="J193" i="30"/>
  <c r="M193" i="30" s="1"/>
  <c r="J192" i="30"/>
  <c r="M192" i="30" s="1"/>
  <c r="J191" i="30"/>
  <c r="M191" i="30" s="1"/>
  <c r="J190" i="30"/>
  <c r="M190" i="30" s="1"/>
  <c r="J189" i="30"/>
  <c r="M189" i="30" s="1"/>
  <c r="J188" i="30"/>
  <c r="M188" i="30" s="1"/>
  <c r="J187" i="30"/>
  <c r="M187" i="30" s="1"/>
  <c r="J186" i="30"/>
  <c r="M186" i="30" s="1"/>
  <c r="J185" i="30"/>
  <c r="M185" i="30" s="1"/>
  <c r="J184" i="30"/>
  <c r="M184" i="30" s="1"/>
  <c r="J183" i="30"/>
  <c r="M183" i="30" s="1"/>
  <c r="J182" i="30"/>
  <c r="M182" i="30" s="1"/>
  <c r="J181" i="30"/>
  <c r="M181" i="30" s="1"/>
  <c r="J180" i="30"/>
  <c r="M180" i="30" s="1"/>
  <c r="J179" i="30"/>
  <c r="M179" i="30" s="1"/>
  <c r="J178" i="30"/>
  <c r="M178" i="30" s="1"/>
  <c r="J177" i="30"/>
  <c r="M177" i="30" s="1"/>
  <c r="J176" i="30"/>
  <c r="M176" i="30" s="1"/>
  <c r="J175" i="30"/>
  <c r="M175" i="30" s="1"/>
  <c r="J174" i="30"/>
  <c r="M174" i="30" s="1"/>
  <c r="J173" i="30"/>
  <c r="M173" i="30" s="1"/>
  <c r="J172" i="30"/>
  <c r="M172" i="30" s="1"/>
  <c r="J171" i="30"/>
  <c r="M171" i="30" s="1"/>
  <c r="J170" i="30"/>
  <c r="M170" i="30" s="1"/>
  <c r="J169" i="30"/>
  <c r="M169" i="30" s="1"/>
  <c r="J168" i="30"/>
  <c r="M168" i="30" s="1"/>
  <c r="J167" i="30"/>
  <c r="M167" i="30" s="1"/>
  <c r="J166" i="30"/>
  <c r="M166" i="30" s="1"/>
  <c r="J165" i="30"/>
  <c r="M165" i="30" s="1"/>
  <c r="J164" i="30"/>
  <c r="M164" i="30" s="1"/>
  <c r="J163" i="30"/>
  <c r="M163" i="30" s="1"/>
  <c r="J162" i="30"/>
  <c r="M162" i="30" s="1"/>
  <c r="J161" i="30"/>
  <c r="M161" i="30" s="1"/>
  <c r="M160" i="30"/>
  <c r="J160" i="30"/>
  <c r="J159" i="30"/>
  <c r="M159" i="30" s="1"/>
  <c r="J158" i="30"/>
  <c r="M158" i="30" s="1"/>
  <c r="J157" i="30"/>
  <c r="M157" i="30" s="1"/>
  <c r="J156" i="30"/>
  <c r="M156" i="30" s="1"/>
  <c r="M155" i="30"/>
  <c r="J155" i="30"/>
  <c r="J154" i="30"/>
  <c r="M154" i="30" s="1"/>
  <c r="J153" i="30"/>
  <c r="M153" i="30" s="1"/>
  <c r="J152" i="30"/>
  <c r="M152" i="30" s="1"/>
  <c r="J151" i="30"/>
  <c r="M151" i="30" s="1"/>
  <c r="J150" i="30"/>
  <c r="M150" i="30" s="1"/>
  <c r="J149" i="30"/>
  <c r="M149" i="30" s="1"/>
  <c r="J148" i="30"/>
  <c r="M148" i="30" s="1"/>
  <c r="J147" i="30"/>
  <c r="M147" i="30" s="1"/>
  <c r="J146" i="30"/>
  <c r="M146" i="30" s="1"/>
  <c r="J145" i="30"/>
  <c r="M145" i="30" s="1"/>
  <c r="J144" i="30"/>
  <c r="M144" i="30" s="1"/>
  <c r="J143" i="30"/>
  <c r="M143" i="30" s="1"/>
  <c r="J142" i="30"/>
  <c r="M142" i="30" s="1"/>
  <c r="J141" i="30"/>
  <c r="M141" i="30" s="1"/>
  <c r="J140" i="30"/>
  <c r="M140" i="30" s="1"/>
  <c r="J139" i="30"/>
  <c r="M139" i="30" s="1"/>
  <c r="J138" i="30"/>
  <c r="M138" i="30" s="1"/>
  <c r="J137" i="30"/>
  <c r="M137" i="30" s="1"/>
  <c r="J136" i="30"/>
  <c r="M136" i="30" s="1"/>
  <c r="J135" i="30"/>
  <c r="M135" i="30" s="1"/>
  <c r="M134" i="30"/>
  <c r="J134" i="30"/>
  <c r="J133" i="30"/>
  <c r="M133" i="30" s="1"/>
  <c r="J132" i="30"/>
  <c r="M132" i="30" s="1"/>
  <c r="J131" i="30"/>
  <c r="M131" i="30" s="1"/>
  <c r="J130" i="30"/>
  <c r="M130" i="30" s="1"/>
  <c r="J129" i="30"/>
  <c r="M129" i="30" s="1"/>
  <c r="J128" i="30"/>
  <c r="M128" i="30" s="1"/>
  <c r="J127" i="30"/>
  <c r="M127" i="30" s="1"/>
  <c r="J126" i="30"/>
  <c r="M126" i="30" s="1"/>
  <c r="J125" i="30"/>
  <c r="M125" i="30" s="1"/>
  <c r="J124" i="30"/>
  <c r="M124" i="30" s="1"/>
  <c r="M123" i="30"/>
  <c r="J123" i="30"/>
  <c r="J122" i="30"/>
  <c r="M122" i="30" s="1"/>
  <c r="J121" i="30"/>
  <c r="M121" i="30" s="1"/>
  <c r="J120" i="30"/>
  <c r="M120" i="30" s="1"/>
  <c r="J119" i="30"/>
  <c r="M119" i="30" s="1"/>
  <c r="M118" i="30"/>
  <c r="J118" i="30"/>
  <c r="J117" i="30"/>
  <c r="M117" i="30" s="1"/>
  <c r="J116" i="30"/>
  <c r="M116" i="30" s="1"/>
  <c r="J115" i="30"/>
  <c r="M115" i="30" s="1"/>
  <c r="J114" i="30"/>
  <c r="M114" i="30" s="1"/>
  <c r="J113" i="30"/>
  <c r="M113" i="30" s="1"/>
  <c r="J112" i="30"/>
  <c r="M112" i="30" s="1"/>
  <c r="J111" i="30"/>
  <c r="M111" i="30" s="1"/>
  <c r="J110" i="30"/>
  <c r="M110" i="30" s="1"/>
  <c r="J109" i="30"/>
  <c r="M109" i="30" s="1"/>
  <c r="J108" i="30"/>
  <c r="M108" i="30" s="1"/>
  <c r="J107" i="30"/>
  <c r="M107" i="30" s="1"/>
  <c r="J106" i="30"/>
  <c r="M106" i="30" s="1"/>
  <c r="J105" i="30"/>
  <c r="M105" i="30" s="1"/>
  <c r="Z104" i="30"/>
  <c r="J104" i="30"/>
  <c r="M104" i="30" s="1"/>
  <c r="X103" i="30"/>
  <c r="S103" i="30"/>
  <c r="U103" i="30" s="1"/>
  <c r="J103" i="30"/>
  <c r="M103" i="30" s="1"/>
  <c r="X102" i="30"/>
  <c r="S102" i="30"/>
  <c r="U102" i="30" s="1"/>
  <c r="J102" i="30"/>
  <c r="M102" i="30" s="1"/>
  <c r="X101" i="30"/>
  <c r="S101" i="30"/>
  <c r="U101" i="30" s="1"/>
  <c r="J101" i="30"/>
  <c r="M101" i="30" s="1"/>
  <c r="X100" i="30"/>
  <c r="S100" i="30"/>
  <c r="U100" i="30" s="1"/>
  <c r="J100" i="30"/>
  <c r="M100" i="30" s="1"/>
  <c r="X99" i="30"/>
  <c r="U99" i="30"/>
  <c r="S99" i="30"/>
  <c r="J99" i="30"/>
  <c r="M99" i="30" s="1"/>
  <c r="X98" i="30"/>
  <c r="S98" i="30"/>
  <c r="U98" i="30" s="1"/>
  <c r="J98" i="30"/>
  <c r="M98" i="30" s="1"/>
  <c r="X97" i="30"/>
  <c r="S97" i="30"/>
  <c r="U97" i="30" s="1"/>
  <c r="J97" i="30"/>
  <c r="M97" i="30" s="1"/>
  <c r="X96" i="30"/>
  <c r="U96" i="30"/>
  <c r="S96" i="30"/>
  <c r="J96" i="30"/>
  <c r="M96" i="30" s="1"/>
  <c r="X95" i="30"/>
  <c r="S95" i="30"/>
  <c r="U95" i="30" s="1"/>
  <c r="J95" i="30"/>
  <c r="M95" i="30" s="1"/>
  <c r="X94" i="30"/>
  <c r="S94" i="30"/>
  <c r="U94" i="30" s="1"/>
  <c r="J94" i="30"/>
  <c r="M94" i="30" s="1"/>
  <c r="X93" i="30"/>
  <c r="S93" i="30"/>
  <c r="U93" i="30" s="1"/>
  <c r="J93" i="30"/>
  <c r="M93" i="30" s="1"/>
  <c r="X92" i="30"/>
  <c r="S92" i="30"/>
  <c r="U92" i="30" s="1"/>
  <c r="J92" i="30"/>
  <c r="M92" i="30" s="1"/>
  <c r="X91" i="30"/>
  <c r="S91" i="30"/>
  <c r="U91" i="30" s="1"/>
  <c r="J91" i="30"/>
  <c r="M91" i="30" s="1"/>
  <c r="X90" i="30"/>
  <c r="S90" i="30"/>
  <c r="U90" i="30" s="1"/>
  <c r="J90" i="30"/>
  <c r="M90" i="30" s="1"/>
  <c r="X89" i="30"/>
  <c r="S89" i="30"/>
  <c r="U89" i="30" s="1"/>
  <c r="J89" i="30"/>
  <c r="M89" i="30" s="1"/>
  <c r="X88" i="30"/>
  <c r="S88" i="30"/>
  <c r="U88" i="30" s="1"/>
  <c r="J88" i="30"/>
  <c r="M88" i="30" s="1"/>
  <c r="X87" i="30"/>
  <c r="S87" i="30"/>
  <c r="U87" i="30" s="1"/>
  <c r="J87" i="30"/>
  <c r="M87" i="30" s="1"/>
  <c r="X86" i="30"/>
  <c r="S86" i="30"/>
  <c r="U86" i="30" s="1"/>
  <c r="J86" i="30"/>
  <c r="M86" i="30" s="1"/>
  <c r="X85" i="30"/>
  <c r="S85" i="30"/>
  <c r="U85" i="30" s="1"/>
  <c r="J85" i="30"/>
  <c r="M85" i="30" s="1"/>
  <c r="X84" i="30"/>
  <c r="S84" i="30"/>
  <c r="U84" i="30" s="1"/>
  <c r="J84" i="30"/>
  <c r="M84" i="30" s="1"/>
  <c r="X83" i="30"/>
  <c r="U83" i="30"/>
  <c r="S83" i="30"/>
  <c r="J83" i="30"/>
  <c r="M83" i="30" s="1"/>
  <c r="X82" i="30"/>
  <c r="S82" i="30"/>
  <c r="U82" i="30" s="1"/>
  <c r="J82" i="30"/>
  <c r="M82" i="30" s="1"/>
  <c r="X81" i="30"/>
  <c r="S81" i="30"/>
  <c r="U81" i="30" s="1"/>
  <c r="J81" i="30"/>
  <c r="M81" i="30" s="1"/>
  <c r="X80" i="30"/>
  <c r="U80" i="30"/>
  <c r="S80" i="30"/>
  <c r="J80" i="30"/>
  <c r="M80" i="30" s="1"/>
  <c r="X79" i="30"/>
  <c r="U79" i="30"/>
  <c r="S79" i="30"/>
  <c r="J79" i="30"/>
  <c r="M79" i="30" s="1"/>
  <c r="X78" i="30"/>
  <c r="S78" i="30"/>
  <c r="U78" i="30" s="1"/>
  <c r="J78" i="30"/>
  <c r="M78" i="30" s="1"/>
  <c r="X77" i="30"/>
  <c r="S77" i="30"/>
  <c r="U77" i="30" s="1"/>
  <c r="J77" i="30"/>
  <c r="M77" i="30" s="1"/>
  <c r="X76" i="30"/>
  <c r="S76" i="30"/>
  <c r="U76" i="30" s="1"/>
  <c r="J76" i="30"/>
  <c r="M76" i="30" s="1"/>
  <c r="X75" i="30"/>
  <c r="S75" i="30"/>
  <c r="U75" i="30" s="1"/>
  <c r="J75" i="30"/>
  <c r="M75" i="30" s="1"/>
  <c r="X74" i="30"/>
  <c r="S74" i="30"/>
  <c r="U74" i="30" s="1"/>
  <c r="J74" i="30"/>
  <c r="M74" i="30" s="1"/>
  <c r="X73" i="30"/>
  <c r="S73" i="30"/>
  <c r="U73" i="30" s="1"/>
  <c r="J73" i="30"/>
  <c r="M73" i="30" s="1"/>
  <c r="X72" i="30"/>
  <c r="S72" i="30"/>
  <c r="U72" i="30" s="1"/>
  <c r="J72" i="30"/>
  <c r="M72" i="30" s="1"/>
  <c r="X71" i="30"/>
  <c r="S71" i="30"/>
  <c r="U71" i="30" s="1"/>
  <c r="J71" i="30"/>
  <c r="M71" i="30" s="1"/>
  <c r="X70" i="30"/>
  <c r="S70" i="30"/>
  <c r="U70" i="30" s="1"/>
  <c r="J70" i="30"/>
  <c r="M70" i="30" s="1"/>
  <c r="X69" i="30"/>
  <c r="S69" i="30"/>
  <c r="U69" i="30" s="1"/>
  <c r="J69" i="30"/>
  <c r="M69" i="30" s="1"/>
  <c r="X68" i="30"/>
  <c r="S68" i="30"/>
  <c r="U68" i="30" s="1"/>
  <c r="J68" i="30"/>
  <c r="M68" i="30" s="1"/>
  <c r="X67" i="30"/>
  <c r="U67" i="30"/>
  <c r="S67" i="30"/>
  <c r="J67" i="30"/>
  <c r="M67" i="30" s="1"/>
  <c r="X66" i="30"/>
  <c r="S66" i="30"/>
  <c r="U66" i="30" s="1"/>
  <c r="J66" i="30"/>
  <c r="M66" i="30" s="1"/>
  <c r="X65" i="30"/>
  <c r="S65" i="30"/>
  <c r="U65" i="30" s="1"/>
  <c r="J65" i="30"/>
  <c r="M65" i="30" s="1"/>
  <c r="X64" i="30"/>
  <c r="U64" i="30"/>
  <c r="S64" i="30"/>
  <c r="J64" i="30"/>
  <c r="M64" i="30" s="1"/>
  <c r="X63" i="30"/>
  <c r="U63" i="30"/>
  <c r="S63" i="30"/>
  <c r="J63" i="30"/>
  <c r="M63" i="30" s="1"/>
  <c r="X62" i="30"/>
  <c r="S62" i="30"/>
  <c r="U62" i="30" s="1"/>
  <c r="J62" i="30"/>
  <c r="M62" i="30" s="1"/>
  <c r="X61" i="30"/>
  <c r="S61" i="30"/>
  <c r="U61" i="30" s="1"/>
  <c r="J61" i="30"/>
  <c r="M61" i="30" s="1"/>
  <c r="X60" i="30"/>
  <c r="S60" i="30"/>
  <c r="U60" i="30" s="1"/>
  <c r="J60" i="30"/>
  <c r="M60" i="30" s="1"/>
  <c r="X59" i="30"/>
  <c r="S59" i="30"/>
  <c r="U59" i="30" s="1"/>
  <c r="J59" i="30"/>
  <c r="M59" i="30" s="1"/>
  <c r="X58" i="30"/>
  <c r="S58" i="30"/>
  <c r="U58" i="30" s="1"/>
  <c r="J58" i="30"/>
  <c r="M58" i="30" s="1"/>
  <c r="X57" i="30"/>
  <c r="S57" i="30"/>
  <c r="U57" i="30" s="1"/>
  <c r="J57" i="30"/>
  <c r="M57" i="30" s="1"/>
  <c r="X56" i="30"/>
  <c r="S56" i="30"/>
  <c r="U56" i="30" s="1"/>
  <c r="J56" i="30"/>
  <c r="M56" i="30" s="1"/>
  <c r="X55" i="30"/>
  <c r="S55" i="30"/>
  <c r="U55" i="30" s="1"/>
  <c r="J55" i="30"/>
  <c r="M55" i="30" s="1"/>
  <c r="X54" i="30"/>
  <c r="S54" i="30"/>
  <c r="U54" i="30" s="1"/>
  <c r="J54" i="30"/>
  <c r="M54" i="30" s="1"/>
  <c r="X53" i="30"/>
  <c r="S53" i="30"/>
  <c r="U53" i="30" s="1"/>
  <c r="J53" i="30"/>
  <c r="M53" i="30" s="1"/>
  <c r="X52" i="30"/>
  <c r="S52" i="30"/>
  <c r="U52" i="30" s="1"/>
  <c r="J52" i="30"/>
  <c r="M52" i="30" s="1"/>
  <c r="X51" i="30"/>
  <c r="S51" i="30"/>
  <c r="U51" i="30" s="1"/>
  <c r="J51" i="30"/>
  <c r="M51" i="30" s="1"/>
  <c r="X50" i="30"/>
  <c r="S50" i="30"/>
  <c r="U50" i="30" s="1"/>
  <c r="J50" i="30"/>
  <c r="M50" i="30" s="1"/>
  <c r="X49" i="30"/>
  <c r="S49" i="30"/>
  <c r="U49" i="30" s="1"/>
  <c r="J49" i="30"/>
  <c r="M49" i="30" s="1"/>
  <c r="X48" i="30"/>
  <c r="S48" i="30"/>
  <c r="U48" i="30" s="1"/>
  <c r="J48" i="30"/>
  <c r="M48" i="30" s="1"/>
  <c r="X47" i="30"/>
  <c r="S47" i="30"/>
  <c r="U47" i="30" s="1"/>
  <c r="J47" i="30"/>
  <c r="M47" i="30" s="1"/>
  <c r="X46" i="30"/>
  <c r="S46" i="30"/>
  <c r="U46" i="30" s="1"/>
  <c r="J46" i="30"/>
  <c r="M46" i="30" s="1"/>
  <c r="X45" i="30"/>
  <c r="S45" i="30"/>
  <c r="U45" i="30" s="1"/>
  <c r="J45" i="30"/>
  <c r="M45" i="30" s="1"/>
  <c r="X44" i="30"/>
  <c r="U44" i="30"/>
  <c r="S44" i="30"/>
  <c r="J44" i="30"/>
  <c r="M44" i="30" s="1"/>
  <c r="X43" i="30"/>
  <c r="S43" i="30"/>
  <c r="U43" i="30" s="1"/>
  <c r="J43" i="30"/>
  <c r="M43" i="30" s="1"/>
  <c r="X42" i="30"/>
  <c r="S42" i="30"/>
  <c r="U42" i="30" s="1"/>
  <c r="J42" i="30"/>
  <c r="M42" i="30" s="1"/>
  <c r="X41" i="30"/>
  <c r="S41" i="30"/>
  <c r="U41" i="30" s="1"/>
  <c r="J41" i="30"/>
  <c r="M41" i="30" s="1"/>
  <c r="X40" i="30"/>
  <c r="S40" i="30"/>
  <c r="U40" i="30" s="1"/>
  <c r="J40" i="30"/>
  <c r="M40" i="30" s="1"/>
  <c r="X39" i="30"/>
  <c r="S39" i="30"/>
  <c r="U39" i="30" s="1"/>
  <c r="J39" i="30"/>
  <c r="M39" i="30" s="1"/>
  <c r="X38" i="30"/>
  <c r="S38" i="30"/>
  <c r="U38" i="30" s="1"/>
  <c r="J38" i="30"/>
  <c r="M38" i="30" s="1"/>
  <c r="X37" i="30"/>
  <c r="S37" i="30"/>
  <c r="U37" i="30" s="1"/>
  <c r="J37" i="30"/>
  <c r="M37" i="30" s="1"/>
  <c r="X36" i="30"/>
  <c r="S36" i="30"/>
  <c r="U36" i="30" s="1"/>
  <c r="J36" i="30"/>
  <c r="M36" i="30" s="1"/>
  <c r="X35" i="30"/>
  <c r="S35" i="30"/>
  <c r="U35" i="30" s="1"/>
  <c r="J35" i="30"/>
  <c r="M35" i="30" s="1"/>
  <c r="X34" i="30"/>
  <c r="S34" i="30"/>
  <c r="U34" i="30" s="1"/>
  <c r="J34" i="30"/>
  <c r="M34" i="30" s="1"/>
  <c r="X33" i="30"/>
  <c r="S33" i="30"/>
  <c r="U33" i="30" s="1"/>
  <c r="J33" i="30"/>
  <c r="M33" i="30" s="1"/>
  <c r="X32" i="30"/>
  <c r="S32" i="30"/>
  <c r="U32" i="30" s="1"/>
  <c r="J32" i="30"/>
  <c r="M32" i="30" s="1"/>
  <c r="X31" i="30"/>
  <c r="S31" i="30"/>
  <c r="U31" i="30" s="1"/>
  <c r="J31" i="30"/>
  <c r="M31" i="30" s="1"/>
  <c r="X30" i="30"/>
  <c r="S30" i="30"/>
  <c r="U30" i="30" s="1"/>
  <c r="J30" i="30"/>
  <c r="M30" i="30" s="1"/>
  <c r="X29" i="30"/>
  <c r="S29" i="30"/>
  <c r="U29" i="30" s="1"/>
  <c r="J29" i="30"/>
  <c r="M29" i="30" s="1"/>
  <c r="X28" i="30"/>
  <c r="S28" i="30"/>
  <c r="U28" i="30" s="1"/>
  <c r="J28" i="30"/>
  <c r="M28" i="30" s="1"/>
  <c r="X27" i="30"/>
  <c r="S27" i="30"/>
  <c r="U27" i="30" s="1"/>
  <c r="J27" i="30"/>
  <c r="M27" i="30" s="1"/>
  <c r="X26" i="30"/>
  <c r="S26" i="30"/>
  <c r="U26" i="30" s="1"/>
  <c r="J26" i="30"/>
  <c r="M26" i="30" s="1"/>
  <c r="X25" i="30"/>
  <c r="S25" i="30"/>
  <c r="U25" i="30" s="1"/>
  <c r="J25" i="30"/>
  <c r="M25" i="30" s="1"/>
  <c r="X24" i="30"/>
  <c r="S24" i="30"/>
  <c r="U24" i="30" s="1"/>
  <c r="J24" i="30"/>
  <c r="M24" i="30" s="1"/>
  <c r="X23" i="30"/>
  <c r="S23" i="30"/>
  <c r="U23" i="30" s="1"/>
  <c r="J23" i="30"/>
  <c r="M23" i="30" s="1"/>
  <c r="X22" i="30"/>
  <c r="S22" i="30"/>
  <c r="U22" i="30" s="1"/>
  <c r="J22" i="30"/>
  <c r="M22" i="30" s="1"/>
  <c r="X21" i="30"/>
  <c r="S21" i="30"/>
  <c r="U21" i="30" s="1"/>
  <c r="J21" i="30"/>
  <c r="M21" i="30" s="1"/>
  <c r="X20" i="30"/>
  <c r="S20" i="30"/>
  <c r="U20" i="30" s="1"/>
  <c r="J20" i="30"/>
  <c r="M20" i="30" s="1"/>
  <c r="X19" i="30"/>
  <c r="S19" i="30"/>
  <c r="U19" i="30" s="1"/>
  <c r="J19" i="30"/>
  <c r="M19" i="30" s="1"/>
  <c r="X18" i="30"/>
  <c r="S18" i="30"/>
  <c r="U18" i="30" s="1"/>
  <c r="J18" i="30"/>
  <c r="M18" i="30" s="1"/>
  <c r="X17" i="30"/>
  <c r="S17" i="30"/>
  <c r="U17" i="30" s="1"/>
  <c r="J17" i="30"/>
  <c r="M17" i="30" s="1"/>
  <c r="X16" i="30"/>
  <c r="S16" i="30"/>
  <c r="U16" i="30" s="1"/>
  <c r="J16" i="30"/>
  <c r="M16" i="30" s="1"/>
  <c r="X15" i="30"/>
  <c r="S15" i="30"/>
  <c r="U15" i="30" s="1"/>
  <c r="J15" i="30"/>
  <c r="M15" i="30" s="1"/>
  <c r="X14" i="30"/>
  <c r="S14" i="30"/>
  <c r="U14" i="30" s="1"/>
  <c r="J14" i="30"/>
  <c r="M14" i="30" s="1"/>
  <c r="X13" i="30"/>
  <c r="S13" i="30"/>
  <c r="U13" i="30" s="1"/>
  <c r="J13" i="30"/>
  <c r="M13" i="30" s="1"/>
  <c r="X12" i="30"/>
  <c r="S12" i="30"/>
  <c r="U12" i="30" s="1"/>
  <c r="J12" i="30"/>
  <c r="M12" i="30" s="1"/>
  <c r="X11" i="30"/>
  <c r="S11" i="30"/>
  <c r="U11" i="30" s="1"/>
  <c r="J11" i="30"/>
  <c r="M11" i="30" s="1"/>
  <c r="X10" i="30"/>
  <c r="S10" i="30"/>
  <c r="U10" i="30" s="1"/>
  <c r="J10" i="30"/>
  <c r="M10" i="30" s="1"/>
  <c r="X9" i="30"/>
  <c r="S9" i="30"/>
  <c r="U9" i="30" s="1"/>
  <c r="J9" i="30"/>
  <c r="M9" i="30" s="1"/>
  <c r="X8" i="30"/>
  <c r="S8" i="30"/>
  <c r="U8" i="30" s="1"/>
  <c r="J8" i="30"/>
  <c r="M8" i="30" s="1"/>
  <c r="X7" i="30"/>
  <c r="S7" i="30"/>
  <c r="U7" i="30" s="1"/>
  <c r="J7" i="30"/>
  <c r="M7" i="30" s="1"/>
  <c r="X6" i="30"/>
  <c r="S6" i="30"/>
  <c r="U6" i="30" s="1"/>
  <c r="J6" i="30"/>
  <c r="M6" i="30" s="1"/>
  <c r="X5" i="30"/>
  <c r="S5" i="30"/>
  <c r="U5" i="30" s="1"/>
  <c r="J5" i="30"/>
  <c r="M5" i="30" s="1"/>
  <c r="X4" i="30"/>
  <c r="S4" i="30"/>
  <c r="U4" i="30" s="1"/>
  <c r="J4" i="30"/>
  <c r="K219" i="29"/>
  <c r="K211" i="29"/>
  <c r="N12" i="9" s="1"/>
  <c r="K208" i="29"/>
  <c r="K218" i="29" s="1"/>
  <c r="M203" i="29"/>
  <c r="J203" i="29"/>
  <c r="J202" i="29"/>
  <c r="M202" i="29" s="1"/>
  <c r="J201" i="29"/>
  <c r="M201" i="29" s="1"/>
  <c r="J200" i="29"/>
  <c r="M200" i="29" s="1"/>
  <c r="J199" i="29"/>
  <c r="M199" i="29" s="1"/>
  <c r="J198" i="29"/>
  <c r="M198" i="29" s="1"/>
  <c r="J197" i="29"/>
  <c r="M197" i="29" s="1"/>
  <c r="J196" i="29"/>
  <c r="M196" i="29" s="1"/>
  <c r="J195" i="29"/>
  <c r="M195" i="29" s="1"/>
  <c r="M194" i="29"/>
  <c r="J194" i="29"/>
  <c r="J193" i="29"/>
  <c r="M193" i="29" s="1"/>
  <c r="J192" i="29"/>
  <c r="M192" i="29" s="1"/>
  <c r="J191" i="29"/>
  <c r="M191" i="29" s="1"/>
  <c r="J190" i="29"/>
  <c r="M190" i="29" s="1"/>
  <c r="J189" i="29"/>
  <c r="M189" i="29" s="1"/>
  <c r="J188" i="29"/>
  <c r="M188" i="29" s="1"/>
  <c r="J187" i="29"/>
  <c r="M187" i="29" s="1"/>
  <c r="J186" i="29"/>
  <c r="M186" i="29" s="1"/>
  <c r="J185" i="29"/>
  <c r="M185" i="29" s="1"/>
  <c r="J184" i="29"/>
  <c r="M184" i="29" s="1"/>
  <c r="J183" i="29"/>
  <c r="M183" i="29" s="1"/>
  <c r="J182" i="29"/>
  <c r="M182" i="29" s="1"/>
  <c r="J181" i="29"/>
  <c r="M181" i="29" s="1"/>
  <c r="J180" i="29"/>
  <c r="M180" i="29" s="1"/>
  <c r="J179" i="29"/>
  <c r="M179" i="29" s="1"/>
  <c r="J178" i="29"/>
  <c r="M178" i="29" s="1"/>
  <c r="J177" i="29"/>
  <c r="M177" i="29" s="1"/>
  <c r="J176" i="29"/>
  <c r="M176" i="29" s="1"/>
  <c r="J175" i="29"/>
  <c r="M175" i="29" s="1"/>
  <c r="J174" i="29"/>
  <c r="M174" i="29" s="1"/>
  <c r="J173" i="29"/>
  <c r="M173" i="29" s="1"/>
  <c r="J172" i="29"/>
  <c r="M172" i="29" s="1"/>
  <c r="J171" i="29"/>
  <c r="M171" i="29" s="1"/>
  <c r="J170" i="29"/>
  <c r="M170" i="29" s="1"/>
  <c r="J169" i="29"/>
  <c r="M169" i="29" s="1"/>
  <c r="J168" i="29"/>
  <c r="M168" i="29" s="1"/>
  <c r="M167" i="29"/>
  <c r="J167" i="29"/>
  <c r="J166" i="29"/>
  <c r="M166" i="29" s="1"/>
  <c r="J165" i="29"/>
  <c r="M165" i="29" s="1"/>
  <c r="J164" i="29"/>
  <c r="M164" i="29" s="1"/>
  <c r="J163" i="29"/>
  <c r="M163" i="29" s="1"/>
  <c r="J162" i="29"/>
  <c r="M162" i="29" s="1"/>
  <c r="J161" i="29"/>
  <c r="M161" i="29" s="1"/>
  <c r="J160" i="29"/>
  <c r="M160" i="29" s="1"/>
  <c r="J159" i="29"/>
  <c r="M159" i="29" s="1"/>
  <c r="J158" i="29"/>
  <c r="M158" i="29" s="1"/>
  <c r="J157" i="29"/>
  <c r="M157" i="29" s="1"/>
  <c r="J156" i="29"/>
  <c r="M156" i="29" s="1"/>
  <c r="J155" i="29"/>
  <c r="M155" i="29" s="1"/>
  <c r="J154" i="29"/>
  <c r="M154" i="29" s="1"/>
  <c r="J153" i="29"/>
  <c r="M153" i="29" s="1"/>
  <c r="J152" i="29"/>
  <c r="M152" i="29" s="1"/>
  <c r="J151" i="29"/>
  <c r="M151" i="29" s="1"/>
  <c r="J150" i="29"/>
  <c r="M150" i="29" s="1"/>
  <c r="J149" i="29"/>
  <c r="M149" i="29" s="1"/>
  <c r="J148" i="29"/>
  <c r="M148" i="29" s="1"/>
  <c r="J147" i="29"/>
  <c r="M147" i="29" s="1"/>
  <c r="J146" i="29"/>
  <c r="M146" i="29" s="1"/>
  <c r="J145" i="29"/>
  <c r="M145" i="29" s="1"/>
  <c r="J144" i="29"/>
  <c r="M144" i="29" s="1"/>
  <c r="J143" i="29"/>
  <c r="M143" i="29" s="1"/>
  <c r="J142" i="29"/>
  <c r="M142" i="29" s="1"/>
  <c r="J141" i="29"/>
  <c r="M141" i="29" s="1"/>
  <c r="J140" i="29"/>
  <c r="M140" i="29" s="1"/>
  <c r="J139" i="29"/>
  <c r="M139" i="29" s="1"/>
  <c r="J138" i="29"/>
  <c r="M138" i="29" s="1"/>
  <c r="J137" i="29"/>
  <c r="M137" i="29" s="1"/>
  <c r="J136" i="29"/>
  <c r="M136" i="29" s="1"/>
  <c r="J135" i="29"/>
  <c r="M135" i="29" s="1"/>
  <c r="J134" i="29"/>
  <c r="M134" i="29" s="1"/>
  <c r="M133" i="29"/>
  <c r="J133" i="29"/>
  <c r="J132" i="29"/>
  <c r="M132" i="29" s="1"/>
  <c r="J131" i="29"/>
  <c r="M131" i="29" s="1"/>
  <c r="J130" i="29"/>
  <c r="M130" i="29" s="1"/>
  <c r="J129" i="29"/>
  <c r="M129" i="29" s="1"/>
  <c r="J128" i="29"/>
  <c r="M128" i="29" s="1"/>
  <c r="J127" i="29"/>
  <c r="M127" i="29" s="1"/>
  <c r="J126" i="29"/>
  <c r="M126" i="29" s="1"/>
  <c r="J125" i="29"/>
  <c r="M125" i="29" s="1"/>
  <c r="J124" i="29"/>
  <c r="M124" i="29" s="1"/>
  <c r="J123" i="29"/>
  <c r="M123" i="29" s="1"/>
  <c r="J122" i="29"/>
  <c r="M122" i="29" s="1"/>
  <c r="J121" i="29"/>
  <c r="M121" i="29" s="1"/>
  <c r="J120" i="29"/>
  <c r="M120" i="29" s="1"/>
  <c r="J119" i="29"/>
  <c r="M119" i="29" s="1"/>
  <c r="J118" i="29"/>
  <c r="M118" i="29" s="1"/>
  <c r="J117" i="29"/>
  <c r="M117" i="29" s="1"/>
  <c r="J116" i="29"/>
  <c r="M116" i="29" s="1"/>
  <c r="M115" i="29"/>
  <c r="J115" i="29"/>
  <c r="J114" i="29"/>
  <c r="M114" i="29" s="1"/>
  <c r="J113" i="29"/>
  <c r="M113" i="29" s="1"/>
  <c r="J112" i="29"/>
  <c r="M112" i="29" s="1"/>
  <c r="J111" i="29"/>
  <c r="M111" i="29" s="1"/>
  <c r="J110" i="29"/>
  <c r="M110" i="29" s="1"/>
  <c r="J109" i="29"/>
  <c r="M109" i="29" s="1"/>
  <c r="J108" i="29"/>
  <c r="M108" i="29" s="1"/>
  <c r="J107" i="29"/>
  <c r="M107" i="29" s="1"/>
  <c r="J106" i="29"/>
  <c r="M106" i="29" s="1"/>
  <c r="J105" i="29"/>
  <c r="M105" i="29" s="1"/>
  <c r="Z104" i="29"/>
  <c r="J104" i="29"/>
  <c r="M104" i="29" s="1"/>
  <c r="X103" i="29"/>
  <c r="S103" i="29"/>
  <c r="U103" i="29" s="1"/>
  <c r="J103" i="29"/>
  <c r="M103" i="29" s="1"/>
  <c r="X102" i="29"/>
  <c r="S102" i="29"/>
  <c r="U102" i="29" s="1"/>
  <c r="J102" i="29"/>
  <c r="M102" i="29" s="1"/>
  <c r="X101" i="29"/>
  <c r="S101" i="29"/>
  <c r="U101" i="29" s="1"/>
  <c r="J101" i="29"/>
  <c r="M101" i="29" s="1"/>
  <c r="X100" i="29"/>
  <c r="S100" i="29"/>
  <c r="U100" i="29" s="1"/>
  <c r="J100" i="29"/>
  <c r="M100" i="29" s="1"/>
  <c r="X99" i="29"/>
  <c r="S99" i="29"/>
  <c r="U99" i="29" s="1"/>
  <c r="J99" i="29"/>
  <c r="M99" i="29" s="1"/>
  <c r="X98" i="29"/>
  <c r="S98" i="29"/>
  <c r="U98" i="29" s="1"/>
  <c r="J98" i="29"/>
  <c r="M98" i="29" s="1"/>
  <c r="X97" i="29"/>
  <c r="S97" i="29"/>
  <c r="U97" i="29" s="1"/>
  <c r="J97" i="29"/>
  <c r="M97" i="29" s="1"/>
  <c r="X96" i="29"/>
  <c r="S96" i="29"/>
  <c r="U96" i="29" s="1"/>
  <c r="J96" i="29"/>
  <c r="M96" i="29" s="1"/>
  <c r="X95" i="29"/>
  <c r="S95" i="29"/>
  <c r="U95" i="29" s="1"/>
  <c r="J95" i="29"/>
  <c r="M95" i="29" s="1"/>
  <c r="X94" i="29"/>
  <c r="S94" i="29"/>
  <c r="U94" i="29" s="1"/>
  <c r="J94" i="29"/>
  <c r="M94" i="29" s="1"/>
  <c r="X93" i="29"/>
  <c r="S93" i="29"/>
  <c r="U93" i="29" s="1"/>
  <c r="J93" i="29"/>
  <c r="M93" i="29" s="1"/>
  <c r="X92" i="29"/>
  <c r="S92" i="29"/>
  <c r="U92" i="29" s="1"/>
  <c r="J92" i="29"/>
  <c r="M92" i="29" s="1"/>
  <c r="X91" i="29"/>
  <c r="S91" i="29"/>
  <c r="U91" i="29" s="1"/>
  <c r="J91" i="29"/>
  <c r="M91" i="29" s="1"/>
  <c r="X90" i="29"/>
  <c r="S90" i="29"/>
  <c r="U90" i="29" s="1"/>
  <c r="J90" i="29"/>
  <c r="M90" i="29" s="1"/>
  <c r="X89" i="29"/>
  <c r="S89" i="29"/>
  <c r="U89" i="29" s="1"/>
  <c r="J89" i="29"/>
  <c r="M89" i="29" s="1"/>
  <c r="X88" i="29"/>
  <c r="S88" i="29"/>
  <c r="U88" i="29" s="1"/>
  <c r="J88" i="29"/>
  <c r="M88" i="29" s="1"/>
  <c r="X87" i="29"/>
  <c r="S87" i="29"/>
  <c r="U87" i="29" s="1"/>
  <c r="J87" i="29"/>
  <c r="M87" i="29" s="1"/>
  <c r="X86" i="29"/>
  <c r="S86" i="29"/>
  <c r="U86" i="29" s="1"/>
  <c r="J86" i="29"/>
  <c r="M86" i="29" s="1"/>
  <c r="X85" i="29"/>
  <c r="S85" i="29"/>
  <c r="U85" i="29" s="1"/>
  <c r="J85" i="29"/>
  <c r="M85" i="29" s="1"/>
  <c r="X84" i="29"/>
  <c r="S84" i="29"/>
  <c r="U84" i="29" s="1"/>
  <c r="J84" i="29"/>
  <c r="M84" i="29" s="1"/>
  <c r="X83" i="29"/>
  <c r="S83" i="29"/>
  <c r="U83" i="29" s="1"/>
  <c r="J83" i="29"/>
  <c r="M83" i="29" s="1"/>
  <c r="X82" i="29"/>
  <c r="S82" i="29"/>
  <c r="U82" i="29" s="1"/>
  <c r="J82" i="29"/>
  <c r="M82" i="29" s="1"/>
  <c r="X81" i="29"/>
  <c r="S81" i="29"/>
  <c r="U81" i="29" s="1"/>
  <c r="J81" i="29"/>
  <c r="M81" i="29" s="1"/>
  <c r="X80" i="29"/>
  <c r="S80" i="29"/>
  <c r="U80" i="29" s="1"/>
  <c r="J80" i="29"/>
  <c r="M80" i="29" s="1"/>
  <c r="X79" i="29"/>
  <c r="S79" i="29"/>
  <c r="U79" i="29" s="1"/>
  <c r="J79" i="29"/>
  <c r="M79" i="29" s="1"/>
  <c r="X78" i="29"/>
  <c r="S78" i="29"/>
  <c r="U78" i="29" s="1"/>
  <c r="J78" i="29"/>
  <c r="M78" i="29" s="1"/>
  <c r="X77" i="29"/>
  <c r="S77" i="29"/>
  <c r="U77" i="29" s="1"/>
  <c r="J77" i="29"/>
  <c r="M77" i="29" s="1"/>
  <c r="X76" i="29"/>
  <c r="S76" i="29"/>
  <c r="U76" i="29" s="1"/>
  <c r="J76" i="29"/>
  <c r="M76" i="29" s="1"/>
  <c r="X75" i="29"/>
  <c r="S75" i="29"/>
  <c r="U75" i="29" s="1"/>
  <c r="M75" i="29"/>
  <c r="J75" i="29"/>
  <c r="X74" i="29"/>
  <c r="S74" i="29"/>
  <c r="U74" i="29" s="1"/>
  <c r="J74" i="29"/>
  <c r="M74" i="29" s="1"/>
  <c r="X73" i="29"/>
  <c r="S73" i="29"/>
  <c r="U73" i="29" s="1"/>
  <c r="M73" i="29"/>
  <c r="J73" i="29"/>
  <c r="X72" i="29"/>
  <c r="S72" i="29"/>
  <c r="U72" i="29" s="1"/>
  <c r="J72" i="29"/>
  <c r="M72" i="29" s="1"/>
  <c r="X71" i="29"/>
  <c r="S71" i="29"/>
  <c r="U71" i="29" s="1"/>
  <c r="J71" i="29"/>
  <c r="M71" i="29" s="1"/>
  <c r="X70" i="29"/>
  <c r="S70" i="29"/>
  <c r="U70" i="29" s="1"/>
  <c r="J70" i="29"/>
  <c r="M70" i="29" s="1"/>
  <c r="X69" i="29"/>
  <c r="S69" i="29"/>
  <c r="U69" i="29" s="1"/>
  <c r="J69" i="29"/>
  <c r="M69" i="29" s="1"/>
  <c r="X68" i="29"/>
  <c r="S68" i="29"/>
  <c r="U68" i="29" s="1"/>
  <c r="J68" i="29"/>
  <c r="M68" i="29" s="1"/>
  <c r="X67" i="29"/>
  <c r="S67" i="29"/>
  <c r="U67" i="29" s="1"/>
  <c r="J67" i="29"/>
  <c r="M67" i="29" s="1"/>
  <c r="X66" i="29"/>
  <c r="S66" i="29"/>
  <c r="U66" i="29" s="1"/>
  <c r="J66" i="29"/>
  <c r="M66" i="29" s="1"/>
  <c r="X65" i="29"/>
  <c r="S65" i="29"/>
  <c r="U65" i="29" s="1"/>
  <c r="J65" i="29"/>
  <c r="M65" i="29" s="1"/>
  <c r="X64" i="29"/>
  <c r="S64" i="29"/>
  <c r="U64" i="29" s="1"/>
  <c r="J64" i="29"/>
  <c r="M64" i="29" s="1"/>
  <c r="X63" i="29"/>
  <c r="S63" i="29"/>
  <c r="U63" i="29" s="1"/>
  <c r="J63" i="29"/>
  <c r="M63" i="29" s="1"/>
  <c r="X62" i="29"/>
  <c r="S62" i="29"/>
  <c r="U62" i="29" s="1"/>
  <c r="J62" i="29"/>
  <c r="M62" i="29" s="1"/>
  <c r="X61" i="29"/>
  <c r="S61" i="29"/>
  <c r="U61" i="29" s="1"/>
  <c r="J61" i="29"/>
  <c r="M61" i="29" s="1"/>
  <c r="X60" i="29"/>
  <c r="S60" i="29"/>
  <c r="U60" i="29" s="1"/>
  <c r="J60" i="29"/>
  <c r="M60" i="29" s="1"/>
  <c r="X59" i="29"/>
  <c r="S59" i="29"/>
  <c r="U59" i="29" s="1"/>
  <c r="J59" i="29"/>
  <c r="M59" i="29" s="1"/>
  <c r="X58" i="29"/>
  <c r="S58" i="29"/>
  <c r="U58" i="29" s="1"/>
  <c r="J58" i="29"/>
  <c r="M58" i="29" s="1"/>
  <c r="X57" i="29"/>
  <c r="S57" i="29"/>
  <c r="U57" i="29" s="1"/>
  <c r="J57" i="29"/>
  <c r="M57" i="29" s="1"/>
  <c r="X56" i="29"/>
  <c r="U56" i="29"/>
  <c r="S56" i="29"/>
  <c r="J56" i="29"/>
  <c r="M56" i="29" s="1"/>
  <c r="X55" i="29"/>
  <c r="U55" i="29"/>
  <c r="S55" i="29"/>
  <c r="J55" i="29"/>
  <c r="M55" i="29" s="1"/>
  <c r="X54" i="29"/>
  <c r="S54" i="29"/>
  <c r="U54" i="29" s="1"/>
  <c r="J54" i="29"/>
  <c r="M54" i="29" s="1"/>
  <c r="X53" i="29"/>
  <c r="U53" i="29"/>
  <c r="S53" i="29"/>
  <c r="J53" i="29"/>
  <c r="M53" i="29" s="1"/>
  <c r="X52" i="29"/>
  <c r="U52" i="29"/>
  <c r="S52" i="29"/>
  <c r="J52" i="29"/>
  <c r="M52" i="29" s="1"/>
  <c r="X51" i="29"/>
  <c r="S51" i="29"/>
  <c r="U51" i="29" s="1"/>
  <c r="J51" i="29"/>
  <c r="M51" i="29" s="1"/>
  <c r="X50" i="29"/>
  <c r="U50" i="29"/>
  <c r="S50" i="29"/>
  <c r="J50" i="29"/>
  <c r="M50" i="29" s="1"/>
  <c r="X49" i="29"/>
  <c r="U49" i="29"/>
  <c r="S49" i="29"/>
  <c r="J49" i="29"/>
  <c r="M49" i="29" s="1"/>
  <c r="X48" i="29"/>
  <c r="S48" i="29"/>
  <c r="U48" i="29" s="1"/>
  <c r="J48" i="29"/>
  <c r="M48" i="29" s="1"/>
  <c r="X47" i="29"/>
  <c r="U47" i="29"/>
  <c r="S47" i="29"/>
  <c r="J47" i="29"/>
  <c r="M47" i="29" s="1"/>
  <c r="X46" i="29"/>
  <c r="U46" i="29"/>
  <c r="S46" i="29"/>
  <c r="J46" i="29"/>
  <c r="M46" i="29" s="1"/>
  <c r="X45" i="29"/>
  <c r="S45" i="29"/>
  <c r="U45" i="29" s="1"/>
  <c r="J45" i="29"/>
  <c r="M45" i="29" s="1"/>
  <c r="X44" i="29"/>
  <c r="U44" i="29"/>
  <c r="S44" i="29"/>
  <c r="J44" i="29"/>
  <c r="M44" i="29" s="1"/>
  <c r="X43" i="29"/>
  <c r="U43" i="29"/>
  <c r="S43" i="29"/>
  <c r="J43" i="29"/>
  <c r="M43" i="29" s="1"/>
  <c r="X42" i="29"/>
  <c r="S42" i="29"/>
  <c r="U42" i="29" s="1"/>
  <c r="J42" i="29"/>
  <c r="M42" i="29" s="1"/>
  <c r="X41" i="29"/>
  <c r="U41" i="29"/>
  <c r="S41" i="29"/>
  <c r="J41" i="29"/>
  <c r="M41" i="29" s="1"/>
  <c r="X40" i="29"/>
  <c r="U40" i="29"/>
  <c r="S40" i="29"/>
  <c r="J40" i="29"/>
  <c r="M40" i="29" s="1"/>
  <c r="X39" i="29"/>
  <c r="S39" i="29"/>
  <c r="U39" i="29" s="1"/>
  <c r="J39" i="29"/>
  <c r="M39" i="29" s="1"/>
  <c r="X38" i="29"/>
  <c r="U38" i="29"/>
  <c r="S38" i="29"/>
  <c r="J38" i="29"/>
  <c r="M38" i="29" s="1"/>
  <c r="X37" i="29"/>
  <c r="U37" i="29"/>
  <c r="S37" i="29"/>
  <c r="J37" i="29"/>
  <c r="M37" i="29" s="1"/>
  <c r="X36" i="29"/>
  <c r="S36" i="29"/>
  <c r="U36" i="29" s="1"/>
  <c r="J36" i="29"/>
  <c r="M36" i="29" s="1"/>
  <c r="X35" i="29"/>
  <c r="U35" i="29"/>
  <c r="S35" i="29"/>
  <c r="J35" i="29"/>
  <c r="M35" i="29" s="1"/>
  <c r="X34" i="29"/>
  <c r="U34" i="29"/>
  <c r="S34" i="29"/>
  <c r="J34" i="29"/>
  <c r="M34" i="29" s="1"/>
  <c r="X33" i="29"/>
  <c r="S33" i="29"/>
  <c r="U33" i="29" s="1"/>
  <c r="J33" i="29"/>
  <c r="M33" i="29" s="1"/>
  <c r="X32" i="29"/>
  <c r="U32" i="29"/>
  <c r="S32" i="29"/>
  <c r="J32" i="29"/>
  <c r="M32" i="29" s="1"/>
  <c r="X31" i="29"/>
  <c r="U31" i="29"/>
  <c r="S31" i="29"/>
  <c r="J31" i="29"/>
  <c r="M31" i="29" s="1"/>
  <c r="X30" i="29"/>
  <c r="S30" i="29"/>
  <c r="U30" i="29" s="1"/>
  <c r="J30" i="29"/>
  <c r="M30" i="29" s="1"/>
  <c r="X29" i="29"/>
  <c r="U29" i="29"/>
  <c r="S29" i="29"/>
  <c r="J29" i="29"/>
  <c r="M29" i="29" s="1"/>
  <c r="X28" i="29"/>
  <c r="U28" i="29"/>
  <c r="S28" i="29"/>
  <c r="J28" i="29"/>
  <c r="M28" i="29" s="1"/>
  <c r="X27" i="29"/>
  <c r="S27" i="29"/>
  <c r="U27" i="29" s="1"/>
  <c r="J27" i="29"/>
  <c r="M27" i="29" s="1"/>
  <c r="X26" i="29"/>
  <c r="U26" i="29"/>
  <c r="S26" i="29"/>
  <c r="J26" i="29"/>
  <c r="M26" i="29" s="1"/>
  <c r="X25" i="29"/>
  <c r="U25" i="29"/>
  <c r="S25" i="29"/>
  <c r="J25" i="29"/>
  <c r="M25" i="29" s="1"/>
  <c r="X24" i="29"/>
  <c r="S24" i="29"/>
  <c r="U24" i="29" s="1"/>
  <c r="J24" i="29"/>
  <c r="M24" i="29" s="1"/>
  <c r="X23" i="29"/>
  <c r="U23" i="29"/>
  <c r="S23" i="29"/>
  <c r="J23" i="29"/>
  <c r="M23" i="29" s="1"/>
  <c r="X22" i="29"/>
  <c r="U22" i="29"/>
  <c r="S22" i="29"/>
  <c r="J22" i="29"/>
  <c r="M22" i="29" s="1"/>
  <c r="X21" i="29"/>
  <c r="S21" i="29"/>
  <c r="U21" i="29" s="1"/>
  <c r="J21" i="29"/>
  <c r="M21" i="29" s="1"/>
  <c r="X20" i="29"/>
  <c r="U20" i="29"/>
  <c r="S20" i="29"/>
  <c r="J20" i="29"/>
  <c r="M20" i="29" s="1"/>
  <c r="X19" i="29"/>
  <c r="U19" i="29"/>
  <c r="S19" i="29"/>
  <c r="J19" i="29"/>
  <c r="M19" i="29" s="1"/>
  <c r="X18" i="29"/>
  <c r="S18" i="29"/>
  <c r="U18" i="29" s="1"/>
  <c r="J18" i="29"/>
  <c r="M18" i="29" s="1"/>
  <c r="X17" i="29"/>
  <c r="U17" i="29"/>
  <c r="S17" i="29"/>
  <c r="J17" i="29"/>
  <c r="M17" i="29" s="1"/>
  <c r="X16" i="29"/>
  <c r="U16" i="29"/>
  <c r="S16" i="29"/>
  <c r="J16" i="29"/>
  <c r="M16" i="29" s="1"/>
  <c r="X15" i="29"/>
  <c r="S15" i="29"/>
  <c r="U15" i="29" s="1"/>
  <c r="J15" i="29"/>
  <c r="M15" i="29" s="1"/>
  <c r="X14" i="29"/>
  <c r="U14" i="29"/>
  <c r="S14" i="29"/>
  <c r="J14" i="29"/>
  <c r="M14" i="29" s="1"/>
  <c r="X13" i="29"/>
  <c r="U13" i="29"/>
  <c r="S13" i="29"/>
  <c r="J13" i="29"/>
  <c r="M13" i="29" s="1"/>
  <c r="X12" i="29"/>
  <c r="S12" i="29"/>
  <c r="U12" i="29" s="1"/>
  <c r="J12" i="29"/>
  <c r="M12" i="29" s="1"/>
  <c r="X11" i="29"/>
  <c r="U11" i="29"/>
  <c r="S11" i="29"/>
  <c r="J11" i="29"/>
  <c r="M11" i="29" s="1"/>
  <c r="X10" i="29"/>
  <c r="U10" i="29"/>
  <c r="S10" i="29"/>
  <c r="J10" i="29"/>
  <c r="M10" i="29" s="1"/>
  <c r="X9" i="29"/>
  <c r="S9" i="29"/>
  <c r="U9" i="29" s="1"/>
  <c r="J9" i="29"/>
  <c r="M9" i="29" s="1"/>
  <c r="X8" i="29"/>
  <c r="U8" i="29"/>
  <c r="S8" i="29"/>
  <c r="J8" i="29"/>
  <c r="M8" i="29" s="1"/>
  <c r="X7" i="29"/>
  <c r="U7" i="29"/>
  <c r="S7" i="29"/>
  <c r="J7" i="29"/>
  <c r="M7" i="29" s="1"/>
  <c r="X6" i="29"/>
  <c r="S6" i="29"/>
  <c r="U6" i="29" s="1"/>
  <c r="J6" i="29"/>
  <c r="M6" i="29" s="1"/>
  <c r="X5" i="29"/>
  <c r="U5" i="29"/>
  <c r="S5" i="29"/>
  <c r="J5" i="29"/>
  <c r="M5" i="29" s="1"/>
  <c r="X4" i="29"/>
  <c r="U4" i="29"/>
  <c r="S4" i="29"/>
  <c r="J4" i="29"/>
  <c r="K219" i="28"/>
  <c r="K211" i="28"/>
  <c r="N11" i="9" s="1"/>
  <c r="K208" i="28"/>
  <c r="K218" i="28" s="1"/>
  <c r="J203" i="28"/>
  <c r="M203" i="28" s="1"/>
  <c r="J202" i="28"/>
  <c r="M202" i="28" s="1"/>
  <c r="J201" i="28"/>
  <c r="M201" i="28" s="1"/>
  <c r="J200" i="28"/>
  <c r="M200" i="28" s="1"/>
  <c r="J199" i="28"/>
  <c r="M199" i="28" s="1"/>
  <c r="J198" i="28"/>
  <c r="M198" i="28" s="1"/>
  <c r="J197" i="28"/>
  <c r="M197" i="28" s="1"/>
  <c r="J196" i="28"/>
  <c r="M196" i="28" s="1"/>
  <c r="J195" i="28"/>
  <c r="M195" i="28" s="1"/>
  <c r="J194" i="28"/>
  <c r="M194" i="28" s="1"/>
  <c r="J193" i="28"/>
  <c r="M193" i="28" s="1"/>
  <c r="M192" i="28"/>
  <c r="J192" i="28"/>
  <c r="J191" i="28"/>
  <c r="M191" i="28" s="1"/>
  <c r="J190" i="28"/>
  <c r="M190" i="28" s="1"/>
  <c r="J189" i="28"/>
  <c r="M189" i="28" s="1"/>
  <c r="J188" i="28"/>
  <c r="M188" i="28" s="1"/>
  <c r="J187" i="28"/>
  <c r="M187" i="28" s="1"/>
  <c r="J186" i="28"/>
  <c r="M186" i="28" s="1"/>
  <c r="J185" i="28"/>
  <c r="M185" i="28" s="1"/>
  <c r="J184" i="28"/>
  <c r="M184" i="28" s="1"/>
  <c r="J183" i="28"/>
  <c r="M183" i="28" s="1"/>
  <c r="J182" i="28"/>
  <c r="M182" i="28" s="1"/>
  <c r="J181" i="28"/>
  <c r="M181" i="28" s="1"/>
  <c r="J180" i="28"/>
  <c r="M180" i="28" s="1"/>
  <c r="J179" i="28"/>
  <c r="M179" i="28" s="1"/>
  <c r="J178" i="28"/>
  <c r="M178" i="28" s="1"/>
  <c r="J177" i="28"/>
  <c r="M177" i="28" s="1"/>
  <c r="J176" i="28"/>
  <c r="M176" i="28" s="1"/>
  <c r="J175" i="28"/>
  <c r="M175" i="28" s="1"/>
  <c r="J174" i="28"/>
  <c r="M174" i="28" s="1"/>
  <c r="J173" i="28"/>
  <c r="M173" i="28" s="1"/>
  <c r="J172" i="28"/>
  <c r="M172" i="28" s="1"/>
  <c r="J171" i="28"/>
  <c r="M171" i="28" s="1"/>
  <c r="J170" i="28"/>
  <c r="M170" i="28" s="1"/>
  <c r="J169" i="28"/>
  <c r="M169" i="28" s="1"/>
  <c r="J168" i="28"/>
  <c r="M168" i="28" s="1"/>
  <c r="J167" i="28"/>
  <c r="M167" i="28" s="1"/>
  <c r="J166" i="28"/>
  <c r="M166" i="28" s="1"/>
  <c r="J165" i="28"/>
  <c r="M165" i="28" s="1"/>
  <c r="J164" i="28"/>
  <c r="M164" i="28" s="1"/>
  <c r="J163" i="28"/>
  <c r="M163" i="28" s="1"/>
  <c r="J162" i="28"/>
  <c r="M162" i="28" s="1"/>
  <c r="J161" i="28"/>
  <c r="M161" i="28" s="1"/>
  <c r="J160" i="28"/>
  <c r="M160" i="28" s="1"/>
  <c r="J159" i="28"/>
  <c r="M159" i="28" s="1"/>
  <c r="J158" i="28"/>
  <c r="M158" i="28" s="1"/>
  <c r="J157" i="28"/>
  <c r="M157" i="28" s="1"/>
  <c r="J156" i="28"/>
  <c r="M156" i="28" s="1"/>
  <c r="J155" i="28"/>
  <c r="M155" i="28" s="1"/>
  <c r="J154" i="28"/>
  <c r="M154" i="28" s="1"/>
  <c r="J153" i="28"/>
  <c r="M153" i="28" s="1"/>
  <c r="J152" i="28"/>
  <c r="M152" i="28" s="1"/>
  <c r="J151" i="28"/>
  <c r="M151" i="28" s="1"/>
  <c r="J150" i="28"/>
  <c r="M150" i="28" s="1"/>
  <c r="J149" i="28"/>
  <c r="M149" i="28" s="1"/>
  <c r="J148" i="28"/>
  <c r="M148" i="28" s="1"/>
  <c r="J147" i="28"/>
  <c r="M147" i="28" s="1"/>
  <c r="J146" i="28"/>
  <c r="M146" i="28" s="1"/>
  <c r="J145" i="28"/>
  <c r="M145" i="28" s="1"/>
  <c r="J144" i="28"/>
  <c r="M144" i="28" s="1"/>
  <c r="M143" i="28"/>
  <c r="J143" i="28"/>
  <c r="J142" i="28"/>
  <c r="M142" i="28" s="1"/>
  <c r="J141" i="28"/>
  <c r="M141" i="28" s="1"/>
  <c r="J140" i="28"/>
  <c r="M140" i="28" s="1"/>
  <c r="J139" i="28"/>
  <c r="M139" i="28" s="1"/>
  <c r="J138" i="28"/>
  <c r="M138" i="28" s="1"/>
  <c r="J137" i="28"/>
  <c r="M137" i="28" s="1"/>
  <c r="J136" i="28"/>
  <c r="M136" i="28" s="1"/>
  <c r="J135" i="28"/>
  <c r="M135" i="28" s="1"/>
  <c r="J134" i="28"/>
  <c r="M134" i="28" s="1"/>
  <c r="J133" i="28"/>
  <c r="M133" i="28" s="1"/>
  <c r="J132" i="28"/>
  <c r="M132" i="28" s="1"/>
  <c r="J131" i="28"/>
  <c r="M131" i="28" s="1"/>
  <c r="J130" i="28"/>
  <c r="M130" i="28" s="1"/>
  <c r="J129" i="28"/>
  <c r="M129" i="28" s="1"/>
  <c r="J128" i="28"/>
  <c r="M128" i="28" s="1"/>
  <c r="J127" i="28"/>
  <c r="M127" i="28" s="1"/>
  <c r="J126" i="28"/>
  <c r="M126" i="28" s="1"/>
  <c r="J125" i="28"/>
  <c r="M125" i="28" s="1"/>
  <c r="J124" i="28"/>
  <c r="M124" i="28" s="1"/>
  <c r="J123" i="28"/>
  <c r="M123" i="28" s="1"/>
  <c r="J122" i="28"/>
  <c r="M122" i="28" s="1"/>
  <c r="J121" i="28"/>
  <c r="M121" i="28" s="1"/>
  <c r="J120" i="28"/>
  <c r="M120" i="28" s="1"/>
  <c r="J119" i="28"/>
  <c r="M119" i="28" s="1"/>
  <c r="J118" i="28"/>
  <c r="M118" i="28" s="1"/>
  <c r="J117" i="28"/>
  <c r="M117" i="28" s="1"/>
  <c r="J116" i="28"/>
  <c r="M116" i="28" s="1"/>
  <c r="J115" i="28"/>
  <c r="M115" i="28" s="1"/>
  <c r="J114" i="28"/>
  <c r="M114" i="28" s="1"/>
  <c r="J113" i="28"/>
  <c r="M113" i="28" s="1"/>
  <c r="J112" i="28"/>
  <c r="M112" i="28" s="1"/>
  <c r="M111" i="28"/>
  <c r="J111" i="28"/>
  <c r="J110" i="28"/>
  <c r="M110" i="28" s="1"/>
  <c r="J109" i="28"/>
  <c r="M109" i="28" s="1"/>
  <c r="J108" i="28"/>
  <c r="M108" i="28" s="1"/>
  <c r="J107" i="28"/>
  <c r="M107" i="28" s="1"/>
  <c r="J106" i="28"/>
  <c r="M106" i="28" s="1"/>
  <c r="J105" i="28"/>
  <c r="M105" i="28" s="1"/>
  <c r="Z104" i="28"/>
  <c r="J104" i="28"/>
  <c r="M104" i="28" s="1"/>
  <c r="X103" i="28"/>
  <c r="S103" i="28"/>
  <c r="U103" i="28" s="1"/>
  <c r="M103" i="28"/>
  <c r="J103" i="28"/>
  <c r="X102" i="28"/>
  <c r="S102" i="28"/>
  <c r="U102" i="28" s="1"/>
  <c r="J102" i="28"/>
  <c r="M102" i="28" s="1"/>
  <c r="X101" i="28"/>
  <c r="S101" i="28"/>
  <c r="U101" i="28" s="1"/>
  <c r="J101" i="28"/>
  <c r="M101" i="28" s="1"/>
  <c r="X100" i="28"/>
  <c r="S100" i="28"/>
  <c r="U100" i="28" s="1"/>
  <c r="J100" i="28"/>
  <c r="M100" i="28" s="1"/>
  <c r="X99" i="28"/>
  <c r="S99" i="28"/>
  <c r="U99" i="28" s="1"/>
  <c r="M99" i="28"/>
  <c r="J99" i="28"/>
  <c r="X98" i="28"/>
  <c r="S98" i="28"/>
  <c r="U98" i="28" s="1"/>
  <c r="J98" i="28"/>
  <c r="M98" i="28" s="1"/>
  <c r="X97" i="28"/>
  <c r="S97" i="28"/>
  <c r="U97" i="28" s="1"/>
  <c r="J97" i="28"/>
  <c r="M97" i="28" s="1"/>
  <c r="X96" i="28"/>
  <c r="S96" i="28"/>
  <c r="U96" i="28" s="1"/>
  <c r="J96" i="28"/>
  <c r="M96" i="28" s="1"/>
  <c r="X95" i="28"/>
  <c r="S95" i="28"/>
  <c r="U95" i="28" s="1"/>
  <c r="J95" i="28"/>
  <c r="M95" i="28" s="1"/>
  <c r="X94" i="28"/>
  <c r="S94" i="28"/>
  <c r="U94" i="28" s="1"/>
  <c r="J94" i="28"/>
  <c r="M94" i="28" s="1"/>
  <c r="X93" i="28"/>
  <c r="S93" i="28"/>
  <c r="U93" i="28" s="1"/>
  <c r="J93" i="28"/>
  <c r="M93" i="28" s="1"/>
  <c r="X92" i="28"/>
  <c r="S92" i="28"/>
  <c r="U92" i="28" s="1"/>
  <c r="J92" i="28"/>
  <c r="M92" i="28" s="1"/>
  <c r="X91" i="28"/>
  <c r="S91" i="28"/>
  <c r="U91" i="28" s="1"/>
  <c r="J91" i="28"/>
  <c r="M91" i="28" s="1"/>
  <c r="X90" i="28"/>
  <c r="S90" i="28"/>
  <c r="U90" i="28" s="1"/>
  <c r="J90" i="28"/>
  <c r="M90" i="28" s="1"/>
  <c r="X89" i="28"/>
  <c r="S89" i="28"/>
  <c r="U89" i="28" s="1"/>
  <c r="J89" i="28"/>
  <c r="M89" i="28" s="1"/>
  <c r="X88" i="28"/>
  <c r="S88" i="28"/>
  <c r="U88" i="28" s="1"/>
  <c r="J88" i="28"/>
  <c r="M88" i="28" s="1"/>
  <c r="X87" i="28"/>
  <c r="S87" i="28"/>
  <c r="U87" i="28" s="1"/>
  <c r="J87" i="28"/>
  <c r="M87" i="28" s="1"/>
  <c r="X86" i="28"/>
  <c r="S86" i="28"/>
  <c r="U86" i="28" s="1"/>
  <c r="J86" i="28"/>
  <c r="M86" i="28" s="1"/>
  <c r="X85" i="28"/>
  <c r="S85" i="28"/>
  <c r="U85" i="28" s="1"/>
  <c r="J85" i="28"/>
  <c r="M85" i="28" s="1"/>
  <c r="X84" i="28"/>
  <c r="S84" i="28"/>
  <c r="U84" i="28" s="1"/>
  <c r="J84" i="28"/>
  <c r="M84" i="28" s="1"/>
  <c r="X83" i="28"/>
  <c r="S83" i="28"/>
  <c r="U83" i="28" s="1"/>
  <c r="J83" i="28"/>
  <c r="M83" i="28" s="1"/>
  <c r="X82" i="28"/>
  <c r="S82" i="28"/>
  <c r="U82" i="28" s="1"/>
  <c r="J82" i="28"/>
  <c r="M82" i="28" s="1"/>
  <c r="X81" i="28"/>
  <c r="S81" i="28"/>
  <c r="U81" i="28" s="1"/>
  <c r="J81" i="28"/>
  <c r="M81" i="28" s="1"/>
  <c r="X80" i="28"/>
  <c r="S80" i="28"/>
  <c r="U80" i="28" s="1"/>
  <c r="J80" i="28"/>
  <c r="M80" i="28" s="1"/>
  <c r="X79" i="28"/>
  <c r="S79" i="28"/>
  <c r="U79" i="28" s="1"/>
  <c r="J79" i="28"/>
  <c r="M79" i="28" s="1"/>
  <c r="X78" i="28"/>
  <c r="S78" i="28"/>
  <c r="U78" i="28" s="1"/>
  <c r="J78" i="28"/>
  <c r="M78" i="28" s="1"/>
  <c r="X77" i="28"/>
  <c r="S77" i="28"/>
  <c r="U77" i="28" s="1"/>
  <c r="J77" i="28"/>
  <c r="M77" i="28" s="1"/>
  <c r="X76" i="28"/>
  <c r="S76" i="28"/>
  <c r="U76" i="28" s="1"/>
  <c r="J76" i="28"/>
  <c r="M76" i="28" s="1"/>
  <c r="X75" i="28"/>
  <c r="S75" i="28"/>
  <c r="U75" i="28" s="1"/>
  <c r="J75" i="28"/>
  <c r="M75" i="28" s="1"/>
  <c r="X74" i="28"/>
  <c r="S74" i="28"/>
  <c r="U74" i="28" s="1"/>
  <c r="J74" i="28"/>
  <c r="M74" i="28" s="1"/>
  <c r="X73" i="28"/>
  <c r="S73" i="28"/>
  <c r="U73" i="28" s="1"/>
  <c r="J73" i="28"/>
  <c r="M73" i="28" s="1"/>
  <c r="X72" i="28"/>
  <c r="S72" i="28"/>
  <c r="U72" i="28" s="1"/>
  <c r="J72" i="28"/>
  <c r="M72" i="28" s="1"/>
  <c r="X71" i="28"/>
  <c r="S71" i="28"/>
  <c r="U71" i="28" s="1"/>
  <c r="J71" i="28"/>
  <c r="M71" i="28" s="1"/>
  <c r="X70" i="28"/>
  <c r="S70" i="28"/>
  <c r="U70" i="28" s="1"/>
  <c r="J70" i="28"/>
  <c r="M70" i="28" s="1"/>
  <c r="X69" i="28"/>
  <c r="S69" i="28"/>
  <c r="U69" i="28" s="1"/>
  <c r="J69" i="28"/>
  <c r="M69" i="28" s="1"/>
  <c r="X68" i="28"/>
  <c r="S68" i="28"/>
  <c r="U68" i="28" s="1"/>
  <c r="J68" i="28"/>
  <c r="M68" i="28" s="1"/>
  <c r="X67" i="28"/>
  <c r="S67" i="28"/>
  <c r="U67" i="28" s="1"/>
  <c r="J67" i="28"/>
  <c r="M67" i="28" s="1"/>
  <c r="X66" i="28"/>
  <c r="S66" i="28"/>
  <c r="U66" i="28" s="1"/>
  <c r="J66" i="28"/>
  <c r="M66" i="28" s="1"/>
  <c r="X65" i="28"/>
  <c r="S65" i="28"/>
  <c r="U65" i="28" s="1"/>
  <c r="J65" i="28"/>
  <c r="M65" i="28" s="1"/>
  <c r="X64" i="28"/>
  <c r="S64" i="28"/>
  <c r="U64" i="28" s="1"/>
  <c r="J64" i="28"/>
  <c r="M64" i="28" s="1"/>
  <c r="X63" i="28"/>
  <c r="S63" i="28"/>
  <c r="U63" i="28" s="1"/>
  <c r="J63" i="28"/>
  <c r="M63" i="28" s="1"/>
  <c r="X62" i="28"/>
  <c r="S62" i="28"/>
  <c r="U62" i="28" s="1"/>
  <c r="J62" i="28"/>
  <c r="M62" i="28" s="1"/>
  <c r="X61" i="28"/>
  <c r="S61" i="28"/>
  <c r="U61" i="28" s="1"/>
  <c r="J61" i="28"/>
  <c r="M61" i="28" s="1"/>
  <c r="X60" i="28"/>
  <c r="S60" i="28"/>
  <c r="U60" i="28" s="1"/>
  <c r="J60" i="28"/>
  <c r="M60" i="28" s="1"/>
  <c r="X59" i="28"/>
  <c r="S59" i="28"/>
  <c r="U59" i="28" s="1"/>
  <c r="J59" i="28"/>
  <c r="M59" i="28" s="1"/>
  <c r="X58" i="28"/>
  <c r="S58" i="28"/>
  <c r="U58" i="28" s="1"/>
  <c r="J58" i="28"/>
  <c r="M58" i="28" s="1"/>
  <c r="X57" i="28"/>
  <c r="S57" i="28"/>
  <c r="U57" i="28" s="1"/>
  <c r="J57" i="28"/>
  <c r="M57" i="28" s="1"/>
  <c r="X56" i="28"/>
  <c r="S56" i="28"/>
  <c r="U56" i="28" s="1"/>
  <c r="J56" i="28"/>
  <c r="M56" i="28" s="1"/>
  <c r="X55" i="28"/>
  <c r="S55" i="28"/>
  <c r="U55" i="28" s="1"/>
  <c r="J55" i="28"/>
  <c r="M55" i="28" s="1"/>
  <c r="X54" i="28"/>
  <c r="S54" i="28"/>
  <c r="U54" i="28" s="1"/>
  <c r="J54" i="28"/>
  <c r="M54" i="28" s="1"/>
  <c r="X53" i="28"/>
  <c r="S53" i="28"/>
  <c r="U53" i="28" s="1"/>
  <c r="J53" i="28"/>
  <c r="M53" i="28" s="1"/>
  <c r="X52" i="28"/>
  <c r="S52" i="28"/>
  <c r="U52" i="28" s="1"/>
  <c r="J52" i="28"/>
  <c r="M52" i="28" s="1"/>
  <c r="X51" i="28"/>
  <c r="S51" i="28"/>
  <c r="U51" i="28" s="1"/>
  <c r="J51" i="28"/>
  <c r="M51" i="28" s="1"/>
  <c r="X50" i="28"/>
  <c r="S50" i="28"/>
  <c r="U50" i="28" s="1"/>
  <c r="J50" i="28"/>
  <c r="M50" i="28" s="1"/>
  <c r="X49" i="28"/>
  <c r="S49" i="28"/>
  <c r="U49" i="28" s="1"/>
  <c r="J49" i="28"/>
  <c r="M49" i="28" s="1"/>
  <c r="X48" i="28"/>
  <c r="S48" i="28"/>
  <c r="U48" i="28" s="1"/>
  <c r="J48" i="28"/>
  <c r="M48" i="28" s="1"/>
  <c r="X47" i="28"/>
  <c r="S47" i="28"/>
  <c r="U47" i="28" s="1"/>
  <c r="J47" i="28"/>
  <c r="M47" i="28" s="1"/>
  <c r="X46" i="28"/>
  <c r="S46" i="28"/>
  <c r="U46" i="28" s="1"/>
  <c r="J46" i="28"/>
  <c r="M46" i="28" s="1"/>
  <c r="X45" i="28"/>
  <c r="S45" i="28"/>
  <c r="U45" i="28" s="1"/>
  <c r="J45" i="28"/>
  <c r="M45" i="28" s="1"/>
  <c r="X44" i="28"/>
  <c r="S44" i="28"/>
  <c r="U44" i="28" s="1"/>
  <c r="J44" i="28"/>
  <c r="M44" i="28" s="1"/>
  <c r="X43" i="28"/>
  <c r="S43" i="28"/>
  <c r="U43" i="28" s="1"/>
  <c r="J43" i="28"/>
  <c r="M43" i="28" s="1"/>
  <c r="X42" i="28"/>
  <c r="S42" i="28"/>
  <c r="U42" i="28" s="1"/>
  <c r="J42" i="28"/>
  <c r="M42" i="28" s="1"/>
  <c r="X41" i="28"/>
  <c r="S41" i="28"/>
  <c r="U41" i="28" s="1"/>
  <c r="J41" i="28"/>
  <c r="M41" i="28" s="1"/>
  <c r="X40" i="28"/>
  <c r="S40" i="28"/>
  <c r="U40" i="28" s="1"/>
  <c r="J40" i="28"/>
  <c r="M40" i="28" s="1"/>
  <c r="X39" i="28"/>
  <c r="S39" i="28"/>
  <c r="U39" i="28" s="1"/>
  <c r="J39" i="28"/>
  <c r="M39" i="28" s="1"/>
  <c r="X38" i="28"/>
  <c r="S38" i="28"/>
  <c r="U38" i="28" s="1"/>
  <c r="J38" i="28"/>
  <c r="M38" i="28" s="1"/>
  <c r="X37" i="28"/>
  <c r="S37" i="28"/>
  <c r="U37" i="28" s="1"/>
  <c r="J37" i="28"/>
  <c r="M37" i="28" s="1"/>
  <c r="X36" i="28"/>
  <c r="S36" i="28"/>
  <c r="U36" i="28" s="1"/>
  <c r="J36" i="28"/>
  <c r="M36" i="28" s="1"/>
  <c r="X35" i="28"/>
  <c r="S35" i="28"/>
  <c r="U35" i="28" s="1"/>
  <c r="J35" i="28"/>
  <c r="M35" i="28" s="1"/>
  <c r="X34" i="28"/>
  <c r="S34" i="28"/>
  <c r="U34" i="28" s="1"/>
  <c r="J34" i="28"/>
  <c r="M34" i="28" s="1"/>
  <c r="X33" i="28"/>
  <c r="S33" i="28"/>
  <c r="U33" i="28" s="1"/>
  <c r="J33" i="28"/>
  <c r="M33" i="28" s="1"/>
  <c r="X32" i="28"/>
  <c r="S32" i="28"/>
  <c r="U32" i="28" s="1"/>
  <c r="J32" i="28"/>
  <c r="M32" i="28" s="1"/>
  <c r="X31" i="28"/>
  <c r="S31" i="28"/>
  <c r="U31" i="28" s="1"/>
  <c r="J31" i="28"/>
  <c r="M31" i="28" s="1"/>
  <c r="X30" i="28"/>
  <c r="S30" i="28"/>
  <c r="U30" i="28" s="1"/>
  <c r="J30" i="28"/>
  <c r="M30" i="28" s="1"/>
  <c r="X29" i="28"/>
  <c r="S29" i="28"/>
  <c r="U29" i="28" s="1"/>
  <c r="J29" i="28"/>
  <c r="M29" i="28" s="1"/>
  <c r="X28" i="28"/>
  <c r="S28" i="28"/>
  <c r="U28" i="28" s="1"/>
  <c r="J28" i="28"/>
  <c r="M28" i="28" s="1"/>
  <c r="X27" i="28"/>
  <c r="U27" i="28"/>
  <c r="S27" i="28"/>
  <c r="J27" i="28"/>
  <c r="M27" i="28" s="1"/>
  <c r="X26" i="28"/>
  <c r="S26" i="28"/>
  <c r="U26" i="28" s="1"/>
  <c r="J26" i="28"/>
  <c r="M26" i="28" s="1"/>
  <c r="X25" i="28"/>
  <c r="S25" i="28"/>
  <c r="U25" i="28" s="1"/>
  <c r="J25" i="28"/>
  <c r="M25" i="28" s="1"/>
  <c r="X24" i="28"/>
  <c r="S24" i="28"/>
  <c r="U24" i="28" s="1"/>
  <c r="J24" i="28"/>
  <c r="M24" i="28" s="1"/>
  <c r="X23" i="28"/>
  <c r="S23" i="28"/>
  <c r="U23" i="28" s="1"/>
  <c r="J23" i="28"/>
  <c r="M23" i="28" s="1"/>
  <c r="X22" i="28"/>
  <c r="S22" i="28"/>
  <c r="U22" i="28" s="1"/>
  <c r="J22" i="28"/>
  <c r="M22" i="28" s="1"/>
  <c r="X21" i="28"/>
  <c r="S21" i="28"/>
  <c r="U21" i="28" s="1"/>
  <c r="J21" i="28"/>
  <c r="M21" i="28" s="1"/>
  <c r="X20" i="28"/>
  <c r="S20" i="28"/>
  <c r="U20" i="28" s="1"/>
  <c r="J20" i="28"/>
  <c r="M20" i="28" s="1"/>
  <c r="X19" i="28"/>
  <c r="S19" i="28"/>
  <c r="U19" i="28" s="1"/>
  <c r="J19" i="28"/>
  <c r="M19" i="28" s="1"/>
  <c r="X18" i="28"/>
  <c r="S18" i="28"/>
  <c r="U18" i="28" s="1"/>
  <c r="J18" i="28"/>
  <c r="M18" i="28" s="1"/>
  <c r="X17" i="28"/>
  <c r="S17" i="28"/>
  <c r="U17" i="28" s="1"/>
  <c r="J17" i="28"/>
  <c r="M17" i="28" s="1"/>
  <c r="X16" i="28"/>
  <c r="S16" i="28"/>
  <c r="U16" i="28" s="1"/>
  <c r="J16" i="28"/>
  <c r="M16" i="28" s="1"/>
  <c r="X15" i="28"/>
  <c r="S15" i="28"/>
  <c r="U15" i="28" s="1"/>
  <c r="J15" i="28"/>
  <c r="M15" i="28" s="1"/>
  <c r="X14" i="28"/>
  <c r="S14" i="28"/>
  <c r="U14" i="28" s="1"/>
  <c r="J14" i="28"/>
  <c r="M14" i="28" s="1"/>
  <c r="X13" i="28"/>
  <c r="S13" i="28"/>
  <c r="U13" i="28" s="1"/>
  <c r="J13" i="28"/>
  <c r="M13" i="28" s="1"/>
  <c r="X12" i="28"/>
  <c r="S12" i="28"/>
  <c r="U12" i="28" s="1"/>
  <c r="J12" i="28"/>
  <c r="M12" i="28" s="1"/>
  <c r="X11" i="28"/>
  <c r="S11" i="28"/>
  <c r="U11" i="28" s="1"/>
  <c r="J11" i="28"/>
  <c r="M11" i="28" s="1"/>
  <c r="X10" i="28"/>
  <c r="S10" i="28"/>
  <c r="U10" i="28" s="1"/>
  <c r="J10" i="28"/>
  <c r="M10" i="28" s="1"/>
  <c r="X9" i="28"/>
  <c r="S9" i="28"/>
  <c r="U9" i="28" s="1"/>
  <c r="J9" i="28"/>
  <c r="M9" i="28" s="1"/>
  <c r="X8" i="28"/>
  <c r="S8" i="28"/>
  <c r="U8" i="28" s="1"/>
  <c r="J8" i="28"/>
  <c r="M8" i="28" s="1"/>
  <c r="X7" i="28"/>
  <c r="S7" i="28"/>
  <c r="U7" i="28" s="1"/>
  <c r="J7" i="28"/>
  <c r="M7" i="28" s="1"/>
  <c r="X6" i="28"/>
  <c r="S6" i="28"/>
  <c r="U6" i="28" s="1"/>
  <c r="J6" i="28"/>
  <c r="M6" i="28" s="1"/>
  <c r="X5" i="28"/>
  <c r="S5" i="28"/>
  <c r="U5" i="28" s="1"/>
  <c r="J5" i="28"/>
  <c r="M5" i="28" s="1"/>
  <c r="X4" i="28"/>
  <c r="S4" i="28"/>
  <c r="U4" i="28" s="1"/>
  <c r="J4" i="28"/>
  <c r="K219" i="27"/>
  <c r="K211" i="27"/>
  <c r="N10" i="9" s="1"/>
  <c r="K208" i="27"/>
  <c r="K218" i="27" s="1"/>
  <c r="J203" i="27"/>
  <c r="M203" i="27" s="1"/>
  <c r="J202" i="27"/>
  <c r="M202" i="27" s="1"/>
  <c r="J201" i="27"/>
  <c r="M201" i="27" s="1"/>
  <c r="J200" i="27"/>
  <c r="M200" i="27" s="1"/>
  <c r="J199" i="27"/>
  <c r="M199" i="27" s="1"/>
  <c r="J198" i="27"/>
  <c r="M198" i="27" s="1"/>
  <c r="J197" i="27"/>
  <c r="M197" i="27" s="1"/>
  <c r="J196" i="27"/>
  <c r="M196" i="27" s="1"/>
  <c r="J195" i="27"/>
  <c r="M195" i="27" s="1"/>
  <c r="J194" i="27"/>
  <c r="M194" i="27" s="1"/>
  <c r="J193" i="27"/>
  <c r="M193" i="27" s="1"/>
  <c r="J192" i="27"/>
  <c r="M192" i="27" s="1"/>
  <c r="J191" i="27"/>
  <c r="M191" i="27" s="1"/>
  <c r="J190" i="27"/>
  <c r="M190" i="27" s="1"/>
  <c r="J189" i="27"/>
  <c r="M189" i="27" s="1"/>
  <c r="J188" i="27"/>
  <c r="M188" i="27" s="1"/>
  <c r="J187" i="27"/>
  <c r="M187" i="27" s="1"/>
  <c r="J186" i="27"/>
  <c r="M186" i="27" s="1"/>
  <c r="J185" i="27"/>
  <c r="M185" i="27" s="1"/>
  <c r="J184" i="27"/>
  <c r="M184" i="27" s="1"/>
  <c r="J183" i="27"/>
  <c r="M183" i="27" s="1"/>
  <c r="J182" i="27"/>
  <c r="M182" i="27" s="1"/>
  <c r="J181" i="27"/>
  <c r="M181" i="27" s="1"/>
  <c r="J180" i="27"/>
  <c r="M180" i="27" s="1"/>
  <c r="J179" i="27"/>
  <c r="M179" i="27" s="1"/>
  <c r="J178" i="27"/>
  <c r="M178" i="27" s="1"/>
  <c r="J177" i="27"/>
  <c r="M177" i="27" s="1"/>
  <c r="J176" i="27"/>
  <c r="M176" i="27" s="1"/>
  <c r="J175" i="27"/>
  <c r="M175" i="27" s="1"/>
  <c r="J174" i="27"/>
  <c r="M174" i="27" s="1"/>
  <c r="J173" i="27"/>
  <c r="M173" i="27" s="1"/>
  <c r="J172" i="27"/>
  <c r="M172" i="27" s="1"/>
  <c r="J171" i="27"/>
  <c r="M171" i="27" s="1"/>
  <c r="J170" i="27"/>
  <c r="M170" i="27" s="1"/>
  <c r="J169" i="27"/>
  <c r="M169" i="27" s="1"/>
  <c r="J168" i="27"/>
  <c r="M168" i="27" s="1"/>
  <c r="J167" i="27"/>
  <c r="M167" i="27" s="1"/>
  <c r="J166" i="27"/>
  <c r="M166" i="27" s="1"/>
  <c r="J165" i="27"/>
  <c r="M165" i="27" s="1"/>
  <c r="J164" i="27"/>
  <c r="M164" i="27" s="1"/>
  <c r="J163" i="27"/>
  <c r="M163" i="27" s="1"/>
  <c r="M162" i="27"/>
  <c r="J162" i="27"/>
  <c r="J161" i="27"/>
  <c r="M161" i="27" s="1"/>
  <c r="J160" i="27"/>
  <c r="M160" i="27" s="1"/>
  <c r="J159" i="27"/>
  <c r="M159" i="27" s="1"/>
  <c r="J158" i="27"/>
  <c r="M158" i="27" s="1"/>
  <c r="J157" i="27"/>
  <c r="M157" i="27" s="1"/>
  <c r="J156" i="27"/>
  <c r="M156" i="27" s="1"/>
  <c r="J155" i="27"/>
  <c r="M155" i="27" s="1"/>
  <c r="J154" i="27"/>
  <c r="M154" i="27" s="1"/>
  <c r="J153" i="27"/>
  <c r="M153" i="27" s="1"/>
  <c r="J152" i="27"/>
  <c r="M152" i="27" s="1"/>
  <c r="J151" i="27"/>
  <c r="M151" i="27" s="1"/>
  <c r="J150" i="27"/>
  <c r="M150" i="27" s="1"/>
  <c r="J149" i="27"/>
  <c r="M149" i="27" s="1"/>
  <c r="J148" i="27"/>
  <c r="M148" i="27" s="1"/>
  <c r="J147" i="27"/>
  <c r="M147" i="27" s="1"/>
  <c r="J146" i="27"/>
  <c r="M146" i="27" s="1"/>
  <c r="J145" i="27"/>
  <c r="M145" i="27" s="1"/>
  <c r="J144" i="27"/>
  <c r="M144" i="27" s="1"/>
  <c r="J143" i="27"/>
  <c r="M143" i="27" s="1"/>
  <c r="J142" i="27"/>
  <c r="M142" i="27" s="1"/>
  <c r="J141" i="27"/>
  <c r="M141" i="27" s="1"/>
  <c r="J140" i="27"/>
  <c r="M140" i="27" s="1"/>
  <c r="J139" i="27"/>
  <c r="M139" i="27" s="1"/>
  <c r="J138" i="27"/>
  <c r="M138" i="27" s="1"/>
  <c r="J137" i="27"/>
  <c r="M137" i="27" s="1"/>
  <c r="J136" i="27"/>
  <c r="M136" i="27" s="1"/>
  <c r="J135" i="27"/>
  <c r="M135" i="27" s="1"/>
  <c r="M134" i="27"/>
  <c r="J134" i="27"/>
  <c r="J133" i="27"/>
  <c r="M133" i="27" s="1"/>
  <c r="J132" i="27"/>
  <c r="M132" i="27" s="1"/>
  <c r="J131" i="27"/>
  <c r="M131" i="27" s="1"/>
  <c r="J130" i="27"/>
  <c r="M130" i="27" s="1"/>
  <c r="J129" i="27"/>
  <c r="M129" i="27" s="1"/>
  <c r="J128" i="27"/>
  <c r="M128" i="27" s="1"/>
  <c r="J127" i="27"/>
  <c r="M127" i="27" s="1"/>
  <c r="J126" i="27"/>
  <c r="M126" i="27" s="1"/>
  <c r="J125" i="27"/>
  <c r="M125" i="27" s="1"/>
  <c r="J124" i="27"/>
  <c r="M124" i="27" s="1"/>
  <c r="J123" i="27"/>
  <c r="M123" i="27" s="1"/>
  <c r="J122" i="27"/>
  <c r="M122" i="27" s="1"/>
  <c r="J121" i="27"/>
  <c r="M121" i="27" s="1"/>
  <c r="J120" i="27"/>
  <c r="M120" i="27" s="1"/>
  <c r="J119" i="27"/>
  <c r="M119" i="27" s="1"/>
  <c r="J118" i="27"/>
  <c r="M118" i="27" s="1"/>
  <c r="J117" i="27"/>
  <c r="M117" i="27" s="1"/>
  <c r="J116" i="27"/>
  <c r="M116" i="27" s="1"/>
  <c r="J115" i="27"/>
  <c r="M115" i="27" s="1"/>
  <c r="J114" i="27"/>
  <c r="M114" i="27" s="1"/>
  <c r="J113" i="27"/>
  <c r="M113" i="27" s="1"/>
  <c r="J112" i="27"/>
  <c r="M112" i="27" s="1"/>
  <c r="J111" i="27"/>
  <c r="M111" i="27" s="1"/>
  <c r="J110" i="27"/>
  <c r="M110" i="27" s="1"/>
  <c r="M109" i="27"/>
  <c r="J109" i="27"/>
  <c r="J108" i="27"/>
  <c r="M108" i="27" s="1"/>
  <c r="J107" i="27"/>
  <c r="M107" i="27" s="1"/>
  <c r="J106" i="27"/>
  <c r="M106" i="27" s="1"/>
  <c r="J105" i="27"/>
  <c r="M105" i="27" s="1"/>
  <c r="Z104" i="27"/>
  <c r="J104" i="27"/>
  <c r="M104" i="27" s="1"/>
  <c r="X103" i="27"/>
  <c r="S103" i="27"/>
  <c r="U103" i="27" s="1"/>
  <c r="J103" i="27"/>
  <c r="M103" i="27" s="1"/>
  <c r="X102" i="27"/>
  <c r="S102" i="27"/>
  <c r="U102" i="27" s="1"/>
  <c r="J102" i="27"/>
  <c r="M102" i="27" s="1"/>
  <c r="X101" i="27"/>
  <c r="S101" i="27"/>
  <c r="U101" i="27" s="1"/>
  <c r="J101" i="27"/>
  <c r="M101" i="27" s="1"/>
  <c r="X100" i="27"/>
  <c r="S100" i="27"/>
  <c r="U100" i="27" s="1"/>
  <c r="J100" i="27"/>
  <c r="M100" i="27" s="1"/>
  <c r="X99" i="27"/>
  <c r="S99" i="27"/>
  <c r="U99" i="27" s="1"/>
  <c r="J99" i="27"/>
  <c r="M99" i="27" s="1"/>
  <c r="X98" i="27"/>
  <c r="S98" i="27"/>
  <c r="U98" i="27" s="1"/>
  <c r="M98" i="27"/>
  <c r="J98" i="27"/>
  <c r="X97" i="27"/>
  <c r="S97" i="27"/>
  <c r="U97" i="27" s="1"/>
  <c r="J97" i="27"/>
  <c r="M97" i="27" s="1"/>
  <c r="X96" i="27"/>
  <c r="S96" i="27"/>
  <c r="U96" i="27" s="1"/>
  <c r="J96" i="27"/>
  <c r="M96" i="27" s="1"/>
  <c r="X95" i="27"/>
  <c r="S95" i="27"/>
  <c r="U95" i="27" s="1"/>
  <c r="J95" i="27"/>
  <c r="M95" i="27" s="1"/>
  <c r="X94" i="27"/>
  <c r="S94" i="27"/>
  <c r="U94" i="27" s="1"/>
  <c r="M94" i="27"/>
  <c r="J94" i="27"/>
  <c r="X93" i="27"/>
  <c r="S93" i="27"/>
  <c r="U93" i="27" s="1"/>
  <c r="J93" i="27"/>
  <c r="M93" i="27" s="1"/>
  <c r="X92" i="27"/>
  <c r="S92" i="27"/>
  <c r="U92" i="27" s="1"/>
  <c r="J92" i="27"/>
  <c r="M92" i="27" s="1"/>
  <c r="X91" i="27"/>
  <c r="S91" i="27"/>
  <c r="U91" i="27" s="1"/>
  <c r="J91" i="27"/>
  <c r="M91" i="27" s="1"/>
  <c r="X90" i="27"/>
  <c r="S90" i="27"/>
  <c r="U90" i="27" s="1"/>
  <c r="M90" i="27"/>
  <c r="J90" i="27"/>
  <c r="X89" i="27"/>
  <c r="S89" i="27"/>
  <c r="U89" i="27" s="1"/>
  <c r="J89" i="27"/>
  <c r="M89" i="27" s="1"/>
  <c r="X88" i="27"/>
  <c r="S88" i="27"/>
  <c r="U88" i="27" s="1"/>
  <c r="J88" i="27"/>
  <c r="M88" i="27" s="1"/>
  <c r="X87" i="27"/>
  <c r="S87" i="27"/>
  <c r="U87" i="27" s="1"/>
  <c r="J87" i="27"/>
  <c r="M87" i="27" s="1"/>
  <c r="X86" i="27"/>
  <c r="S86" i="27"/>
  <c r="U86" i="27" s="1"/>
  <c r="J86" i="27"/>
  <c r="M86" i="27" s="1"/>
  <c r="X85" i="27"/>
  <c r="S85" i="27"/>
  <c r="U85" i="27" s="1"/>
  <c r="J85" i="27"/>
  <c r="M85" i="27" s="1"/>
  <c r="X84" i="27"/>
  <c r="S84" i="27"/>
  <c r="U84" i="27" s="1"/>
  <c r="J84" i="27"/>
  <c r="M84" i="27" s="1"/>
  <c r="X83" i="27"/>
  <c r="S83" i="27"/>
  <c r="U83" i="27" s="1"/>
  <c r="J83" i="27"/>
  <c r="M83" i="27" s="1"/>
  <c r="X82" i="27"/>
  <c r="S82" i="27"/>
  <c r="U82" i="27" s="1"/>
  <c r="J82" i="27"/>
  <c r="M82" i="27" s="1"/>
  <c r="X81" i="27"/>
  <c r="S81" i="27"/>
  <c r="U81" i="27" s="1"/>
  <c r="J81" i="27"/>
  <c r="M81" i="27" s="1"/>
  <c r="X80" i="27"/>
  <c r="S80" i="27"/>
  <c r="U80" i="27" s="1"/>
  <c r="J80" i="27"/>
  <c r="M80" i="27" s="1"/>
  <c r="X79" i="27"/>
  <c r="S79" i="27"/>
  <c r="U79" i="27" s="1"/>
  <c r="J79" i="27"/>
  <c r="M79" i="27" s="1"/>
  <c r="X78" i="27"/>
  <c r="S78" i="27"/>
  <c r="U78" i="27" s="1"/>
  <c r="J78" i="27"/>
  <c r="M78" i="27" s="1"/>
  <c r="X77" i="27"/>
  <c r="S77" i="27"/>
  <c r="U77" i="27" s="1"/>
  <c r="J77" i="27"/>
  <c r="M77" i="27" s="1"/>
  <c r="X76" i="27"/>
  <c r="S76" i="27"/>
  <c r="U76" i="27" s="1"/>
  <c r="J76" i="27"/>
  <c r="M76" i="27" s="1"/>
  <c r="X75" i="27"/>
  <c r="S75" i="27"/>
  <c r="U75" i="27" s="1"/>
  <c r="J75" i="27"/>
  <c r="M75" i="27" s="1"/>
  <c r="X74" i="27"/>
  <c r="S74" i="27"/>
  <c r="U74" i="27" s="1"/>
  <c r="J74" i="27"/>
  <c r="M74" i="27" s="1"/>
  <c r="X73" i="27"/>
  <c r="S73" i="27"/>
  <c r="U73" i="27" s="1"/>
  <c r="J73" i="27"/>
  <c r="M73" i="27" s="1"/>
  <c r="X72" i="27"/>
  <c r="S72" i="27"/>
  <c r="U72" i="27" s="1"/>
  <c r="J72" i="27"/>
  <c r="M72" i="27" s="1"/>
  <c r="X71" i="27"/>
  <c r="S71" i="27"/>
  <c r="U71" i="27" s="1"/>
  <c r="J71" i="27"/>
  <c r="M71" i="27" s="1"/>
  <c r="X70" i="27"/>
  <c r="S70" i="27"/>
  <c r="U70" i="27" s="1"/>
  <c r="J70" i="27"/>
  <c r="M70" i="27" s="1"/>
  <c r="X69" i="27"/>
  <c r="S69" i="27"/>
  <c r="U69" i="27" s="1"/>
  <c r="J69" i="27"/>
  <c r="M69" i="27" s="1"/>
  <c r="X68" i="27"/>
  <c r="S68" i="27"/>
  <c r="U68" i="27" s="1"/>
  <c r="J68" i="27"/>
  <c r="M68" i="27" s="1"/>
  <c r="X67" i="27"/>
  <c r="S67" i="27"/>
  <c r="U67" i="27" s="1"/>
  <c r="J67" i="27"/>
  <c r="M67" i="27" s="1"/>
  <c r="X66" i="27"/>
  <c r="S66" i="27"/>
  <c r="U66" i="27" s="1"/>
  <c r="J66" i="27"/>
  <c r="M66" i="27" s="1"/>
  <c r="X65" i="27"/>
  <c r="S65" i="27"/>
  <c r="U65" i="27" s="1"/>
  <c r="J65" i="27"/>
  <c r="M65" i="27" s="1"/>
  <c r="X64" i="27"/>
  <c r="S64" i="27"/>
  <c r="U64" i="27" s="1"/>
  <c r="J64" i="27"/>
  <c r="M64" i="27" s="1"/>
  <c r="X63" i="27"/>
  <c r="S63" i="27"/>
  <c r="U63" i="27" s="1"/>
  <c r="J63" i="27"/>
  <c r="M63" i="27" s="1"/>
  <c r="X62" i="27"/>
  <c r="S62" i="27"/>
  <c r="U62" i="27" s="1"/>
  <c r="J62" i="27"/>
  <c r="M62" i="27" s="1"/>
  <c r="X61" i="27"/>
  <c r="S61" i="27"/>
  <c r="U61" i="27" s="1"/>
  <c r="J61" i="27"/>
  <c r="M61" i="27" s="1"/>
  <c r="X60" i="27"/>
  <c r="S60" i="27"/>
  <c r="U60" i="27" s="1"/>
  <c r="J60" i="27"/>
  <c r="M60" i="27" s="1"/>
  <c r="X59" i="27"/>
  <c r="S59" i="27"/>
  <c r="U59" i="27" s="1"/>
  <c r="J59" i="27"/>
  <c r="M59" i="27" s="1"/>
  <c r="X58" i="27"/>
  <c r="S58" i="27"/>
  <c r="U58" i="27" s="1"/>
  <c r="J58" i="27"/>
  <c r="M58" i="27" s="1"/>
  <c r="X57" i="27"/>
  <c r="S57" i="27"/>
  <c r="U57" i="27" s="1"/>
  <c r="J57" i="27"/>
  <c r="M57" i="27" s="1"/>
  <c r="X56" i="27"/>
  <c r="U56" i="27"/>
  <c r="S56" i="27"/>
  <c r="J56" i="27"/>
  <c r="M56" i="27" s="1"/>
  <c r="X55" i="27"/>
  <c r="U55" i="27"/>
  <c r="S55" i="27"/>
  <c r="J55" i="27"/>
  <c r="M55" i="27" s="1"/>
  <c r="X54" i="27"/>
  <c r="U54" i="27"/>
  <c r="S54" i="27"/>
  <c r="J54" i="27"/>
  <c r="M54" i="27" s="1"/>
  <c r="X53" i="27"/>
  <c r="U53" i="27"/>
  <c r="S53" i="27"/>
  <c r="J53" i="27"/>
  <c r="M53" i="27" s="1"/>
  <c r="X52" i="27"/>
  <c r="U52" i="27"/>
  <c r="S52" i="27"/>
  <c r="J52" i="27"/>
  <c r="M52" i="27" s="1"/>
  <c r="X51" i="27"/>
  <c r="U51" i="27"/>
  <c r="S51" i="27"/>
  <c r="J51" i="27"/>
  <c r="M51" i="27" s="1"/>
  <c r="X50" i="27"/>
  <c r="U50" i="27"/>
  <c r="S50" i="27"/>
  <c r="J50" i="27"/>
  <c r="M50" i="27" s="1"/>
  <c r="X49" i="27"/>
  <c r="U49" i="27"/>
  <c r="S49" i="27"/>
  <c r="J49" i="27"/>
  <c r="M49" i="27" s="1"/>
  <c r="X48" i="27"/>
  <c r="U48" i="27"/>
  <c r="S48" i="27"/>
  <c r="J48" i="27"/>
  <c r="M48" i="27" s="1"/>
  <c r="X47" i="27"/>
  <c r="U47" i="27"/>
  <c r="S47" i="27"/>
  <c r="J47" i="27"/>
  <c r="M47" i="27" s="1"/>
  <c r="X46" i="27"/>
  <c r="U46" i="27"/>
  <c r="S46" i="27"/>
  <c r="J46" i="27"/>
  <c r="M46" i="27" s="1"/>
  <c r="X45" i="27"/>
  <c r="U45" i="27"/>
  <c r="S45" i="27"/>
  <c r="J45" i="27"/>
  <c r="M45" i="27" s="1"/>
  <c r="X44" i="27"/>
  <c r="U44" i="27"/>
  <c r="S44" i="27"/>
  <c r="J44" i="27"/>
  <c r="M44" i="27" s="1"/>
  <c r="X43" i="27"/>
  <c r="U43" i="27"/>
  <c r="S43" i="27"/>
  <c r="J43" i="27"/>
  <c r="M43" i="27" s="1"/>
  <c r="X42" i="27"/>
  <c r="U42" i="27"/>
  <c r="S42" i="27"/>
  <c r="J42" i="27"/>
  <c r="M42" i="27" s="1"/>
  <c r="X41" i="27"/>
  <c r="U41" i="27"/>
  <c r="S41" i="27"/>
  <c r="J41" i="27"/>
  <c r="M41" i="27" s="1"/>
  <c r="X40" i="27"/>
  <c r="U40" i="27"/>
  <c r="S40" i="27"/>
  <c r="J40" i="27"/>
  <c r="M40" i="27" s="1"/>
  <c r="X39" i="27"/>
  <c r="U39" i="27"/>
  <c r="S39" i="27"/>
  <c r="J39" i="27"/>
  <c r="M39" i="27" s="1"/>
  <c r="X38" i="27"/>
  <c r="U38" i="27"/>
  <c r="S38" i="27"/>
  <c r="J38" i="27"/>
  <c r="M38" i="27" s="1"/>
  <c r="X37" i="27"/>
  <c r="U37" i="27"/>
  <c r="S37" i="27"/>
  <c r="J37" i="27"/>
  <c r="M37" i="27" s="1"/>
  <c r="X36" i="27"/>
  <c r="U36" i="27"/>
  <c r="S36" i="27"/>
  <c r="J36" i="27"/>
  <c r="M36" i="27" s="1"/>
  <c r="X35" i="27"/>
  <c r="U35" i="27"/>
  <c r="S35" i="27"/>
  <c r="J35" i="27"/>
  <c r="M35" i="27" s="1"/>
  <c r="X34" i="27"/>
  <c r="U34" i="27"/>
  <c r="S34" i="27"/>
  <c r="J34" i="27"/>
  <c r="M34" i="27" s="1"/>
  <c r="X33" i="27"/>
  <c r="U33" i="27"/>
  <c r="S33" i="27"/>
  <c r="J33" i="27"/>
  <c r="M33" i="27" s="1"/>
  <c r="X32" i="27"/>
  <c r="U32" i="27"/>
  <c r="S32" i="27"/>
  <c r="J32" i="27"/>
  <c r="M32" i="27" s="1"/>
  <c r="X31" i="27"/>
  <c r="U31" i="27"/>
  <c r="S31" i="27"/>
  <c r="J31" i="27"/>
  <c r="M31" i="27" s="1"/>
  <c r="X30" i="27"/>
  <c r="U30" i="27"/>
  <c r="S30" i="27"/>
  <c r="J30" i="27"/>
  <c r="M30" i="27" s="1"/>
  <c r="X29" i="27"/>
  <c r="U29" i="27"/>
  <c r="S29" i="27"/>
  <c r="J29" i="27"/>
  <c r="M29" i="27" s="1"/>
  <c r="X28" i="27"/>
  <c r="U28" i="27"/>
  <c r="S28" i="27"/>
  <c r="J28" i="27"/>
  <c r="M28" i="27" s="1"/>
  <c r="X27" i="27"/>
  <c r="U27" i="27"/>
  <c r="S27" i="27"/>
  <c r="J27" i="27"/>
  <c r="M27" i="27" s="1"/>
  <c r="X26" i="27"/>
  <c r="U26" i="27"/>
  <c r="S26" i="27"/>
  <c r="J26" i="27"/>
  <c r="M26" i="27" s="1"/>
  <c r="X25" i="27"/>
  <c r="U25" i="27"/>
  <c r="S25" i="27"/>
  <c r="J25" i="27"/>
  <c r="M25" i="27" s="1"/>
  <c r="X24" i="27"/>
  <c r="U24" i="27"/>
  <c r="S24" i="27"/>
  <c r="J24" i="27"/>
  <c r="M24" i="27" s="1"/>
  <c r="X23" i="27"/>
  <c r="U23" i="27"/>
  <c r="S23" i="27"/>
  <c r="J23" i="27"/>
  <c r="M23" i="27" s="1"/>
  <c r="X22" i="27"/>
  <c r="U22" i="27"/>
  <c r="S22" i="27"/>
  <c r="J22" i="27"/>
  <c r="M22" i="27" s="1"/>
  <c r="X21" i="27"/>
  <c r="U21" i="27"/>
  <c r="S21" i="27"/>
  <c r="J21" i="27"/>
  <c r="M21" i="27" s="1"/>
  <c r="X20" i="27"/>
  <c r="U20" i="27"/>
  <c r="S20" i="27"/>
  <c r="J20" i="27"/>
  <c r="M20" i="27" s="1"/>
  <c r="X19" i="27"/>
  <c r="U19" i="27"/>
  <c r="S19" i="27"/>
  <c r="J19" i="27"/>
  <c r="M19" i="27" s="1"/>
  <c r="X18" i="27"/>
  <c r="U18" i="27"/>
  <c r="S18" i="27"/>
  <c r="J18" i="27"/>
  <c r="M18" i="27" s="1"/>
  <c r="X17" i="27"/>
  <c r="U17" i="27"/>
  <c r="S17" i="27"/>
  <c r="J17" i="27"/>
  <c r="M17" i="27" s="1"/>
  <c r="X16" i="27"/>
  <c r="U16" i="27"/>
  <c r="S16" i="27"/>
  <c r="J16" i="27"/>
  <c r="M16" i="27" s="1"/>
  <c r="X15" i="27"/>
  <c r="U15" i="27"/>
  <c r="S15" i="27"/>
  <c r="J15" i="27"/>
  <c r="M15" i="27" s="1"/>
  <c r="X14" i="27"/>
  <c r="U14" i="27"/>
  <c r="S14" i="27"/>
  <c r="J14" i="27"/>
  <c r="M14" i="27" s="1"/>
  <c r="X13" i="27"/>
  <c r="U13" i="27"/>
  <c r="S13" i="27"/>
  <c r="J13" i="27"/>
  <c r="M13" i="27" s="1"/>
  <c r="X12" i="27"/>
  <c r="U12" i="27"/>
  <c r="S12" i="27"/>
  <c r="J12" i="27"/>
  <c r="M12" i="27" s="1"/>
  <c r="X11" i="27"/>
  <c r="U11" i="27"/>
  <c r="S11" i="27"/>
  <c r="J11" i="27"/>
  <c r="M11" i="27" s="1"/>
  <c r="X10" i="27"/>
  <c r="U10" i="27"/>
  <c r="S10" i="27"/>
  <c r="J10" i="27"/>
  <c r="M10" i="27" s="1"/>
  <c r="X9" i="27"/>
  <c r="U9" i="27"/>
  <c r="S9" i="27"/>
  <c r="J9" i="27"/>
  <c r="M9" i="27" s="1"/>
  <c r="X8" i="27"/>
  <c r="U8" i="27"/>
  <c r="S8" i="27"/>
  <c r="J8" i="27"/>
  <c r="M8" i="27" s="1"/>
  <c r="X7" i="27"/>
  <c r="U7" i="27"/>
  <c r="S7" i="27"/>
  <c r="J7" i="27"/>
  <c r="M7" i="27" s="1"/>
  <c r="X6" i="27"/>
  <c r="U6" i="27"/>
  <c r="S6" i="27"/>
  <c r="J6" i="27"/>
  <c r="M6" i="27" s="1"/>
  <c r="X5" i="27"/>
  <c r="U5" i="27"/>
  <c r="S5" i="27"/>
  <c r="J5" i="27"/>
  <c r="M5" i="27" s="1"/>
  <c r="X4" i="27"/>
  <c r="U4" i="27"/>
  <c r="S4" i="27"/>
  <c r="J4" i="27"/>
  <c r="K219" i="26"/>
  <c r="K211" i="26"/>
  <c r="N9" i="9" s="1"/>
  <c r="K208" i="26"/>
  <c r="K218" i="26" s="1"/>
  <c r="J203" i="26"/>
  <c r="M203" i="26" s="1"/>
  <c r="J202" i="26"/>
  <c r="M202" i="26" s="1"/>
  <c r="J201" i="26"/>
  <c r="M201" i="26" s="1"/>
  <c r="J200" i="26"/>
  <c r="M200" i="26" s="1"/>
  <c r="J199" i="26"/>
  <c r="M199" i="26" s="1"/>
  <c r="J198" i="26"/>
  <c r="M198" i="26" s="1"/>
  <c r="J197" i="26"/>
  <c r="M197" i="26" s="1"/>
  <c r="J196" i="26"/>
  <c r="M196" i="26" s="1"/>
  <c r="J195" i="26"/>
  <c r="M195" i="26" s="1"/>
  <c r="J194" i="26"/>
  <c r="M194" i="26" s="1"/>
  <c r="J193" i="26"/>
  <c r="M193" i="26" s="1"/>
  <c r="J192" i="26"/>
  <c r="M192" i="26" s="1"/>
  <c r="J191" i="26"/>
  <c r="M191" i="26" s="1"/>
  <c r="J190" i="26"/>
  <c r="M190" i="26" s="1"/>
  <c r="J189" i="26"/>
  <c r="M189" i="26" s="1"/>
  <c r="J188" i="26"/>
  <c r="M188" i="26" s="1"/>
  <c r="J187" i="26"/>
  <c r="M187" i="26" s="1"/>
  <c r="J186" i="26"/>
  <c r="M186" i="26" s="1"/>
  <c r="J185" i="26"/>
  <c r="M185" i="26" s="1"/>
  <c r="J184" i="26"/>
  <c r="M184" i="26" s="1"/>
  <c r="J183" i="26"/>
  <c r="M183" i="26" s="1"/>
  <c r="J182" i="26"/>
  <c r="M182" i="26" s="1"/>
  <c r="J181" i="26"/>
  <c r="M181" i="26" s="1"/>
  <c r="J180" i="26"/>
  <c r="M180" i="26" s="1"/>
  <c r="J179" i="26"/>
  <c r="M179" i="26" s="1"/>
  <c r="J178" i="26"/>
  <c r="M178" i="26" s="1"/>
  <c r="J177" i="26"/>
  <c r="M177" i="26" s="1"/>
  <c r="J176" i="26"/>
  <c r="M176" i="26" s="1"/>
  <c r="J175" i="26"/>
  <c r="M175" i="26" s="1"/>
  <c r="J174" i="26"/>
  <c r="M174" i="26" s="1"/>
  <c r="J173" i="26"/>
  <c r="M173" i="26" s="1"/>
  <c r="J172" i="26"/>
  <c r="M172" i="26" s="1"/>
  <c r="J171" i="26"/>
  <c r="M171" i="26" s="1"/>
  <c r="J170" i="26"/>
  <c r="M170" i="26" s="1"/>
  <c r="J169" i="26"/>
  <c r="M169" i="26" s="1"/>
  <c r="J168" i="26"/>
  <c r="M168" i="26" s="1"/>
  <c r="J167" i="26"/>
  <c r="M167" i="26" s="1"/>
  <c r="J166" i="26"/>
  <c r="M166" i="26" s="1"/>
  <c r="J165" i="26"/>
  <c r="M165" i="26" s="1"/>
  <c r="J164" i="26"/>
  <c r="M164" i="26" s="1"/>
  <c r="J163" i="26"/>
  <c r="M163" i="26" s="1"/>
  <c r="J162" i="26"/>
  <c r="M162" i="26" s="1"/>
  <c r="J161" i="26"/>
  <c r="M161" i="26" s="1"/>
  <c r="J160" i="26"/>
  <c r="M160" i="26" s="1"/>
  <c r="J159" i="26"/>
  <c r="M159" i="26" s="1"/>
  <c r="J158" i="26"/>
  <c r="M158" i="26" s="1"/>
  <c r="J157" i="26"/>
  <c r="M157" i="26" s="1"/>
  <c r="J156" i="26"/>
  <c r="M156" i="26" s="1"/>
  <c r="J155" i="26"/>
  <c r="M155" i="26" s="1"/>
  <c r="J154" i="26"/>
  <c r="M154" i="26" s="1"/>
  <c r="J153" i="26"/>
  <c r="M153" i="26" s="1"/>
  <c r="J152" i="26"/>
  <c r="M152" i="26" s="1"/>
  <c r="J151" i="26"/>
  <c r="M151" i="26" s="1"/>
  <c r="J150" i="26"/>
  <c r="M150" i="26" s="1"/>
  <c r="J149" i="26"/>
  <c r="M149" i="26" s="1"/>
  <c r="J148" i="26"/>
  <c r="M148" i="26" s="1"/>
  <c r="J147" i="26"/>
  <c r="M147" i="26" s="1"/>
  <c r="J146" i="26"/>
  <c r="M146" i="26" s="1"/>
  <c r="J145" i="26"/>
  <c r="M145" i="26" s="1"/>
  <c r="J144" i="26"/>
  <c r="M144" i="26" s="1"/>
  <c r="J143" i="26"/>
  <c r="M143" i="26" s="1"/>
  <c r="J142" i="26"/>
  <c r="M142" i="26" s="1"/>
  <c r="J141" i="26"/>
  <c r="M141" i="26" s="1"/>
  <c r="J140" i="26"/>
  <c r="M140" i="26" s="1"/>
  <c r="J139" i="26"/>
  <c r="M139" i="26" s="1"/>
  <c r="J138" i="26"/>
  <c r="M138" i="26" s="1"/>
  <c r="J137" i="26"/>
  <c r="M137" i="26" s="1"/>
  <c r="J136" i="26"/>
  <c r="M136" i="26" s="1"/>
  <c r="J135" i="26"/>
  <c r="M135" i="26" s="1"/>
  <c r="J134" i="26"/>
  <c r="M134" i="26" s="1"/>
  <c r="J133" i="26"/>
  <c r="M133" i="26" s="1"/>
  <c r="J132" i="26"/>
  <c r="M132" i="26" s="1"/>
  <c r="J131" i="26"/>
  <c r="M131" i="26" s="1"/>
  <c r="J130" i="26"/>
  <c r="M130" i="26" s="1"/>
  <c r="J129" i="26"/>
  <c r="M129" i="26" s="1"/>
  <c r="J128" i="26"/>
  <c r="M128" i="26" s="1"/>
  <c r="J127" i="26"/>
  <c r="M127" i="26" s="1"/>
  <c r="J126" i="26"/>
  <c r="M126" i="26" s="1"/>
  <c r="J125" i="26"/>
  <c r="M125" i="26" s="1"/>
  <c r="J124" i="26"/>
  <c r="M124" i="26" s="1"/>
  <c r="J123" i="26"/>
  <c r="M123" i="26" s="1"/>
  <c r="J122" i="26"/>
  <c r="M122" i="26" s="1"/>
  <c r="J121" i="26"/>
  <c r="M121" i="26" s="1"/>
  <c r="J120" i="26"/>
  <c r="M120" i="26" s="1"/>
  <c r="J119" i="26"/>
  <c r="M119" i="26" s="1"/>
  <c r="J118" i="26"/>
  <c r="M118" i="26" s="1"/>
  <c r="J117" i="26"/>
  <c r="M117" i="26" s="1"/>
  <c r="J116" i="26"/>
  <c r="M116" i="26" s="1"/>
  <c r="J115" i="26"/>
  <c r="M115" i="26" s="1"/>
  <c r="J114" i="26"/>
  <c r="M114" i="26" s="1"/>
  <c r="J113" i="26"/>
  <c r="M113" i="26" s="1"/>
  <c r="J112" i="26"/>
  <c r="M112" i="26" s="1"/>
  <c r="J111" i="26"/>
  <c r="M111" i="26" s="1"/>
  <c r="J110" i="26"/>
  <c r="M110" i="26" s="1"/>
  <c r="J109" i="26"/>
  <c r="M109" i="26" s="1"/>
  <c r="J108" i="26"/>
  <c r="M108" i="26" s="1"/>
  <c r="J107" i="26"/>
  <c r="M107" i="26" s="1"/>
  <c r="J106" i="26"/>
  <c r="M106" i="26" s="1"/>
  <c r="J105" i="26"/>
  <c r="M105" i="26" s="1"/>
  <c r="Z104" i="26"/>
  <c r="J104" i="26"/>
  <c r="M104" i="26" s="1"/>
  <c r="X103" i="26"/>
  <c r="S103" i="26"/>
  <c r="U103" i="26" s="1"/>
  <c r="J103" i="26"/>
  <c r="M103" i="26" s="1"/>
  <c r="X102" i="26"/>
  <c r="S102" i="26"/>
  <c r="U102" i="26" s="1"/>
  <c r="J102" i="26"/>
  <c r="M102" i="26" s="1"/>
  <c r="X101" i="26"/>
  <c r="S101" i="26"/>
  <c r="U101" i="26" s="1"/>
  <c r="J101" i="26"/>
  <c r="M101" i="26" s="1"/>
  <c r="X100" i="26"/>
  <c r="S100" i="26"/>
  <c r="U100" i="26" s="1"/>
  <c r="J100" i="26"/>
  <c r="M100" i="26" s="1"/>
  <c r="X99" i="26"/>
  <c r="S99" i="26"/>
  <c r="U99" i="26" s="1"/>
  <c r="J99" i="26"/>
  <c r="M99" i="26" s="1"/>
  <c r="X98" i="26"/>
  <c r="S98" i="26"/>
  <c r="U98" i="26" s="1"/>
  <c r="J98" i="26"/>
  <c r="M98" i="26" s="1"/>
  <c r="X97" i="26"/>
  <c r="S97" i="26"/>
  <c r="U97" i="26" s="1"/>
  <c r="J97" i="26"/>
  <c r="M97" i="26" s="1"/>
  <c r="X96" i="26"/>
  <c r="S96" i="26"/>
  <c r="U96" i="26" s="1"/>
  <c r="J96" i="26"/>
  <c r="M96" i="26" s="1"/>
  <c r="X95" i="26"/>
  <c r="S95" i="26"/>
  <c r="U95" i="26" s="1"/>
  <c r="J95" i="26"/>
  <c r="M95" i="26" s="1"/>
  <c r="X94" i="26"/>
  <c r="S94" i="26"/>
  <c r="U94" i="26" s="1"/>
  <c r="J94" i="26"/>
  <c r="M94" i="26" s="1"/>
  <c r="X93" i="26"/>
  <c r="S93" i="26"/>
  <c r="U93" i="26" s="1"/>
  <c r="J93" i="26"/>
  <c r="M93" i="26" s="1"/>
  <c r="X92" i="26"/>
  <c r="S92" i="26"/>
  <c r="U92" i="26" s="1"/>
  <c r="J92" i="26"/>
  <c r="M92" i="26" s="1"/>
  <c r="X91" i="26"/>
  <c r="S91" i="26"/>
  <c r="U91" i="26" s="1"/>
  <c r="J91" i="26"/>
  <c r="M91" i="26" s="1"/>
  <c r="X90" i="26"/>
  <c r="S90" i="26"/>
  <c r="U90" i="26" s="1"/>
  <c r="J90" i="26"/>
  <c r="M90" i="26" s="1"/>
  <c r="X89" i="26"/>
  <c r="S89" i="26"/>
  <c r="U89" i="26" s="1"/>
  <c r="J89" i="26"/>
  <c r="M89" i="26" s="1"/>
  <c r="X88" i="26"/>
  <c r="S88" i="26"/>
  <c r="U88" i="26" s="1"/>
  <c r="J88" i="26"/>
  <c r="M88" i="26" s="1"/>
  <c r="X87" i="26"/>
  <c r="S87" i="26"/>
  <c r="U87" i="26" s="1"/>
  <c r="J87" i="26"/>
  <c r="M87" i="26" s="1"/>
  <c r="X86" i="26"/>
  <c r="S86" i="26"/>
  <c r="U86" i="26" s="1"/>
  <c r="J86" i="26"/>
  <c r="M86" i="26" s="1"/>
  <c r="X85" i="26"/>
  <c r="S85" i="26"/>
  <c r="U85" i="26" s="1"/>
  <c r="J85" i="26"/>
  <c r="M85" i="26" s="1"/>
  <c r="X84" i="26"/>
  <c r="S84" i="26"/>
  <c r="U84" i="26" s="1"/>
  <c r="J84" i="26"/>
  <c r="M84" i="26" s="1"/>
  <c r="X83" i="26"/>
  <c r="S83" i="26"/>
  <c r="U83" i="26" s="1"/>
  <c r="J83" i="26"/>
  <c r="M83" i="26" s="1"/>
  <c r="X82" i="26"/>
  <c r="S82" i="26"/>
  <c r="U82" i="26" s="1"/>
  <c r="J82" i="26"/>
  <c r="M82" i="26" s="1"/>
  <c r="X81" i="26"/>
  <c r="S81" i="26"/>
  <c r="U81" i="26" s="1"/>
  <c r="J81" i="26"/>
  <c r="M81" i="26" s="1"/>
  <c r="X80" i="26"/>
  <c r="S80" i="26"/>
  <c r="U80" i="26" s="1"/>
  <c r="J80" i="26"/>
  <c r="M80" i="26" s="1"/>
  <c r="X79" i="26"/>
  <c r="S79" i="26"/>
  <c r="U79" i="26" s="1"/>
  <c r="J79" i="26"/>
  <c r="M79" i="26" s="1"/>
  <c r="X78" i="26"/>
  <c r="S78" i="26"/>
  <c r="U78" i="26" s="1"/>
  <c r="J78" i="26"/>
  <c r="M78" i="26" s="1"/>
  <c r="X77" i="26"/>
  <c r="S77" i="26"/>
  <c r="U77" i="26" s="1"/>
  <c r="J77" i="26"/>
  <c r="M77" i="26" s="1"/>
  <c r="X76" i="26"/>
  <c r="S76" i="26"/>
  <c r="U76" i="26" s="1"/>
  <c r="J76" i="26"/>
  <c r="M76" i="26" s="1"/>
  <c r="X75" i="26"/>
  <c r="S75" i="26"/>
  <c r="U75" i="26" s="1"/>
  <c r="J75" i="26"/>
  <c r="M75" i="26" s="1"/>
  <c r="X74" i="26"/>
  <c r="S74" i="26"/>
  <c r="U74" i="26" s="1"/>
  <c r="J74" i="26"/>
  <c r="M74" i="26" s="1"/>
  <c r="X73" i="26"/>
  <c r="S73" i="26"/>
  <c r="U73" i="26" s="1"/>
  <c r="J73" i="26"/>
  <c r="M73" i="26" s="1"/>
  <c r="X72" i="26"/>
  <c r="S72" i="26"/>
  <c r="U72" i="26" s="1"/>
  <c r="J72" i="26"/>
  <c r="M72" i="26" s="1"/>
  <c r="X71" i="26"/>
  <c r="S71" i="26"/>
  <c r="U71" i="26" s="1"/>
  <c r="J71" i="26"/>
  <c r="M71" i="26" s="1"/>
  <c r="X70" i="26"/>
  <c r="S70" i="26"/>
  <c r="U70" i="26" s="1"/>
  <c r="J70" i="26"/>
  <c r="M70" i="26" s="1"/>
  <c r="X69" i="26"/>
  <c r="S69" i="26"/>
  <c r="U69" i="26" s="1"/>
  <c r="J69" i="26"/>
  <c r="M69" i="26" s="1"/>
  <c r="X68" i="26"/>
  <c r="S68" i="26"/>
  <c r="U68" i="26" s="1"/>
  <c r="J68" i="26"/>
  <c r="M68" i="26" s="1"/>
  <c r="X67" i="26"/>
  <c r="S67" i="26"/>
  <c r="U67" i="26" s="1"/>
  <c r="J67" i="26"/>
  <c r="M67" i="26" s="1"/>
  <c r="X66" i="26"/>
  <c r="S66" i="26"/>
  <c r="U66" i="26" s="1"/>
  <c r="J66" i="26"/>
  <c r="M66" i="26" s="1"/>
  <c r="X65" i="26"/>
  <c r="S65" i="26"/>
  <c r="U65" i="26" s="1"/>
  <c r="J65" i="26"/>
  <c r="M65" i="26" s="1"/>
  <c r="X64" i="26"/>
  <c r="S64" i="26"/>
  <c r="U64" i="26" s="1"/>
  <c r="J64" i="26"/>
  <c r="M64" i="26" s="1"/>
  <c r="X63" i="26"/>
  <c r="S63" i="26"/>
  <c r="U63" i="26" s="1"/>
  <c r="J63" i="26"/>
  <c r="M63" i="26" s="1"/>
  <c r="X62" i="26"/>
  <c r="S62" i="26"/>
  <c r="U62" i="26" s="1"/>
  <c r="J62" i="26"/>
  <c r="M62" i="26" s="1"/>
  <c r="X61" i="26"/>
  <c r="S61" i="26"/>
  <c r="U61" i="26" s="1"/>
  <c r="J61" i="26"/>
  <c r="M61" i="26" s="1"/>
  <c r="X60" i="26"/>
  <c r="S60" i="26"/>
  <c r="U60" i="26" s="1"/>
  <c r="J60" i="26"/>
  <c r="M60" i="26" s="1"/>
  <c r="X59" i="26"/>
  <c r="S59" i="26"/>
  <c r="U59" i="26" s="1"/>
  <c r="J59" i="26"/>
  <c r="M59" i="26" s="1"/>
  <c r="X58" i="26"/>
  <c r="S58" i="26"/>
  <c r="U58" i="26" s="1"/>
  <c r="J58" i="26"/>
  <c r="M58" i="26" s="1"/>
  <c r="X57" i="26"/>
  <c r="S57" i="26"/>
  <c r="U57" i="26" s="1"/>
  <c r="J57" i="26"/>
  <c r="M57" i="26" s="1"/>
  <c r="X56" i="26"/>
  <c r="S56" i="26"/>
  <c r="U56" i="26" s="1"/>
  <c r="J56" i="26"/>
  <c r="M56" i="26" s="1"/>
  <c r="X55" i="26"/>
  <c r="U55" i="26"/>
  <c r="S55" i="26"/>
  <c r="J55" i="26"/>
  <c r="M55" i="26" s="1"/>
  <c r="X54" i="26"/>
  <c r="U54" i="26"/>
  <c r="S54" i="26"/>
  <c r="J54" i="26"/>
  <c r="M54" i="26" s="1"/>
  <c r="X53" i="26"/>
  <c r="S53" i="26"/>
  <c r="U53" i="26" s="1"/>
  <c r="J53" i="26"/>
  <c r="M53" i="26" s="1"/>
  <c r="X52" i="26"/>
  <c r="S52" i="26"/>
  <c r="U52" i="26" s="1"/>
  <c r="J52" i="26"/>
  <c r="M52" i="26" s="1"/>
  <c r="X51" i="26"/>
  <c r="S51" i="26"/>
  <c r="U51" i="26" s="1"/>
  <c r="J51" i="26"/>
  <c r="M51" i="26" s="1"/>
  <c r="X50" i="26"/>
  <c r="S50" i="26"/>
  <c r="U50" i="26" s="1"/>
  <c r="J50" i="26"/>
  <c r="M50" i="26" s="1"/>
  <c r="X49" i="26"/>
  <c r="S49" i="26"/>
  <c r="U49" i="26" s="1"/>
  <c r="J49" i="26"/>
  <c r="M49" i="26" s="1"/>
  <c r="X48" i="26"/>
  <c r="S48" i="26"/>
  <c r="U48" i="26" s="1"/>
  <c r="J48" i="26"/>
  <c r="M48" i="26" s="1"/>
  <c r="X47" i="26"/>
  <c r="S47" i="26"/>
  <c r="U47" i="26" s="1"/>
  <c r="J47" i="26"/>
  <c r="M47" i="26" s="1"/>
  <c r="X46" i="26"/>
  <c r="S46" i="26"/>
  <c r="U46" i="26" s="1"/>
  <c r="J46" i="26"/>
  <c r="M46" i="26" s="1"/>
  <c r="X45" i="26"/>
  <c r="S45" i="26"/>
  <c r="U45" i="26" s="1"/>
  <c r="J45" i="26"/>
  <c r="M45" i="26" s="1"/>
  <c r="X44" i="26"/>
  <c r="S44" i="26"/>
  <c r="U44" i="26" s="1"/>
  <c r="J44" i="26"/>
  <c r="M44" i="26" s="1"/>
  <c r="X43" i="26"/>
  <c r="S43" i="26"/>
  <c r="U43" i="26" s="1"/>
  <c r="J43" i="26"/>
  <c r="M43" i="26" s="1"/>
  <c r="X42" i="26"/>
  <c r="S42" i="26"/>
  <c r="U42" i="26" s="1"/>
  <c r="J42" i="26"/>
  <c r="M42" i="26" s="1"/>
  <c r="X41" i="26"/>
  <c r="S41" i="26"/>
  <c r="U41" i="26" s="1"/>
  <c r="J41" i="26"/>
  <c r="M41" i="26" s="1"/>
  <c r="X40" i="26"/>
  <c r="S40" i="26"/>
  <c r="U40" i="26" s="1"/>
  <c r="M40" i="26"/>
  <c r="J40" i="26"/>
  <c r="X39" i="26"/>
  <c r="S39" i="26"/>
  <c r="U39" i="26" s="1"/>
  <c r="J39" i="26"/>
  <c r="M39" i="26" s="1"/>
  <c r="X38" i="26"/>
  <c r="S38" i="26"/>
  <c r="U38" i="26" s="1"/>
  <c r="J38" i="26"/>
  <c r="M38" i="26" s="1"/>
  <c r="X37" i="26"/>
  <c r="S37" i="26"/>
  <c r="U37" i="26" s="1"/>
  <c r="J37" i="26"/>
  <c r="M37" i="26" s="1"/>
  <c r="X36" i="26"/>
  <c r="S36" i="26"/>
  <c r="U36" i="26" s="1"/>
  <c r="J36" i="26"/>
  <c r="M36" i="26" s="1"/>
  <c r="X35" i="26"/>
  <c r="S35" i="26"/>
  <c r="U35" i="26" s="1"/>
  <c r="J35" i="26"/>
  <c r="M35" i="26" s="1"/>
  <c r="X34" i="26"/>
  <c r="S34" i="26"/>
  <c r="U34" i="26" s="1"/>
  <c r="J34" i="26"/>
  <c r="M34" i="26" s="1"/>
  <c r="X33" i="26"/>
  <c r="S33" i="26"/>
  <c r="U33" i="26" s="1"/>
  <c r="J33" i="26"/>
  <c r="M33" i="26" s="1"/>
  <c r="X32" i="26"/>
  <c r="S32" i="26"/>
  <c r="U32" i="26" s="1"/>
  <c r="J32" i="26"/>
  <c r="M32" i="26" s="1"/>
  <c r="X31" i="26"/>
  <c r="S31" i="26"/>
  <c r="U31" i="26" s="1"/>
  <c r="J31" i="26"/>
  <c r="M31" i="26" s="1"/>
  <c r="X30" i="26"/>
  <c r="S30" i="26"/>
  <c r="U30" i="26" s="1"/>
  <c r="J30" i="26"/>
  <c r="M30" i="26" s="1"/>
  <c r="X29" i="26"/>
  <c r="S29" i="26"/>
  <c r="U29" i="26" s="1"/>
  <c r="J29" i="26"/>
  <c r="M29" i="26" s="1"/>
  <c r="X28" i="26"/>
  <c r="S28" i="26"/>
  <c r="U28" i="26" s="1"/>
  <c r="J28" i="26"/>
  <c r="M28" i="26" s="1"/>
  <c r="X27" i="26"/>
  <c r="S27" i="26"/>
  <c r="U27" i="26" s="1"/>
  <c r="J27" i="26"/>
  <c r="M27" i="26" s="1"/>
  <c r="X26" i="26"/>
  <c r="S26" i="26"/>
  <c r="U26" i="26" s="1"/>
  <c r="M26" i="26"/>
  <c r="J26" i="26"/>
  <c r="X25" i="26"/>
  <c r="S25" i="26"/>
  <c r="U25" i="26" s="1"/>
  <c r="J25" i="26"/>
  <c r="M25" i="26" s="1"/>
  <c r="X24" i="26"/>
  <c r="S24" i="26"/>
  <c r="U24" i="26" s="1"/>
  <c r="J24" i="26"/>
  <c r="M24" i="26" s="1"/>
  <c r="X23" i="26"/>
  <c r="S23" i="26"/>
  <c r="U23" i="26" s="1"/>
  <c r="J23" i="26"/>
  <c r="M23" i="26" s="1"/>
  <c r="X22" i="26"/>
  <c r="S22" i="26"/>
  <c r="U22" i="26" s="1"/>
  <c r="J22" i="26"/>
  <c r="M22" i="26" s="1"/>
  <c r="X21" i="26"/>
  <c r="S21" i="26"/>
  <c r="U21" i="26" s="1"/>
  <c r="J21" i="26"/>
  <c r="M21" i="26" s="1"/>
  <c r="X20" i="26"/>
  <c r="S20" i="26"/>
  <c r="U20" i="26" s="1"/>
  <c r="J20" i="26"/>
  <c r="M20" i="26" s="1"/>
  <c r="X19" i="26"/>
  <c r="S19" i="26"/>
  <c r="U19" i="26" s="1"/>
  <c r="J19" i="26"/>
  <c r="M19" i="26" s="1"/>
  <c r="X18" i="26"/>
  <c r="S18" i="26"/>
  <c r="U18" i="26" s="1"/>
  <c r="J18" i="26"/>
  <c r="M18" i="26" s="1"/>
  <c r="X17" i="26"/>
  <c r="S17" i="26"/>
  <c r="U17" i="26" s="1"/>
  <c r="J17" i="26"/>
  <c r="M17" i="26" s="1"/>
  <c r="X16" i="26"/>
  <c r="S16" i="26"/>
  <c r="U16" i="26" s="1"/>
  <c r="J16" i="26"/>
  <c r="M16" i="26" s="1"/>
  <c r="X15" i="26"/>
  <c r="S15" i="26"/>
  <c r="U15" i="26" s="1"/>
  <c r="J15" i="26"/>
  <c r="M15" i="26" s="1"/>
  <c r="X14" i="26"/>
  <c r="S14" i="26"/>
  <c r="U14" i="26" s="1"/>
  <c r="J14" i="26"/>
  <c r="M14" i="26" s="1"/>
  <c r="X13" i="26"/>
  <c r="S13" i="26"/>
  <c r="U13" i="26" s="1"/>
  <c r="J13" i="26"/>
  <c r="M13" i="26" s="1"/>
  <c r="X12" i="26"/>
  <c r="S12" i="26"/>
  <c r="U12" i="26" s="1"/>
  <c r="J12" i="26"/>
  <c r="M12" i="26" s="1"/>
  <c r="X11" i="26"/>
  <c r="S11" i="26"/>
  <c r="U11" i="26" s="1"/>
  <c r="J11" i="26"/>
  <c r="M11" i="26" s="1"/>
  <c r="X10" i="26"/>
  <c r="S10" i="26"/>
  <c r="U10" i="26" s="1"/>
  <c r="J10" i="26"/>
  <c r="M10" i="26" s="1"/>
  <c r="X9" i="26"/>
  <c r="S9" i="26"/>
  <c r="U9" i="26" s="1"/>
  <c r="J9" i="26"/>
  <c r="M9" i="26" s="1"/>
  <c r="X8" i="26"/>
  <c r="S8" i="26"/>
  <c r="U8" i="26" s="1"/>
  <c r="J8" i="26"/>
  <c r="M8" i="26" s="1"/>
  <c r="X7" i="26"/>
  <c r="S7" i="26"/>
  <c r="U7" i="26" s="1"/>
  <c r="J7" i="26"/>
  <c r="M7" i="26" s="1"/>
  <c r="X6" i="26"/>
  <c r="S6" i="26"/>
  <c r="U6" i="26" s="1"/>
  <c r="J6" i="26"/>
  <c r="M6" i="26" s="1"/>
  <c r="X5" i="26"/>
  <c r="S5" i="26"/>
  <c r="U5" i="26" s="1"/>
  <c r="J5" i="26"/>
  <c r="M5" i="26" s="1"/>
  <c r="X4" i="26"/>
  <c r="X106" i="26" s="1"/>
  <c r="J205" i="26" s="1"/>
  <c r="S4" i="26"/>
  <c r="U4" i="26" s="1"/>
  <c r="J4" i="26"/>
  <c r="M4" i="26" s="1"/>
  <c r="K219" i="25"/>
  <c r="K211" i="25"/>
  <c r="N8" i="9" s="1"/>
  <c r="K208" i="25"/>
  <c r="K218" i="25" s="1"/>
  <c r="J203" i="25"/>
  <c r="M203" i="25" s="1"/>
  <c r="J202" i="25"/>
  <c r="M202" i="25" s="1"/>
  <c r="J201" i="25"/>
  <c r="M201" i="25" s="1"/>
  <c r="J200" i="25"/>
  <c r="M200" i="25" s="1"/>
  <c r="J199" i="25"/>
  <c r="M199" i="25" s="1"/>
  <c r="J198" i="25"/>
  <c r="M198" i="25" s="1"/>
  <c r="J197" i="25"/>
  <c r="M197" i="25" s="1"/>
  <c r="J196" i="25"/>
  <c r="M196" i="25" s="1"/>
  <c r="J195" i="25"/>
  <c r="M195" i="25" s="1"/>
  <c r="J194" i="25"/>
  <c r="M194" i="25" s="1"/>
  <c r="J193" i="25"/>
  <c r="M193" i="25" s="1"/>
  <c r="J192" i="25"/>
  <c r="M192" i="25" s="1"/>
  <c r="J191" i="25"/>
  <c r="M191" i="25" s="1"/>
  <c r="J190" i="25"/>
  <c r="M190" i="25" s="1"/>
  <c r="J189" i="25"/>
  <c r="M189" i="25" s="1"/>
  <c r="J188" i="25"/>
  <c r="M188" i="25" s="1"/>
  <c r="J187" i="25"/>
  <c r="M187" i="25" s="1"/>
  <c r="J186" i="25"/>
  <c r="M186" i="25" s="1"/>
  <c r="M185" i="25"/>
  <c r="J185" i="25"/>
  <c r="M184" i="25"/>
  <c r="J184" i="25"/>
  <c r="J183" i="25"/>
  <c r="M183" i="25" s="1"/>
  <c r="J182" i="25"/>
  <c r="M182" i="25" s="1"/>
  <c r="J181" i="25"/>
  <c r="M181" i="25" s="1"/>
  <c r="J180" i="25"/>
  <c r="M180" i="25" s="1"/>
  <c r="M179" i="25"/>
  <c r="J179" i="25"/>
  <c r="J178" i="25"/>
  <c r="M178" i="25" s="1"/>
  <c r="J177" i="25"/>
  <c r="M177" i="25" s="1"/>
  <c r="J176" i="25"/>
  <c r="M176" i="25" s="1"/>
  <c r="J175" i="25"/>
  <c r="M175" i="25" s="1"/>
  <c r="J174" i="25"/>
  <c r="M174" i="25" s="1"/>
  <c r="J173" i="25"/>
  <c r="M173" i="25" s="1"/>
  <c r="J172" i="25"/>
  <c r="M172" i="25" s="1"/>
  <c r="J171" i="25"/>
  <c r="M171" i="25" s="1"/>
  <c r="J170" i="25"/>
  <c r="M170" i="25" s="1"/>
  <c r="J169" i="25"/>
  <c r="M169" i="25" s="1"/>
  <c r="J168" i="25"/>
  <c r="M168" i="25" s="1"/>
  <c r="J167" i="25"/>
  <c r="M167" i="25" s="1"/>
  <c r="J166" i="25"/>
  <c r="M166" i="25" s="1"/>
  <c r="J165" i="25"/>
  <c r="M165" i="25" s="1"/>
  <c r="J164" i="25"/>
  <c r="M164" i="25" s="1"/>
  <c r="J163" i="25"/>
  <c r="M163" i="25" s="1"/>
  <c r="J162" i="25"/>
  <c r="M162" i="25" s="1"/>
  <c r="J161" i="25"/>
  <c r="M161" i="25" s="1"/>
  <c r="J160" i="25"/>
  <c r="M160" i="25" s="1"/>
  <c r="J159" i="25"/>
  <c r="M159" i="25" s="1"/>
  <c r="J158" i="25"/>
  <c r="M158" i="25" s="1"/>
  <c r="J157" i="25"/>
  <c r="M157" i="25" s="1"/>
  <c r="J156" i="25"/>
  <c r="M156" i="25" s="1"/>
  <c r="J155" i="25"/>
  <c r="M155" i="25" s="1"/>
  <c r="J154" i="25"/>
  <c r="M154" i="25" s="1"/>
  <c r="J153" i="25"/>
  <c r="M153" i="25" s="1"/>
  <c r="J152" i="25"/>
  <c r="M152" i="25" s="1"/>
  <c r="J151" i="25"/>
  <c r="M151" i="25" s="1"/>
  <c r="J150" i="25"/>
  <c r="M150" i="25" s="1"/>
  <c r="J149" i="25"/>
  <c r="M149" i="25" s="1"/>
  <c r="J148" i="25"/>
  <c r="M148" i="25" s="1"/>
  <c r="J147" i="25"/>
  <c r="M147" i="25" s="1"/>
  <c r="J146" i="25"/>
  <c r="M146" i="25" s="1"/>
  <c r="J145" i="25"/>
  <c r="M145" i="25" s="1"/>
  <c r="J144" i="25"/>
  <c r="M144" i="25" s="1"/>
  <c r="J143" i="25"/>
  <c r="M143" i="25" s="1"/>
  <c r="J142" i="25"/>
  <c r="M142" i="25" s="1"/>
  <c r="J141" i="25"/>
  <c r="M141" i="25" s="1"/>
  <c r="J140" i="25"/>
  <c r="M140" i="25" s="1"/>
  <c r="J139" i="25"/>
  <c r="M139" i="25" s="1"/>
  <c r="J138" i="25"/>
  <c r="M138" i="25" s="1"/>
  <c r="J137" i="25"/>
  <c r="M137" i="25" s="1"/>
  <c r="J136" i="25"/>
  <c r="M136" i="25" s="1"/>
  <c r="J135" i="25"/>
  <c r="M135" i="25" s="1"/>
  <c r="J134" i="25"/>
  <c r="M134" i="25" s="1"/>
  <c r="J133" i="25"/>
  <c r="M133" i="25" s="1"/>
  <c r="J132" i="25"/>
  <c r="M132" i="25" s="1"/>
  <c r="J131" i="25"/>
  <c r="M131" i="25" s="1"/>
  <c r="J130" i="25"/>
  <c r="M130" i="25" s="1"/>
  <c r="J129" i="25"/>
  <c r="M129" i="25" s="1"/>
  <c r="J128" i="25"/>
  <c r="M128" i="25" s="1"/>
  <c r="J127" i="25"/>
  <c r="M127" i="25" s="1"/>
  <c r="J126" i="25"/>
  <c r="M126" i="25" s="1"/>
  <c r="J125" i="25"/>
  <c r="M125" i="25" s="1"/>
  <c r="J124" i="25"/>
  <c r="M124" i="25" s="1"/>
  <c r="J123" i="25"/>
  <c r="M123" i="25" s="1"/>
  <c r="J122" i="25"/>
  <c r="M122" i="25" s="1"/>
  <c r="J121" i="25"/>
  <c r="M121" i="25" s="1"/>
  <c r="J120" i="25"/>
  <c r="M120" i="25" s="1"/>
  <c r="J119" i="25"/>
  <c r="M119" i="25" s="1"/>
  <c r="J118" i="25"/>
  <c r="M118" i="25" s="1"/>
  <c r="J117" i="25"/>
  <c r="M117" i="25" s="1"/>
  <c r="J116" i="25"/>
  <c r="M116" i="25" s="1"/>
  <c r="J115" i="25"/>
  <c r="M115" i="25" s="1"/>
  <c r="J114" i="25"/>
  <c r="M114" i="25" s="1"/>
  <c r="J113" i="25"/>
  <c r="M113" i="25" s="1"/>
  <c r="J112" i="25"/>
  <c r="M112" i="25" s="1"/>
  <c r="J111" i="25"/>
  <c r="M111" i="25" s="1"/>
  <c r="J110" i="25"/>
  <c r="M110" i="25" s="1"/>
  <c r="M109" i="25"/>
  <c r="J109" i="25"/>
  <c r="J108" i="25"/>
  <c r="M108" i="25" s="1"/>
  <c r="J107" i="25"/>
  <c r="M107" i="25" s="1"/>
  <c r="J106" i="25"/>
  <c r="M106" i="25" s="1"/>
  <c r="J105" i="25"/>
  <c r="M105" i="25" s="1"/>
  <c r="Z104" i="25"/>
  <c r="J104" i="25"/>
  <c r="M104" i="25" s="1"/>
  <c r="X103" i="25"/>
  <c r="S103" i="25"/>
  <c r="U103" i="25" s="1"/>
  <c r="J103" i="25"/>
  <c r="M103" i="25" s="1"/>
  <c r="X102" i="25"/>
  <c r="S102" i="25"/>
  <c r="U102" i="25" s="1"/>
  <c r="J102" i="25"/>
  <c r="M102" i="25" s="1"/>
  <c r="X101" i="25"/>
  <c r="S101" i="25"/>
  <c r="U101" i="25" s="1"/>
  <c r="J101" i="25"/>
  <c r="M101" i="25" s="1"/>
  <c r="X100" i="25"/>
  <c r="S100" i="25"/>
  <c r="U100" i="25" s="1"/>
  <c r="J100" i="25"/>
  <c r="M100" i="25" s="1"/>
  <c r="X99" i="25"/>
  <c r="S99" i="25"/>
  <c r="U99" i="25" s="1"/>
  <c r="J99" i="25"/>
  <c r="M99" i="25" s="1"/>
  <c r="X98" i="25"/>
  <c r="S98" i="25"/>
  <c r="U98" i="25" s="1"/>
  <c r="J98" i="25"/>
  <c r="M98" i="25" s="1"/>
  <c r="X97" i="25"/>
  <c r="S97" i="25"/>
  <c r="U97" i="25" s="1"/>
  <c r="J97" i="25"/>
  <c r="M97" i="25" s="1"/>
  <c r="X96" i="25"/>
  <c r="S96" i="25"/>
  <c r="U96" i="25" s="1"/>
  <c r="J96" i="25"/>
  <c r="M96" i="25" s="1"/>
  <c r="X95" i="25"/>
  <c r="S95" i="25"/>
  <c r="U95" i="25" s="1"/>
  <c r="J95" i="25"/>
  <c r="M95" i="25" s="1"/>
  <c r="X94" i="25"/>
  <c r="S94" i="25"/>
  <c r="U94" i="25" s="1"/>
  <c r="J94" i="25"/>
  <c r="M94" i="25" s="1"/>
  <c r="X93" i="25"/>
  <c r="S93" i="25"/>
  <c r="U93" i="25" s="1"/>
  <c r="J93" i="25"/>
  <c r="M93" i="25" s="1"/>
  <c r="X92" i="25"/>
  <c r="S92" i="25"/>
  <c r="U92" i="25" s="1"/>
  <c r="J92" i="25"/>
  <c r="M92" i="25" s="1"/>
  <c r="X91" i="25"/>
  <c r="S91" i="25"/>
  <c r="U91" i="25" s="1"/>
  <c r="J91" i="25"/>
  <c r="M91" i="25" s="1"/>
  <c r="X90" i="25"/>
  <c r="S90" i="25"/>
  <c r="U90" i="25" s="1"/>
  <c r="J90" i="25"/>
  <c r="M90" i="25" s="1"/>
  <c r="X89" i="25"/>
  <c r="S89" i="25"/>
  <c r="U89" i="25" s="1"/>
  <c r="J89" i="25"/>
  <c r="M89" i="25" s="1"/>
  <c r="X88" i="25"/>
  <c r="S88" i="25"/>
  <c r="U88" i="25" s="1"/>
  <c r="J88" i="25"/>
  <c r="M88" i="25" s="1"/>
  <c r="X87" i="25"/>
  <c r="S87" i="25"/>
  <c r="U87" i="25" s="1"/>
  <c r="J87" i="25"/>
  <c r="M87" i="25" s="1"/>
  <c r="X86" i="25"/>
  <c r="S86" i="25"/>
  <c r="U86" i="25" s="1"/>
  <c r="J86" i="25"/>
  <c r="M86" i="25" s="1"/>
  <c r="X85" i="25"/>
  <c r="S85" i="25"/>
  <c r="U85" i="25" s="1"/>
  <c r="J85" i="25"/>
  <c r="M85" i="25" s="1"/>
  <c r="X84" i="25"/>
  <c r="S84" i="25"/>
  <c r="U84" i="25" s="1"/>
  <c r="J84" i="25"/>
  <c r="M84" i="25" s="1"/>
  <c r="X83" i="25"/>
  <c r="S83" i="25"/>
  <c r="U83" i="25" s="1"/>
  <c r="J83" i="25"/>
  <c r="M83" i="25" s="1"/>
  <c r="X82" i="25"/>
  <c r="S82" i="25"/>
  <c r="U82" i="25" s="1"/>
  <c r="J82" i="25"/>
  <c r="M82" i="25" s="1"/>
  <c r="X81" i="25"/>
  <c r="S81" i="25"/>
  <c r="U81" i="25" s="1"/>
  <c r="J81" i="25"/>
  <c r="M81" i="25" s="1"/>
  <c r="X80" i="25"/>
  <c r="S80" i="25"/>
  <c r="U80" i="25" s="1"/>
  <c r="J80" i="25"/>
  <c r="M80" i="25" s="1"/>
  <c r="X79" i="25"/>
  <c r="S79" i="25"/>
  <c r="U79" i="25" s="1"/>
  <c r="J79" i="25"/>
  <c r="M79" i="25" s="1"/>
  <c r="X78" i="25"/>
  <c r="S78" i="25"/>
  <c r="U78" i="25" s="1"/>
  <c r="J78" i="25"/>
  <c r="M78" i="25" s="1"/>
  <c r="X77" i="25"/>
  <c r="S77" i="25"/>
  <c r="U77" i="25" s="1"/>
  <c r="J77" i="25"/>
  <c r="M77" i="25" s="1"/>
  <c r="X76" i="25"/>
  <c r="S76" i="25"/>
  <c r="U76" i="25" s="1"/>
  <c r="J76" i="25"/>
  <c r="M76" i="25" s="1"/>
  <c r="X75" i="25"/>
  <c r="S75" i="25"/>
  <c r="U75" i="25" s="1"/>
  <c r="J75" i="25"/>
  <c r="M75" i="25" s="1"/>
  <c r="X74" i="25"/>
  <c r="S74" i="25"/>
  <c r="U74" i="25" s="1"/>
  <c r="J74" i="25"/>
  <c r="M74" i="25" s="1"/>
  <c r="X73" i="25"/>
  <c r="S73" i="25"/>
  <c r="U73" i="25" s="1"/>
  <c r="J73" i="25"/>
  <c r="M73" i="25" s="1"/>
  <c r="X72" i="25"/>
  <c r="S72" i="25"/>
  <c r="U72" i="25" s="1"/>
  <c r="J72" i="25"/>
  <c r="M72" i="25" s="1"/>
  <c r="X71" i="25"/>
  <c r="S71" i="25"/>
  <c r="U71" i="25" s="1"/>
  <c r="J71" i="25"/>
  <c r="M71" i="25" s="1"/>
  <c r="X70" i="25"/>
  <c r="S70" i="25"/>
  <c r="U70" i="25" s="1"/>
  <c r="J70" i="25"/>
  <c r="M70" i="25" s="1"/>
  <c r="X69" i="25"/>
  <c r="S69" i="25"/>
  <c r="U69" i="25" s="1"/>
  <c r="J69" i="25"/>
  <c r="M69" i="25" s="1"/>
  <c r="X68" i="25"/>
  <c r="S68" i="25"/>
  <c r="U68" i="25" s="1"/>
  <c r="J68" i="25"/>
  <c r="M68" i="25" s="1"/>
  <c r="X67" i="25"/>
  <c r="S67" i="25"/>
  <c r="U67" i="25" s="1"/>
  <c r="J67" i="25"/>
  <c r="M67" i="25" s="1"/>
  <c r="X66" i="25"/>
  <c r="S66" i="25"/>
  <c r="U66" i="25" s="1"/>
  <c r="J66" i="25"/>
  <c r="M66" i="25" s="1"/>
  <c r="X65" i="25"/>
  <c r="S65" i="25"/>
  <c r="U65" i="25" s="1"/>
  <c r="J65" i="25"/>
  <c r="M65" i="25" s="1"/>
  <c r="X64" i="25"/>
  <c r="S64" i="25"/>
  <c r="U64" i="25" s="1"/>
  <c r="J64" i="25"/>
  <c r="M64" i="25" s="1"/>
  <c r="X63" i="25"/>
  <c r="S63" i="25"/>
  <c r="U63" i="25" s="1"/>
  <c r="J63" i="25"/>
  <c r="M63" i="25" s="1"/>
  <c r="X62" i="25"/>
  <c r="S62" i="25"/>
  <c r="U62" i="25" s="1"/>
  <c r="J62" i="25"/>
  <c r="M62" i="25" s="1"/>
  <c r="X61" i="25"/>
  <c r="S61" i="25"/>
  <c r="U61" i="25" s="1"/>
  <c r="J61" i="25"/>
  <c r="M61" i="25" s="1"/>
  <c r="X60" i="25"/>
  <c r="S60" i="25"/>
  <c r="U60" i="25" s="1"/>
  <c r="J60" i="25"/>
  <c r="M60" i="25" s="1"/>
  <c r="X59" i="25"/>
  <c r="S59" i="25"/>
  <c r="U59" i="25" s="1"/>
  <c r="J59" i="25"/>
  <c r="M59" i="25" s="1"/>
  <c r="X58" i="25"/>
  <c r="S58" i="25"/>
  <c r="U58" i="25" s="1"/>
  <c r="J58" i="25"/>
  <c r="M58" i="25" s="1"/>
  <c r="X57" i="25"/>
  <c r="S57" i="25"/>
  <c r="U57" i="25" s="1"/>
  <c r="J57" i="25"/>
  <c r="M57" i="25" s="1"/>
  <c r="X56" i="25"/>
  <c r="S56" i="25"/>
  <c r="U56" i="25" s="1"/>
  <c r="J56" i="25"/>
  <c r="M56" i="25" s="1"/>
  <c r="X55" i="25"/>
  <c r="S55" i="25"/>
  <c r="U55" i="25" s="1"/>
  <c r="J55" i="25"/>
  <c r="M55" i="25" s="1"/>
  <c r="X54" i="25"/>
  <c r="S54" i="25"/>
  <c r="U54" i="25" s="1"/>
  <c r="J54" i="25"/>
  <c r="M54" i="25" s="1"/>
  <c r="X53" i="25"/>
  <c r="S53" i="25"/>
  <c r="U53" i="25" s="1"/>
  <c r="J53" i="25"/>
  <c r="M53" i="25" s="1"/>
  <c r="X52" i="25"/>
  <c r="S52" i="25"/>
  <c r="U52" i="25" s="1"/>
  <c r="J52" i="25"/>
  <c r="M52" i="25" s="1"/>
  <c r="X51" i="25"/>
  <c r="S51" i="25"/>
  <c r="U51" i="25" s="1"/>
  <c r="J51" i="25"/>
  <c r="M51" i="25" s="1"/>
  <c r="X50" i="25"/>
  <c r="S50" i="25"/>
  <c r="U50" i="25" s="1"/>
  <c r="J50" i="25"/>
  <c r="M50" i="25" s="1"/>
  <c r="X49" i="25"/>
  <c r="S49" i="25"/>
  <c r="U49" i="25" s="1"/>
  <c r="J49" i="25"/>
  <c r="M49" i="25" s="1"/>
  <c r="X48" i="25"/>
  <c r="S48" i="25"/>
  <c r="U48" i="25" s="1"/>
  <c r="J48" i="25"/>
  <c r="M48" i="25" s="1"/>
  <c r="X47" i="25"/>
  <c r="S47" i="25"/>
  <c r="U47" i="25" s="1"/>
  <c r="J47" i="25"/>
  <c r="M47" i="25" s="1"/>
  <c r="X46" i="25"/>
  <c r="S46" i="25"/>
  <c r="U46" i="25" s="1"/>
  <c r="J46" i="25"/>
  <c r="M46" i="25" s="1"/>
  <c r="X45" i="25"/>
  <c r="S45" i="25"/>
  <c r="U45" i="25" s="1"/>
  <c r="J45" i="25"/>
  <c r="M45" i="25" s="1"/>
  <c r="X44" i="25"/>
  <c r="S44" i="25"/>
  <c r="U44" i="25" s="1"/>
  <c r="J44" i="25"/>
  <c r="M44" i="25" s="1"/>
  <c r="X43" i="25"/>
  <c r="S43" i="25"/>
  <c r="U43" i="25" s="1"/>
  <c r="J43" i="25"/>
  <c r="M43" i="25" s="1"/>
  <c r="X42" i="25"/>
  <c r="S42" i="25"/>
  <c r="U42" i="25" s="1"/>
  <c r="J42" i="25"/>
  <c r="M42" i="25" s="1"/>
  <c r="X41" i="25"/>
  <c r="S41" i="25"/>
  <c r="U41" i="25" s="1"/>
  <c r="J41" i="25"/>
  <c r="M41" i="25" s="1"/>
  <c r="X40" i="25"/>
  <c r="S40" i="25"/>
  <c r="U40" i="25" s="1"/>
  <c r="J40" i="25"/>
  <c r="M40" i="25" s="1"/>
  <c r="X39" i="25"/>
  <c r="S39" i="25"/>
  <c r="U39" i="25" s="1"/>
  <c r="J39" i="25"/>
  <c r="M39" i="25" s="1"/>
  <c r="X38" i="25"/>
  <c r="S38" i="25"/>
  <c r="U38" i="25" s="1"/>
  <c r="J38" i="25"/>
  <c r="M38" i="25" s="1"/>
  <c r="X37" i="25"/>
  <c r="S37" i="25"/>
  <c r="U37" i="25" s="1"/>
  <c r="J37" i="25"/>
  <c r="M37" i="25" s="1"/>
  <c r="X36" i="25"/>
  <c r="S36" i="25"/>
  <c r="U36" i="25" s="1"/>
  <c r="J36" i="25"/>
  <c r="M36" i="25" s="1"/>
  <c r="X35" i="25"/>
  <c r="S35" i="25"/>
  <c r="U35" i="25" s="1"/>
  <c r="J35" i="25"/>
  <c r="M35" i="25" s="1"/>
  <c r="X34" i="25"/>
  <c r="S34" i="25"/>
  <c r="U34" i="25" s="1"/>
  <c r="J34" i="25"/>
  <c r="M34" i="25" s="1"/>
  <c r="X33" i="25"/>
  <c r="S33" i="25"/>
  <c r="U33" i="25" s="1"/>
  <c r="J33" i="25"/>
  <c r="M33" i="25" s="1"/>
  <c r="X32" i="25"/>
  <c r="S32" i="25"/>
  <c r="U32" i="25" s="1"/>
  <c r="J32" i="25"/>
  <c r="M32" i="25" s="1"/>
  <c r="X31" i="25"/>
  <c r="S31" i="25"/>
  <c r="U31" i="25" s="1"/>
  <c r="J31" i="25"/>
  <c r="M31" i="25" s="1"/>
  <c r="X30" i="25"/>
  <c r="S30" i="25"/>
  <c r="U30" i="25" s="1"/>
  <c r="J30" i="25"/>
  <c r="M30" i="25" s="1"/>
  <c r="X29" i="25"/>
  <c r="S29" i="25"/>
  <c r="U29" i="25" s="1"/>
  <c r="J29" i="25"/>
  <c r="M29" i="25" s="1"/>
  <c r="X28" i="25"/>
  <c r="S28" i="25"/>
  <c r="U28" i="25" s="1"/>
  <c r="J28" i="25"/>
  <c r="M28" i="25" s="1"/>
  <c r="X27" i="25"/>
  <c r="S27" i="25"/>
  <c r="U27" i="25" s="1"/>
  <c r="J27" i="25"/>
  <c r="M27" i="25" s="1"/>
  <c r="X26" i="25"/>
  <c r="S26" i="25"/>
  <c r="U26" i="25" s="1"/>
  <c r="J26" i="25"/>
  <c r="M26" i="25" s="1"/>
  <c r="X25" i="25"/>
  <c r="S25" i="25"/>
  <c r="U25" i="25" s="1"/>
  <c r="J25" i="25"/>
  <c r="M25" i="25" s="1"/>
  <c r="X24" i="25"/>
  <c r="S24" i="25"/>
  <c r="U24" i="25" s="1"/>
  <c r="J24" i="25"/>
  <c r="M24" i="25" s="1"/>
  <c r="X23" i="25"/>
  <c r="S23" i="25"/>
  <c r="U23" i="25" s="1"/>
  <c r="J23" i="25"/>
  <c r="M23" i="25" s="1"/>
  <c r="X22" i="25"/>
  <c r="S22" i="25"/>
  <c r="U22" i="25" s="1"/>
  <c r="J22" i="25"/>
  <c r="M22" i="25" s="1"/>
  <c r="X21" i="25"/>
  <c r="S21" i="25"/>
  <c r="U21" i="25" s="1"/>
  <c r="J21" i="25"/>
  <c r="M21" i="25" s="1"/>
  <c r="X20" i="25"/>
  <c r="S20" i="25"/>
  <c r="U20" i="25" s="1"/>
  <c r="J20" i="25"/>
  <c r="M20" i="25" s="1"/>
  <c r="X19" i="25"/>
  <c r="S19" i="25"/>
  <c r="U19" i="25" s="1"/>
  <c r="J19" i="25"/>
  <c r="M19" i="25" s="1"/>
  <c r="X18" i="25"/>
  <c r="S18" i="25"/>
  <c r="U18" i="25" s="1"/>
  <c r="J18" i="25"/>
  <c r="M18" i="25" s="1"/>
  <c r="X17" i="25"/>
  <c r="S17" i="25"/>
  <c r="U17" i="25" s="1"/>
  <c r="J17" i="25"/>
  <c r="M17" i="25" s="1"/>
  <c r="X16" i="25"/>
  <c r="S16" i="25"/>
  <c r="U16" i="25" s="1"/>
  <c r="J16" i="25"/>
  <c r="M16" i="25" s="1"/>
  <c r="X15" i="25"/>
  <c r="S15" i="25"/>
  <c r="U15" i="25" s="1"/>
  <c r="J15" i="25"/>
  <c r="M15" i="25" s="1"/>
  <c r="X14" i="25"/>
  <c r="S14" i="25"/>
  <c r="U14" i="25" s="1"/>
  <c r="J14" i="25"/>
  <c r="M14" i="25" s="1"/>
  <c r="X13" i="25"/>
  <c r="S13" i="25"/>
  <c r="U13" i="25" s="1"/>
  <c r="J13" i="25"/>
  <c r="M13" i="25" s="1"/>
  <c r="X12" i="25"/>
  <c r="S12" i="25"/>
  <c r="U12" i="25" s="1"/>
  <c r="J12" i="25"/>
  <c r="M12" i="25" s="1"/>
  <c r="X11" i="25"/>
  <c r="S11" i="25"/>
  <c r="U11" i="25" s="1"/>
  <c r="J11" i="25"/>
  <c r="M11" i="25" s="1"/>
  <c r="X10" i="25"/>
  <c r="S10" i="25"/>
  <c r="U10" i="25" s="1"/>
  <c r="J10" i="25"/>
  <c r="M10" i="25" s="1"/>
  <c r="X9" i="25"/>
  <c r="S9" i="25"/>
  <c r="U9" i="25" s="1"/>
  <c r="J9" i="25"/>
  <c r="M9" i="25" s="1"/>
  <c r="X8" i="25"/>
  <c r="S8" i="25"/>
  <c r="U8" i="25" s="1"/>
  <c r="J8" i="25"/>
  <c r="M8" i="25" s="1"/>
  <c r="X7" i="25"/>
  <c r="S7" i="25"/>
  <c r="U7" i="25" s="1"/>
  <c r="J7" i="25"/>
  <c r="M7" i="25" s="1"/>
  <c r="X6" i="25"/>
  <c r="S6" i="25"/>
  <c r="U6" i="25" s="1"/>
  <c r="J6" i="25"/>
  <c r="M6" i="25" s="1"/>
  <c r="X5" i="25"/>
  <c r="S5" i="25"/>
  <c r="U5" i="25" s="1"/>
  <c r="J5" i="25"/>
  <c r="M5" i="25" s="1"/>
  <c r="X4" i="25"/>
  <c r="S4" i="25"/>
  <c r="U4" i="25" s="1"/>
  <c r="J4" i="25"/>
  <c r="G193" i="23"/>
  <c r="C193" i="24" s="1"/>
  <c r="K219" i="24"/>
  <c r="K211" i="24"/>
  <c r="N7" i="9" s="1"/>
  <c r="K218" i="24"/>
  <c r="J203" i="24"/>
  <c r="M203" i="24" s="1"/>
  <c r="J202" i="24"/>
  <c r="M202" i="24" s="1"/>
  <c r="J201" i="24"/>
  <c r="M201" i="24" s="1"/>
  <c r="J200" i="24"/>
  <c r="M200" i="24" s="1"/>
  <c r="J199" i="24"/>
  <c r="M199" i="24" s="1"/>
  <c r="J198" i="24"/>
  <c r="M198" i="24" s="1"/>
  <c r="J197" i="24"/>
  <c r="M197" i="24" s="1"/>
  <c r="J196" i="24"/>
  <c r="M196" i="24" s="1"/>
  <c r="J195" i="24"/>
  <c r="M195" i="24" s="1"/>
  <c r="J194" i="24"/>
  <c r="M194" i="24" s="1"/>
  <c r="J193" i="24"/>
  <c r="M193" i="24" s="1"/>
  <c r="J192" i="24"/>
  <c r="M192" i="24" s="1"/>
  <c r="J191" i="24"/>
  <c r="M191" i="24" s="1"/>
  <c r="J190" i="24"/>
  <c r="M190" i="24" s="1"/>
  <c r="J189" i="24"/>
  <c r="M189" i="24" s="1"/>
  <c r="J188" i="24"/>
  <c r="M188" i="24" s="1"/>
  <c r="J187" i="24"/>
  <c r="M187" i="24" s="1"/>
  <c r="J186" i="24"/>
  <c r="M186" i="24" s="1"/>
  <c r="J185" i="24"/>
  <c r="M185" i="24" s="1"/>
  <c r="J184" i="24"/>
  <c r="M184" i="24" s="1"/>
  <c r="J183" i="24"/>
  <c r="M183" i="24" s="1"/>
  <c r="J182" i="24"/>
  <c r="M182" i="24" s="1"/>
  <c r="J181" i="24"/>
  <c r="M181" i="24" s="1"/>
  <c r="J180" i="24"/>
  <c r="M180" i="24" s="1"/>
  <c r="J179" i="24"/>
  <c r="M179" i="24" s="1"/>
  <c r="J178" i="24"/>
  <c r="M178" i="24" s="1"/>
  <c r="J177" i="24"/>
  <c r="M177" i="24" s="1"/>
  <c r="J176" i="24"/>
  <c r="M176" i="24" s="1"/>
  <c r="J175" i="24"/>
  <c r="M175" i="24" s="1"/>
  <c r="J174" i="24"/>
  <c r="M174" i="24" s="1"/>
  <c r="J173" i="24"/>
  <c r="M173" i="24" s="1"/>
  <c r="J172" i="24"/>
  <c r="M172" i="24" s="1"/>
  <c r="J171" i="24"/>
  <c r="M171" i="24" s="1"/>
  <c r="J170" i="24"/>
  <c r="M170" i="24" s="1"/>
  <c r="J169" i="24"/>
  <c r="M169" i="24" s="1"/>
  <c r="J168" i="24"/>
  <c r="M168" i="24" s="1"/>
  <c r="J167" i="24"/>
  <c r="M167" i="24" s="1"/>
  <c r="J166" i="24"/>
  <c r="M166" i="24" s="1"/>
  <c r="J165" i="24"/>
  <c r="M165" i="24" s="1"/>
  <c r="J164" i="24"/>
  <c r="M164" i="24" s="1"/>
  <c r="J163" i="24"/>
  <c r="M163" i="24" s="1"/>
  <c r="J162" i="24"/>
  <c r="M162" i="24" s="1"/>
  <c r="J161" i="24"/>
  <c r="M161" i="24" s="1"/>
  <c r="J160" i="24"/>
  <c r="M160" i="24" s="1"/>
  <c r="J159" i="24"/>
  <c r="M159" i="24" s="1"/>
  <c r="J158" i="24"/>
  <c r="M158" i="24" s="1"/>
  <c r="M157" i="24"/>
  <c r="J157" i="24"/>
  <c r="J156" i="24"/>
  <c r="M156" i="24" s="1"/>
  <c r="J155" i="24"/>
  <c r="M155" i="24" s="1"/>
  <c r="J154" i="24"/>
  <c r="M154" i="24" s="1"/>
  <c r="J153" i="24"/>
  <c r="M153" i="24" s="1"/>
  <c r="J152" i="24"/>
  <c r="M152" i="24" s="1"/>
  <c r="J151" i="24"/>
  <c r="M151" i="24" s="1"/>
  <c r="J150" i="24"/>
  <c r="M150" i="24" s="1"/>
  <c r="J149" i="24"/>
  <c r="M149" i="24" s="1"/>
  <c r="J148" i="24"/>
  <c r="M148" i="24" s="1"/>
  <c r="J147" i="24"/>
  <c r="M147" i="24" s="1"/>
  <c r="J146" i="24"/>
  <c r="M146" i="24" s="1"/>
  <c r="J145" i="24"/>
  <c r="M145" i="24" s="1"/>
  <c r="J144" i="24"/>
  <c r="M144" i="24" s="1"/>
  <c r="J143" i="24"/>
  <c r="M143" i="24" s="1"/>
  <c r="J142" i="24"/>
  <c r="M142" i="24" s="1"/>
  <c r="J141" i="24"/>
  <c r="M141" i="24" s="1"/>
  <c r="J140" i="24"/>
  <c r="M140" i="24" s="1"/>
  <c r="J139" i="24"/>
  <c r="M139" i="24" s="1"/>
  <c r="J138" i="24"/>
  <c r="M138" i="24" s="1"/>
  <c r="J137" i="24"/>
  <c r="M137" i="24" s="1"/>
  <c r="J136" i="24"/>
  <c r="M136" i="24" s="1"/>
  <c r="J135" i="24"/>
  <c r="M135" i="24" s="1"/>
  <c r="J134" i="24"/>
  <c r="M134" i="24" s="1"/>
  <c r="J133" i="24"/>
  <c r="M133" i="24" s="1"/>
  <c r="J132" i="24"/>
  <c r="M132" i="24" s="1"/>
  <c r="M131" i="24"/>
  <c r="J131" i="24"/>
  <c r="J130" i="24"/>
  <c r="M130" i="24" s="1"/>
  <c r="J129" i="24"/>
  <c r="M129" i="24" s="1"/>
  <c r="J128" i="24"/>
  <c r="M128" i="24" s="1"/>
  <c r="J127" i="24"/>
  <c r="M127" i="24" s="1"/>
  <c r="J126" i="24"/>
  <c r="M126" i="24" s="1"/>
  <c r="J125" i="24"/>
  <c r="M125" i="24" s="1"/>
  <c r="J124" i="24"/>
  <c r="M124" i="24" s="1"/>
  <c r="J123" i="24"/>
  <c r="M123" i="24" s="1"/>
  <c r="J122" i="24"/>
  <c r="M122" i="24" s="1"/>
  <c r="J121" i="24"/>
  <c r="M121" i="24" s="1"/>
  <c r="J120" i="24"/>
  <c r="M120" i="24" s="1"/>
  <c r="J119" i="24"/>
  <c r="M119" i="24" s="1"/>
  <c r="J118" i="24"/>
  <c r="M118" i="24" s="1"/>
  <c r="J117" i="24"/>
  <c r="M117" i="24" s="1"/>
  <c r="J116" i="24"/>
  <c r="M116" i="24" s="1"/>
  <c r="J115" i="24"/>
  <c r="M115" i="24" s="1"/>
  <c r="J114" i="24"/>
  <c r="M114" i="24" s="1"/>
  <c r="J113" i="24"/>
  <c r="M113" i="24" s="1"/>
  <c r="J112" i="24"/>
  <c r="M112" i="24" s="1"/>
  <c r="J111" i="24"/>
  <c r="M111" i="24" s="1"/>
  <c r="J110" i="24"/>
  <c r="M110" i="24" s="1"/>
  <c r="J109" i="24"/>
  <c r="M109" i="24" s="1"/>
  <c r="J108" i="24"/>
  <c r="M108" i="24" s="1"/>
  <c r="J107" i="24"/>
  <c r="M107" i="24" s="1"/>
  <c r="J106" i="24"/>
  <c r="M106" i="24" s="1"/>
  <c r="J105" i="24"/>
  <c r="M105" i="24" s="1"/>
  <c r="Z104" i="24"/>
  <c r="J104" i="24"/>
  <c r="M104" i="24" s="1"/>
  <c r="X103" i="24"/>
  <c r="S103" i="24"/>
  <c r="U103" i="24" s="1"/>
  <c r="J103" i="24"/>
  <c r="M103" i="24" s="1"/>
  <c r="X102" i="24"/>
  <c r="S102" i="24"/>
  <c r="U102" i="24" s="1"/>
  <c r="J102" i="24"/>
  <c r="M102" i="24" s="1"/>
  <c r="X101" i="24"/>
  <c r="S101" i="24"/>
  <c r="U101" i="24" s="1"/>
  <c r="J101" i="24"/>
  <c r="M101" i="24" s="1"/>
  <c r="X100" i="24"/>
  <c r="S100" i="24"/>
  <c r="U100" i="24" s="1"/>
  <c r="J100" i="24"/>
  <c r="M100" i="24" s="1"/>
  <c r="X99" i="24"/>
  <c r="S99" i="24"/>
  <c r="U99" i="24" s="1"/>
  <c r="J99" i="24"/>
  <c r="M99" i="24" s="1"/>
  <c r="X98" i="24"/>
  <c r="S98" i="24"/>
  <c r="U98" i="24" s="1"/>
  <c r="J98" i="24"/>
  <c r="M98" i="24" s="1"/>
  <c r="X97" i="24"/>
  <c r="S97" i="24"/>
  <c r="U97" i="24" s="1"/>
  <c r="J97" i="24"/>
  <c r="M97" i="24" s="1"/>
  <c r="X96" i="24"/>
  <c r="S96" i="24"/>
  <c r="U96" i="24" s="1"/>
  <c r="J96" i="24"/>
  <c r="M96" i="24" s="1"/>
  <c r="X95" i="24"/>
  <c r="S95" i="24"/>
  <c r="U95" i="24" s="1"/>
  <c r="J95" i="24"/>
  <c r="M95" i="24" s="1"/>
  <c r="X94" i="24"/>
  <c r="S94" i="24"/>
  <c r="U94" i="24" s="1"/>
  <c r="J94" i="24"/>
  <c r="M94" i="24" s="1"/>
  <c r="X93" i="24"/>
  <c r="S93" i="24"/>
  <c r="U93" i="24" s="1"/>
  <c r="J93" i="24"/>
  <c r="M93" i="24" s="1"/>
  <c r="X92" i="24"/>
  <c r="S92" i="24"/>
  <c r="U92" i="24" s="1"/>
  <c r="J92" i="24"/>
  <c r="M92" i="24" s="1"/>
  <c r="X91" i="24"/>
  <c r="S91" i="24"/>
  <c r="U91" i="24" s="1"/>
  <c r="J91" i="24"/>
  <c r="M91" i="24" s="1"/>
  <c r="X90" i="24"/>
  <c r="S90" i="24"/>
  <c r="U90" i="24" s="1"/>
  <c r="J90" i="24"/>
  <c r="M90" i="24" s="1"/>
  <c r="X89" i="24"/>
  <c r="S89" i="24"/>
  <c r="U89" i="24" s="1"/>
  <c r="J89" i="24"/>
  <c r="M89" i="24" s="1"/>
  <c r="X88" i="24"/>
  <c r="S88" i="24"/>
  <c r="U88" i="24" s="1"/>
  <c r="J88" i="24"/>
  <c r="M88" i="24" s="1"/>
  <c r="X87" i="24"/>
  <c r="S87" i="24"/>
  <c r="U87" i="24" s="1"/>
  <c r="J87" i="24"/>
  <c r="M87" i="24" s="1"/>
  <c r="X86" i="24"/>
  <c r="S86" i="24"/>
  <c r="U86" i="24" s="1"/>
  <c r="J86" i="24"/>
  <c r="M86" i="24" s="1"/>
  <c r="X85" i="24"/>
  <c r="S85" i="24"/>
  <c r="U85" i="24" s="1"/>
  <c r="J85" i="24"/>
  <c r="M85" i="24" s="1"/>
  <c r="X84" i="24"/>
  <c r="S84" i="24"/>
  <c r="U84" i="24" s="1"/>
  <c r="J84" i="24"/>
  <c r="M84" i="24" s="1"/>
  <c r="X83" i="24"/>
  <c r="S83" i="24"/>
  <c r="U83" i="24" s="1"/>
  <c r="J83" i="24"/>
  <c r="M83" i="24" s="1"/>
  <c r="X82" i="24"/>
  <c r="S82" i="24"/>
  <c r="U82" i="24" s="1"/>
  <c r="J82" i="24"/>
  <c r="M82" i="24" s="1"/>
  <c r="X81" i="24"/>
  <c r="S81" i="24"/>
  <c r="U81" i="24" s="1"/>
  <c r="J81" i="24"/>
  <c r="M81" i="24" s="1"/>
  <c r="X80" i="24"/>
  <c r="S80" i="24"/>
  <c r="U80" i="24" s="1"/>
  <c r="J80" i="24"/>
  <c r="M80" i="24" s="1"/>
  <c r="X79" i="24"/>
  <c r="S79" i="24"/>
  <c r="U79" i="24" s="1"/>
  <c r="J79" i="24"/>
  <c r="M79" i="24" s="1"/>
  <c r="X78" i="24"/>
  <c r="S78" i="24"/>
  <c r="U78" i="24" s="1"/>
  <c r="J78" i="24"/>
  <c r="M78" i="24" s="1"/>
  <c r="X77" i="24"/>
  <c r="S77" i="24"/>
  <c r="U77" i="24" s="1"/>
  <c r="J77" i="24"/>
  <c r="M77" i="24" s="1"/>
  <c r="X76" i="24"/>
  <c r="S76" i="24"/>
  <c r="U76" i="24" s="1"/>
  <c r="J76" i="24"/>
  <c r="M76" i="24" s="1"/>
  <c r="X75" i="24"/>
  <c r="S75" i="24"/>
  <c r="U75" i="24" s="1"/>
  <c r="J75" i="24"/>
  <c r="M75" i="24" s="1"/>
  <c r="X74" i="24"/>
  <c r="S74" i="24"/>
  <c r="U74" i="24" s="1"/>
  <c r="J74" i="24"/>
  <c r="M74" i="24" s="1"/>
  <c r="X73" i="24"/>
  <c r="S73" i="24"/>
  <c r="U73" i="24" s="1"/>
  <c r="J73" i="24"/>
  <c r="M73" i="24" s="1"/>
  <c r="X72" i="24"/>
  <c r="S72" i="24"/>
  <c r="U72" i="24" s="1"/>
  <c r="J72" i="24"/>
  <c r="M72" i="24" s="1"/>
  <c r="X71" i="24"/>
  <c r="S71" i="24"/>
  <c r="U71" i="24" s="1"/>
  <c r="J71" i="24"/>
  <c r="M71" i="24" s="1"/>
  <c r="X70" i="24"/>
  <c r="S70" i="24"/>
  <c r="U70" i="24" s="1"/>
  <c r="J70" i="24"/>
  <c r="M70" i="24" s="1"/>
  <c r="X69" i="24"/>
  <c r="S69" i="24"/>
  <c r="U69" i="24" s="1"/>
  <c r="J69" i="24"/>
  <c r="M69" i="24" s="1"/>
  <c r="X68" i="24"/>
  <c r="S68" i="24"/>
  <c r="U68" i="24" s="1"/>
  <c r="J68" i="24"/>
  <c r="M68" i="24" s="1"/>
  <c r="X67" i="24"/>
  <c r="S67" i="24"/>
  <c r="U67" i="24" s="1"/>
  <c r="J67" i="24"/>
  <c r="M67" i="24" s="1"/>
  <c r="X66" i="24"/>
  <c r="S66" i="24"/>
  <c r="U66" i="24" s="1"/>
  <c r="J66" i="24"/>
  <c r="M66" i="24" s="1"/>
  <c r="X65" i="24"/>
  <c r="S65" i="24"/>
  <c r="U65" i="24" s="1"/>
  <c r="J65" i="24"/>
  <c r="M65" i="24" s="1"/>
  <c r="X64" i="24"/>
  <c r="S64" i="24"/>
  <c r="U64" i="24" s="1"/>
  <c r="J64" i="24"/>
  <c r="M64" i="24" s="1"/>
  <c r="X63" i="24"/>
  <c r="S63" i="24"/>
  <c r="U63" i="24" s="1"/>
  <c r="J63" i="24"/>
  <c r="M63" i="24" s="1"/>
  <c r="X62" i="24"/>
  <c r="S62" i="24"/>
  <c r="U62" i="24" s="1"/>
  <c r="J62" i="24"/>
  <c r="M62" i="24" s="1"/>
  <c r="X61" i="24"/>
  <c r="S61" i="24"/>
  <c r="U61" i="24" s="1"/>
  <c r="J61" i="24"/>
  <c r="M61" i="24" s="1"/>
  <c r="X60" i="24"/>
  <c r="S60" i="24"/>
  <c r="U60" i="24" s="1"/>
  <c r="J60" i="24"/>
  <c r="M60" i="24" s="1"/>
  <c r="X59" i="24"/>
  <c r="S59" i="24"/>
  <c r="U59" i="24" s="1"/>
  <c r="J59" i="24"/>
  <c r="M59" i="24" s="1"/>
  <c r="X58" i="24"/>
  <c r="U58" i="24"/>
  <c r="S58" i="24"/>
  <c r="J58" i="24"/>
  <c r="M58" i="24" s="1"/>
  <c r="X57" i="24"/>
  <c r="S57" i="24"/>
  <c r="U57" i="24" s="1"/>
  <c r="J57" i="24"/>
  <c r="M57" i="24" s="1"/>
  <c r="X56" i="24"/>
  <c r="S56" i="24"/>
  <c r="U56" i="24" s="1"/>
  <c r="J56" i="24"/>
  <c r="M56" i="24" s="1"/>
  <c r="X55" i="24"/>
  <c r="S55" i="24"/>
  <c r="U55" i="24" s="1"/>
  <c r="J55" i="24"/>
  <c r="M55" i="24" s="1"/>
  <c r="X54" i="24"/>
  <c r="S54" i="24"/>
  <c r="U54" i="24" s="1"/>
  <c r="J54" i="24"/>
  <c r="M54" i="24" s="1"/>
  <c r="X53" i="24"/>
  <c r="U53" i="24"/>
  <c r="S53" i="24"/>
  <c r="J53" i="24"/>
  <c r="M53" i="24" s="1"/>
  <c r="X52" i="24"/>
  <c r="U52" i="24"/>
  <c r="S52" i="24"/>
  <c r="J52" i="24"/>
  <c r="M52" i="24" s="1"/>
  <c r="X51" i="24"/>
  <c r="S51" i="24"/>
  <c r="U51" i="24" s="1"/>
  <c r="J51" i="24"/>
  <c r="M51" i="24" s="1"/>
  <c r="X50" i="24"/>
  <c r="S50" i="24"/>
  <c r="U50" i="24" s="1"/>
  <c r="J50" i="24"/>
  <c r="M50" i="24" s="1"/>
  <c r="X49" i="24"/>
  <c r="S49" i="24"/>
  <c r="U49" i="24" s="1"/>
  <c r="J49" i="24"/>
  <c r="M49" i="24" s="1"/>
  <c r="X48" i="24"/>
  <c r="S48" i="24"/>
  <c r="U48" i="24" s="1"/>
  <c r="J48" i="24"/>
  <c r="M48" i="24" s="1"/>
  <c r="X47" i="24"/>
  <c r="S47" i="24"/>
  <c r="U47" i="24" s="1"/>
  <c r="J47" i="24"/>
  <c r="M47" i="24" s="1"/>
  <c r="X46" i="24"/>
  <c r="S46" i="24"/>
  <c r="U46" i="24" s="1"/>
  <c r="J46" i="24"/>
  <c r="M46" i="24" s="1"/>
  <c r="X45" i="24"/>
  <c r="S45" i="24"/>
  <c r="U45" i="24" s="1"/>
  <c r="J45" i="24"/>
  <c r="M45" i="24" s="1"/>
  <c r="X44" i="24"/>
  <c r="S44" i="24"/>
  <c r="U44" i="24" s="1"/>
  <c r="J44" i="24"/>
  <c r="M44" i="24" s="1"/>
  <c r="X43" i="24"/>
  <c r="S43" i="24"/>
  <c r="U43" i="24" s="1"/>
  <c r="J43" i="24"/>
  <c r="M43" i="24" s="1"/>
  <c r="X42" i="24"/>
  <c r="S42" i="24"/>
  <c r="U42" i="24" s="1"/>
  <c r="J42" i="24"/>
  <c r="M42" i="24" s="1"/>
  <c r="X41" i="24"/>
  <c r="S41" i="24"/>
  <c r="U41" i="24" s="1"/>
  <c r="J41" i="24"/>
  <c r="M41" i="24" s="1"/>
  <c r="X40" i="24"/>
  <c r="S40" i="24"/>
  <c r="U40" i="24" s="1"/>
  <c r="J40" i="24"/>
  <c r="M40" i="24" s="1"/>
  <c r="X39" i="24"/>
  <c r="S39" i="24"/>
  <c r="U39" i="24" s="1"/>
  <c r="J39" i="24"/>
  <c r="M39" i="24" s="1"/>
  <c r="X38" i="24"/>
  <c r="S38" i="24"/>
  <c r="U38" i="24" s="1"/>
  <c r="J38" i="24"/>
  <c r="M38" i="24" s="1"/>
  <c r="X37" i="24"/>
  <c r="S37" i="24"/>
  <c r="U37" i="24" s="1"/>
  <c r="J37" i="24"/>
  <c r="M37" i="24" s="1"/>
  <c r="X36" i="24"/>
  <c r="S36" i="24"/>
  <c r="U36" i="24" s="1"/>
  <c r="J36" i="24"/>
  <c r="M36" i="24" s="1"/>
  <c r="X35" i="24"/>
  <c r="S35" i="24"/>
  <c r="U35" i="24" s="1"/>
  <c r="J35" i="24"/>
  <c r="M35" i="24" s="1"/>
  <c r="X34" i="24"/>
  <c r="S34" i="24"/>
  <c r="U34" i="24" s="1"/>
  <c r="J34" i="24"/>
  <c r="M34" i="24" s="1"/>
  <c r="X33" i="24"/>
  <c r="S33" i="24"/>
  <c r="U33" i="24" s="1"/>
  <c r="J33" i="24"/>
  <c r="M33" i="24" s="1"/>
  <c r="X32" i="24"/>
  <c r="S32" i="24"/>
  <c r="U32" i="24" s="1"/>
  <c r="J32" i="24"/>
  <c r="M32" i="24" s="1"/>
  <c r="X31" i="24"/>
  <c r="S31" i="24"/>
  <c r="U31" i="24" s="1"/>
  <c r="J31" i="24"/>
  <c r="M31" i="24" s="1"/>
  <c r="X30" i="24"/>
  <c r="S30" i="24"/>
  <c r="U30" i="24" s="1"/>
  <c r="J30" i="24"/>
  <c r="M30" i="24" s="1"/>
  <c r="X29" i="24"/>
  <c r="S29" i="24"/>
  <c r="U29" i="24" s="1"/>
  <c r="J29" i="24"/>
  <c r="M29" i="24" s="1"/>
  <c r="X28" i="24"/>
  <c r="S28" i="24"/>
  <c r="U28" i="24" s="1"/>
  <c r="J28" i="24"/>
  <c r="M28" i="24" s="1"/>
  <c r="X27" i="24"/>
  <c r="S27" i="24"/>
  <c r="U27" i="24" s="1"/>
  <c r="J27" i="24"/>
  <c r="M27" i="24" s="1"/>
  <c r="X26" i="24"/>
  <c r="S26" i="24"/>
  <c r="U26" i="24" s="1"/>
  <c r="J26" i="24"/>
  <c r="M26" i="24" s="1"/>
  <c r="X25" i="24"/>
  <c r="S25" i="24"/>
  <c r="U25" i="24" s="1"/>
  <c r="J25" i="24"/>
  <c r="M25" i="24" s="1"/>
  <c r="X24" i="24"/>
  <c r="S24" i="24"/>
  <c r="U24" i="24" s="1"/>
  <c r="J24" i="24"/>
  <c r="M24" i="24" s="1"/>
  <c r="X23" i="24"/>
  <c r="S23" i="24"/>
  <c r="U23" i="24" s="1"/>
  <c r="J23" i="24"/>
  <c r="M23" i="24" s="1"/>
  <c r="X22" i="24"/>
  <c r="S22" i="24"/>
  <c r="U22" i="24" s="1"/>
  <c r="J22" i="24"/>
  <c r="M22" i="24" s="1"/>
  <c r="X21" i="24"/>
  <c r="S21" i="24"/>
  <c r="U21" i="24" s="1"/>
  <c r="J21" i="24"/>
  <c r="M21" i="24" s="1"/>
  <c r="X20" i="24"/>
  <c r="S20" i="24"/>
  <c r="U20" i="24" s="1"/>
  <c r="J20" i="24"/>
  <c r="M20" i="24" s="1"/>
  <c r="X19" i="24"/>
  <c r="S19" i="24"/>
  <c r="U19" i="24" s="1"/>
  <c r="J19" i="24"/>
  <c r="M19" i="24" s="1"/>
  <c r="X18" i="24"/>
  <c r="S18" i="24"/>
  <c r="U18" i="24" s="1"/>
  <c r="J18" i="24"/>
  <c r="M18" i="24" s="1"/>
  <c r="X17" i="24"/>
  <c r="S17" i="24"/>
  <c r="U17" i="24" s="1"/>
  <c r="J17" i="24"/>
  <c r="M17" i="24" s="1"/>
  <c r="X16" i="24"/>
  <c r="S16" i="24"/>
  <c r="U16" i="24" s="1"/>
  <c r="J16" i="24"/>
  <c r="M16" i="24" s="1"/>
  <c r="X15" i="24"/>
  <c r="S15" i="24"/>
  <c r="U15" i="24" s="1"/>
  <c r="J15" i="24"/>
  <c r="M15" i="24" s="1"/>
  <c r="X14" i="24"/>
  <c r="S14" i="24"/>
  <c r="U14" i="24" s="1"/>
  <c r="J14" i="24"/>
  <c r="M14" i="24" s="1"/>
  <c r="X13" i="24"/>
  <c r="S13" i="24"/>
  <c r="U13" i="24" s="1"/>
  <c r="J13" i="24"/>
  <c r="M13" i="24" s="1"/>
  <c r="X12" i="24"/>
  <c r="S12" i="24"/>
  <c r="U12" i="24" s="1"/>
  <c r="J12" i="24"/>
  <c r="M12" i="24" s="1"/>
  <c r="X11" i="24"/>
  <c r="S11" i="24"/>
  <c r="U11" i="24" s="1"/>
  <c r="J11" i="24"/>
  <c r="M11" i="24" s="1"/>
  <c r="X10" i="24"/>
  <c r="S10" i="24"/>
  <c r="U10" i="24" s="1"/>
  <c r="J10" i="24"/>
  <c r="M10" i="24" s="1"/>
  <c r="X9" i="24"/>
  <c r="S9" i="24"/>
  <c r="U9" i="24" s="1"/>
  <c r="J9" i="24"/>
  <c r="M9" i="24" s="1"/>
  <c r="X8" i="24"/>
  <c r="S8" i="24"/>
  <c r="U8" i="24" s="1"/>
  <c r="J8" i="24"/>
  <c r="M8" i="24" s="1"/>
  <c r="X7" i="24"/>
  <c r="S7" i="24"/>
  <c r="U7" i="24" s="1"/>
  <c r="J7" i="24"/>
  <c r="M7" i="24" s="1"/>
  <c r="X6" i="24"/>
  <c r="S6" i="24"/>
  <c r="U6" i="24" s="1"/>
  <c r="J6" i="24"/>
  <c r="M6" i="24" s="1"/>
  <c r="X5" i="24"/>
  <c r="S5" i="24"/>
  <c r="U5" i="24" s="1"/>
  <c r="J5" i="24"/>
  <c r="M5" i="24" s="1"/>
  <c r="X4" i="24"/>
  <c r="S4" i="24"/>
  <c r="U4" i="24" s="1"/>
  <c r="J4" i="24"/>
  <c r="K219" i="23"/>
  <c r="K211" i="23"/>
  <c r="N6" i="9" s="1"/>
  <c r="K208" i="23"/>
  <c r="K218" i="23" s="1"/>
  <c r="J203" i="23"/>
  <c r="M203" i="23" s="1"/>
  <c r="J202" i="23"/>
  <c r="M202" i="23" s="1"/>
  <c r="J201" i="23"/>
  <c r="M201" i="23" s="1"/>
  <c r="J200" i="23"/>
  <c r="M200" i="23" s="1"/>
  <c r="J199" i="23"/>
  <c r="M199" i="23" s="1"/>
  <c r="J198" i="23"/>
  <c r="M198" i="23" s="1"/>
  <c r="J197" i="23"/>
  <c r="M197" i="23" s="1"/>
  <c r="J196" i="23"/>
  <c r="M196" i="23" s="1"/>
  <c r="J195" i="23"/>
  <c r="M195" i="23" s="1"/>
  <c r="J194" i="23"/>
  <c r="M194" i="23" s="1"/>
  <c r="J193" i="23"/>
  <c r="M193" i="23" s="1"/>
  <c r="J192" i="23"/>
  <c r="M192" i="23" s="1"/>
  <c r="J191" i="23"/>
  <c r="M191" i="23" s="1"/>
  <c r="J190" i="23"/>
  <c r="M190" i="23" s="1"/>
  <c r="J189" i="23"/>
  <c r="M189" i="23" s="1"/>
  <c r="J188" i="23"/>
  <c r="M188" i="23" s="1"/>
  <c r="J187" i="23"/>
  <c r="M187" i="23" s="1"/>
  <c r="J186" i="23"/>
  <c r="M186" i="23" s="1"/>
  <c r="J185" i="23"/>
  <c r="M185" i="23" s="1"/>
  <c r="J184" i="23"/>
  <c r="M184" i="23" s="1"/>
  <c r="J183" i="23"/>
  <c r="M183" i="23" s="1"/>
  <c r="J182" i="23"/>
  <c r="M182" i="23" s="1"/>
  <c r="J181" i="23"/>
  <c r="M181" i="23" s="1"/>
  <c r="J180" i="23"/>
  <c r="M180" i="23" s="1"/>
  <c r="J179" i="23"/>
  <c r="M179" i="23" s="1"/>
  <c r="J178" i="23"/>
  <c r="M178" i="23" s="1"/>
  <c r="J177" i="23"/>
  <c r="M177" i="23" s="1"/>
  <c r="J176" i="23"/>
  <c r="M176" i="23" s="1"/>
  <c r="J175" i="23"/>
  <c r="M175" i="23" s="1"/>
  <c r="J174" i="23"/>
  <c r="M174" i="23" s="1"/>
  <c r="J173" i="23"/>
  <c r="M173" i="23" s="1"/>
  <c r="J172" i="23"/>
  <c r="M172" i="23" s="1"/>
  <c r="J171" i="23"/>
  <c r="M171" i="23" s="1"/>
  <c r="J170" i="23"/>
  <c r="M170" i="23" s="1"/>
  <c r="J169" i="23"/>
  <c r="M169" i="23" s="1"/>
  <c r="J168" i="23"/>
  <c r="M168" i="23" s="1"/>
  <c r="J167" i="23"/>
  <c r="M167" i="23" s="1"/>
  <c r="J166" i="23"/>
  <c r="M166" i="23" s="1"/>
  <c r="J165" i="23"/>
  <c r="M165" i="23" s="1"/>
  <c r="J164" i="23"/>
  <c r="M164" i="23" s="1"/>
  <c r="J163" i="23"/>
  <c r="M163" i="23" s="1"/>
  <c r="J162" i="23"/>
  <c r="M162" i="23" s="1"/>
  <c r="J161" i="23"/>
  <c r="M161" i="23" s="1"/>
  <c r="J160" i="23"/>
  <c r="M160" i="23" s="1"/>
  <c r="J159" i="23"/>
  <c r="M159" i="23" s="1"/>
  <c r="J158" i="23"/>
  <c r="M158" i="23" s="1"/>
  <c r="J157" i="23"/>
  <c r="M157" i="23" s="1"/>
  <c r="J156" i="23"/>
  <c r="M156" i="23" s="1"/>
  <c r="J155" i="23"/>
  <c r="M155" i="23" s="1"/>
  <c r="J154" i="23"/>
  <c r="M154" i="23" s="1"/>
  <c r="J153" i="23"/>
  <c r="M153" i="23" s="1"/>
  <c r="J152" i="23"/>
  <c r="M152" i="23" s="1"/>
  <c r="J151" i="23"/>
  <c r="M151" i="23" s="1"/>
  <c r="J150" i="23"/>
  <c r="M150" i="23" s="1"/>
  <c r="J149" i="23"/>
  <c r="M149" i="23" s="1"/>
  <c r="J148" i="23"/>
  <c r="M148" i="23" s="1"/>
  <c r="J147" i="23"/>
  <c r="M147" i="23" s="1"/>
  <c r="J146" i="23"/>
  <c r="M146" i="23" s="1"/>
  <c r="J145" i="23"/>
  <c r="M145" i="23" s="1"/>
  <c r="J144" i="23"/>
  <c r="M144" i="23" s="1"/>
  <c r="J143" i="23"/>
  <c r="M143" i="23" s="1"/>
  <c r="J142" i="23"/>
  <c r="M142" i="23" s="1"/>
  <c r="J141" i="23"/>
  <c r="M141" i="23" s="1"/>
  <c r="J140" i="23"/>
  <c r="M140" i="23" s="1"/>
  <c r="J139" i="23"/>
  <c r="M139" i="23" s="1"/>
  <c r="J138" i="23"/>
  <c r="M138" i="23" s="1"/>
  <c r="J137" i="23"/>
  <c r="M137" i="23" s="1"/>
  <c r="J136" i="23"/>
  <c r="M136" i="23" s="1"/>
  <c r="J135" i="23"/>
  <c r="M135" i="23" s="1"/>
  <c r="J134" i="23"/>
  <c r="M134" i="23" s="1"/>
  <c r="J133" i="23"/>
  <c r="M133" i="23" s="1"/>
  <c r="J132" i="23"/>
  <c r="M132" i="23" s="1"/>
  <c r="J131" i="23"/>
  <c r="M131" i="23" s="1"/>
  <c r="M130" i="23"/>
  <c r="J130" i="23"/>
  <c r="J129" i="23"/>
  <c r="M129" i="23" s="1"/>
  <c r="J128" i="23"/>
  <c r="M128" i="23" s="1"/>
  <c r="J127" i="23"/>
  <c r="M127" i="23" s="1"/>
  <c r="J126" i="23"/>
  <c r="M126" i="23" s="1"/>
  <c r="J125" i="23"/>
  <c r="M125" i="23" s="1"/>
  <c r="J124" i="23"/>
  <c r="M124" i="23" s="1"/>
  <c r="J123" i="23"/>
  <c r="M123" i="23" s="1"/>
  <c r="J122" i="23"/>
  <c r="M122" i="23" s="1"/>
  <c r="J121" i="23"/>
  <c r="M121" i="23" s="1"/>
  <c r="J120" i="23"/>
  <c r="M120" i="23" s="1"/>
  <c r="J119" i="23"/>
  <c r="M119" i="23" s="1"/>
  <c r="J118" i="23"/>
  <c r="M118" i="23" s="1"/>
  <c r="J117" i="23"/>
  <c r="M117" i="23" s="1"/>
  <c r="J116" i="23"/>
  <c r="M116" i="23" s="1"/>
  <c r="J115" i="23"/>
  <c r="M115" i="23" s="1"/>
  <c r="J114" i="23"/>
  <c r="M114" i="23" s="1"/>
  <c r="J113" i="23"/>
  <c r="M113" i="23" s="1"/>
  <c r="J112" i="23"/>
  <c r="M112" i="23" s="1"/>
  <c r="J111" i="23"/>
  <c r="M111" i="23" s="1"/>
  <c r="J110" i="23"/>
  <c r="M110" i="23" s="1"/>
  <c r="J109" i="23"/>
  <c r="M109" i="23" s="1"/>
  <c r="J108" i="23"/>
  <c r="M108" i="23" s="1"/>
  <c r="J107" i="23"/>
  <c r="M107" i="23" s="1"/>
  <c r="J106" i="23"/>
  <c r="M106" i="23" s="1"/>
  <c r="J105" i="23"/>
  <c r="M105" i="23" s="1"/>
  <c r="Z104" i="23"/>
  <c r="J104" i="23"/>
  <c r="M104" i="23" s="1"/>
  <c r="X103" i="23"/>
  <c r="S103" i="23"/>
  <c r="U103" i="23" s="1"/>
  <c r="J103" i="23"/>
  <c r="M103" i="23" s="1"/>
  <c r="X102" i="23"/>
  <c r="S102" i="23"/>
  <c r="U102" i="23" s="1"/>
  <c r="J102" i="23"/>
  <c r="M102" i="23" s="1"/>
  <c r="X101" i="23"/>
  <c r="S101" i="23"/>
  <c r="U101" i="23" s="1"/>
  <c r="J101" i="23"/>
  <c r="M101" i="23" s="1"/>
  <c r="X100" i="23"/>
  <c r="S100" i="23"/>
  <c r="U100" i="23" s="1"/>
  <c r="J100" i="23"/>
  <c r="M100" i="23" s="1"/>
  <c r="X99" i="23"/>
  <c r="S99" i="23"/>
  <c r="U99" i="23" s="1"/>
  <c r="J99" i="23"/>
  <c r="M99" i="23" s="1"/>
  <c r="X98" i="23"/>
  <c r="S98" i="23"/>
  <c r="U98" i="23" s="1"/>
  <c r="J98" i="23"/>
  <c r="M98" i="23" s="1"/>
  <c r="X97" i="23"/>
  <c r="S97" i="23"/>
  <c r="U97" i="23" s="1"/>
  <c r="J97" i="23"/>
  <c r="M97" i="23" s="1"/>
  <c r="X96" i="23"/>
  <c r="S96" i="23"/>
  <c r="U96" i="23" s="1"/>
  <c r="J96" i="23"/>
  <c r="M96" i="23" s="1"/>
  <c r="X95" i="23"/>
  <c r="S95" i="23"/>
  <c r="U95" i="23" s="1"/>
  <c r="J95" i="23"/>
  <c r="M95" i="23" s="1"/>
  <c r="X94" i="23"/>
  <c r="S94" i="23"/>
  <c r="U94" i="23" s="1"/>
  <c r="J94" i="23"/>
  <c r="M94" i="23" s="1"/>
  <c r="X93" i="23"/>
  <c r="S93" i="23"/>
  <c r="U93" i="23" s="1"/>
  <c r="J93" i="23"/>
  <c r="M93" i="23" s="1"/>
  <c r="X92" i="23"/>
  <c r="S92" i="23"/>
  <c r="U92" i="23" s="1"/>
  <c r="J92" i="23"/>
  <c r="M92" i="23" s="1"/>
  <c r="X91" i="23"/>
  <c r="S91" i="23"/>
  <c r="U91" i="23" s="1"/>
  <c r="J91" i="23"/>
  <c r="M91" i="23" s="1"/>
  <c r="X90" i="23"/>
  <c r="S90" i="23"/>
  <c r="U90" i="23" s="1"/>
  <c r="J90" i="23"/>
  <c r="M90" i="23" s="1"/>
  <c r="X89" i="23"/>
  <c r="S89" i="23"/>
  <c r="U89" i="23" s="1"/>
  <c r="J89" i="23"/>
  <c r="M89" i="23" s="1"/>
  <c r="X88" i="23"/>
  <c r="S88" i="23"/>
  <c r="U88" i="23" s="1"/>
  <c r="J88" i="23"/>
  <c r="M88" i="23" s="1"/>
  <c r="X87" i="23"/>
  <c r="S87" i="23"/>
  <c r="U87" i="23" s="1"/>
  <c r="J87" i="23"/>
  <c r="M87" i="23" s="1"/>
  <c r="X86" i="23"/>
  <c r="S86" i="23"/>
  <c r="U86" i="23" s="1"/>
  <c r="J86" i="23"/>
  <c r="M86" i="23" s="1"/>
  <c r="X85" i="23"/>
  <c r="S85" i="23"/>
  <c r="U85" i="23" s="1"/>
  <c r="J85" i="23"/>
  <c r="M85" i="23" s="1"/>
  <c r="X84" i="23"/>
  <c r="S84" i="23"/>
  <c r="U84" i="23" s="1"/>
  <c r="J84" i="23"/>
  <c r="M84" i="23" s="1"/>
  <c r="X83" i="23"/>
  <c r="S83" i="23"/>
  <c r="U83" i="23" s="1"/>
  <c r="J83" i="23"/>
  <c r="M83" i="23" s="1"/>
  <c r="X82" i="23"/>
  <c r="S82" i="23"/>
  <c r="U82" i="23" s="1"/>
  <c r="J82" i="23"/>
  <c r="M82" i="23" s="1"/>
  <c r="X81" i="23"/>
  <c r="S81" i="23"/>
  <c r="U81" i="23" s="1"/>
  <c r="J81" i="23"/>
  <c r="M81" i="23" s="1"/>
  <c r="X80" i="23"/>
  <c r="S80" i="23"/>
  <c r="U80" i="23" s="1"/>
  <c r="J80" i="23"/>
  <c r="M80" i="23" s="1"/>
  <c r="X79" i="23"/>
  <c r="S79" i="23"/>
  <c r="U79" i="23" s="1"/>
  <c r="J79" i="23"/>
  <c r="M79" i="23" s="1"/>
  <c r="X78" i="23"/>
  <c r="S78" i="23"/>
  <c r="U78" i="23" s="1"/>
  <c r="J78" i="23"/>
  <c r="M78" i="23" s="1"/>
  <c r="X77" i="23"/>
  <c r="S77" i="23"/>
  <c r="U77" i="23" s="1"/>
  <c r="J77" i="23"/>
  <c r="M77" i="23" s="1"/>
  <c r="X76" i="23"/>
  <c r="S76" i="23"/>
  <c r="U76" i="23" s="1"/>
  <c r="J76" i="23"/>
  <c r="M76" i="23" s="1"/>
  <c r="X75" i="23"/>
  <c r="S75" i="23"/>
  <c r="U75" i="23" s="1"/>
  <c r="J75" i="23"/>
  <c r="M75" i="23" s="1"/>
  <c r="X74" i="23"/>
  <c r="S74" i="23"/>
  <c r="U74" i="23" s="1"/>
  <c r="J74" i="23"/>
  <c r="M74" i="23" s="1"/>
  <c r="X73" i="23"/>
  <c r="S73" i="23"/>
  <c r="U73" i="23" s="1"/>
  <c r="J73" i="23"/>
  <c r="M73" i="23" s="1"/>
  <c r="X72" i="23"/>
  <c r="S72" i="23"/>
  <c r="U72" i="23" s="1"/>
  <c r="J72" i="23"/>
  <c r="M72" i="23" s="1"/>
  <c r="X71" i="23"/>
  <c r="S71" i="23"/>
  <c r="U71" i="23" s="1"/>
  <c r="J71" i="23"/>
  <c r="M71" i="23" s="1"/>
  <c r="X70" i="23"/>
  <c r="S70" i="23"/>
  <c r="U70" i="23" s="1"/>
  <c r="J70" i="23"/>
  <c r="M70" i="23" s="1"/>
  <c r="X69" i="23"/>
  <c r="S69" i="23"/>
  <c r="U69" i="23" s="1"/>
  <c r="J69" i="23"/>
  <c r="M69" i="23" s="1"/>
  <c r="X68" i="23"/>
  <c r="S68" i="23"/>
  <c r="U68" i="23" s="1"/>
  <c r="J68" i="23"/>
  <c r="M68" i="23" s="1"/>
  <c r="X67" i="23"/>
  <c r="S67" i="23"/>
  <c r="U67" i="23" s="1"/>
  <c r="J67" i="23"/>
  <c r="M67" i="23" s="1"/>
  <c r="X66" i="23"/>
  <c r="S66" i="23"/>
  <c r="U66" i="23" s="1"/>
  <c r="J66" i="23"/>
  <c r="M66" i="23" s="1"/>
  <c r="X65" i="23"/>
  <c r="S65" i="23"/>
  <c r="U65" i="23" s="1"/>
  <c r="J65" i="23"/>
  <c r="M65" i="23" s="1"/>
  <c r="X64" i="23"/>
  <c r="S64" i="23"/>
  <c r="U64" i="23" s="1"/>
  <c r="J64" i="23"/>
  <c r="M64" i="23" s="1"/>
  <c r="X63" i="23"/>
  <c r="S63" i="23"/>
  <c r="U63" i="23" s="1"/>
  <c r="J63" i="23"/>
  <c r="M63" i="23" s="1"/>
  <c r="X62" i="23"/>
  <c r="S62" i="23"/>
  <c r="U62" i="23" s="1"/>
  <c r="J62" i="23"/>
  <c r="M62" i="23" s="1"/>
  <c r="X61" i="23"/>
  <c r="S61" i="23"/>
  <c r="U61" i="23" s="1"/>
  <c r="J61" i="23"/>
  <c r="M61" i="23" s="1"/>
  <c r="X60" i="23"/>
  <c r="S60" i="23"/>
  <c r="U60" i="23" s="1"/>
  <c r="J60" i="23"/>
  <c r="M60" i="23" s="1"/>
  <c r="X59" i="23"/>
  <c r="S59" i="23"/>
  <c r="U59" i="23" s="1"/>
  <c r="J59" i="23"/>
  <c r="M59" i="23" s="1"/>
  <c r="X58" i="23"/>
  <c r="S58" i="23"/>
  <c r="U58" i="23" s="1"/>
  <c r="J58" i="23"/>
  <c r="M58" i="23" s="1"/>
  <c r="X57" i="23"/>
  <c r="S57" i="23"/>
  <c r="U57" i="23" s="1"/>
  <c r="J57" i="23"/>
  <c r="M57" i="23" s="1"/>
  <c r="X56" i="23"/>
  <c r="S56" i="23"/>
  <c r="U56" i="23" s="1"/>
  <c r="M56" i="23"/>
  <c r="J56" i="23"/>
  <c r="X55" i="23"/>
  <c r="U55" i="23"/>
  <c r="S55" i="23"/>
  <c r="J55" i="23"/>
  <c r="M55" i="23" s="1"/>
  <c r="X54" i="23"/>
  <c r="S54" i="23"/>
  <c r="U54" i="23" s="1"/>
  <c r="J54" i="23"/>
  <c r="M54" i="23" s="1"/>
  <c r="X53" i="23"/>
  <c r="S53" i="23"/>
  <c r="U53" i="23" s="1"/>
  <c r="J53" i="23"/>
  <c r="M53" i="23" s="1"/>
  <c r="X52" i="23"/>
  <c r="U52" i="23"/>
  <c r="S52" i="23"/>
  <c r="J52" i="23"/>
  <c r="M52" i="23" s="1"/>
  <c r="X51" i="23"/>
  <c r="S51" i="23"/>
  <c r="U51" i="23" s="1"/>
  <c r="J51" i="23"/>
  <c r="M51" i="23" s="1"/>
  <c r="X50" i="23"/>
  <c r="U50" i="23"/>
  <c r="S50" i="23"/>
  <c r="J50" i="23"/>
  <c r="M50" i="23" s="1"/>
  <c r="X49" i="23"/>
  <c r="S49" i="23"/>
  <c r="U49" i="23" s="1"/>
  <c r="J49" i="23"/>
  <c r="M49" i="23" s="1"/>
  <c r="X48" i="23"/>
  <c r="S48" i="23"/>
  <c r="U48" i="23" s="1"/>
  <c r="M48" i="23"/>
  <c r="J48" i="23"/>
  <c r="X47" i="23"/>
  <c r="S47" i="23"/>
  <c r="U47" i="23" s="1"/>
  <c r="J47" i="23"/>
  <c r="M47" i="23" s="1"/>
  <c r="X46" i="23"/>
  <c r="S46" i="23"/>
  <c r="U46" i="23" s="1"/>
  <c r="J46" i="23"/>
  <c r="M46" i="23" s="1"/>
  <c r="X45" i="23"/>
  <c r="U45" i="23"/>
  <c r="S45" i="23"/>
  <c r="J45" i="23"/>
  <c r="M45" i="23" s="1"/>
  <c r="X44" i="23"/>
  <c r="S44" i="23"/>
  <c r="U44" i="23" s="1"/>
  <c r="J44" i="23"/>
  <c r="M44" i="23" s="1"/>
  <c r="X43" i="23"/>
  <c r="S43" i="23"/>
  <c r="U43" i="23" s="1"/>
  <c r="J43" i="23"/>
  <c r="M43" i="23" s="1"/>
  <c r="X42" i="23"/>
  <c r="U42" i="23"/>
  <c r="S42" i="23"/>
  <c r="J42" i="23"/>
  <c r="M42" i="23" s="1"/>
  <c r="X41" i="23"/>
  <c r="S41" i="23"/>
  <c r="U41" i="23" s="1"/>
  <c r="J41" i="23"/>
  <c r="M41" i="23" s="1"/>
  <c r="X40" i="23"/>
  <c r="S40" i="23"/>
  <c r="U40" i="23" s="1"/>
  <c r="J40" i="23"/>
  <c r="M40" i="23" s="1"/>
  <c r="X39" i="23"/>
  <c r="U39" i="23"/>
  <c r="S39" i="23"/>
  <c r="J39" i="23"/>
  <c r="M39" i="23" s="1"/>
  <c r="X38" i="23"/>
  <c r="S38" i="23"/>
  <c r="U38" i="23" s="1"/>
  <c r="J38" i="23"/>
  <c r="M38" i="23" s="1"/>
  <c r="X37" i="23"/>
  <c r="S37" i="23"/>
  <c r="U37" i="23" s="1"/>
  <c r="J37" i="23"/>
  <c r="M37" i="23" s="1"/>
  <c r="X36" i="23"/>
  <c r="U36" i="23"/>
  <c r="S36" i="23"/>
  <c r="J36" i="23"/>
  <c r="M36" i="23" s="1"/>
  <c r="X35" i="23"/>
  <c r="U35" i="23"/>
  <c r="S35" i="23"/>
  <c r="J35" i="23"/>
  <c r="M35" i="23" s="1"/>
  <c r="X34" i="23"/>
  <c r="U34" i="23"/>
  <c r="S34" i="23"/>
  <c r="J34" i="23"/>
  <c r="M34" i="23" s="1"/>
  <c r="X33" i="23"/>
  <c r="S33" i="23"/>
  <c r="U33" i="23" s="1"/>
  <c r="J33" i="23"/>
  <c r="M33" i="23" s="1"/>
  <c r="X32" i="23"/>
  <c r="U32" i="23"/>
  <c r="S32" i="23"/>
  <c r="J32" i="23"/>
  <c r="M32" i="23" s="1"/>
  <c r="X31" i="23"/>
  <c r="S31" i="23"/>
  <c r="U31" i="23" s="1"/>
  <c r="J31" i="23"/>
  <c r="M31" i="23" s="1"/>
  <c r="X30" i="23"/>
  <c r="S30" i="23"/>
  <c r="U30" i="23" s="1"/>
  <c r="J30" i="23"/>
  <c r="M30" i="23" s="1"/>
  <c r="X29" i="23"/>
  <c r="U29" i="23"/>
  <c r="S29" i="23"/>
  <c r="J29" i="23"/>
  <c r="M29" i="23" s="1"/>
  <c r="X28" i="23"/>
  <c r="S28" i="23"/>
  <c r="U28" i="23" s="1"/>
  <c r="J28" i="23"/>
  <c r="M28" i="23" s="1"/>
  <c r="X27" i="23"/>
  <c r="S27" i="23"/>
  <c r="U27" i="23" s="1"/>
  <c r="J27" i="23"/>
  <c r="M27" i="23" s="1"/>
  <c r="X26" i="23"/>
  <c r="U26" i="23"/>
  <c r="S26" i="23"/>
  <c r="J26" i="23"/>
  <c r="M26" i="23" s="1"/>
  <c r="X25" i="23"/>
  <c r="S25" i="23"/>
  <c r="U25" i="23" s="1"/>
  <c r="J25" i="23"/>
  <c r="M25" i="23" s="1"/>
  <c r="X24" i="23"/>
  <c r="U24" i="23"/>
  <c r="S24" i="23"/>
  <c r="J24" i="23"/>
  <c r="M24" i="23" s="1"/>
  <c r="X23" i="23"/>
  <c r="S23" i="23"/>
  <c r="U23" i="23" s="1"/>
  <c r="J23" i="23"/>
  <c r="M23" i="23" s="1"/>
  <c r="X22" i="23"/>
  <c r="S22" i="23"/>
  <c r="U22" i="23" s="1"/>
  <c r="J22" i="23"/>
  <c r="M22" i="23" s="1"/>
  <c r="X21" i="23"/>
  <c r="U21" i="23"/>
  <c r="S21" i="23"/>
  <c r="J21" i="23"/>
  <c r="M21" i="23" s="1"/>
  <c r="X20" i="23"/>
  <c r="S20" i="23"/>
  <c r="U20" i="23" s="1"/>
  <c r="J20" i="23"/>
  <c r="M20" i="23" s="1"/>
  <c r="X19" i="23"/>
  <c r="S19" i="23"/>
  <c r="U19" i="23" s="1"/>
  <c r="J19" i="23"/>
  <c r="M19" i="23" s="1"/>
  <c r="X18" i="23"/>
  <c r="U18" i="23"/>
  <c r="S18" i="23"/>
  <c r="M18" i="23"/>
  <c r="J18" i="23"/>
  <c r="X17" i="23"/>
  <c r="S17" i="23"/>
  <c r="U17" i="23" s="1"/>
  <c r="J17" i="23"/>
  <c r="M17" i="23" s="1"/>
  <c r="X16" i="23"/>
  <c r="U16" i="23"/>
  <c r="S16" i="23"/>
  <c r="J16" i="23"/>
  <c r="M16" i="23" s="1"/>
  <c r="X15" i="23"/>
  <c r="S15" i="23"/>
  <c r="U15" i="23" s="1"/>
  <c r="J15" i="23"/>
  <c r="M15" i="23" s="1"/>
  <c r="X14" i="23"/>
  <c r="S14" i="23"/>
  <c r="U14" i="23" s="1"/>
  <c r="J14" i="23"/>
  <c r="M14" i="23" s="1"/>
  <c r="X13" i="23"/>
  <c r="U13" i="23"/>
  <c r="S13" i="23"/>
  <c r="J13" i="23"/>
  <c r="M13" i="23" s="1"/>
  <c r="X12" i="23"/>
  <c r="S12" i="23"/>
  <c r="U12" i="23" s="1"/>
  <c r="J12" i="23"/>
  <c r="M12" i="23" s="1"/>
  <c r="X11" i="23"/>
  <c r="S11" i="23"/>
  <c r="U11" i="23" s="1"/>
  <c r="J11" i="23"/>
  <c r="M11" i="23" s="1"/>
  <c r="X10" i="23"/>
  <c r="U10" i="23"/>
  <c r="S10" i="23"/>
  <c r="J10" i="23"/>
  <c r="M10" i="23" s="1"/>
  <c r="X9" i="23"/>
  <c r="S9" i="23"/>
  <c r="U9" i="23" s="1"/>
  <c r="J9" i="23"/>
  <c r="M9" i="23" s="1"/>
  <c r="X8" i="23"/>
  <c r="S8" i="23"/>
  <c r="U8" i="23" s="1"/>
  <c r="J8" i="23"/>
  <c r="M8" i="23" s="1"/>
  <c r="X7" i="23"/>
  <c r="U7" i="23"/>
  <c r="S7" i="23"/>
  <c r="J7" i="23"/>
  <c r="M7" i="23" s="1"/>
  <c r="X6" i="23"/>
  <c r="U6" i="23"/>
  <c r="S6" i="23"/>
  <c r="J6" i="23"/>
  <c r="M6" i="23" s="1"/>
  <c r="X5" i="23"/>
  <c r="U5" i="23"/>
  <c r="S5" i="23"/>
  <c r="J5" i="23"/>
  <c r="M5" i="23" s="1"/>
  <c r="X4" i="23"/>
  <c r="U4" i="23"/>
  <c r="S4" i="23"/>
  <c r="J4" i="23"/>
  <c r="M4" i="23" s="1"/>
  <c r="K219" i="22"/>
  <c r="K211" i="22"/>
  <c r="N5" i="9" s="1"/>
  <c r="K208" i="22"/>
  <c r="K218" i="22" s="1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Z104" i="22"/>
  <c r="J104" i="22"/>
  <c r="X103" i="22"/>
  <c r="S103" i="22"/>
  <c r="U103" i="22" s="1"/>
  <c r="J103" i="22"/>
  <c r="X102" i="22"/>
  <c r="S102" i="22"/>
  <c r="U102" i="22" s="1"/>
  <c r="J102" i="22"/>
  <c r="X101" i="22"/>
  <c r="S101" i="22"/>
  <c r="U101" i="22" s="1"/>
  <c r="J101" i="22"/>
  <c r="X100" i="22"/>
  <c r="S100" i="22"/>
  <c r="U100" i="22" s="1"/>
  <c r="J100" i="22"/>
  <c r="X99" i="22"/>
  <c r="S99" i="22"/>
  <c r="U99" i="22" s="1"/>
  <c r="J99" i="22"/>
  <c r="X98" i="22"/>
  <c r="S98" i="22"/>
  <c r="U98" i="22" s="1"/>
  <c r="J98" i="22"/>
  <c r="X97" i="22"/>
  <c r="S97" i="22"/>
  <c r="U97" i="22" s="1"/>
  <c r="J97" i="22"/>
  <c r="X96" i="22"/>
  <c r="S96" i="22"/>
  <c r="U96" i="22" s="1"/>
  <c r="J96" i="22"/>
  <c r="X95" i="22"/>
  <c r="S95" i="22"/>
  <c r="U95" i="22" s="1"/>
  <c r="J95" i="22"/>
  <c r="X94" i="22"/>
  <c r="S94" i="22"/>
  <c r="U94" i="22" s="1"/>
  <c r="J94" i="22"/>
  <c r="X93" i="22"/>
  <c r="S93" i="22"/>
  <c r="U93" i="22" s="1"/>
  <c r="J93" i="22"/>
  <c r="X92" i="22"/>
  <c r="S92" i="22"/>
  <c r="U92" i="22" s="1"/>
  <c r="J92" i="22"/>
  <c r="X91" i="22"/>
  <c r="S91" i="22"/>
  <c r="U91" i="22" s="1"/>
  <c r="J91" i="22"/>
  <c r="X90" i="22"/>
  <c r="S90" i="22"/>
  <c r="U90" i="22" s="1"/>
  <c r="J90" i="22"/>
  <c r="X89" i="22"/>
  <c r="S89" i="22"/>
  <c r="U89" i="22" s="1"/>
  <c r="J89" i="22"/>
  <c r="X88" i="22"/>
  <c r="S88" i="22"/>
  <c r="U88" i="22" s="1"/>
  <c r="J88" i="22"/>
  <c r="X87" i="22"/>
  <c r="S87" i="22"/>
  <c r="U87" i="22" s="1"/>
  <c r="J87" i="22"/>
  <c r="X86" i="22"/>
  <c r="S86" i="22"/>
  <c r="U86" i="22" s="1"/>
  <c r="J86" i="22"/>
  <c r="X85" i="22"/>
  <c r="S85" i="22"/>
  <c r="U85" i="22" s="1"/>
  <c r="J85" i="22"/>
  <c r="X84" i="22"/>
  <c r="S84" i="22"/>
  <c r="U84" i="22" s="1"/>
  <c r="M84" i="22"/>
  <c r="J84" i="22"/>
  <c r="X83" i="22"/>
  <c r="S83" i="22"/>
  <c r="U83" i="22" s="1"/>
  <c r="J83" i="22"/>
  <c r="X82" i="22"/>
  <c r="S82" i="22"/>
  <c r="U82" i="22" s="1"/>
  <c r="J82" i="22"/>
  <c r="X81" i="22"/>
  <c r="S81" i="22"/>
  <c r="U81" i="22" s="1"/>
  <c r="J81" i="22"/>
  <c r="X80" i="22"/>
  <c r="S80" i="22"/>
  <c r="U80" i="22" s="1"/>
  <c r="J80" i="22"/>
  <c r="X79" i="22"/>
  <c r="S79" i="22"/>
  <c r="U79" i="22" s="1"/>
  <c r="J79" i="22"/>
  <c r="X78" i="22"/>
  <c r="S78" i="22"/>
  <c r="U78" i="22" s="1"/>
  <c r="J78" i="22"/>
  <c r="X77" i="22"/>
  <c r="S77" i="22"/>
  <c r="U77" i="22" s="1"/>
  <c r="J77" i="22"/>
  <c r="X76" i="22"/>
  <c r="S76" i="22"/>
  <c r="U76" i="22" s="1"/>
  <c r="J76" i="22"/>
  <c r="X75" i="22"/>
  <c r="S75" i="22"/>
  <c r="U75" i="22" s="1"/>
  <c r="J75" i="22"/>
  <c r="X74" i="22"/>
  <c r="S74" i="22"/>
  <c r="U74" i="22" s="1"/>
  <c r="J74" i="22"/>
  <c r="X73" i="22"/>
  <c r="S73" i="22"/>
  <c r="U73" i="22" s="1"/>
  <c r="J73" i="22"/>
  <c r="X72" i="22"/>
  <c r="S72" i="22"/>
  <c r="U72" i="22" s="1"/>
  <c r="J72" i="22"/>
  <c r="X71" i="22"/>
  <c r="S71" i="22"/>
  <c r="U71" i="22" s="1"/>
  <c r="J71" i="22"/>
  <c r="X70" i="22"/>
  <c r="S70" i="22"/>
  <c r="U70" i="22" s="1"/>
  <c r="J70" i="22"/>
  <c r="X69" i="22"/>
  <c r="S69" i="22"/>
  <c r="U69" i="22" s="1"/>
  <c r="J69" i="22"/>
  <c r="G69" i="23"/>
  <c r="C69" i="24" s="1"/>
  <c r="X68" i="22"/>
  <c r="S68" i="22"/>
  <c r="U68" i="22" s="1"/>
  <c r="J68" i="22"/>
  <c r="X67" i="22"/>
  <c r="S67" i="22"/>
  <c r="U67" i="22" s="1"/>
  <c r="J67" i="22"/>
  <c r="X66" i="22"/>
  <c r="U66" i="22"/>
  <c r="S66" i="22"/>
  <c r="J66" i="22"/>
  <c r="X65" i="22"/>
  <c r="S65" i="22"/>
  <c r="U65" i="22" s="1"/>
  <c r="J65" i="22"/>
  <c r="X64" i="22"/>
  <c r="S64" i="22"/>
  <c r="U64" i="22" s="1"/>
  <c r="J64" i="22"/>
  <c r="X63" i="22"/>
  <c r="S63" i="22"/>
  <c r="U63" i="22" s="1"/>
  <c r="J63" i="22"/>
  <c r="X62" i="22"/>
  <c r="U62" i="22"/>
  <c r="S62" i="22"/>
  <c r="J62" i="22"/>
  <c r="M62" i="22" s="1"/>
  <c r="X61" i="22"/>
  <c r="S61" i="22"/>
  <c r="U61" i="22" s="1"/>
  <c r="J61" i="22"/>
  <c r="X60" i="22"/>
  <c r="U60" i="22"/>
  <c r="S60" i="22"/>
  <c r="J60" i="22"/>
  <c r="X59" i="22"/>
  <c r="U59" i="22"/>
  <c r="S59" i="22"/>
  <c r="J59" i="22"/>
  <c r="X58" i="22"/>
  <c r="U58" i="22"/>
  <c r="S58" i="22"/>
  <c r="J58" i="22"/>
  <c r="X57" i="22"/>
  <c r="U57" i="22"/>
  <c r="S57" i="22"/>
  <c r="J57" i="22"/>
  <c r="X56" i="22"/>
  <c r="U56" i="22"/>
  <c r="S56" i="22"/>
  <c r="J56" i="22"/>
  <c r="G56" i="23"/>
  <c r="C56" i="24" s="1"/>
  <c r="X55" i="22"/>
  <c r="S55" i="22"/>
  <c r="U55" i="22" s="1"/>
  <c r="J55" i="22"/>
  <c r="X54" i="22"/>
  <c r="S54" i="22"/>
  <c r="U54" i="22" s="1"/>
  <c r="J54" i="22"/>
  <c r="X53" i="22"/>
  <c r="U53" i="22"/>
  <c r="S53" i="22"/>
  <c r="J53" i="22"/>
  <c r="X52" i="22"/>
  <c r="S52" i="22"/>
  <c r="U52" i="22" s="1"/>
  <c r="J52" i="22"/>
  <c r="M52" i="22" s="1"/>
  <c r="X51" i="22"/>
  <c r="U51" i="22"/>
  <c r="S51" i="22"/>
  <c r="J51" i="22"/>
  <c r="X50" i="22"/>
  <c r="S50" i="22"/>
  <c r="U50" i="22" s="1"/>
  <c r="J50" i="22"/>
  <c r="X49" i="22"/>
  <c r="S49" i="22"/>
  <c r="U49" i="22" s="1"/>
  <c r="J49" i="22"/>
  <c r="X48" i="22"/>
  <c r="U48" i="22"/>
  <c r="S48" i="22"/>
  <c r="M48" i="22"/>
  <c r="J48" i="22"/>
  <c r="X47" i="22"/>
  <c r="S47" i="22"/>
  <c r="U47" i="22" s="1"/>
  <c r="J47" i="22"/>
  <c r="M47" i="22" s="1"/>
  <c r="X46" i="22"/>
  <c r="U46" i="22"/>
  <c r="S46" i="22"/>
  <c r="J46" i="22"/>
  <c r="X45" i="22"/>
  <c r="U45" i="22"/>
  <c r="S45" i="22"/>
  <c r="J45" i="22"/>
  <c r="G45" i="23"/>
  <c r="C45" i="24" s="1"/>
  <c r="X44" i="22"/>
  <c r="S44" i="22"/>
  <c r="U44" i="22" s="1"/>
  <c r="J44" i="22"/>
  <c r="X43" i="22"/>
  <c r="S43" i="22"/>
  <c r="U43" i="22" s="1"/>
  <c r="J43" i="22"/>
  <c r="M43" i="22" s="1"/>
  <c r="X42" i="22"/>
  <c r="S42" i="22"/>
  <c r="U42" i="22" s="1"/>
  <c r="J42" i="22"/>
  <c r="X41" i="22"/>
  <c r="S41" i="22"/>
  <c r="U41" i="22" s="1"/>
  <c r="J41" i="22"/>
  <c r="X40" i="22"/>
  <c r="S40" i="22"/>
  <c r="U40" i="22" s="1"/>
  <c r="J40" i="22"/>
  <c r="X39" i="22"/>
  <c r="S39" i="22"/>
  <c r="U39" i="22" s="1"/>
  <c r="J39" i="22"/>
  <c r="X38" i="22"/>
  <c r="U38" i="22"/>
  <c r="S38" i="22"/>
  <c r="J38" i="22"/>
  <c r="X37" i="22"/>
  <c r="U37" i="22"/>
  <c r="S37" i="22"/>
  <c r="J37" i="22"/>
  <c r="G37" i="23"/>
  <c r="C37" i="24" s="1"/>
  <c r="X36" i="22"/>
  <c r="S36" i="22"/>
  <c r="U36" i="22" s="1"/>
  <c r="J36" i="22"/>
  <c r="X35" i="22"/>
  <c r="U35" i="22"/>
  <c r="S35" i="22"/>
  <c r="J35" i="22"/>
  <c r="X34" i="22"/>
  <c r="S34" i="22"/>
  <c r="U34" i="22" s="1"/>
  <c r="J34" i="22"/>
  <c r="X33" i="22"/>
  <c r="S33" i="22"/>
  <c r="U33" i="22" s="1"/>
  <c r="J33" i="22"/>
  <c r="X32" i="22"/>
  <c r="U32" i="22"/>
  <c r="S32" i="22"/>
  <c r="J32" i="22"/>
  <c r="X31" i="22"/>
  <c r="S31" i="22"/>
  <c r="U31" i="22" s="1"/>
  <c r="J31" i="22"/>
  <c r="X30" i="22"/>
  <c r="S30" i="22"/>
  <c r="U30" i="22" s="1"/>
  <c r="J30" i="22"/>
  <c r="X29" i="22"/>
  <c r="U29" i="22"/>
  <c r="S29" i="22"/>
  <c r="J29" i="22"/>
  <c r="X28" i="22"/>
  <c r="S28" i="22"/>
  <c r="U28" i="22" s="1"/>
  <c r="J28" i="22"/>
  <c r="X27" i="22"/>
  <c r="S27" i="22"/>
  <c r="U27" i="22" s="1"/>
  <c r="J27" i="22"/>
  <c r="X26" i="22"/>
  <c r="U26" i="22"/>
  <c r="S26" i="22"/>
  <c r="J26" i="22"/>
  <c r="X25" i="22"/>
  <c r="S25" i="22"/>
  <c r="U25" i="22" s="1"/>
  <c r="J25" i="22"/>
  <c r="X24" i="22"/>
  <c r="S24" i="22"/>
  <c r="U24" i="22" s="1"/>
  <c r="J24" i="22"/>
  <c r="X23" i="22"/>
  <c r="U23" i="22"/>
  <c r="S23" i="22"/>
  <c r="J23" i="22"/>
  <c r="X22" i="22"/>
  <c r="S22" i="22"/>
  <c r="U22" i="22" s="1"/>
  <c r="J22" i="22"/>
  <c r="X21" i="22"/>
  <c r="S21" i="22"/>
  <c r="U21" i="22" s="1"/>
  <c r="J21" i="22"/>
  <c r="X20" i="22"/>
  <c r="S20" i="22"/>
  <c r="U20" i="22" s="1"/>
  <c r="J20" i="22"/>
  <c r="X19" i="22"/>
  <c r="S19" i="22"/>
  <c r="U19" i="22" s="1"/>
  <c r="J19" i="22"/>
  <c r="X18" i="22"/>
  <c r="S18" i="22"/>
  <c r="U18" i="22" s="1"/>
  <c r="J18" i="22"/>
  <c r="X17" i="22"/>
  <c r="S17" i="22"/>
  <c r="U17" i="22" s="1"/>
  <c r="J17" i="22"/>
  <c r="X16" i="22"/>
  <c r="S16" i="22"/>
  <c r="U16" i="22" s="1"/>
  <c r="J16" i="22"/>
  <c r="X15" i="22"/>
  <c r="U15" i="22"/>
  <c r="S15" i="22"/>
  <c r="J15" i="22"/>
  <c r="X14" i="22"/>
  <c r="U14" i="22"/>
  <c r="S14" i="22"/>
  <c r="J14" i="22"/>
  <c r="X13" i="22"/>
  <c r="U13" i="22"/>
  <c r="S13" i="22"/>
  <c r="J13" i="22"/>
  <c r="X12" i="22"/>
  <c r="U12" i="22"/>
  <c r="S12" i="22"/>
  <c r="J12" i="22"/>
  <c r="X11" i="22"/>
  <c r="U11" i="22"/>
  <c r="S11" i="22"/>
  <c r="J11" i="22"/>
  <c r="X10" i="22"/>
  <c r="S10" i="22"/>
  <c r="U10" i="22" s="1"/>
  <c r="J10" i="22"/>
  <c r="X9" i="22"/>
  <c r="S9" i="22"/>
  <c r="U9" i="22" s="1"/>
  <c r="J9" i="22"/>
  <c r="X8" i="22"/>
  <c r="U8" i="22"/>
  <c r="S8" i="22"/>
  <c r="J8" i="22"/>
  <c r="X7" i="22"/>
  <c r="S7" i="22"/>
  <c r="U7" i="22" s="1"/>
  <c r="J7" i="22"/>
  <c r="X6" i="22"/>
  <c r="S6" i="22"/>
  <c r="U6" i="22" s="1"/>
  <c r="J6" i="22"/>
  <c r="X5" i="22"/>
  <c r="U5" i="22"/>
  <c r="S5" i="22"/>
  <c r="J5" i="22"/>
  <c r="X4" i="22"/>
  <c r="S4" i="22"/>
  <c r="U4" i="22" s="1"/>
  <c r="J4" i="22"/>
  <c r="M4" i="22" s="1"/>
  <c r="E4" i="22"/>
  <c r="G4" i="22" s="1"/>
  <c r="C4" i="23" s="1"/>
  <c r="E4" i="23" s="1"/>
  <c r="G4" i="23" s="1"/>
  <c r="C4" i="24" s="1"/>
  <c r="E4" i="24" s="1"/>
  <c r="G4" i="24" s="1"/>
  <c r="C4" i="25" s="1"/>
  <c r="E4" i="25" s="1"/>
  <c r="G4" i="25" s="1"/>
  <c r="C4" i="26" s="1"/>
  <c r="E4" i="26" s="1"/>
  <c r="G4" i="26" s="1"/>
  <c r="C4" i="27" s="1"/>
  <c r="E4" i="27" s="1"/>
  <c r="G4" i="27" s="1"/>
  <c r="C4" i="28" s="1"/>
  <c r="E4" i="28" s="1"/>
  <c r="G4" i="28" s="1"/>
  <c r="C4" i="29" s="1"/>
  <c r="E4" i="29" s="1"/>
  <c r="G4" i="29" s="1"/>
  <c r="C4" i="30" s="1"/>
  <c r="E4" i="30" s="1"/>
  <c r="G4" i="30" s="1"/>
  <c r="C4" i="31" s="1"/>
  <c r="E4" i="31" s="1"/>
  <c r="G4" i="31" s="1"/>
  <c r="C4" i="1" s="1"/>
  <c r="G202" i="23"/>
  <c r="C202" i="24" s="1"/>
  <c r="G198" i="23"/>
  <c r="C198" i="24" s="1"/>
  <c r="G197" i="23"/>
  <c r="C197" i="24" s="1"/>
  <c r="G196" i="23"/>
  <c r="C196" i="24" s="1"/>
  <c r="G187" i="23"/>
  <c r="C187" i="24" s="1"/>
  <c r="G174" i="23"/>
  <c r="C174" i="24" s="1"/>
  <c r="G171" i="23"/>
  <c r="C171" i="24" s="1"/>
  <c r="G168" i="23"/>
  <c r="C168" i="24" s="1"/>
  <c r="G153" i="23"/>
  <c r="C153" i="24" s="1"/>
  <c r="G152" i="23"/>
  <c r="C152" i="24" s="1"/>
  <c r="G143" i="23"/>
  <c r="C143" i="24" s="1"/>
  <c r="G134" i="23"/>
  <c r="C134" i="24" s="1"/>
  <c r="G130" i="23"/>
  <c r="C130" i="24" s="1"/>
  <c r="G125" i="23"/>
  <c r="C125" i="24" s="1"/>
  <c r="G124" i="23"/>
  <c r="C124" i="24" s="1"/>
  <c r="G121" i="23"/>
  <c r="C121" i="24" s="1"/>
  <c r="G115" i="23"/>
  <c r="C115" i="24" s="1"/>
  <c r="G108" i="23"/>
  <c r="C108" i="24" s="1"/>
  <c r="G99" i="23"/>
  <c r="C99" i="24" s="1"/>
  <c r="G92" i="23"/>
  <c r="C92" i="24" s="1"/>
  <c r="G90" i="23"/>
  <c r="C90" i="24" s="1"/>
  <c r="G71" i="23"/>
  <c r="C71" i="24" s="1"/>
  <c r="G62" i="23"/>
  <c r="C62" i="24" s="1"/>
  <c r="G58" i="23"/>
  <c r="C58" i="24" s="1"/>
  <c r="G52" i="23"/>
  <c r="C52" i="24" s="1"/>
  <c r="G49" i="23"/>
  <c r="C49" i="24" s="1"/>
  <c r="G24" i="23"/>
  <c r="C24" i="24" s="1"/>
  <c r="X106" i="29" l="1"/>
  <c r="J205" i="29" s="1"/>
  <c r="X106" i="32"/>
  <c r="J205" i="32" s="1"/>
  <c r="K206" i="32" s="1"/>
  <c r="M34" i="9" s="1"/>
  <c r="Q35" i="9"/>
  <c r="X106" i="23"/>
  <c r="J205" i="23" s="1"/>
  <c r="R35" i="9"/>
  <c r="X106" i="31"/>
  <c r="J205" i="31" s="1"/>
  <c r="X106" i="25"/>
  <c r="J205" i="25" s="1"/>
  <c r="R14" i="9"/>
  <c r="X106" i="22"/>
  <c r="J205" i="22" s="1"/>
  <c r="X106" i="24"/>
  <c r="J205" i="24" s="1"/>
  <c r="R9" i="9"/>
  <c r="X106" i="30"/>
  <c r="J205" i="30" s="1"/>
  <c r="X106" i="27"/>
  <c r="J205" i="27" s="1"/>
  <c r="M22" i="22"/>
  <c r="M142" i="22"/>
  <c r="M181" i="22"/>
  <c r="M19" i="22"/>
  <c r="M21" i="22"/>
  <c r="M32" i="22"/>
  <c r="M34" i="22"/>
  <c r="M39" i="22"/>
  <c r="M41" i="22"/>
  <c r="M57" i="22"/>
  <c r="M65" i="22"/>
  <c r="M69" i="22"/>
  <c r="M74" i="22"/>
  <c r="M79" i="22"/>
  <c r="M86" i="22"/>
  <c r="M91" i="22"/>
  <c r="M99" i="22"/>
  <c r="M111" i="22"/>
  <c r="M119" i="22"/>
  <c r="M127" i="22"/>
  <c r="M135" i="22"/>
  <c r="M143" i="22"/>
  <c r="M151" i="22"/>
  <c r="M159" i="22"/>
  <c r="M167" i="22"/>
  <c r="M182" i="22"/>
  <c r="M190" i="22"/>
  <c r="M198" i="22"/>
  <c r="M36" i="22"/>
  <c r="M50" i="22"/>
  <c r="M59" i="22"/>
  <c r="M61" i="22"/>
  <c r="M63" i="22"/>
  <c r="M94" i="22"/>
  <c r="M102" i="22"/>
  <c r="M112" i="22"/>
  <c r="M120" i="22"/>
  <c r="M128" i="22"/>
  <c r="M144" i="22"/>
  <c r="M152" i="22"/>
  <c r="M160" i="22"/>
  <c r="M175" i="22"/>
  <c r="M183" i="22"/>
  <c r="M191" i="22"/>
  <c r="M199" i="22"/>
  <c r="M24" i="22"/>
  <c r="M30" i="22"/>
  <c r="M76" i="22"/>
  <c r="M96" i="22"/>
  <c r="M126" i="22"/>
  <c r="M173" i="22"/>
  <c r="M14" i="22"/>
  <c r="M72" i="22"/>
  <c r="M77" i="22"/>
  <c r="M82" i="22"/>
  <c r="M105" i="22"/>
  <c r="M113" i="22"/>
  <c r="M121" i="22"/>
  <c r="M129" i="22"/>
  <c r="M137" i="22"/>
  <c r="M145" i="22"/>
  <c r="M153" i="22"/>
  <c r="M168" i="22"/>
  <c r="M176" i="22"/>
  <c r="M184" i="22"/>
  <c r="M192" i="22"/>
  <c r="M200" i="22"/>
  <c r="M158" i="22"/>
  <c r="M12" i="22"/>
  <c r="M38" i="22"/>
  <c r="M45" i="22"/>
  <c r="M54" i="22"/>
  <c r="M68" i="22"/>
  <c r="M70" i="22"/>
  <c r="M75" i="22"/>
  <c r="M80" i="22"/>
  <c r="M87" i="22"/>
  <c r="M92" i="22"/>
  <c r="M100" i="22"/>
  <c r="M106" i="22"/>
  <c r="M122" i="22"/>
  <c r="M130" i="22"/>
  <c r="M138" i="22"/>
  <c r="M146" i="22"/>
  <c r="M154" i="22"/>
  <c r="M162" i="22"/>
  <c r="M169" i="22"/>
  <c r="M177" i="22"/>
  <c r="M185" i="22"/>
  <c r="M193" i="22"/>
  <c r="M201" i="22"/>
  <c r="M71" i="22"/>
  <c r="M134" i="22"/>
  <c r="M189" i="22"/>
  <c r="M25" i="22"/>
  <c r="M27" i="22"/>
  <c r="M5" i="22"/>
  <c r="M9" i="22"/>
  <c r="M20" i="22"/>
  <c r="M64" i="22"/>
  <c r="M85" i="22"/>
  <c r="M95" i="22"/>
  <c r="M103" i="22"/>
  <c r="M107" i="22"/>
  <c r="M115" i="22"/>
  <c r="M123" i="22"/>
  <c r="M131" i="22"/>
  <c r="M139" i="22"/>
  <c r="M147" i="22"/>
  <c r="M155" i="22"/>
  <c r="M163" i="22"/>
  <c r="M170" i="22"/>
  <c r="M178" i="22"/>
  <c r="M186" i="22"/>
  <c r="M194" i="22"/>
  <c r="M202" i="22"/>
  <c r="M28" i="22"/>
  <c r="M67" i="22"/>
  <c r="M118" i="22"/>
  <c r="M166" i="22"/>
  <c r="M42" i="22"/>
  <c r="M11" i="22"/>
  <c r="M13" i="22"/>
  <c r="M35" i="22"/>
  <c r="M49" i="22"/>
  <c r="M51" i="22"/>
  <c r="M58" i="22"/>
  <c r="M60" i="22"/>
  <c r="M73" i="22"/>
  <c r="M78" i="22"/>
  <c r="M83" i="22"/>
  <c r="M90" i="22"/>
  <c r="M98" i="22"/>
  <c r="M108" i="22"/>
  <c r="M116" i="22"/>
  <c r="M124" i="22"/>
  <c r="M132" i="22"/>
  <c r="M140" i="22"/>
  <c r="M148" i="22"/>
  <c r="M156" i="22"/>
  <c r="M164" i="22"/>
  <c r="M171" i="22"/>
  <c r="M179" i="22"/>
  <c r="M187" i="22"/>
  <c r="M195" i="22"/>
  <c r="M203" i="22"/>
  <c r="M17" i="22"/>
  <c r="M26" i="22"/>
  <c r="M81" i="22"/>
  <c r="M104" i="22"/>
  <c r="M150" i="22"/>
  <c r="M197" i="22"/>
  <c r="M16" i="22"/>
  <c r="M23" i="22"/>
  <c r="M29" i="22"/>
  <c r="M7" i="22"/>
  <c r="M18" i="22"/>
  <c r="M33" i="22"/>
  <c r="M40" i="22"/>
  <c r="M15" i="22"/>
  <c r="M37" i="22"/>
  <c r="M44" i="22"/>
  <c r="M53" i="22"/>
  <c r="M88" i="22"/>
  <c r="M93" i="22"/>
  <c r="M101" i="22"/>
  <c r="M109" i="22"/>
  <c r="M117" i="22"/>
  <c r="M125" i="22"/>
  <c r="M133" i="22"/>
  <c r="M149" i="22"/>
  <c r="M157" i="22"/>
  <c r="M165" i="22"/>
  <c r="M172" i="22"/>
  <c r="M180" i="22"/>
  <c r="M188" i="22"/>
  <c r="M196" i="22"/>
  <c r="E69" i="24"/>
  <c r="G69" i="24" s="1"/>
  <c r="C69" i="25" s="1"/>
  <c r="E86" i="24"/>
  <c r="G86" i="24" s="1"/>
  <c r="C86" i="25" s="1"/>
  <c r="E51" i="24"/>
  <c r="G51" i="24" s="1"/>
  <c r="C51" i="25" s="1"/>
  <c r="E122" i="24"/>
  <c r="G122" i="24" s="1"/>
  <c r="C122" i="25" s="1"/>
  <c r="E186" i="24"/>
  <c r="G186" i="24" s="1"/>
  <c r="C186" i="25" s="1"/>
  <c r="E21" i="24"/>
  <c r="G21" i="24" s="1"/>
  <c r="C21" i="25" s="1"/>
  <c r="E52" i="24"/>
  <c r="G52" i="24" s="1"/>
  <c r="C52" i="25" s="1"/>
  <c r="E61" i="24"/>
  <c r="G61" i="24" s="1"/>
  <c r="C61" i="25" s="1"/>
  <c r="E70" i="24"/>
  <c r="G70" i="24" s="1"/>
  <c r="C70" i="25" s="1"/>
  <c r="E79" i="24"/>
  <c r="G79" i="24" s="1"/>
  <c r="C79" i="25" s="1"/>
  <c r="E90" i="24"/>
  <c r="G90" i="24" s="1"/>
  <c r="C90" i="25" s="1"/>
  <c r="E98" i="24"/>
  <c r="G98" i="24" s="1"/>
  <c r="C98" i="25" s="1"/>
  <c r="E107" i="24"/>
  <c r="G107" i="24" s="1"/>
  <c r="C107" i="25" s="1"/>
  <c r="E115" i="24"/>
  <c r="G115" i="24" s="1"/>
  <c r="C115" i="25" s="1"/>
  <c r="E123" i="24"/>
  <c r="G123" i="24" s="1"/>
  <c r="C123" i="25" s="1"/>
  <c r="E131" i="24"/>
  <c r="G131" i="24" s="1"/>
  <c r="C131" i="25" s="1"/>
  <c r="E139" i="24"/>
  <c r="G139" i="24" s="1"/>
  <c r="C139" i="25" s="1"/>
  <c r="E147" i="24"/>
  <c r="G147" i="24" s="1"/>
  <c r="C147" i="25" s="1"/>
  <c r="E155" i="24"/>
  <c r="G155" i="24" s="1"/>
  <c r="C155" i="25" s="1"/>
  <c r="E163" i="24"/>
  <c r="G163" i="24" s="1"/>
  <c r="C163" i="25" s="1"/>
  <c r="E171" i="24"/>
  <c r="G171" i="24" s="1"/>
  <c r="C171" i="25" s="1"/>
  <c r="E179" i="24"/>
  <c r="G179" i="24" s="1"/>
  <c r="C179" i="25" s="1"/>
  <c r="E187" i="24"/>
  <c r="G187" i="24" s="1"/>
  <c r="C187" i="25" s="1"/>
  <c r="E197" i="24"/>
  <c r="G197" i="24" s="1"/>
  <c r="C197" i="25" s="1"/>
  <c r="E43" i="24"/>
  <c r="G43" i="24" s="1"/>
  <c r="C43" i="25" s="1"/>
  <c r="E10" i="24"/>
  <c r="G10" i="24" s="1"/>
  <c r="C10" i="25" s="1"/>
  <c r="E97" i="24"/>
  <c r="G97" i="24" s="1"/>
  <c r="C97" i="25" s="1"/>
  <c r="E196" i="24"/>
  <c r="G196" i="24" s="1"/>
  <c r="C196" i="25" s="1"/>
  <c r="E12" i="24"/>
  <c r="G12" i="24" s="1"/>
  <c r="C12" i="25" s="1"/>
  <c r="E31" i="24"/>
  <c r="G31" i="24" s="1"/>
  <c r="C31" i="25" s="1"/>
  <c r="E42" i="24"/>
  <c r="G42" i="24" s="1"/>
  <c r="C42" i="25" s="1"/>
  <c r="E13" i="24"/>
  <c r="G13" i="24" s="1"/>
  <c r="C13" i="25" s="1"/>
  <c r="E44" i="24"/>
  <c r="G44" i="24" s="1"/>
  <c r="C44" i="25" s="1"/>
  <c r="E53" i="24"/>
  <c r="G53" i="24" s="1"/>
  <c r="C53" i="25" s="1"/>
  <c r="E62" i="24"/>
  <c r="G62" i="24" s="1"/>
  <c r="C62" i="25" s="1"/>
  <c r="E71" i="24"/>
  <c r="G71" i="24" s="1"/>
  <c r="C71" i="25" s="1"/>
  <c r="E80" i="24"/>
  <c r="G80" i="24" s="1"/>
  <c r="C80" i="25" s="1"/>
  <c r="E91" i="24"/>
  <c r="G91" i="24" s="1"/>
  <c r="C91" i="25" s="1"/>
  <c r="E99" i="24"/>
  <c r="G99" i="24" s="1"/>
  <c r="C99" i="25" s="1"/>
  <c r="E108" i="24"/>
  <c r="G108" i="24" s="1"/>
  <c r="C108" i="25" s="1"/>
  <c r="E116" i="24"/>
  <c r="G116" i="24" s="1"/>
  <c r="C116" i="25" s="1"/>
  <c r="E124" i="24"/>
  <c r="G124" i="24" s="1"/>
  <c r="C124" i="25" s="1"/>
  <c r="E132" i="24"/>
  <c r="G132" i="24" s="1"/>
  <c r="C132" i="25" s="1"/>
  <c r="E140" i="24"/>
  <c r="G140" i="24" s="1"/>
  <c r="C140" i="25" s="1"/>
  <c r="E148" i="24"/>
  <c r="G148" i="24" s="1"/>
  <c r="C148" i="25" s="1"/>
  <c r="E156" i="24"/>
  <c r="G156" i="24" s="1"/>
  <c r="C156" i="25" s="1"/>
  <c r="E164" i="24"/>
  <c r="G164" i="24" s="1"/>
  <c r="C164" i="25" s="1"/>
  <c r="E172" i="24"/>
  <c r="G172" i="24" s="1"/>
  <c r="C172" i="25" s="1"/>
  <c r="E180" i="24"/>
  <c r="G180" i="24" s="1"/>
  <c r="C180" i="25" s="1"/>
  <c r="E188" i="24"/>
  <c r="G188" i="24" s="1"/>
  <c r="C188" i="25" s="1"/>
  <c r="E198" i="24"/>
  <c r="G198" i="24" s="1"/>
  <c r="C198" i="25" s="1"/>
  <c r="E89" i="24"/>
  <c r="G89" i="24" s="1"/>
  <c r="C89" i="25" s="1"/>
  <c r="E105" i="24"/>
  <c r="G105" i="24" s="1"/>
  <c r="C105" i="25" s="1"/>
  <c r="E194" i="24"/>
  <c r="G194" i="24" s="1"/>
  <c r="C194" i="25" s="1"/>
  <c r="E30" i="24"/>
  <c r="G30" i="24" s="1"/>
  <c r="C30" i="25" s="1"/>
  <c r="E88" i="24"/>
  <c r="G88" i="24" s="1"/>
  <c r="C88" i="25" s="1"/>
  <c r="E14" i="24"/>
  <c r="G14" i="24" s="1"/>
  <c r="C14" i="25" s="1"/>
  <c r="E25" i="24"/>
  <c r="G25" i="24" s="1"/>
  <c r="C25" i="25" s="1"/>
  <c r="E33" i="24"/>
  <c r="G33" i="24" s="1"/>
  <c r="C33" i="25" s="1"/>
  <c r="E46" i="24"/>
  <c r="G46" i="24" s="1"/>
  <c r="C46" i="25" s="1"/>
  <c r="E54" i="24"/>
  <c r="G54" i="24" s="1"/>
  <c r="C54" i="25" s="1"/>
  <c r="E63" i="24"/>
  <c r="G63" i="24" s="1"/>
  <c r="C63" i="25" s="1"/>
  <c r="E72" i="24"/>
  <c r="G72" i="24" s="1"/>
  <c r="C72" i="25" s="1"/>
  <c r="E82" i="24"/>
  <c r="G82" i="24" s="1"/>
  <c r="C82" i="25" s="1"/>
  <c r="E92" i="24"/>
  <c r="G92" i="24" s="1"/>
  <c r="C92" i="25" s="1"/>
  <c r="E100" i="24"/>
  <c r="G100" i="24" s="1"/>
  <c r="C100" i="25" s="1"/>
  <c r="E109" i="24"/>
  <c r="G109" i="24" s="1"/>
  <c r="C109" i="25" s="1"/>
  <c r="E117" i="24"/>
  <c r="G117" i="24" s="1"/>
  <c r="C117" i="25" s="1"/>
  <c r="E125" i="24"/>
  <c r="G125" i="24" s="1"/>
  <c r="C125" i="25" s="1"/>
  <c r="E133" i="24"/>
  <c r="G133" i="24" s="1"/>
  <c r="C133" i="25" s="1"/>
  <c r="E141" i="24"/>
  <c r="G141" i="24" s="1"/>
  <c r="C141" i="25" s="1"/>
  <c r="E149" i="24"/>
  <c r="G149" i="24" s="1"/>
  <c r="C149" i="25" s="1"/>
  <c r="E157" i="24"/>
  <c r="G157" i="24" s="1"/>
  <c r="C157" i="25" s="1"/>
  <c r="E165" i="24"/>
  <c r="G165" i="24" s="1"/>
  <c r="C165" i="25" s="1"/>
  <c r="E173" i="24"/>
  <c r="G173" i="24" s="1"/>
  <c r="C173" i="25" s="1"/>
  <c r="E181" i="24"/>
  <c r="G181" i="24" s="1"/>
  <c r="C181" i="25" s="1"/>
  <c r="E189" i="24"/>
  <c r="G189" i="24" s="1"/>
  <c r="C189" i="25" s="1"/>
  <c r="E199" i="24"/>
  <c r="G199" i="24" s="1"/>
  <c r="C199" i="25" s="1"/>
  <c r="E16" i="24"/>
  <c r="G16" i="24" s="1"/>
  <c r="C16" i="25" s="1"/>
  <c r="E23" i="24"/>
  <c r="G23" i="24" s="1"/>
  <c r="C23" i="25" s="1"/>
  <c r="E45" i="24"/>
  <c r="G45" i="24" s="1"/>
  <c r="C45" i="25" s="1"/>
  <c r="E41" i="24"/>
  <c r="G41" i="24" s="1"/>
  <c r="C41" i="25" s="1"/>
  <c r="E106" i="24"/>
  <c r="G106" i="24" s="1"/>
  <c r="C106" i="25" s="1"/>
  <c r="E170" i="24"/>
  <c r="G170" i="24" s="1"/>
  <c r="C170" i="25" s="1"/>
  <c r="E26" i="24"/>
  <c r="G26" i="24" s="1"/>
  <c r="C26" i="25" s="1"/>
  <c r="E34" i="24"/>
  <c r="G34" i="24" s="1"/>
  <c r="C34" i="25" s="1"/>
  <c r="E47" i="24"/>
  <c r="G47" i="24" s="1"/>
  <c r="C47" i="25" s="1"/>
  <c r="E55" i="24"/>
  <c r="G55" i="24" s="1"/>
  <c r="C55" i="25" s="1"/>
  <c r="E64" i="24"/>
  <c r="G64" i="24" s="1"/>
  <c r="C64" i="25" s="1"/>
  <c r="E73" i="24"/>
  <c r="G73" i="24" s="1"/>
  <c r="C73" i="25" s="1"/>
  <c r="E83" i="24"/>
  <c r="G83" i="24" s="1"/>
  <c r="C83" i="25" s="1"/>
  <c r="E93" i="24"/>
  <c r="G93" i="24" s="1"/>
  <c r="C93" i="25" s="1"/>
  <c r="E101" i="24"/>
  <c r="G101" i="24" s="1"/>
  <c r="C101" i="25" s="1"/>
  <c r="E110" i="24"/>
  <c r="G110" i="24" s="1"/>
  <c r="C110" i="25" s="1"/>
  <c r="E118" i="24"/>
  <c r="G118" i="24" s="1"/>
  <c r="C118" i="25" s="1"/>
  <c r="E126" i="24"/>
  <c r="G126" i="24" s="1"/>
  <c r="C126" i="25" s="1"/>
  <c r="E134" i="24"/>
  <c r="G134" i="24" s="1"/>
  <c r="C134" i="25" s="1"/>
  <c r="E142" i="24"/>
  <c r="G142" i="24" s="1"/>
  <c r="C142" i="25" s="1"/>
  <c r="E150" i="24"/>
  <c r="G150" i="24" s="1"/>
  <c r="C150" i="25" s="1"/>
  <c r="E158" i="24"/>
  <c r="G158" i="24" s="1"/>
  <c r="C158" i="25" s="1"/>
  <c r="E166" i="24"/>
  <c r="G166" i="24" s="1"/>
  <c r="C166" i="25" s="1"/>
  <c r="E174" i="24"/>
  <c r="G174" i="24" s="1"/>
  <c r="C174" i="25" s="1"/>
  <c r="E182" i="24"/>
  <c r="G182" i="24" s="1"/>
  <c r="C182" i="25" s="1"/>
  <c r="E190" i="24"/>
  <c r="G190" i="24" s="1"/>
  <c r="C190" i="25" s="1"/>
  <c r="E200" i="24"/>
  <c r="G200" i="24" s="1"/>
  <c r="C200" i="25" s="1"/>
  <c r="E56" i="24"/>
  <c r="G56" i="24" s="1"/>
  <c r="C56" i="25" s="1"/>
  <c r="E60" i="24"/>
  <c r="G60" i="24" s="1"/>
  <c r="C60" i="25" s="1"/>
  <c r="E130" i="24"/>
  <c r="G130" i="24" s="1"/>
  <c r="C130" i="25" s="1"/>
  <c r="E178" i="24"/>
  <c r="G178" i="24" s="1"/>
  <c r="C178" i="25" s="1"/>
  <c r="E15" i="24"/>
  <c r="G15" i="24" s="1"/>
  <c r="C15" i="25" s="1"/>
  <c r="E17" i="24"/>
  <c r="G17" i="24" s="1"/>
  <c r="C17" i="25" s="1"/>
  <c r="E35" i="24"/>
  <c r="G35" i="24" s="1"/>
  <c r="C35" i="25" s="1"/>
  <c r="E57" i="24"/>
  <c r="G57" i="24" s="1"/>
  <c r="C57" i="25" s="1"/>
  <c r="E74" i="24"/>
  <c r="G74" i="24" s="1"/>
  <c r="C74" i="25" s="1"/>
  <c r="E94" i="24"/>
  <c r="G94" i="24" s="1"/>
  <c r="C94" i="25" s="1"/>
  <c r="E102" i="24"/>
  <c r="G102" i="24" s="1"/>
  <c r="C102" i="25" s="1"/>
  <c r="E111" i="24"/>
  <c r="G111" i="24" s="1"/>
  <c r="C111" i="25" s="1"/>
  <c r="E119" i="24"/>
  <c r="G119" i="24" s="1"/>
  <c r="C119" i="25" s="1"/>
  <c r="E127" i="24"/>
  <c r="G127" i="24" s="1"/>
  <c r="C127" i="25" s="1"/>
  <c r="E135" i="24"/>
  <c r="G135" i="24" s="1"/>
  <c r="C135" i="25" s="1"/>
  <c r="E143" i="24"/>
  <c r="G143" i="24" s="1"/>
  <c r="C143" i="25" s="1"/>
  <c r="E151" i="24"/>
  <c r="G151" i="24" s="1"/>
  <c r="C151" i="25" s="1"/>
  <c r="E159" i="24"/>
  <c r="G159" i="24" s="1"/>
  <c r="C159" i="25" s="1"/>
  <c r="E167" i="24"/>
  <c r="G167" i="24" s="1"/>
  <c r="C167" i="25" s="1"/>
  <c r="E183" i="24"/>
  <c r="G183" i="24" s="1"/>
  <c r="C183" i="25" s="1"/>
  <c r="E191" i="24"/>
  <c r="G191" i="24" s="1"/>
  <c r="C191" i="25" s="1"/>
  <c r="E201" i="24"/>
  <c r="G201" i="24" s="1"/>
  <c r="C201" i="25" s="1"/>
  <c r="E11" i="24"/>
  <c r="G11" i="24" s="1"/>
  <c r="C11" i="25" s="1"/>
  <c r="E68" i="24"/>
  <c r="G68" i="24" s="1"/>
  <c r="C68" i="25" s="1"/>
  <c r="E114" i="24"/>
  <c r="G114" i="24" s="1"/>
  <c r="C114" i="25" s="1"/>
  <c r="E138" i="24"/>
  <c r="G138" i="24" s="1"/>
  <c r="C138" i="25" s="1"/>
  <c r="E146" i="24"/>
  <c r="G146" i="24" s="1"/>
  <c r="C146" i="25" s="1"/>
  <c r="E6" i="24"/>
  <c r="G6" i="24" s="1"/>
  <c r="C6" i="25" s="1"/>
  <c r="E7" i="24"/>
  <c r="G7" i="24" s="1"/>
  <c r="C7" i="25" s="1"/>
  <c r="E27" i="24"/>
  <c r="G27" i="24" s="1"/>
  <c r="C27" i="25" s="1"/>
  <c r="E48" i="24"/>
  <c r="G48" i="24" s="1"/>
  <c r="C48" i="25" s="1"/>
  <c r="E8" i="24"/>
  <c r="G8" i="24" s="1"/>
  <c r="C8" i="25" s="1"/>
  <c r="E18" i="24"/>
  <c r="G18" i="24" s="1"/>
  <c r="C18" i="25" s="1"/>
  <c r="E49" i="24"/>
  <c r="G49" i="24" s="1"/>
  <c r="C49" i="25" s="1"/>
  <c r="E58" i="24"/>
  <c r="G58" i="24" s="1"/>
  <c r="C58" i="25" s="1"/>
  <c r="E66" i="24"/>
  <c r="G66" i="24" s="1"/>
  <c r="C66" i="25" s="1"/>
  <c r="E75" i="24"/>
  <c r="G75" i="24" s="1"/>
  <c r="C75" i="25" s="1"/>
  <c r="E95" i="24"/>
  <c r="G95" i="24" s="1"/>
  <c r="C95" i="25" s="1"/>
  <c r="E103" i="24"/>
  <c r="G103" i="24" s="1"/>
  <c r="C103" i="25" s="1"/>
  <c r="E112" i="24"/>
  <c r="G112" i="24" s="1"/>
  <c r="C112" i="25" s="1"/>
  <c r="E120" i="24"/>
  <c r="G120" i="24" s="1"/>
  <c r="E128" i="24"/>
  <c r="G128" i="24" s="1"/>
  <c r="C128" i="25" s="1"/>
  <c r="E136" i="24"/>
  <c r="G136" i="24" s="1"/>
  <c r="C136" i="25" s="1"/>
  <c r="E144" i="24"/>
  <c r="G144" i="24" s="1"/>
  <c r="C144" i="25" s="1"/>
  <c r="E152" i="24"/>
  <c r="G152" i="24" s="1"/>
  <c r="C152" i="25" s="1"/>
  <c r="E160" i="24"/>
  <c r="G160" i="24" s="1"/>
  <c r="C160" i="25" s="1"/>
  <c r="E168" i="24"/>
  <c r="G168" i="24" s="1"/>
  <c r="C168" i="25" s="1"/>
  <c r="E176" i="24"/>
  <c r="G176" i="24" s="1"/>
  <c r="C176" i="25" s="1"/>
  <c r="E184" i="24"/>
  <c r="G184" i="24" s="1"/>
  <c r="C184" i="25" s="1"/>
  <c r="E192" i="24"/>
  <c r="G192" i="24" s="1"/>
  <c r="C192" i="25" s="1"/>
  <c r="E202" i="24"/>
  <c r="G202" i="24" s="1"/>
  <c r="C202" i="25" s="1"/>
  <c r="E37" i="24"/>
  <c r="G37" i="24" s="1"/>
  <c r="C37" i="25" s="1"/>
  <c r="E193" i="24"/>
  <c r="G193" i="24" s="1"/>
  <c r="C193" i="25" s="1"/>
  <c r="E20" i="24"/>
  <c r="G20" i="24" s="1"/>
  <c r="C20" i="25" s="1"/>
  <c r="E154" i="24"/>
  <c r="G154" i="24" s="1"/>
  <c r="C154" i="25" s="1"/>
  <c r="E9" i="24"/>
  <c r="G9" i="24" s="1"/>
  <c r="C9" i="25" s="1"/>
  <c r="E19" i="24"/>
  <c r="G19" i="24" s="1"/>
  <c r="C19" i="25" s="1"/>
  <c r="E29" i="24"/>
  <c r="G29" i="24" s="1"/>
  <c r="C29" i="25" s="1"/>
  <c r="E40" i="24"/>
  <c r="G40" i="24" s="1"/>
  <c r="C40" i="25" s="1"/>
  <c r="E50" i="24"/>
  <c r="G50" i="24" s="1"/>
  <c r="C50" i="25" s="1"/>
  <c r="E59" i="24"/>
  <c r="G59" i="24" s="1"/>
  <c r="C59" i="25" s="1"/>
  <c r="E67" i="24"/>
  <c r="G67" i="24" s="1"/>
  <c r="C67" i="25" s="1"/>
  <c r="E77" i="24"/>
  <c r="G77" i="24" s="1"/>
  <c r="C77" i="25" s="1"/>
  <c r="E96" i="24"/>
  <c r="G96" i="24" s="1"/>
  <c r="C96" i="25" s="1"/>
  <c r="E104" i="24"/>
  <c r="G104" i="24" s="1"/>
  <c r="C104" i="25" s="1"/>
  <c r="E113" i="24"/>
  <c r="G113" i="24" s="1"/>
  <c r="C113" i="25" s="1"/>
  <c r="E121" i="24"/>
  <c r="G121" i="24" s="1"/>
  <c r="C121" i="25" s="1"/>
  <c r="E129" i="24"/>
  <c r="G129" i="24" s="1"/>
  <c r="C129" i="25" s="1"/>
  <c r="E137" i="24"/>
  <c r="G137" i="24" s="1"/>
  <c r="C137" i="25" s="1"/>
  <c r="E145" i="24"/>
  <c r="G145" i="24" s="1"/>
  <c r="C145" i="25" s="1"/>
  <c r="E153" i="24"/>
  <c r="G153" i="24" s="1"/>
  <c r="C153" i="25" s="1"/>
  <c r="E161" i="24"/>
  <c r="G161" i="24" s="1"/>
  <c r="C161" i="25" s="1"/>
  <c r="E169" i="24"/>
  <c r="G169" i="24" s="1"/>
  <c r="C169" i="25" s="1"/>
  <c r="E185" i="24"/>
  <c r="G185" i="24" s="1"/>
  <c r="C185" i="25" s="1"/>
  <c r="E203" i="24"/>
  <c r="G203" i="24" s="1"/>
  <c r="C203" i="25" s="1"/>
  <c r="E76" i="24"/>
  <c r="G76" i="24" s="1"/>
  <c r="C76" i="25" s="1"/>
  <c r="E81" i="24"/>
  <c r="G81" i="24" s="1"/>
  <c r="C81" i="25" s="1"/>
  <c r="R34" i="9"/>
  <c r="R10" i="9"/>
  <c r="R13" i="9"/>
  <c r="R12" i="9"/>
  <c r="R11" i="9"/>
  <c r="M4" i="25"/>
  <c r="K206" i="25"/>
  <c r="M8" i="9" s="1"/>
  <c r="R7" i="9"/>
  <c r="R8" i="9"/>
  <c r="E177" i="24"/>
  <c r="G177" i="24" s="1"/>
  <c r="C177" i="25" s="1"/>
  <c r="E87" i="24"/>
  <c r="G87" i="24" s="1"/>
  <c r="C87" i="25" s="1"/>
  <c r="E85" i="24"/>
  <c r="G85" i="24" s="1"/>
  <c r="C85" i="25" s="1"/>
  <c r="E84" i="24"/>
  <c r="G84" i="24" s="1"/>
  <c r="C84" i="25" s="1"/>
  <c r="E78" i="24"/>
  <c r="G78" i="24" s="1"/>
  <c r="C78" i="25" s="1"/>
  <c r="E65" i="24"/>
  <c r="G65" i="24" s="1"/>
  <c r="C65" i="25" s="1"/>
  <c r="E39" i="24"/>
  <c r="G39" i="24" s="1"/>
  <c r="C39" i="25" s="1"/>
  <c r="E32" i="24"/>
  <c r="G32" i="24" s="1"/>
  <c r="C32" i="25" s="1"/>
  <c r="E22" i="24"/>
  <c r="G22" i="24" s="1"/>
  <c r="C22" i="25" s="1"/>
  <c r="E195" i="24"/>
  <c r="G195" i="24" s="1"/>
  <c r="C195" i="25" s="1"/>
  <c r="E175" i="24"/>
  <c r="G175" i="24" s="1"/>
  <c r="C175" i="25" s="1"/>
  <c r="E162" i="24"/>
  <c r="G162" i="24" s="1"/>
  <c r="C162" i="25" s="1"/>
  <c r="E38" i="24"/>
  <c r="G38" i="24" s="1"/>
  <c r="C38" i="25" s="1"/>
  <c r="E36" i="24"/>
  <c r="G36" i="24" s="1"/>
  <c r="C36" i="25" s="1"/>
  <c r="E28" i="24"/>
  <c r="G28" i="24" s="1"/>
  <c r="C28" i="25" s="1"/>
  <c r="E24" i="24"/>
  <c r="G24" i="24" s="1"/>
  <c r="C24" i="25" s="1"/>
  <c r="E5" i="24"/>
  <c r="G5" i="24" s="1"/>
  <c r="C5" i="25" s="1"/>
  <c r="R6" i="9"/>
  <c r="R5" i="9"/>
  <c r="M10" i="22"/>
  <c r="M110" i="22"/>
  <c r="M141" i="22"/>
  <c r="M136" i="22"/>
  <c r="M31" i="22"/>
  <c r="M46" i="22"/>
  <c r="M174" i="22"/>
  <c r="M161" i="22"/>
  <c r="M8" i="22"/>
  <c r="M89" i="22"/>
  <c r="M97" i="22"/>
  <c r="M56" i="22"/>
  <c r="M66" i="22"/>
  <c r="M6" i="22"/>
  <c r="M55" i="22"/>
  <c r="M114" i="22"/>
  <c r="K206" i="30"/>
  <c r="K206" i="33"/>
  <c r="M35" i="9" s="1"/>
  <c r="M4" i="33"/>
  <c r="K206" i="31"/>
  <c r="M14" i="9" s="1"/>
  <c r="M4" i="31"/>
  <c r="M4" i="30"/>
  <c r="K206" i="29"/>
  <c r="M12" i="9" s="1"/>
  <c r="M4" i="29"/>
  <c r="X106" i="28"/>
  <c r="J205" i="28" s="1"/>
  <c r="K206" i="28"/>
  <c r="M11" i="9" s="1"/>
  <c r="M4" i="28"/>
  <c r="K206" i="27"/>
  <c r="M10" i="9" s="1"/>
  <c r="M4" i="27"/>
  <c r="K206" i="24"/>
  <c r="M7" i="9" s="1"/>
  <c r="K206" i="26"/>
  <c r="M9" i="9" s="1"/>
  <c r="M4" i="24"/>
  <c r="K206" i="23"/>
  <c r="M6" i="9" s="1"/>
  <c r="K206" i="22"/>
  <c r="M5" i="9" s="1"/>
  <c r="E120" i="25" l="1"/>
  <c r="G120" i="25" s="1"/>
  <c r="C120" i="26" s="1"/>
  <c r="C120" i="25"/>
  <c r="E24" i="25"/>
  <c r="G24" i="25" s="1"/>
  <c r="C24" i="26" s="1"/>
  <c r="E28" i="25"/>
  <c r="G28" i="25" s="1"/>
  <c r="C28" i="26" s="1"/>
  <c r="E81" i="25"/>
  <c r="G81" i="25" s="1"/>
  <c r="C81" i="26" s="1"/>
  <c r="E38" i="25"/>
  <c r="G38" i="25" s="1"/>
  <c r="C38" i="26" s="1"/>
  <c r="E161" i="25"/>
  <c r="G161" i="25" s="1"/>
  <c r="C161" i="26" s="1"/>
  <c r="E96" i="25"/>
  <c r="G96" i="25" s="1"/>
  <c r="C96" i="26" s="1"/>
  <c r="E50" i="25"/>
  <c r="G50" i="25" s="1"/>
  <c r="C50" i="26" s="1"/>
  <c r="E37" i="25"/>
  <c r="G37" i="25" s="1"/>
  <c r="C37" i="26" s="1"/>
  <c r="E144" i="25"/>
  <c r="G144" i="25" s="1"/>
  <c r="C144" i="26" s="1"/>
  <c r="E66" i="25"/>
  <c r="G66" i="25" s="1"/>
  <c r="C66" i="26" s="1"/>
  <c r="E6" i="25"/>
  <c r="G6" i="25" s="1"/>
  <c r="C6" i="26" s="1"/>
  <c r="E183" i="25"/>
  <c r="G183" i="25" s="1"/>
  <c r="C183" i="26" s="1"/>
  <c r="E111" i="25"/>
  <c r="G111" i="25" s="1"/>
  <c r="C111" i="26" s="1"/>
  <c r="E178" i="25"/>
  <c r="G178" i="25" s="1"/>
  <c r="C178" i="26" s="1"/>
  <c r="E166" i="25"/>
  <c r="G166" i="25" s="1"/>
  <c r="C166" i="26" s="1"/>
  <c r="E101" i="25"/>
  <c r="G101" i="25" s="1"/>
  <c r="C101" i="26" s="1"/>
  <c r="E26" i="25"/>
  <c r="G26" i="25" s="1"/>
  <c r="C26" i="26" s="1"/>
  <c r="E189" i="25"/>
  <c r="G189" i="25" s="1"/>
  <c r="C189" i="26" s="1"/>
  <c r="E125" i="25"/>
  <c r="G125" i="25" s="1"/>
  <c r="C125" i="26" s="1"/>
  <c r="E54" i="25"/>
  <c r="G54" i="25" s="1"/>
  <c r="C54" i="26" s="1"/>
  <c r="E105" i="25"/>
  <c r="G105" i="25" s="1"/>
  <c r="C105" i="26" s="1"/>
  <c r="E148" i="25"/>
  <c r="G148" i="25" s="1"/>
  <c r="C148" i="26" s="1"/>
  <c r="E80" i="25"/>
  <c r="G80" i="25" s="1"/>
  <c r="C80" i="26" s="1"/>
  <c r="E12" i="25"/>
  <c r="G12" i="25" s="1"/>
  <c r="C12" i="26" s="1"/>
  <c r="E171" i="25"/>
  <c r="G171" i="25" s="1"/>
  <c r="C171" i="26" s="1"/>
  <c r="E70" i="25"/>
  <c r="G70" i="25" s="1"/>
  <c r="C70" i="26" s="1"/>
  <c r="E84" i="25"/>
  <c r="G84" i="25" s="1"/>
  <c r="E103" i="25"/>
  <c r="G103" i="25" s="1"/>
  <c r="C103" i="26" s="1"/>
  <c r="E48" i="25"/>
  <c r="G48" i="25" s="1"/>
  <c r="C48" i="26" s="1"/>
  <c r="E11" i="25"/>
  <c r="G11" i="25" s="1"/>
  <c r="C11" i="26" s="1"/>
  <c r="E135" i="25"/>
  <c r="G135" i="25" s="1"/>
  <c r="C135" i="26" s="1"/>
  <c r="E35" i="25"/>
  <c r="G35" i="25" s="1"/>
  <c r="C35" i="26" s="1"/>
  <c r="E190" i="25"/>
  <c r="G190" i="25" s="1"/>
  <c r="C190" i="26" s="1"/>
  <c r="E93" i="25"/>
  <c r="G93" i="25" s="1"/>
  <c r="C93" i="26" s="1"/>
  <c r="E170" i="25"/>
  <c r="G170" i="25" s="1"/>
  <c r="C170" i="26" s="1"/>
  <c r="E181" i="25"/>
  <c r="G181" i="25" s="1"/>
  <c r="C181" i="26" s="1"/>
  <c r="E117" i="25"/>
  <c r="G117" i="25" s="1"/>
  <c r="C117" i="26" s="1"/>
  <c r="E46" i="25"/>
  <c r="G46" i="25" s="1"/>
  <c r="C46" i="26" s="1"/>
  <c r="E89" i="25"/>
  <c r="G89" i="25" s="1"/>
  <c r="C89" i="26" s="1"/>
  <c r="E140" i="25"/>
  <c r="G140" i="25" s="1"/>
  <c r="C140" i="26" s="1"/>
  <c r="E13" i="25"/>
  <c r="G13" i="25" s="1"/>
  <c r="C13" i="26" s="1"/>
  <c r="E61" i="25"/>
  <c r="G61" i="25" s="1"/>
  <c r="C61" i="26" s="1"/>
  <c r="E175" i="25"/>
  <c r="G175" i="25" s="1"/>
  <c r="E203" i="25"/>
  <c r="G203" i="25" s="1"/>
  <c r="C203" i="26" s="1"/>
  <c r="E121" i="25"/>
  <c r="G121" i="25" s="1"/>
  <c r="C121" i="26" s="1"/>
  <c r="E40" i="25"/>
  <c r="G40" i="25" s="1"/>
  <c r="C40" i="26" s="1"/>
  <c r="E154" i="25"/>
  <c r="G154" i="25" s="1"/>
  <c r="C154" i="26" s="1"/>
  <c r="E202" i="25"/>
  <c r="G202" i="25" s="1"/>
  <c r="C202" i="26" s="1"/>
  <c r="E168" i="25"/>
  <c r="G168" i="25" s="1"/>
  <c r="C168" i="26" s="1"/>
  <c r="E136" i="25"/>
  <c r="G136" i="25" s="1"/>
  <c r="C136" i="26" s="1"/>
  <c r="E58" i="25"/>
  <c r="G58" i="25" s="1"/>
  <c r="C58" i="26" s="1"/>
  <c r="E146" i="25"/>
  <c r="G146" i="25" s="1"/>
  <c r="C146" i="26" s="1"/>
  <c r="E167" i="25"/>
  <c r="G167" i="25" s="1"/>
  <c r="C167" i="26" s="1"/>
  <c r="E102" i="25"/>
  <c r="G102" i="25" s="1"/>
  <c r="C102" i="26" s="1"/>
  <c r="E130" i="25"/>
  <c r="G130" i="25" s="1"/>
  <c r="C130" i="26" s="1"/>
  <c r="E158" i="25"/>
  <c r="G158" i="25" s="1"/>
  <c r="C158" i="26" s="1"/>
  <c r="E126" i="25"/>
  <c r="G126" i="25" s="1"/>
  <c r="C126" i="26" s="1"/>
  <c r="E55" i="25"/>
  <c r="G55" i="25" s="1"/>
  <c r="C55" i="26" s="1"/>
  <c r="E23" i="25"/>
  <c r="G23" i="25" s="1"/>
  <c r="C23" i="26" s="1"/>
  <c r="E149" i="25"/>
  <c r="G149" i="25" s="1"/>
  <c r="C149" i="26" s="1"/>
  <c r="E82" i="25"/>
  <c r="G82" i="25" s="1"/>
  <c r="C82" i="26" s="1"/>
  <c r="E88" i="25"/>
  <c r="G88" i="25" s="1"/>
  <c r="C88" i="26" s="1"/>
  <c r="E172" i="25"/>
  <c r="G172" i="25" s="1"/>
  <c r="C172" i="26" s="1"/>
  <c r="E108" i="25"/>
  <c r="G108" i="25" s="1"/>
  <c r="C108" i="26" s="1"/>
  <c r="E71" i="25"/>
  <c r="G71" i="25" s="1"/>
  <c r="C71" i="26" s="1"/>
  <c r="E196" i="25"/>
  <c r="G196" i="25" s="1"/>
  <c r="C196" i="26" s="1"/>
  <c r="E197" i="25"/>
  <c r="G197" i="25" s="1"/>
  <c r="C197" i="26" s="1"/>
  <c r="E163" i="25"/>
  <c r="G163" i="25" s="1"/>
  <c r="C163" i="26" s="1"/>
  <c r="E131" i="25"/>
  <c r="G131" i="25" s="1"/>
  <c r="C131" i="26" s="1"/>
  <c r="E98" i="25"/>
  <c r="G98" i="25" s="1"/>
  <c r="C98" i="26" s="1"/>
  <c r="E122" i="25"/>
  <c r="G122" i="25" s="1"/>
  <c r="C122" i="26" s="1"/>
  <c r="E5" i="25"/>
  <c r="G5" i="25" s="1"/>
  <c r="C5" i="26" s="1"/>
  <c r="E195" i="25"/>
  <c r="G195" i="25" s="1"/>
  <c r="C195" i="26" s="1"/>
  <c r="E87" i="25"/>
  <c r="G87" i="25" s="1"/>
  <c r="C87" i="26" s="1"/>
  <c r="E85" i="25"/>
  <c r="G85" i="25" s="1"/>
  <c r="C85" i="26" s="1"/>
  <c r="E153" i="25"/>
  <c r="G153" i="25" s="1"/>
  <c r="C153" i="26" s="1"/>
  <c r="E22" i="25"/>
  <c r="G22" i="25" s="1"/>
  <c r="C22" i="26" s="1"/>
  <c r="E185" i="25"/>
  <c r="G185" i="25" s="1"/>
  <c r="C185" i="26" s="1"/>
  <c r="E113" i="25"/>
  <c r="G113" i="25" s="1"/>
  <c r="C113" i="26" s="1"/>
  <c r="E128" i="25"/>
  <c r="G128" i="25" s="1"/>
  <c r="C128" i="26" s="1"/>
  <c r="E49" i="25"/>
  <c r="G49" i="25" s="1"/>
  <c r="C49" i="26" s="1"/>
  <c r="E201" i="25"/>
  <c r="G201" i="25" s="1"/>
  <c r="C201" i="26" s="1"/>
  <c r="E127" i="25"/>
  <c r="G127" i="25" s="1"/>
  <c r="C127" i="26" s="1"/>
  <c r="E17" i="25"/>
  <c r="G17" i="25" s="1"/>
  <c r="C17" i="26" s="1"/>
  <c r="E182" i="25"/>
  <c r="G182" i="25" s="1"/>
  <c r="C182" i="26" s="1"/>
  <c r="E118" i="25"/>
  <c r="G118" i="25" s="1"/>
  <c r="C118" i="26" s="1"/>
  <c r="E47" i="25"/>
  <c r="G47" i="25" s="1"/>
  <c r="C47" i="26" s="1"/>
  <c r="E16" i="25"/>
  <c r="G16" i="25" s="1"/>
  <c r="C16" i="26" s="1"/>
  <c r="E141" i="25"/>
  <c r="G141" i="25" s="1"/>
  <c r="C141" i="26" s="1"/>
  <c r="E72" i="25"/>
  <c r="G72" i="25" s="1"/>
  <c r="C72" i="26" s="1"/>
  <c r="E30" i="25"/>
  <c r="G30" i="25" s="1"/>
  <c r="C30" i="26" s="1"/>
  <c r="E164" i="25"/>
  <c r="G164" i="25" s="1"/>
  <c r="C164" i="26" s="1"/>
  <c r="E99" i="25"/>
  <c r="G99" i="25" s="1"/>
  <c r="C99" i="26" s="1"/>
  <c r="E62" i="25"/>
  <c r="G62" i="25" s="1"/>
  <c r="C62" i="26" s="1"/>
  <c r="E42" i="25"/>
  <c r="G42" i="25" s="1"/>
  <c r="C42" i="26" s="1"/>
  <c r="E97" i="25"/>
  <c r="G97" i="25" s="1"/>
  <c r="C97" i="26" s="1"/>
  <c r="E187" i="25"/>
  <c r="G187" i="25" s="1"/>
  <c r="C187" i="26" s="1"/>
  <c r="E155" i="25"/>
  <c r="G155" i="25" s="1"/>
  <c r="C155" i="26" s="1"/>
  <c r="E90" i="25"/>
  <c r="G90" i="25" s="1"/>
  <c r="C90" i="26" s="1"/>
  <c r="E52" i="25"/>
  <c r="G52" i="25" s="1"/>
  <c r="C52" i="26" s="1"/>
  <c r="E51" i="25"/>
  <c r="G51" i="25" s="1"/>
  <c r="C51" i="26" s="1"/>
  <c r="E77" i="25"/>
  <c r="G77" i="25" s="1"/>
  <c r="C77" i="26" s="1"/>
  <c r="E177" i="25"/>
  <c r="G177" i="25" s="1"/>
  <c r="E145" i="25"/>
  <c r="G145" i="25" s="1"/>
  <c r="C145" i="26" s="1"/>
  <c r="E67" i="25"/>
  <c r="G67" i="25" s="1"/>
  <c r="C67" i="26" s="1"/>
  <c r="E29" i="25"/>
  <c r="G29" i="25" s="1"/>
  <c r="C29" i="26" s="1"/>
  <c r="E20" i="25"/>
  <c r="G20" i="25" s="1"/>
  <c r="C20" i="26" s="1"/>
  <c r="E192" i="25"/>
  <c r="G192" i="25" s="1"/>
  <c r="C192" i="26" s="1"/>
  <c r="E160" i="25"/>
  <c r="G160" i="25" s="1"/>
  <c r="C160" i="26" s="1"/>
  <c r="E95" i="25"/>
  <c r="G95" i="25" s="1"/>
  <c r="C95" i="26" s="1"/>
  <c r="E27" i="25"/>
  <c r="G27" i="25" s="1"/>
  <c r="C27" i="26" s="1"/>
  <c r="E138" i="25"/>
  <c r="G138" i="25" s="1"/>
  <c r="C138" i="26" s="1"/>
  <c r="E159" i="25"/>
  <c r="G159" i="25" s="1"/>
  <c r="C159" i="26" s="1"/>
  <c r="E94" i="25"/>
  <c r="G94" i="25" s="1"/>
  <c r="C94" i="26" s="1"/>
  <c r="E60" i="25"/>
  <c r="G60" i="25" s="1"/>
  <c r="C60" i="26" s="1"/>
  <c r="E150" i="25"/>
  <c r="G150" i="25" s="1"/>
  <c r="C150" i="26" s="1"/>
  <c r="E83" i="25"/>
  <c r="G83" i="25" s="1"/>
  <c r="C83" i="26" s="1"/>
  <c r="E106" i="25"/>
  <c r="G106" i="25" s="1"/>
  <c r="C106" i="26" s="1"/>
  <c r="E173" i="25"/>
  <c r="G173" i="25" s="1"/>
  <c r="C173" i="26" s="1"/>
  <c r="E109" i="25"/>
  <c r="G109" i="25" s="1"/>
  <c r="C109" i="26" s="1"/>
  <c r="E33" i="25"/>
  <c r="G33" i="25" s="1"/>
  <c r="C33" i="26" s="1"/>
  <c r="E198" i="25"/>
  <c r="G198" i="25" s="1"/>
  <c r="C198" i="26" s="1"/>
  <c r="E132" i="25"/>
  <c r="G132" i="25" s="1"/>
  <c r="C132" i="26" s="1"/>
  <c r="E123" i="25"/>
  <c r="G123" i="25" s="1"/>
  <c r="C123" i="26" s="1"/>
  <c r="E137" i="25"/>
  <c r="G137" i="25" s="1"/>
  <c r="C137" i="26" s="1"/>
  <c r="E59" i="25"/>
  <c r="G59" i="25" s="1"/>
  <c r="C59" i="26" s="1"/>
  <c r="E193" i="25"/>
  <c r="G193" i="25" s="1"/>
  <c r="C193" i="26" s="1"/>
  <c r="E152" i="25"/>
  <c r="G152" i="25" s="1"/>
  <c r="C152" i="26" s="1"/>
  <c r="E75" i="25"/>
  <c r="G75" i="25" s="1"/>
  <c r="C75" i="26" s="1"/>
  <c r="E7" i="25"/>
  <c r="G7" i="25" s="1"/>
  <c r="C7" i="26" s="1"/>
  <c r="E191" i="25"/>
  <c r="G191" i="25" s="1"/>
  <c r="C191" i="26" s="1"/>
  <c r="E119" i="25"/>
  <c r="G119" i="25" s="1"/>
  <c r="C119" i="26" s="1"/>
  <c r="E15" i="25"/>
  <c r="G15" i="25" s="1"/>
  <c r="C15" i="26" s="1"/>
  <c r="E174" i="25"/>
  <c r="G174" i="25" s="1"/>
  <c r="C174" i="26" s="1"/>
  <c r="E110" i="25"/>
  <c r="G110" i="25" s="1"/>
  <c r="C110" i="26" s="1"/>
  <c r="E34" i="25"/>
  <c r="G34" i="25" s="1"/>
  <c r="C34" i="26" s="1"/>
  <c r="E199" i="25"/>
  <c r="G199" i="25" s="1"/>
  <c r="C199" i="26" s="1"/>
  <c r="E100" i="25"/>
  <c r="G100" i="25" s="1"/>
  <c r="C100" i="26" s="1"/>
  <c r="E25" i="25"/>
  <c r="G25" i="25" s="1"/>
  <c r="C25" i="26" s="1"/>
  <c r="E188" i="25"/>
  <c r="G188" i="25" s="1"/>
  <c r="C188" i="26" s="1"/>
  <c r="E124" i="25"/>
  <c r="G124" i="25" s="1"/>
  <c r="C124" i="26" s="1"/>
  <c r="E31" i="25"/>
  <c r="G31" i="25" s="1"/>
  <c r="C31" i="26" s="1"/>
  <c r="E21" i="25"/>
  <c r="G21" i="25" s="1"/>
  <c r="C21" i="26" s="1"/>
  <c r="E169" i="25"/>
  <c r="G169" i="25" s="1"/>
  <c r="C169" i="26" s="1"/>
  <c r="E104" i="25"/>
  <c r="G104" i="25" s="1"/>
  <c r="C104" i="26" s="1"/>
  <c r="E19" i="25"/>
  <c r="G19" i="25" s="1"/>
  <c r="C19" i="26" s="1"/>
  <c r="E184" i="25"/>
  <c r="G184" i="25" s="1"/>
  <c r="C184" i="26" s="1"/>
  <c r="E18" i="25"/>
  <c r="G18" i="25" s="1"/>
  <c r="C18" i="26" s="1"/>
  <c r="E114" i="25"/>
  <c r="G114" i="25" s="1"/>
  <c r="C114" i="26" s="1"/>
  <c r="E151" i="25"/>
  <c r="G151" i="25" s="1"/>
  <c r="C151" i="26" s="1"/>
  <c r="E74" i="25"/>
  <c r="G74" i="25" s="1"/>
  <c r="C74" i="26" s="1"/>
  <c r="E56" i="25"/>
  <c r="G56" i="25" s="1"/>
  <c r="C56" i="26" s="1"/>
  <c r="E142" i="25"/>
  <c r="G142" i="25" s="1"/>
  <c r="C142" i="26" s="1"/>
  <c r="E73" i="25"/>
  <c r="G73" i="25" s="1"/>
  <c r="C73" i="26" s="1"/>
  <c r="E41" i="25"/>
  <c r="G41" i="25" s="1"/>
  <c r="C41" i="26" s="1"/>
  <c r="E165" i="25"/>
  <c r="G165" i="25" s="1"/>
  <c r="C165" i="26" s="1"/>
  <c r="E133" i="25"/>
  <c r="G133" i="25" s="1"/>
  <c r="C133" i="26" s="1"/>
  <c r="E63" i="25"/>
  <c r="G63" i="25" s="1"/>
  <c r="C63" i="26" s="1"/>
  <c r="E194" i="25"/>
  <c r="G194" i="25" s="1"/>
  <c r="C194" i="26" s="1"/>
  <c r="E156" i="25"/>
  <c r="G156" i="25" s="1"/>
  <c r="C156" i="26" s="1"/>
  <c r="E91" i="25"/>
  <c r="G91" i="25" s="1"/>
  <c r="C91" i="26" s="1"/>
  <c r="E53" i="25"/>
  <c r="G53" i="25" s="1"/>
  <c r="C53" i="26" s="1"/>
  <c r="E10" i="25"/>
  <c r="G10" i="25" s="1"/>
  <c r="C10" i="26" s="1"/>
  <c r="E179" i="25"/>
  <c r="G179" i="25" s="1"/>
  <c r="C179" i="26" s="1"/>
  <c r="E147" i="25"/>
  <c r="G147" i="25" s="1"/>
  <c r="C147" i="26" s="1"/>
  <c r="E115" i="25"/>
  <c r="G115" i="25" s="1"/>
  <c r="C115" i="26" s="1"/>
  <c r="E79" i="25"/>
  <c r="G79" i="25" s="1"/>
  <c r="C79" i="26" s="1"/>
  <c r="E86" i="25"/>
  <c r="G86" i="25" s="1"/>
  <c r="C86" i="26" s="1"/>
  <c r="E39" i="25"/>
  <c r="G39" i="25" s="1"/>
  <c r="C39" i="26" s="1"/>
  <c r="E76" i="25"/>
  <c r="G76" i="25" s="1"/>
  <c r="C76" i="26" s="1"/>
  <c r="E129" i="25"/>
  <c r="G129" i="25" s="1"/>
  <c r="C129" i="26" s="1"/>
  <c r="E9" i="25"/>
  <c r="G9" i="25" s="1"/>
  <c r="C9" i="26" s="1"/>
  <c r="E176" i="25"/>
  <c r="G176" i="25" s="1"/>
  <c r="C176" i="26" s="1"/>
  <c r="E112" i="25"/>
  <c r="G112" i="25" s="1"/>
  <c r="C112" i="26" s="1"/>
  <c r="E8" i="25"/>
  <c r="G8" i="25" s="1"/>
  <c r="C8" i="26" s="1"/>
  <c r="E68" i="25"/>
  <c r="G68" i="25" s="1"/>
  <c r="C68" i="26" s="1"/>
  <c r="E143" i="25"/>
  <c r="G143" i="25" s="1"/>
  <c r="C143" i="26" s="1"/>
  <c r="E57" i="25"/>
  <c r="G57" i="25" s="1"/>
  <c r="C57" i="26" s="1"/>
  <c r="E200" i="25"/>
  <c r="G200" i="25" s="1"/>
  <c r="C200" i="26" s="1"/>
  <c r="E134" i="25"/>
  <c r="G134" i="25" s="1"/>
  <c r="C134" i="26" s="1"/>
  <c r="E64" i="25"/>
  <c r="G64" i="25" s="1"/>
  <c r="C64" i="26" s="1"/>
  <c r="E45" i="25"/>
  <c r="G45" i="25" s="1"/>
  <c r="C45" i="26" s="1"/>
  <c r="E157" i="25"/>
  <c r="G157" i="25" s="1"/>
  <c r="C157" i="26" s="1"/>
  <c r="E92" i="25"/>
  <c r="G92" i="25" s="1"/>
  <c r="C92" i="26" s="1"/>
  <c r="E14" i="25"/>
  <c r="G14" i="25" s="1"/>
  <c r="C14" i="26" s="1"/>
  <c r="E180" i="25"/>
  <c r="G180" i="25" s="1"/>
  <c r="C180" i="26" s="1"/>
  <c r="E116" i="25"/>
  <c r="G116" i="25" s="1"/>
  <c r="C116" i="26" s="1"/>
  <c r="E44" i="25"/>
  <c r="G44" i="25" s="1"/>
  <c r="C44" i="26" s="1"/>
  <c r="E43" i="25"/>
  <c r="G43" i="25" s="1"/>
  <c r="C43" i="26" s="1"/>
  <c r="E139" i="25"/>
  <c r="G139" i="25" s="1"/>
  <c r="C139" i="26" s="1"/>
  <c r="E107" i="25"/>
  <c r="G107" i="25" s="1"/>
  <c r="C107" i="26" s="1"/>
  <c r="E186" i="25"/>
  <c r="G186" i="25" s="1"/>
  <c r="C186" i="26" s="1"/>
  <c r="E69" i="25"/>
  <c r="G69" i="25" s="1"/>
  <c r="C69" i="26" s="1"/>
  <c r="K212" i="30"/>
  <c r="K215" i="30" s="1"/>
  <c r="M13" i="9"/>
  <c r="E120" i="26"/>
  <c r="G120" i="26" s="1"/>
  <c r="C120" i="27" s="1"/>
  <c r="E78" i="25"/>
  <c r="G78" i="25" s="1"/>
  <c r="C78" i="26" s="1"/>
  <c r="E65" i="25"/>
  <c r="G65" i="25" s="1"/>
  <c r="C65" i="26" s="1"/>
  <c r="E162" i="25"/>
  <c r="G162" i="25" s="1"/>
  <c r="C162" i="26" s="1"/>
  <c r="E36" i="25"/>
  <c r="G36" i="25" s="1"/>
  <c r="C36" i="26" s="1"/>
  <c r="E32" i="25"/>
  <c r="G32" i="25" s="1"/>
  <c r="C32" i="26" s="1"/>
  <c r="K212" i="33"/>
  <c r="K212" i="32"/>
  <c r="K212" i="31"/>
  <c r="K212" i="29"/>
  <c r="K212" i="28"/>
  <c r="K212" i="27"/>
  <c r="K212" i="26"/>
  <c r="K212" i="25"/>
  <c r="K212" i="24"/>
  <c r="K212" i="23"/>
  <c r="K212" i="22"/>
  <c r="C177" i="26" l="1"/>
  <c r="E177" i="26" s="1"/>
  <c r="G177" i="26" s="1"/>
  <c r="C177" i="27" s="1"/>
  <c r="E177" i="27" s="1"/>
  <c r="G177" i="27" s="1"/>
  <c r="C177" i="28" s="1"/>
  <c r="C175" i="26"/>
  <c r="E175" i="26" s="1"/>
  <c r="G175" i="26" s="1"/>
  <c r="C175" i="27" s="1"/>
  <c r="E175" i="27" s="1"/>
  <c r="G175" i="27" s="1"/>
  <c r="C175" i="28" s="1"/>
  <c r="C84" i="26"/>
  <c r="E84" i="26" s="1"/>
  <c r="G84" i="26" s="1"/>
  <c r="C84" i="27" s="1"/>
  <c r="E84" i="27" s="1"/>
  <c r="G84" i="27" s="1"/>
  <c r="C84" i="28" s="1"/>
  <c r="E43" i="26"/>
  <c r="G43" i="26" s="1"/>
  <c r="C43" i="27" s="1"/>
  <c r="E176" i="26"/>
  <c r="G176" i="26" s="1"/>
  <c r="C176" i="27" s="1"/>
  <c r="E133" i="26"/>
  <c r="G133" i="26" s="1"/>
  <c r="C133" i="27" s="1"/>
  <c r="E199" i="26"/>
  <c r="G199" i="26" s="1"/>
  <c r="C199" i="27" s="1"/>
  <c r="E33" i="26"/>
  <c r="G33" i="26" s="1"/>
  <c r="C33" i="27" s="1"/>
  <c r="E160" i="26"/>
  <c r="G160" i="26" s="1"/>
  <c r="C160" i="27" s="1"/>
  <c r="E99" i="26"/>
  <c r="G99" i="26" s="1"/>
  <c r="C99" i="27" s="1"/>
  <c r="E182" i="26"/>
  <c r="G182" i="26" s="1"/>
  <c r="C182" i="27" s="1"/>
  <c r="E22" i="26"/>
  <c r="G22" i="26" s="1"/>
  <c r="C22" i="27" s="1"/>
  <c r="E71" i="26"/>
  <c r="G71" i="26" s="1"/>
  <c r="C71" i="27" s="1"/>
  <c r="E126" i="26"/>
  <c r="G126" i="26" s="1"/>
  <c r="C126" i="27" s="1"/>
  <c r="E168" i="26"/>
  <c r="G168" i="26" s="1"/>
  <c r="C168" i="27" s="1"/>
  <c r="E121" i="26"/>
  <c r="G121" i="26" s="1"/>
  <c r="C121" i="27" s="1"/>
  <c r="E117" i="26"/>
  <c r="G117" i="26" s="1"/>
  <c r="C117" i="27" s="1"/>
  <c r="E190" i="26"/>
  <c r="G190" i="26" s="1"/>
  <c r="C190" i="27" s="1"/>
  <c r="E48" i="26"/>
  <c r="G48" i="26" s="1"/>
  <c r="C48" i="27" s="1"/>
  <c r="E171" i="26"/>
  <c r="G171" i="26" s="1"/>
  <c r="C171" i="27" s="1"/>
  <c r="E105" i="26"/>
  <c r="G105" i="26" s="1"/>
  <c r="C105" i="27" s="1"/>
  <c r="E111" i="26"/>
  <c r="G111" i="26" s="1"/>
  <c r="C111" i="27" s="1"/>
  <c r="E144" i="26"/>
  <c r="G144" i="26" s="1"/>
  <c r="C144" i="27" s="1"/>
  <c r="E161" i="26"/>
  <c r="G161" i="26" s="1"/>
  <c r="C161" i="27" s="1"/>
  <c r="E24" i="26"/>
  <c r="G24" i="26" s="1"/>
  <c r="C24" i="27" s="1"/>
  <c r="E64" i="26"/>
  <c r="G64" i="26" s="1"/>
  <c r="C64" i="27" s="1"/>
  <c r="E147" i="26"/>
  <c r="G147" i="26" s="1"/>
  <c r="C147" i="27" s="1"/>
  <c r="E142" i="26"/>
  <c r="G142" i="26" s="1"/>
  <c r="C142" i="27" s="1"/>
  <c r="E124" i="26"/>
  <c r="G124" i="26" s="1"/>
  <c r="C124" i="27" s="1"/>
  <c r="E137" i="26"/>
  <c r="G137" i="26" s="1"/>
  <c r="C137" i="27" s="1"/>
  <c r="E67" i="26"/>
  <c r="G67" i="26" s="1"/>
  <c r="C67" i="27" s="1"/>
  <c r="E195" i="26"/>
  <c r="G195" i="26" s="1"/>
  <c r="C195" i="27" s="1"/>
  <c r="E44" i="26"/>
  <c r="G44" i="26" s="1"/>
  <c r="C44" i="27" s="1"/>
  <c r="E134" i="26"/>
  <c r="G134" i="26" s="1"/>
  <c r="C134" i="27" s="1"/>
  <c r="E9" i="26"/>
  <c r="G9" i="26" s="1"/>
  <c r="C9" i="27" s="1"/>
  <c r="E179" i="26"/>
  <c r="G179" i="26" s="1"/>
  <c r="C179" i="27" s="1"/>
  <c r="E56" i="26"/>
  <c r="G56" i="26" s="1"/>
  <c r="C56" i="27" s="1"/>
  <c r="E169" i="26"/>
  <c r="G169" i="26" s="1"/>
  <c r="C169" i="27" s="1"/>
  <c r="E34" i="26"/>
  <c r="G34" i="26" s="1"/>
  <c r="C34" i="27" s="1"/>
  <c r="E152" i="26"/>
  <c r="G152" i="26" s="1"/>
  <c r="C152" i="27" s="1"/>
  <c r="E109" i="26"/>
  <c r="G109" i="26" s="1"/>
  <c r="C109" i="27" s="1"/>
  <c r="E138" i="26"/>
  <c r="G138" i="26" s="1"/>
  <c r="C138" i="27" s="1"/>
  <c r="E145" i="26"/>
  <c r="G145" i="26" s="1"/>
  <c r="C145" i="27" s="1"/>
  <c r="E52" i="26"/>
  <c r="G52" i="26" s="1"/>
  <c r="C52" i="27" s="1"/>
  <c r="E97" i="26"/>
  <c r="G97" i="26" s="1"/>
  <c r="C97" i="27" s="1"/>
  <c r="E16" i="26"/>
  <c r="G16" i="26" s="1"/>
  <c r="C16" i="27" s="1"/>
  <c r="E17" i="26"/>
  <c r="G17" i="26" s="1"/>
  <c r="C17" i="27" s="1"/>
  <c r="E128" i="26"/>
  <c r="G128" i="26" s="1"/>
  <c r="C128" i="27" s="1"/>
  <c r="E153" i="26"/>
  <c r="G153" i="26" s="1"/>
  <c r="C153" i="27" s="1"/>
  <c r="E5" i="26"/>
  <c r="G5" i="26" s="1"/>
  <c r="E163" i="26"/>
  <c r="G163" i="26" s="1"/>
  <c r="C163" i="27" s="1"/>
  <c r="E108" i="26"/>
  <c r="G108" i="26" s="1"/>
  <c r="C108" i="27" s="1"/>
  <c r="E149" i="26"/>
  <c r="G149" i="26" s="1"/>
  <c r="C149" i="27" s="1"/>
  <c r="E158" i="26"/>
  <c r="G158" i="26" s="1"/>
  <c r="C158" i="27" s="1"/>
  <c r="E146" i="26"/>
  <c r="G146" i="26" s="1"/>
  <c r="C146" i="27" s="1"/>
  <c r="E202" i="26"/>
  <c r="G202" i="26" s="1"/>
  <c r="C202" i="27" s="1"/>
  <c r="E203" i="26"/>
  <c r="G203" i="26" s="1"/>
  <c r="C203" i="27" s="1"/>
  <c r="E140" i="26"/>
  <c r="G140" i="26" s="1"/>
  <c r="C140" i="27" s="1"/>
  <c r="E181" i="26"/>
  <c r="G181" i="26" s="1"/>
  <c r="C181" i="27" s="1"/>
  <c r="E35" i="26"/>
  <c r="G35" i="26" s="1"/>
  <c r="C35" i="27" s="1"/>
  <c r="E103" i="26"/>
  <c r="G103" i="26" s="1"/>
  <c r="C103" i="27" s="1"/>
  <c r="E12" i="26"/>
  <c r="G12" i="26" s="1"/>
  <c r="C12" i="27" s="1"/>
  <c r="E54" i="26"/>
  <c r="G54" i="26" s="1"/>
  <c r="C54" i="27" s="1"/>
  <c r="E101" i="26"/>
  <c r="G101" i="26" s="1"/>
  <c r="C101" i="27" s="1"/>
  <c r="E183" i="26"/>
  <c r="G183" i="26" s="1"/>
  <c r="C183" i="27" s="1"/>
  <c r="E37" i="26"/>
  <c r="G37" i="26" s="1"/>
  <c r="E38" i="26"/>
  <c r="G38" i="26" s="1"/>
  <c r="E69" i="26"/>
  <c r="G69" i="26" s="1"/>
  <c r="E143" i="26"/>
  <c r="G143" i="26" s="1"/>
  <c r="C143" i="27" s="1"/>
  <c r="E91" i="26"/>
  <c r="G91" i="26" s="1"/>
  <c r="C91" i="27" s="1"/>
  <c r="E104" i="26"/>
  <c r="G104" i="26" s="1"/>
  <c r="C104" i="27" s="1"/>
  <c r="E15" i="26"/>
  <c r="G15" i="26" s="1"/>
  <c r="C15" i="27" s="1"/>
  <c r="E83" i="26"/>
  <c r="G83" i="26" s="1"/>
  <c r="C83" i="27" s="1"/>
  <c r="E51" i="26"/>
  <c r="G51" i="26" s="1"/>
  <c r="C51" i="27" s="1"/>
  <c r="E131" i="26"/>
  <c r="G131" i="26" s="1"/>
  <c r="C131" i="27" s="1"/>
  <c r="E186" i="26"/>
  <c r="G186" i="26" s="1"/>
  <c r="C186" i="27" s="1"/>
  <c r="E92" i="26"/>
  <c r="G92" i="26" s="1"/>
  <c r="C92" i="27" s="1"/>
  <c r="E68" i="26"/>
  <c r="G68" i="26" s="1"/>
  <c r="C68" i="27" s="1"/>
  <c r="E86" i="26"/>
  <c r="G86" i="26" s="1"/>
  <c r="C86" i="27" s="1"/>
  <c r="E156" i="26"/>
  <c r="G156" i="26" s="1"/>
  <c r="C156" i="27" s="1"/>
  <c r="E165" i="26"/>
  <c r="G165" i="26" s="1"/>
  <c r="C165" i="27" s="1"/>
  <c r="E18" i="26"/>
  <c r="G18" i="26" s="1"/>
  <c r="C18" i="27" s="1"/>
  <c r="E188" i="26"/>
  <c r="G188" i="26" s="1"/>
  <c r="C188" i="27" s="1"/>
  <c r="E119" i="26"/>
  <c r="G119" i="26" s="1"/>
  <c r="C119" i="27" s="1"/>
  <c r="E123" i="26"/>
  <c r="G123" i="26" s="1"/>
  <c r="C123" i="27" s="1"/>
  <c r="E150" i="26"/>
  <c r="G150" i="26" s="1"/>
  <c r="C150" i="27" s="1"/>
  <c r="E192" i="26"/>
  <c r="G192" i="26" s="1"/>
  <c r="C192" i="27" s="1"/>
  <c r="E164" i="26"/>
  <c r="G164" i="26" s="1"/>
  <c r="C164" i="27" s="1"/>
  <c r="E116" i="26"/>
  <c r="G116" i="26" s="1"/>
  <c r="C116" i="27" s="1"/>
  <c r="E79" i="26"/>
  <c r="G79" i="26" s="1"/>
  <c r="C79" i="27" s="1"/>
  <c r="E74" i="26"/>
  <c r="G74" i="26" s="1"/>
  <c r="C74" i="27" s="1"/>
  <c r="E110" i="26"/>
  <c r="G110" i="26" s="1"/>
  <c r="C110" i="27" s="1"/>
  <c r="E60" i="26"/>
  <c r="G60" i="26" s="1"/>
  <c r="C60" i="27" s="1"/>
  <c r="E90" i="26"/>
  <c r="G90" i="26" s="1"/>
  <c r="C90" i="27" s="1"/>
  <c r="E30" i="26"/>
  <c r="G30" i="26" s="1"/>
  <c r="C30" i="27" s="1"/>
  <c r="E113" i="26"/>
  <c r="G113" i="26" s="1"/>
  <c r="C113" i="27" s="1"/>
  <c r="E172" i="26"/>
  <c r="G172" i="26" s="1"/>
  <c r="C172" i="27" s="1"/>
  <c r="E130" i="26"/>
  <c r="G130" i="26" s="1"/>
  <c r="C130" i="27" s="1"/>
  <c r="E166" i="26"/>
  <c r="G166" i="26" s="1"/>
  <c r="C166" i="27" s="1"/>
  <c r="E107" i="26"/>
  <c r="G107" i="26" s="1"/>
  <c r="C107" i="27" s="1"/>
  <c r="E8" i="26"/>
  <c r="G8" i="26" s="1"/>
  <c r="C8" i="27" s="1"/>
  <c r="E194" i="26"/>
  <c r="G194" i="26" s="1"/>
  <c r="C194" i="27" s="1"/>
  <c r="E21" i="26"/>
  <c r="G21" i="26" s="1"/>
  <c r="C21" i="27" s="1"/>
  <c r="E193" i="26"/>
  <c r="G193" i="26" s="1"/>
  <c r="C193" i="27" s="1"/>
  <c r="E27" i="26"/>
  <c r="G27" i="26" s="1"/>
  <c r="C27" i="27" s="1"/>
  <c r="E42" i="26"/>
  <c r="G42" i="26" s="1"/>
  <c r="C42" i="27" s="1"/>
  <c r="E47" i="26"/>
  <c r="G47" i="26" s="1"/>
  <c r="C47" i="27" s="1"/>
  <c r="E127" i="26"/>
  <c r="G127" i="26" s="1"/>
  <c r="C127" i="27" s="1"/>
  <c r="E197" i="26"/>
  <c r="G197" i="26" s="1"/>
  <c r="C197" i="27" s="1"/>
  <c r="E23" i="26"/>
  <c r="G23" i="26" s="1"/>
  <c r="E58" i="26"/>
  <c r="G58" i="26" s="1"/>
  <c r="C58" i="27" s="1"/>
  <c r="E154" i="26"/>
  <c r="G154" i="26" s="1"/>
  <c r="C154" i="27" s="1"/>
  <c r="E89" i="26"/>
  <c r="G89" i="26" s="1"/>
  <c r="C89" i="27" s="1"/>
  <c r="E170" i="26"/>
  <c r="G170" i="26" s="1"/>
  <c r="C170" i="27" s="1"/>
  <c r="E135" i="26"/>
  <c r="G135" i="26" s="1"/>
  <c r="C135" i="27" s="1"/>
  <c r="E80" i="26"/>
  <c r="G80" i="26" s="1"/>
  <c r="C80" i="27" s="1"/>
  <c r="E125" i="26"/>
  <c r="G125" i="26" s="1"/>
  <c r="C125" i="27" s="1"/>
  <c r="E6" i="26"/>
  <c r="G6" i="26" s="1"/>
  <c r="C6" i="27" s="1"/>
  <c r="E50" i="26"/>
  <c r="G50" i="26" s="1"/>
  <c r="C50" i="27" s="1"/>
  <c r="E81" i="26"/>
  <c r="G81" i="26" s="1"/>
  <c r="C81" i="27" s="1"/>
  <c r="E157" i="26"/>
  <c r="G157" i="26" s="1"/>
  <c r="C157" i="27" s="1"/>
  <c r="E129" i="26"/>
  <c r="G129" i="26" s="1"/>
  <c r="C129" i="27" s="1"/>
  <c r="E41" i="26"/>
  <c r="G41" i="26" s="1"/>
  <c r="E25" i="26"/>
  <c r="G25" i="26" s="1"/>
  <c r="C25" i="27" s="1"/>
  <c r="E132" i="26"/>
  <c r="G132" i="26" s="1"/>
  <c r="C132" i="27" s="1"/>
  <c r="E20" i="26"/>
  <c r="G20" i="26" s="1"/>
  <c r="C20" i="27" s="1"/>
  <c r="E85" i="26"/>
  <c r="G85" i="26" s="1"/>
  <c r="C85" i="27" s="1"/>
  <c r="E139" i="26"/>
  <c r="G139" i="26" s="1"/>
  <c r="C139" i="27" s="1"/>
  <c r="E45" i="26"/>
  <c r="G45" i="26" s="1"/>
  <c r="E112" i="26"/>
  <c r="G112" i="26" s="1"/>
  <c r="C112" i="27" s="1"/>
  <c r="E53" i="26"/>
  <c r="G53" i="26" s="1"/>
  <c r="C53" i="27" s="1"/>
  <c r="E73" i="26"/>
  <c r="G73" i="26" s="1"/>
  <c r="C73" i="27" s="1"/>
  <c r="E19" i="26"/>
  <c r="G19" i="26" s="1"/>
  <c r="C19" i="27" s="1"/>
  <c r="E100" i="26"/>
  <c r="G100" i="26" s="1"/>
  <c r="C100" i="27" s="1"/>
  <c r="E7" i="26"/>
  <c r="G7" i="26" s="1"/>
  <c r="C7" i="27" s="1"/>
  <c r="E198" i="26"/>
  <c r="G198" i="26" s="1"/>
  <c r="C198" i="27" s="1"/>
  <c r="E94" i="26"/>
  <c r="G94" i="26" s="1"/>
  <c r="C94" i="27" s="1"/>
  <c r="E29" i="26"/>
  <c r="G29" i="26" s="1"/>
  <c r="C29" i="27" s="1"/>
  <c r="E155" i="26"/>
  <c r="G155" i="26" s="1"/>
  <c r="C155" i="27" s="1"/>
  <c r="E62" i="26"/>
  <c r="G62" i="26" s="1"/>
  <c r="C62" i="27" s="1"/>
  <c r="E72" i="26"/>
  <c r="G72" i="26" s="1"/>
  <c r="C72" i="27" s="1"/>
  <c r="E201" i="26"/>
  <c r="G201" i="26" s="1"/>
  <c r="C201" i="27" s="1"/>
  <c r="E185" i="26"/>
  <c r="G185" i="26" s="1"/>
  <c r="C185" i="27" s="1"/>
  <c r="E87" i="26"/>
  <c r="G87" i="26" s="1"/>
  <c r="C87" i="27" s="1"/>
  <c r="E98" i="26"/>
  <c r="G98" i="26" s="1"/>
  <c r="C98" i="27" s="1"/>
  <c r="E196" i="26"/>
  <c r="G196" i="26" s="1"/>
  <c r="C196" i="27" s="1"/>
  <c r="E88" i="26"/>
  <c r="G88" i="26" s="1"/>
  <c r="C88" i="27" s="1"/>
  <c r="E55" i="26"/>
  <c r="G55" i="26" s="1"/>
  <c r="C55" i="27" s="1"/>
  <c r="E102" i="26"/>
  <c r="G102" i="26" s="1"/>
  <c r="C102" i="27" s="1"/>
  <c r="E136" i="26"/>
  <c r="G136" i="26" s="1"/>
  <c r="C136" i="27" s="1"/>
  <c r="E40" i="26"/>
  <c r="G40" i="26" s="1"/>
  <c r="C40" i="27" s="1"/>
  <c r="E61" i="26"/>
  <c r="G61" i="26" s="1"/>
  <c r="C61" i="27" s="1"/>
  <c r="E46" i="26"/>
  <c r="G46" i="26" s="1"/>
  <c r="C46" i="27" s="1"/>
  <c r="E93" i="26"/>
  <c r="G93" i="26" s="1"/>
  <c r="C93" i="27" s="1"/>
  <c r="E11" i="26"/>
  <c r="G11" i="26" s="1"/>
  <c r="C11" i="27" s="1"/>
  <c r="E70" i="26"/>
  <c r="G70" i="26" s="1"/>
  <c r="C70" i="27" s="1"/>
  <c r="E148" i="26"/>
  <c r="G148" i="26" s="1"/>
  <c r="C148" i="27" s="1"/>
  <c r="E189" i="26"/>
  <c r="G189" i="26" s="1"/>
  <c r="C189" i="27" s="1"/>
  <c r="E178" i="26"/>
  <c r="G178" i="26" s="1"/>
  <c r="C178" i="27" s="1"/>
  <c r="E66" i="26"/>
  <c r="G66" i="26" s="1"/>
  <c r="E96" i="26"/>
  <c r="G96" i="26" s="1"/>
  <c r="C96" i="27" s="1"/>
  <c r="E28" i="26"/>
  <c r="G28" i="26" s="1"/>
  <c r="C28" i="27" s="1"/>
  <c r="E200" i="26"/>
  <c r="G200" i="26" s="1"/>
  <c r="C200" i="27" s="1"/>
  <c r="E10" i="26"/>
  <c r="G10" i="26" s="1"/>
  <c r="C10" i="27" s="1"/>
  <c r="E184" i="26"/>
  <c r="G184" i="26" s="1"/>
  <c r="C184" i="27" s="1"/>
  <c r="E191" i="26"/>
  <c r="G191" i="26" s="1"/>
  <c r="C191" i="27" s="1"/>
  <c r="E173" i="26"/>
  <c r="G173" i="26" s="1"/>
  <c r="C173" i="27" s="1"/>
  <c r="E122" i="26"/>
  <c r="G122" i="26" s="1"/>
  <c r="C122" i="27" s="1"/>
  <c r="E180" i="26"/>
  <c r="G180" i="26" s="1"/>
  <c r="C180" i="27" s="1"/>
  <c r="E57" i="26"/>
  <c r="G57" i="26" s="1"/>
  <c r="C57" i="27" s="1"/>
  <c r="E76" i="26"/>
  <c r="G76" i="26" s="1"/>
  <c r="E115" i="26"/>
  <c r="G115" i="26" s="1"/>
  <c r="C115" i="27" s="1"/>
  <c r="E63" i="26"/>
  <c r="G63" i="26" s="1"/>
  <c r="C63" i="27" s="1"/>
  <c r="E151" i="26"/>
  <c r="G151" i="26" s="1"/>
  <c r="C151" i="27" s="1"/>
  <c r="E31" i="26"/>
  <c r="G31" i="26" s="1"/>
  <c r="C31" i="27" s="1"/>
  <c r="E174" i="26"/>
  <c r="G174" i="26" s="1"/>
  <c r="C174" i="27" s="1"/>
  <c r="E59" i="26"/>
  <c r="G59" i="26" s="1"/>
  <c r="C59" i="27" s="1"/>
  <c r="E106" i="26"/>
  <c r="G106" i="26" s="1"/>
  <c r="C106" i="27" s="1"/>
  <c r="E95" i="26"/>
  <c r="G95" i="26" s="1"/>
  <c r="C95" i="27" s="1"/>
  <c r="E77" i="26"/>
  <c r="G77" i="26" s="1"/>
  <c r="C77" i="27" s="1"/>
  <c r="E118" i="26"/>
  <c r="G118" i="26" s="1"/>
  <c r="C118" i="27" s="1"/>
  <c r="E14" i="26"/>
  <c r="G14" i="26" s="1"/>
  <c r="C14" i="27" s="1"/>
  <c r="E39" i="26"/>
  <c r="G39" i="26" s="1"/>
  <c r="E114" i="26"/>
  <c r="G114" i="26" s="1"/>
  <c r="C114" i="27" s="1"/>
  <c r="E75" i="26"/>
  <c r="G75" i="26" s="1"/>
  <c r="C75" i="27" s="1"/>
  <c r="E159" i="26"/>
  <c r="G159" i="26" s="1"/>
  <c r="C159" i="27" s="1"/>
  <c r="E187" i="26"/>
  <c r="G187" i="26" s="1"/>
  <c r="C187" i="27" s="1"/>
  <c r="E141" i="26"/>
  <c r="G141" i="26" s="1"/>
  <c r="C141" i="27" s="1"/>
  <c r="E49" i="26"/>
  <c r="G49" i="26" s="1"/>
  <c r="C49" i="27" s="1"/>
  <c r="E82" i="26"/>
  <c r="G82" i="26" s="1"/>
  <c r="C82" i="27" s="1"/>
  <c r="E167" i="26"/>
  <c r="G167" i="26" s="1"/>
  <c r="C167" i="27" s="1"/>
  <c r="E13" i="26"/>
  <c r="G13" i="26" s="1"/>
  <c r="C13" i="27" s="1"/>
  <c r="E26" i="26"/>
  <c r="G26" i="26" s="1"/>
  <c r="C26" i="27" s="1"/>
  <c r="E120" i="27"/>
  <c r="G120" i="27" s="1"/>
  <c r="C120" i="28" s="1"/>
  <c r="K214" i="30"/>
  <c r="K217" i="30" s="1"/>
  <c r="E78" i="26"/>
  <c r="G78" i="26" s="1"/>
  <c r="C78" i="27" s="1"/>
  <c r="E65" i="26"/>
  <c r="G65" i="26" s="1"/>
  <c r="C65" i="27" s="1"/>
  <c r="E162" i="26"/>
  <c r="G162" i="26" s="1"/>
  <c r="C162" i="27" s="1"/>
  <c r="E36" i="26"/>
  <c r="G36" i="26" s="1"/>
  <c r="C36" i="27" s="1"/>
  <c r="E32" i="26"/>
  <c r="G32" i="26" s="1"/>
  <c r="C32" i="27" s="1"/>
  <c r="K215" i="33"/>
  <c r="K214" i="33"/>
  <c r="K217" i="33" s="1"/>
  <c r="K215" i="32"/>
  <c r="K214" i="32"/>
  <c r="K217" i="32" s="1"/>
  <c r="K215" i="31"/>
  <c r="K214" i="31"/>
  <c r="K217" i="31" s="1"/>
  <c r="K215" i="29"/>
  <c r="K214" i="29"/>
  <c r="K217" i="29" s="1"/>
  <c r="K215" i="28"/>
  <c r="K214" i="28"/>
  <c r="K217" i="28" s="1"/>
  <c r="K215" i="27"/>
  <c r="K214" i="27"/>
  <c r="K217" i="27" s="1"/>
  <c r="K215" i="26"/>
  <c r="K214" i="26"/>
  <c r="K217" i="26" s="1"/>
  <c r="K215" i="25"/>
  <c r="K214" i="25"/>
  <c r="K217" i="25" s="1"/>
  <c r="K215" i="24"/>
  <c r="K214" i="24"/>
  <c r="K217" i="24" s="1"/>
  <c r="K215" i="23"/>
  <c r="K214" i="23"/>
  <c r="K217" i="23" s="1"/>
  <c r="K215" i="22"/>
  <c r="K214" i="22"/>
  <c r="K217" i="22" s="1"/>
  <c r="C38" i="27" l="1"/>
  <c r="E38" i="27" s="1"/>
  <c r="G38" i="27" s="1"/>
  <c r="C37" i="27"/>
  <c r="E37" i="27" s="1"/>
  <c r="G37" i="27" s="1"/>
  <c r="E66" i="27"/>
  <c r="G66" i="27" s="1"/>
  <c r="C66" i="27"/>
  <c r="C39" i="27"/>
  <c r="E39" i="27" s="1"/>
  <c r="G39" i="27" s="1"/>
  <c r="C76" i="27"/>
  <c r="E76" i="27" s="1"/>
  <c r="G76" i="27" s="1"/>
  <c r="C41" i="27"/>
  <c r="E41" i="27" s="1"/>
  <c r="G41" i="27" s="1"/>
  <c r="C23" i="27"/>
  <c r="E23" i="27" s="1"/>
  <c r="G23" i="27" s="1"/>
  <c r="C45" i="27"/>
  <c r="E45" i="27" s="1"/>
  <c r="G45" i="27" s="1"/>
  <c r="C69" i="27"/>
  <c r="E69" i="27" s="1"/>
  <c r="G69" i="27" s="1"/>
  <c r="C5" i="27"/>
  <c r="E5" i="27" s="1"/>
  <c r="G5" i="27" s="1"/>
  <c r="E95" i="27"/>
  <c r="G95" i="27" s="1"/>
  <c r="C95" i="28" s="1"/>
  <c r="E155" i="27"/>
  <c r="G155" i="27" s="1"/>
  <c r="C155" i="28" s="1"/>
  <c r="E135" i="27"/>
  <c r="G135" i="27" s="1"/>
  <c r="C135" i="28" s="1"/>
  <c r="E74" i="27"/>
  <c r="G74" i="27" s="1"/>
  <c r="C74" i="28" s="1"/>
  <c r="E131" i="27"/>
  <c r="G131" i="27" s="1"/>
  <c r="C131" i="28" s="1"/>
  <c r="E145" i="27"/>
  <c r="G145" i="27" s="1"/>
  <c r="C145" i="28" s="1"/>
  <c r="E75" i="27"/>
  <c r="G75" i="27" s="1"/>
  <c r="C75" i="28" s="1"/>
  <c r="E180" i="27"/>
  <c r="G180" i="27" s="1"/>
  <c r="C180" i="28" s="1"/>
  <c r="E46" i="27"/>
  <c r="G46" i="27" s="1"/>
  <c r="C46" i="28" s="1"/>
  <c r="E94" i="27"/>
  <c r="G94" i="27" s="1"/>
  <c r="C94" i="28" s="1"/>
  <c r="E157" i="27"/>
  <c r="G157" i="27" s="1"/>
  <c r="C157" i="28" s="1"/>
  <c r="E89" i="27"/>
  <c r="G89" i="27" s="1"/>
  <c r="C89" i="28" s="1"/>
  <c r="E27" i="27"/>
  <c r="G27" i="27" s="1"/>
  <c r="C27" i="28" s="1"/>
  <c r="E172" i="27"/>
  <c r="G172" i="27" s="1"/>
  <c r="C172" i="28" s="1"/>
  <c r="E116" i="27"/>
  <c r="G116" i="27" s="1"/>
  <c r="C116" i="28" s="1"/>
  <c r="E165" i="27"/>
  <c r="G165" i="27" s="1"/>
  <c r="C165" i="28" s="1"/>
  <c r="E83" i="27"/>
  <c r="G83" i="27" s="1"/>
  <c r="C83" i="28" s="1"/>
  <c r="E183" i="27"/>
  <c r="G183" i="27" s="1"/>
  <c r="C183" i="28" s="1"/>
  <c r="E203" i="27"/>
  <c r="G203" i="27" s="1"/>
  <c r="C203" i="28" s="1"/>
  <c r="E153" i="27"/>
  <c r="G153" i="27" s="1"/>
  <c r="C153" i="28" s="1"/>
  <c r="E109" i="27"/>
  <c r="G109" i="27" s="1"/>
  <c r="C109" i="28" s="1"/>
  <c r="E44" i="27"/>
  <c r="G44" i="27" s="1"/>
  <c r="C44" i="28" s="1"/>
  <c r="E24" i="27"/>
  <c r="G24" i="27" s="1"/>
  <c r="C24" i="28" s="1"/>
  <c r="E117" i="27"/>
  <c r="G117" i="27" s="1"/>
  <c r="C117" i="28" s="1"/>
  <c r="E160" i="27"/>
  <c r="G160" i="27" s="1"/>
  <c r="C160" i="28" s="1"/>
  <c r="E166" i="27"/>
  <c r="G166" i="27" s="1"/>
  <c r="C166" i="28" s="1"/>
  <c r="E188" i="27"/>
  <c r="G188" i="27" s="1"/>
  <c r="C188" i="28" s="1"/>
  <c r="E163" i="27"/>
  <c r="G163" i="27" s="1"/>
  <c r="C163" i="28" s="1"/>
  <c r="E26" i="27"/>
  <c r="G26" i="27" s="1"/>
  <c r="C26" i="28" s="1"/>
  <c r="E59" i="27"/>
  <c r="G59" i="27" s="1"/>
  <c r="C59" i="28" s="1"/>
  <c r="E96" i="27"/>
  <c r="G96" i="27" s="1"/>
  <c r="C96" i="28" s="1"/>
  <c r="E98" i="27"/>
  <c r="G98" i="27" s="1"/>
  <c r="C98" i="28" s="1"/>
  <c r="E13" i="27"/>
  <c r="G13" i="27" s="1"/>
  <c r="C13" i="28" s="1"/>
  <c r="E114" i="27"/>
  <c r="G114" i="27" s="1"/>
  <c r="C114" i="28" s="1"/>
  <c r="E174" i="27"/>
  <c r="G174" i="27" s="1"/>
  <c r="C174" i="28" s="1"/>
  <c r="E122" i="27"/>
  <c r="G122" i="27" s="1"/>
  <c r="C122" i="28" s="1"/>
  <c r="E61" i="27"/>
  <c r="G61" i="27" s="1"/>
  <c r="C61" i="28" s="1"/>
  <c r="E87" i="27"/>
  <c r="G87" i="27" s="1"/>
  <c r="C87" i="28" s="1"/>
  <c r="E198" i="27"/>
  <c r="G198" i="27" s="1"/>
  <c r="C198" i="28" s="1"/>
  <c r="E139" i="27"/>
  <c r="G139" i="27" s="1"/>
  <c r="C139" i="28" s="1"/>
  <c r="E81" i="27"/>
  <c r="G81" i="27" s="1"/>
  <c r="E154" i="27"/>
  <c r="G154" i="27" s="1"/>
  <c r="C154" i="28" s="1"/>
  <c r="E193" i="27"/>
  <c r="G193" i="27" s="1"/>
  <c r="E113" i="27"/>
  <c r="G113" i="27" s="1"/>
  <c r="C113" i="28" s="1"/>
  <c r="E164" i="27"/>
  <c r="G164" i="27" s="1"/>
  <c r="C164" i="28" s="1"/>
  <c r="E156" i="27"/>
  <c r="G156" i="27" s="1"/>
  <c r="C156" i="28" s="1"/>
  <c r="E15" i="27"/>
  <c r="G15" i="27" s="1"/>
  <c r="C15" i="28" s="1"/>
  <c r="E101" i="27"/>
  <c r="G101" i="27" s="1"/>
  <c r="C101" i="28" s="1"/>
  <c r="E202" i="27"/>
  <c r="G202" i="27" s="1"/>
  <c r="C202" i="28" s="1"/>
  <c r="E128" i="27"/>
  <c r="G128" i="27" s="1"/>
  <c r="C128" i="28" s="1"/>
  <c r="E152" i="27"/>
  <c r="G152" i="27" s="1"/>
  <c r="C152" i="28" s="1"/>
  <c r="E195" i="27"/>
  <c r="G195" i="27" s="1"/>
  <c r="C195" i="28" s="1"/>
  <c r="E161" i="27"/>
  <c r="G161" i="27" s="1"/>
  <c r="C161" i="28" s="1"/>
  <c r="E121" i="27"/>
  <c r="G121" i="27" s="1"/>
  <c r="C121" i="28" s="1"/>
  <c r="E33" i="27"/>
  <c r="G33" i="27" s="1"/>
  <c r="C33" i="28" s="1"/>
  <c r="E178" i="27"/>
  <c r="G178" i="27" s="1"/>
  <c r="C178" i="28" s="1"/>
  <c r="E7" i="27"/>
  <c r="G7" i="27" s="1"/>
  <c r="C7" i="28" s="1"/>
  <c r="E58" i="27"/>
  <c r="G58" i="27" s="1"/>
  <c r="C58" i="28" s="1"/>
  <c r="E192" i="27"/>
  <c r="G192" i="27" s="1"/>
  <c r="C192" i="28" s="1"/>
  <c r="E54" i="27"/>
  <c r="G54" i="27" s="1"/>
  <c r="C54" i="28" s="1"/>
  <c r="E34" i="27"/>
  <c r="G34" i="27" s="1"/>
  <c r="C34" i="28" s="1"/>
  <c r="E144" i="27"/>
  <c r="G144" i="27" s="1"/>
  <c r="C144" i="28" s="1"/>
  <c r="E14" i="27"/>
  <c r="G14" i="27" s="1"/>
  <c r="C14" i="28" s="1"/>
  <c r="E191" i="27"/>
  <c r="G191" i="27" s="1"/>
  <c r="C191" i="28" s="1"/>
  <c r="E136" i="27"/>
  <c r="G136" i="27" s="1"/>
  <c r="C136" i="28" s="1"/>
  <c r="E201" i="27"/>
  <c r="G201" i="27" s="1"/>
  <c r="C201" i="28" s="1"/>
  <c r="E100" i="27"/>
  <c r="G100" i="27" s="1"/>
  <c r="C100" i="28" s="1"/>
  <c r="E20" i="27"/>
  <c r="G20" i="27" s="1"/>
  <c r="C20" i="28" s="1"/>
  <c r="E6" i="27"/>
  <c r="G6" i="27" s="1"/>
  <c r="C6" i="28" s="1"/>
  <c r="E194" i="27"/>
  <c r="G194" i="27" s="1"/>
  <c r="C194" i="28" s="1"/>
  <c r="E90" i="27"/>
  <c r="G90" i="27" s="1"/>
  <c r="C90" i="28" s="1"/>
  <c r="E150" i="27"/>
  <c r="G150" i="27" s="1"/>
  <c r="C150" i="28" s="1"/>
  <c r="E68" i="27"/>
  <c r="G68" i="27" s="1"/>
  <c r="C68" i="28" s="1"/>
  <c r="E91" i="27"/>
  <c r="G91" i="27" s="1"/>
  <c r="C91" i="28" s="1"/>
  <c r="E12" i="27"/>
  <c r="G12" i="27" s="1"/>
  <c r="C12" i="28" s="1"/>
  <c r="E158" i="27"/>
  <c r="G158" i="27" s="1"/>
  <c r="C158" i="28" s="1"/>
  <c r="E16" i="27"/>
  <c r="G16" i="27" s="1"/>
  <c r="C16" i="28" s="1"/>
  <c r="E169" i="27"/>
  <c r="G169" i="27" s="1"/>
  <c r="C169" i="28" s="1"/>
  <c r="E137" i="27"/>
  <c r="G137" i="27" s="1"/>
  <c r="C137" i="28" s="1"/>
  <c r="E111" i="27"/>
  <c r="G111" i="27" s="1"/>
  <c r="C111" i="28" s="1"/>
  <c r="E126" i="27"/>
  <c r="G126" i="27" s="1"/>
  <c r="C126" i="28" s="1"/>
  <c r="E133" i="27"/>
  <c r="G133" i="27" s="1"/>
  <c r="C133" i="28" s="1"/>
  <c r="E187" i="27"/>
  <c r="G187" i="27" s="1"/>
  <c r="C187" i="28" s="1"/>
  <c r="E200" i="27"/>
  <c r="G200" i="27" s="1"/>
  <c r="C200" i="28" s="1"/>
  <c r="E53" i="27"/>
  <c r="G53" i="27" s="1"/>
  <c r="C53" i="28" s="1"/>
  <c r="E167" i="27"/>
  <c r="G167" i="27" s="1"/>
  <c r="C167" i="28" s="1"/>
  <c r="E173" i="27"/>
  <c r="G173" i="27" s="1"/>
  <c r="C173" i="28" s="1"/>
  <c r="E185" i="27"/>
  <c r="G185" i="27" s="1"/>
  <c r="C185" i="28" s="1"/>
  <c r="E50" i="27"/>
  <c r="G50" i="27" s="1"/>
  <c r="C50" i="28" s="1"/>
  <c r="E30" i="27"/>
  <c r="G30" i="27" s="1"/>
  <c r="C30" i="28" s="1"/>
  <c r="E104" i="27"/>
  <c r="G104" i="27" s="1"/>
  <c r="C104" i="28" s="1"/>
  <c r="E17" i="27"/>
  <c r="G17" i="27" s="1"/>
  <c r="C17" i="28" s="1"/>
  <c r="E199" i="27"/>
  <c r="G199" i="27" s="1"/>
  <c r="C199" i="28" s="1"/>
  <c r="E151" i="27"/>
  <c r="G151" i="27" s="1"/>
  <c r="C151" i="28" s="1"/>
  <c r="E189" i="27"/>
  <c r="G189" i="27" s="1"/>
  <c r="C189" i="28" s="1"/>
  <c r="E49" i="27"/>
  <c r="G49" i="27" s="1"/>
  <c r="C49" i="28" s="1"/>
  <c r="E118" i="27"/>
  <c r="G118" i="27" s="1"/>
  <c r="C118" i="28" s="1"/>
  <c r="E63" i="27"/>
  <c r="G63" i="27" s="1"/>
  <c r="C63" i="28" s="1"/>
  <c r="E184" i="27"/>
  <c r="G184" i="27" s="1"/>
  <c r="C184" i="28" s="1"/>
  <c r="E148" i="27"/>
  <c r="G148" i="27" s="1"/>
  <c r="C148" i="28" s="1"/>
  <c r="E102" i="27"/>
  <c r="G102" i="27" s="1"/>
  <c r="C102" i="28" s="1"/>
  <c r="E72" i="27"/>
  <c r="G72" i="27" s="1"/>
  <c r="C72" i="28" s="1"/>
  <c r="E19" i="27"/>
  <c r="G19" i="27" s="1"/>
  <c r="C19" i="28" s="1"/>
  <c r="E132" i="27"/>
  <c r="G132" i="27" s="1"/>
  <c r="C132" i="28" s="1"/>
  <c r="E125" i="27"/>
  <c r="G125" i="27" s="1"/>
  <c r="C125" i="28" s="1"/>
  <c r="E197" i="27"/>
  <c r="G197" i="27" s="1"/>
  <c r="C197" i="28" s="1"/>
  <c r="E8" i="27"/>
  <c r="G8" i="27" s="1"/>
  <c r="C8" i="28" s="1"/>
  <c r="E60" i="27"/>
  <c r="G60" i="27" s="1"/>
  <c r="C60" i="28" s="1"/>
  <c r="E123" i="27"/>
  <c r="G123" i="27" s="1"/>
  <c r="E92" i="27"/>
  <c r="G92" i="27" s="1"/>
  <c r="C92" i="28" s="1"/>
  <c r="E143" i="27"/>
  <c r="G143" i="27" s="1"/>
  <c r="C143" i="28" s="1"/>
  <c r="E103" i="27"/>
  <c r="G103" i="27" s="1"/>
  <c r="C103" i="28" s="1"/>
  <c r="E149" i="27"/>
  <c r="G149" i="27" s="1"/>
  <c r="C149" i="28" s="1"/>
  <c r="E97" i="27"/>
  <c r="G97" i="27" s="1"/>
  <c r="C97" i="28" s="1"/>
  <c r="E56" i="27"/>
  <c r="G56" i="27" s="1"/>
  <c r="C56" i="28" s="1"/>
  <c r="E124" i="27"/>
  <c r="G124" i="27" s="1"/>
  <c r="C124" i="28" s="1"/>
  <c r="E105" i="27"/>
  <c r="G105" i="27" s="1"/>
  <c r="C105" i="28" s="1"/>
  <c r="E71" i="27"/>
  <c r="G71" i="27" s="1"/>
  <c r="C71" i="28" s="1"/>
  <c r="E176" i="27"/>
  <c r="G176" i="27" s="1"/>
  <c r="C176" i="28" s="1"/>
  <c r="E47" i="27"/>
  <c r="G47" i="27" s="1"/>
  <c r="E31" i="27"/>
  <c r="G31" i="27" s="1"/>
  <c r="C31" i="28" s="1"/>
  <c r="E40" i="27"/>
  <c r="G40" i="27" s="1"/>
  <c r="C40" i="28" s="1"/>
  <c r="E85" i="27"/>
  <c r="G85" i="27" s="1"/>
  <c r="C85" i="28" s="1"/>
  <c r="E21" i="27"/>
  <c r="G21" i="27" s="1"/>
  <c r="C21" i="28" s="1"/>
  <c r="E86" i="27"/>
  <c r="G86" i="27" s="1"/>
  <c r="E146" i="27"/>
  <c r="G146" i="27" s="1"/>
  <c r="C146" i="28" s="1"/>
  <c r="E67" i="27"/>
  <c r="G67" i="27" s="1"/>
  <c r="C67" i="28" s="1"/>
  <c r="E168" i="27"/>
  <c r="G168" i="27" s="1"/>
  <c r="C168" i="28" s="1"/>
  <c r="E82" i="27"/>
  <c r="G82" i="27" s="1"/>
  <c r="C82" i="28" s="1"/>
  <c r="E141" i="27"/>
  <c r="G141" i="27" s="1"/>
  <c r="C141" i="28" s="1"/>
  <c r="E77" i="27"/>
  <c r="G77" i="27" s="1"/>
  <c r="C77" i="28" s="1"/>
  <c r="E115" i="27"/>
  <c r="G115" i="27" s="1"/>
  <c r="C115" i="28" s="1"/>
  <c r="E10" i="27"/>
  <c r="G10" i="27" s="1"/>
  <c r="C10" i="28" s="1"/>
  <c r="E70" i="27"/>
  <c r="G70" i="27" s="1"/>
  <c r="C70" i="28" s="1"/>
  <c r="E55" i="27"/>
  <c r="G55" i="27" s="1"/>
  <c r="C55" i="28" s="1"/>
  <c r="E62" i="27"/>
  <c r="G62" i="27" s="1"/>
  <c r="E73" i="27"/>
  <c r="G73" i="27" s="1"/>
  <c r="C73" i="28" s="1"/>
  <c r="E25" i="27"/>
  <c r="G25" i="27" s="1"/>
  <c r="E80" i="27"/>
  <c r="G80" i="27" s="1"/>
  <c r="E127" i="27"/>
  <c r="G127" i="27" s="1"/>
  <c r="C127" i="28" s="1"/>
  <c r="E107" i="27"/>
  <c r="G107" i="27" s="1"/>
  <c r="C107" i="28" s="1"/>
  <c r="E110" i="27"/>
  <c r="G110" i="27" s="1"/>
  <c r="C110" i="28" s="1"/>
  <c r="E119" i="27"/>
  <c r="G119" i="27" s="1"/>
  <c r="C119" i="28" s="1"/>
  <c r="E186" i="27"/>
  <c r="G186" i="27" s="1"/>
  <c r="C186" i="28" s="1"/>
  <c r="E35" i="27"/>
  <c r="G35" i="27" s="1"/>
  <c r="C35" i="28" s="1"/>
  <c r="E108" i="27"/>
  <c r="G108" i="27" s="1"/>
  <c r="C108" i="28" s="1"/>
  <c r="E52" i="27"/>
  <c r="G52" i="27" s="1"/>
  <c r="C52" i="28" s="1"/>
  <c r="E179" i="27"/>
  <c r="G179" i="27" s="1"/>
  <c r="C179" i="28" s="1"/>
  <c r="E142" i="27"/>
  <c r="G142" i="27" s="1"/>
  <c r="C142" i="28" s="1"/>
  <c r="E171" i="27"/>
  <c r="G171" i="27" s="1"/>
  <c r="C171" i="28" s="1"/>
  <c r="E22" i="27"/>
  <c r="G22" i="27" s="1"/>
  <c r="E43" i="27"/>
  <c r="G43" i="27" s="1"/>
  <c r="C43" i="28" s="1"/>
  <c r="E88" i="27"/>
  <c r="G88" i="27" s="1"/>
  <c r="C88" i="28" s="1"/>
  <c r="E11" i="27"/>
  <c r="G11" i="27" s="1"/>
  <c r="C11" i="28" s="1"/>
  <c r="E181" i="27"/>
  <c r="G181" i="27" s="1"/>
  <c r="C181" i="28" s="1"/>
  <c r="E9" i="27"/>
  <c r="G9" i="27" s="1"/>
  <c r="C9" i="28" s="1"/>
  <c r="E147" i="27"/>
  <c r="G147" i="27" s="1"/>
  <c r="C147" i="28" s="1"/>
  <c r="E48" i="27"/>
  <c r="G48" i="27" s="1"/>
  <c r="C48" i="28" s="1"/>
  <c r="E182" i="27"/>
  <c r="G182" i="27" s="1"/>
  <c r="C182" i="28" s="1"/>
  <c r="E175" i="28"/>
  <c r="G175" i="28" s="1"/>
  <c r="E159" i="27"/>
  <c r="G159" i="27" s="1"/>
  <c r="C159" i="28" s="1"/>
  <c r="E106" i="27"/>
  <c r="G106" i="27" s="1"/>
  <c r="C106" i="28" s="1"/>
  <c r="E57" i="27"/>
  <c r="G57" i="27" s="1"/>
  <c r="C57" i="28" s="1"/>
  <c r="E28" i="27"/>
  <c r="G28" i="27" s="1"/>
  <c r="C28" i="28" s="1"/>
  <c r="E93" i="27"/>
  <c r="G93" i="27" s="1"/>
  <c r="C93" i="28" s="1"/>
  <c r="E196" i="27"/>
  <c r="G196" i="27" s="1"/>
  <c r="C196" i="28" s="1"/>
  <c r="E29" i="27"/>
  <c r="G29" i="27" s="1"/>
  <c r="C29" i="28" s="1"/>
  <c r="E112" i="27"/>
  <c r="G112" i="27" s="1"/>
  <c r="C112" i="28" s="1"/>
  <c r="E129" i="27"/>
  <c r="G129" i="27" s="1"/>
  <c r="C129" i="28" s="1"/>
  <c r="E170" i="27"/>
  <c r="G170" i="27" s="1"/>
  <c r="C170" i="28" s="1"/>
  <c r="E42" i="27"/>
  <c r="G42" i="27" s="1"/>
  <c r="C42" i="28" s="1"/>
  <c r="E130" i="27"/>
  <c r="G130" i="27" s="1"/>
  <c r="C130" i="28" s="1"/>
  <c r="E79" i="27"/>
  <c r="G79" i="27" s="1"/>
  <c r="C79" i="28" s="1"/>
  <c r="E18" i="27"/>
  <c r="G18" i="27" s="1"/>
  <c r="E51" i="27"/>
  <c r="G51" i="27" s="1"/>
  <c r="C51" i="28" s="1"/>
  <c r="E140" i="27"/>
  <c r="G140" i="27" s="1"/>
  <c r="C140" i="28" s="1"/>
  <c r="E138" i="27"/>
  <c r="G138" i="27" s="1"/>
  <c r="C138" i="28" s="1"/>
  <c r="E134" i="27"/>
  <c r="G134" i="27" s="1"/>
  <c r="C134" i="28" s="1"/>
  <c r="E64" i="27"/>
  <c r="G64" i="27" s="1"/>
  <c r="C64" i="28" s="1"/>
  <c r="E190" i="27"/>
  <c r="G190" i="27" s="1"/>
  <c r="C190" i="28" s="1"/>
  <c r="E99" i="27"/>
  <c r="G99" i="27" s="1"/>
  <c r="C99" i="28" s="1"/>
  <c r="E177" i="28"/>
  <c r="G177" i="28" s="1"/>
  <c r="C177" i="29" s="1"/>
  <c r="E65" i="27"/>
  <c r="G65" i="27" s="1"/>
  <c r="E32" i="27"/>
  <c r="G32" i="27" s="1"/>
  <c r="C32" i="28" s="1"/>
  <c r="E120" i="28"/>
  <c r="G120" i="28" s="1"/>
  <c r="C120" i="29" s="1"/>
  <c r="E84" i="28"/>
  <c r="G84" i="28" s="1"/>
  <c r="C84" i="29" s="1"/>
  <c r="E78" i="27"/>
  <c r="G78" i="27" s="1"/>
  <c r="C78" i="28" s="1"/>
  <c r="E162" i="27"/>
  <c r="G162" i="27" s="1"/>
  <c r="C162" i="28" s="1"/>
  <c r="E36" i="27"/>
  <c r="G36" i="27" s="1"/>
  <c r="C36" i="28" s="1"/>
  <c r="T20" i="9"/>
  <c r="T33" i="9"/>
  <c r="T32" i="9"/>
  <c r="T31" i="9"/>
  <c r="T30" i="9"/>
  <c r="T29" i="9"/>
  <c r="T28" i="9"/>
  <c r="T27" i="9"/>
  <c r="T25" i="9"/>
  <c r="T24" i="9"/>
  <c r="T23" i="9"/>
  <c r="Q32" i="9"/>
  <c r="Q31" i="9"/>
  <c r="Q30" i="9"/>
  <c r="Q29" i="9"/>
  <c r="Q28" i="9"/>
  <c r="Q27" i="9"/>
  <c r="Q26" i="9"/>
  <c r="Q25" i="9"/>
  <c r="Q24" i="9"/>
  <c r="Q23" i="9"/>
  <c r="P31" i="9"/>
  <c r="P30" i="9"/>
  <c r="P29" i="9"/>
  <c r="P28" i="9"/>
  <c r="P27" i="9"/>
  <c r="P26" i="9"/>
  <c r="P25" i="9"/>
  <c r="P24" i="9"/>
  <c r="P23" i="9"/>
  <c r="K219" i="21"/>
  <c r="K211" i="21"/>
  <c r="N33" i="9" s="1"/>
  <c r="K208" i="21"/>
  <c r="K218" i="21" s="1"/>
  <c r="J203" i="21"/>
  <c r="M203" i="21" s="1"/>
  <c r="J202" i="21"/>
  <c r="M202" i="21" s="1"/>
  <c r="J201" i="21"/>
  <c r="M201" i="21" s="1"/>
  <c r="J200" i="21"/>
  <c r="M200" i="21" s="1"/>
  <c r="J199" i="21"/>
  <c r="M199" i="21" s="1"/>
  <c r="J198" i="21"/>
  <c r="M198" i="21" s="1"/>
  <c r="J197" i="21"/>
  <c r="M197" i="21" s="1"/>
  <c r="J196" i="21"/>
  <c r="M196" i="21" s="1"/>
  <c r="J195" i="21"/>
  <c r="M195" i="21" s="1"/>
  <c r="J194" i="21"/>
  <c r="M194" i="21" s="1"/>
  <c r="J193" i="21"/>
  <c r="M193" i="21" s="1"/>
  <c r="J192" i="21"/>
  <c r="M192" i="21" s="1"/>
  <c r="J191" i="21"/>
  <c r="M191" i="21" s="1"/>
  <c r="J190" i="21"/>
  <c r="M190" i="21" s="1"/>
  <c r="J189" i="21"/>
  <c r="M189" i="21" s="1"/>
  <c r="J188" i="21"/>
  <c r="M188" i="21" s="1"/>
  <c r="J187" i="21"/>
  <c r="M187" i="21" s="1"/>
  <c r="J186" i="21"/>
  <c r="M186" i="21" s="1"/>
  <c r="J185" i="21"/>
  <c r="M185" i="21" s="1"/>
  <c r="J184" i="21"/>
  <c r="M184" i="21" s="1"/>
  <c r="J183" i="21"/>
  <c r="M183" i="21" s="1"/>
  <c r="J182" i="21"/>
  <c r="M182" i="21" s="1"/>
  <c r="J181" i="21"/>
  <c r="M181" i="21" s="1"/>
  <c r="J180" i="21"/>
  <c r="M180" i="21" s="1"/>
  <c r="J179" i="21"/>
  <c r="M179" i="21" s="1"/>
  <c r="J178" i="21"/>
  <c r="M178" i="21" s="1"/>
  <c r="J177" i="21"/>
  <c r="M177" i="21" s="1"/>
  <c r="J176" i="21"/>
  <c r="M176" i="21" s="1"/>
  <c r="J175" i="21"/>
  <c r="M175" i="21" s="1"/>
  <c r="J174" i="21"/>
  <c r="M174" i="21" s="1"/>
  <c r="J173" i="21"/>
  <c r="M173" i="21" s="1"/>
  <c r="J172" i="21"/>
  <c r="M172" i="21" s="1"/>
  <c r="J171" i="21"/>
  <c r="M171" i="21" s="1"/>
  <c r="J170" i="21"/>
  <c r="M170" i="21" s="1"/>
  <c r="J169" i="21"/>
  <c r="M169" i="21" s="1"/>
  <c r="J168" i="21"/>
  <c r="M168" i="21" s="1"/>
  <c r="J167" i="21"/>
  <c r="M167" i="21" s="1"/>
  <c r="J166" i="21"/>
  <c r="M166" i="21" s="1"/>
  <c r="J165" i="21"/>
  <c r="M165" i="21" s="1"/>
  <c r="J164" i="21"/>
  <c r="M164" i="21" s="1"/>
  <c r="J163" i="21"/>
  <c r="M163" i="21" s="1"/>
  <c r="J162" i="21"/>
  <c r="M162" i="21" s="1"/>
  <c r="J161" i="21"/>
  <c r="M161" i="21" s="1"/>
  <c r="J160" i="21"/>
  <c r="M160" i="21" s="1"/>
  <c r="J159" i="21"/>
  <c r="M159" i="21" s="1"/>
  <c r="J158" i="21"/>
  <c r="M158" i="21" s="1"/>
  <c r="J157" i="21"/>
  <c r="M157" i="21" s="1"/>
  <c r="J156" i="21"/>
  <c r="M156" i="21" s="1"/>
  <c r="J155" i="21"/>
  <c r="M155" i="21" s="1"/>
  <c r="J154" i="21"/>
  <c r="M154" i="21" s="1"/>
  <c r="J153" i="21"/>
  <c r="M153" i="21" s="1"/>
  <c r="J152" i="21"/>
  <c r="M152" i="21" s="1"/>
  <c r="J151" i="21"/>
  <c r="M151" i="21" s="1"/>
  <c r="J150" i="21"/>
  <c r="M150" i="21" s="1"/>
  <c r="J149" i="21"/>
  <c r="M149" i="21" s="1"/>
  <c r="J148" i="21"/>
  <c r="M148" i="21" s="1"/>
  <c r="J147" i="21"/>
  <c r="M147" i="21" s="1"/>
  <c r="J146" i="21"/>
  <c r="M146" i="21" s="1"/>
  <c r="J145" i="21"/>
  <c r="M145" i="21" s="1"/>
  <c r="J144" i="21"/>
  <c r="M144" i="21" s="1"/>
  <c r="J143" i="21"/>
  <c r="M143" i="21" s="1"/>
  <c r="J142" i="21"/>
  <c r="M142" i="21" s="1"/>
  <c r="J141" i="21"/>
  <c r="M141" i="21" s="1"/>
  <c r="J140" i="21"/>
  <c r="M140" i="21" s="1"/>
  <c r="J139" i="21"/>
  <c r="M139" i="21" s="1"/>
  <c r="J138" i="21"/>
  <c r="M138" i="21" s="1"/>
  <c r="J137" i="21"/>
  <c r="M137" i="21" s="1"/>
  <c r="J136" i="21"/>
  <c r="M136" i="21" s="1"/>
  <c r="J135" i="21"/>
  <c r="M135" i="21" s="1"/>
  <c r="J134" i="21"/>
  <c r="M134" i="21" s="1"/>
  <c r="J133" i="21"/>
  <c r="M133" i="21" s="1"/>
  <c r="J132" i="21"/>
  <c r="M132" i="21" s="1"/>
  <c r="J131" i="21"/>
  <c r="M131" i="21" s="1"/>
  <c r="J130" i="21"/>
  <c r="M130" i="21" s="1"/>
  <c r="J129" i="21"/>
  <c r="M129" i="21" s="1"/>
  <c r="J128" i="21"/>
  <c r="M128" i="21" s="1"/>
  <c r="J127" i="21"/>
  <c r="M127" i="21" s="1"/>
  <c r="J126" i="21"/>
  <c r="M126" i="21" s="1"/>
  <c r="J125" i="21"/>
  <c r="M125" i="21" s="1"/>
  <c r="J124" i="21"/>
  <c r="M124" i="21" s="1"/>
  <c r="J123" i="21"/>
  <c r="M123" i="21" s="1"/>
  <c r="J122" i="21"/>
  <c r="M122" i="21" s="1"/>
  <c r="J121" i="21"/>
  <c r="M121" i="21" s="1"/>
  <c r="J120" i="21"/>
  <c r="M120" i="21" s="1"/>
  <c r="J119" i="21"/>
  <c r="M119" i="21" s="1"/>
  <c r="J118" i="21"/>
  <c r="M118" i="21" s="1"/>
  <c r="J117" i="21"/>
  <c r="M117" i="21" s="1"/>
  <c r="J116" i="21"/>
  <c r="M116" i="21" s="1"/>
  <c r="J115" i="21"/>
  <c r="M115" i="21" s="1"/>
  <c r="J114" i="21"/>
  <c r="M114" i="21" s="1"/>
  <c r="J113" i="21"/>
  <c r="M113" i="21" s="1"/>
  <c r="J112" i="21"/>
  <c r="M112" i="21" s="1"/>
  <c r="J111" i="21"/>
  <c r="M111" i="21" s="1"/>
  <c r="J110" i="21"/>
  <c r="M110" i="21" s="1"/>
  <c r="J109" i="21"/>
  <c r="M109" i="21" s="1"/>
  <c r="J108" i="21"/>
  <c r="M108" i="21" s="1"/>
  <c r="J107" i="21"/>
  <c r="M107" i="21" s="1"/>
  <c r="J106" i="21"/>
  <c r="M106" i="21" s="1"/>
  <c r="J105" i="21"/>
  <c r="M105" i="21" s="1"/>
  <c r="Z104" i="21"/>
  <c r="J104" i="21"/>
  <c r="M104" i="21" s="1"/>
  <c r="X103" i="21"/>
  <c r="S103" i="21"/>
  <c r="U103" i="21" s="1"/>
  <c r="J103" i="21"/>
  <c r="M103" i="21" s="1"/>
  <c r="X102" i="21"/>
  <c r="S102" i="21"/>
  <c r="U102" i="21" s="1"/>
  <c r="J102" i="21"/>
  <c r="M102" i="21" s="1"/>
  <c r="X101" i="21"/>
  <c r="S101" i="21"/>
  <c r="U101" i="21" s="1"/>
  <c r="J101" i="21"/>
  <c r="M101" i="21" s="1"/>
  <c r="X100" i="21"/>
  <c r="S100" i="21"/>
  <c r="U100" i="21" s="1"/>
  <c r="J100" i="21"/>
  <c r="M100" i="21" s="1"/>
  <c r="X99" i="21"/>
  <c r="S99" i="21"/>
  <c r="U99" i="21" s="1"/>
  <c r="J99" i="21"/>
  <c r="M99" i="21" s="1"/>
  <c r="X98" i="21"/>
  <c r="S98" i="21"/>
  <c r="U98" i="21" s="1"/>
  <c r="J98" i="21"/>
  <c r="M98" i="21" s="1"/>
  <c r="X97" i="21"/>
  <c r="S97" i="21"/>
  <c r="U97" i="21" s="1"/>
  <c r="J97" i="21"/>
  <c r="M97" i="21" s="1"/>
  <c r="X96" i="21"/>
  <c r="S96" i="21"/>
  <c r="U96" i="21" s="1"/>
  <c r="J96" i="21"/>
  <c r="M96" i="21" s="1"/>
  <c r="X95" i="21"/>
  <c r="S95" i="21"/>
  <c r="U95" i="21" s="1"/>
  <c r="J95" i="21"/>
  <c r="M95" i="21" s="1"/>
  <c r="X94" i="21"/>
  <c r="S94" i="21"/>
  <c r="U94" i="21" s="1"/>
  <c r="J94" i="21"/>
  <c r="M94" i="21" s="1"/>
  <c r="X93" i="21"/>
  <c r="S93" i="21"/>
  <c r="U93" i="21" s="1"/>
  <c r="J93" i="21"/>
  <c r="M93" i="21" s="1"/>
  <c r="X92" i="21"/>
  <c r="S92" i="21"/>
  <c r="U92" i="21" s="1"/>
  <c r="J92" i="21"/>
  <c r="M92" i="21" s="1"/>
  <c r="X91" i="21"/>
  <c r="S91" i="21"/>
  <c r="U91" i="21" s="1"/>
  <c r="J91" i="21"/>
  <c r="M91" i="21" s="1"/>
  <c r="X90" i="21"/>
  <c r="S90" i="21"/>
  <c r="U90" i="21" s="1"/>
  <c r="J90" i="21"/>
  <c r="M90" i="21" s="1"/>
  <c r="X89" i="21"/>
  <c r="S89" i="21"/>
  <c r="U89" i="21" s="1"/>
  <c r="J89" i="21"/>
  <c r="M89" i="21" s="1"/>
  <c r="X88" i="21"/>
  <c r="S88" i="21"/>
  <c r="U88" i="21" s="1"/>
  <c r="J88" i="21"/>
  <c r="M88" i="21" s="1"/>
  <c r="X87" i="21"/>
  <c r="S87" i="21"/>
  <c r="U87" i="21" s="1"/>
  <c r="J87" i="21"/>
  <c r="M87" i="21" s="1"/>
  <c r="X86" i="21"/>
  <c r="S86" i="21"/>
  <c r="U86" i="21" s="1"/>
  <c r="J86" i="21"/>
  <c r="M86" i="21" s="1"/>
  <c r="X85" i="21"/>
  <c r="S85" i="21"/>
  <c r="U85" i="21" s="1"/>
  <c r="J85" i="21"/>
  <c r="M85" i="21" s="1"/>
  <c r="X84" i="21"/>
  <c r="S84" i="21"/>
  <c r="U84" i="21" s="1"/>
  <c r="J84" i="21"/>
  <c r="M84" i="21" s="1"/>
  <c r="X83" i="21"/>
  <c r="S83" i="21"/>
  <c r="U83" i="21" s="1"/>
  <c r="J83" i="21"/>
  <c r="M83" i="21" s="1"/>
  <c r="X82" i="21"/>
  <c r="S82" i="21"/>
  <c r="U82" i="21" s="1"/>
  <c r="J82" i="21"/>
  <c r="M82" i="21" s="1"/>
  <c r="X81" i="21"/>
  <c r="S81" i="21"/>
  <c r="U81" i="21" s="1"/>
  <c r="J81" i="21"/>
  <c r="M81" i="21" s="1"/>
  <c r="X80" i="21"/>
  <c r="S80" i="21"/>
  <c r="U80" i="21" s="1"/>
  <c r="J80" i="21"/>
  <c r="M80" i="21" s="1"/>
  <c r="X79" i="21"/>
  <c r="S79" i="21"/>
  <c r="U79" i="21" s="1"/>
  <c r="J79" i="21"/>
  <c r="M79" i="21" s="1"/>
  <c r="X78" i="21"/>
  <c r="S78" i="21"/>
  <c r="U78" i="21" s="1"/>
  <c r="J78" i="21"/>
  <c r="M78" i="21" s="1"/>
  <c r="X77" i="21"/>
  <c r="S77" i="21"/>
  <c r="U77" i="21" s="1"/>
  <c r="J77" i="21"/>
  <c r="M77" i="21" s="1"/>
  <c r="X76" i="21"/>
  <c r="S76" i="21"/>
  <c r="U76" i="21" s="1"/>
  <c r="J76" i="21"/>
  <c r="M76" i="21" s="1"/>
  <c r="X75" i="21"/>
  <c r="S75" i="21"/>
  <c r="U75" i="21" s="1"/>
  <c r="J75" i="21"/>
  <c r="M75" i="21" s="1"/>
  <c r="X74" i="21"/>
  <c r="S74" i="21"/>
  <c r="U74" i="21" s="1"/>
  <c r="J74" i="21"/>
  <c r="M74" i="21" s="1"/>
  <c r="X73" i="21"/>
  <c r="S73" i="21"/>
  <c r="U73" i="21" s="1"/>
  <c r="J73" i="21"/>
  <c r="M73" i="21" s="1"/>
  <c r="X72" i="21"/>
  <c r="S72" i="21"/>
  <c r="U72" i="21" s="1"/>
  <c r="J72" i="21"/>
  <c r="M72" i="21" s="1"/>
  <c r="X71" i="21"/>
  <c r="S71" i="21"/>
  <c r="U71" i="21" s="1"/>
  <c r="J71" i="21"/>
  <c r="M71" i="21" s="1"/>
  <c r="X70" i="21"/>
  <c r="S70" i="21"/>
  <c r="U70" i="21" s="1"/>
  <c r="J70" i="21"/>
  <c r="M70" i="21" s="1"/>
  <c r="X69" i="21"/>
  <c r="S69" i="21"/>
  <c r="U69" i="21" s="1"/>
  <c r="J69" i="21"/>
  <c r="M69" i="21" s="1"/>
  <c r="X68" i="21"/>
  <c r="S68" i="21"/>
  <c r="U68" i="21" s="1"/>
  <c r="J68" i="21"/>
  <c r="M68" i="21" s="1"/>
  <c r="X67" i="21"/>
  <c r="S67" i="21"/>
  <c r="U67" i="21" s="1"/>
  <c r="J67" i="21"/>
  <c r="M67" i="21" s="1"/>
  <c r="X66" i="21"/>
  <c r="S66" i="21"/>
  <c r="U66" i="21" s="1"/>
  <c r="J66" i="21"/>
  <c r="M66" i="21" s="1"/>
  <c r="X65" i="21"/>
  <c r="S65" i="21"/>
  <c r="U65" i="21" s="1"/>
  <c r="J65" i="21"/>
  <c r="M65" i="21" s="1"/>
  <c r="X64" i="21"/>
  <c r="S64" i="21"/>
  <c r="U64" i="21" s="1"/>
  <c r="J64" i="21"/>
  <c r="M64" i="21" s="1"/>
  <c r="X63" i="21"/>
  <c r="S63" i="21"/>
  <c r="U63" i="21" s="1"/>
  <c r="J63" i="21"/>
  <c r="M63" i="21" s="1"/>
  <c r="X62" i="21"/>
  <c r="S62" i="21"/>
  <c r="U62" i="21" s="1"/>
  <c r="J62" i="21"/>
  <c r="M62" i="21" s="1"/>
  <c r="X61" i="21"/>
  <c r="S61" i="21"/>
  <c r="U61" i="21" s="1"/>
  <c r="J61" i="21"/>
  <c r="M61" i="21" s="1"/>
  <c r="X60" i="21"/>
  <c r="S60" i="21"/>
  <c r="U60" i="21" s="1"/>
  <c r="J60" i="21"/>
  <c r="M60" i="21" s="1"/>
  <c r="X59" i="21"/>
  <c r="S59" i="21"/>
  <c r="U59" i="21" s="1"/>
  <c r="J59" i="21"/>
  <c r="M59" i="21" s="1"/>
  <c r="X58" i="21"/>
  <c r="S58" i="21"/>
  <c r="U58" i="21" s="1"/>
  <c r="J58" i="21"/>
  <c r="M58" i="21" s="1"/>
  <c r="X57" i="21"/>
  <c r="S57" i="21"/>
  <c r="U57" i="21" s="1"/>
  <c r="J57" i="21"/>
  <c r="M57" i="21" s="1"/>
  <c r="X56" i="21"/>
  <c r="S56" i="21"/>
  <c r="U56" i="21" s="1"/>
  <c r="J56" i="21"/>
  <c r="M56" i="21" s="1"/>
  <c r="X55" i="21"/>
  <c r="S55" i="21"/>
  <c r="U55" i="21" s="1"/>
  <c r="J55" i="21"/>
  <c r="M55" i="21" s="1"/>
  <c r="X54" i="21"/>
  <c r="S54" i="21"/>
  <c r="U54" i="21" s="1"/>
  <c r="J54" i="21"/>
  <c r="M54" i="21" s="1"/>
  <c r="X53" i="21"/>
  <c r="S53" i="21"/>
  <c r="U53" i="21" s="1"/>
  <c r="J53" i="21"/>
  <c r="M53" i="21" s="1"/>
  <c r="X52" i="21"/>
  <c r="S52" i="21"/>
  <c r="U52" i="21" s="1"/>
  <c r="J52" i="21"/>
  <c r="M52" i="21" s="1"/>
  <c r="X51" i="21"/>
  <c r="S51" i="21"/>
  <c r="U51" i="21" s="1"/>
  <c r="J51" i="21"/>
  <c r="M51" i="21" s="1"/>
  <c r="X50" i="21"/>
  <c r="S50" i="21"/>
  <c r="U50" i="21" s="1"/>
  <c r="J50" i="21"/>
  <c r="M50" i="21" s="1"/>
  <c r="X49" i="21"/>
  <c r="S49" i="21"/>
  <c r="U49" i="21" s="1"/>
  <c r="J49" i="21"/>
  <c r="M49" i="21" s="1"/>
  <c r="X48" i="21"/>
  <c r="S48" i="21"/>
  <c r="U48" i="21" s="1"/>
  <c r="J48" i="21"/>
  <c r="M48" i="21" s="1"/>
  <c r="X47" i="21"/>
  <c r="S47" i="21"/>
  <c r="U47" i="21" s="1"/>
  <c r="J47" i="21"/>
  <c r="M47" i="21" s="1"/>
  <c r="X46" i="21"/>
  <c r="S46" i="21"/>
  <c r="U46" i="21" s="1"/>
  <c r="J46" i="21"/>
  <c r="M46" i="21" s="1"/>
  <c r="X45" i="21"/>
  <c r="S45" i="21"/>
  <c r="U45" i="21" s="1"/>
  <c r="J45" i="21"/>
  <c r="M45" i="21" s="1"/>
  <c r="X44" i="21"/>
  <c r="S44" i="21"/>
  <c r="U44" i="21" s="1"/>
  <c r="J44" i="21"/>
  <c r="M44" i="21" s="1"/>
  <c r="X43" i="21"/>
  <c r="S43" i="21"/>
  <c r="U43" i="21" s="1"/>
  <c r="J43" i="21"/>
  <c r="M43" i="21" s="1"/>
  <c r="X42" i="21"/>
  <c r="S42" i="21"/>
  <c r="U42" i="21" s="1"/>
  <c r="J42" i="21"/>
  <c r="M42" i="21" s="1"/>
  <c r="X41" i="21"/>
  <c r="S41" i="21"/>
  <c r="U41" i="21" s="1"/>
  <c r="J41" i="21"/>
  <c r="M41" i="21" s="1"/>
  <c r="X40" i="21"/>
  <c r="S40" i="21"/>
  <c r="U40" i="21" s="1"/>
  <c r="J40" i="21"/>
  <c r="M40" i="21" s="1"/>
  <c r="X39" i="21"/>
  <c r="S39" i="21"/>
  <c r="U39" i="21" s="1"/>
  <c r="J39" i="21"/>
  <c r="M39" i="21" s="1"/>
  <c r="X38" i="21"/>
  <c r="S38" i="21"/>
  <c r="U38" i="21" s="1"/>
  <c r="J38" i="21"/>
  <c r="M38" i="21" s="1"/>
  <c r="X37" i="21"/>
  <c r="S37" i="21"/>
  <c r="U37" i="21" s="1"/>
  <c r="J37" i="21"/>
  <c r="M37" i="21" s="1"/>
  <c r="X36" i="21"/>
  <c r="S36" i="21"/>
  <c r="U36" i="21" s="1"/>
  <c r="J36" i="21"/>
  <c r="M36" i="21" s="1"/>
  <c r="X35" i="21"/>
  <c r="S35" i="21"/>
  <c r="U35" i="21" s="1"/>
  <c r="J35" i="21"/>
  <c r="M35" i="21" s="1"/>
  <c r="X34" i="21"/>
  <c r="S34" i="21"/>
  <c r="U34" i="21" s="1"/>
  <c r="J34" i="21"/>
  <c r="M34" i="21" s="1"/>
  <c r="X33" i="21"/>
  <c r="S33" i="21"/>
  <c r="U33" i="21" s="1"/>
  <c r="J33" i="21"/>
  <c r="M33" i="21" s="1"/>
  <c r="X32" i="21"/>
  <c r="S32" i="21"/>
  <c r="U32" i="21" s="1"/>
  <c r="J32" i="21"/>
  <c r="M32" i="21" s="1"/>
  <c r="X31" i="21"/>
  <c r="S31" i="21"/>
  <c r="U31" i="21" s="1"/>
  <c r="J31" i="21"/>
  <c r="M31" i="21" s="1"/>
  <c r="X30" i="21"/>
  <c r="S30" i="21"/>
  <c r="U30" i="21" s="1"/>
  <c r="J30" i="21"/>
  <c r="M30" i="21" s="1"/>
  <c r="X29" i="21"/>
  <c r="S29" i="21"/>
  <c r="U29" i="21" s="1"/>
  <c r="J29" i="21"/>
  <c r="M29" i="21" s="1"/>
  <c r="X28" i="21"/>
  <c r="S28" i="21"/>
  <c r="U28" i="21" s="1"/>
  <c r="J28" i="21"/>
  <c r="M28" i="21" s="1"/>
  <c r="X27" i="21"/>
  <c r="S27" i="21"/>
  <c r="U27" i="21" s="1"/>
  <c r="J27" i="21"/>
  <c r="M27" i="21" s="1"/>
  <c r="X26" i="21"/>
  <c r="S26" i="21"/>
  <c r="U26" i="21" s="1"/>
  <c r="J26" i="21"/>
  <c r="M26" i="21" s="1"/>
  <c r="X25" i="21"/>
  <c r="S25" i="21"/>
  <c r="U25" i="21" s="1"/>
  <c r="J25" i="21"/>
  <c r="M25" i="21" s="1"/>
  <c r="X24" i="21"/>
  <c r="S24" i="21"/>
  <c r="U24" i="21" s="1"/>
  <c r="J24" i="21"/>
  <c r="M24" i="21" s="1"/>
  <c r="X23" i="21"/>
  <c r="S23" i="21"/>
  <c r="U23" i="21" s="1"/>
  <c r="J23" i="21"/>
  <c r="M23" i="21" s="1"/>
  <c r="X22" i="21"/>
  <c r="S22" i="21"/>
  <c r="U22" i="21" s="1"/>
  <c r="J22" i="21"/>
  <c r="M22" i="21" s="1"/>
  <c r="X21" i="21"/>
  <c r="S21" i="21"/>
  <c r="U21" i="21" s="1"/>
  <c r="J21" i="21"/>
  <c r="M21" i="21" s="1"/>
  <c r="X20" i="21"/>
  <c r="S20" i="21"/>
  <c r="U20" i="21" s="1"/>
  <c r="J20" i="21"/>
  <c r="M20" i="21" s="1"/>
  <c r="X19" i="21"/>
  <c r="S19" i="21"/>
  <c r="U19" i="21" s="1"/>
  <c r="J19" i="21"/>
  <c r="M19" i="21" s="1"/>
  <c r="X18" i="21"/>
  <c r="S18" i="21"/>
  <c r="U18" i="21" s="1"/>
  <c r="J18" i="21"/>
  <c r="M18" i="21" s="1"/>
  <c r="X17" i="21"/>
  <c r="S17" i="21"/>
  <c r="U17" i="21" s="1"/>
  <c r="J17" i="21"/>
  <c r="M17" i="21" s="1"/>
  <c r="X16" i="21"/>
  <c r="S16" i="21"/>
  <c r="U16" i="21" s="1"/>
  <c r="J16" i="21"/>
  <c r="M16" i="21" s="1"/>
  <c r="X15" i="21"/>
  <c r="S15" i="21"/>
  <c r="U15" i="21" s="1"/>
  <c r="J15" i="21"/>
  <c r="M15" i="21" s="1"/>
  <c r="X14" i="21"/>
  <c r="S14" i="21"/>
  <c r="U14" i="21" s="1"/>
  <c r="J14" i="21"/>
  <c r="M14" i="21" s="1"/>
  <c r="X13" i="21"/>
  <c r="S13" i="21"/>
  <c r="U13" i="21" s="1"/>
  <c r="J13" i="21"/>
  <c r="M13" i="21" s="1"/>
  <c r="X12" i="21"/>
  <c r="S12" i="21"/>
  <c r="U12" i="21" s="1"/>
  <c r="J12" i="21"/>
  <c r="M12" i="21" s="1"/>
  <c r="X11" i="21"/>
  <c r="S11" i="21"/>
  <c r="U11" i="21" s="1"/>
  <c r="J11" i="21"/>
  <c r="M11" i="21" s="1"/>
  <c r="X10" i="21"/>
  <c r="S10" i="21"/>
  <c r="U10" i="21" s="1"/>
  <c r="J10" i="21"/>
  <c r="M10" i="21" s="1"/>
  <c r="X9" i="21"/>
  <c r="S9" i="21"/>
  <c r="U9" i="21" s="1"/>
  <c r="J9" i="21"/>
  <c r="M9" i="21" s="1"/>
  <c r="X8" i="21"/>
  <c r="S8" i="21"/>
  <c r="U8" i="21" s="1"/>
  <c r="J8" i="21"/>
  <c r="M8" i="21" s="1"/>
  <c r="X7" i="21"/>
  <c r="S7" i="21"/>
  <c r="U7" i="21" s="1"/>
  <c r="J7" i="21"/>
  <c r="M7" i="21" s="1"/>
  <c r="X6" i="21"/>
  <c r="S6" i="21"/>
  <c r="U6" i="21" s="1"/>
  <c r="J6" i="21"/>
  <c r="M6" i="21" s="1"/>
  <c r="X5" i="21"/>
  <c r="S5" i="21"/>
  <c r="U5" i="21" s="1"/>
  <c r="J5" i="21"/>
  <c r="M5" i="21" s="1"/>
  <c r="X4" i="21"/>
  <c r="S4" i="21"/>
  <c r="U4" i="21" s="1"/>
  <c r="J4" i="21"/>
  <c r="K219" i="20"/>
  <c r="K211" i="20"/>
  <c r="N32" i="9" s="1"/>
  <c r="K208" i="20"/>
  <c r="J203" i="20"/>
  <c r="M203" i="20" s="1"/>
  <c r="J202" i="20"/>
  <c r="M202" i="20" s="1"/>
  <c r="J201" i="20"/>
  <c r="M201" i="20" s="1"/>
  <c r="J200" i="20"/>
  <c r="M200" i="20" s="1"/>
  <c r="J199" i="20"/>
  <c r="M199" i="20" s="1"/>
  <c r="J198" i="20"/>
  <c r="M198" i="20" s="1"/>
  <c r="J197" i="20"/>
  <c r="M197" i="20" s="1"/>
  <c r="J196" i="20"/>
  <c r="M196" i="20" s="1"/>
  <c r="J195" i="20"/>
  <c r="M195" i="20" s="1"/>
  <c r="J194" i="20"/>
  <c r="M194" i="20" s="1"/>
  <c r="J193" i="20"/>
  <c r="M193" i="20" s="1"/>
  <c r="J192" i="20"/>
  <c r="M192" i="20" s="1"/>
  <c r="J191" i="20"/>
  <c r="M191" i="20" s="1"/>
  <c r="J190" i="20"/>
  <c r="M190" i="20" s="1"/>
  <c r="J189" i="20"/>
  <c r="M189" i="20" s="1"/>
  <c r="J188" i="20"/>
  <c r="M188" i="20" s="1"/>
  <c r="J187" i="20"/>
  <c r="M187" i="20" s="1"/>
  <c r="J186" i="20"/>
  <c r="M186" i="20" s="1"/>
  <c r="J185" i="20"/>
  <c r="M185" i="20" s="1"/>
  <c r="J184" i="20"/>
  <c r="M184" i="20" s="1"/>
  <c r="J183" i="20"/>
  <c r="M183" i="20" s="1"/>
  <c r="J182" i="20"/>
  <c r="M182" i="20" s="1"/>
  <c r="J181" i="20"/>
  <c r="M181" i="20" s="1"/>
  <c r="J180" i="20"/>
  <c r="M180" i="20" s="1"/>
  <c r="J179" i="20"/>
  <c r="M179" i="20" s="1"/>
  <c r="J178" i="20"/>
  <c r="M178" i="20" s="1"/>
  <c r="J177" i="20"/>
  <c r="M177" i="20" s="1"/>
  <c r="J176" i="20"/>
  <c r="M176" i="20" s="1"/>
  <c r="J175" i="20"/>
  <c r="M175" i="20" s="1"/>
  <c r="J174" i="20"/>
  <c r="M174" i="20" s="1"/>
  <c r="J173" i="20"/>
  <c r="M173" i="20" s="1"/>
  <c r="J172" i="20"/>
  <c r="M172" i="20" s="1"/>
  <c r="J171" i="20"/>
  <c r="M171" i="20" s="1"/>
  <c r="J170" i="20"/>
  <c r="M170" i="20" s="1"/>
  <c r="J169" i="20"/>
  <c r="M169" i="20" s="1"/>
  <c r="J168" i="20"/>
  <c r="M168" i="20" s="1"/>
  <c r="J167" i="20"/>
  <c r="M167" i="20" s="1"/>
  <c r="J166" i="20"/>
  <c r="M166" i="20" s="1"/>
  <c r="J165" i="20"/>
  <c r="M165" i="20" s="1"/>
  <c r="J164" i="20"/>
  <c r="M164" i="20" s="1"/>
  <c r="J163" i="20"/>
  <c r="M163" i="20" s="1"/>
  <c r="J162" i="20"/>
  <c r="M162" i="20" s="1"/>
  <c r="J161" i="20"/>
  <c r="M161" i="20" s="1"/>
  <c r="J160" i="20"/>
  <c r="M160" i="20" s="1"/>
  <c r="J159" i="20"/>
  <c r="M159" i="20" s="1"/>
  <c r="J158" i="20"/>
  <c r="M158" i="20" s="1"/>
  <c r="J157" i="20"/>
  <c r="M157" i="20" s="1"/>
  <c r="J156" i="20"/>
  <c r="M156" i="20" s="1"/>
  <c r="J155" i="20"/>
  <c r="M155" i="20" s="1"/>
  <c r="J154" i="20"/>
  <c r="M154" i="20" s="1"/>
  <c r="J153" i="20"/>
  <c r="M153" i="20" s="1"/>
  <c r="J152" i="20"/>
  <c r="M152" i="20" s="1"/>
  <c r="J151" i="20"/>
  <c r="M151" i="20" s="1"/>
  <c r="J150" i="20"/>
  <c r="M150" i="20" s="1"/>
  <c r="J149" i="20"/>
  <c r="M149" i="20" s="1"/>
  <c r="J148" i="20"/>
  <c r="M148" i="20" s="1"/>
  <c r="J147" i="20"/>
  <c r="M147" i="20" s="1"/>
  <c r="J146" i="20"/>
  <c r="M146" i="20" s="1"/>
  <c r="J145" i="20"/>
  <c r="M145" i="20" s="1"/>
  <c r="J144" i="20"/>
  <c r="M144" i="20" s="1"/>
  <c r="J143" i="20"/>
  <c r="M143" i="20" s="1"/>
  <c r="J142" i="20"/>
  <c r="M142" i="20" s="1"/>
  <c r="J141" i="20"/>
  <c r="M141" i="20" s="1"/>
  <c r="J140" i="20"/>
  <c r="M140" i="20" s="1"/>
  <c r="J139" i="20"/>
  <c r="M139" i="20" s="1"/>
  <c r="J138" i="20"/>
  <c r="M138" i="20" s="1"/>
  <c r="J137" i="20"/>
  <c r="M137" i="20" s="1"/>
  <c r="J136" i="20"/>
  <c r="M136" i="20" s="1"/>
  <c r="J135" i="20"/>
  <c r="M135" i="20" s="1"/>
  <c r="J134" i="20"/>
  <c r="M134" i="20" s="1"/>
  <c r="J133" i="20"/>
  <c r="M133" i="20" s="1"/>
  <c r="J132" i="20"/>
  <c r="M132" i="20" s="1"/>
  <c r="J131" i="20"/>
  <c r="M131" i="20" s="1"/>
  <c r="J130" i="20"/>
  <c r="M130" i="20" s="1"/>
  <c r="J129" i="20"/>
  <c r="M129" i="20" s="1"/>
  <c r="J128" i="20"/>
  <c r="M128" i="20" s="1"/>
  <c r="J127" i="20"/>
  <c r="M127" i="20" s="1"/>
  <c r="J126" i="20"/>
  <c r="M126" i="20" s="1"/>
  <c r="J125" i="20"/>
  <c r="M125" i="20" s="1"/>
  <c r="J124" i="20"/>
  <c r="M124" i="20" s="1"/>
  <c r="J123" i="20"/>
  <c r="M123" i="20" s="1"/>
  <c r="J122" i="20"/>
  <c r="M122" i="20" s="1"/>
  <c r="J121" i="20"/>
  <c r="M121" i="20" s="1"/>
  <c r="J120" i="20"/>
  <c r="M120" i="20" s="1"/>
  <c r="J119" i="20"/>
  <c r="M119" i="20" s="1"/>
  <c r="J118" i="20"/>
  <c r="M118" i="20" s="1"/>
  <c r="J117" i="20"/>
  <c r="M117" i="20" s="1"/>
  <c r="J116" i="20"/>
  <c r="M116" i="20" s="1"/>
  <c r="J115" i="20"/>
  <c r="M115" i="20" s="1"/>
  <c r="J114" i="20"/>
  <c r="M114" i="20" s="1"/>
  <c r="J113" i="20"/>
  <c r="M113" i="20" s="1"/>
  <c r="J112" i="20"/>
  <c r="M112" i="20" s="1"/>
  <c r="J111" i="20"/>
  <c r="M111" i="20" s="1"/>
  <c r="J110" i="20"/>
  <c r="M110" i="20" s="1"/>
  <c r="J109" i="20"/>
  <c r="M109" i="20" s="1"/>
  <c r="J108" i="20"/>
  <c r="M108" i="20" s="1"/>
  <c r="J107" i="20"/>
  <c r="M107" i="20" s="1"/>
  <c r="J106" i="20"/>
  <c r="M106" i="20" s="1"/>
  <c r="J105" i="20"/>
  <c r="Z104" i="20"/>
  <c r="J104" i="20"/>
  <c r="M104" i="20" s="1"/>
  <c r="X103" i="20"/>
  <c r="S103" i="20"/>
  <c r="U103" i="20" s="1"/>
  <c r="J103" i="20"/>
  <c r="M103" i="20" s="1"/>
  <c r="X102" i="20"/>
  <c r="S102" i="20"/>
  <c r="U102" i="20" s="1"/>
  <c r="J102" i="20"/>
  <c r="M102" i="20" s="1"/>
  <c r="X101" i="20"/>
  <c r="S101" i="20"/>
  <c r="U101" i="20" s="1"/>
  <c r="J101" i="20"/>
  <c r="M101" i="20" s="1"/>
  <c r="X100" i="20"/>
  <c r="S100" i="20"/>
  <c r="U100" i="20" s="1"/>
  <c r="J100" i="20"/>
  <c r="M100" i="20" s="1"/>
  <c r="X99" i="20"/>
  <c r="S99" i="20"/>
  <c r="U99" i="20" s="1"/>
  <c r="J99" i="20"/>
  <c r="M99" i="20" s="1"/>
  <c r="X98" i="20"/>
  <c r="S98" i="20"/>
  <c r="U98" i="20" s="1"/>
  <c r="J98" i="20"/>
  <c r="M98" i="20" s="1"/>
  <c r="X97" i="20"/>
  <c r="S97" i="20"/>
  <c r="U97" i="20" s="1"/>
  <c r="J97" i="20"/>
  <c r="M97" i="20" s="1"/>
  <c r="X96" i="20"/>
  <c r="S96" i="20"/>
  <c r="U96" i="20" s="1"/>
  <c r="J96" i="20"/>
  <c r="M96" i="20" s="1"/>
  <c r="X95" i="20"/>
  <c r="S95" i="20"/>
  <c r="U95" i="20" s="1"/>
  <c r="J95" i="20"/>
  <c r="M95" i="20" s="1"/>
  <c r="X94" i="20"/>
  <c r="S94" i="20"/>
  <c r="U94" i="20" s="1"/>
  <c r="J94" i="20"/>
  <c r="M94" i="20" s="1"/>
  <c r="X93" i="20"/>
  <c r="S93" i="20"/>
  <c r="U93" i="20" s="1"/>
  <c r="J93" i="20"/>
  <c r="M93" i="20" s="1"/>
  <c r="X92" i="20"/>
  <c r="S92" i="20"/>
  <c r="U92" i="20" s="1"/>
  <c r="J92" i="20"/>
  <c r="M92" i="20" s="1"/>
  <c r="X91" i="20"/>
  <c r="S91" i="20"/>
  <c r="U91" i="20" s="1"/>
  <c r="J91" i="20"/>
  <c r="M91" i="20" s="1"/>
  <c r="X90" i="20"/>
  <c r="S90" i="20"/>
  <c r="U90" i="20" s="1"/>
  <c r="J90" i="20"/>
  <c r="M90" i="20" s="1"/>
  <c r="X89" i="20"/>
  <c r="S89" i="20"/>
  <c r="U89" i="20" s="1"/>
  <c r="J89" i="20"/>
  <c r="M89" i="20" s="1"/>
  <c r="X88" i="20"/>
  <c r="S88" i="20"/>
  <c r="U88" i="20" s="1"/>
  <c r="J88" i="20"/>
  <c r="M88" i="20" s="1"/>
  <c r="X87" i="20"/>
  <c r="S87" i="20"/>
  <c r="U87" i="20" s="1"/>
  <c r="J87" i="20"/>
  <c r="M87" i="20" s="1"/>
  <c r="X86" i="20"/>
  <c r="S86" i="20"/>
  <c r="U86" i="20" s="1"/>
  <c r="J86" i="20"/>
  <c r="M86" i="20" s="1"/>
  <c r="X85" i="20"/>
  <c r="S85" i="20"/>
  <c r="U85" i="20" s="1"/>
  <c r="J85" i="20"/>
  <c r="M85" i="20" s="1"/>
  <c r="X84" i="20"/>
  <c r="S84" i="20"/>
  <c r="U84" i="20" s="1"/>
  <c r="J84" i="20"/>
  <c r="M84" i="20" s="1"/>
  <c r="X83" i="20"/>
  <c r="S83" i="20"/>
  <c r="U83" i="20" s="1"/>
  <c r="J83" i="20"/>
  <c r="M83" i="20" s="1"/>
  <c r="X82" i="20"/>
  <c r="S82" i="20"/>
  <c r="U82" i="20" s="1"/>
  <c r="J82" i="20"/>
  <c r="M82" i="20" s="1"/>
  <c r="X81" i="20"/>
  <c r="S81" i="20"/>
  <c r="U81" i="20" s="1"/>
  <c r="J81" i="20"/>
  <c r="M81" i="20" s="1"/>
  <c r="X80" i="20"/>
  <c r="S80" i="20"/>
  <c r="U80" i="20" s="1"/>
  <c r="J80" i="20"/>
  <c r="M80" i="20" s="1"/>
  <c r="X79" i="20"/>
  <c r="S79" i="20"/>
  <c r="U79" i="20" s="1"/>
  <c r="J79" i="20"/>
  <c r="M79" i="20" s="1"/>
  <c r="X78" i="20"/>
  <c r="S78" i="20"/>
  <c r="U78" i="20" s="1"/>
  <c r="J78" i="20"/>
  <c r="M78" i="20" s="1"/>
  <c r="X77" i="20"/>
  <c r="S77" i="20"/>
  <c r="U77" i="20" s="1"/>
  <c r="J77" i="20"/>
  <c r="M77" i="20" s="1"/>
  <c r="X76" i="20"/>
  <c r="S76" i="20"/>
  <c r="U76" i="20" s="1"/>
  <c r="J76" i="20"/>
  <c r="M76" i="20" s="1"/>
  <c r="X75" i="20"/>
  <c r="S75" i="20"/>
  <c r="U75" i="20" s="1"/>
  <c r="J75" i="20"/>
  <c r="M75" i="20" s="1"/>
  <c r="X74" i="20"/>
  <c r="S74" i="20"/>
  <c r="U74" i="20" s="1"/>
  <c r="J74" i="20"/>
  <c r="M74" i="20" s="1"/>
  <c r="X73" i="20"/>
  <c r="S73" i="20"/>
  <c r="U73" i="20" s="1"/>
  <c r="J73" i="20"/>
  <c r="M73" i="20" s="1"/>
  <c r="X72" i="20"/>
  <c r="S72" i="20"/>
  <c r="U72" i="20" s="1"/>
  <c r="J72" i="20"/>
  <c r="M72" i="20" s="1"/>
  <c r="X71" i="20"/>
  <c r="S71" i="20"/>
  <c r="U71" i="20" s="1"/>
  <c r="J71" i="20"/>
  <c r="M71" i="20" s="1"/>
  <c r="X70" i="20"/>
  <c r="S70" i="20"/>
  <c r="U70" i="20" s="1"/>
  <c r="J70" i="20"/>
  <c r="M70" i="20" s="1"/>
  <c r="X69" i="20"/>
  <c r="S69" i="20"/>
  <c r="U69" i="20" s="1"/>
  <c r="J69" i="20"/>
  <c r="M69" i="20" s="1"/>
  <c r="X68" i="20"/>
  <c r="S68" i="20"/>
  <c r="U68" i="20" s="1"/>
  <c r="J68" i="20"/>
  <c r="M68" i="20" s="1"/>
  <c r="X67" i="20"/>
  <c r="S67" i="20"/>
  <c r="U67" i="20" s="1"/>
  <c r="J67" i="20"/>
  <c r="M67" i="20" s="1"/>
  <c r="X66" i="20"/>
  <c r="S66" i="20"/>
  <c r="U66" i="20" s="1"/>
  <c r="J66" i="20"/>
  <c r="M66" i="20" s="1"/>
  <c r="X65" i="20"/>
  <c r="S65" i="20"/>
  <c r="U65" i="20" s="1"/>
  <c r="J65" i="20"/>
  <c r="M65" i="20" s="1"/>
  <c r="X64" i="20"/>
  <c r="S64" i="20"/>
  <c r="U64" i="20" s="1"/>
  <c r="J64" i="20"/>
  <c r="M64" i="20" s="1"/>
  <c r="X63" i="20"/>
  <c r="S63" i="20"/>
  <c r="U63" i="20" s="1"/>
  <c r="J63" i="20"/>
  <c r="M63" i="20" s="1"/>
  <c r="X62" i="20"/>
  <c r="S62" i="20"/>
  <c r="U62" i="20" s="1"/>
  <c r="J62" i="20"/>
  <c r="M62" i="20" s="1"/>
  <c r="X61" i="20"/>
  <c r="S61" i="20"/>
  <c r="U61" i="20" s="1"/>
  <c r="J61" i="20"/>
  <c r="M61" i="20" s="1"/>
  <c r="X60" i="20"/>
  <c r="S60" i="20"/>
  <c r="U60" i="20" s="1"/>
  <c r="J60" i="20"/>
  <c r="M60" i="20" s="1"/>
  <c r="X59" i="20"/>
  <c r="U59" i="20"/>
  <c r="S59" i="20"/>
  <c r="J59" i="20"/>
  <c r="M59" i="20" s="1"/>
  <c r="X58" i="20"/>
  <c r="U58" i="20"/>
  <c r="S58" i="20"/>
  <c r="J58" i="20"/>
  <c r="M58" i="20" s="1"/>
  <c r="X57" i="20"/>
  <c r="S57" i="20"/>
  <c r="U57" i="20" s="1"/>
  <c r="J57" i="20"/>
  <c r="M57" i="20" s="1"/>
  <c r="X56" i="20"/>
  <c r="S56" i="20"/>
  <c r="U56" i="20" s="1"/>
  <c r="J56" i="20"/>
  <c r="M56" i="20" s="1"/>
  <c r="X55" i="20"/>
  <c r="U55" i="20"/>
  <c r="S55" i="20"/>
  <c r="J55" i="20"/>
  <c r="M55" i="20" s="1"/>
  <c r="X54" i="20"/>
  <c r="S54" i="20"/>
  <c r="U54" i="20" s="1"/>
  <c r="J54" i="20"/>
  <c r="M54" i="20" s="1"/>
  <c r="X53" i="20"/>
  <c r="S53" i="20"/>
  <c r="U53" i="20" s="1"/>
  <c r="J53" i="20"/>
  <c r="M53" i="20" s="1"/>
  <c r="X52" i="20"/>
  <c r="S52" i="20"/>
  <c r="U52" i="20" s="1"/>
  <c r="J52" i="20"/>
  <c r="M52" i="20" s="1"/>
  <c r="X51" i="20"/>
  <c r="S51" i="20"/>
  <c r="U51" i="20" s="1"/>
  <c r="J51" i="20"/>
  <c r="M51" i="20" s="1"/>
  <c r="X50" i="20"/>
  <c r="S50" i="20"/>
  <c r="U50" i="20" s="1"/>
  <c r="J50" i="20"/>
  <c r="M50" i="20" s="1"/>
  <c r="X49" i="20"/>
  <c r="S49" i="20"/>
  <c r="U49" i="20" s="1"/>
  <c r="J49" i="20"/>
  <c r="M49" i="20" s="1"/>
  <c r="X48" i="20"/>
  <c r="U48" i="20"/>
  <c r="S48" i="20"/>
  <c r="J48" i="20"/>
  <c r="M48" i="20" s="1"/>
  <c r="X47" i="20"/>
  <c r="S47" i="20"/>
  <c r="U47" i="20" s="1"/>
  <c r="J47" i="20"/>
  <c r="M47" i="20" s="1"/>
  <c r="X46" i="20"/>
  <c r="S46" i="20"/>
  <c r="U46" i="20" s="1"/>
  <c r="J46" i="20"/>
  <c r="M46" i="20" s="1"/>
  <c r="X45" i="20"/>
  <c r="U45" i="20"/>
  <c r="S45" i="20"/>
  <c r="J45" i="20"/>
  <c r="M45" i="20" s="1"/>
  <c r="X44" i="20"/>
  <c r="S44" i="20"/>
  <c r="U44" i="20" s="1"/>
  <c r="J44" i="20"/>
  <c r="M44" i="20" s="1"/>
  <c r="X43" i="20"/>
  <c r="S43" i="20"/>
  <c r="U43" i="20" s="1"/>
  <c r="J43" i="20"/>
  <c r="M43" i="20" s="1"/>
  <c r="X42" i="20"/>
  <c r="S42" i="20"/>
  <c r="U42" i="20" s="1"/>
  <c r="J42" i="20"/>
  <c r="M42" i="20" s="1"/>
  <c r="X41" i="20"/>
  <c r="S41" i="20"/>
  <c r="U41" i="20" s="1"/>
  <c r="J41" i="20"/>
  <c r="M41" i="20" s="1"/>
  <c r="X40" i="20"/>
  <c r="S40" i="20"/>
  <c r="U40" i="20" s="1"/>
  <c r="J40" i="20"/>
  <c r="M40" i="20" s="1"/>
  <c r="X39" i="20"/>
  <c r="S39" i="20"/>
  <c r="U39" i="20" s="1"/>
  <c r="J39" i="20"/>
  <c r="M39" i="20" s="1"/>
  <c r="X38" i="20"/>
  <c r="S38" i="20"/>
  <c r="U38" i="20" s="1"/>
  <c r="J38" i="20"/>
  <c r="X37" i="20"/>
  <c r="S37" i="20"/>
  <c r="U37" i="20" s="1"/>
  <c r="J37" i="20"/>
  <c r="M37" i="20" s="1"/>
  <c r="X36" i="20"/>
  <c r="S36" i="20"/>
  <c r="U36" i="20" s="1"/>
  <c r="J36" i="20"/>
  <c r="M36" i="20" s="1"/>
  <c r="X35" i="20"/>
  <c r="S35" i="20"/>
  <c r="U35" i="20" s="1"/>
  <c r="J35" i="20"/>
  <c r="M35" i="20" s="1"/>
  <c r="X34" i="20"/>
  <c r="S34" i="20"/>
  <c r="U34" i="20" s="1"/>
  <c r="J34" i="20"/>
  <c r="M34" i="20" s="1"/>
  <c r="X33" i="20"/>
  <c r="S33" i="20"/>
  <c r="U33" i="20" s="1"/>
  <c r="J33" i="20"/>
  <c r="M33" i="20" s="1"/>
  <c r="X32" i="20"/>
  <c r="S32" i="20"/>
  <c r="U32" i="20" s="1"/>
  <c r="J32" i="20"/>
  <c r="M32" i="20" s="1"/>
  <c r="X31" i="20"/>
  <c r="S31" i="20"/>
  <c r="U31" i="20" s="1"/>
  <c r="J31" i="20"/>
  <c r="M31" i="20" s="1"/>
  <c r="X30" i="20"/>
  <c r="S30" i="20"/>
  <c r="U30" i="20" s="1"/>
  <c r="J30" i="20"/>
  <c r="M30" i="20" s="1"/>
  <c r="X29" i="20"/>
  <c r="S29" i="20"/>
  <c r="U29" i="20" s="1"/>
  <c r="J29" i="20"/>
  <c r="M29" i="20" s="1"/>
  <c r="X28" i="20"/>
  <c r="S28" i="20"/>
  <c r="U28" i="20" s="1"/>
  <c r="J28" i="20"/>
  <c r="M28" i="20" s="1"/>
  <c r="X27" i="20"/>
  <c r="S27" i="20"/>
  <c r="U27" i="20" s="1"/>
  <c r="J27" i="20"/>
  <c r="M27" i="20" s="1"/>
  <c r="X26" i="20"/>
  <c r="U26" i="20"/>
  <c r="S26" i="20"/>
  <c r="J26" i="20"/>
  <c r="M26" i="20" s="1"/>
  <c r="X25" i="20"/>
  <c r="S25" i="20"/>
  <c r="U25" i="20" s="1"/>
  <c r="J25" i="20"/>
  <c r="M25" i="20" s="1"/>
  <c r="X24" i="20"/>
  <c r="S24" i="20"/>
  <c r="U24" i="20" s="1"/>
  <c r="J24" i="20"/>
  <c r="M24" i="20" s="1"/>
  <c r="X23" i="20"/>
  <c r="S23" i="20"/>
  <c r="U23" i="20" s="1"/>
  <c r="J23" i="20"/>
  <c r="M23" i="20" s="1"/>
  <c r="X22" i="20"/>
  <c r="U22" i="20"/>
  <c r="S22" i="20"/>
  <c r="J22" i="20"/>
  <c r="M22" i="20" s="1"/>
  <c r="X21" i="20"/>
  <c r="S21" i="20"/>
  <c r="U21" i="20" s="1"/>
  <c r="J21" i="20"/>
  <c r="M21" i="20" s="1"/>
  <c r="X20" i="20"/>
  <c r="S20" i="20"/>
  <c r="U20" i="20" s="1"/>
  <c r="J20" i="20"/>
  <c r="M20" i="20" s="1"/>
  <c r="X19" i="20"/>
  <c r="U19" i="20"/>
  <c r="S19" i="20"/>
  <c r="J19" i="20"/>
  <c r="M19" i="20" s="1"/>
  <c r="X18" i="20"/>
  <c r="U18" i="20"/>
  <c r="S18" i="20"/>
  <c r="J18" i="20"/>
  <c r="M18" i="20" s="1"/>
  <c r="X17" i="20"/>
  <c r="S17" i="20"/>
  <c r="U17" i="20" s="1"/>
  <c r="J17" i="20"/>
  <c r="M17" i="20" s="1"/>
  <c r="X16" i="20"/>
  <c r="S16" i="20"/>
  <c r="U16" i="20" s="1"/>
  <c r="J16" i="20"/>
  <c r="M16" i="20" s="1"/>
  <c r="X15" i="20"/>
  <c r="S15" i="20"/>
  <c r="U15" i="20" s="1"/>
  <c r="J15" i="20"/>
  <c r="M15" i="20" s="1"/>
  <c r="X14" i="20"/>
  <c r="S14" i="20"/>
  <c r="U14" i="20" s="1"/>
  <c r="J14" i="20"/>
  <c r="M14" i="20" s="1"/>
  <c r="X13" i="20"/>
  <c r="S13" i="20"/>
  <c r="U13" i="20" s="1"/>
  <c r="J13" i="20"/>
  <c r="M13" i="20" s="1"/>
  <c r="X12" i="20"/>
  <c r="S12" i="20"/>
  <c r="U12" i="20" s="1"/>
  <c r="J12" i="20"/>
  <c r="M12" i="20" s="1"/>
  <c r="X11" i="20"/>
  <c r="S11" i="20"/>
  <c r="U11" i="20" s="1"/>
  <c r="J11" i="20"/>
  <c r="M11" i="20" s="1"/>
  <c r="X10" i="20"/>
  <c r="S10" i="20"/>
  <c r="U10" i="20" s="1"/>
  <c r="J10" i="20"/>
  <c r="M10" i="20" s="1"/>
  <c r="X9" i="20"/>
  <c r="U9" i="20"/>
  <c r="S9" i="20"/>
  <c r="J9" i="20"/>
  <c r="M9" i="20" s="1"/>
  <c r="X8" i="20"/>
  <c r="U8" i="20"/>
  <c r="S8" i="20"/>
  <c r="J8" i="20"/>
  <c r="M8" i="20" s="1"/>
  <c r="X7" i="20"/>
  <c r="S7" i="20"/>
  <c r="U7" i="20" s="1"/>
  <c r="J7" i="20"/>
  <c r="M7" i="20" s="1"/>
  <c r="X6" i="20"/>
  <c r="U6" i="20"/>
  <c r="S6" i="20"/>
  <c r="J6" i="20"/>
  <c r="M6" i="20" s="1"/>
  <c r="X5" i="20"/>
  <c r="S5" i="20"/>
  <c r="U5" i="20" s="1"/>
  <c r="J5" i="20"/>
  <c r="M5" i="20" s="1"/>
  <c r="X4" i="20"/>
  <c r="S4" i="20"/>
  <c r="U4" i="20" s="1"/>
  <c r="J4" i="20"/>
  <c r="K219" i="19"/>
  <c r="K211" i="19"/>
  <c r="N31" i="9" s="1"/>
  <c r="K208" i="19"/>
  <c r="J203" i="19"/>
  <c r="M203" i="19" s="1"/>
  <c r="J202" i="19"/>
  <c r="M202" i="19" s="1"/>
  <c r="J201" i="19"/>
  <c r="M201" i="19" s="1"/>
  <c r="J200" i="19"/>
  <c r="M200" i="19" s="1"/>
  <c r="J199" i="19"/>
  <c r="M199" i="19" s="1"/>
  <c r="J198" i="19"/>
  <c r="M198" i="19" s="1"/>
  <c r="J197" i="19"/>
  <c r="M197" i="19" s="1"/>
  <c r="J196" i="19"/>
  <c r="M196" i="19" s="1"/>
  <c r="J195" i="19"/>
  <c r="M195" i="19" s="1"/>
  <c r="J194" i="19"/>
  <c r="M194" i="19" s="1"/>
  <c r="J193" i="19"/>
  <c r="M193" i="19" s="1"/>
  <c r="J192" i="19"/>
  <c r="M192" i="19" s="1"/>
  <c r="J191" i="19"/>
  <c r="M191" i="19" s="1"/>
  <c r="J190" i="19"/>
  <c r="M190" i="19" s="1"/>
  <c r="J189" i="19"/>
  <c r="M189" i="19" s="1"/>
  <c r="J188" i="19"/>
  <c r="M188" i="19" s="1"/>
  <c r="J187" i="19"/>
  <c r="M187" i="19" s="1"/>
  <c r="J186" i="19"/>
  <c r="M186" i="19" s="1"/>
  <c r="J185" i="19"/>
  <c r="M185" i="19" s="1"/>
  <c r="J184" i="19"/>
  <c r="M184" i="19" s="1"/>
  <c r="J183" i="19"/>
  <c r="M183" i="19" s="1"/>
  <c r="J182" i="19"/>
  <c r="M182" i="19" s="1"/>
  <c r="J181" i="19"/>
  <c r="M181" i="19" s="1"/>
  <c r="J180" i="19"/>
  <c r="M180" i="19" s="1"/>
  <c r="J179" i="19"/>
  <c r="M179" i="19" s="1"/>
  <c r="J178" i="19"/>
  <c r="M178" i="19" s="1"/>
  <c r="J177" i="19"/>
  <c r="M177" i="19" s="1"/>
  <c r="J176" i="19"/>
  <c r="M176" i="19" s="1"/>
  <c r="J175" i="19"/>
  <c r="M175" i="19" s="1"/>
  <c r="J174" i="19"/>
  <c r="M174" i="19" s="1"/>
  <c r="J173" i="19"/>
  <c r="M173" i="19" s="1"/>
  <c r="J172" i="19"/>
  <c r="M172" i="19" s="1"/>
  <c r="J171" i="19"/>
  <c r="M171" i="19" s="1"/>
  <c r="J170" i="19"/>
  <c r="M170" i="19" s="1"/>
  <c r="J169" i="19"/>
  <c r="M169" i="19" s="1"/>
  <c r="J168" i="19"/>
  <c r="M168" i="19" s="1"/>
  <c r="J167" i="19"/>
  <c r="M167" i="19" s="1"/>
  <c r="J166" i="19"/>
  <c r="M166" i="19" s="1"/>
  <c r="J165" i="19"/>
  <c r="M165" i="19" s="1"/>
  <c r="J164" i="19"/>
  <c r="M164" i="19" s="1"/>
  <c r="J163" i="19"/>
  <c r="M163" i="19" s="1"/>
  <c r="J162" i="19"/>
  <c r="M162" i="19" s="1"/>
  <c r="J161" i="19"/>
  <c r="M161" i="19" s="1"/>
  <c r="J160" i="19"/>
  <c r="M160" i="19" s="1"/>
  <c r="J159" i="19"/>
  <c r="M159" i="19" s="1"/>
  <c r="J158" i="19"/>
  <c r="M158" i="19" s="1"/>
  <c r="J157" i="19"/>
  <c r="M157" i="19" s="1"/>
  <c r="J156" i="19"/>
  <c r="M156" i="19" s="1"/>
  <c r="J155" i="19"/>
  <c r="M155" i="19" s="1"/>
  <c r="J154" i="19"/>
  <c r="M154" i="19" s="1"/>
  <c r="J153" i="19"/>
  <c r="M153" i="19" s="1"/>
  <c r="J152" i="19"/>
  <c r="M152" i="19" s="1"/>
  <c r="J151" i="19"/>
  <c r="M151" i="19" s="1"/>
  <c r="J150" i="19"/>
  <c r="M150" i="19" s="1"/>
  <c r="J149" i="19"/>
  <c r="M149" i="19" s="1"/>
  <c r="J148" i="19"/>
  <c r="M148" i="19" s="1"/>
  <c r="J147" i="19"/>
  <c r="M147" i="19" s="1"/>
  <c r="J146" i="19"/>
  <c r="M146" i="19" s="1"/>
  <c r="J145" i="19"/>
  <c r="M145" i="19" s="1"/>
  <c r="J144" i="19"/>
  <c r="M144" i="19" s="1"/>
  <c r="J143" i="19"/>
  <c r="M143" i="19" s="1"/>
  <c r="J142" i="19"/>
  <c r="M142" i="19" s="1"/>
  <c r="J141" i="19"/>
  <c r="M141" i="19" s="1"/>
  <c r="J140" i="19"/>
  <c r="M140" i="19" s="1"/>
  <c r="J139" i="19"/>
  <c r="M139" i="19" s="1"/>
  <c r="J138" i="19"/>
  <c r="M138" i="19" s="1"/>
  <c r="J137" i="19"/>
  <c r="M137" i="19" s="1"/>
  <c r="J136" i="19"/>
  <c r="M136" i="19" s="1"/>
  <c r="J135" i="19"/>
  <c r="M135" i="19" s="1"/>
  <c r="J134" i="19"/>
  <c r="M134" i="19" s="1"/>
  <c r="J133" i="19"/>
  <c r="M133" i="19" s="1"/>
  <c r="J132" i="19"/>
  <c r="M132" i="19" s="1"/>
  <c r="J131" i="19"/>
  <c r="M131" i="19" s="1"/>
  <c r="J130" i="19"/>
  <c r="M130" i="19" s="1"/>
  <c r="J129" i="19"/>
  <c r="M129" i="19" s="1"/>
  <c r="J128" i="19"/>
  <c r="M128" i="19" s="1"/>
  <c r="J127" i="19"/>
  <c r="M127" i="19" s="1"/>
  <c r="J126" i="19"/>
  <c r="M126" i="19" s="1"/>
  <c r="J125" i="19"/>
  <c r="M125" i="19" s="1"/>
  <c r="J124" i="19"/>
  <c r="M124" i="19" s="1"/>
  <c r="J123" i="19"/>
  <c r="M123" i="19" s="1"/>
  <c r="J122" i="19"/>
  <c r="M122" i="19" s="1"/>
  <c r="J121" i="19"/>
  <c r="M121" i="19" s="1"/>
  <c r="J120" i="19"/>
  <c r="M120" i="19" s="1"/>
  <c r="J119" i="19"/>
  <c r="M119" i="19" s="1"/>
  <c r="J118" i="19"/>
  <c r="M118" i="19" s="1"/>
  <c r="J117" i="19"/>
  <c r="M117" i="19" s="1"/>
  <c r="J116" i="19"/>
  <c r="M116" i="19" s="1"/>
  <c r="J115" i="19"/>
  <c r="M115" i="19" s="1"/>
  <c r="J114" i="19"/>
  <c r="M114" i="19" s="1"/>
  <c r="J113" i="19"/>
  <c r="M113" i="19" s="1"/>
  <c r="J112" i="19"/>
  <c r="M112" i="19" s="1"/>
  <c r="J111" i="19"/>
  <c r="M111" i="19" s="1"/>
  <c r="J110" i="19"/>
  <c r="M110" i="19" s="1"/>
  <c r="J109" i="19"/>
  <c r="M109" i="19" s="1"/>
  <c r="J108" i="19"/>
  <c r="M108" i="19" s="1"/>
  <c r="J107" i="19"/>
  <c r="M107" i="19" s="1"/>
  <c r="J106" i="19"/>
  <c r="M106" i="19" s="1"/>
  <c r="J105" i="19"/>
  <c r="M105" i="19" s="1"/>
  <c r="Z104" i="19"/>
  <c r="J104" i="19"/>
  <c r="M104" i="19" s="1"/>
  <c r="X103" i="19"/>
  <c r="S103" i="19"/>
  <c r="U103" i="19" s="1"/>
  <c r="J103" i="19"/>
  <c r="M103" i="19" s="1"/>
  <c r="X102" i="19"/>
  <c r="S102" i="19"/>
  <c r="U102" i="19" s="1"/>
  <c r="J102" i="19"/>
  <c r="M102" i="19" s="1"/>
  <c r="X101" i="19"/>
  <c r="S101" i="19"/>
  <c r="U101" i="19" s="1"/>
  <c r="J101" i="19"/>
  <c r="M101" i="19" s="1"/>
  <c r="X100" i="19"/>
  <c r="S100" i="19"/>
  <c r="U100" i="19" s="1"/>
  <c r="J100" i="19"/>
  <c r="M100" i="19" s="1"/>
  <c r="X99" i="19"/>
  <c r="S99" i="19"/>
  <c r="U99" i="19" s="1"/>
  <c r="J99" i="19"/>
  <c r="M99" i="19" s="1"/>
  <c r="X98" i="19"/>
  <c r="S98" i="19"/>
  <c r="U98" i="19" s="1"/>
  <c r="J98" i="19"/>
  <c r="M98" i="19" s="1"/>
  <c r="X97" i="19"/>
  <c r="S97" i="19"/>
  <c r="U97" i="19" s="1"/>
  <c r="J97" i="19"/>
  <c r="M97" i="19" s="1"/>
  <c r="X96" i="19"/>
  <c r="S96" i="19"/>
  <c r="U96" i="19" s="1"/>
  <c r="J96" i="19"/>
  <c r="M96" i="19" s="1"/>
  <c r="X95" i="19"/>
  <c r="S95" i="19"/>
  <c r="U95" i="19" s="1"/>
  <c r="J95" i="19"/>
  <c r="M95" i="19" s="1"/>
  <c r="X94" i="19"/>
  <c r="S94" i="19"/>
  <c r="U94" i="19" s="1"/>
  <c r="J94" i="19"/>
  <c r="M94" i="19" s="1"/>
  <c r="X93" i="19"/>
  <c r="S93" i="19"/>
  <c r="U93" i="19" s="1"/>
  <c r="J93" i="19"/>
  <c r="M93" i="19" s="1"/>
  <c r="X92" i="19"/>
  <c r="S92" i="19"/>
  <c r="U92" i="19" s="1"/>
  <c r="J92" i="19"/>
  <c r="M92" i="19" s="1"/>
  <c r="X91" i="19"/>
  <c r="S91" i="19"/>
  <c r="U91" i="19" s="1"/>
  <c r="J91" i="19"/>
  <c r="M91" i="19" s="1"/>
  <c r="X90" i="19"/>
  <c r="S90" i="19"/>
  <c r="U90" i="19" s="1"/>
  <c r="J90" i="19"/>
  <c r="M90" i="19" s="1"/>
  <c r="X89" i="19"/>
  <c r="S89" i="19"/>
  <c r="U89" i="19" s="1"/>
  <c r="J89" i="19"/>
  <c r="M89" i="19" s="1"/>
  <c r="X88" i="19"/>
  <c r="S88" i="19"/>
  <c r="U88" i="19" s="1"/>
  <c r="J88" i="19"/>
  <c r="M88" i="19" s="1"/>
  <c r="X87" i="19"/>
  <c r="S87" i="19"/>
  <c r="U87" i="19" s="1"/>
  <c r="J87" i="19"/>
  <c r="M87" i="19" s="1"/>
  <c r="X86" i="19"/>
  <c r="S86" i="19"/>
  <c r="U86" i="19" s="1"/>
  <c r="J86" i="19"/>
  <c r="M86" i="19" s="1"/>
  <c r="X85" i="19"/>
  <c r="S85" i="19"/>
  <c r="U85" i="19" s="1"/>
  <c r="J85" i="19"/>
  <c r="M85" i="19" s="1"/>
  <c r="X84" i="19"/>
  <c r="S84" i="19"/>
  <c r="U84" i="19" s="1"/>
  <c r="J84" i="19"/>
  <c r="M84" i="19" s="1"/>
  <c r="X83" i="19"/>
  <c r="S83" i="19"/>
  <c r="U83" i="19" s="1"/>
  <c r="J83" i="19"/>
  <c r="M83" i="19" s="1"/>
  <c r="X82" i="19"/>
  <c r="S82" i="19"/>
  <c r="U82" i="19" s="1"/>
  <c r="J82" i="19"/>
  <c r="M82" i="19" s="1"/>
  <c r="X81" i="19"/>
  <c r="S81" i="19"/>
  <c r="U81" i="19" s="1"/>
  <c r="J81" i="19"/>
  <c r="M81" i="19" s="1"/>
  <c r="X80" i="19"/>
  <c r="S80" i="19"/>
  <c r="U80" i="19" s="1"/>
  <c r="J80" i="19"/>
  <c r="M80" i="19" s="1"/>
  <c r="X79" i="19"/>
  <c r="S79" i="19"/>
  <c r="U79" i="19" s="1"/>
  <c r="J79" i="19"/>
  <c r="M79" i="19" s="1"/>
  <c r="X78" i="19"/>
  <c r="S78" i="19"/>
  <c r="U78" i="19" s="1"/>
  <c r="J78" i="19"/>
  <c r="M78" i="19" s="1"/>
  <c r="X77" i="19"/>
  <c r="S77" i="19"/>
  <c r="U77" i="19" s="1"/>
  <c r="J77" i="19"/>
  <c r="M77" i="19" s="1"/>
  <c r="X76" i="19"/>
  <c r="S76" i="19"/>
  <c r="U76" i="19" s="1"/>
  <c r="J76" i="19"/>
  <c r="M76" i="19" s="1"/>
  <c r="X75" i="19"/>
  <c r="S75" i="19"/>
  <c r="U75" i="19" s="1"/>
  <c r="J75" i="19"/>
  <c r="M75" i="19" s="1"/>
  <c r="X74" i="19"/>
  <c r="S74" i="19"/>
  <c r="U74" i="19" s="1"/>
  <c r="J74" i="19"/>
  <c r="M74" i="19" s="1"/>
  <c r="X73" i="19"/>
  <c r="S73" i="19"/>
  <c r="U73" i="19" s="1"/>
  <c r="J73" i="19"/>
  <c r="M73" i="19" s="1"/>
  <c r="X72" i="19"/>
  <c r="S72" i="19"/>
  <c r="U72" i="19" s="1"/>
  <c r="J72" i="19"/>
  <c r="M72" i="19" s="1"/>
  <c r="X71" i="19"/>
  <c r="S71" i="19"/>
  <c r="U71" i="19" s="1"/>
  <c r="J71" i="19"/>
  <c r="M71" i="19" s="1"/>
  <c r="X70" i="19"/>
  <c r="S70" i="19"/>
  <c r="U70" i="19" s="1"/>
  <c r="J70" i="19"/>
  <c r="M70" i="19" s="1"/>
  <c r="X69" i="19"/>
  <c r="S69" i="19"/>
  <c r="U69" i="19" s="1"/>
  <c r="J69" i="19"/>
  <c r="M69" i="19" s="1"/>
  <c r="X68" i="19"/>
  <c r="S68" i="19"/>
  <c r="U68" i="19" s="1"/>
  <c r="J68" i="19"/>
  <c r="M68" i="19" s="1"/>
  <c r="X67" i="19"/>
  <c r="S67" i="19"/>
  <c r="U67" i="19" s="1"/>
  <c r="J67" i="19"/>
  <c r="M67" i="19" s="1"/>
  <c r="X66" i="19"/>
  <c r="S66" i="19"/>
  <c r="U66" i="19" s="1"/>
  <c r="J66" i="19"/>
  <c r="M66" i="19" s="1"/>
  <c r="X65" i="19"/>
  <c r="S65" i="19"/>
  <c r="U65" i="19" s="1"/>
  <c r="J65" i="19"/>
  <c r="M65" i="19" s="1"/>
  <c r="X64" i="19"/>
  <c r="S64" i="19"/>
  <c r="U64" i="19" s="1"/>
  <c r="J64" i="19"/>
  <c r="M64" i="19" s="1"/>
  <c r="X63" i="19"/>
  <c r="S63" i="19"/>
  <c r="U63" i="19" s="1"/>
  <c r="J63" i="19"/>
  <c r="M63" i="19" s="1"/>
  <c r="X62" i="19"/>
  <c r="S62" i="19"/>
  <c r="U62" i="19" s="1"/>
  <c r="J62" i="19"/>
  <c r="M62" i="19" s="1"/>
  <c r="X61" i="19"/>
  <c r="S61" i="19"/>
  <c r="U61" i="19" s="1"/>
  <c r="J61" i="19"/>
  <c r="M61" i="19" s="1"/>
  <c r="X60" i="19"/>
  <c r="S60" i="19"/>
  <c r="U60" i="19" s="1"/>
  <c r="J60" i="19"/>
  <c r="M60" i="19" s="1"/>
  <c r="X59" i="19"/>
  <c r="S59" i="19"/>
  <c r="U59" i="19" s="1"/>
  <c r="J59" i="19"/>
  <c r="M59" i="19" s="1"/>
  <c r="X58" i="19"/>
  <c r="S58" i="19"/>
  <c r="U58" i="19" s="1"/>
  <c r="J58" i="19"/>
  <c r="M58" i="19" s="1"/>
  <c r="X57" i="19"/>
  <c r="U57" i="19"/>
  <c r="S57" i="19"/>
  <c r="J57" i="19"/>
  <c r="M57" i="19" s="1"/>
  <c r="X56" i="19"/>
  <c r="S56" i="19"/>
  <c r="U56" i="19" s="1"/>
  <c r="J56" i="19"/>
  <c r="M56" i="19" s="1"/>
  <c r="X55" i="19"/>
  <c r="S55" i="19"/>
  <c r="U55" i="19" s="1"/>
  <c r="J55" i="19"/>
  <c r="M55" i="19" s="1"/>
  <c r="X54" i="19"/>
  <c r="S54" i="19"/>
  <c r="U54" i="19" s="1"/>
  <c r="J54" i="19"/>
  <c r="M54" i="19" s="1"/>
  <c r="X53" i="19"/>
  <c r="S53" i="19"/>
  <c r="U53" i="19" s="1"/>
  <c r="J53" i="19"/>
  <c r="M53" i="19" s="1"/>
  <c r="X52" i="19"/>
  <c r="S52" i="19"/>
  <c r="U52" i="19" s="1"/>
  <c r="J52" i="19"/>
  <c r="M52" i="19" s="1"/>
  <c r="X51" i="19"/>
  <c r="S51" i="19"/>
  <c r="U51" i="19" s="1"/>
  <c r="J51" i="19"/>
  <c r="M51" i="19" s="1"/>
  <c r="X50" i="19"/>
  <c r="U50" i="19"/>
  <c r="S50" i="19"/>
  <c r="J50" i="19"/>
  <c r="M50" i="19" s="1"/>
  <c r="X49" i="19"/>
  <c r="S49" i="19"/>
  <c r="U49" i="19" s="1"/>
  <c r="J49" i="19"/>
  <c r="M49" i="19" s="1"/>
  <c r="X48" i="19"/>
  <c r="S48" i="19"/>
  <c r="U48" i="19" s="1"/>
  <c r="J48" i="19"/>
  <c r="M48" i="19" s="1"/>
  <c r="X47" i="19"/>
  <c r="S47" i="19"/>
  <c r="U47" i="19" s="1"/>
  <c r="J47" i="19"/>
  <c r="M47" i="19" s="1"/>
  <c r="X46" i="19"/>
  <c r="S46" i="19"/>
  <c r="U46" i="19" s="1"/>
  <c r="J46" i="19"/>
  <c r="M46" i="19" s="1"/>
  <c r="X45" i="19"/>
  <c r="U45" i="19"/>
  <c r="S45" i="19"/>
  <c r="J45" i="19"/>
  <c r="M45" i="19" s="1"/>
  <c r="X44" i="19"/>
  <c r="S44" i="19"/>
  <c r="U44" i="19" s="1"/>
  <c r="J44" i="19"/>
  <c r="M44" i="19" s="1"/>
  <c r="X43" i="19"/>
  <c r="S43" i="19"/>
  <c r="U43" i="19" s="1"/>
  <c r="J43" i="19"/>
  <c r="M43" i="19" s="1"/>
  <c r="X42" i="19"/>
  <c r="U42" i="19"/>
  <c r="S42" i="19"/>
  <c r="J42" i="19"/>
  <c r="X41" i="19"/>
  <c r="U41" i="19"/>
  <c r="S41" i="19"/>
  <c r="J41" i="19"/>
  <c r="M41" i="19" s="1"/>
  <c r="X40" i="19"/>
  <c r="S40" i="19"/>
  <c r="U40" i="19" s="1"/>
  <c r="J40" i="19"/>
  <c r="M40" i="19" s="1"/>
  <c r="X39" i="19"/>
  <c r="S39" i="19"/>
  <c r="U39" i="19" s="1"/>
  <c r="J39" i="19"/>
  <c r="M39" i="19" s="1"/>
  <c r="X38" i="19"/>
  <c r="U38" i="19"/>
  <c r="S38" i="19"/>
  <c r="J38" i="19"/>
  <c r="M38" i="19" s="1"/>
  <c r="X37" i="19"/>
  <c r="S37" i="19"/>
  <c r="U37" i="19" s="1"/>
  <c r="J37" i="19"/>
  <c r="M37" i="19" s="1"/>
  <c r="X36" i="19"/>
  <c r="U36" i="19"/>
  <c r="S36" i="19"/>
  <c r="J36" i="19"/>
  <c r="M36" i="19" s="1"/>
  <c r="X35" i="19"/>
  <c r="S35" i="19"/>
  <c r="U35" i="19" s="1"/>
  <c r="J35" i="19"/>
  <c r="M35" i="19" s="1"/>
  <c r="X34" i="19"/>
  <c r="S34" i="19"/>
  <c r="U34" i="19" s="1"/>
  <c r="J34" i="19"/>
  <c r="M34" i="19" s="1"/>
  <c r="X33" i="19"/>
  <c r="S33" i="19"/>
  <c r="U33" i="19" s="1"/>
  <c r="J33" i="19"/>
  <c r="M33" i="19" s="1"/>
  <c r="X32" i="19"/>
  <c r="S32" i="19"/>
  <c r="U32" i="19" s="1"/>
  <c r="J32" i="19"/>
  <c r="M32" i="19" s="1"/>
  <c r="X31" i="19"/>
  <c r="S31" i="19"/>
  <c r="U31" i="19" s="1"/>
  <c r="J31" i="19"/>
  <c r="M31" i="19" s="1"/>
  <c r="X30" i="19"/>
  <c r="S30" i="19"/>
  <c r="U30" i="19" s="1"/>
  <c r="J30" i="19"/>
  <c r="M30" i="19" s="1"/>
  <c r="X29" i="19"/>
  <c r="S29" i="19"/>
  <c r="U29" i="19" s="1"/>
  <c r="J29" i="19"/>
  <c r="M29" i="19" s="1"/>
  <c r="X28" i="19"/>
  <c r="S28" i="19"/>
  <c r="U28" i="19" s="1"/>
  <c r="J28" i="19"/>
  <c r="M28" i="19" s="1"/>
  <c r="X27" i="19"/>
  <c r="U27" i="19"/>
  <c r="S27" i="19"/>
  <c r="J27" i="19"/>
  <c r="M27" i="19" s="1"/>
  <c r="X26" i="19"/>
  <c r="S26" i="19"/>
  <c r="U26" i="19" s="1"/>
  <c r="J26" i="19"/>
  <c r="M26" i="19" s="1"/>
  <c r="X25" i="19"/>
  <c r="S25" i="19"/>
  <c r="U25" i="19" s="1"/>
  <c r="J25" i="19"/>
  <c r="M25" i="19" s="1"/>
  <c r="X24" i="19"/>
  <c r="S24" i="19"/>
  <c r="U24" i="19" s="1"/>
  <c r="J24" i="19"/>
  <c r="M24" i="19" s="1"/>
  <c r="X23" i="19"/>
  <c r="S23" i="19"/>
  <c r="U23" i="19" s="1"/>
  <c r="J23" i="19"/>
  <c r="M23" i="19" s="1"/>
  <c r="X22" i="19"/>
  <c r="S22" i="19"/>
  <c r="U22" i="19" s="1"/>
  <c r="J22" i="19"/>
  <c r="M22" i="19" s="1"/>
  <c r="X21" i="19"/>
  <c r="S21" i="19"/>
  <c r="U21" i="19" s="1"/>
  <c r="J21" i="19"/>
  <c r="M21" i="19" s="1"/>
  <c r="X20" i="19"/>
  <c r="S20" i="19"/>
  <c r="U20" i="19" s="1"/>
  <c r="J20" i="19"/>
  <c r="M20" i="19" s="1"/>
  <c r="X19" i="19"/>
  <c r="U19" i="19"/>
  <c r="S19" i="19"/>
  <c r="J19" i="19"/>
  <c r="M19" i="19" s="1"/>
  <c r="X18" i="19"/>
  <c r="S18" i="19"/>
  <c r="U18" i="19" s="1"/>
  <c r="J18" i="19"/>
  <c r="M18" i="19" s="1"/>
  <c r="X17" i="19"/>
  <c r="S17" i="19"/>
  <c r="U17" i="19" s="1"/>
  <c r="J17" i="19"/>
  <c r="M17" i="19" s="1"/>
  <c r="X16" i="19"/>
  <c r="S16" i="19"/>
  <c r="U16" i="19" s="1"/>
  <c r="J16" i="19"/>
  <c r="M16" i="19" s="1"/>
  <c r="X15" i="19"/>
  <c r="S15" i="19"/>
  <c r="U15" i="19" s="1"/>
  <c r="J15" i="19"/>
  <c r="M15" i="19" s="1"/>
  <c r="X14" i="19"/>
  <c r="U14" i="19"/>
  <c r="S14" i="19"/>
  <c r="J14" i="19"/>
  <c r="M14" i="19" s="1"/>
  <c r="X13" i="19"/>
  <c r="S13" i="19"/>
  <c r="U13" i="19" s="1"/>
  <c r="J13" i="19"/>
  <c r="M13" i="19" s="1"/>
  <c r="X12" i="19"/>
  <c r="S12" i="19"/>
  <c r="U12" i="19" s="1"/>
  <c r="J12" i="19"/>
  <c r="M12" i="19" s="1"/>
  <c r="X11" i="19"/>
  <c r="S11" i="19"/>
  <c r="U11" i="19" s="1"/>
  <c r="J11" i="19"/>
  <c r="M11" i="19" s="1"/>
  <c r="X10" i="19"/>
  <c r="S10" i="19"/>
  <c r="U10" i="19" s="1"/>
  <c r="J10" i="19"/>
  <c r="M10" i="19" s="1"/>
  <c r="X9" i="19"/>
  <c r="U9" i="19"/>
  <c r="S9" i="19"/>
  <c r="J9" i="19"/>
  <c r="M9" i="19" s="1"/>
  <c r="X8" i="19"/>
  <c r="S8" i="19"/>
  <c r="U8" i="19" s="1"/>
  <c r="J8" i="19"/>
  <c r="M8" i="19" s="1"/>
  <c r="X7" i="19"/>
  <c r="U7" i="19"/>
  <c r="S7" i="19"/>
  <c r="J7" i="19"/>
  <c r="M7" i="19" s="1"/>
  <c r="X6" i="19"/>
  <c r="S6" i="19"/>
  <c r="U6" i="19" s="1"/>
  <c r="J6" i="19"/>
  <c r="M6" i="19" s="1"/>
  <c r="X5" i="19"/>
  <c r="S5" i="19"/>
  <c r="U5" i="19" s="1"/>
  <c r="J5" i="19"/>
  <c r="M5" i="19" s="1"/>
  <c r="X4" i="19"/>
  <c r="S4" i="19"/>
  <c r="U4" i="19" s="1"/>
  <c r="J4" i="19"/>
  <c r="M4" i="19" s="1"/>
  <c r="K219" i="18"/>
  <c r="K211" i="18"/>
  <c r="N30" i="9" s="1"/>
  <c r="K208" i="18"/>
  <c r="J203" i="18"/>
  <c r="M203" i="18" s="1"/>
  <c r="J202" i="18"/>
  <c r="M202" i="18" s="1"/>
  <c r="J201" i="18"/>
  <c r="M201" i="18" s="1"/>
  <c r="J200" i="18"/>
  <c r="M200" i="18" s="1"/>
  <c r="J199" i="18"/>
  <c r="M199" i="18" s="1"/>
  <c r="J198" i="18"/>
  <c r="M198" i="18" s="1"/>
  <c r="J197" i="18"/>
  <c r="M197" i="18" s="1"/>
  <c r="J196" i="18"/>
  <c r="M196" i="18" s="1"/>
  <c r="J195" i="18"/>
  <c r="M195" i="18" s="1"/>
  <c r="J194" i="18"/>
  <c r="M194" i="18" s="1"/>
  <c r="J193" i="18"/>
  <c r="M193" i="18" s="1"/>
  <c r="J192" i="18"/>
  <c r="M192" i="18" s="1"/>
  <c r="J191" i="18"/>
  <c r="M191" i="18" s="1"/>
  <c r="J190" i="18"/>
  <c r="M190" i="18" s="1"/>
  <c r="J189" i="18"/>
  <c r="M189" i="18" s="1"/>
  <c r="J188" i="18"/>
  <c r="M188" i="18" s="1"/>
  <c r="J187" i="18"/>
  <c r="M187" i="18" s="1"/>
  <c r="J186" i="18"/>
  <c r="M186" i="18" s="1"/>
  <c r="J185" i="18"/>
  <c r="M185" i="18" s="1"/>
  <c r="J184" i="18"/>
  <c r="M184" i="18" s="1"/>
  <c r="J183" i="18"/>
  <c r="M183" i="18" s="1"/>
  <c r="J182" i="18"/>
  <c r="M182" i="18" s="1"/>
  <c r="J181" i="18"/>
  <c r="M181" i="18" s="1"/>
  <c r="J180" i="18"/>
  <c r="M180" i="18" s="1"/>
  <c r="J179" i="18"/>
  <c r="M179" i="18" s="1"/>
  <c r="J178" i="18"/>
  <c r="M178" i="18" s="1"/>
  <c r="J177" i="18"/>
  <c r="M177" i="18" s="1"/>
  <c r="J176" i="18"/>
  <c r="M176" i="18" s="1"/>
  <c r="J175" i="18"/>
  <c r="M175" i="18" s="1"/>
  <c r="J174" i="18"/>
  <c r="M174" i="18" s="1"/>
  <c r="J173" i="18"/>
  <c r="M173" i="18" s="1"/>
  <c r="J172" i="18"/>
  <c r="M172" i="18" s="1"/>
  <c r="J171" i="18"/>
  <c r="M171" i="18" s="1"/>
  <c r="J170" i="18"/>
  <c r="M170" i="18" s="1"/>
  <c r="J169" i="18"/>
  <c r="M169" i="18" s="1"/>
  <c r="J168" i="18"/>
  <c r="M168" i="18" s="1"/>
  <c r="J167" i="18"/>
  <c r="M167" i="18" s="1"/>
  <c r="J166" i="18"/>
  <c r="M166" i="18" s="1"/>
  <c r="J165" i="18"/>
  <c r="M165" i="18" s="1"/>
  <c r="J164" i="18"/>
  <c r="M164" i="18" s="1"/>
  <c r="J163" i="18"/>
  <c r="M163" i="18" s="1"/>
  <c r="J162" i="18"/>
  <c r="M162" i="18" s="1"/>
  <c r="J161" i="18"/>
  <c r="M161" i="18" s="1"/>
  <c r="J160" i="18"/>
  <c r="M160" i="18" s="1"/>
  <c r="J159" i="18"/>
  <c r="M159" i="18" s="1"/>
  <c r="J158" i="18"/>
  <c r="M158" i="18" s="1"/>
  <c r="J157" i="18"/>
  <c r="M157" i="18" s="1"/>
  <c r="J156" i="18"/>
  <c r="M156" i="18" s="1"/>
  <c r="J155" i="18"/>
  <c r="M155" i="18" s="1"/>
  <c r="J154" i="18"/>
  <c r="M154" i="18" s="1"/>
  <c r="J153" i="18"/>
  <c r="M153" i="18" s="1"/>
  <c r="J152" i="18"/>
  <c r="M152" i="18" s="1"/>
  <c r="J151" i="18"/>
  <c r="M151" i="18" s="1"/>
  <c r="J150" i="18"/>
  <c r="M150" i="18" s="1"/>
  <c r="J149" i="18"/>
  <c r="M149" i="18" s="1"/>
  <c r="J148" i="18"/>
  <c r="M148" i="18" s="1"/>
  <c r="J147" i="18"/>
  <c r="M147" i="18" s="1"/>
  <c r="J146" i="18"/>
  <c r="M146" i="18" s="1"/>
  <c r="J145" i="18"/>
  <c r="M145" i="18" s="1"/>
  <c r="J144" i="18"/>
  <c r="M144" i="18" s="1"/>
  <c r="J143" i="18"/>
  <c r="M143" i="18" s="1"/>
  <c r="J142" i="18"/>
  <c r="M142" i="18" s="1"/>
  <c r="J141" i="18"/>
  <c r="M141" i="18" s="1"/>
  <c r="J140" i="18"/>
  <c r="M140" i="18" s="1"/>
  <c r="J139" i="18"/>
  <c r="M139" i="18" s="1"/>
  <c r="J138" i="18"/>
  <c r="M138" i="18" s="1"/>
  <c r="J137" i="18"/>
  <c r="M137" i="18" s="1"/>
  <c r="J136" i="18"/>
  <c r="M136" i="18" s="1"/>
  <c r="J135" i="18"/>
  <c r="M135" i="18" s="1"/>
  <c r="J134" i="18"/>
  <c r="M134" i="18" s="1"/>
  <c r="J133" i="18"/>
  <c r="M133" i="18" s="1"/>
  <c r="J132" i="18"/>
  <c r="M132" i="18" s="1"/>
  <c r="J131" i="18"/>
  <c r="M131" i="18" s="1"/>
  <c r="J130" i="18"/>
  <c r="M130" i="18" s="1"/>
  <c r="J129" i="18"/>
  <c r="M129" i="18" s="1"/>
  <c r="J128" i="18"/>
  <c r="M128" i="18" s="1"/>
  <c r="J127" i="18"/>
  <c r="M127" i="18" s="1"/>
  <c r="J126" i="18"/>
  <c r="M126" i="18" s="1"/>
  <c r="J125" i="18"/>
  <c r="M125" i="18" s="1"/>
  <c r="J124" i="18"/>
  <c r="M124" i="18" s="1"/>
  <c r="J123" i="18"/>
  <c r="M123" i="18" s="1"/>
  <c r="J122" i="18"/>
  <c r="M122" i="18" s="1"/>
  <c r="J121" i="18"/>
  <c r="M121" i="18" s="1"/>
  <c r="J120" i="18"/>
  <c r="M120" i="18" s="1"/>
  <c r="J119" i="18"/>
  <c r="M119" i="18" s="1"/>
  <c r="J118" i="18"/>
  <c r="M118" i="18" s="1"/>
  <c r="J117" i="18"/>
  <c r="M117" i="18" s="1"/>
  <c r="J116" i="18"/>
  <c r="M116" i="18" s="1"/>
  <c r="J115" i="18"/>
  <c r="M115" i="18" s="1"/>
  <c r="J114" i="18"/>
  <c r="M114" i="18" s="1"/>
  <c r="J113" i="18"/>
  <c r="M113" i="18" s="1"/>
  <c r="J112" i="18"/>
  <c r="M112" i="18" s="1"/>
  <c r="J111" i="18"/>
  <c r="M111" i="18" s="1"/>
  <c r="J110" i="18"/>
  <c r="M110" i="18" s="1"/>
  <c r="J109" i="18"/>
  <c r="M109" i="18" s="1"/>
  <c r="J108" i="18"/>
  <c r="M108" i="18" s="1"/>
  <c r="J107" i="18"/>
  <c r="M107" i="18" s="1"/>
  <c r="J106" i="18"/>
  <c r="M106" i="18" s="1"/>
  <c r="J105" i="18"/>
  <c r="M105" i="18" s="1"/>
  <c r="Z104" i="18"/>
  <c r="J104" i="18"/>
  <c r="M104" i="18" s="1"/>
  <c r="X103" i="18"/>
  <c r="S103" i="18"/>
  <c r="U103" i="18" s="1"/>
  <c r="J103" i="18"/>
  <c r="M103" i="18" s="1"/>
  <c r="X102" i="18"/>
  <c r="S102" i="18"/>
  <c r="U102" i="18" s="1"/>
  <c r="J102" i="18"/>
  <c r="M102" i="18" s="1"/>
  <c r="X101" i="18"/>
  <c r="S101" i="18"/>
  <c r="U101" i="18" s="1"/>
  <c r="J101" i="18"/>
  <c r="M101" i="18" s="1"/>
  <c r="X100" i="18"/>
  <c r="S100" i="18"/>
  <c r="U100" i="18" s="1"/>
  <c r="J100" i="18"/>
  <c r="M100" i="18" s="1"/>
  <c r="X99" i="18"/>
  <c r="S99" i="18"/>
  <c r="U99" i="18" s="1"/>
  <c r="J99" i="18"/>
  <c r="M99" i="18" s="1"/>
  <c r="X98" i="18"/>
  <c r="S98" i="18"/>
  <c r="U98" i="18" s="1"/>
  <c r="J98" i="18"/>
  <c r="M98" i="18" s="1"/>
  <c r="X97" i="18"/>
  <c r="S97" i="18"/>
  <c r="U97" i="18" s="1"/>
  <c r="J97" i="18"/>
  <c r="M97" i="18" s="1"/>
  <c r="X96" i="18"/>
  <c r="S96" i="18"/>
  <c r="U96" i="18" s="1"/>
  <c r="J96" i="18"/>
  <c r="M96" i="18" s="1"/>
  <c r="X95" i="18"/>
  <c r="S95" i="18"/>
  <c r="U95" i="18" s="1"/>
  <c r="J95" i="18"/>
  <c r="M95" i="18" s="1"/>
  <c r="X94" i="18"/>
  <c r="S94" i="18"/>
  <c r="U94" i="18" s="1"/>
  <c r="J94" i="18"/>
  <c r="M94" i="18" s="1"/>
  <c r="X93" i="18"/>
  <c r="S93" i="18"/>
  <c r="U93" i="18" s="1"/>
  <c r="J93" i="18"/>
  <c r="M93" i="18" s="1"/>
  <c r="X92" i="18"/>
  <c r="S92" i="18"/>
  <c r="U92" i="18" s="1"/>
  <c r="J92" i="18"/>
  <c r="M92" i="18" s="1"/>
  <c r="X91" i="18"/>
  <c r="S91" i="18"/>
  <c r="U91" i="18" s="1"/>
  <c r="J91" i="18"/>
  <c r="M91" i="18" s="1"/>
  <c r="X90" i="18"/>
  <c r="S90" i="18"/>
  <c r="U90" i="18" s="1"/>
  <c r="J90" i="18"/>
  <c r="M90" i="18" s="1"/>
  <c r="X89" i="18"/>
  <c r="S89" i="18"/>
  <c r="U89" i="18" s="1"/>
  <c r="J89" i="18"/>
  <c r="M89" i="18" s="1"/>
  <c r="X88" i="18"/>
  <c r="S88" i="18"/>
  <c r="U88" i="18" s="1"/>
  <c r="J88" i="18"/>
  <c r="M88" i="18" s="1"/>
  <c r="X87" i="18"/>
  <c r="S87" i="18"/>
  <c r="U87" i="18" s="1"/>
  <c r="J87" i="18"/>
  <c r="M87" i="18" s="1"/>
  <c r="X86" i="18"/>
  <c r="S86" i="18"/>
  <c r="U86" i="18" s="1"/>
  <c r="J86" i="18"/>
  <c r="M86" i="18" s="1"/>
  <c r="X85" i="18"/>
  <c r="S85" i="18"/>
  <c r="U85" i="18" s="1"/>
  <c r="J85" i="18"/>
  <c r="M85" i="18" s="1"/>
  <c r="X84" i="18"/>
  <c r="S84" i="18"/>
  <c r="U84" i="18" s="1"/>
  <c r="J84" i="18"/>
  <c r="M84" i="18" s="1"/>
  <c r="X83" i="18"/>
  <c r="S83" i="18"/>
  <c r="U83" i="18" s="1"/>
  <c r="J83" i="18"/>
  <c r="M83" i="18" s="1"/>
  <c r="X82" i="18"/>
  <c r="S82" i="18"/>
  <c r="U82" i="18" s="1"/>
  <c r="J82" i="18"/>
  <c r="M82" i="18" s="1"/>
  <c r="X81" i="18"/>
  <c r="S81" i="18"/>
  <c r="U81" i="18" s="1"/>
  <c r="J81" i="18"/>
  <c r="M81" i="18" s="1"/>
  <c r="X80" i="18"/>
  <c r="S80" i="18"/>
  <c r="U80" i="18" s="1"/>
  <c r="J80" i="18"/>
  <c r="M80" i="18" s="1"/>
  <c r="X79" i="18"/>
  <c r="S79" i="18"/>
  <c r="U79" i="18" s="1"/>
  <c r="J79" i="18"/>
  <c r="M79" i="18" s="1"/>
  <c r="X78" i="18"/>
  <c r="S78" i="18"/>
  <c r="U78" i="18" s="1"/>
  <c r="J78" i="18"/>
  <c r="M78" i="18" s="1"/>
  <c r="X77" i="18"/>
  <c r="S77" i="18"/>
  <c r="U77" i="18" s="1"/>
  <c r="J77" i="18"/>
  <c r="M77" i="18" s="1"/>
  <c r="X76" i="18"/>
  <c r="S76" i="18"/>
  <c r="U76" i="18" s="1"/>
  <c r="J76" i="18"/>
  <c r="M76" i="18" s="1"/>
  <c r="X75" i="18"/>
  <c r="S75" i="18"/>
  <c r="U75" i="18" s="1"/>
  <c r="J75" i="18"/>
  <c r="M75" i="18" s="1"/>
  <c r="X74" i="18"/>
  <c r="S74" i="18"/>
  <c r="U74" i="18" s="1"/>
  <c r="J74" i="18"/>
  <c r="M74" i="18" s="1"/>
  <c r="X73" i="18"/>
  <c r="S73" i="18"/>
  <c r="U73" i="18" s="1"/>
  <c r="J73" i="18"/>
  <c r="M73" i="18" s="1"/>
  <c r="X72" i="18"/>
  <c r="S72" i="18"/>
  <c r="U72" i="18" s="1"/>
  <c r="J72" i="18"/>
  <c r="M72" i="18" s="1"/>
  <c r="X71" i="18"/>
  <c r="S71" i="18"/>
  <c r="U71" i="18" s="1"/>
  <c r="J71" i="18"/>
  <c r="M71" i="18" s="1"/>
  <c r="X70" i="18"/>
  <c r="S70" i="18"/>
  <c r="U70" i="18" s="1"/>
  <c r="J70" i="18"/>
  <c r="M70" i="18" s="1"/>
  <c r="X69" i="18"/>
  <c r="S69" i="18"/>
  <c r="U69" i="18" s="1"/>
  <c r="J69" i="18"/>
  <c r="M69" i="18" s="1"/>
  <c r="X68" i="18"/>
  <c r="S68" i="18"/>
  <c r="U68" i="18" s="1"/>
  <c r="J68" i="18"/>
  <c r="M68" i="18" s="1"/>
  <c r="X67" i="18"/>
  <c r="S67" i="18"/>
  <c r="U67" i="18" s="1"/>
  <c r="J67" i="18"/>
  <c r="M67" i="18" s="1"/>
  <c r="X66" i="18"/>
  <c r="S66" i="18"/>
  <c r="U66" i="18" s="1"/>
  <c r="J66" i="18"/>
  <c r="M66" i="18" s="1"/>
  <c r="X65" i="18"/>
  <c r="S65" i="18"/>
  <c r="U65" i="18" s="1"/>
  <c r="J65" i="18"/>
  <c r="M65" i="18" s="1"/>
  <c r="X64" i="18"/>
  <c r="S64" i="18"/>
  <c r="U64" i="18" s="1"/>
  <c r="J64" i="18"/>
  <c r="M64" i="18" s="1"/>
  <c r="X63" i="18"/>
  <c r="S63" i="18"/>
  <c r="U63" i="18" s="1"/>
  <c r="J63" i="18"/>
  <c r="M63" i="18" s="1"/>
  <c r="X62" i="18"/>
  <c r="S62" i="18"/>
  <c r="U62" i="18" s="1"/>
  <c r="J62" i="18"/>
  <c r="M62" i="18" s="1"/>
  <c r="X61" i="18"/>
  <c r="S61" i="18"/>
  <c r="U61" i="18" s="1"/>
  <c r="J61" i="18"/>
  <c r="M61" i="18" s="1"/>
  <c r="X60" i="18"/>
  <c r="S60" i="18"/>
  <c r="U60" i="18" s="1"/>
  <c r="J60" i="18"/>
  <c r="M60" i="18" s="1"/>
  <c r="X59" i="18"/>
  <c r="S59" i="18"/>
  <c r="U59" i="18" s="1"/>
  <c r="J59" i="18"/>
  <c r="M59" i="18" s="1"/>
  <c r="X58" i="18"/>
  <c r="S58" i="18"/>
  <c r="U58" i="18" s="1"/>
  <c r="J58" i="18"/>
  <c r="M58" i="18" s="1"/>
  <c r="X57" i="18"/>
  <c r="S57" i="18"/>
  <c r="U57" i="18" s="1"/>
  <c r="J57" i="18"/>
  <c r="M57" i="18" s="1"/>
  <c r="X56" i="18"/>
  <c r="S56" i="18"/>
  <c r="U56" i="18" s="1"/>
  <c r="J56" i="18"/>
  <c r="M56" i="18" s="1"/>
  <c r="X55" i="18"/>
  <c r="S55" i="18"/>
  <c r="U55" i="18" s="1"/>
  <c r="J55" i="18"/>
  <c r="M55" i="18" s="1"/>
  <c r="X54" i="18"/>
  <c r="S54" i="18"/>
  <c r="U54" i="18" s="1"/>
  <c r="J54" i="18"/>
  <c r="M54" i="18" s="1"/>
  <c r="X53" i="18"/>
  <c r="S53" i="18"/>
  <c r="U53" i="18" s="1"/>
  <c r="J53" i="18"/>
  <c r="M53" i="18" s="1"/>
  <c r="X52" i="18"/>
  <c r="S52" i="18"/>
  <c r="U52" i="18" s="1"/>
  <c r="J52" i="18"/>
  <c r="M52" i="18" s="1"/>
  <c r="X51" i="18"/>
  <c r="S51" i="18"/>
  <c r="U51" i="18" s="1"/>
  <c r="J51" i="18"/>
  <c r="M51" i="18" s="1"/>
  <c r="X50" i="18"/>
  <c r="S50" i="18"/>
  <c r="U50" i="18" s="1"/>
  <c r="J50" i="18"/>
  <c r="M50" i="18" s="1"/>
  <c r="X49" i="18"/>
  <c r="S49" i="18"/>
  <c r="U49" i="18" s="1"/>
  <c r="J49" i="18"/>
  <c r="M49" i="18" s="1"/>
  <c r="X48" i="18"/>
  <c r="S48" i="18"/>
  <c r="U48" i="18" s="1"/>
  <c r="J48" i="18"/>
  <c r="M48" i="18" s="1"/>
  <c r="X47" i="18"/>
  <c r="S47" i="18"/>
  <c r="U47" i="18" s="1"/>
  <c r="J47" i="18"/>
  <c r="M47" i="18" s="1"/>
  <c r="X46" i="18"/>
  <c r="S46" i="18"/>
  <c r="U46" i="18" s="1"/>
  <c r="J46" i="18"/>
  <c r="M46" i="18" s="1"/>
  <c r="X45" i="18"/>
  <c r="S45" i="18"/>
  <c r="U45" i="18" s="1"/>
  <c r="J45" i="18"/>
  <c r="M45" i="18" s="1"/>
  <c r="X44" i="18"/>
  <c r="S44" i="18"/>
  <c r="U44" i="18" s="1"/>
  <c r="J44" i="18"/>
  <c r="M44" i="18" s="1"/>
  <c r="X43" i="18"/>
  <c r="S43" i="18"/>
  <c r="U43" i="18" s="1"/>
  <c r="J43" i="18"/>
  <c r="M43" i="18" s="1"/>
  <c r="X42" i="18"/>
  <c r="S42" i="18"/>
  <c r="U42" i="18" s="1"/>
  <c r="J42" i="18"/>
  <c r="M42" i="18" s="1"/>
  <c r="X41" i="18"/>
  <c r="S41" i="18"/>
  <c r="U41" i="18" s="1"/>
  <c r="J41" i="18"/>
  <c r="M41" i="18" s="1"/>
  <c r="X40" i="18"/>
  <c r="S40" i="18"/>
  <c r="U40" i="18" s="1"/>
  <c r="J40" i="18"/>
  <c r="M40" i="18" s="1"/>
  <c r="X39" i="18"/>
  <c r="S39" i="18"/>
  <c r="U39" i="18" s="1"/>
  <c r="J39" i="18"/>
  <c r="M39" i="18" s="1"/>
  <c r="X38" i="18"/>
  <c r="S38" i="18"/>
  <c r="U38" i="18" s="1"/>
  <c r="J38" i="18"/>
  <c r="M38" i="18" s="1"/>
  <c r="X37" i="18"/>
  <c r="S37" i="18"/>
  <c r="U37" i="18" s="1"/>
  <c r="J37" i="18"/>
  <c r="X36" i="18"/>
  <c r="S36" i="18"/>
  <c r="U36" i="18" s="1"/>
  <c r="J36" i="18"/>
  <c r="M36" i="18" s="1"/>
  <c r="X35" i="18"/>
  <c r="S35" i="18"/>
  <c r="U35" i="18" s="1"/>
  <c r="J35" i="18"/>
  <c r="M35" i="18" s="1"/>
  <c r="X34" i="18"/>
  <c r="S34" i="18"/>
  <c r="U34" i="18" s="1"/>
  <c r="J34" i="18"/>
  <c r="M34" i="18" s="1"/>
  <c r="X33" i="18"/>
  <c r="S33" i="18"/>
  <c r="U33" i="18" s="1"/>
  <c r="J33" i="18"/>
  <c r="M33" i="18" s="1"/>
  <c r="X32" i="18"/>
  <c r="S32" i="18"/>
  <c r="U32" i="18" s="1"/>
  <c r="J32" i="18"/>
  <c r="M32" i="18" s="1"/>
  <c r="X31" i="18"/>
  <c r="S31" i="18"/>
  <c r="U31" i="18" s="1"/>
  <c r="J31" i="18"/>
  <c r="M31" i="18" s="1"/>
  <c r="X30" i="18"/>
  <c r="S30" i="18"/>
  <c r="U30" i="18" s="1"/>
  <c r="J30" i="18"/>
  <c r="M30" i="18" s="1"/>
  <c r="X29" i="18"/>
  <c r="S29" i="18"/>
  <c r="U29" i="18" s="1"/>
  <c r="J29" i="18"/>
  <c r="M29" i="18" s="1"/>
  <c r="X28" i="18"/>
  <c r="S28" i="18"/>
  <c r="U28" i="18" s="1"/>
  <c r="J28" i="18"/>
  <c r="M28" i="18" s="1"/>
  <c r="X27" i="18"/>
  <c r="S27" i="18"/>
  <c r="U27" i="18" s="1"/>
  <c r="J27" i="18"/>
  <c r="M27" i="18" s="1"/>
  <c r="X26" i="18"/>
  <c r="S26" i="18"/>
  <c r="U26" i="18" s="1"/>
  <c r="J26" i="18"/>
  <c r="M26" i="18" s="1"/>
  <c r="X25" i="18"/>
  <c r="S25" i="18"/>
  <c r="U25" i="18" s="1"/>
  <c r="J25" i="18"/>
  <c r="M25" i="18" s="1"/>
  <c r="X24" i="18"/>
  <c r="S24" i="18"/>
  <c r="U24" i="18" s="1"/>
  <c r="J24" i="18"/>
  <c r="M24" i="18" s="1"/>
  <c r="X23" i="18"/>
  <c r="S23" i="18"/>
  <c r="U23" i="18" s="1"/>
  <c r="J23" i="18"/>
  <c r="M23" i="18" s="1"/>
  <c r="X22" i="18"/>
  <c r="S22" i="18"/>
  <c r="U22" i="18" s="1"/>
  <c r="J22" i="18"/>
  <c r="M22" i="18" s="1"/>
  <c r="X21" i="18"/>
  <c r="S21" i="18"/>
  <c r="U21" i="18" s="1"/>
  <c r="J21" i="18"/>
  <c r="M21" i="18" s="1"/>
  <c r="X20" i="18"/>
  <c r="S20" i="18"/>
  <c r="U20" i="18" s="1"/>
  <c r="J20" i="18"/>
  <c r="M20" i="18" s="1"/>
  <c r="X19" i="18"/>
  <c r="S19" i="18"/>
  <c r="U19" i="18" s="1"/>
  <c r="J19" i="18"/>
  <c r="M19" i="18" s="1"/>
  <c r="X18" i="18"/>
  <c r="S18" i="18"/>
  <c r="U18" i="18" s="1"/>
  <c r="J18" i="18"/>
  <c r="M18" i="18" s="1"/>
  <c r="X17" i="18"/>
  <c r="S17" i="18"/>
  <c r="U17" i="18" s="1"/>
  <c r="J17" i="18"/>
  <c r="M17" i="18" s="1"/>
  <c r="X16" i="18"/>
  <c r="S16" i="18"/>
  <c r="U16" i="18" s="1"/>
  <c r="J16" i="18"/>
  <c r="M16" i="18" s="1"/>
  <c r="X15" i="18"/>
  <c r="S15" i="18"/>
  <c r="U15" i="18" s="1"/>
  <c r="J15" i="18"/>
  <c r="M15" i="18" s="1"/>
  <c r="X14" i="18"/>
  <c r="S14" i="18"/>
  <c r="U14" i="18" s="1"/>
  <c r="J14" i="18"/>
  <c r="M14" i="18" s="1"/>
  <c r="X13" i="18"/>
  <c r="S13" i="18"/>
  <c r="U13" i="18" s="1"/>
  <c r="J13" i="18"/>
  <c r="M13" i="18" s="1"/>
  <c r="X12" i="18"/>
  <c r="S12" i="18"/>
  <c r="U12" i="18" s="1"/>
  <c r="J12" i="18"/>
  <c r="M12" i="18" s="1"/>
  <c r="X11" i="18"/>
  <c r="S11" i="18"/>
  <c r="U11" i="18" s="1"/>
  <c r="J11" i="18"/>
  <c r="M11" i="18" s="1"/>
  <c r="X10" i="18"/>
  <c r="S10" i="18"/>
  <c r="U10" i="18" s="1"/>
  <c r="J10" i="18"/>
  <c r="M10" i="18" s="1"/>
  <c r="X9" i="18"/>
  <c r="S9" i="18"/>
  <c r="U9" i="18" s="1"/>
  <c r="J9" i="18"/>
  <c r="M9" i="18" s="1"/>
  <c r="X8" i="18"/>
  <c r="S8" i="18"/>
  <c r="U8" i="18" s="1"/>
  <c r="J8" i="18"/>
  <c r="M8" i="18" s="1"/>
  <c r="X7" i="18"/>
  <c r="S7" i="18"/>
  <c r="U7" i="18" s="1"/>
  <c r="J7" i="18"/>
  <c r="M7" i="18" s="1"/>
  <c r="X6" i="18"/>
  <c r="S6" i="18"/>
  <c r="U6" i="18" s="1"/>
  <c r="J6" i="18"/>
  <c r="M6" i="18" s="1"/>
  <c r="X5" i="18"/>
  <c r="S5" i="18"/>
  <c r="U5" i="18" s="1"/>
  <c r="J5" i="18"/>
  <c r="M5" i="18" s="1"/>
  <c r="X4" i="18"/>
  <c r="S4" i="18"/>
  <c r="U4" i="18" s="1"/>
  <c r="J4" i="18"/>
  <c r="K219" i="17"/>
  <c r="K211" i="17"/>
  <c r="N29" i="9" s="1"/>
  <c r="K208" i="17"/>
  <c r="J203" i="17"/>
  <c r="M203" i="17" s="1"/>
  <c r="J202" i="17"/>
  <c r="M202" i="17" s="1"/>
  <c r="J201" i="17"/>
  <c r="M201" i="17" s="1"/>
  <c r="J200" i="17"/>
  <c r="M200" i="17" s="1"/>
  <c r="J199" i="17"/>
  <c r="M199" i="17" s="1"/>
  <c r="J198" i="17"/>
  <c r="M198" i="17" s="1"/>
  <c r="J197" i="17"/>
  <c r="M197" i="17" s="1"/>
  <c r="J196" i="17"/>
  <c r="M196" i="17" s="1"/>
  <c r="J195" i="17"/>
  <c r="M195" i="17" s="1"/>
  <c r="J194" i="17"/>
  <c r="M194" i="17" s="1"/>
  <c r="J193" i="17"/>
  <c r="M193" i="17" s="1"/>
  <c r="J192" i="17"/>
  <c r="M192" i="17" s="1"/>
  <c r="J191" i="17"/>
  <c r="M191" i="17" s="1"/>
  <c r="J190" i="17"/>
  <c r="M190" i="17" s="1"/>
  <c r="J189" i="17"/>
  <c r="M189" i="17" s="1"/>
  <c r="J188" i="17"/>
  <c r="M188" i="17" s="1"/>
  <c r="J187" i="17"/>
  <c r="M187" i="17" s="1"/>
  <c r="J186" i="17"/>
  <c r="M186" i="17" s="1"/>
  <c r="J185" i="17"/>
  <c r="M185" i="17" s="1"/>
  <c r="J184" i="17"/>
  <c r="M184" i="17" s="1"/>
  <c r="J183" i="17"/>
  <c r="M183" i="17" s="1"/>
  <c r="J182" i="17"/>
  <c r="M182" i="17" s="1"/>
  <c r="J181" i="17"/>
  <c r="M181" i="17" s="1"/>
  <c r="J180" i="17"/>
  <c r="M180" i="17" s="1"/>
  <c r="J179" i="17"/>
  <c r="M179" i="17" s="1"/>
  <c r="J178" i="17"/>
  <c r="M178" i="17" s="1"/>
  <c r="J177" i="17"/>
  <c r="M177" i="17" s="1"/>
  <c r="J176" i="17"/>
  <c r="M176" i="17" s="1"/>
  <c r="J175" i="17"/>
  <c r="M175" i="17" s="1"/>
  <c r="J174" i="17"/>
  <c r="M174" i="17" s="1"/>
  <c r="J173" i="17"/>
  <c r="M173" i="17" s="1"/>
  <c r="J172" i="17"/>
  <c r="M172" i="17" s="1"/>
  <c r="J171" i="17"/>
  <c r="M171" i="17" s="1"/>
  <c r="J170" i="17"/>
  <c r="M170" i="17" s="1"/>
  <c r="J169" i="17"/>
  <c r="M169" i="17" s="1"/>
  <c r="J168" i="17"/>
  <c r="M168" i="17" s="1"/>
  <c r="J167" i="17"/>
  <c r="M167" i="17" s="1"/>
  <c r="J166" i="17"/>
  <c r="M166" i="17" s="1"/>
  <c r="J165" i="17"/>
  <c r="M165" i="17" s="1"/>
  <c r="J164" i="17"/>
  <c r="M164" i="17" s="1"/>
  <c r="J163" i="17"/>
  <c r="M163" i="17" s="1"/>
  <c r="J162" i="17"/>
  <c r="M162" i="17" s="1"/>
  <c r="J161" i="17"/>
  <c r="M161" i="17" s="1"/>
  <c r="J160" i="17"/>
  <c r="M160" i="17" s="1"/>
  <c r="J159" i="17"/>
  <c r="M159" i="17" s="1"/>
  <c r="J158" i="17"/>
  <c r="M158" i="17" s="1"/>
  <c r="J157" i="17"/>
  <c r="M157" i="17" s="1"/>
  <c r="J156" i="17"/>
  <c r="M156" i="17" s="1"/>
  <c r="J155" i="17"/>
  <c r="M155" i="17" s="1"/>
  <c r="J154" i="17"/>
  <c r="M154" i="17" s="1"/>
  <c r="J153" i="17"/>
  <c r="M153" i="17" s="1"/>
  <c r="J152" i="17"/>
  <c r="M152" i="17" s="1"/>
  <c r="J151" i="17"/>
  <c r="M151" i="17" s="1"/>
  <c r="J150" i="17"/>
  <c r="M150" i="17" s="1"/>
  <c r="J149" i="17"/>
  <c r="M149" i="17" s="1"/>
  <c r="J148" i="17"/>
  <c r="M148" i="17" s="1"/>
  <c r="J147" i="17"/>
  <c r="M147" i="17" s="1"/>
  <c r="J146" i="17"/>
  <c r="M146" i="17" s="1"/>
  <c r="J145" i="17"/>
  <c r="M145" i="17" s="1"/>
  <c r="J144" i="17"/>
  <c r="M144" i="17" s="1"/>
  <c r="J143" i="17"/>
  <c r="M143" i="17" s="1"/>
  <c r="J142" i="17"/>
  <c r="M142" i="17" s="1"/>
  <c r="J141" i="17"/>
  <c r="M141" i="17" s="1"/>
  <c r="J140" i="17"/>
  <c r="M140" i="17" s="1"/>
  <c r="J139" i="17"/>
  <c r="M139" i="17" s="1"/>
  <c r="J138" i="17"/>
  <c r="M138" i="17" s="1"/>
  <c r="J137" i="17"/>
  <c r="M137" i="17" s="1"/>
  <c r="J136" i="17"/>
  <c r="M136" i="17" s="1"/>
  <c r="J135" i="17"/>
  <c r="M135" i="17" s="1"/>
  <c r="J134" i="17"/>
  <c r="M134" i="17" s="1"/>
  <c r="J133" i="17"/>
  <c r="M133" i="17" s="1"/>
  <c r="J132" i="17"/>
  <c r="M132" i="17" s="1"/>
  <c r="J131" i="17"/>
  <c r="M131" i="17" s="1"/>
  <c r="J130" i="17"/>
  <c r="M130" i="17" s="1"/>
  <c r="J129" i="17"/>
  <c r="M129" i="17" s="1"/>
  <c r="J128" i="17"/>
  <c r="M128" i="17" s="1"/>
  <c r="J127" i="17"/>
  <c r="M127" i="17" s="1"/>
  <c r="J126" i="17"/>
  <c r="M126" i="17" s="1"/>
  <c r="J125" i="17"/>
  <c r="M125" i="17" s="1"/>
  <c r="J124" i="17"/>
  <c r="M124" i="17" s="1"/>
  <c r="J123" i="17"/>
  <c r="M123" i="17" s="1"/>
  <c r="J122" i="17"/>
  <c r="M122" i="17" s="1"/>
  <c r="M121" i="17"/>
  <c r="J121" i="17"/>
  <c r="J120" i="17"/>
  <c r="M120" i="17" s="1"/>
  <c r="J119" i="17"/>
  <c r="M119" i="17" s="1"/>
  <c r="J118" i="17"/>
  <c r="M118" i="17" s="1"/>
  <c r="J117" i="17"/>
  <c r="M117" i="17" s="1"/>
  <c r="J116" i="17"/>
  <c r="M116" i="17" s="1"/>
  <c r="J115" i="17"/>
  <c r="M115" i="17" s="1"/>
  <c r="J114" i="17"/>
  <c r="M114" i="17" s="1"/>
  <c r="J113" i="17"/>
  <c r="M113" i="17" s="1"/>
  <c r="J112" i="17"/>
  <c r="M112" i="17" s="1"/>
  <c r="J111" i="17"/>
  <c r="M111" i="17" s="1"/>
  <c r="J110" i="17"/>
  <c r="M110" i="17" s="1"/>
  <c r="J109" i="17"/>
  <c r="M109" i="17" s="1"/>
  <c r="J108" i="17"/>
  <c r="M108" i="17" s="1"/>
  <c r="J107" i="17"/>
  <c r="M107" i="17" s="1"/>
  <c r="J106" i="17"/>
  <c r="M106" i="17" s="1"/>
  <c r="J105" i="17"/>
  <c r="M105" i="17" s="1"/>
  <c r="Z104" i="17"/>
  <c r="J104" i="17"/>
  <c r="M104" i="17" s="1"/>
  <c r="X103" i="17"/>
  <c r="S103" i="17"/>
  <c r="U103" i="17" s="1"/>
  <c r="J103" i="17"/>
  <c r="M103" i="17" s="1"/>
  <c r="X102" i="17"/>
  <c r="S102" i="17"/>
  <c r="U102" i="17" s="1"/>
  <c r="J102" i="17"/>
  <c r="M102" i="17" s="1"/>
  <c r="X101" i="17"/>
  <c r="S101" i="17"/>
  <c r="U101" i="17" s="1"/>
  <c r="J101" i="17"/>
  <c r="M101" i="17" s="1"/>
  <c r="X100" i="17"/>
  <c r="S100" i="17"/>
  <c r="U100" i="17" s="1"/>
  <c r="J100" i="17"/>
  <c r="M100" i="17" s="1"/>
  <c r="X99" i="17"/>
  <c r="S99" i="17"/>
  <c r="U99" i="17" s="1"/>
  <c r="J99" i="17"/>
  <c r="M99" i="17" s="1"/>
  <c r="X98" i="17"/>
  <c r="S98" i="17"/>
  <c r="U98" i="17" s="1"/>
  <c r="J98" i="17"/>
  <c r="M98" i="17" s="1"/>
  <c r="X97" i="17"/>
  <c r="S97" i="17"/>
  <c r="U97" i="17" s="1"/>
  <c r="J97" i="17"/>
  <c r="M97" i="17" s="1"/>
  <c r="X96" i="17"/>
  <c r="S96" i="17"/>
  <c r="U96" i="17" s="1"/>
  <c r="J96" i="17"/>
  <c r="M96" i="17" s="1"/>
  <c r="X95" i="17"/>
  <c r="S95" i="17"/>
  <c r="U95" i="17" s="1"/>
  <c r="J95" i="17"/>
  <c r="M95" i="17" s="1"/>
  <c r="X94" i="17"/>
  <c r="S94" i="17"/>
  <c r="U94" i="17" s="1"/>
  <c r="J94" i="17"/>
  <c r="M94" i="17" s="1"/>
  <c r="X93" i="17"/>
  <c r="S93" i="17"/>
  <c r="U93" i="17" s="1"/>
  <c r="J93" i="17"/>
  <c r="M93" i="17" s="1"/>
  <c r="X92" i="17"/>
  <c r="S92" i="17"/>
  <c r="U92" i="17" s="1"/>
  <c r="J92" i="17"/>
  <c r="M92" i="17" s="1"/>
  <c r="X91" i="17"/>
  <c r="S91" i="17"/>
  <c r="U91" i="17" s="1"/>
  <c r="J91" i="17"/>
  <c r="M91" i="17" s="1"/>
  <c r="X90" i="17"/>
  <c r="S90" i="17"/>
  <c r="U90" i="17" s="1"/>
  <c r="J90" i="17"/>
  <c r="M90" i="17" s="1"/>
  <c r="X89" i="17"/>
  <c r="S89" i="17"/>
  <c r="U89" i="17" s="1"/>
  <c r="J89" i="17"/>
  <c r="M89" i="17" s="1"/>
  <c r="X88" i="17"/>
  <c r="S88" i="17"/>
  <c r="U88" i="17" s="1"/>
  <c r="J88" i="17"/>
  <c r="M88" i="17" s="1"/>
  <c r="X87" i="17"/>
  <c r="S87" i="17"/>
  <c r="U87" i="17" s="1"/>
  <c r="J87" i="17"/>
  <c r="M87" i="17" s="1"/>
  <c r="X86" i="17"/>
  <c r="S86" i="17"/>
  <c r="U86" i="17" s="1"/>
  <c r="J86" i="17"/>
  <c r="M86" i="17" s="1"/>
  <c r="X85" i="17"/>
  <c r="S85" i="17"/>
  <c r="U85" i="17" s="1"/>
  <c r="J85" i="17"/>
  <c r="M85" i="17" s="1"/>
  <c r="X84" i="17"/>
  <c r="S84" i="17"/>
  <c r="U84" i="17" s="1"/>
  <c r="J84" i="17"/>
  <c r="M84" i="17" s="1"/>
  <c r="X83" i="17"/>
  <c r="S83" i="17"/>
  <c r="U83" i="17" s="1"/>
  <c r="J83" i="17"/>
  <c r="M83" i="17" s="1"/>
  <c r="X82" i="17"/>
  <c r="S82" i="17"/>
  <c r="U82" i="17" s="1"/>
  <c r="J82" i="17"/>
  <c r="M82" i="17" s="1"/>
  <c r="X81" i="17"/>
  <c r="S81" i="17"/>
  <c r="U81" i="17" s="1"/>
  <c r="J81" i="17"/>
  <c r="M81" i="17" s="1"/>
  <c r="X80" i="17"/>
  <c r="S80" i="17"/>
  <c r="U80" i="17" s="1"/>
  <c r="J80" i="17"/>
  <c r="M80" i="17" s="1"/>
  <c r="X79" i="17"/>
  <c r="S79" i="17"/>
  <c r="U79" i="17" s="1"/>
  <c r="J79" i="17"/>
  <c r="M79" i="17" s="1"/>
  <c r="X78" i="17"/>
  <c r="S78" i="17"/>
  <c r="U78" i="17" s="1"/>
  <c r="J78" i="17"/>
  <c r="M78" i="17" s="1"/>
  <c r="X77" i="17"/>
  <c r="S77" i="17"/>
  <c r="U77" i="17" s="1"/>
  <c r="J77" i="17"/>
  <c r="M77" i="17" s="1"/>
  <c r="X76" i="17"/>
  <c r="S76" i="17"/>
  <c r="U76" i="17" s="1"/>
  <c r="J76" i="17"/>
  <c r="M76" i="17" s="1"/>
  <c r="X75" i="17"/>
  <c r="S75" i="17"/>
  <c r="U75" i="17" s="1"/>
  <c r="J75" i="17"/>
  <c r="M75" i="17" s="1"/>
  <c r="X74" i="17"/>
  <c r="S74" i="17"/>
  <c r="U74" i="17" s="1"/>
  <c r="J74" i="17"/>
  <c r="M74" i="17" s="1"/>
  <c r="X73" i="17"/>
  <c r="S73" i="17"/>
  <c r="U73" i="17" s="1"/>
  <c r="J73" i="17"/>
  <c r="M73" i="17" s="1"/>
  <c r="X72" i="17"/>
  <c r="S72" i="17"/>
  <c r="U72" i="17" s="1"/>
  <c r="J72" i="17"/>
  <c r="M72" i="17" s="1"/>
  <c r="X71" i="17"/>
  <c r="S71" i="17"/>
  <c r="U71" i="17" s="1"/>
  <c r="J71" i="17"/>
  <c r="M71" i="17" s="1"/>
  <c r="X70" i="17"/>
  <c r="S70" i="17"/>
  <c r="U70" i="17" s="1"/>
  <c r="J70" i="17"/>
  <c r="M70" i="17" s="1"/>
  <c r="X69" i="17"/>
  <c r="S69" i="17"/>
  <c r="U69" i="17" s="1"/>
  <c r="J69" i="17"/>
  <c r="M69" i="17" s="1"/>
  <c r="X68" i="17"/>
  <c r="S68" i="17"/>
  <c r="U68" i="17" s="1"/>
  <c r="J68" i="17"/>
  <c r="M68" i="17" s="1"/>
  <c r="X67" i="17"/>
  <c r="S67" i="17"/>
  <c r="U67" i="17" s="1"/>
  <c r="J67" i="17"/>
  <c r="M67" i="17" s="1"/>
  <c r="X66" i="17"/>
  <c r="S66" i="17"/>
  <c r="U66" i="17" s="1"/>
  <c r="J66" i="17"/>
  <c r="M66" i="17" s="1"/>
  <c r="X65" i="17"/>
  <c r="S65" i="17"/>
  <c r="U65" i="17" s="1"/>
  <c r="J65" i="17"/>
  <c r="M65" i="17" s="1"/>
  <c r="X64" i="17"/>
  <c r="S64" i="17"/>
  <c r="U64" i="17" s="1"/>
  <c r="J64" i="17"/>
  <c r="M64" i="17" s="1"/>
  <c r="X63" i="17"/>
  <c r="S63" i="17"/>
  <c r="U63" i="17" s="1"/>
  <c r="J63" i="17"/>
  <c r="M63" i="17" s="1"/>
  <c r="X62" i="17"/>
  <c r="S62" i="17"/>
  <c r="U62" i="17" s="1"/>
  <c r="J62" i="17"/>
  <c r="M62" i="17" s="1"/>
  <c r="X61" i="17"/>
  <c r="S61" i="17"/>
  <c r="U61" i="17" s="1"/>
  <c r="J61" i="17"/>
  <c r="M61" i="17" s="1"/>
  <c r="X60" i="17"/>
  <c r="S60" i="17"/>
  <c r="U60" i="17" s="1"/>
  <c r="J60" i="17"/>
  <c r="M60" i="17" s="1"/>
  <c r="X59" i="17"/>
  <c r="S59" i="17"/>
  <c r="U59" i="17" s="1"/>
  <c r="J59" i="17"/>
  <c r="M59" i="17" s="1"/>
  <c r="X58" i="17"/>
  <c r="S58" i="17"/>
  <c r="U58" i="17" s="1"/>
  <c r="J58" i="17"/>
  <c r="M58" i="17" s="1"/>
  <c r="X57" i="17"/>
  <c r="S57" i="17"/>
  <c r="U57" i="17" s="1"/>
  <c r="J57" i="17"/>
  <c r="M57" i="17" s="1"/>
  <c r="X56" i="17"/>
  <c r="S56" i="17"/>
  <c r="U56" i="17" s="1"/>
  <c r="J56" i="17"/>
  <c r="M56" i="17" s="1"/>
  <c r="X55" i="17"/>
  <c r="S55" i="17"/>
  <c r="U55" i="17" s="1"/>
  <c r="J55" i="17"/>
  <c r="M55" i="17" s="1"/>
  <c r="X54" i="17"/>
  <c r="S54" i="17"/>
  <c r="U54" i="17" s="1"/>
  <c r="J54" i="17"/>
  <c r="M54" i="17" s="1"/>
  <c r="X53" i="17"/>
  <c r="S53" i="17"/>
  <c r="U53" i="17" s="1"/>
  <c r="J53" i="17"/>
  <c r="M53" i="17" s="1"/>
  <c r="X52" i="17"/>
  <c r="S52" i="17"/>
  <c r="U52" i="17" s="1"/>
  <c r="J52" i="17"/>
  <c r="M52" i="17" s="1"/>
  <c r="X51" i="17"/>
  <c r="S51" i="17"/>
  <c r="U51" i="17" s="1"/>
  <c r="J51" i="17"/>
  <c r="M51" i="17" s="1"/>
  <c r="X50" i="17"/>
  <c r="S50" i="17"/>
  <c r="U50" i="17" s="1"/>
  <c r="J50" i="17"/>
  <c r="M50" i="17" s="1"/>
  <c r="X49" i="17"/>
  <c r="S49" i="17"/>
  <c r="U49" i="17" s="1"/>
  <c r="J49" i="17"/>
  <c r="M49" i="17" s="1"/>
  <c r="X48" i="17"/>
  <c r="S48" i="17"/>
  <c r="U48" i="17" s="1"/>
  <c r="J48" i="17"/>
  <c r="M48" i="17" s="1"/>
  <c r="X47" i="17"/>
  <c r="S47" i="17"/>
  <c r="U47" i="17" s="1"/>
  <c r="J47" i="17"/>
  <c r="M47" i="17" s="1"/>
  <c r="X46" i="17"/>
  <c r="S46" i="17"/>
  <c r="U46" i="17" s="1"/>
  <c r="J46" i="17"/>
  <c r="M46" i="17" s="1"/>
  <c r="X45" i="17"/>
  <c r="S45" i="17"/>
  <c r="U45" i="17" s="1"/>
  <c r="J45" i="17"/>
  <c r="M45" i="17" s="1"/>
  <c r="X44" i="17"/>
  <c r="S44" i="17"/>
  <c r="U44" i="17" s="1"/>
  <c r="J44" i="17"/>
  <c r="M44" i="17" s="1"/>
  <c r="X43" i="17"/>
  <c r="S43" i="17"/>
  <c r="U43" i="17" s="1"/>
  <c r="J43" i="17"/>
  <c r="M43" i="17" s="1"/>
  <c r="X42" i="17"/>
  <c r="S42" i="17"/>
  <c r="U42" i="17" s="1"/>
  <c r="J42" i="17"/>
  <c r="M42" i="17" s="1"/>
  <c r="X41" i="17"/>
  <c r="S41" i="17"/>
  <c r="U41" i="17" s="1"/>
  <c r="J41" i="17"/>
  <c r="M41" i="17" s="1"/>
  <c r="X40" i="17"/>
  <c r="S40" i="17"/>
  <c r="U40" i="17" s="1"/>
  <c r="J40" i="17"/>
  <c r="M40" i="17" s="1"/>
  <c r="X39" i="17"/>
  <c r="S39" i="17"/>
  <c r="U39" i="17" s="1"/>
  <c r="J39" i="17"/>
  <c r="M39" i="17" s="1"/>
  <c r="X38" i="17"/>
  <c r="S38" i="17"/>
  <c r="U38" i="17" s="1"/>
  <c r="J38" i="17"/>
  <c r="M38" i="17" s="1"/>
  <c r="X37" i="17"/>
  <c r="S37" i="17"/>
  <c r="U37" i="17" s="1"/>
  <c r="J37" i="17"/>
  <c r="M37" i="17" s="1"/>
  <c r="X36" i="17"/>
  <c r="S36" i="17"/>
  <c r="U36" i="17" s="1"/>
  <c r="J36" i="17"/>
  <c r="M36" i="17" s="1"/>
  <c r="X35" i="17"/>
  <c r="S35" i="17"/>
  <c r="U35" i="17" s="1"/>
  <c r="J35" i="17"/>
  <c r="M35" i="17" s="1"/>
  <c r="X34" i="17"/>
  <c r="S34" i="17"/>
  <c r="U34" i="17" s="1"/>
  <c r="J34" i="17"/>
  <c r="M34" i="17" s="1"/>
  <c r="X33" i="17"/>
  <c r="S33" i="17"/>
  <c r="U33" i="17" s="1"/>
  <c r="J33" i="17"/>
  <c r="M33" i="17" s="1"/>
  <c r="X32" i="17"/>
  <c r="S32" i="17"/>
  <c r="U32" i="17" s="1"/>
  <c r="J32" i="17"/>
  <c r="M32" i="17" s="1"/>
  <c r="X31" i="17"/>
  <c r="S31" i="17"/>
  <c r="U31" i="17" s="1"/>
  <c r="J31" i="17"/>
  <c r="M31" i="17" s="1"/>
  <c r="X30" i="17"/>
  <c r="S30" i="17"/>
  <c r="U30" i="17" s="1"/>
  <c r="J30" i="17"/>
  <c r="M30" i="17" s="1"/>
  <c r="X29" i="17"/>
  <c r="S29" i="17"/>
  <c r="U29" i="17" s="1"/>
  <c r="J29" i="17"/>
  <c r="M29" i="17" s="1"/>
  <c r="X28" i="17"/>
  <c r="S28" i="17"/>
  <c r="U28" i="17" s="1"/>
  <c r="J28" i="17"/>
  <c r="M28" i="17" s="1"/>
  <c r="X27" i="17"/>
  <c r="S27" i="17"/>
  <c r="U27" i="17" s="1"/>
  <c r="J27" i="17"/>
  <c r="M27" i="17" s="1"/>
  <c r="X26" i="17"/>
  <c r="S26" i="17"/>
  <c r="U26" i="17" s="1"/>
  <c r="J26" i="17"/>
  <c r="M26" i="17" s="1"/>
  <c r="X25" i="17"/>
  <c r="S25" i="17"/>
  <c r="U25" i="17" s="1"/>
  <c r="J25" i="17"/>
  <c r="M25" i="17" s="1"/>
  <c r="X24" i="17"/>
  <c r="S24" i="17"/>
  <c r="U24" i="17" s="1"/>
  <c r="J24" i="17"/>
  <c r="M24" i="17" s="1"/>
  <c r="X23" i="17"/>
  <c r="S23" i="17"/>
  <c r="U23" i="17" s="1"/>
  <c r="J23" i="17"/>
  <c r="M23" i="17" s="1"/>
  <c r="X22" i="17"/>
  <c r="S22" i="17"/>
  <c r="U22" i="17" s="1"/>
  <c r="J22" i="17"/>
  <c r="M22" i="17" s="1"/>
  <c r="X21" i="17"/>
  <c r="S21" i="17"/>
  <c r="U21" i="17" s="1"/>
  <c r="J21" i="17"/>
  <c r="M21" i="17" s="1"/>
  <c r="X20" i="17"/>
  <c r="S20" i="17"/>
  <c r="U20" i="17" s="1"/>
  <c r="J20" i="17"/>
  <c r="M20" i="17" s="1"/>
  <c r="X19" i="17"/>
  <c r="S19" i="17"/>
  <c r="U19" i="17" s="1"/>
  <c r="J19" i="17"/>
  <c r="M19" i="17" s="1"/>
  <c r="X18" i="17"/>
  <c r="S18" i="17"/>
  <c r="U18" i="17" s="1"/>
  <c r="J18" i="17"/>
  <c r="M18" i="17" s="1"/>
  <c r="X17" i="17"/>
  <c r="S17" i="17"/>
  <c r="U17" i="17" s="1"/>
  <c r="J17" i="17"/>
  <c r="M17" i="17" s="1"/>
  <c r="X16" i="17"/>
  <c r="S16" i="17"/>
  <c r="U16" i="17" s="1"/>
  <c r="J16" i="17"/>
  <c r="M16" i="17" s="1"/>
  <c r="X15" i="17"/>
  <c r="S15" i="17"/>
  <c r="U15" i="17" s="1"/>
  <c r="J15" i="17"/>
  <c r="M15" i="17" s="1"/>
  <c r="X14" i="17"/>
  <c r="S14" i="17"/>
  <c r="U14" i="17" s="1"/>
  <c r="J14" i="17"/>
  <c r="M14" i="17" s="1"/>
  <c r="X13" i="17"/>
  <c r="S13" i="17"/>
  <c r="U13" i="17" s="1"/>
  <c r="J13" i="17"/>
  <c r="M13" i="17" s="1"/>
  <c r="X12" i="17"/>
  <c r="S12" i="17"/>
  <c r="U12" i="17" s="1"/>
  <c r="J12" i="17"/>
  <c r="M12" i="17" s="1"/>
  <c r="X11" i="17"/>
  <c r="S11" i="17"/>
  <c r="U11" i="17" s="1"/>
  <c r="J11" i="17"/>
  <c r="M11" i="17" s="1"/>
  <c r="X10" i="17"/>
  <c r="S10" i="17"/>
  <c r="U10" i="17" s="1"/>
  <c r="J10" i="17"/>
  <c r="M10" i="17" s="1"/>
  <c r="X9" i="17"/>
  <c r="S9" i="17"/>
  <c r="U9" i="17" s="1"/>
  <c r="J9" i="17"/>
  <c r="M9" i="17" s="1"/>
  <c r="X8" i="17"/>
  <c r="S8" i="17"/>
  <c r="U8" i="17" s="1"/>
  <c r="J8" i="17"/>
  <c r="M8" i="17" s="1"/>
  <c r="X7" i="17"/>
  <c r="S7" i="17"/>
  <c r="U7" i="17" s="1"/>
  <c r="J7" i="17"/>
  <c r="M7" i="17" s="1"/>
  <c r="X6" i="17"/>
  <c r="S6" i="17"/>
  <c r="U6" i="17" s="1"/>
  <c r="J6" i="17"/>
  <c r="M6" i="17" s="1"/>
  <c r="X5" i="17"/>
  <c r="S5" i="17"/>
  <c r="U5" i="17" s="1"/>
  <c r="J5" i="17"/>
  <c r="M5" i="17" s="1"/>
  <c r="X4" i="17"/>
  <c r="S4" i="17"/>
  <c r="U4" i="17" s="1"/>
  <c r="J4" i="17"/>
  <c r="K219" i="16"/>
  <c r="K211" i="16"/>
  <c r="N28" i="9" s="1"/>
  <c r="K208" i="16"/>
  <c r="J203" i="16"/>
  <c r="M203" i="16" s="1"/>
  <c r="J202" i="16"/>
  <c r="M202" i="16" s="1"/>
  <c r="J201" i="16"/>
  <c r="M201" i="16" s="1"/>
  <c r="J200" i="16"/>
  <c r="M200" i="16" s="1"/>
  <c r="J199" i="16"/>
  <c r="M199" i="16" s="1"/>
  <c r="J198" i="16"/>
  <c r="M198" i="16" s="1"/>
  <c r="J197" i="16"/>
  <c r="M197" i="16" s="1"/>
  <c r="J196" i="16"/>
  <c r="M196" i="16" s="1"/>
  <c r="J195" i="16"/>
  <c r="M195" i="16" s="1"/>
  <c r="J194" i="16"/>
  <c r="M194" i="16" s="1"/>
  <c r="J193" i="16"/>
  <c r="M193" i="16" s="1"/>
  <c r="J192" i="16"/>
  <c r="M192" i="16" s="1"/>
  <c r="J191" i="16"/>
  <c r="M191" i="16" s="1"/>
  <c r="J190" i="16"/>
  <c r="M190" i="16" s="1"/>
  <c r="J189" i="16"/>
  <c r="M189" i="16" s="1"/>
  <c r="J188" i="16"/>
  <c r="M188" i="16" s="1"/>
  <c r="J187" i="16"/>
  <c r="M187" i="16" s="1"/>
  <c r="J186" i="16"/>
  <c r="M186" i="16" s="1"/>
  <c r="J185" i="16"/>
  <c r="M185" i="16" s="1"/>
  <c r="J184" i="16"/>
  <c r="M184" i="16" s="1"/>
  <c r="J183" i="16"/>
  <c r="M183" i="16" s="1"/>
  <c r="J182" i="16"/>
  <c r="M182" i="16" s="1"/>
  <c r="J181" i="16"/>
  <c r="M181" i="16" s="1"/>
  <c r="J180" i="16"/>
  <c r="M180" i="16" s="1"/>
  <c r="J179" i="16"/>
  <c r="M179" i="16" s="1"/>
  <c r="J178" i="16"/>
  <c r="M178" i="16" s="1"/>
  <c r="J177" i="16"/>
  <c r="M177" i="16" s="1"/>
  <c r="J176" i="16"/>
  <c r="M176" i="16" s="1"/>
  <c r="J175" i="16"/>
  <c r="M175" i="16" s="1"/>
  <c r="J174" i="16"/>
  <c r="M174" i="16" s="1"/>
  <c r="J173" i="16"/>
  <c r="M173" i="16" s="1"/>
  <c r="J172" i="16"/>
  <c r="M172" i="16" s="1"/>
  <c r="J171" i="16"/>
  <c r="M171" i="16" s="1"/>
  <c r="J170" i="16"/>
  <c r="M170" i="16" s="1"/>
  <c r="J169" i="16"/>
  <c r="M169" i="16" s="1"/>
  <c r="J168" i="16"/>
  <c r="M168" i="16" s="1"/>
  <c r="J167" i="16"/>
  <c r="M167" i="16" s="1"/>
  <c r="J166" i="16"/>
  <c r="M166" i="16" s="1"/>
  <c r="J165" i="16"/>
  <c r="M165" i="16" s="1"/>
  <c r="J164" i="16"/>
  <c r="M164" i="16" s="1"/>
  <c r="J163" i="16"/>
  <c r="M163" i="16" s="1"/>
  <c r="J162" i="16"/>
  <c r="M162" i="16" s="1"/>
  <c r="J161" i="16"/>
  <c r="M161" i="16" s="1"/>
  <c r="J160" i="16"/>
  <c r="M160" i="16" s="1"/>
  <c r="J159" i="16"/>
  <c r="M159" i="16" s="1"/>
  <c r="J158" i="16"/>
  <c r="M158" i="16" s="1"/>
  <c r="J157" i="16"/>
  <c r="M157" i="16" s="1"/>
  <c r="J156" i="16"/>
  <c r="M156" i="16" s="1"/>
  <c r="J155" i="16"/>
  <c r="M155" i="16" s="1"/>
  <c r="J154" i="16"/>
  <c r="M154" i="16" s="1"/>
  <c r="J153" i="16"/>
  <c r="M153" i="16" s="1"/>
  <c r="J152" i="16"/>
  <c r="M152" i="16" s="1"/>
  <c r="J151" i="16"/>
  <c r="M151" i="16" s="1"/>
  <c r="J150" i="16"/>
  <c r="M150" i="16" s="1"/>
  <c r="J149" i="16"/>
  <c r="M149" i="16" s="1"/>
  <c r="J148" i="16"/>
  <c r="M148" i="16" s="1"/>
  <c r="J147" i="16"/>
  <c r="M147" i="16" s="1"/>
  <c r="J146" i="16"/>
  <c r="M146" i="16" s="1"/>
  <c r="J145" i="16"/>
  <c r="M145" i="16" s="1"/>
  <c r="J144" i="16"/>
  <c r="M144" i="16" s="1"/>
  <c r="J143" i="16"/>
  <c r="M143" i="16" s="1"/>
  <c r="J142" i="16"/>
  <c r="M142" i="16" s="1"/>
  <c r="J141" i="16"/>
  <c r="M141" i="16" s="1"/>
  <c r="J140" i="16"/>
  <c r="M140" i="16" s="1"/>
  <c r="J139" i="16"/>
  <c r="M139" i="16" s="1"/>
  <c r="J138" i="16"/>
  <c r="M138" i="16" s="1"/>
  <c r="J137" i="16"/>
  <c r="M137" i="16" s="1"/>
  <c r="J136" i="16"/>
  <c r="M136" i="16" s="1"/>
  <c r="J135" i="16"/>
  <c r="M135" i="16" s="1"/>
  <c r="J134" i="16"/>
  <c r="M134" i="16" s="1"/>
  <c r="J133" i="16"/>
  <c r="M133" i="16" s="1"/>
  <c r="J132" i="16"/>
  <c r="M132" i="16" s="1"/>
  <c r="J131" i="16"/>
  <c r="M131" i="16" s="1"/>
  <c r="J130" i="16"/>
  <c r="M130" i="16" s="1"/>
  <c r="J129" i="16"/>
  <c r="M129" i="16" s="1"/>
  <c r="J128" i="16"/>
  <c r="M128" i="16" s="1"/>
  <c r="J127" i="16"/>
  <c r="M127" i="16" s="1"/>
  <c r="J126" i="16"/>
  <c r="M126" i="16" s="1"/>
  <c r="J125" i="16"/>
  <c r="M125" i="16" s="1"/>
  <c r="J124" i="16"/>
  <c r="M124" i="16" s="1"/>
  <c r="J123" i="16"/>
  <c r="M123" i="16" s="1"/>
  <c r="J122" i="16"/>
  <c r="M122" i="16" s="1"/>
  <c r="J121" i="16"/>
  <c r="M121" i="16" s="1"/>
  <c r="J120" i="16"/>
  <c r="M120" i="16" s="1"/>
  <c r="J119" i="16"/>
  <c r="M119" i="16" s="1"/>
  <c r="J118" i="16"/>
  <c r="M118" i="16" s="1"/>
  <c r="J117" i="16"/>
  <c r="M117" i="16" s="1"/>
  <c r="J116" i="16"/>
  <c r="M116" i="16" s="1"/>
  <c r="J115" i="16"/>
  <c r="M115" i="16" s="1"/>
  <c r="J114" i="16"/>
  <c r="M114" i="16" s="1"/>
  <c r="J113" i="16"/>
  <c r="M113" i="16" s="1"/>
  <c r="J112" i="16"/>
  <c r="M112" i="16" s="1"/>
  <c r="J111" i="16"/>
  <c r="M111" i="16" s="1"/>
  <c r="J110" i="16"/>
  <c r="M110" i="16" s="1"/>
  <c r="J109" i="16"/>
  <c r="M109" i="16" s="1"/>
  <c r="J108" i="16"/>
  <c r="M108" i="16" s="1"/>
  <c r="J107" i="16"/>
  <c r="M107" i="16" s="1"/>
  <c r="J106" i="16"/>
  <c r="M106" i="16" s="1"/>
  <c r="J105" i="16"/>
  <c r="M105" i="16" s="1"/>
  <c r="Z104" i="16"/>
  <c r="J104" i="16"/>
  <c r="M104" i="16" s="1"/>
  <c r="X103" i="16"/>
  <c r="S103" i="16"/>
  <c r="U103" i="16" s="1"/>
  <c r="J103" i="16"/>
  <c r="M103" i="16" s="1"/>
  <c r="X102" i="16"/>
  <c r="S102" i="16"/>
  <c r="U102" i="16" s="1"/>
  <c r="J102" i="16"/>
  <c r="M102" i="16" s="1"/>
  <c r="X101" i="16"/>
  <c r="S101" i="16"/>
  <c r="U101" i="16" s="1"/>
  <c r="J101" i="16"/>
  <c r="M101" i="16" s="1"/>
  <c r="X100" i="16"/>
  <c r="S100" i="16"/>
  <c r="U100" i="16" s="1"/>
  <c r="J100" i="16"/>
  <c r="M100" i="16" s="1"/>
  <c r="X99" i="16"/>
  <c r="S99" i="16"/>
  <c r="U99" i="16" s="1"/>
  <c r="J99" i="16"/>
  <c r="M99" i="16" s="1"/>
  <c r="X98" i="16"/>
  <c r="S98" i="16"/>
  <c r="U98" i="16" s="1"/>
  <c r="J98" i="16"/>
  <c r="M98" i="16" s="1"/>
  <c r="X97" i="16"/>
  <c r="S97" i="16"/>
  <c r="U97" i="16" s="1"/>
  <c r="J97" i="16"/>
  <c r="M97" i="16" s="1"/>
  <c r="X96" i="16"/>
  <c r="S96" i="16"/>
  <c r="U96" i="16" s="1"/>
  <c r="J96" i="16"/>
  <c r="M96" i="16" s="1"/>
  <c r="X95" i="16"/>
  <c r="S95" i="16"/>
  <c r="U95" i="16" s="1"/>
  <c r="J95" i="16"/>
  <c r="M95" i="16" s="1"/>
  <c r="X94" i="16"/>
  <c r="S94" i="16"/>
  <c r="U94" i="16" s="1"/>
  <c r="J94" i="16"/>
  <c r="M94" i="16" s="1"/>
  <c r="X93" i="16"/>
  <c r="S93" i="16"/>
  <c r="U93" i="16" s="1"/>
  <c r="J93" i="16"/>
  <c r="M93" i="16" s="1"/>
  <c r="X92" i="16"/>
  <c r="S92" i="16"/>
  <c r="U92" i="16" s="1"/>
  <c r="J92" i="16"/>
  <c r="M92" i="16" s="1"/>
  <c r="X91" i="16"/>
  <c r="S91" i="16"/>
  <c r="U91" i="16" s="1"/>
  <c r="J91" i="16"/>
  <c r="M91" i="16" s="1"/>
  <c r="X90" i="16"/>
  <c r="S90" i="16"/>
  <c r="U90" i="16" s="1"/>
  <c r="J90" i="16"/>
  <c r="M90" i="16" s="1"/>
  <c r="X89" i="16"/>
  <c r="S89" i="16"/>
  <c r="U89" i="16" s="1"/>
  <c r="J89" i="16"/>
  <c r="M89" i="16" s="1"/>
  <c r="X88" i="16"/>
  <c r="S88" i="16"/>
  <c r="U88" i="16" s="1"/>
  <c r="J88" i="16"/>
  <c r="M88" i="16" s="1"/>
  <c r="X87" i="16"/>
  <c r="S87" i="16"/>
  <c r="U87" i="16" s="1"/>
  <c r="J87" i="16"/>
  <c r="M87" i="16" s="1"/>
  <c r="X86" i="16"/>
  <c r="S86" i="16"/>
  <c r="U86" i="16" s="1"/>
  <c r="J86" i="16"/>
  <c r="M86" i="16" s="1"/>
  <c r="X85" i="16"/>
  <c r="S85" i="16"/>
  <c r="U85" i="16" s="1"/>
  <c r="J85" i="16"/>
  <c r="M85" i="16" s="1"/>
  <c r="X84" i="16"/>
  <c r="S84" i="16"/>
  <c r="U84" i="16" s="1"/>
  <c r="J84" i="16"/>
  <c r="M84" i="16" s="1"/>
  <c r="X83" i="16"/>
  <c r="S83" i="16"/>
  <c r="U83" i="16" s="1"/>
  <c r="J83" i="16"/>
  <c r="M83" i="16" s="1"/>
  <c r="X82" i="16"/>
  <c r="S82" i="16"/>
  <c r="U82" i="16" s="1"/>
  <c r="J82" i="16"/>
  <c r="M82" i="16" s="1"/>
  <c r="X81" i="16"/>
  <c r="S81" i="16"/>
  <c r="U81" i="16" s="1"/>
  <c r="J81" i="16"/>
  <c r="M81" i="16" s="1"/>
  <c r="X80" i="16"/>
  <c r="S80" i="16"/>
  <c r="U80" i="16" s="1"/>
  <c r="J80" i="16"/>
  <c r="M80" i="16" s="1"/>
  <c r="X79" i="16"/>
  <c r="S79" i="16"/>
  <c r="U79" i="16" s="1"/>
  <c r="J79" i="16"/>
  <c r="M79" i="16" s="1"/>
  <c r="X78" i="16"/>
  <c r="S78" i="16"/>
  <c r="U78" i="16" s="1"/>
  <c r="J78" i="16"/>
  <c r="M78" i="16" s="1"/>
  <c r="X77" i="16"/>
  <c r="S77" i="16"/>
  <c r="U77" i="16" s="1"/>
  <c r="J77" i="16"/>
  <c r="M77" i="16" s="1"/>
  <c r="X76" i="16"/>
  <c r="S76" i="16"/>
  <c r="U76" i="16" s="1"/>
  <c r="J76" i="16"/>
  <c r="M76" i="16" s="1"/>
  <c r="X75" i="16"/>
  <c r="S75" i="16"/>
  <c r="U75" i="16" s="1"/>
  <c r="J75" i="16"/>
  <c r="M75" i="16" s="1"/>
  <c r="X74" i="16"/>
  <c r="S74" i="16"/>
  <c r="U74" i="16" s="1"/>
  <c r="J74" i="16"/>
  <c r="M74" i="16" s="1"/>
  <c r="X73" i="16"/>
  <c r="S73" i="16"/>
  <c r="U73" i="16" s="1"/>
  <c r="J73" i="16"/>
  <c r="M73" i="16" s="1"/>
  <c r="X72" i="16"/>
  <c r="S72" i="16"/>
  <c r="U72" i="16" s="1"/>
  <c r="J72" i="16"/>
  <c r="M72" i="16" s="1"/>
  <c r="X71" i="16"/>
  <c r="S71" i="16"/>
  <c r="U71" i="16" s="1"/>
  <c r="J71" i="16"/>
  <c r="M71" i="16" s="1"/>
  <c r="X70" i="16"/>
  <c r="S70" i="16"/>
  <c r="U70" i="16" s="1"/>
  <c r="J70" i="16"/>
  <c r="M70" i="16" s="1"/>
  <c r="X69" i="16"/>
  <c r="S69" i="16"/>
  <c r="U69" i="16" s="1"/>
  <c r="J69" i="16"/>
  <c r="M69" i="16" s="1"/>
  <c r="X68" i="16"/>
  <c r="S68" i="16"/>
  <c r="U68" i="16" s="1"/>
  <c r="J68" i="16"/>
  <c r="M68" i="16" s="1"/>
  <c r="X67" i="16"/>
  <c r="S67" i="16"/>
  <c r="U67" i="16" s="1"/>
  <c r="J67" i="16"/>
  <c r="M67" i="16" s="1"/>
  <c r="X66" i="16"/>
  <c r="S66" i="16"/>
  <c r="U66" i="16" s="1"/>
  <c r="J66" i="16"/>
  <c r="M66" i="16" s="1"/>
  <c r="X65" i="16"/>
  <c r="S65" i="16"/>
  <c r="U65" i="16" s="1"/>
  <c r="J65" i="16"/>
  <c r="M65" i="16" s="1"/>
  <c r="X64" i="16"/>
  <c r="S64" i="16"/>
  <c r="U64" i="16" s="1"/>
  <c r="J64" i="16"/>
  <c r="M64" i="16" s="1"/>
  <c r="X63" i="16"/>
  <c r="S63" i="16"/>
  <c r="U63" i="16" s="1"/>
  <c r="J63" i="16"/>
  <c r="M63" i="16" s="1"/>
  <c r="X62" i="16"/>
  <c r="S62" i="16"/>
  <c r="U62" i="16" s="1"/>
  <c r="J62" i="16"/>
  <c r="M62" i="16" s="1"/>
  <c r="X61" i="16"/>
  <c r="S61" i="16"/>
  <c r="U61" i="16" s="1"/>
  <c r="J61" i="16"/>
  <c r="M61" i="16" s="1"/>
  <c r="X60" i="16"/>
  <c r="S60" i="16"/>
  <c r="U60" i="16" s="1"/>
  <c r="J60" i="16"/>
  <c r="M60" i="16" s="1"/>
  <c r="X59" i="16"/>
  <c r="S59" i="16"/>
  <c r="U59" i="16" s="1"/>
  <c r="J59" i="16"/>
  <c r="M59" i="16" s="1"/>
  <c r="X58" i="16"/>
  <c r="S58" i="16"/>
  <c r="U58" i="16" s="1"/>
  <c r="J58" i="16"/>
  <c r="M58" i="16" s="1"/>
  <c r="X57" i="16"/>
  <c r="S57" i="16"/>
  <c r="U57" i="16" s="1"/>
  <c r="J57" i="16"/>
  <c r="M57" i="16" s="1"/>
  <c r="X56" i="16"/>
  <c r="S56" i="16"/>
  <c r="U56" i="16" s="1"/>
  <c r="J56" i="16"/>
  <c r="M56" i="16" s="1"/>
  <c r="X55" i="16"/>
  <c r="S55" i="16"/>
  <c r="U55" i="16" s="1"/>
  <c r="J55" i="16"/>
  <c r="M55" i="16" s="1"/>
  <c r="X54" i="16"/>
  <c r="S54" i="16"/>
  <c r="U54" i="16" s="1"/>
  <c r="J54" i="16"/>
  <c r="M54" i="16" s="1"/>
  <c r="X53" i="16"/>
  <c r="S53" i="16"/>
  <c r="U53" i="16" s="1"/>
  <c r="J53" i="16"/>
  <c r="M53" i="16" s="1"/>
  <c r="X52" i="16"/>
  <c r="S52" i="16"/>
  <c r="U52" i="16" s="1"/>
  <c r="J52" i="16"/>
  <c r="M52" i="16" s="1"/>
  <c r="X51" i="16"/>
  <c r="S51" i="16"/>
  <c r="U51" i="16" s="1"/>
  <c r="J51" i="16"/>
  <c r="M51" i="16" s="1"/>
  <c r="X50" i="16"/>
  <c r="S50" i="16"/>
  <c r="U50" i="16" s="1"/>
  <c r="J50" i="16"/>
  <c r="M50" i="16" s="1"/>
  <c r="X49" i="16"/>
  <c r="S49" i="16"/>
  <c r="U49" i="16" s="1"/>
  <c r="J49" i="16"/>
  <c r="M49" i="16" s="1"/>
  <c r="X48" i="16"/>
  <c r="S48" i="16"/>
  <c r="U48" i="16" s="1"/>
  <c r="J48" i="16"/>
  <c r="M48" i="16" s="1"/>
  <c r="X47" i="16"/>
  <c r="S47" i="16"/>
  <c r="U47" i="16" s="1"/>
  <c r="J47" i="16"/>
  <c r="M47" i="16" s="1"/>
  <c r="X46" i="16"/>
  <c r="S46" i="16"/>
  <c r="U46" i="16" s="1"/>
  <c r="J46" i="16"/>
  <c r="M46" i="16" s="1"/>
  <c r="X45" i="16"/>
  <c r="S45" i="16"/>
  <c r="U45" i="16" s="1"/>
  <c r="J45" i="16"/>
  <c r="M45" i="16" s="1"/>
  <c r="X44" i="16"/>
  <c r="S44" i="16"/>
  <c r="U44" i="16" s="1"/>
  <c r="J44" i="16"/>
  <c r="M44" i="16" s="1"/>
  <c r="X43" i="16"/>
  <c r="S43" i="16"/>
  <c r="U43" i="16" s="1"/>
  <c r="J43" i="16"/>
  <c r="M43" i="16" s="1"/>
  <c r="X42" i="16"/>
  <c r="S42" i="16"/>
  <c r="U42" i="16" s="1"/>
  <c r="J42" i="16"/>
  <c r="M42" i="16" s="1"/>
  <c r="X41" i="16"/>
  <c r="S41" i="16"/>
  <c r="U41" i="16" s="1"/>
  <c r="J41" i="16"/>
  <c r="M41" i="16" s="1"/>
  <c r="X40" i="16"/>
  <c r="S40" i="16"/>
  <c r="U40" i="16" s="1"/>
  <c r="J40" i="16"/>
  <c r="M40" i="16" s="1"/>
  <c r="X39" i="16"/>
  <c r="S39" i="16"/>
  <c r="U39" i="16" s="1"/>
  <c r="J39" i="16"/>
  <c r="M39" i="16" s="1"/>
  <c r="X38" i="16"/>
  <c r="S38" i="16"/>
  <c r="U38" i="16" s="1"/>
  <c r="J38" i="16"/>
  <c r="M38" i="16" s="1"/>
  <c r="X37" i="16"/>
  <c r="S37" i="16"/>
  <c r="U37" i="16" s="1"/>
  <c r="J37" i="16"/>
  <c r="M37" i="16" s="1"/>
  <c r="X36" i="16"/>
  <c r="S36" i="16"/>
  <c r="U36" i="16" s="1"/>
  <c r="J36" i="16"/>
  <c r="X35" i="16"/>
  <c r="S35" i="16"/>
  <c r="U35" i="16" s="1"/>
  <c r="J35" i="16"/>
  <c r="M35" i="16" s="1"/>
  <c r="X34" i="16"/>
  <c r="S34" i="16"/>
  <c r="U34" i="16" s="1"/>
  <c r="J34" i="16"/>
  <c r="M34" i="16" s="1"/>
  <c r="X33" i="16"/>
  <c r="S33" i="16"/>
  <c r="U33" i="16" s="1"/>
  <c r="J33" i="16"/>
  <c r="M33" i="16" s="1"/>
  <c r="X32" i="16"/>
  <c r="S32" i="16"/>
  <c r="U32" i="16" s="1"/>
  <c r="J32" i="16"/>
  <c r="M32" i="16" s="1"/>
  <c r="X31" i="16"/>
  <c r="S31" i="16"/>
  <c r="U31" i="16" s="1"/>
  <c r="J31" i="16"/>
  <c r="M31" i="16" s="1"/>
  <c r="X30" i="16"/>
  <c r="S30" i="16"/>
  <c r="U30" i="16" s="1"/>
  <c r="J30" i="16"/>
  <c r="M30" i="16" s="1"/>
  <c r="X29" i="16"/>
  <c r="S29" i="16"/>
  <c r="U29" i="16" s="1"/>
  <c r="J29" i="16"/>
  <c r="M29" i="16" s="1"/>
  <c r="X28" i="16"/>
  <c r="S28" i="16"/>
  <c r="U28" i="16" s="1"/>
  <c r="J28" i="16"/>
  <c r="M28" i="16" s="1"/>
  <c r="X27" i="16"/>
  <c r="S27" i="16"/>
  <c r="U27" i="16" s="1"/>
  <c r="J27" i="16"/>
  <c r="M27" i="16" s="1"/>
  <c r="X26" i="16"/>
  <c r="S26" i="16"/>
  <c r="U26" i="16" s="1"/>
  <c r="J26" i="16"/>
  <c r="M26" i="16" s="1"/>
  <c r="X25" i="16"/>
  <c r="S25" i="16"/>
  <c r="U25" i="16" s="1"/>
  <c r="J25" i="16"/>
  <c r="M25" i="16" s="1"/>
  <c r="X24" i="16"/>
  <c r="S24" i="16"/>
  <c r="U24" i="16" s="1"/>
  <c r="J24" i="16"/>
  <c r="M24" i="16" s="1"/>
  <c r="X23" i="16"/>
  <c r="S23" i="16"/>
  <c r="U23" i="16" s="1"/>
  <c r="J23" i="16"/>
  <c r="M23" i="16" s="1"/>
  <c r="X22" i="16"/>
  <c r="S22" i="16"/>
  <c r="U22" i="16" s="1"/>
  <c r="J22" i="16"/>
  <c r="M22" i="16" s="1"/>
  <c r="X21" i="16"/>
  <c r="S21" i="16"/>
  <c r="U21" i="16" s="1"/>
  <c r="J21" i="16"/>
  <c r="M21" i="16" s="1"/>
  <c r="X20" i="16"/>
  <c r="S20" i="16"/>
  <c r="U20" i="16" s="1"/>
  <c r="J20" i="16"/>
  <c r="M20" i="16" s="1"/>
  <c r="X19" i="16"/>
  <c r="S19" i="16"/>
  <c r="U19" i="16" s="1"/>
  <c r="J19" i="16"/>
  <c r="M19" i="16" s="1"/>
  <c r="X18" i="16"/>
  <c r="S18" i="16"/>
  <c r="U18" i="16" s="1"/>
  <c r="J18" i="16"/>
  <c r="M18" i="16" s="1"/>
  <c r="X17" i="16"/>
  <c r="S17" i="16"/>
  <c r="U17" i="16" s="1"/>
  <c r="J17" i="16"/>
  <c r="M17" i="16" s="1"/>
  <c r="X16" i="16"/>
  <c r="S16" i="16"/>
  <c r="U16" i="16" s="1"/>
  <c r="J16" i="16"/>
  <c r="M16" i="16" s="1"/>
  <c r="X15" i="16"/>
  <c r="S15" i="16"/>
  <c r="U15" i="16" s="1"/>
  <c r="J15" i="16"/>
  <c r="M15" i="16" s="1"/>
  <c r="X14" i="16"/>
  <c r="S14" i="16"/>
  <c r="U14" i="16" s="1"/>
  <c r="J14" i="16"/>
  <c r="M14" i="16" s="1"/>
  <c r="X13" i="16"/>
  <c r="S13" i="16"/>
  <c r="U13" i="16" s="1"/>
  <c r="J13" i="16"/>
  <c r="M13" i="16" s="1"/>
  <c r="X12" i="16"/>
  <c r="S12" i="16"/>
  <c r="U12" i="16" s="1"/>
  <c r="J12" i="16"/>
  <c r="M12" i="16" s="1"/>
  <c r="X11" i="16"/>
  <c r="S11" i="16"/>
  <c r="U11" i="16" s="1"/>
  <c r="J11" i="16"/>
  <c r="M11" i="16" s="1"/>
  <c r="X10" i="16"/>
  <c r="S10" i="16"/>
  <c r="U10" i="16" s="1"/>
  <c r="J10" i="16"/>
  <c r="M10" i="16" s="1"/>
  <c r="X9" i="16"/>
  <c r="S9" i="16"/>
  <c r="U9" i="16" s="1"/>
  <c r="J9" i="16"/>
  <c r="M9" i="16" s="1"/>
  <c r="X8" i="16"/>
  <c r="S8" i="16"/>
  <c r="U8" i="16" s="1"/>
  <c r="J8" i="16"/>
  <c r="M8" i="16" s="1"/>
  <c r="X7" i="16"/>
  <c r="S7" i="16"/>
  <c r="U7" i="16" s="1"/>
  <c r="J7" i="16"/>
  <c r="M7" i="16" s="1"/>
  <c r="X6" i="16"/>
  <c r="S6" i="16"/>
  <c r="U6" i="16" s="1"/>
  <c r="J6" i="16"/>
  <c r="M6" i="16" s="1"/>
  <c r="X5" i="16"/>
  <c r="S5" i="16"/>
  <c r="U5" i="16" s="1"/>
  <c r="J5" i="16"/>
  <c r="M5" i="16" s="1"/>
  <c r="X4" i="16"/>
  <c r="S4" i="16"/>
  <c r="U4" i="16" s="1"/>
  <c r="J4" i="16"/>
  <c r="K211" i="15"/>
  <c r="N27" i="9" s="1"/>
  <c r="K208" i="15"/>
  <c r="J203" i="15"/>
  <c r="M203" i="15" s="1"/>
  <c r="J202" i="15"/>
  <c r="M202" i="15" s="1"/>
  <c r="J201" i="15"/>
  <c r="M201" i="15" s="1"/>
  <c r="J200" i="15"/>
  <c r="M200" i="15" s="1"/>
  <c r="J199" i="15"/>
  <c r="M199" i="15" s="1"/>
  <c r="J198" i="15"/>
  <c r="M198" i="15" s="1"/>
  <c r="J197" i="15"/>
  <c r="M197" i="15" s="1"/>
  <c r="J196" i="15"/>
  <c r="M196" i="15" s="1"/>
  <c r="J195" i="15"/>
  <c r="M195" i="15" s="1"/>
  <c r="J194" i="15"/>
  <c r="M194" i="15" s="1"/>
  <c r="J193" i="15"/>
  <c r="M193" i="15" s="1"/>
  <c r="J192" i="15"/>
  <c r="M192" i="15" s="1"/>
  <c r="J191" i="15"/>
  <c r="M191" i="15" s="1"/>
  <c r="J190" i="15"/>
  <c r="M190" i="15" s="1"/>
  <c r="J189" i="15"/>
  <c r="M189" i="15" s="1"/>
  <c r="J188" i="15"/>
  <c r="M188" i="15" s="1"/>
  <c r="J187" i="15"/>
  <c r="M187" i="15" s="1"/>
  <c r="J186" i="15"/>
  <c r="M186" i="15" s="1"/>
  <c r="J185" i="15"/>
  <c r="M185" i="15" s="1"/>
  <c r="J184" i="15"/>
  <c r="M184" i="15" s="1"/>
  <c r="J183" i="15"/>
  <c r="M183" i="15" s="1"/>
  <c r="J182" i="15"/>
  <c r="M182" i="15" s="1"/>
  <c r="J181" i="15"/>
  <c r="M181" i="15" s="1"/>
  <c r="J180" i="15"/>
  <c r="M180" i="15" s="1"/>
  <c r="J179" i="15"/>
  <c r="M179" i="15" s="1"/>
  <c r="J178" i="15"/>
  <c r="M178" i="15" s="1"/>
  <c r="J177" i="15"/>
  <c r="M177" i="15" s="1"/>
  <c r="J176" i="15"/>
  <c r="M176" i="15" s="1"/>
  <c r="J175" i="15"/>
  <c r="M175" i="15" s="1"/>
  <c r="J174" i="15"/>
  <c r="M174" i="15" s="1"/>
  <c r="J173" i="15"/>
  <c r="M173" i="15" s="1"/>
  <c r="J172" i="15"/>
  <c r="M172" i="15" s="1"/>
  <c r="J171" i="15"/>
  <c r="M171" i="15" s="1"/>
  <c r="J170" i="15"/>
  <c r="M170" i="15" s="1"/>
  <c r="J169" i="15"/>
  <c r="M169" i="15" s="1"/>
  <c r="J168" i="15"/>
  <c r="M168" i="15" s="1"/>
  <c r="J167" i="15"/>
  <c r="M167" i="15" s="1"/>
  <c r="J166" i="15"/>
  <c r="M166" i="15" s="1"/>
  <c r="J165" i="15"/>
  <c r="M165" i="15" s="1"/>
  <c r="J164" i="15"/>
  <c r="M164" i="15" s="1"/>
  <c r="J163" i="15"/>
  <c r="M163" i="15" s="1"/>
  <c r="J162" i="15"/>
  <c r="M162" i="15" s="1"/>
  <c r="J161" i="15"/>
  <c r="M161" i="15" s="1"/>
  <c r="J160" i="15"/>
  <c r="M160" i="15" s="1"/>
  <c r="J159" i="15"/>
  <c r="M159" i="15" s="1"/>
  <c r="J158" i="15"/>
  <c r="M158" i="15" s="1"/>
  <c r="J157" i="15"/>
  <c r="M157" i="15" s="1"/>
  <c r="J156" i="15"/>
  <c r="M156" i="15" s="1"/>
  <c r="J155" i="15"/>
  <c r="M155" i="15" s="1"/>
  <c r="J154" i="15"/>
  <c r="M154" i="15" s="1"/>
  <c r="J153" i="15"/>
  <c r="M153" i="15" s="1"/>
  <c r="J152" i="15"/>
  <c r="M152" i="15" s="1"/>
  <c r="J151" i="15"/>
  <c r="M151" i="15" s="1"/>
  <c r="J150" i="15"/>
  <c r="M150" i="15" s="1"/>
  <c r="J149" i="15"/>
  <c r="M149" i="15" s="1"/>
  <c r="J148" i="15"/>
  <c r="M148" i="15" s="1"/>
  <c r="J147" i="15"/>
  <c r="M147" i="15" s="1"/>
  <c r="J146" i="15"/>
  <c r="M146" i="15" s="1"/>
  <c r="J145" i="15"/>
  <c r="M145" i="15" s="1"/>
  <c r="J144" i="15"/>
  <c r="M144" i="15" s="1"/>
  <c r="J143" i="15"/>
  <c r="M143" i="15" s="1"/>
  <c r="J142" i="15"/>
  <c r="M142" i="15" s="1"/>
  <c r="J141" i="15"/>
  <c r="M141" i="15" s="1"/>
  <c r="J140" i="15"/>
  <c r="M140" i="15" s="1"/>
  <c r="J139" i="15"/>
  <c r="M139" i="15" s="1"/>
  <c r="J138" i="15"/>
  <c r="M138" i="15" s="1"/>
  <c r="J137" i="15"/>
  <c r="M137" i="15" s="1"/>
  <c r="J136" i="15"/>
  <c r="M136" i="15" s="1"/>
  <c r="J135" i="15"/>
  <c r="M135" i="15" s="1"/>
  <c r="J134" i="15"/>
  <c r="M134" i="15" s="1"/>
  <c r="J133" i="15"/>
  <c r="M133" i="15" s="1"/>
  <c r="J132" i="15"/>
  <c r="M132" i="15" s="1"/>
  <c r="J131" i="15"/>
  <c r="M131" i="15" s="1"/>
  <c r="J130" i="15"/>
  <c r="M130" i="15" s="1"/>
  <c r="J129" i="15"/>
  <c r="M129" i="15" s="1"/>
  <c r="J128" i="15"/>
  <c r="M128" i="15" s="1"/>
  <c r="J127" i="15"/>
  <c r="M127" i="15" s="1"/>
  <c r="J126" i="15"/>
  <c r="M126" i="15" s="1"/>
  <c r="J125" i="15"/>
  <c r="M125" i="15" s="1"/>
  <c r="J124" i="15"/>
  <c r="M124" i="15" s="1"/>
  <c r="J123" i="15"/>
  <c r="M123" i="15" s="1"/>
  <c r="J122" i="15"/>
  <c r="M122" i="15" s="1"/>
  <c r="J121" i="15"/>
  <c r="M121" i="15" s="1"/>
  <c r="J120" i="15"/>
  <c r="M120" i="15" s="1"/>
  <c r="J119" i="15"/>
  <c r="M119" i="15" s="1"/>
  <c r="J118" i="15"/>
  <c r="M118" i="15" s="1"/>
  <c r="J117" i="15"/>
  <c r="M117" i="15" s="1"/>
  <c r="J116" i="15"/>
  <c r="M116" i="15" s="1"/>
  <c r="J115" i="15"/>
  <c r="M115" i="15" s="1"/>
  <c r="J114" i="15"/>
  <c r="M114" i="15" s="1"/>
  <c r="J113" i="15"/>
  <c r="M113" i="15" s="1"/>
  <c r="J112" i="15"/>
  <c r="M112" i="15" s="1"/>
  <c r="J111" i="15"/>
  <c r="M111" i="15" s="1"/>
  <c r="J110" i="15"/>
  <c r="M110" i="15" s="1"/>
  <c r="J109" i="15"/>
  <c r="M109" i="15" s="1"/>
  <c r="J108" i="15"/>
  <c r="M108" i="15" s="1"/>
  <c r="J107" i="15"/>
  <c r="M107" i="15" s="1"/>
  <c r="J106" i="15"/>
  <c r="M106" i="15" s="1"/>
  <c r="J105" i="15"/>
  <c r="M105" i="15" s="1"/>
  <c r="Z104" i="15"/>
  <c r="J104" i="15"/>
  <c r="M104" i="15" s="1"/>
  <c r="X103" i="15"/>
  <c r="S103" i="15"/>
  <c r="U103" i="15" s="1"/>
  <c r="J103" i="15"/>
  <c r="M103" i="15" s="1"/>
  <c r="X102" i="15"/>
  <c r="S102" i="15"/>
  <c r="U102" i="15" s="1"/>
  <c r="J102" i="15"/>
  <c r="M102" i="15" s="1"/>
  <c r="X101" i="15"/>
  <c r="S101" i="15"/>
  <c r="U101" i="15" s="1"/>
  <c r="J101" i="15"/>
  <c r="M101" i="15" s="1"/>
  <c r="X100" i="15"/>
  <c r="S100" i="15"/>
  <c r="U100" i="15" s="1"/>
  <c r="J100" i="15"/>
  <c r="M100" i="15" s="1"/>
  <c r="X99" i="15"/>
  <c r="S99" i="15"/>
  <c r="U99" i="15" s="1"/>
  <c r="J99" i="15"/>
  <c r="M99" i="15" s="1"/>
  <c r="X98" i="15"/>
  <c r="S98" i="15"/>
  <c r="U98" i="15" s="1"/>
  <c r="J98" i="15"/>
  <c r="M98" i="15" s="1"/>
  <c r="X97" i="15"/>
  <c r="S97" i="15"/>
  <c r="U97" i="15" s="1"/>
  <c r="J97" i="15"/>
  <c r="M97" i="15" s="1"/>
  <c r="X96" i="15"/>
  <c r="S96" i="15"/>
  <c r="U96" i="15" s="1"/>
  <c r="J96" i="15"/>
  <c r="M96" i="15" s="1"/>
  <c r="X95" i="15"/>
  <c r="S95" i="15"/>
  <c r="U95" i="15" s="1"/>
  <c r="J95" i="15"/>
  <c r="M95" i="15" s="1"/>
  <c r="X94" i="15"/>
  <c r="S94" i="15"/>
  <c r="U94" i="15" s="1"/>
  <c r="J94" i="15"/>
  <c r="M94" i="15" s="1"/>
  <c r="X93" i="15"/>
  <c r="S93" i="15"/>
  <c r="U93" i="15" s="1"/>
  <c r="J93" i="15"/>
  <c r="M93" i="15" s="1"/>
  <c r="X92" i="15"/>
  <c r="S92" i="15"/>
  <c r="U92" i="15" s="1"/>
  <c r="J92" i="15"/>
  <c r="M92" i="15" s="1"/>
  <c r="X91" i="15"/>
  <c r="S91" i="15"/>
  <c r="U91" i="15" s="1"/>
  <c r="J91" i="15"/>
  <c r="M91" i="15" s="1"/>
  <c r="X90" i="15"/>
  <c r="S90" i="15"/>
  <c r="U90" i="15" s="1"/>
  <c r="J90" i="15"/>
  <c r="M90" i="15" s="1"/>
  <c r="X89" i="15"/>
  <c r="S89" i="15"/>
  <c r="U89" i="15" s="1"/>
  <c r="J89" i="15"/>
  <c r="M89" i="15" s="1"/>
  <c r="X88" i="15"/>
  <c r="S88" i="15"/>
  <c r="U88" i="15" s="1"/>
  <c r="J88" i="15"/>
  <c r="M88" i="15" s="1"/>
  <c r="X87" i="15"/>
  <c r="S87" i="15"/>
  <c r="U87" i="15" s="1"/>
  <c r="J87" i="15"/>
  <c r="M87" i="15" s="1"/>
  <c r="X86" i="15"/>
  <c r="S86" i="15"/>
  <c r="U86" i="15" s="1"/>
  <c r="J86" i="15"/>
  <c r="M86" i="15" s="1"/>
  <c r="X85" i="15"/>
  <c r="S85" i="15"/>
  <c r="U85" i="15" s="1"/>
  <c r="J85" i="15"/>
  <c r="M85" i="15" s="1"/>
  <c r="X84" i="15"/>
  <c r="S84" i="15"/>
  <c r="U84" i="15" s="1"/>
  <c r="J84" i="15"/>
  <c r="M84" i="15" s="1"/>
  <c r="X83" i="15"/>
  <c r="S83" i="15"/>
  <c r="U83" i="15" s="1"/>
  <c r="J83" i="15"/>
  <c r="M83" i="15" s="1"/>
  <c r="X82" i="15"/>
  <c r="S82" i="15"/>
  <c r="U82" i="15" s="1"/>
  <c r="J82" i="15"/>
  <c r="M82" i="15" s="1"/>
  <c r="X81" i="15"/>
  <c r="S81" i="15"/>
  <c r="U81" i="15" s="1"/>
  <c r="J81" i="15"/>
  <c r="M81" i="15" s="1"/>
  <c r="X80" i="15"/>
  <c r="S80" i="15"/>
  <c r="U80" i="15" s="1"/>
  <c r="J80" i="15"/>
  <c r="M80" i="15" s="1"/>
  <c r="X79" i="15"/>
  <c r="S79" i="15"/>
  <c r="U79" i="15" s="1"/>
  <c r="J79" i="15"/>
  <c r="M79" i="15" s="1"/>
  <c r="X78" i="15"/>
  <c r="S78" i="15"/>
  <c r="U78" i="15" s="1"/>
  <c r="J78" i="15"/>
  <c r="M78" i="15" s="1"/>
  <c r="X77" i="15"/>
  <c r="S77" i="15"/>
  <c r="U77" i="15" s="1"/>
  <c r="J77" i="15"/>
  <c r="M77" i="15" s="1"/>
  <c r="X76" i="15"/>
  <c r="S76" i="15"/>
  <c r="U76" i="15" s="1"/>
  <c r="J76" i="15"/>
  <c r="M76" i="15" s="1"/>
  <c r="X75" i="15"/>
  <c r="S75" i="15"/>
  <c r="U75" i="15" s="1"/>
  <c r="J75" i="15"/>
  <c r="M75" i="15" s="1"/>
  <c r="X74" i="15"/>
  <c r="S74" i="15"/>
  <c r="U74" i="15" s="1"/>
  <c r="J74" i="15"/>
  <c r="M74" i="15" s="1"/>
  <c r="X73" i="15"/>
  <c r="S73" i="15"/>
  <c r="U73" i="15" s="1"/>
  <c r="J73" i="15"/>
  <c r="M73" i="15" s="1"/>
  <c r="X72" i="15"/>
  <c r="S72" i="15"/>
  <c r="U72" i="15" s="1"/>
  <c r="J72" i="15"/>
  <c r="M72" i="15" s="1"/>
  <c r="X71" i="15"/>
  <c r="S71" i="15"/>
  <c r="U71" i="15" s="1"/>
  <c r="J71" i="15"/>
  <c r="M71" i="15" s="1"/>
  <c r="X70" i="15"/>
  <c r="S70" i="15"/>
  <c r="U70" i="15" s="1"/>
  <c r="J70" i="15"/>
  <c r="M70" i="15" s="1"/>
  <c r="X69" i="15"/>
  <c r="S69" i="15"/>
  <c r="U69" i="15" s="1"/>
  <c r="J69" i="15"/>
  <c r="M69" i="15" s="1"/>
  <c r="X68" i="15"/>
  <c r="S68" i="15"/>
  <c r="U68" i="15" s="1"/>
  <c r="J68" i="15"/>
  <c r="M68" i="15" s="1"/>
  <c r="X67" i="15"/>
  <c r="S67" i="15"/>
  <c r="U67" i="15" s="1"/>
  <c r="J67" i="15"/>
  <c r="M67" i="15" s="1"/>
  <c r="X66" i="15"/>
  <c r="S66" i="15"/>
  <c r="U66" i="15" s="1"/>
  <c r="J66" i="15"/>
  <c r="M66" i="15" s="1"/>
  <c r="X65" i="15"/>
  <c r="S65" i="15"/>
  <c r="U65" i="15" s="1"/>
  <c r="J65" i="15"/>
  <c r="M65" i="15" s="1"/>
  <c r="X64" i="15"/>
  <c r="S64" i="15"/>
  <c r="U64" i="15" s="1"/>
  <c r="J64" i="15"/>
  <c r="M64" i="15" s="1"/>
  <c r="X63" i="15"/>
  <c r="S63" i="15"/>
  <c r="U63" i="15" s="1"/>
  <c r="J63" i="15"/>
  <c r="M63" i="15" s="1"/>
  <c r="X62" i="15"/>
  <c r="S62" i="15"/>
  <c r="U62" i="15" s="1"/>
  <c r="J62" i="15"/>
  <c r="M62" i="15" s="1"/>
  <c r="X61" i="15"/>
  <c r="S61" i="15"/>
  <c r="U61" i="15" s="1"/>
  <c r="J61" i="15"/>
  <c r="M61" i="15" s="1"/>
  <c r="X60" i="15"/>
  <c r="S60" i="15"/>
  <c r="U60" i="15" s="1"/>
  <c r="J60" i="15"/>
  <c r="M60" i="15" s="1"/>
  <c r="X59" i="15"/>
  <c r="S59" i="15"/>
  <c r="U59" i="15" s="1"/>
  <c r="J59" i="15"/>
  <c r="M59" i="15" s="1"/>
  <c r="X58" i="15"/>
  <c r="S58" i="15"/>
  <c r="U58" i="15" s="1"/>
  <c r="J58" i="15"/>
  <c r="M58" i="15" s="1"/>
  <c r="X57" i="15"/>
  <c r="S57" i="15"/>
  <c r="U57" i="15" s="1"/>
  <c r="J57" i="15"/>
  <c r="M57" i="15" s="1"/>
  <c r="X56" i="15"/>
  <c r="S56" i="15"/>
  <c r="U56" i="15" s="1"/>
  <c r="J56" i="15"/>
  <c r="M56" i="15" s="1"/>
  <c r="X55" i="15"/>
  <c r="S55" i="15"/>
  <c r="U55" i="15" s="1"/>
  <c r="J55" i="15"/>
  <c r="M55" i="15" s="1"/>
  <c r="X54" i="15"/>
  <c r="S54" i="15"/>
  <c r="U54" i="15" s="1"/>
  <c r="J54" i="15"/>
  <c r="M54" i="15" s="1"/>
  <c r="X53" i="15"/>
  <c r="S53" i="15"/>
  <c r="U53" i="15" s="1"/>
  <c r="J53" i="15"/>
  <c r="M53" i="15" s="1"/>
  <c r="X52" i="15"/>
  <c r="S52" i="15"/>
  <c r="U52" i="15" s="1"/>
  <c r="J52" i="15"/>
  <c r="M52" i="15" s="1"/>
  <c r="X51" i="15"/>
  <c r="S51" i="15"/>
  <c r="U51" i="15" s="1"/>
  <c r="J51" i="15"/>
  <c r="M51" i="15" s="1"/>
  <c r="X50" i="15"/>
  <c r="S50" i="15"/>
  <c r="U50" i="15" s="1"/>
  <c r="J50" i="15"/>
  <c r="M50" i="15" s="1"/>
  <c r="X49" i="15"/>
  <c r="S49" i="15"/>
  <c r="U49" i="15" s="1"/>
  <c r="J49" i="15"/>
  <c r="M49" i="15" s="1"/>
  <c r="X48" i="15"/>
  <c r="S48" i="15"/>
  <c r="U48" i="15" s="1"/>
  <c r="J48" i="15"/>
  <c r="M48" i="15" s="1"/>
  <c r="X47" i="15"/>
  <c r="S47" i="15"/>
  <c r="U47" i="15" s="1"/>
  <c r="J47" i="15"/>
  <c r="M47" i="15" s="1"/>
  <c r="X46" i="15"/>
  <c r="S46" i="15"/>
  <c r="U46" i="15" s="1"/>
  <c r="J46" i="15"/>
  <c r="M46" i="15" s="1"/>
  <c r="X45" i="15"/>
  <c r="S45" i="15"/>
  <c r="U45" i="15" s="1"/>
  <c r="J45" i="15"/>
  <c r="M45" i="15" s="1"/>
  <c r="X44" i="15"/>
  <c r="U44" i="15"/>
  <c r="S44" i="15"/>
  <c r="J44" i="15"/>
  <c r="M44" i="15" s="1"/>
  <c r="X43" i="15"/>
  <c r="S43" i="15"/>
  <c r="U43" i="15" s="1"/>
  <c r="J43" i="15"/>
  <c r="M43" i="15" s="1"/>
  <c r="X42" i="15"/>
  <c r="S42" i="15"/>
  <c r="U42" i="15" s="1"/>
  <c r="J42" i="15"/>
  <c r="M42" i="15" s="1"/>
  <c r="X41" i="15"/>
  <c r="S41" i="15"/>
  <c r="U41" i="15" s="1"/>
  <c r="J41" i="15"/>
  <c r="M41" i="15" s="1"/>
  <c r="X40" i="15"/>
  <c r="S40" i="15"/>
  <c r="U40" i="15" s="1"/>
  <c r="J40" i="15"/>
  <c r="M40" i="15" s="1"/>
  <c r="X39" i="15"/>
  <c r="S39" i="15"/>
  <c r="U39" i="15" s="1"/>
  <c r="J39" i="15"/>
  <c r="M39" i="15" s="1"/>
  <c r="X38" i="15"/>
  <c r="S38" i="15"/>
  <c r="U38" i="15" s="1"/>
  <c r="J38" i="15"/>
  <c r="M38" i="15" s="1"/>
  <c r="X37" i="15"/>
  <c r="S37" i="15"/>
  <c r="U37" i="15" s="1"/>
  <c r="J37" i="15"/>
  <c r="M37" i="15" s="1"/>
  <c r="X36" i="15"/>
  <c r="S36" i="15"/>
  <c r="U36" i="15" s="1"/>
  <c r="J36" i="15"/>
  <c r="M36" i="15" s="1"/>
  <c r="X35" i="15"/>
  <c r="S35" i="15"/>
  <c r="U35" i="15" s="1"/>
  <c r="J35" i="15"/>
  <c r="M35" i="15" s="1"/>
  <c r="X34" i="15"/>
  <c r="S34" i="15"/>
  <c r="U34" i="15" s="1"/>
  <c r="J34" i="15"/>
  <c r="M34" i="15" s="1"/>
  <c r="X33" i="15"/>
  <c r="S33" i="15"/>
  <c r="U33" i="15" s="1"/>
  <c r="J33" i="15"/>
  <c r="M33" i="15" s="1"/>
  <c r="X32" i="15"/>
  <c r="S32" i="15"/>
  <c r="U32" i="15" s="1"/>
  <c r="J32" i="15"/>
  <c r="M32" i="15" s="1"/>
  <c r="X31" i="15"/>
  <c r="S31" i="15"/>
  <c r="U31" i="15" s="1"/>
  <c r="J31" i="15"/>
  <c r="M31" i="15" s="1"/>
  <c r="X30" i="15"/>
  <c r="U30" i="15"/>
  <c r="S30" i="15"/>
  <c r="J30" i="15"/>
  <c r="M30" i="15" s="1"/>
  <c r="X29" i="15"/>
  <c r="S29" i="15"/>
  <c r="U29" i="15" s="1"/>
  <c r="J29" i="15"/>
  <c r="M29" i="15" s="1"/>
  <c r="X28" i="15"/>
  <c r="S28" i="15"/>
  <c r="U28" i="15" s="1"/>
  <c r="J28" i="15"/>
  <c r="M28" i="15" s="1"/>
  <c r="X27" i="15"/>
  <c r="S27" i="15"/>
  <c r="U27" i="15" s="1"/>
  <c r="J27" i="15"/>
  <c r="M27" i="15" s="1"/>
  <c r="X26" i="15"/>
  <c r="U26" i="15"/>
  <c r="S26" i="15"/>
  <c r="J26" i="15"/>
  <c r="M26" i="15" s="1"/>
  <c r="X25" i="15"/>
  <c r="S25" i="15"/>
  <c r="U25" i="15" s="1"/>
  <c r="J25" i="15"/>
  <c r="M25" i="15" s="1"/>
  <c r="X24" i="15"/>
  <c r="S24" i="15"/>
  <c r="U24" i="15" s="1"/>
  <c r="J24" i="15"/>
  <c r="M24" i="15" s="1"/>
  <c r="X23" i="15"/>
  <c r="S23" i="15"/>
  <c r="U23" i="15" s="1"/>
  <c r="J23" i="15"/>
  <c r="M23" i="15" s="1"/>
  <c r="X22" i="15"/>
  <c r="S22" i="15"/>
  <c r="U22" i="15" s="1"/>
  <c r="J22" i="15"/>
  <c r="M22" i="15" s="1"/>
  <c r="X21" i="15"/>
  <c r="U21" i="15"/>
  <c r="S21" i="15"/>
  <c r="J21" i="15"/>
  <c r="M21" i="15" s="1"/>
  <c r="X20" i="15"/>
  <c r="S20" i="15"/>
  <c r="U20" i="15" s="1"/>
  <c r="J20" i="15"/>
  <c r="M20" i="15" s="1"/>
  <c r="X19" i="15"/>
  <c r="S19" i="15"/>
  <c r="U19" i="15" s="1"/>
  <c r="J19" i="15"/>
  <c r="M19" i="15" s="1"/>
  <c r="X18" i="15"/>
  <c r="S18" i="15"/>
  <c r="U18" i="15" s="1"/>
  <c r="J18" i="15"/>
  <c r="M18" i="15" s="1"/>
  <c r="X17" i="15"/>
  <c r="S17" i="15"/>
  <c r="U17" i="15" s="1"/>
  <c r="J17" i="15"/>
  <c r="M17" i="15" s="1"/>
  <c r="X16" i="15"/>
  <c r="S16" i="15"/>
  <c r="U16" i="15" s="1"/>
  <c r="J16" i="15"/>
  <c r="M16" i="15" s="1"/>
  <c r="X15" i="15"/>
  <c r="S15" i="15"/>
  <c r="U15" i="15" s="1"/>
  <c r="J15" i="15"/>
  <c r="M15" i="15" s="1"/>
  <c r="X14" i="15"/>
  <c r="S14" i="15"/>
  <c r="U14" i="15" s="1"/>
  <c r="J14" i="15"/>
  <c r="M14" i="15" s="1"/>
  <c r="X13" i="15"/>
  <c r="S13" i="15"/>
  <c r="U13" i="15" s="1"/>
  <c r="J13" i="15"/>
  <c r="M13" i="15" s="1"/>
  <c r="X12" i="15"/>
  <c r="S12" i="15"/>
  <c r="U12" i="15" s="1"/>
  <c r="J12" i="15"/>
  <c r="M12" i="15" s="1"/>
  <c r="X11" i="15"/>
  <c r="S11" i="15"/>
  <c r="U11" i="15" s="1"/>
  <c r="J11" i="15"/>
  <c r="M11" i="15" s="1"/>
  <c r="X10" i="15"/>
  <c r="S10" i="15"/>
  <c r="U10" i="15" s="1"/>
  <c r="J10" i="15"/>
  <c r="M10" i="15" s="1"/>
  <c r="X9" i="15"/>
  <c r="S9" i="15"/>
  <c r="U9" i="15" s="1"/>
  <c r="J9" i="15"/>
  <c r="M9" i="15" s="1"/>
  <c r="X8" i="15"/>
  <c r="S8" i="15"/>
  <c r="U8" i="15" s="1"/>
  <c r="J8" i="15"/>
  <c r="M8" i="15" s="1"/>
  <c r="X7" i="15"/>
  <c r="S7" i="15"/>
  <c r="U7" i="15" s="1"/>
  <c r="J7" i="15"/>
  <c r="M7" i="15" s="1"/>
  <c r="X6" i="15"/>
  <c r="U6" i="15"/>
  <c r="S6" i="15"/>
  <c r="J6" i="15"/>
  <c r="M6" i="15" s="1"/>
  <c r="X5" i="15"/>
  <c r="S5" i="15"/>
  <c r="U5" i="15" s="1"/>
  <c r="J5" i="15"/>
  <c r="M5" i="15" s="1"/>
  <c r="X4" i="15"/>
  <c r="S4" i="15"/>
  <c r="U4" i="15" s="1"/>
  <c r="J4" i="15"/>
  <c r="K219" i="14"/>
  <c r="K211" i="14"/>
  <c r="N26" i="9" s="1"/>
  <c r="J203" i="14"/>
  <c r="M203" i="14" s="1"/>
  <c r="J202" i="14"/>
  <c r="M202" i="14" s="1"/>
  <c r="J201" i="14"/>
  <c r="M201" i="14" s="1"/>
  <c r="J200" i="14"/>
  <c r="M200" i="14" s="1"/>
  <c r="J199" i="14"/>
  <c r="M199" i="14" s="1"/>
  <c r="J198" i="14"/>
  <c r="M198" i="14" s="1"/>
  <c r="J197" i="14"/>
  <c r="M197" i="14" s="1"/>
  <c r="J196" i="14"/>
  <c r="M196" i="14" s="1"/>
  <c r="J195" i="14"/>
  <c r="M195" i="14" s="1"/>
  <c r="J194" i="14"/>
  <c r="M194" i="14" s="1"/>
  <c r="J193" i="14"/>
  <c r="M193" i="14" s="1"/>
  <c r="J192" i="14"/>
  <c r="M192" i="14" s="1"/>
  <c r="J191" i="14"/>
  <c r="M191" i="14" s="1"/>
  <c r="J190" i="14"/>
  <c r="M190" i="14" s="1"/>
  <c r="J189" i="14"/>
  <c r="M189" i="14" s="1"/>
  <c r="J188" i="14"/>
  <c r="M188" i="14" s="1"/>
  <c r="J187" i="14"/>
  <c r="M187" i="14" s="1"/>
  <c r="J186" i="14"/>
  <c r="M186" i="14" s="1"/>
  <c r="J185" i="14"/>
  <c r="M185" i="14" s="1"/>
  <c r="J184" i="14"/>
  <c r="M184" i="14" s="1"/>
  <c r="J183" i="14"/>
  <c r="M183" i="14" s="1"/>
  <c r="J182" i="14"/>
  <c r="M182" i="14" s="1"/>
  <c r="J181" i="14"/>
  <c r="M181" i="14" s="1"/>
  <c r="J180" i="14"/>
  <c r="M180" i="14" s="1"/>
  <c r="J179" i="14"/>
  <c r="M179" i="14" s="1"/>
  <c r="J178" i="14"/>
  <c r="M178" i="14" s="1"/>
  <c r="J177" i="14"/>
  <c r="M177" i="14" s="1"/>
  <c r="J176" i="14"/>
  <c r="M176" i="14" s="1"/>
  <c r="J175" i="14"/>
  <c r="M175" i="14" s="1"/>
  <c r="J174" i="14"/>
  <c r="M174" i="14" s="1"/>
  <c r="J173" i="14"/>
  <c r="M173" i="14" s="1"/>
  <c r="J172" i="14"/>
  <c r="M172" i="14" s="1"/>
  <c r="J171" i="14"/>
  <c r="M171" i="14" s="1"/>
  <c r="J170" i="14"/>
  <c r="M170" i="14" s="1"/>
  <c r="J169" i="14"/>
  <c r="M169" i="14" s="1"/>
  <c r="J168" i="14"/>
  <c r="M168" i="14" s="1"/>
  <c r="J167" i="14"/>
  <c r="M167" i="14" s="1"/>
  <c r="J166" i="14"/>
  <c r="M166" i="14" s="1"/>
  <c r="J165" i="14"/>
  <c r="M165" i="14" s="1"/>
  <c r="J164" i="14"/>
  <c r="M164" i="14" s="1"/>
  <c r="J163" i="14"/>
  <c r="M163" i="14" s="1"/>
  <c r="J162" i="14"/>
  <c r="M162" i="14" s="1"/>
  <c r="J161" i="14"/>
  <c r="M161" i="14" s="1"/>
  <c r="J160" i="14"/>
  <c r="M160" i="14" s="1"/>
  <c r="J159" i="14"/>
  <c r="M159" i="14" s="1"/>
  <c r="J158" i="14"/>
  <c r="M158" i="14" s="1"/>
  <c r="J157" i="14"/>
  <c r="M157" i="14" s="1"/>
  <c r="J156" i="14"/>
  <c r="M156" i="14" s="1"/>
  <c r="J155" i="14"/>
  <c r="M155" i="14" s="1"/>
  <c r="J154" i="14"/>
  <c r="M154" i="14" s="1"/>
  <c r="J153" i="14"/>
  <c r="M153" i="14" s="1"/>
  <c r="J152" i="14"/>
  <c r="M152" i="14" s="1"/>
  <c r="J151" i="14"/>
  <c r="M151" i="14" s="1"/>
  <c r="J150" i="14"/>
  <c r="M150" i="14" s="1"/>
  <c r="J149" i="14"/>
  <c r="M149" i="14" s="1"/>
  <c r="J148" i="14"/>
  <c r="M148" i="14" s="1"/>
  <c r="J147" i="14"/>
  <c r="M147" i="14" s="1"/>
  <c r="J146" i="14"/>
  <c r="M146" i="14" s="1"/>
  <c r="J145" i="14"/>
  <c r="M145" i="14" s="1"/>
  <c r="J144" i="14"/>
  <c r="M144" i="14" s="1"/>
  <c r="J143" i="14"/>
  <c r="M143" i="14" s="1"/>
  <c r="J142" i="14"/>
  <c r="M142" i="14" s="1"/>
  <c r="J141" i="14"/>
  <c r="M141" i="14" s="1"/>
  <c r="J140" i="14"/>
  <c r="M140" i="14" s="1"/>
  <c r="J139" i="14"/>
  <c r="M139" i="14" s="1"/>
  <c r="J138" i="14"/>
  <c r="M138" i="14" s="1"/>
  <c r="J137" i="14"/>
  <c r="M137" i="14" s="1"/>
  <c r="J136" i="14"/>
  <c r="M136" i="14" s="1"/>
  <c r="J135" i="14"/>
  <c r="M135" i="14" s="1"/>
  <c r="J134" i="14"/>
  <c r="M134" i="14" s="1"/>
  <c r="J133" i="14"/>
  <c r="M133" i="14" s="1"/>
  <c r="J132" i="14"/>
  <c r="M132" i="14" s="1"/>
  <c r="J131" i="14"/>
  <c r="M131" i="14" s="1"/>
  <c r="J130" i="14"/>
  <c r="M130" i="14" s="1"/>
  <c r="J129" i="14"/>
  <c r="M129" i="14" s="1"/>
  <c r="J128" i="14"/>
  <c r="M128" i="14" s="1"/>
  <c r="J127" i="14"/>
  <c r="M127" i="14" s="1"/>
  <c r="J126" i="14"/>
  <c r="M126" i="14" s="1"/>
  <c r="J125" i="14"/>
  <c r="M125" i="14" s="1"/>
  <c r="J124" i="14"/>
  <c r="M124" i="14" s="1"/>
  <c r="J123" i="14"/>
  <c r="M123" i="14" s="1"/>
  <c r="J122" i="14"/>
  <c r="M122" i="14" s="1"/>
  <c r="J121" i="14"/>
  <c r="M121" i="14" s="1"/>
  <c r="J120" i="14"/>
  <c r="M120" i="14" s="1"/>
  <c r="J119" i="14"/>
  <c r="M119" i="14" s="1"/>
  <c r="J118" i="14"/>
  <c r="M118" i="14" s="1"/>
  <c r="J117" i="14"/>
  <c r="M117" i="14" s="1"/>
  <c r="J116" i="14"/>
  <c r="M116" i="14" s="1"/>
  <c r="J115" i="14"/>
  <c r="M115" i="14" s="1"/>
  <c r="J114" i="14"/>
  <c r="M114" i="14" s="1"/>
  <c r="J113" i="14"/>
  <c r="M113" i="14" s="1"/>
  <c r="J112" i="14"/>
  <c r="M112" i="14" s="1"/>
  <c r="J111" i="14"/>
  <c r="M111" i="14" s="1"/>
  <c r="J110" i="14"/>
  <c r="M110" i="14" s="1"/>
  <c r="J109" i="14"/>
  <c r="M109" i="14" s="1"/>
  <c r="J108" i="14"/>
  <c r="M108" i="14" s="1"/>
  <c r="J107" i="14"/>
  <c r="M107" i="14" s="1"/>
  <c r="J106" i="14"/>
  <c r="M106" i="14" s="1"/>
  <c r="J105" i="14"/>
  <c r="M105" i="14" s="1"/>
  <c r="Z104" i="14"/>
  <c r="J104" i="14"/>
  <c r="M104" i="14" s="1"/>
  <c r="X103" i="14"/>
  <c r="S103" i="14"/>
  <c r="U103" i="14" s="1"/>
  <c r="J103" i="14"/>
  <c r="M103" i="14" s="1"/>
  <c r="X102" i="14"/>
  <c r="S102" i="14"/>
  <c r="U102" i="14" s="1"/>
  <c r="J102" i="14"/>
  <c r="M102" i="14" s="1"/>
  <c r="X101" i="14"/>
  <c r="U101" i="14"/>
  <c r="S101" i="14"/>
  <c r="J101" i="14"/>
  <c r="M101" i="14" s="1"/>
  <c r="X100" i="14"/>
  <c r="S100" i="14"/>
  <c r="U100" i="14" s="1"/>
  <c r="J100" i="14"/>
  <c r="M100" i="14" s="1"/>
  <c r="X99" i="14"/>
  <c r="S99" i="14"/>
  <c r="U99" i="14" s="1"/>
  <c r="J99" i="14"/>
  <c r="M99" i="14" s="1"/>
  <c r="X98" i="14"/>
  <c r="S98" i="14"/>
  <c r="U98" i="14" s="1"/>
  <c r="J98" i="14"/>
  <c r="M98" i="14" s="1"/>
  <c r="X97" i="14"/>
  <c r="S97" i="14"/>
  <c r="U97" i="14" s="1"/>
  <c r="J97" i="14"/>
  <c r="M97" i="14" s="1"/>
  <c r="X96" i="14"/>
  <c r="U96" i="14"/>
  <c r="S96" i="14"/>
  <c r="J96" i="14"/>
  <c r="M96" i="14" s="1"/>
  <c r="X95" i="14"/>
  <c r="S95" i="14"/>
  <c r="U95" i="14" s="1"/>
  <c r="J95" i="14"/>
  <c r="M95" i="14" s="1"/>
  <c r="X94" i="14"/>
  <c r="U94" i="14"/>
  <c r="S94" i="14"/>
  <c r="J94" i="14"/>
  <c r="M94" i="14" s="1"/>
  <c r="X93" i="14"/>
  <c r="S93" i="14"/>
  <c r="U93" i="14" s="1"/>
  <c r="J93" i="14"/>
  <c r="M93" i="14" s="1"/>
  <c r="X92" i="14"/>
  <c r="S92" i="14"/>
  <c r="U92" i="14" s="1"/>
  <c r="J92" i="14"/>
  <c r="M92" i="14" s="1"/>
  <c r="X91" i="14"/>
  <c r="U91" i="14"/>
  <c r="S91" i="14"/>
  <c r="J91" i="14"/>
  <c r="M91" i="14" s="1"/>
  <c r="X90" i="14"/>
  <c r="S90" i="14"/>
  <c r="U90" i="14" s="1"/>
  <c r="J90" i="14"/>
  <c r="M90" i="14" s="1"/>
  <c r="X89" i="14"/>
  <c r="S89" i="14"/>
  <c r="U89" i="14" s="1"/>
  <c r="J89" i="14"/>
  <c r="M89" i="14" s="1"/>
  <c r="X88" i="14"/>
  <c r="S88" i="14"/>
  <c r="U88" i="14" s="1"/>
  <c r="J88" i="14"/>
  <c r="M88" i="14" s="1"/>
  <c r="X87" i="14"/>
  <c r="U87" i="14"/>
  <c r="S87" i="14"/>
  <c r="J87" i="14"/>
  <c r="M87" i="14" s="1"/>
  <c r="X86" i="14"/>
  <c r="U86" i="14"/>
  <c r="S86" i="14"/>
  <c r="J86" i="14"/>
  <c r="M86" i="14" s="1"/>
  <c r="X85" i="14"/>
  <c r="S85" i="14"/>
  <c r="U85" i="14" s="1"/>
  <c r="J85" i="14"/>
  <c r="M85" i="14" s="1"/>
  <c r="X84" i="14"/>
  <c r="S84" i="14"/>
  <c r="U84" i="14" s="1"/>
  <c r="J84" i="14"/>
  <c r="M84" i="14" s="1"/>
  <c r="X83" i="14"/>
  <c r="S83" i="14"/>
  <c r="U83" i="14" s="1"/>
  <c r="J83" i="14"/>
  <c r="M83" i="14" s="1"/>
  <c r="X82" i="14"/>
  <c r="S82" i="14"/>
  <c r="U82" i="14" s="1"/>
  <c r="J82" i="14"/>
  <c r="M82" i="14" s="1"/>
  <c r="X81" i="14"/>
  <c r="S81" i="14"/>
  <c r="U81" i="14" s="1"/>
  <c r="J81" i="14"/>
  <c r="M81" i="14" s="1"/>
  <c r="X80" i="14"/>
  <c r="S80" i="14"/>
  <c r="U80" i="14" s="1"/>
  <c r="J80" i="14"/>
  <c r="M80" i="14" s="1"/>
  <c r="X79" i="14"/>
  <c r="S79" i="14"/>
  <c r="U79" i="14" s="1"/>
  <c r="J79" i="14"/>
  <c r="M79" i="14" s="1"/>
  <c r="X78" i="14"/>
  <c r="S78" i="14"/>
  <c r="U78" i="14" s="1"/>
  <c r="J78" i="14"/>
  <c r="M78" i="14" s="1"/>
  <c r="X77" i="14"/>
  <c r="S77" i="14"/>
  <c r="U77" i="14" s="1"/>
  <c r="J77" i="14"/>
  <c r="M77" i="14" s="1"/>
  <c r="X76" i="14"/>
  <c r="S76" i="14"/>
  <c r="U76" i="14" s="1"/>
  <c r="J76" i="14"/>
  <c r="M76" i="14" s="1"/>
  <c r="X75" i="14"/>
  <c r="S75" i="14"/>
  <c r="U75" i="14" s="1"/>
  <c r="J75" i="14"/>
  <c r="M75" i="14" s="1"/>
  <c r="X74" i="14"/>
  <c r="S74" i="14"/>
  <c r="U74" i="14" s="1"/>
  <c r="J74" i="14"/>
  <c r="M74" i="14" s="1"/>
  <c r="X73" i="14"/>
  <c r="S73" i="14"/>
  <c r="U73" i="14" s="1"/>
  <c r="J73" i="14"/>
  <c r="M73" i="14" s="1"/>
  <c r="X72" i="14"/>
  <c r="S72" i="14"/>
  <c r="U72" i="14" s="1"/>
  <c r="J72" i="14"/>
  <c r="M72" i="14" s="1"/>
  <c r="X71" i="14"/>
  <c r="U71" i="14"/>
  <c r="S71" i="14"/>
  <c r="J71" i="14"/>
  <c r="M71" i="14" s="1"/>
  <c r="X70" i="14"/>
  <c r="S70" i="14"/>
  <c r="U70" i="14" s="1"/>
  <c r="J70" i="14"/>
  <c r="M70" i="14" s="1"/>
  <c r="X69" i="14"/>
  <c r="S69" i="14"/>
  <c r="U69" i="14" s="1"/>
  <c r="J69" i="14"/>
  <c r="M69" i="14" s="1"/>
  <c r="X68" i="14"/>
  <c r="S68" i="14"/>
  <c r="U68" i="14" s="1"/>
  <c r="J68" i="14"/>
  <c r="M68" i="14" s="1"/>
  <c r="X67" i="14"/>
  <c r="S67" i="14"/>
  <c r="U67" i="14" s="1"/>
  <c r="J67" i="14"/>
  <c r="M67" i="14" s="1"/>
  <c r="X66" i="14"/>
  <c r="S66" i="14"/>
  <c r="U66" i="14" s="1"/>
  <c r="J66" i="14"/>
  <c r="M66" i="14" s="1"/>
  <c r="X65" i="14"/>
  <c r="S65" i="14"/>
  <c r="U65" i="14" s="1"/>
  <c r="J65" i="14"/>
  <c r="M65" i="14" s="1"/>
  <c r="X64" i="14"/>
  <c r="S64" i="14"/>
  <c r="U64" i="14" s="1"/>
  <c r="J64" i="14"/>
  <c r="M64" i="14" s="1"/>
  <c r="X63" i="14"/>
  <c r="S63" i="14"/>
  <c r="U63" i="14" s="1"/>
  <c r="J63" i="14"/>
  <c r="M63" i="14" s="1"/>
  <c r="X62" i="14"/>
  <c r="U62" i="14"/>
  <c r="S62" i="14"/>
  <c r="J62" i="14"/>
  <c r="M62" i="14" s="1"/>
  <c r="X61" i="14"/>
  <c r="S61" i="14"/>
  <c r="U61" i="14" s="1"/>
  <c r="J61" i="14"/>
  <c r="M61" i="14" s="1"/>
  <c r="X60" i="14"/>
  <c r="S60" i="14"/>
  <c r="U60" i="14" s="1"/>
  <c r="J60" i="14"/>
  <c r="M60" i="14" s="1"/>
  <c r="X59" i="14"/>
  <c r="S59" i="14"/>
  <c r="U59" i="14" s="1"/>
  <c r="J59" i="14"/>
  <c r="M59" i="14" s="1"/>
  <c r="X58" i="14"/>
  <c r="S58" i="14"/>
  <c r="U58" i="14" s="1"/>
  <c r="J58" i="14"/>
  <c r="M58" i="14" s="1"/>
  <c r="X57" i="14"/>
  <c r="S57" i="14"/>
  <c r="U57" i="14" s="1"/>
  <c r="J57" i="14"/>
  <c r="M57" i="14" s="1"/>
  <c r="X56" i="14"/>
  <c r="S56" i="14"/>
  <c r="U56" i="14" s="1"/>
  <c r="J56" i="14"/>
  <c r="M56" i="14" s="1"/>
  <c r="X55" i="14"/>
  <c r="S55" i="14"/>
  <c r="U55" i="14" s="1"/>
  <c r="J55" i="14"/>
  <c r="M55" i="14" s="1"/>
  <c r="X54" i="14"/>
  <c r="S54" i="14"/>
  <c r="U54" i="14" s="1"/>
  <c r="J54" i="14"/>
  <c r="M54" i="14" s="1"/>
  <c r="X53" i="14"/>
  <c r="S53" i="14"/>
  <c r="U53" i="14" s="1"/>
  <c r="J53" i="14"/>
  <c r="M53" i="14" s="1"/>
  <c r="X52" i="14"/>
  <c r="S52" i="14"/>
  <c r="U52" i="14" s="1"/>
  <c r="J52" i="14"/>
  <c r="M52" i="14" s="1"/>
  <c r="X51" i="14"/>
  <c r="S51" i="14"/>
  <c r="U51" i="14" s="1"/>
  <c r="J51" i="14"/>
  <c r="M51" i="14" s="1"/>
  <c r="X50" i="14"/>
  <c r="S50" i="14"/>
  <c r="U50" i="14" s="1"/>
  <c r="J50" i="14"/>
  <c r="M50" i="14" s="1"/>
  <c r="X49" i="14"/>
  <c r="S49" i="14"/>
  <c r="U49" i="14" s="1"/>
  <c r="J49" i="14"/>
  <c r="M49" i="14" s="1"/>
  <c r="X48" i="14"/>
  <c r="S48" i="14"/>
  <c r="U48" i="14" s="1"/>
  <c r="J48" i="14"/>
  <c r="M48" i="14" s="1"/>
  <c r="X47" i="14"/>
  <c r="S47" i="14"/>
  <c r="U47" i="14" s="1"/>
  <c r="J47" i="14"/>
  <c r="M47" i="14" s="1"/>
  <c r="X46" i="14"/>
  <c r="S46" i="14"/>
  <c r="U46" i="14" s="1"/>
  <c r="J46" i="14"/>
  <c r="M46" i="14" s="1"/>
  <c r="X45" i="14"/>
  <c r="S45" i="14"/>
  <c r="U45" i="14" s="1"/>
  <c r="J45" i="14"/>
  <c r="M45" i="14" s="1"/>
  <c r="X44" i="14"/>
  <c r="S44" i="14"/>
  <c r="U44" i="14" s="1"/>
  <c r="J44" i="14"/>
  <c r="M44" i="14" s="1"/>
  <c r="X43" i="14"/>
  <c r="S43" i="14"/>
  <c r="U43" i="14" s="1"/>
  <c r="J43" i="14"/>
  <c r="M43" i="14" s="1"/>
  <c r="X42" i="14"/>
  <c r="S42" i="14"/>
  <c r="U42" i="14" s="1"/>
  <c r="J42" i="14"/>
  <c r="M42" i="14" s="1"/>
  <c r="X41" i="14"/>
  <c r="S41" i="14"/>
  <c r="U41" i="14" s="1"/>
  <c r="J41" i="14"/>
  <c r="M41" i="14" s="1"/>
  <c r="X40" i="14"/>
  <c r="S40" i="14"/>
  <c r="U40" i="14" s="1"/>
  <c r="J40" i="14"/>
  <c r="M40" i="14" s="1"/>
  <c r="X39" i="14"/>
  <c r="S39" i="14"/>
  <c r="U39" i="14" s="1"/>
  <c r="J39" i="14"/>
  <c r="M39" i="14" s="1"/>
  <c r="X38" i="14"/>
  <c r="S38" i="14"/>
  <c r="U38" i="14" s="1"/>
  <c r="J38" i="14"/>
  <c r="M38" i="14" s="1"/>
  <c r="X37" i="14"/>
  <c r="S37" i="14"/>
  <c r="U37" i="14" s="1"/>
  <c r="J37" i="14"/>
  <c r="M37" i="14" s="1"/>
  <c r="X36" i="14"/>
  <c r="S36" i="14"/>
  <c r="U36" i="14" s="1"/>
  <c r="J36" i="14"/>
  <c r="M36" i="14" s="1"/>
  <c r="X35" i="14"/>
  <c r="U35" i="14"/>
  <c r="S35" i="14"/>
  <c r="J35" i="14"/>
  <c r="M35" i="14" s="1"/>
  <c r="X34" i="14"/>
  <c r="S34" i="14"/>
  <c r="U34" i="14" s="1"/>
  <c r="J34" i="14"/>
  <c r="M34" i="14" s="1"/>
  <c r="X33" i="14"/>
  <c r="S33" i="14"/>
  <c r="U33" i="14" s="1"/>
  <c r="J33" i="14"/>
  <c r="M33" i="14" s="1"/>
  <c r="X32" i="14"/>
  <c r="S32" i="14"/>
  <c r="U32" i="14" s="1"/>
  <c r="J32" i="14"/>
  <c r="M32" i="14" s="1"/>
  <c r="X31" i="14"/>
  <c r="S31" i="14"/>
  <c r="U31" i="14" s="1"/>
  <c r="J31" i="14"/>
  <c r="M31" i="14" s="1"/>
  <c r="X30" i="14"/>
  <c r="S30" i="14"/>
  <c r="U30" i="14" s="1"/>
  <c r="J30" i="14"/>
  <c r="M30" i="14" s="1"/>
  <c r="X29" i="14"/>
  <c r="S29" i="14"/>
  <c r="U29" i="14" s="1"/>
  <c r="J29" i="14"/>
  <c r="M29" i="14" s="1"/>
  <c r="X28" i="14"/>
  <c r="U28" i="14"/>
  <c r="S28" i="14"/>
  <c r="J28" i="14"/>
  <c r="M28" i="14" s="1"/>
  <c r="X27" i="14"/>
  <c r="S27" i="14"/>
  <c r="U27" i="14" s="1"/>
  <c r="J27" i="14"/>
  <c r="M27" i="14" s="1"/>
  <c r="X26" i="14"/>
  <c r="S26" i="14"/>
  <c r="U26" i="14" s="1"/>
  <c r="J26" i="14"/>
  <c r="M26" i="14" s="1"/>
  <c r="X25" i="14"/>
  <c r="S25" i="14"/>
  <c r="U25" i="14" s="1"/>
  <c r="J25" i="14"/>
  <c r="M25" i="14" s="1"/>
  <c r="X24" i="14"/>
  <c r="S24" i="14"/>
  <c r="U24" i="14" s="1"/>
  <c r="J24" i="14"/>
  <c r="M24" i="14" s="1"/>
  <c r="X23" i="14"/>
  <c r="S23" i="14"/>
  <c r="U23" i="14" s="1"/>
  <c r="J23" i="14"/>
  <c r="M23" i="14" s="1"/>
  <c r="X22" i="14"/>
  <c r="S22" i="14"/>
  <c r="U22" i="14" s="1"/>
  <c r="J22" i="14"/>
  <c r="M22" i="14" s="1"/>
  <c r="X21" i="14"/>
  <c r="S21" i="14"/>
  <c r="U21" i="14" s="1"/>
  <c r="J21" i="14"/>
  <c r="M21" i="14" s="1"/>
  <c r="X20" i="14"/>
  <c r="U20" i="14"/>
  <c r="S20" i="14"/>
  <c r="J20" i="14"/>
  <c r="M20" i="14" s="1"/>
  <c r="X19" i="14"/>
  <c r="S19" i="14"/>
  <c r="U19" i="14" s="1"/>
  <c r="J19" i="14"/>
  <c r="M19" i="14" s="1"/>
  <c r="X18" i="14"/>
  <c r="S18" i="14"/>
  <c r="U18" i="14" s="1"/>
  <c r="J18" i="14"/>
  <c r="M18" i="14" s="1"/>
  <c r="X17" i="14"/>
  <c r="S17" i="14"/>
  <c r="U17" i="14" s="1"/>
  <c r="J17" i="14"/>
  <c r="M17" i="14" s="1"/>
  <c r="X16" i="14"/>
  <c r="S16" i="14"/>
  <c r="U16" i="14" s="1"/>
  <c r="J16" i="14"/>
  <c r="M16" i="14" s="1"/>
  <c r="X15" i="14"/>
  <c r="S15" i="14"/>
  <c r="U15" i="14" s="1"/>
  <c r="J15" i="14"/>
  <c r="M15" i="14" s="1"/>
  <c r="X14" i="14"/>
  <c r="S14" i="14"/>
  <c r="U14" i="14" s="1"/>
  <c r="J14" i="14"/>
  <c r="M14" i="14" s="1"/>
  <c r="X13" i="14"/>
  <c r="S13" i="14"/>
  <c r="U13" i="14" s="1"/>
  <c r="J13" i="14"/>
  <c r="M13" i="14" s="1"/>
  <c r="X12" i="14"/>
  <c r="S12" i="14"/>
  <c r="U12" i="14" s="1"/>
  <c r="J12" i="14"/>
  <c r="M12" i="14" s="1"/>
  <c r="X11" i="14"/>
  <c r="S11" i="14"/>
  <c r="U11" i="14" s="1"/>
  <c r="J11" i="14"/>
  <c r="M11" i="14" s="1"/>
  <c r="X10" i="14"/>
  <c r="S10" i="14"/>
  <c r="U10" i="14" s="1"/>
  <c r="J10" i="14"/>
  <c r="M10" i="14" s="1"/>
  <c r="X9" i="14"/>
  <c r="S9" i="14"/>
  <c r="U9" i="14" s="1"/>
  <c r="J9" i="14"/>
  <c r="M9" i="14" s="1"/>
  <c r="X8" i="14"/>
  <c r="S8" i="14"/>
  <c r="U8" i="14" s="1"/>
  <c r="J8" i="14"/>
  <c r="M8" i="14" s="1"/>
  <c r="X7" i="14"/>
  <c r="U7" i="14"/>
  <c r="S7" i="14"/>
  <c r="J7" i="14"/>
  <c r="M7" i="14" s="1"/>
  <c r="X6" i="14"/>
  <c r="S6" i="14"/>
  <c r="U6" i="14" s="1"/>
  <c r="J6" i="14"/>
  <c r="M6" i="14" s="1"/>
  <c r="X5" i="14"/>
  <c r="S5" i="14"/>
  <c r="U5" i="14" s="1"/>
  <c r="J5" i="14"/>
  <c r="M5" i="14" s="1"/>
  <c r="X4" i="14"/>
  <c r="S4" i="14"/>
  <c r="U4" i="14" s="1"/>
  <c r="J4" i="14"/>
  <c r="K208" i="7"/>
  <c r="C45" i="28" l="1"/>
  <c r="E45" i="28" s="1"/>
  <c r="G45" i="28" s="1"/>
  <c r="E23" i="28"/>
  <c r="G23" i="28" s="1"/>
  <c r="C23" i="28"/>
  <c r="E41" i="28"/>
  <c r="G41" i="28" s="1"/>
  <c r="C41" i="28"/>
  <c r="E76" i="28"/>
  <c r="G76" i="28" s="1"/>
  <c r="C76" i="28"/>
  <c r="C39" i="28"/>
  <c r="E39" i="28" s="1"/>
  <c r="G39" i="28" s="1"/>
  <c r="C39" i="29" s="1"/>
  <c r="E39" i="29" s="1"/>
  <c r="G39" i="29" s="1"/>
  <c r="C39" i="30" s="1"/>
  <c r="E39" i="30" s="1"/>
  <c r="G39" i="30" s="1"/>
  <c r="C37" i="28"/>
  <c r="E37" i="28" s="1"/>
  <c r="G37" i="28" s="1"/>
  <c r="C38" i="28"/>
  <c r="E38" i="28" s="1"/>
  <c r="G38" i="28" s="1"/>
  <c r="C38" i="29" s="1"/>
  <c r="E38" i="29" s="1"/>
  <c r="G38" i="29" s="1"/>
  <c r="C38" i="30" s="1"/>
  <c r="E38" i="30" s="1"/>
  <c r="G38" i="30" s="1"/>
  <c r="E65" i="28"/>
  <c r="G65" i="28" s="1"/>
  <c r="C65" i="29" s="1"/>
  <c r="E65" i="29" s="1"/>
  <c r="G65" i="29" s="1"/>
  <c r="C65" i="30" s="1"/>
  <c r="C65" i="28"/>
  <c r="E123" i="28"/>
  <c r="G123" i="28" s="1"/>
  <c r="C123" i="29" s="1"/>
  <c r="C123" i="28"/>
  <c r="E47" i="28"/>
  <c r="G47" i="28" s="1"/>
  <c r="C47" i="29" s="1"/>
  <c r="E47" i="29" s="1"/>
  <c r="G47" i="29" s="1"/>
  <c r="C47" i="30" s="1"/>
  <c r="C47" i="28"/>
  <c r="C69" i="28"/>
  <c r="E69" i="28" s="1"/>
  <c r="G69" i="28" s="1"/>
  <c r="C66" i="28"/>
  <c r="E66" i="28" s="1"/>
  <c r="G66" i="28" s="1"/>
  <c r="C80" i="28"/>
  <c r="E80" i="28" s="1"/>
  <c r="G80" i="28" s="1"/>
  <c r="C80" i="29" s="1"/>
  <c r="E80" i="29" s="1"/>
  <c r="G80" i="29" s="1"/>
  <c r="C80" i="30" s="1"/>
  <c r="E18" i="28"/>
  <c r="G18" i="28" s="1"/>
  <c r="C18" i="29" s="1"/>
  <c r="E18" i="29" s="1"/>
  <c r="G18" i="29" s="1"/>
  <c r="C18" i="30" s="1"/>
  <c r="C18" i="28"/>
  <c r="E25" i="28"/>
  <c r="G25" i="28" s="1"/>
  <c r="C25" i="29" s="1"/>
  <c r="E25" i="29" s="1"/>
  <c r="G25" i="29" s="1"/>
  <c r="C25" i="30" s="1"/>
  <c r="C25" i="28"/>
  <c r="E193" i="28"/>
  <c r="G193" i="28" s="1"/>
  <c r="C193" i="29" s="1"/>
  <c r="E193" i="29" s="1"/>
  <c r="G193" i="29" s="1"/>
  <c r="C193" i="30" s="1"/>
  <c r="C193" i="28"/>
  <c r="C175" i="29"/>
  <c r="E175" i="29" s="1"/>
  <c r="G175" i="29" s="1"/>
  <c r="C62" i="28"/>
  <c r="E62" i="28" s="1"/>
  <c r="G62" i="28" s="1"/>
  <c r="C62" i="29" s="1"/>
  <c r="E62" i="29" s="1"/>
  <c r="G62" i="29" s="1"/>
  <c r="C62" i="30" s="1"/>
  <c r="C81" i="28"/>
  <c r="E81" i="28" s="1"/>
  <c r="G81" i="28" s="1"/>
  <c r="C81" i="29" s="1"/>
  <c r="E81" i="29" s="1"/>
  <c r="G81" i="29" s="1"/>
  <c r="C81" i="30" s="1"/>
  <c r="C86" i="28"/>
  <c r="E86" i="28" s="1"/>
  <c r="G86" i="28" s="1"/>
  <c r="C22" i="28"/>
  <c r="E22" i="28" s="1"/>
  <c r="G22" i="28" s="1"/>
  <c r="C5" i="28"/>
  <c r="E5" i="28" s="1"/>
  <c r="G5" i="28" s="1"/>
  <c r="C5" i="29" s="1"/>
  <c r="E5" i="29" s="1"/>
  <c r="G5" i="29" s="1"/>
  <c r="C5" i="30" s="1"/>
  <c r="E5" i="30" s="1"/>
  <c r="G5" i="30" s="1"/>
  <c r="E32" i="28"/>
  <c r="G32" i="28" s="1"/>
  <c r="E42" i="28"/>
  <c r="G42" i="28" s="1"/>
  <c r="E93" i="28"/>
  <c r="G93" i="28" s="1"/>
  <c r="C93" i="29" s="1"/>
  <c r="E43" i="28"/>
  <c r="G43" i="28" s="1"/>
  <c r="E10" i="28"/>
  <c r="G10" i="28" s="1"/>
  <c r="C10" i="29" s="1"/>
  <c r="E8" i="28"/>
  <c r="G8" i="28" s="1"/>
  <c r="C8" i="29" s="1"/>
  <c r="E102" i="28"/>
  <c r="G102" i="28" s="1"/>
  <c r="C102" i="29" s="1"/>
  <c r="E185" i="28"/>
  <c r="G185" i="28" s="1"/>
  <c r="C185" i="29" s="1"/>
  <c r="E12" i="28"/>
  <c r="G12" i="28" s="1"/>
  <c r="C12" i="29" s="1"/>
  <c r="E7" i="28"/>
  <c r="G7" i="28" s="1"/>
  <c r="C7" i="29" s="1"/>
  <c r="E113" i="28"/>
  <c r="G113" i="28" s="1"/>
  <c r="C113" i="29" s="1"/>
  <c r="E87" i="28"/>
  <c r="G87" i="28" s="1"/>
  <c r="C87" i="29" s="1"/>
  <c r="E160" i="28"/>
  <c r="G160" i="28" s="1"/>
  <c r="C160" i="29" s="1"/>
  <c r="E89" i="28"/>
  <c r="G89" i="28" s="1"/>
  <c r="C89" i="29" s="1"/>
  <c r="E75" i="28"/>
  <c r="G75" i="28" s="1"/>
  <c r="C75" i="29" s="1"/>
  <c r="E56" i="28"/>
  <c r="G56" i="28" s="1"/>
  <c r="C56" i="29" s="1"/>
  <c r="E138" i="28"/>
  <c r="G138" i="28" s="1"/>
  <c r="C138" i="29" s="1"/>
  <c r="E28" i="28"/>
  <c r="G28" i="28" s="1"/>
  <c r="E35" i="28"/>
  <c r="G35" i="28" s="1"/>
  <c r="C35" i="29" s="1"/>
  <c r="E115" i="28"/>
  <c r="G115" i="28" s="1"/>
  <c r="C115" i="29" s="1"/>
  <c r="E176" i="28"/>
  <c r="G176" i="28" s="1"/>
  <c r="C176" i="29" s="1"/>
  <c r="E149" i="28"/>
  <c r="G149" i="28" s="1"/>
  <c r="C149" i="29" s="1"/>
  <c r="E148" i="28"/>
  <c r="G148" i="28" s="1"/>
  <c r="C148" i="29" s="1"/>
  <c r="E173" i="28"/>
  <c r="G173" i="28" s="1"/>
  <c r="C173" i="29" s="1"/>
  <c r="E126" i="28"/>
  <c r="G126" i="28" s="1"/>
  <c r="C126" i="29" s="1"/>
  <c r="E6" i="28"/>
  <c r="G6" i="28" s="1"/>
  <c r="C6" i="29" s="1"/>
  <c r="E178" i="28"/>
  <c r="G178" i="28" s="1"/>
  <c r="C178" i="29" s="1"/>
  <c r="E128" i="28"/>
  <c r="G128" i="28" s="1"/>
  <c r="C128" i="29" s="1"/>
  <c r="E61" i="28"/>
  <c r="G61" i="28" s="1"/>
  <c r="C61" i="29" s="1"/>
  <c r="E117" i="28"/>
  <c r="G117" i="28" s="1"/>
  <c r="C117" i="29" s="1"/>
  <c r="E183" i="28"/>
  <c r="G183" i="28" s="1"/>
  <c r="C183" i="29" s="1"/>
  <c r="E145" i="28"/>
  <c r="G145" i="28" s="1"/>
  <c r="C145" i="29" s="1"/>
  <c r="E140" i="28"/>
  <c r="G140" i="28" s="1"/>
  <c r="C140" i="29" s="1"/>
  <c r="E57" i="28"/>
  <c r="G57" i="28" s="1"/>
  <c r="C57" i="29" s="1"/>
  <c r="E147" i="28"/>
  <c r="G147" i="28" s="1"/>
  <c r="C147" i="29" s="1"/>
  <c r="E186" i="28"/>
  <c r="G186" i="28" s="1"/>
  <c r="C186" i="29" s="1"/>
  <c r="E77" i="28"/>
  <c r="G77" i="28" s="1"/>
  <c r="C77" i="29" s="1"/>
  <c r="E103" i="28"/>
  <c r="G103" i="28" s="1"/>
  <c r="C103" i="29" s="1"/>
  <c r="E184" i="28"/>
  <c r="G184" i="28" s="1"/>
  <c r="C184" i="29" s="1"/>
  <c r="E111" i="28"/>
  <c r="G111" i="28" s="1"/>
  <c r="C111" i="29" s="1"/>
  <c r="E20" i="28"/>
  <c r="G20" i="28" s="1"/>
  <c r="C20" i="29" s="1"/>
  <c r="E144" i="28"/>
  <c r="G144" i="28" s="1"/>
  <c r="C144" i="29" s="1"/>
  <c r="E202" i="28"/>
  <c r="G202" i="28" s="1"/>
  <c r="C202" i="29" s="1"/>
  <c r="E122" i="28"/>
  <c r="G122" i="28" s="1"/>
  <c r="C122" i="29" s="1"/>
  <c r="E59" i="28"/>
  <c r="G59" i="28" s="1"/>
  <c r="C59" i="29" s="1"/>
  <c r="E83" i="28"/>
  <c r="G83" i="28" s="1"/>
  <c r="C83" i="29" s="1"/>
  <c r="E131" i="28"/>
  <c r="G131" i="28" s="1"/>
  <c r="C131" i="29" s="1"/>
  <c r="E199" i="28"/>
  <c r="G199" i="28" s="1"/>
  <c r="C199" i="29" s="1"/>
  <c r="E51" i="28"/>
  <c r="G51" i="28" s="1"/>
  <c r="C51" i="29" s="1"/>
  <c r="E129" i="28"/>
  <c r="G129" i="28" s="1"/>
  <c r="C129" i="29" s="1"/>
  <c r="E9" i="28"/>
  <c r="G9" i="28" s="1"/>
  <c r="C9" i="29" s="1"/>
  <c r="E119" i="28"/>
  <c r="G119" i="28" s="1"/>
  <c r="C119" i="29" s="1"/>
  <c r="E73" i="28"/>
  <c r="G73" i="28" s="1"/>
  <c r="C73" i="29" s="1"/>
  <c r="E21" i="28"/>
  <c r="G21" i="28" s="1"/>
  <c r="C21" i="29" s="1"/>
  <c r="E143" i="28"/>
  <c r="G143" i="28" s="1"/>
  <c r="C143" i="29" s="1"/>
  <c r="E125" i="28"/>
  <c r="G125" i="28" s="1"/>
  <c r="C125" i="29" s="1"/>
  <c r="E17" i="28"/>
  <c r="G17" i="28" s="1"/>
  <c r="C17" i="29" s="1"/>
  <c r="E137" i="28"/>
  <c r="G137" i="28" s="1"/>
  <c r="C137" i="29" s="1"/>
  <c r="E68" i="28"/>
  <c r="G68" i="28" s="1"/>
  <c r="C68" i="29" s="1"/>
  <c r="E34" i="28"/>
  <c r="G34" i="28" s="1"/>
  <c r="C34" i="29" s="1"/>
  <c r="E101" i="28"/>
  <c r="G101" i="28" s="1"/>
  <c r="C101" i="29" s="1"/>
  <c r="E154" i="28"/>
  <c r="G154" i="28" s="1"/>
  <c r="C154" i="29" s="1"/>
  <c r="E26" i="28"/>
  <c r="G26" i="28" s="1"/>
  <c r="C26" i="29" s="1"/>
  <c r="E165" i="28"/>
  <c r="G165" i="28" s="1"/>
  <c r="C165" i="29" s="1"/>
  <c r="E99" i="28"/>
  <c r="G99" i="28" s="1"/>
  <c r="C99" i="29" s="1"/>
  <c r="E112" i="28"/>
  <c r="G112" i="28" s="1"/>
  <c r="C112" i="29" s="1"/>
  <c r="E181" i="28"/>
  <c r="G181" i="28" s="1"/>
  <c r="C181" i="29" s="1"/>
  <c r="E142" i="28"/>
  <c r="G142" i="28" s="1"/>
  <c r="C142" i="29" s="1"/>
  <c r="E85" i="28"/>
  <c r="G85" i="28" s="1"/>
  <c r="E105" i="28"/>
  <c r="G105" i="28" s="1"/>
  <c r="C105" i="29" s="1"/>
  <c r="E132" i="28"/>
  <c r="G132" i="28" s="1"/>
  <c r="C132" i="29" s="1"/>
  <c r="E104" i="28"/>
  <c r="G104" i="28" s="1"/>
  <c r="C104" i="29" s="1"/>
  <c r="E53" i="28"/>
  <c r="G53" i="28" s="1"/>
  <c r="C53" i="29" s="1"/>
  <c r="E150" i="28"/>
  <c r="G150" i="28" s="1"/>
  <c r="C150" i="29" s="1"/>
  <c r="E54" i="28"/>
  <c r="G54" i="28" s="1"/>
  <c r="C54" i="29" s="1"/>
  <c r="E121" i="28"/>
  <c r="G121" i="28" s="1"/>
  <c r="C121" i="29" s="1"/>
  <c r="E163" i="28"/>
  <c r="G163" i="28" s="1"/>
  <c r="C163" i="29" s="1"/>
  <c r="E44" i="28"/>
  <c r="G44" i="28" s="1"/>
  <c r="C44" i="29" s="1"/>
  <c r="E94" i="28"/>
  <c r="G94" i="28" s="1"/>
  <c r="C94" i="29" s="1"/>
  <c r="E190" i="28"/>
  <c r="G190" i="28" s="1"/>
  <c r="C190" i="29" s="1"/>
  <c r="E29" i="28"/>
  <c r="G29" i="28" s="1"/>
  <c r="C29" i="29" s="1"/>
  <c r="E159" i="28"/>
  <c r="G159" i="28" s="1"/>
  <c r="C159" i="29" s="1"/>
  <c r="E179" i="28"/>
  <c r="G179" i="28" s="1"/>
  <c r="C179" i="29" s="1"/>
  <c r="E55" i="28"/>
  <c r="G55" i="28" s="1"/>
  <c r="C55" i="29" s="1"/>
  <c r="E82" i="28"/>
  <c r="G82" i="28" s="1"/>
  <c r="C82" i="29" s="1"/>
  <c r="E124" i="28"/>
  <c r="G124" i="28" s="1"/>
  <c r="C124" i="29" s="1"/>
  <c r="E19" i="28"/>
  <c r="G19" i="28" s="1"/>
  <c r="C19" i="29" s="1"/>
  <c r="E118" i="28"/>
  <c r="G118" i="28" s="1"/>
  <c r="C118" i="29" s="1"/>
  <c r="E200" i="28"/>
  <c r="G200" i="28" s="1"/>
  <c r="C200" i="29" s="1"/>
  <c r="E90" i="28"/>
  <c r="G90" i="28" s="1"/>
  <c r="C90" i="29" s="1"/>
  <c r="E201" i="28"/>
  <c r="G201" i="28" s="1"/>
  <c r="C201" i="29" s="1"/>
  <c r="E161" i="28"/>
  <c r="G161" i="28" s="1"/>
  <c r="C161" i="29" s="1"/>
  <c r="E139" i="28"/>
  <c r="G139" i="28" s="1"/>
  <c r="C139" i="29" s="1"/>
  <c r="E114" i="28"/>
  <c r="G114" i="28" s="1"/>
  <c r="C114" i="29" s="1"/>
  <c r="E109" i="28"/>
  <c r="G109" i="28" s="1"/>
  <c r="C109" i="29" s="1"/>
  <c r="E46" i="28"/>
  <c r="G46" i="28" s="1"/>
  <c r="C46" i="29" s="1"/>
  <c r="E135" i="28"/>
  <c r="G135" i="28" s="1"/>
  <c r="C135" i="29" s="1"/>
  <c r="E64" i="28"/>
  <c r="G64" i="28" s="1"/>
  <c r="C64" i="29" s="1"/>
  <c r="E79" i="28"/>
  <c r="G79" i="28" s="1"/>
  <c r="C79" i="29" s="1"/>
  <c r="E52" i="28"/>
  <c r="G52" i="28" s="1"/>
  <c r="C52" i="29" s="1"/>
  <c r="E107" i="28"/>
  <c r="G107" i="28" s="1"/>
  <c r="C107" i="29" s="1"/>
  <c r="E123" i="29"/>
  <c r="G123" i="29" s="1"/>
  <c r="C123" i="30" s="1"/>
  <c r="E49" i="28"/>
  <c r="G49" i="28" s="1"/>
  <c r="C49" i="29" s="1"/>
  <c r="E187" i="28"/>
  <c r="G187" i="28" s="1"/>
  <c r="C187" i="29" s="1"/>
  <c r="E16" i="28"/>
  <c r="G16" i="28" s="1"/>
  <c r="C16" i="29" s="1"/>
  <c r="E136" i="28"/>
  <c r="G136" i="28" s="1"/>
  <c r="C136" i="29" s="1"/>
  <c r="E195" i="28"/>
  <c r="G195" i="28" s="1"/>
  <c r="C195" i="29" s="1"/>
  <c r="E156" i="28"/>
  <c r="G156" i="28" s="1"/>
  <c r="C156" i="29" s="1"/>
  <c r="E13" i="28"/>
  <c r="G13" i="28" s="1"/>
  <c r="C13" i="29" s="1"/>
  <c r="E153" i="28"/>
  <c r="G153" i="28" s="1"/>
  <c r="C153" i="29" s="1"/>
  <c r="E172" i="28"/>
  <c r="G172" i="28" s="1"/>
  <c r="C172" i="29" s="1"/>
  <c r="E155" i="28"/>
  <c r="G155" i="28" s="1"/>
  <c r="C155" i="29" s="1"/>
  <c r="E168" i="28"/>
  <c r="G168" i="28" s="1"/>
  <c r="C168" i="29" s="1"/>
  <c r="E130" i="28"/>
  <c r="G130" i="28" s="1"/>
  <c r="C130" i="29" s="1"/>
  <c r="E182" i="28"/>
  <c r="G182" i="28" s="1"/>
  <c r="C182" i="29" s="1"/>
  <c r="E88" i="28"/>
  <c r="G88" i="28" s="1"/>
  <c r="C88" i="29" s="1"/>
  <c r="E127" i="28"/>
  <c r="G127" i="28" s="1"/>
  <c r="C127" i="29" s="1"/>
  <c r="E67" i="28"/>
  <c r="G67" i="28" s="1"/>
  <c r="C67" i="29" s="1"/>
  <c r="E31" i="28"/>
  <c r="G31" i="28" s="1"/>
  <c r="C31" i="29" s="1"/>
  <c r="E60" i="28"/>
  <c r="G60" i="28" s="1"/>
  <c r="C60" i="29" s="1"/>
  <c r="E189" i="28"/>
  <c r="G189" i="28" s="1"/>
  <c r="C189" i="29" s="1"/>
  <c r="E50" i="28"/>
  <c r="G50" i="28" s="1"/>
  <c r="C50" i="29" s="1"/>
  <c r="E158" i="28"/>
  <c r="G158" i="28" s="1"/>
  <c r="C158" i="29" s="1"/>
  <c r="E191" i="28"/>
  <c r="G191" i="28" s="1"/>
  <c r="C191" i="29" s="1"/>
  <c r="E58" i="28"/>
  <c r="G58" i="28" s="1"/>
  <c r="C58" i="29" s="1"/>
  <c r="E164" i="28"/>
  <c r="G164" i="28" s="1"/>
  <c r="C164" i="29" s="1"/>
  <c r="E98" i="28"/>
  <c r="G98" i="28" s="1"/>
  <c r="C98" i="29" s="1"/>
  <c r="E166" i="28"/>
  <c r="G166" i="28" s="1"/>
  <c r="C166" i="29" s="1"/>
  <c r="E27" i="28"/>
  <c r="G27" i="28" s="1"/>
  <c r="C27" i="29" s="1"/>
  <c r="E95" i="28"/>
  <c r="G95" i="28" s="1"/>
  <c r="C95" i="29" s="1"/>
  <c r="E177" i="29"/>
  <c r="G177" i="29" s="1"/>
  <c r="C177" i="30" s="1"/>
  <c r="E134" i="28"/>
  <c r="G134" i="28" s="1"/>
  <c r="C134" i="29" s="1"/>
  <c r="E170" i="28"/>
  <c r="G170" i="28" s="1"/>
  <c r="C170" i="29" s="1"/>
  <c r="E196" i="28"/>
  <c r="G196" i="28" s="1"/>
  <c r="C196" i="29" s="1"/>
  <c r="E106" i="28"/>
  <c r="G106" i="28" s="1"/>
  <c r="C106" i="29" s="1"/>
  <c r="E48" i="28"/>
  <c r="G48" i="28" s="1"/>
  <c r="C48" i="29" s="1"/>
  <c r="E11" i="28"/>
  <c r="G11" i="28" s="1"/>
  <c r="C11" i="29" s="1"/>
  <c r="E171" i="28"/>
  <c r="G171" i="28" s="1"/>
  <c r="C171" i="29" s="1"/>
  <c r="E108" i="28"/>
  <c r="G108" i="28" s="1"/>
  <c r="C108" i="29" s="1"/>
  <c r="E110" i="28"/>
  <c r="G110" i="28" s="1"/>
  <c r="C110" i="29" s="1"/>
  <c r="E70" i="28"/>
  <c r="G70" i="28" s="1"/>
  <c r="C70" i="29" s="1"/>
  <c r="E141" i="28"/>
  <c r="G141" i="28" s="1"/>
  <c r="C141" i="29" s="1"/>
  <c r="E146" i="28"/>
  <c r="G146" i="28" s="1"/>
  <c r="C146" i="29" s="1"/>
  <c r="E40" i="28"/>
  <c r="G40" i="28" s="1"/>
  <c r="C40" i="29" s="1"/>
  <c r="E71" i="28"/>
  <c r="G71" i="28" s="1"/>
  <c r="C71" i="29" s="1"/>
  <c r="E97" i="28"/>
  <c r="G97" i="28" s="1"/>
  <c r="C97" i="29" s="1"/>
  <c r="E92" i="28"/>
  <c r="G92" i="28" s="1"/>
  <c r="C92" i="29" s="1"/>
  <c r="E197" i="28"/>
  <c r="G197" i="28" s="1"/>
  <c r="C197" i="29" s="1"/>
  <c r="E72" i="28"/>
  <c r="G72" i="28" s="1"/>
  <c r="C72" i="29" s="1"/>
  <c r="E63" i="28"/>
  <c r="G63" i="28" s="1"/>
  <c r="C63" i="29" s="1"/>
  <c r="E151" i="28"/>
  <c r="G151" i="28" s="1"/>
  <c r="C151" i="29" s="1"/>
  <c r="E30" i="28"/>
  <c r="G30" i="28" s="1"/>
  <c r="C30" i="29" s="1"/>
  <c r="E167" i="28"/>
  <c r="G167" i="28" s="1"/>
  <c r="C167" i="29" s="1"/>
  <c r="E133" i="28"/>
  <c r="G133" i="28" s="1"/>
  <c r="C133" i="29" s="1"/>
  <c r="E169" i="28"/>
  <c r="G169" i="28" s="1"/>
  <c r="C169" i="29" s="1"/>
  <c r="E91" i="28"/>
  <c r="G91" i="28" s="1"/>
  <c r="C91" i="29" s="1"/>
  <c r="E194" i="28"/>
  <c r="G194" i="28" s="1"/>
  <c r="C194" i="29" s="1"/>
  <c r="E100" i="28"/>
  <c r="G100" i="28" s="1"/>
  <c r="C100" i="29" s="1"/>
  <c r="E14" i="28"/>
  <c r="G14" i="28" s="1"/>
  <c r="C14" i="29" s="1"/>
  <c r="E192" i="28"/>
  <c r="G192" i="28" s="1"/>
  <c r="C192" i="29" s="1"/>
  <c r="E33" i="28"/>
  <c r="G33" i="28" s="1"/>
  <c r="C33" i="29" s="1"/>
  <c r="E152" i="28"/>
  <c r="G152" i="28" s="1"/>
  <c r="C152" i="29" s="1"/>
  <c r="E15" i="28"/>
  <c r="G15" i="28" s="1"/>
  <c r="C15" i="29" s="1"/>
  <c r="E198" i="28"/>
  <c r="G198" i="28" s="1"/>
  <c r="C198" i="29" s="1"/>
  <c r="E174" i="28"/>
  <c r="G174" i="28" s="1"/>
  <c r="C174" i="29" s="1"/>
  <c r="E96" i="28"/>
  <c r="G96" i="28" s="1"/>
  <c r="C96" i="29" s="1"/>
  <c r="E188" i="28"/>
  <c r="G188" i="28" s="1"/>
  <c r="C188" i="29" s="1"/>
  <c r="E24" i="28"/>
  <c r="G24" i="28" s="1"/>
  <c r="C24" i="29" s="1"/>
  <c r="E203" i="28"/>
  <c r="G203" i="28" s="1"/>
  <c r="C203" i="29" s="1"/>
  <c r="E116" i="28"/>
  <c r="G116" i="28" s="1"/>
  <c r="C116" i="29" s="1"/>
  <c r="E157" i="28"/>
  <c r="G157" i="28" s="1"/>
  <c r="C157" i="29" s="1"/>
  <c r="E180" i="28"/>
  <c r="G180" i="28" s="1"/>
  <c r="C180" i="29" s="1"/>
  <c r="E74" i="28"/>
  <c r="G74" i="28" s="1"/>
  <c r="C74" i="29" s="1"/>
  <c r="E120" i="29"/>
  <c r="G120" i="29" s="1"/>
  <c r="C120" i="30" s="1"/>
  <c r="E84" i="29"/>
  <c r="G84" i="29" s="1"/>
  <c r="E78" i="28"/>
  <c r="G78" i="28" s="1"/>
  <c r="C78" i="29" s="1"/>
  <c r="E162" i="28"/>
  <c r="G162" i="28" s="1"/>
  <c r="C162" i="29" s="1"/>
  <c r="E36" i="28"/>
  <c r="G36" i="28" s="1"/>
  <c r="C36" i="29" s="1"/>
  <c r="M105" i="20"/>
  <c r="M38" i="20"/>
  <c r="M42" i="19"/>
  <c r="M37" i="18"/>
  <c r="M36" i="16"/>
  <c r="K218" i="16"/>
  <c r="R28" i="9"/>
  <c r="X106" i="15"/>
  <c r="J205" i="15" s="1"/>
  <c r="K206" i="15" s="1"/>
  <c r="K218" i="14"/>
  <c r="R26" i="9"/>
  <c r="X106" i="16"/>
  <c r="J205" i="16" s="1"/>
  <c r="K206" i="16" s="1"/>
  <c r="M28" i="9" s="1"/>
  <c r="X106" i="14"/>
  <c r="J205" i="14" s="1"/>
  <c r="K206" i="14" s="1"/>
  <c r="M26" i="9" s="1"/>
  <c r="R27" i="9"/>
  <c r="X106" i="17"/>
  <c r="J205" i="17" s="1"/>
  <c r="K206" i="17" s="1"/>
  <c r="M29" i="9" s="1"/>
  <c r="K218" i="18"/>
  <c r="R30" i="9"/>
  <c r="K218" i="17"/>
  <c r="R29" i="9"/>
  <c r="K218" i="20"/>
  <c r="R32" i="9"/>
  <c r="K218" i="19"/>
  <c r="R31" i="9"/>
  <c r="R33" i="9"/>
  <c r="X106" i="20"/>
  <c r="J205" i="20" s="1"/>
  <c r="K206" i="20" s="1"/>
  <c r="M32" i="9" s="1"/>
  <c r="X106" i="21"/>
  <c r="J205" i="21" s="1"/>
  <c r="K206" i="21"/>
  <c r="M4" i="21"/>
  <c r="M4" i="20"/>
  <c r="X106" i="19"/>
  <c r="J205" i="19" s="1"/>
  <c r="K206" i="19" s="1"/>
  <c r="M31" i="9" s="1"/>
  <c r="X106" i="18"/>
  <c r="J205" i="18" s="1"/>
  <c r="K206" i="18"/>
  <c r="M30" i="9" s="1"/>
  <c r="M4" i="18"/>
  <c r="M4" i="17"/>
  <c r="M4" i="16"/>
  <c r="M4" i="15"/>
  <c r="M4" i="14"/>
  <c r="M27" i="9" l="1"/>
  <c r="C37" i="29"/>
  <c r="E37" i="29" s="1"/>
  <c r="G37" i="29" s="1"/>
  <c r="C69" i="29"/>
  <c r="E69" i="29" s="1"/>
  <c r="G69" i="29" s="1"/>
  <c r="C69" i="30" s="1"/>
  <c r="E69" i="30" s="1"/>
  <c r="G69" i="30" s="1"/>
  <c r="C69" i="31" s="1"/>
  <c r="E69" i="31" s="1"/>
  <c r="G69" i="31" s="1"/>
  <c r="C69" i="1" s="1"/>
  <c r="E175" i="30"/>
  <c r="G175" i="30" s="1"/>
  <c r="C175" i="31" s="1"/>
  <c r="E175" i="31" s="1"/>
  <c r="G175" i="31" s="1"/>
  <c r="C175" i="1" s="1"/>
  <c r="C45" i="29"/>
  <c r="E45" i="29" s="1"/>
  <c r="G45" i="29" s="1"/>
  <c r="C66" i="29"/>
  <c r="E66" i="29" s="1"/>
  <c r="G66" i="29" s="1"/>
  <c r="C66" i="30" s="1"/>
  <c r="E66" i="30" s="1"/>
  <c r="G66" i="30" s="1"/>
  <c r="C66" i="31" s="1"/>
  <c r="E66" i="31" s="1"/>
  <c r="G66" i="31" s="1"/>
  <c r="C66" i="1" s="1"/>
  <c r="C43" i="29"/>
  <c r="E43" i="29" s="1"/>
  <c r="G43" i="29" s="1"/>
  <c r="C42" i="29"/>
  <c r="E42" i="29" s="1"/>
  <c r="G42" i="29" s="1"/>
  <c r="E32" i="29"/>
  <c r="G32" i="29" s="1"/>
  <c r="C32" i="29"/>
  <c r="E76" i="29"/>
  <c r="G76" i="29" s="1"/>
  <c r="C76" i="30" s="1"/>
  <c r="E76" i="30" s="1"/>
  <c r="G76" i="30" s="1"/>
  <c r="C76" i="31" s="1"/>
  <c r="E76" i="31" s="1"/>
  <c r="G76" i="31" s="1"/>
  <c r="C76" i="1" s="1"/>
  <c r="C76" i="29"/>
  <c r="C85" i="29"/>
  <c r="E85" i="29" s="1"/>
  <c r="G85" i="29" s="1"/>
  <c r="C41" i="29"/>
  <c r="E41" i="29" s="1"/>
  <c r="G41" i="29" s="1"/>
  <c r="C41" i="30" s="1"/>
  <c r="E41" i="30" s="1"/>
  <c r="G41" i="30" s="1"/>
  <c r="C41" i="31" s="1"/>
  <c r="E41" i="31" s="1"/>
  <c r="G41" i="31" s="1"/>
  <c r="C41" i="1" s="1"/>
  <c r="C23" i="29"/>
  <c r="E23" i="29" s="1"/>
  <c r="G23" i="29" s="1"/>
  <c r="C28" i="29"/>
  <c r="E28" i="29" s="1"/>
  <c r="G28" i="29" s="1"/>
  <c r="C86" i="29"/>
  <c r="E86" i="29" s="1"/>
  <c r="G86" i="29" s="1"/>
  <c r="E22" i="29"/>
  <c r="G22" i="29" s="1"/>
  <c r="C22" i="29"/>
  <c r="E198" i="29"/>
  <c r="G198" i="29" s="1"/>
  <c r="C198" i="30" s="1"/>
  <c r="E14" i="29"/>
  <c r="G14" i="29" s="1"/>
  <c r="C14" i="30" s="1"/>
  <c r="E97" i="29"/>
  <c r="G97" i="29" s="1"/>
  <c r="C97" i="30" s="1"/>
  <c r="E196" i="29"/>
  <c r="G196" i="29" s="1"/>
  <c r="E95" i="29"/>
  <c r="G95" i="29" s="1"/>
  <c r="C95" i="30" s="1"/>
  <c r="E127" i="29"/>
  <c r="G127" i="29" s="1"/>
  <c r="C127" i="30" s="1"/>
  <c r="E187" i="29"/>
  <c r="G187" i="29" s="1"/>
  <c r="C187" i="30" s="1"/>
  <c r="E64" i="29"/>
  <c r="G64" i="29" s="1"/>
  <c r="C64" i="30" s="1"/>
  <c r="E82" i="29"/>
  <c r="G82" i="29" s="1"/>
  <c r="C82" i="30" s="1"/>
  <c r="E53" i="29"/>
  <c r="G53" i="29" s="1"/>
  <c r="C53" i="30" s="1"/>
  <c r="E142" i="29"/>
  <c r="G142" i="29" s="1"/>
  <c r="C142" i="30" s="1"/>
  <c r="E143" i="29"/>
  <c r="G143" i="29" s="1"/>
  <c r="C143" i="30" s="1"/>
  <c r="E144" i="29"/>
  <c r="G144" i="29" s="1"/>
  <c r="C144" i="30" s="1"/>
  <c r="E77" i="29"/>
  <c r="G77" i="29" s="1"/>
  <c r="C77" i="30" s="1"/>
  <c r="E173" i="29"/>
  <c r="G173" i="29" s="1"/>
  <c r="C173" i="30" s="1"/>
  <c r="E113" i="29"/>
  <c r="G113" i="29" s="1"/>
  <c r="C113" i="30" s="1"/>
  <c r="E47" i="30"/>
  <c r="G47" i="30" s="1"/>
  <c r="C47" i="31" s="1"/>
  <c r="E47" i="31" s="1"/>
  <c r="G47" i="31" s="1"/>
  <c r="C47" i="1" s="1"/>
  <c r="E116" i="29"/>
  <c r="G116" i="29" s="1"/>
  <c r="C116" i="30" s="1"/>
  <c r="E100" i="29"/>
  <c r="G100" i="29" s="1"/>
  <c r="C100" i="30" s="1"/>
  <c r="E71" i="29"/>
  <c r="G71" i="29" s="1"/>
  <c r="C71" i="30" s="1"/>
  <c r="E110" i="29"/>
  <c r="G110" i="29" s="1"/>
  <c r="C110" i="30" s="1"/>
  <c r="E27" i="29"/>
  <c r="G27" i="29" s="1"/>
  <c r="C27" i="30" s="1"/>
  <c r="E88" i="29"/>
  <c r="G88" i="29" s="1"/>
  <c r="C88" i="30" s="1"/>
  <c r="E153" i="29"/>
  <c r="G153" i="29" s="1"/>
  <c r="C153" i="30" s="1"/>
  <c r="E135" i="29"/>
  <c r="G135" i="29" s="1"/>
  <c r="C135" i="30" s="1"/>
  <c r="E55" i="29"/>
  <c r="G55" i="29" s="1"/>
  <c r="C55" i="30" s="1"/>
  <c r="E44" i="29"/>
  <c r="G44" i="29" s="1"/>
  <c r="C44" i="30" s="1"/>
  <c r="E181" i="29"/>
  <c r="G181" i="29" s="1"/>
  <c r="C181" i="30" s="1"/>
  <c r="E21" i="29"/>
  <c r="G21" i="29" s="1"/>
  <c r="C21" i="30" s="1"/>
  <c r="E199" i="29"/>
  <c r="G199" i="29" s="1"/>
  <c r="C199" i="30" s="1"/>
  <c r="E186" i="29"/>
  <c r="G186" i="29" s="1"/>
  <c r="C186" i="30" s="1"/>
  <c r="E148" i="29"/>
  <c r="G148" i="29" s="1"/>
  <c r="C148" i="30" s="1"/>
  <c r="E138" i="29"/>
  <c r="G138" i="29" s="1"/>
  <c r="C138" i="30" s="1"/>
  <c r="E10" i="29"/>
  <c r="G10" i="29" s="1"/>
  <c r="C10" i="30" s="1"/>
  <c r="E203" i="29"/>
  <c r="G203" i="29" s="1"/>
  <c r="C203" i="30" s="1"/>
  <c r="E194" i="29"/>
  <c r="G194" i="29" s="1"/>
  <c r="C194" i="30" s="1"/>
  <c r="E151" i="29"/>
  <c r="G151" i="29" s="1"/>
  <c r="C151" i="30" s="1"/>
  <c r="E108" i="29"/>
  <c r="G108" i="29" s="1"/>
  <c r="C108" i="30" s="1"/>
  <c r="E166" i="29"/>
  <c r="G166" i="29" s="1"/>
  <c r="C166" i="30" s="1"/>
  <c r="E50" i="29"/>
  <c r="G50" i="29" s="1"/>
  <c r="C50" i="30" s="1"/>
  <c r="E13" i="29"/>
  <c r="G13" i="29" s="1"/>
  <c r="C13" i="30" s="1"/>
  <c r="E46" i="29"/>
  <c r="G46" i="29" s="1"/>
  <c r="C46" i="30" s="1"/>
  <c r="E90" i="29"/>
  <c r="G90" i="29" s="1"/>
  <c r="C90" i="30" s="1"/>
  <c r="E163" i="29"/>
  <c r="G163" i="29" s="1"/>
  <c r="C163" i="30" s="1"/>
  <c r="E112" i="29"/>
  <c r="G112" i="29" s="1"/>
  <c r="C112" i="30" s="1"/>
  <c r="E34" i="29"/>
  <c r="G34" i="29" s="1"/>
  <c r="C34" i="30" s="1"/>
  <c r="E131" i="29"/>
  <c r="G131" i="29" s="1"/>
  <c r="C131" i="30" s="1"/>
  <c r="E147" i="29"/>
  <c r="G147" i="29" s="1"/>
  <c r="C147" i="30" s="1"/>
  <c r="E61" i="29"/>
  <c r="G61" i="29" s="1"/>
  <c r="C61" i="30" s="1"/>
  <c r="E56" i="29"/>
  <c r="G56" i="29" s="1"/>
  <c r="C56" i="30" s="1"/>
  <c r="E80" i="30"/>
  <c r="G80" i="30" s="1"/>
  <c r="E24" i="29"/>
  <c r="G24" i="29" s="1"/>
  <c r="C24" i="30" s="1"/>
  <c r="E15" i="29"/>
  <c r="G15" i="29" s="1"/>
  <c r="C15" i="30" s="1"/>
  <c r="E63" i="29"/>
  <c r="G63" i="29" s="1"/>
  <c r="C63" i="30" s="1"/>
  <c r="E171" i="29"/>
  <c r="G171" i="29" s="1"/>
  <c r="C171" i="30" s="1"/>
  <c r="E18" i="30"/>
  <c r="G18" i="30" s="1"/>
  <c r="E189" i="29"/>
  <c r="G189" i="29" s="1"/>
  <c r="C189" i="30" s="1"/>
  <c r="E156" i="29"/>
  <c r="G156" i="29" s="1"/>
  <c r="C156" i="30" s="1"/>
  <c r="E123" i="30"/>
  <c r="G123" i="30" s="1"/>
  <c r="E200" i="29"/>
  <c r="G200" i="29" s="1"/>
  <c r="C200" i="30" s="1"/>
  <c r="E81" i="30"/>
  <c r="G81" i="30" s="1"/>
  <c r="E132" i="29"/>
  <c r="G132" i="29" s="1"/>
  <c r="C132" i="30" s="1"/>
  <c r="E68" i="29"/>
  <c r="G68" i="29" s="1"/>
  <c r="C68" i="30" s="1"/>
  <c r="E83" i="29"/>
  <c r="G83" i="29" s="1"/>
  <c r="C83" i="30" s="1"/>
  <c r="E111" i="29"/>
  <c r="G111" i="29" s="1"/>
  <c r="C111" i="30" s="1"/>
  <c r="E128" i="29"/>
  <c r="G128" i="29" s="1"/>
  <c r="C128" i="30" s="1"/>
  <c r="E75" i="29"/>
  <c r="G75" i="29" s="1"/>
  <c r="C75" i="30" s="1"/>
  <c r="E12" i="29"/>
  <c r="G12" i="29" s="1"/>
  <c r="C12" i="30" s="1"/>
  <c r="E152" i="29"/>
  <c r="G152" i="29" s="1"/>
  <c r="C152" i="30" s="1"/>
  <c r="E72" i="29"/>
  <c r="G72" i="29" s="1"/>
  <c r="C72" i="30" s="1"/>
  <c r="E146" i="29"/>
  <c r="G146" i="29" s="1"/>
  <c r="C146" i="30" s="1"/>
  <c r="E134" i="29"/>
  <c r="G134" i="29" s="1"/>
  <c r="C134" i="30" s="1"/>
  <c r="E60" i="29"/>
  <c r="G60" i="29" s="1"/>
  <c r="C60" i="30" s="1"/>
  <c r="E130" i="29"/>
  <c r="G130" i="29" s="1"/>
  <c r="C130" i="30" s="1"/>
  <c r="E107" i="29"/>
  <c r="G107" i="29" s="1"/>
  <c r="C107" i="30" s="1"/>
  <c r="E118" i="29"/>
  <c r="G118" i="29" s="1"/>
  <c r="C118" i="30" s="1"/>
  <c r="E159" i="29"/>
  <c r="G159" i="29" s="1"/>
  <c r="C159" i="30" s="1"/>
  <c r="E105" i="29"/>
  <c r="G105" i="29" s="1"/>
  <c r="C105" i="30" s="1"/>
  <c r="E137" i="29"/>
  <c r="G137" i="29" s="1"/>
  <c r="C137" i="30" s="1"/>
  <c r="E119" i="29"/>
  <c r="G119" i="29" s="1"/>
  <c r="C119" i="30" s="1"/>
  <c r="E184" i="29"/>
  <c r="G184" i="29" s="1"/>
  <c r="C184" i="30" s="1"/>
  <c r="E178" i="29"/>
  <c r="G178" i="29" s="1"/>
  <c r="C178" i="30" s="1"/>
  <c r="E176" i="29"/>
  <c r="G176" i="29" s="1"/>
  <c r="C176" i="30" s="1"/>
  <c r="E185" i="29"/>
  <c r="G185" i="29" s="1"/>
  <c r="C185" i="30" s="1"/>
  <c r="E74" i="29"/>
  <c r="G74" i="29" s="1"/>
  <c r="C74" i="30" s="1"/>
  <c r="E33" i="29"/>
  <c r="G33" i="29" s="1"/>
  <c r="C33" i="30" s="1"/>
  <c r="E169" i="29"/>
  <c r="G169" i="29" s="1"/>
  <c r="C169" i="30" s="1"/>
  <c r="E141" i="29"/>
  <c r="G141" i="29" s="1"/>
  <c r="C141" i="30" s="1"/>
  <c r="E177" i="30"/>
  <c r="G177" i="30" s="1"/>
  <c r="C177" i="31" s="1"/>
  <c r="E177" i="31" s="1"/>
  <c r="G177" i="31" s="1"/>
  <c r="C177" i="1" s="1"/>
  <c r="E164" i="29"/>
  <c r="G164" i="29" s="1"/>
  <c r="C164" i="30" s="1"/>
  <c r="E168" i="29"/>
  <c r="G168" i="29" s="1"/>
  <c r="C168" i="30" s="1"/>
  <c r="E52" i="29"/>
  <c r="G52" i="29" s="1"/>
  <c r="C52" i="30" s="1"/>
  <c r="E114" i="29"/>
  <c r="G114" i="29" s="1"/>
  <c r="C114" i="30" s="1"/>
  <c r="E29" i="29"/>
  <c r="G29" i="29" s="1"/>
  <c r="C29" i="30" s="1"/>
  <c r="E165" i="29"/>
  <c r="G165" i="29" s="1"/>
  <c r="C165" i="30" s="1"/>
  <c r="E9" i="29"/>
  <c r="G9" i="29" s="1"/>
  <c r="C9" i="30" s="1"/>
  <c r="E103" i="29"/>
  <c r="G103" i="29" s="1"/>
  <c r="C103" i="30" s="1"/>
  <c r="E140" i="29"/>
  <c r="G140" i="29" s="1"/>
  <c r="C140" i="30" s="1"/>
  <c r="E115" i="29"/>
  <c r="G115" i="29" s="1"/>
  <c r="C115" i="30" s="1"/>
  <c r="E102" i="29"/>
  <c r="G102" i="29" s="1"/>
  <c r="C102" i="30" s="1"/>
  <c r="E93" i="29"/>
  <c r="G93" i="29" s="1"/>
  <c r="C93" i="30" s="1"/>
  <c r="E180" i="29"/>
  <c r="G180" i="29" s="1"/>
  <c r="C180" i="30" s="1"/>
  <c r="E96" i="29"/>
  <c r="G96" i="29" s="1"/>
  <c r="C96" i="30" s="1"/>
  <c r="E133" i="29"/>
  <c r="G133" i="29" s="1"/>
  <c r="C133" i="30" s="1"/>
  <c r="E70" i="29"/>
  <c r="G70" i="29" s="1"/>
  <c r="C70" i="30" s="1"/>
  <c r="E48" i="29"/>
  <c r="G48" i="29" s="1"/>
  <c r="C48" i="30" s="1"/>
  <c r="E58" i="29"/>
  <c r="G58" i="29" s="1"/>
  <c r="C58" i="30" s="1"/>
  <c r="E155" i="29"/>
  <c r="G155" i="29" s="1"/>
  <c r="C155" i="30" s="1"/>
  <c r="E136" i="29"/>
  <c r="G136" i="29" s="1"/>
  <c r="C136" i="30" s="1"/>
  <c r="E139" i="29"/>
  <c r="G139" i="29" s="1"/>
  <c r="C139" i="30" s="1"/>
  <c r="E190" i="29"/>
  <c r="G190" i="29" s="1"/>
  <c r="C190" i="30" s="1"/>
  <c r="E54" i="29"/>
  <c r="G54" i="29" s="1"/>
  <c r="C54" i="30" s="1"/>
  <c r="E26" i="29"/>
  <c r="G26" i="29" s="1"/>
  <c r="C26" i="30" s="1"/>
  <c r="E129" i="29"/>
  <c r="G129" i="29" s="1"/>
  <c r="C129" i="30" s="1"/>
  <c r="E122" i="29"/>
  <c r="G122" i="29" s="1"/>
  <c r="C122" i="30" s="1"/>
  <c r="E145" i="29"/>
  <c r="G145" i="29" s="1"/>
  <c r="C145" i="30" s="1"/>
  <c r="E35" i="29"/>
  <c r="G35" i="29" s="1"/>
  <c r="C35" i="30" s="1"/>
  <c r="E160" i="29"/>
  <c r="G160" i="29" s="1"/>
  <c r="C160" i="30" s="1"/>
  <c r="E174" i="29"/>
  <c r="G174" i="29" s="1"/>
  <c r="C174" i="30" s="1"/>
  <c r="E167" i="29"/>
  <c r="G167" i="29" s="1"/>
  <c r="C167" i="30" s="1"/>
  <c r="E92" i="29"/>
  <c r="G92" i="29" s="1"/>
  <c r="C92" i="30" s="1"/>
  <c r="E106" i="29"/>
  <c r="G106" i="29" s="1"/>
  <c r="C106" i="30" s="1"/>
  <c r="E191" i="29"/>
  <c r="G191" i="29" s="1"/>
  <c r="C191" i="30" s="1"/>
  <c r="E67" i="29"/>
  <c r="G67" i="29" s="1"/>
  <c r="C67" i="30" s="1"/>
  <c r="E16" i="29"/>
  <c r="G16" i="29" s="1"/>
  <c r="C16" i="30" s="1"/>
  <c r="E161" i="29"/>
  <c r="G161" i="29" s="1"/>
  <c r="C161" i="30" s="1"/>
  <c r="E124" i="29"/>
  <c r="G124" i="29" s="1"/>
  <c r="C124" i="30" s="1"/>
  <c r="E150" i="29"/>
  <c r="G150" i="29" s="1"/>
  <c r="C150" i="30" s="1"/>
  <c r="E154" i="29"/>
  <c r="G154" i="29" s="1"/>
  <c r="C154" i="30" s="1"/>
  <c r="E125" i="29"/>
  <c r="G125" i="29" s="1"/>
  <c r="C125" i="30" s="1"/>
  <c r="E202" i="29"/>
  <c r="G202" i="29" s="1"/>
  <c r="C202" i="30" s="1"/>
  <c r="E183" i="29"/>
  <c r="G183" i="29" s="1"/>
  <c r="C183" i="30" s="1"/>
  <c r="E126" i="29"/>
  <c r="G126" i="29" s="1"/>
  <c r="C126" i="30" s="1"/>
  <c r="E87" i="29"/>
  <c r="G87" i="29" s="1"/>
  <c r="E157" i="29"/>
  <c r="G157" i="29" s="1"/>
  <c r="C157" i="30" s="1"/>
  <c r="E40" i="29"/>
  <c r="G40" i="29" s="1"/>
  <c r="C40" i="30" s="1"/>
  <c r="E182" i="29"/>
  <c r="G182" i="29" s="1"/>
  <c r="C182" i="30" s="1"/>
  <c r="E79" i="29"/>
  <c r="G79" i="29" s="1"/>
  <c r="C79" i="30" s="1"/>
  <c r="E192" i="29"/>
  <c r="G192" i="29" s="1"/>
  <c r="E170" i="29"/>
  <c r="G170" i="29" s="1"/>
  <c r="C170" i="30" s="1"/>
  <c r="E195" i="29"/>
  <c r="G195" i="29" s="1"/>
  <c r="C195" i="30" s="1"/>
  <c r="E109" i="29"/>
  <c r="G109" i="29" s="1"/>
  <c r="C109" i="30" s="1"/>
  <c r="E94" i="29"/>
  <c r="G94" i="29" s="1"/>
  <c r="C94" i="30" s="1"/>
  <c r="E99" i="29"/>
  <c r="G99" i="29" s="1"/>
  <c r="C99" i="30" s="1"/>
  <c r="E101" i="29"/>
  <c r="G101" i="29" s="1"/>
  <c r="C101" i="30" s="1"/>
  <c r="E17" i="29"/>
  <c r="G17" i="29" s="1"/>
  <c r="C17" i="30" s="1"/>
  <c r="E73" i="29"/>
  <c r="G73" i="29" s="1"/>
  <c r="C73" i="30" s="1"/>
  <c r="E51" i="29"/>
  <c r="G51" i="29" s="1"/>
  <c r="C51" i="30" s="1"/>
  <c r="E59" i="29"/>
  <c r="G59" i="29" s="1"/>
  <c r="C59" i="30" s="1"/>
  <c r="E20" i="29"/>
  <c r="G20" i="29" s="1"/>
  <c r="C20" i="30" s="1"/>
  <c r="E57" i="29"/>
  <c r="G57" i="29" s="1"/>
  <c r="C57" i="30" s="1"/>
  <c r="E117" i="29"/>
  <c r="G117" i="29" s="1"/>
  <c r="C117" i="30" s="1"/>
  <c r="E6" i="29"/>
  <c r="G6" i="29" s="1"/>
  <c r="C6" i="30" s="1"/>
  <c r="E149" i="29"/>
  <c r="G149" i="29" s="1"/>
  <c r="E89" i="29"/>
  <c r="G89" i="29" s="1"/>
  <c r="C89" i="30" s="1"/>
  <c r="E7" i="29"/>
  <c r="G7" i="29" s="1"/>
  <c r="C7" i="30" s="1"/>
  <c r="E8" i="29"/>
  <c r="G8" i="29" s="1"/>
  <c r="C8" i="30" s="1"/>
  <c r="E30" i="29"/>
  <c r="G30" i="29" s="1"/>
  <c r="C30" i="30" s="1"/>
  <c r="E11" i="29"/>
  <c r="G11" i="29" s="1"/>
  <c r="C11" i="30" s="1"/>
  <c r="E172" i="29"/>
  <c r="G172" i="29" s="1"/>
  <c r="C172" i="30" s="1"/>
  <c r="E179" i="29"/>
  <c r="G179" i="29" s="1"/>
  <c r="C179" i="30" s="1"/>
  <c r="E197" i="29"/>
  <c r="G197" i="29" s="1"/>
  <c r="C197" i="30" s="1"/>
  <c r="E31" i="29"/>
  <c r="G31" i="29" s="1"/>
  <c r="C31" i="30" s="1"/>
  <c r="E19" i="29"/>
  <c r="G19" i="29" s="1"/>
  <c r="E25" i="30"/>
  <c r="G25" i="30" s="1"/>
  <c r="C25" i="31" s="1"/>
  <c r="E25" i="31" s="1"/>
  <c r="G25" i="31" s="1"/>
  <c r="C25" i="1" s="1"/>
  <c r="E104" i="29"/>
  <c r="G104" i="29" s="1"/>
  <c r="C104" i="30" s="1"/>
  <c r="E193" i="30"/>
  <c r="G193" i="30" s="1"/>
  <c r="E158" i="29"/>
  <c r="G158" i="29" s="1"/>
  <c r="C158" i="30" s="1"/>
  <c r="E62" i="30"/>
  <c r="G62" i="30" s="1"/>
  <c r="E188" i="29"/>
  <c r="G188" i="29" s="1"/>
  <c r="C188" i="30" s="1"/>
  <c r="E49" i="29"/>
  <c r="G49" i="29" s="1"/>
  <c r="C49" i="30" s="1"/>
  <c r="E201" i="29"/>
  <c r="G201" i="29" s="1"/>
  <c r="C201" i="30" s="1"/>
  <c r="E91" i="29"/>
  <c r="G91" i="29" s="1"/>
  <c r="C91" i="30" s="1"/>
  <c r="E98" i="29"/>
  <c r="G98" i="29" s="1"/>
  <c r="C98" i="30" s="1"/>
  <c r="E121" i="29"/>
  <c r="G121" i="29" s="1"/>
  <c r="C121" i="30" s="1"/>
  <c r="C39" i="31"/>
  <c r="E39" i="31" s="1"/>
  <c r="G39" i="31" s="1"/>
  <c r="C39" i="1" s="1"/>
  <c r="C38" i="31"/>
  <c r="E38" i="31" s="1"/>
  <c r="G38" i="31" s="1"/>
  <c r="C38" i="1" s="1"/>
  <c r="C5" i="31"/>
  <c r="E5" i="31" s="1"/>
  <c r="G5" i="31" s="1"/>
  <c r="C5" i="1" s="1"/>
  <c r="E65" i="30"/>
  <c r="G65" i="30" s="1"/>
  <c r="E120" i="30"/>
  <c r="G120" i="30" s="1"/>
  <c r="E84" i="30"/>
  <c r="G84" i="30" s="1"/>
  <c r="E78" i="29"/>
  <c r="G78" i="29" s="1"/>
  <c r="C78" i="30" s="1"/>
  <c r="E162" i="29"/>
  <c r="G162" i="29" s="1"/>
  <c r="C162" i="30" s="1"/>
  <c r="E36" i="29"/>
  <c r="G36" i="29" s="1"/>
  <c r="K212" i="21"/>
  <c r="K215" i="21" s="1"/>
  <c r="M33" i="9"/>
  <c r="K212" i="20"/>
  <c r="K212" i="19"/>
  <c r="K212" i="18"/>
  <c r="K212" i="17"/>
  <c r="K212" i="16"/>
  <c r="K212" i="15"/>
  <c r="K212" i="14"/>
  <c r="T26" i="9" s="1"/>
  <c r="K219" i="13"/>
  <c r="K211" i="13"/>
  <c r="N25" i="9" s="1"/>
  <c r="K208" i="13"/>
  <c r="J203" i="13"/>
  <c r="M203" i="13" s="1"/>
  <c r="J202" i="13"/>
  <c r="M202" i="13" s="1"/>
  <c r="J201" i="13"/>
  <c r="M201" i="13" s="1"/>
  <c r="J200" i="13"/>
  <c r="M200" i="13" s="1"/>
  <c r="J199" i="13"/>
  <c r="M199" i="13" s="1"/>
  <c r="J198" i="13"/>
  <c r="M198" i="13" s="1"/>
  <c r="J197" i="13"/>
  <c r="M197" i="13" s="1"/>
  <c r="J196" i="13"/>
  <c r="M196" i="13" s="1"/>
  <c r="J195" i="13"/>
  <c r="M195" i="13" s="1"/>
  <c r="J194" i="13"/>
  <c r="M194" i="13" s="1"/>
  <c r="J193" i="13"/>
  <c r="M193" i="13" s="1"/>
  <c r="J192" i="13"/>
  <c r="M192" i="13" s="1"/>
  <c r="J191" i="13"/>
  <c r="M191" i="13" s="1"/>
  <c r="J190" i="13"/>
  <c r="M190" i="13" s="1"/>
  <c r="J189" i="13"/>
  <c r="M189" i="13" s="1"/>
  <c r="J188" i="13"/>
  <c r="M188" i="13" s="1"/>
  <c r="J187" i="13"/>
  <c r="M187" i="13" s="1"/>
  <c r="J186" i="13"/>
  <c r="M186" i="13" s="1"/>
  <c r="J185" i="13"/>
  <c r="M185" i="13" s="1"/>
  <c r="J184" i="13"/>
  <c r="M184" i="13" s="1"/>
  <c r="J183" i="13"/>
  <c r="M183" i="13" s="1"/>
  <c r="J182" i="13"/>
  <c r="M182" i="13" s="1"/>
  <c r="J181" i="13"/>
  <c r="M181" i="13" s="1"/>
  <c r="J180" i="13"/>
  <c r="M180" i="13" s="1"/>
  <c r="J179" i="13"/>
  <c r="M179" i="13" s="1"/>
  <c r="J178" i="13"/>
  <c r="M178" i="13" s="1"/>
  <c r="J177" i="13"/>
  <c r="M177" i="13" s="1"/>
  <c r="J176" i="13"/>
  <c r="M176" i="13" s="1"/>
  <c r="J175" i="13"/>
  <c r="M175" i="13" s="1"/>
  <c r="J174" i="13"/>
  <c r="M174" i="13" s="1"/>
  <c r="J173" i="13"/>
  <c r="M173" i="13" s="1"/>
  <c r="J172" i="13"/>
  <c r="M172" i="13" s="1"/>
  <c r="J171" i="13"/>
  <c r="M171" i="13" s="1"/>
  <c r="J170" i="13"/>
  <c r="M170" i="13" s="1"/>
  <c r="J169" i="13"/>
  <c r="M169" i="13" s="1"/>
  <c r="J168" i="13"/>
  <c r="M168" i="13" s="1"/>
  <c r="J167" i="13"/>
  <c r="M167" i="13" s="1"/>
  <c r="J166" i="13"/>
  <c r="M166" i="13" s="1"/>
  <c r="J165" i="13"/>
  <c r="M165" i="13" s="1"/>
  <c r="J164" i="13"/>
  <c r="M164" i="13" s="1"/>
  <c r="J163" i="13"/>
  <c r="M163" i="13" s="1"/>
  <c r="J162" i="13"/>
  <c r="M162" i="13" s="1"/>
  <c r="J161" i="13"/>
  <c r="M161" i="13" s="1"/>
  <c r="J160" i="13"/>
  <c r="M160" i="13" s="1"/>
  <c r="J159" i="13"/>
  <c r="M159" i="13" s="1"/>
  <c r="J158" i="13"/>
  <c r="M158" i="13" s="1"/>
  <c r="J157" i="13"/>
  <c r="M157" i="13" s="1"/>
  <c r="J156" i="13"/>
  <c r="M156" i="13" s="1"/>
  <c r="J155" i="13"/>
  <c r="M155" i="13" s="1"/>
  <c r="J154" i="13"/>
  <c r="M154" i="13" s="1"/>
  <c r="J153" i="13"/>
  <c r="M153" i="13" s="1"/>
  <c r="J152" i="13"/>
  <c r="M152" i="13" s="1"/>
  <c r="J151" i="13"/>
  <c r="M151" i="13" s="1"/>
  <c r="J150" i="13"/>
  <c r="M150" i="13" s="1"/>
  <c r="J149" i="13"/>
  <c r="M149" i="13" s="1"/>
  <c r="J148" i="13"/>
  <c r="M148" i="13" s="1"/>
  <c r="J147" i="13"/>
  <c r="M147" i="13" s="1"/>
  <c r="J146" i="13"/>
  <c r="M146" i="13" s="1"/>
  <c r="J145" i="13"/>
  <c r="M145" i="13" s="1"/>
  <c r="J144" i="13"/>
  <c r="M144" i="13" s="1"/>
  <c r="J143" i="13"/>
  <c r="M143" i="13" s="1"/>
  <c r="J142" i="13"/>
  <c r="M142" i="13" s="1"/>
  <c r="J141" i="13"/>
  <c r="M141" i="13" s="1"/>
  <c r="J140" i="13"/>
  <c r="M140" i="13" s="1"/>
  <c r="J139" i="13"/>
  <c r="M139" i="13" s="1"/>
  <c r="J138" i="13"/>
  <c r="M138" i="13" s="1"/>
  <c r="J137" i="13"/>
  <c r="M137" i="13" s="1"/>
  <c r="J136" i="13"/>
  <c r="M136" i="13" s="1"/>
  <c r="J135" i="13"/>
  <c r="M135" i="13" s="1"/>
  <c r="J134" i="13"/>
  <c r="M134" i="13" s="1"/>
  <c r="J133" i="13"/>
  <c r="M133" i="13" s="1"/>
  <c r="J132" i="13"/>
  <c r="M132" i="13" s="1"/>
  <c r="J131" i="13"/>
  <c r="M131" i="13" s="1"/>
  <c r="J130" i="13"/>
  <c r="M130" i="13" s="1"/>
  <c r="J129" i="13"/>
  <c r="M129" i="13" s="1"/>
  <c r="J128" i="13"/>
  <c r="M128" i="13" s="1"/>
  <c r="J127" i="13"/>
  <c r="M127" i="13" s="1"/>
  <c r="J126" i="13"/>
  <c r="M126" i="13" s="1"/>
  <c r="J125" i="13"/>
  <c r="M125" i="13" s="1"/>
  <c r="J124" i="13"/>
  <c r="M124" i="13" s="1"/>
  <c r="J123" i="13"/>
  <c r="M123" i="13" s="1"/>
  <c r="J122" i="13"/>
  <c r="M122" i="13" s="1"/>
  <c r="J121" i="13"/>
  <c r="M121" i="13" s="1"/>
  <c r="J120" i="13"/>
  <c r="M120" i="13" s="1"/>
  <c r="J119" i="13"/>
  <c r="M119" i="13" s="1"/>
  <c r="J118" i="13"/>
  <c r="M118" i="13" s="1"/>
  <c r="J117" i="13"/>
  <c r="M117" i="13" s="1"/>
  <c r="J116" i="13"/>
  <c r="M116" i="13" s="1"/>
  <c r="J115" i="13"/>
  <c r="M115" i="13" s="1"/>
  <c r="J114" i="13"/>
  <c r="M114" i="13" s="1"/>
  <c r="J113" i="13"/>
  <c r="M113" i="13" s="1"/>
  <c r="J112" i="13"/>
  <c r="M112" i="13" s="1"/>
  <c r="J111" i="13"/>
  <c r="M111" i="13" s="1"/>
  <c r="J110" i="13"/>
  <c r="M110" i="13" s="1"/>
  <c r="J109" i="13"/>
  <c r="M109" i="13" s="1"/>
  <c r="J108" i="13"/>
  <c r="M108" i="13" s="1"/>
  <c r="J107" i="13"/>
  <c r="M107" i="13" s="1"/>
  <c r="J106" i="13"/>
  <c r="M106" i="13" s="1"/>
  <c r="J105" i="13"/>
  <c r="M105" i="13" s="1"/>
  <c r="Z104" i="13"/>
  <c r="J104" i="13"/>
  <c r="M104" i="13" s="1"/>
  <c r="X103" i="13"/>
  <c r="S103" i="13"/>
  <c r="U103" i="13" s="1"/>
  <c r="J103" i="13"/>
  <c r="M103" i="13" s="1"/>
  <c r="X102" i="13"/>
  <c r="S102" i="13"/>
  <c r="U102" i="13" s="1"/>
  <c r="J102" i="13"/>
  <c r="M102" i="13" s="1"/>
  <c r="X101" i="13"/>
  <c r="S101" i="13"/>
  <c r="U101" i="13" s="1"/>
  <c r="J101" i="13"/>
  <c r="M101" i="13" s="1"/>
  <c r="X100" i="13"/>
  <c r="S100" i="13"/>
  <c r="U100" i="13" s="1"/>
  <c r="J100" i="13"/>
  <c r="M100" i="13" s="1"/>
  <c r="X99" i="13"/>
  <c r="S99" i="13"/>
  <c r="U99" i="13" s="1"/>
  <c r="J99" i="13"/>
  <c r="M99" i="13" s="1"/>
  <c r="X98" i="13"/>
  <c r="S98" i="13"/>
  <c r="U98" i="13" s="1"/>
  <c r="J98" i="13"/>
  <c r="M98" i="13" s="1"/>
  <c r="X97" i="13"/>
  <c r="S97" i="13"/>
  <c r="U97" i="13" s="1"/>
  <c r="J97" i="13"/>
  <c r="M97" i="13" s="1"/>
  <c r="X96" i="13"/>
  <c r="S96" i="13"/>
  <c r="U96" i="13" s="1"/>
  <c r="J96" i="13"/>
  <c r="M96" i="13" s="1"/>
  <c r="X95" i="13"/>
  <c r="S95" i="13"/>
  <c r="U95" i="13" s="1"/>
  <c r="J95" i="13"/>
  <c r="M95" i="13" s="1"/>
  <c r="X94" i="13"/>
  <c r="S94" i="13"/>
  <c r="U94" i="13" s="1"/>
  <c r="J94" i="13"/>
  <c r="M94" i="13" s="1"/>
  <c r="X93" i="13"/>
  <c r="S93" i="13"/>
  <c r="U93" i="13" s="1"/>
  <c r="J93" i="13"/>
  <c r="M93" i="13" s="1"/>
  <c r="X92" i="13"/>
  <c r="S92" i="13"/>
  <c r="U92" i="13" s="1"/>
  <c r="J92" i="13"/>
  <c r="M92" i="13" s="1"/>
  <c r="X91" i="13"/>
  <c r="S91" i="13"/>
  <c r="U91" i="13" s="1"/>
  <c r="J91" i="13"/>
  <c r="M91" i="13" s="1"/>
  <c r="X90" i="13"/>
  <c r="S90" i="13"/>
  <c r="U90" i="13" s="1"/>
  <c r="J90" i="13"/>
  <c r="M90" i="13" s="1"/>
  <c r="X89" i="13"/>
  <c r="S89" i="13"/>
  <c r="U89" i="13" s="1"/>
  <c r="J89" i="13"/>
  <c r="M89" i="13" s="1"/>
  <c r="X88" i="13"/>
  <c r="S88" i="13"/>
  <c r="U88" i="13" s="1"/>
  <c r="J88" i="13"/>
  <c r="M88" i="13" s="1"/>
  <c r="X87" i="13"/>
  <c r="S87" i="13"/>
  <c r="U87" i="13" s="1"/>
  <c r="J87" i="13"/>
  <c r="M87" i="13" s="1"/>
  <c r="X86" i="13"/>
  <c r="S86" i="13"/>
  <c r="U86" i="13" s="1"/>
  <c r="J86" i="13"/>
  <c r="M86" i="13" s="1"/>
  <c r="X85" i="13"/>
  <c r="S85" i="13"/>
  <c r="U85" i="13" s="1"/>
  <c r="J85" i="13"/>
  <c r="M85" i="13" s="1"/>
  <c r="X84" i="13"/>
  <c r="S84" i="13"/>
  <c r="U84" i="13" s="1"/>
  <c r="J84" i="13"/>
  <c r="M84" i="13" s="1"/>
  <c r="X83" i="13"/>
  <c r="S83" i="13"/>
  <c r="U83" i="13" s="1"/>
  <c r="J83" i="13"/>
  <c r="M83" i="13" s="1"/>
  <c r="X82" i="13"/>
  <c r="S82" i="13"/>
  <c r="U82" i="13" s="1"/>
  <c r="J82" i="13"/>
  <c r="M82" i="13" s="1"/>
  <c r="X81" i="13"/>
  <c r="S81" i="13"/>
  <c r="U81" i="13" s="1"/>
  <c r="J81" i="13"/>
  <c r="M81" i="13" s="1"/>
  <c r="X80" i="13"/>
  <c r="S80" i="13"/>
  <c r="U80" i="13" s="1"/>
  <c r="J80" i="13"/>
  <c r="M80" i="13" s="1"/>
  <c r="X79" i="13"/>
  <c r="S79" i="13"/>
  <c r="U79" i="13" s="1"/>
  <c r="J79" i="13"/>
  <c r="M79" i="13" s="1"/>
  <c r="X78" i="13"/>
  <c r="S78" i="13"/>
  <c r="U78" i="13" s="1"/>
  <c r="J78" i="13"/>
  <c r="M78" i="13" s="1"/>
  <c r="X77" i="13"/>
  <c r="S77" i="13"/>
  <c r="U77" i="13" s="1"/>
  <c r="J77" i="13"/>
  <c r="M77" i="13" s="1"/>
  <c r="X76" i="13"/>
  <c r="S76" i="13"/>
  <c r="U76" i="13" s="1"/>
  <c r="J76" i="13"/>
  <c r="M76" i="13" s="1"/>
  <c r="X75" i="13"/>
  <c r="S75" i="13"/>
  <c r="U75" i="13" s="1"/>
  <c r="J75" i="13"/>
  <c r="M75" i="13" s="1"/>
  <c r="X74" i="13"/>
  <c r="S74" i="13"/>
  <c r="U74" i="13" s="1"/>
  <c r="J74" i="13"/>
  <c r="M74" i="13" s="1"/>
  <c r="X73" i="13"/>
  <c r="S73" i="13"/>
  <c r="U73" i="13" s="1"/>
  <c r="J73" i="13"/>
  <c r="M73" i="13" s="1"/>
  <c r="X72" i="13"/>
  <c r="S72" i="13"/>
  <c r="U72" i="13" s="1"/>
  <c r="J72" i="13"/>
  <c r="M72" i="13" s="1"/>
  <c r="X71" i="13"/>
  <c r="S71" i="13"/>
  <c r="U71" i="13" s="1"/>
  <c r="J71" i="13"/>
  <c r="M71" i="13" s="1"/>
  <c r="X70" i="13"/>
  <c r="S70" i="13"/>
  <c r="U70" i="13" s="1"/>
  <c r="J70" i="13"/>
  <c r="M70" i="13" s="1"/>
  <c r="X69" i="13"/>
  <c r="S69" i="13"/>
  <c r="U69" i="13" s="1"/>
  <c r="J69" i="13"/>
  <c r="X68" i="13"/>
  <c r="S68" i="13"/>
  <c r="U68" i="13" s="1"/>
  <c r="J68" i="13"/>
  <c r="M68" i="13" s="1"/>
  <c r="X67" i="13"/>
  <c r="S67" i="13"/>
  <c r="U67" i="13" s="1"/>
  <c r="J67" i="13"/>
  <c r="M67" i="13" s="1"/>
  <c r="X66" i="13"/>
  <c r="S66" i="13"/>
  <c r="U66" i="13" s="1"/>
  <c r="J66" i="13"/>
  <c r="M66" i="13" s="1"/>
  <c r="X65" i="13"/>
  <c r="S65" i="13"/>
  <c r="U65" i="13" s="1"/>
  <c r="J65" i="13"/>
  <c r="M65" i="13" s="1"/>
  <c r="X64" i="13"/>
  <c r="S64" i="13"/>
  <c r="U64" i="13" s="1"/>
  <c r="J64" i="13"/>
  <c r="M64" i="13" s="1"/>
  <c r="X63" i="13"/>
  <c r="S63" i="13"/>
  <c r="U63" i="13" s="1"/>
  <c r="J63" i="13"/>
  <c r="M63" i="13" s="1"/>
  <c r="X62" i="13"/>
  <c r="S62" i="13"/>
  <c r="U62" i="13" s="1"/>
  <c r="J62" i="13"/>
  <c r="M62" i="13" s="1"/>
  <c r="X61" i="13"/>
  <c r="S61" i="13"/>
  <c r="U61" i="13" s="1"/>
  <c r="J61" i="13"/>
  <c r="M61" i="13" s="1"/>
  <c r="X60" i="13"/>
  <c r="S60" i="13"/>
  <c r="U60" i="13" s="1"/>
  <c r="J60" i="13"/>
  <c r="M60" i="13" s="1"/>
  <c r="X59" i="13"/>
  <c r="S59" i="13"/>
  <c r="U59" i="13" s="1"/>
  <c r="J59" i="13"/>
  <c r="M59" i="13" s="1"/>
  <c r="X58" i="13"/>
  <c r="U58" i="13"/>
  <c r="S58" i="13"/>
  <c r="J58" i="13"/>
  <c r="M58" i="13" s="1"/>
  <c r="X57" i="13"/>
  <c r="S57" i="13"/>
  <c r="U57" i="13" s="1"/>
  <c r="J57" i="13"/>
  <c r="M57" i="13" s="1"/>
  <c r="X56" i="13"/>
  <c r="S56" i="13"/>
  <c r="U56" i="13" s="1"/>
  <c r="J56" i="13"/>
  <c r="M56" i="13" s="1"/>
  <c r="X55" i="13"/>
  <c r="S55" i="13"/>
  <c r="U55" i="13" s="1"/>
  <c r="J55" i="13"/>
  <c r="M55" i="13" s="1"/>
  <c r="X54" i="13"/>
  <c r="S54" i="13"/>
  <c r="U54" i="13" s="1"/>
  <c r="J54" i="13"/>
  <c r="M54" i="13" s="1"/>
  <c r="X53" i="13"/>
  <c r="S53" i="13"/>
  <c r="U53" i="13" s="1"/>
  <c r="J53" i="13"/>
  <c r="M53" i="13" s="1"/>
  <c r="X52" i="13"/>
  <c r="S52" i="13"/>
  <c r="U52" i="13" s="1"/>
  <c r="J52" i="13"/>
  <c r="M52" i="13" s="1"/>
  <c r="X51" i="13"/>
  <c r="U51" i="13"/>
  <c r="S51" i="13"/>
  <c r="J51" i="13"/>
  <c r="M51" i="13" s="1"/>
  <c r="X50" i="13"/>
  <c r="S50" i="13"/>
  <c r="U50" i="13" s="1"/>
  <c r="J50" i="13"/>
  <c r="M50" i="13" s="1"/>
  <c r="X49" i="13"/>
  <c r="U49" i="13"/>
  <c r="S49" i="13"/>
  <c r="J49" i="13"/>
  <c r="M49" i="13" s="1"/>
  <c r="X48" i="13"/>
  <c r="S48" i="13"/>
  <c r="U48" i="13" s="1"/>
  <c r="J48" i="13"/>
  <c r="M48" i="13" s="1"/>
  <c r="X47" i="13"/>
  <c r="S47" i="13"/>
  <c r="U47" i="13" s="1"/>
  <c r="J47" i="13"/>
  <c r="M47" i="13" s="1"/>
  <c r="X46" i="13"/>
  <c r="S46" i="13"/>
  <c r="U46" i="13" s="1"/>
  <c r="J46" i="13"/>
  <c r="M46" i="13" s="1"/>
  <c r="X45" i="13"/>
  <c r="S45" i="13"/>
  <c r="U45" i="13" s="1"/>
  <c r="J45" i="13"/>
  <c r="M45" i="13" s="1"/>
  <c r="X44" i="13"/>
  <c r="S44" i="13"/>
  <c r="U44" i="13" s="1"/>
  <c r="J44" i="13"/>
  <c r="M44" i="13" s="1"/>
  <c r="X43" i="13"/>
  <c r="U43" i="13"/>
  <c r="S43" i="13"/>
  <c r="J43" i="13"/>
  <c r="M43" i="13" s="1"/>
  <c r="X42" i="13"/>
  <c r="S42" i="13"/>
  <c r="U42" i="13" s="1"/>
  <c r="J42" i="13"/>
  <c r="M42" i="13" s="1"/>
  <c r="X41" i="13"/>
  <c r="S41" i="13"/>
  <c r="U41" i="13" s="1"/>
  <c r="J41" i="13"/>
  <c r="M41" i="13" s="1"/>
  <c r="X40" i="13"/>
  <c r="S40" i="13"/>
  <c r="U40" i="13" s="1"/>
  <c r="J40" i="13"/>
  <c r="M40" i="13" s="1"/>
  <c r="X39" i="13"/>
  <c r="U39" i="13"/>
  <c r="S39" i="13"/>
  <c r="J39" i="13"/>
  <c r="M39" i="13" s="1"/>
  <c r="X38" i="13"/>
  <c r="S38" i="13"/>
  <c r="U38" i="13" s="1"/>
  <c r="J38" i="13"/>
  <c r="M38" i="13" s="1"/>
  <c r="X37" i="13"/>
  <c r="S37" i="13"/>
  <c r="U37" i="13" s="1"/>
  <c r="J37" i="13"/>
  <c r="M37" i="13" s="1"/>
  <c r="X36" i="13"/>
  <c r="S36" i="13"/>
  <c r="U36" i="13" s="1"/>
  <c r="J36" i="13"/>
  <c r="M36" i="13" s="1"/>
  <c r="X35" i="13"/>
  <c r="S35" i="13"/>
  <c r="U35" i="13" s="1"/>
  <c r="J35" i="13"/>
  <c r="M35" i="13" s="1"/>
  <c r="X34" i="13"/>
  <c r="U34" i="13"/>
  <c r="S34" i="13"/>
  <c r="J34" i="13"/>
  <c r="X33" i="13"/>
  <c r="S33" i="13"/>
  <c r="U33" i="13" s="1"/>
  <c r="J33" i="13"/>
  <c r="M33" i="13" s="1"/>
  <c r="X32" i="13"/>
  <c r="S32" i="13"/>
  <c r="U32" i="13" s="1"/>
  <c r="J32" i="13"/>
  <c r="M32" i="13" s="1"/>
  <c r="X31" i="13"/>
  <c r="S31" i="13"/>
  <c r="U31" i="13" s="1"/>
  <c r="J31" i="13"/>
  <c r="M31" i="13" s="1"/>
  <c r="X30" i="13"/>
  <c r="S30" i="13"/>
  <c r="U30" i="13" s="1"/>
  <c r="J30" i="13"/>
  <c r="M30" i="13" s="1"/>
  <c r="X29" i="13"/>
  <c r="S29" i="13"/>
  <c r="U29" i="13" s="1"/>
  <c r="J29" i="13"/>
  <c r="M29" i="13" s="1"/>
  <c r="X28" i="13"/>
  <c r="S28" i="13"/>
  <c r="U28" i="13" s="1"/>
  <c r="J28" i="13"/>
  <c r="M28" i="13" s="1"/>
  <c r="X27" i="13"/>
  <c r="S27" i="13"/>
  <c r="U27" i="13" s="1"/>
  <c r="J27" i="13"/>
  <c r="M27" i="13" s="1"/>
  <c r="X26" i="13"/>
  <c r="U26" i="13"/>
  <c r="S26" i="13"/>
  <c r="J26" i="13"/>
  <c r="X25" i="13"/>
  <c r="S25" i="13"/>
  <c r="U25" i="13" s="1"/>
  <c r="J25" i="13"/>
  <c r="M25" i="13" s="1"/>
  <c r="X24" i="13"/>
  <c r="S24" i="13"/>
  <c r="U24" i="13" s="1"/>
  <c r="J24" i="13"/>
  <c r="M24" i="13" s="1"/>
  <c r="X23" i="13"/>
  <c r="S23" i="13"/>
  <c r="U23" i="13" s="1"/>
  <c r="J23" i="13"/>
  <c r="M23" i="13" s="1"/>
  <c r="X22" i="13"/>
  <c r="S22" i="13"/>
  <c r="U22" i="13" s="1"/>
  <c r="J22" i="13"/>
  <c r="M22" i="13" s="1"/>
  <c r="X21" i="13"/>
  <c r="U21" i="13"/>
  <c r="S21" i="13"/>
  <c r="J21" i="13"/>
  <c r="M21" i="13" s="1"/>
  <c r="X20" i="13"/>
  <c r="S20" i="13"/>
  <c r="U20" i="13" s="1"/>
  <c r="J20" i="13"/>
  <c r="M20" i="13" s="1"/>
  <c r="X19" i="13"/>
  <c r="S19" i="13"/>
  <c r="U19" i="13" s="1"/>
  <c r="J19" i="13"/>
  <c r="M19" i="13" s="1"/>
  <c r="X18" i="13"/>
  <c r="S18" i="13"/>
  <c r="U18" i="13" s="1"/>
  <c r="J18" i="13"/>
  <c r="M18" i="13" s="1"/>
  <c r="X17" i="13"/>
  <c r="S17" i="13"/>
  <c r="U17" i="13" s="1"/>
  <c r="J17" i="13"/>
  <c r="M17" i="13" s="1"/>
  <c r="X16" i="13"/>
  <c r="U16" i="13"/>
  <c r="S16" i="13"/>
  <c r="J16" i="13"/>
  <c r="M16" i="13" s="1"/>
  <c r="X15" i="13"/>
  <c r="S15" i="13"/>
  <c r="U15" i="13" s="1"/>
  <c r="J15" i="13"/>
  <c r="M15" i="13" s="1"/>
  <c r="X14" i="13"/>
  <c r="S14" i="13"/>
  <c r="U14" i="13" s="1"/>
  <c r="J14" i="13"/>
  <c r="M14" i="13" s="1"/>
  <c r="X13" i="13"/>
  <c r="S13" i="13"/>
  <c r="U13" i="13" s="1"/>
  <c r="J13" i="13"/>
  <c r="M13" i="13" s="1"/>
  <c r="X12" i="13"/>
  <c r="U12" i="13"/>
  <c r="S12" i="13"/>
  <c r="J12" i="13"/>
  <c r="M12" i="13" s="1"/>
  <c r="X11" i="13"/>
  <c r="U11" i="13"/>
  <c r="S11" i="13"/>
  <c r="J11" i="13"/>
  <c r="M11" i="13" s="1"/>
  <c r="X10" i="13"/>
  <c r="S10" i="13"/>
  <c r="U10" i="13" s="1"/>
  <c r="J10" i="13"/>
  <c r="M10" i="13" s="1"/>
  <c r="X9" i="13"/>
  <c r="U9" i="13"/>
  <c r="S9" i="13"/>
  <c r="J9" i="13"/>
  <c r="M9" i="13" s="1"/>
  <c r="X8" i="13"/>
  <c r="S8" i="13"/>
  <c r="U8" i="13" s="1"/>
  <c r="J8" i="13"/>
  <c r="M8" i="13" s="1"/>
  <c r="X7" i="13"/>
  <c r="U7" i="13"/>
  <c r="S7" i="13"/>
  <c r="J7" i="13"/>
  <c r="M7" i="13" s="1"/>
  <c r="X6" i="13"/>
  <c r="S6" i="13"/>
  <c r="U6" i="13" s="1"/>
  <c r="J6" i="13"/>
  <c r="M6" i="13" s="1"/>
  <c r="X5" i="13"/>
  <c r="S5" i="13"/>
  <c r="U5" i="13" s="1"/>
  <c r="J5" i="13"/>
  <c r="M5" i="13" s="1"/>
  <c r="X4" i="13"/>
  <c r="S4" i="13"/>
  <c r="U4" i="13" s="1"/>
  <c r="J4" i="13"/>
  <c r="M4" i="13" s="1"/>
  <c r="K219" i="12"/>
  <c r="K211" i="12"/>
  <c r="N24" i="9" s="1"/>
  <c r="K208" i="12"/>
  <c r="J203" i="12"/>
  <c r="M203" i="12" s="1"/>
  <c r="J202" i="12"/>
  <c r="M202" i="12" s="1"/>
  <c r="J201" i="12"/>
  <c r="M201" i="12" s="1"/>
  <c r="J200" i="12"/>
  <c r="M200" i="12" s="1"/>
  <c r="J199" i="12"/>
  <c r="M199" i="12" s="1"/>
  <c r="J198" i="12"/>
  <c r="M198" i="12" s="1"/>
  <c r="J197" i="12"/>
  <c r="M197" i="12" s="1"/>
  <c r="J196" i="12"/>
  <c r="M196" i="12" s="1"/>
  <c r="J195" i="12"/>
  <c r="M195" i="12" s="1"/>
  <c r="J194" i="12"/>
  <c r="M194" i="12" s="1"/>
  <c r="J193" i="12"/>
  <c r="M193" i="12" s="1"/>
  <c r="J192" i="12"/>
  <c r="M192" i="12" s="1"/>
  <c r="J191" i="12"/>
  <c r="M191" i="12" s="1"/>
  <c r="J190" i="12"/>
  <c r="M190" i="12" s="1"/>
  <c r="J189" i="12"/>
  <c r="M189" i="12" s="1"/>
  <c r="J188" i="12"/>
  <c r="M188" i="12" s="1"/>
  <c r="J187" i="12"/>
  <c r="M187" i="12" s="1"/>
  <c r="J186" i="12"/>
  <c r="M186" i="12" s="1"/>
  <c r="J185" i="12"/>
  <c r="M185" i="12" s="1"/>
  <c r="J184" i="12"/>
  <c r="M184" i="12" s="1"/>
  <c r="J183" i="12"/>
  <c r="M183" i="12" s="1"/>
  <c r="J182" i="12"/>
  <c r="M182" i="12" s="1"/>
  <c r="J181" i="12"/>
  <c r="M181" i="12" s="1"/>
  <c r="J180" i="12"/>
  <c r="M180" i="12" s="1"/>
  <c r="J179" i="12"/>
  <c r="M179" i="12" s="1"/>
  <c r="J178" i="12"/>
  <c r="M178" i="12" s="1"/>
  <c r="J177" i="12"/>
  <c r="M177" i="12" s="1"/>
  <c r="J176" i="12"/>
  <c r="M176" i="12" s="1"/>
  <c r="J175" i="12"/>
  <c r="M175" i="12" s="1"/>
  <c r="J174" i="12"/>
  <c r="M174" i="12" s="1"/>
  <c r="J173" i="12"/>
  <c r="M173" i="12" s="1"/>
  <c r="J172" i="12"/>
  <c r="M172" i="12" s="1"/>
  <c r="J171" i="12"/>
  <c r="M171" i="12" s="1"/>
  <c r="J170" i="12"/>
  <c r="M170" i="12" s="1"/>
  <c r="J169" i="12"/>
  <c r="M169" i="12" s="1"/>
  <c r="J168" i="12"/>
  <c r="M168" i="12" s="1"/>
  <c r="J167" i="12"/>
  <c r="M167" i="12" s="1"/>
  <c r="J166" i="12"/>
  <c r="M166" i="12" s="1"/>
  <c r="J165" i="12"/>
  <c r="M165" i="12" s="1"/>
  <c r="J164" i="12"/>
  <c r="M164" i="12" s="1"/>
  <c r="J163" i="12"/>
  <c r="M163" i="12" s="1"/>
  <c r="J162" i="12"/>
  <c r="M162" i="12" s="1"/>
  <c r="J161" i="12"/>
  <c r="M161" i="12" s="1"/>
  <c r="J160" i="12"/>
  <c r="M160" i="12" s="1"/>
  <c r="J159" i="12"/>
  <c r="M159" i="12" s="1"/>
  <c r="J158" i="12"/>
  <c r="M158" i="12" s="1"/>
  <c r="J157" i="12"/>
  <c r="M157" i="12" s="1"/>
  <c r="J156" i="12"/>
  <c r="M156" i="12" s="1"/>
  <c r="J155" i="12"/>
  <c r="M155" i="12" s="1"/>
  <c r="J154" i="12"/>
  <c r="M154" i="12" s="1"/>
  <c r="J153" i="12"/>
  <c r="M153" i="12" s="1"/>
  <c r="J152" i="12"/>
  <c r="M152" i="12" s="1"/>
  <c r="J151" i="12"/>
  <c r="M151" i="12" s="1"/>
  <c r="J150" i="12"/>
  <c r="M150" i="12" s="1"/>
  <c r="J149" i="12"/>
  <c r="M149" i="12" s="1"/>
  <c r="J148" i="12"/>
  <c r="M148" i="12" s="1"/>
  <c r="J147" i="12"/>
  <c r="M147" i="12" s="1"/>
  <c r="J146" i="12"/>
  <c r="M146" i="12" s="1"/>
  <c r="J145" i="12"/>
  <c r="M145" i="12" s="1"/>
  <c r="J144" i="12"/>
  <c r="M144" i="12" s="1"/>
  <c r="J143" i="12"/>
  <c r="M143" i="12" s="1"/>
  <c r="J142" i="12"/>
  <c r="M142" i="12" s="1"/>
  <c r="J141" i="12"/>
  <c r="M141" i="12" s="1"/>
  <c r="J140" i="12"/>
  <c r="M140" i="12" s="1"/>
  <c r="J139" i="12"/>
  <c r="M139" i="12" s="1"/>
  <c r="J138" i="12"/>
  <c r="M138" i="12" s="1"/>
  <c r="J137" i="12"/>
  <c r="M137" i="12" s="1"/>
  <c r="J136" i="12"/>
  <c r="M136" i="12" s="1"/>
  <c r="J135" i="12"/>
  <c r="M135" i="12" s="1"/>
  <c r="J134" i="12"/>
  <c r="M134" i="12" s="1"/>
  <c r="J133" i="12"/>
  <c r="M133" i="12" s="1"/>
  <c r="J132" i="12"/>
  <c r="M132" i="12" s="1"/>
  <c r="J131" i="12"/>
  <c r="M131" i="12" s="1"/>
  <c r="J130" i="12"/>
  <c r="M130" i="12" s="1"/>
  <c r="J129" i="12"/>
  <c r="M129" i="12" s="1"/>
  <c r="J128" i="12"/>
  <c r="M128" i="12" s="1"/>
  <c r="J127" i="12"/>
  <c r="M127" i="12" s="1"/>
  <c r="J126" i="12"/>
  <c r="M126" i="12" s="1"/>
  <c r="J125" i="12"/>
  <c r="M125" i="12" s="1"/>
  <c r="J124" i="12"/>
  <c r="M124" i="12" s="1"/>
  <c r="J123" i="12"/>
  <c r="M123" i="12" s="1"/>
  <c r="J122" i="12"/>
  <c r="M122" i="12" s="1"/>
  <c r="J121" i="12"/>
  <c r="M121" i="12" s="1"/>
  <c r="J120" i="12"/>
  <c r="M120" i="12" s="1"/>
  <c r="J119" i="12"/>
  <c r="M119" i="12" s="1"/>
  <c r="J118" i="12"/>
  <c r="M118" i="12" s="1"/>
  <c r="J117" i="12"/>
  <c r="M117" i="12" s="1"/>
  <c r="J116" i="12"/>
  <c r="M116" i="12" s="1"/>
  <c r="J115" i="12"/>
  <c r="M115" i="12" s="1"/>
  <c r="J114" i="12"/>
  <c r="M114" i="12" s="1"/>
  <c r="J113" i="12"/>
  <c r="M113" i="12" s="1"/>
  <c r="J112" i="12"/>
  <c r="M112" i="12" s="1"/>
  <c r="J111" i="12"/>
  <c r="M111" i="12" s="1"/>
  <c r="J110" i="12"/>
  <c r="M110" i="12" s="1"/>
  <c r="J109" i="12"/>
  <c r="M109" i="12" s="1"/>
  <c r="J108" i="12"/>
  <c r="M108" i="12" s="1"/>
  <c r="J107" i="12"/>
  <c r="M107" i="12" s="1"/>
  <c r="J106" i="12"/>
  <c r="M106" i="12" s="1"/>
  <c r="J105" i="12"/>
  <c r="M105" i="12" s="1"/>
  <c r="Z104" i="12"/>
  <c r="J104" i="12"/>
  <c r="M104" i="12" s="1"/>
  <c r="X103" i="12"/>
  <c r="S103" i="12"/>
  <c r="U103" i="12" s="1"/>
  <c r="J103" i="12"/>
  <c r="M103" i="12" s="1"/>
  <c r="X102" i="12"/>
  <c r="S102" i="12"/>
  <c r="U102" i="12" s="1"/>
  <c r="J102" i="12"/>
  <c r="M102" i="12" s="1"/>
  <c r="X101" i="12"/>
  <c r="S101" i="12"/>
  <c r="U101" i="12" s="1"/>
  <c r="J101" i="12"/>
  <c r="M101" i="12" s="1"/>
  <c r="X100" i="12"/>
  <c r="S100" i="12"/>
  <c r="U100" i="12" s="1"/>
  <c r="J100" i="12"/>
  <c r="X99" i="12"/>
  <c r="S99" i="12"/>
  <c r="U99" i="12" s="1"/>
  <c r="J99" i="12"/>
  <c r="M99" i="12" s="1"/>
  <c r="X98" i="12"/>
  <c r="S98" i="12"/>
  <c r="U98" i="12" s="1"/>
  <c r="J98" i="12"/>
  <c r="M98" i="12" s="1"/>
  <c r="X97" i="12"/>
  <c r="S97" i="12"/>
  <c r="U97" i="12" s="1"/>
  <c r="J97" i="12"/>
  <c r="M97" i="12" s="1"/>
  <c r="X96" i="12"/>
  <c r="S96" i="12"/>
  <c r="U96" i="12" s="1"/>
  <c r="J96" i="12"/>
  <c r="M96" i="12" s="1"/>
  <c r="X95" i="12"/>
  <c r="S95" i="12"/>
  <c r="U95" i="12" s="1"/>
  <c r="J95" i="12"/>
  <c r="M95" i="12" s="1"/>
  <c r="X94" i="12"/>
  <c r="S94" i="12"/>
  <c r="U94" i="12" s="1"/>
  <c r="J94" i="12"/>
  <c r="M94" i="12" s="1"/>
  <c r="X93" i="12"/>
  <c r="S93" i="12"/>
  <c r="U93" i="12" s="1"/>
  <c r="J93" i="12"/>
  <c r="M93" i="12" s="1"/>
  <c r="X92" i="12"/>
  <c r="S92" i="12"/>
  <c r="U92" i="12" s="1"/>
  <c r="J92" i="12"/>
  <c r="M92" i="12" s="1"/>
  <c r="X91" i="12"/>
  <c r="S91" i="12"/>
  <c r="U91" i="12" s="1"/>
  <c r="J91" i="12"/>
  <c r="M91" i="12" s="1"/>
  <c r="X90" i="12"/>
  <c r="S90" i="12"/>
  <c r="U90" i="12" s="1"/>
  <c r="J90" i="12"/>
  <c r="M90" i="12" s="1"/>
  <c r="X89" i="12"/>
  <c r="S89" i="12"/>
  <c r="U89" i="12" s="1"/>
  <c r="J89" i="12"/>
  <c r="M89" i="12" s="1"/>
  <c r="X88" i="12"/>
  <c r="S88" i="12"/>
  <c r="U88" i="12" s="1"/>
  <c r="J88" i="12"/>
  <c r="M88" i="12" s="1"/>
  <c r="X87" i="12"/>
  <c r="S87" i="12"/>
  <c r="U87" i="12" s="1"/>
  <c r="J87" i="12"/>
  <c r="M87" i="12" s="1"/>
  <c r="X86" i="12"/>
  <c r="S86" i="12"/>
  <c r="U86" i="12" s="1"/>
  <c r="J86" i="12"/>
  <c r="M86" i="12" s="1"/>
  <c r="X85" i="12"/>
  <c r="S85" i="12"/>
  <c r="U85" i="12" s="1"/>
  <c r="J85" i="12"/>
  <c r="M85" i="12" s="1"/>
  <c r="X84" i="12"/>
  <c r="S84" i="12"/>
  <c r="U84" i="12" s="1"/>
  <c r="J84" i="12"/>
  <c r="M84" i="12" s="1"/>
  <c r="X83" i="12"/>
  <c r="S83" i="12"/>
  <c r="U83" i="12" s="1"/>
  <c r="J83" i="12"/>
  <c r="M83" i="12" s="1"/>
  <c r="X82" i="12"/>
  <c r="S82" i="12"/>
  <c r="U82" i="12" s="1"/>
  <c r="J82" i="12"/>
  <c r="M82" i="12" s="1"/>
  <c r="X81" i="12"/>
  <c r="S81" i="12"/>
  <c r="U81" i="12" s="1"/>
  <c r="J81" i="12"/>
  <c r="M81" i="12" s="1"/>
  <c r="X80" i="12"/>
  <c r="S80" i="12"/>
  <c r="U80" i="12" s="1"/>
  <c r="J80" i="12"/>
  <c r="M80" i="12" s="1"/>
  <c r="X79" i="12"/>
  <c r="S79" i="12"/>
  <c r="U79" i="12" s="1"/>
  <c r="J79" i="12"/>
  <c r="M79" i="12" s="1"/>
  <c r="X78" i="12"/>
  <c r="S78" i="12"/>
  <c r="U78" i="12" s="1"/>
  <c r="J78" i="12"/>
  <c r="M78" i="12" s="1"/>
  <c r="X77" i="12"/>
  <c r="S77" i="12"/>
  <c r="U77" i="12" s="1"/>
  <c r="J77" i="12"/>
  <c r="M77" i="12" s="1"/>
  <c r="X76" i="12"/>
  <c r="S76" i="12"/>
  <c r="U76" i="12" s="1"/>
  <c r="J76" i="12"/>
  <c r="M76" i="12" s="1"/>
  <c r="X75" i="12"/>
  <c r="S75" i="12"/>
  <c r="U75" i="12" s="1"/>
  <c r="J75" i="12"/>
  <c r="M75" i="12" s="1"/>
  <c r="X74" i="12"/>
  <c r="S74" i="12"/>
  <c r="U74" i="12" s="1"/>
  <c r="J74" i="12"/>
  <c r="M74" i="12" s="1"/>
  <c r="X73" i="12"/>
  <c r="S73" i="12"/>
  <c r="U73" i="12" s="1"/>
  <c r="J73" i="12"/>
  <c r="M73" i="12" s="1"/>
  <c r="X72" i="12"/>
  <c r="S72" i="12"/>
  <c r="U72" i="12" s="1"/>
  <c r="J72" i="12"/>
  <c r="M72" i="12" s="1"/>
  <c r="X71" i="12"/>
  <c r="S71" i="12"/>
  <c r="U71" i="12" s="1"/>
  <c r="J71" i="12"/>
  <c r="M71" i="12" s="1"/>
  <c r="X70" i="12"/>
  <c r="S70" i="12"/>
  <c r="U70" i="12" s="1"/>
  <c r="J70" i="12"/>
  <c r="M70" i="12" s="1"/>
  <c r="X69" i="12"/>
  <c r="S69" i="12"/>
  <c r="U69" i="12" s="1"/>
  <c r="J69" i="12"/>
  <c r="M69" i="12" s="1"/>
  <c r="X68" i="12"/>
  <c r="S68" i="12"/>
  <c r="U68" i="12" s="1"/>
  <c r="J68" i="12"/>
  <c r="M68" i="12" s="1"/>
  <c r="X67" i="12"/>
  <c r="S67" i="12"/>
  <c r="U67" i="12" s="1"/>
  <c r="J67" i="12"/>
  <c r="M67" i="12" s="1"/>
  <c r="X66" i="12"/>
  <c r="S66" i="12"/>
  <c r="U66" i="12" s="1"/>
  <c r="J66" i="12"/>
  <c r="M66" i="12" s="1"/>
  <c r="X65" i="12"/>
  <c r="S65" i="12"/>
  <c r="U65" i="12" s="1"/>
  <c r="J65" i="12"/>
  <c r="M65" i="12" s="1"/>
  <c r="X64" i="12"/>
  <c r="S64" i="12"/>
  <c r="U64" i="12" s="1"/>
  <c r="J64" i="12"/>
  <c r="M64" i="12" s="1"/>
  <c r="X63" i="12"/>
  <c r="S63" i="12"/>
  <c r="U63" i="12" s="1"/>
  <c r="J63" i="12"/>
  <c r="M63" i="12" s="1"/>
  <c r="X62" i="12"/>
  <c r="S62" i="12"/>
  <c r="U62" i="12" s="1"/>
  <c r="J62" i="12"/>
  <c r="M62" i="12" s="1"/>
  <c r="X61" i="12"/>
  <c r="S61" i="12"/>
  <c r="U61" i="12" s="1"/>
  <c r="J61" i="12"/>
  <c r="M61" i="12" s="1"/>
  <c r="X60" i="12"/>
  <c r="S60" i="12"/>
  <c r="U60" i="12" s="1"/>
  <c r="J60" i="12"/>
  <c r="M60" i="12" s="1"/>
  <c r="X59" i="12"/>
  <c r="S59" i="12"/>
  <c r="U59" i="12" s="1"/>
  <c r="J59" i="12"/>
  <c r="M59" i="12" s="1"/>
  <c r="X58" i="12"/>
  <c r="S58" i="12"/>
  <c r="U58" i="12" s="1"/>
  <c r="J58" i="12"/>
  <c r="M58" i="12" s="1"/>
  <c r="X57" i="12"/>
  <c r="S57" i="12"/>
  <c r="U57" i="12" s="1"/>
  <c r="J57" i="12"/>
  <c r="M57" i="12" s="1"/>
  <c r="X56" i="12"/>
  <c r="S56" i="12"/>
  <c r="U56" i="12" s="1"/>
  <c r="J56" i="12"/>
  <c r="M56" i="12" s="1"/>
  <c r="X55" i="12"/>
  <c r="S55" i="12"/>
  <c r="U55" i="12" s="1"/>
  <c r="J55" i="12"/>
  <c r="M55" i="12" s="1"/>
  <c r="X54" i="12"/>
  <c r="S54" i="12"/>
  <c r="U54" i="12" s="1"/>
  <c r="J54" i="12"/>
  <c r="M54" i="12" s="1"/>
  <c r="X53" i="12"/>
  <c r="S53" i="12"/>
  <c r="U53" i="12" s="1"/>
  <c r="J53" i="12"/>
  <c r="M53" i="12" s="1"/>
  <c r="X52" i="12"/>
  <c r="S52" i="12"/>
  <c r="U52" i="12" s="1"/>
  <c r="J52" i="12"/>
  <c r="M52" i="12" s="1"/>
  <c r="X51" i="12"/>
  <c r="S51" i="12"/>
  <c r="U51" i="12" s="1"/>
  <c r="J51" i="12"/>
  <c r="M51" i="12" s="1"/>
  <c r="X50" i="12"/>
  <c r="U50" i="12"/>
  <c r="S50" i="12"/>
  <c r="J50" i="12"/>
  <c r="M50" i="12" s="1"/>
  <c r="X49" i="12"/>
  <c r="S49" i="12"/>
  <c r="U49" i="12" s="1"/>
  <c r="J49" i="12"/>
  <c r="M49" i="12" s="1"/>
  <c r="X48" i="12"/>
  <c r="S48" i="12"/>
  <c r="U48" i="12" s="1"/>
  <c r="J48" i="12"/>
  <c r="M48" i="12" s="1"/>
  <c r="X47" i="12"/>
  <c r="S47" i="12"/>
  <c r="U47" i="12" s="1"/>
  <c r="J47" i="12"/>
  <c r="M47" i="12" s="1"/>
  <c r="X46" i="12"/>
  <c r="S46" i="12"/>
  <c r="U46" i="12" s="1"/>
  <c r="J46" i="12"/>
  <c r="M46" i="12" s="1"/>
  <c r="X45" i="12"/>
  <c r="S45" i="12"/>
  <c r="U45" i="12" s="1"/>
  <c r="J45" i="12"/>
  <c r="M45" i="12" s="1"/>
  <c r="X44" i="12"/>
  <c r="S44" i="12"/>
  <c r="U44" i="12" s="1"/>
  <c r="J44" i="12"/>
  <c r="M44" i="12" s="1"/>
  <c r="X43" i="12"/>
  <c r="S43" i="12"/>
  <c r="U43" i="12" s="1"/>
  <c r="J43" i="12"/>
  <c r="X42" i="12"/>
  <c r="S42" i="12"/>
  <c r="U42" i="12" s="1"/>
  <c r="J42" i="12"/>
  <c r="M42" i="12" s="1"/>
  <c r="X41" i="12"/>
  <c r="S41" i="12"/>
  <c r="U41" i="12" s="1"/>
  <c r="J41" i="12"/>
  <c r="M41" i="12" s="1"/>
  <c r="X40" i="12"/>
  <c r="S40" i="12"/>
  <c r="U40" i="12" s="1"/>
  <c r="J40" i="12"/>
  <c r="M40" i="12" s="1"/>
  <c r="X39" i="12"/>
  <c r="S39" i="12"/>
  <c r="U39" i="12" s="1"/>
  <c r="J39" i="12"/>
  <c r="M39" i="12" s="1"/>
  <c r="X38" i="12"/>
  <c r="S38" i="12"/>
  <c r="U38" i="12" s="1"/>
  <c r="J38" i="12"/>
  <c r="M38" i="12" s="1"/>
  <c r="X37" i="12"/>
  <c r="S37" i="12"/>
  <c r="U37" i="12" s="1"/>
  <c r="J37" i="12"/>
  <c r="M37" i="12" s="1"/>
  <c r="X36" i="12"/>
  <c r="S36" i="12"/>
  <c r="U36" i="12" s="1"/>
  <c r="J36" i="12"/>
  <c r="M36" i="12" s="1"/>
  <c r="X35" i="12"/>
  <c r="S35" i="12"/>
  <c r="U35" i="12" s="1"/>
  <c r="J35" i="12"/>
  <c r="M35" i="12" s="1"/>
  <c r="X34" i="12"/>
  <c r="U34" i="12"/>
  <c r="S34" i="12"/>
  <c r="J34" i="12"/>
  <c r="M34" i="12" s="1"/>
  <c r="X33" i="12"/>
  <c r="S33" i="12"/>
  <c r="U33" i="12" s="1"/>
  <c r="J33" i="12"/>
  <c r="M33" i="12" s="1"/>
  <c r="X32" i="12"/>
  <c r="S32" i="12"/>
  <c r="U32" i="12" s="1"/>
  <c r="J32" i="12"/>
  <c r="M32" i="12" s="1"/>
  <c r="X31" i="12"/>
  <c r="S31" i="12"/>
  <c r="U31" i="12" s="1"/>
  <c r="J31" i="12"/>
  <c r="M31" i="12" s="1"/>
  <c r="X30" i="12"/>
  <c r="S30" i="12"/>
  <c r="U30" i="12" s="1"/>
  <c r="J30" i="12"/>
  <c r="M30" i="12" s="1"/>
  <c r="X29" i="12"/>
  <c r="S29" i="12"/>
  <c r="U29" i="12" s="1"/>
  <c r="J29" i="12"/>
  <c r="M29" i="12" s="1"/>
  <c r="X28" i="12"/>
  <c r="S28" i="12"/>
  <c r="U28" i="12" s="1"/>
  <c r="J28" i="12"/>
  <c r="M28" i="12" s="1"/>
  <c r="X27" i="12"/>
  <c r="S27" i="12"/>
  <c r="U27" i="12" s="1"/>
  <c r="J27" i="12"/>
  <c r="M27" i="12" s="1"/>
  <c r="X26" i="12"/>
  <c r="S26" i="12"/>
  <c r="U26" i="12" s="1"/>
  <c r="J26" i="12"/>
  <c r="M26" i="12" s="1"/>
  <c r="X25" i="12"/>
  <c r="S25" i="12"/>
  <c r="U25" i="12" s="1"/>
  <c r="J25" i="12"/>
  <c r="M25" i="12" s="1"/>
  <c r="X24" i="12"/>
  <c r="S24" i="12"/>
  <c r="U24" i="12" s="1"/>
  <c r="J24" i="12"/>
  <c r="M24" i="12" s="1"/>
  <c r="X23" i="12"/>
  <c r="S23" i="12"/>
  <c r="U23" i="12" s="1"/>
  <c r="J23" i="12"/>
  <c r="M23" i="12" s="1"/>
  <c r="X22" i="12"/>
  <c r="S22" i="12"/>
  <c r="U22" i="12" s="1"/>
  <c r="J22" i="12"/>
  <c r="M22" i="12" s="1"/>
  <c r="X21" i="12"/>
  <c r="S21" i="12"/>
  <c r="U21" i="12" s="1"/>
  <c r="J21" i="12"/>
  <c r="M21" i="12" s="1"/>
  <c r="X20" i="12"/>
  <c r="S20" i="12"/>
  <c r="U20" i="12" s="1"/>
  <c r="J20" i="12"/>
  <c r="M20" i="12" s="1"/>
  <c r="X19" i="12"/>
  <c r="S19" i="12"/>
  <c r="U19" i="12" s="1"/>
  <c r="J19" i="12"/>
  <c r="M19" i="12" s="1"/>
  <c r="X18" i="12"/>
  <c r="U18" i="12"/>
  <c r="S18" i="12"/>
  <c r="J18" i="12"/>
  <c r="M18" i="12" s="1"/>
  <c r="X17" i="12"/>
  <c r="S17" i="12"/>
  <c r="U17" i="12" s="1"/>
  <c r="J17" i="12"/>
  <c r="M17" i="12" s="1"/>
  <c r="X16" i="12"/>
  <c r="S16" i="12"/>
  <c r="U16" i="12" s="1"/>
  <c r="J16" i="12"/>
  <c r="M16" i="12" s="1"/>
  <c r="X15" i="12"/>
  <c r="S15" i="12"/>
  <c r="U15" i="12" s="1"/>
  <c r="J15" i="12"/>
  <c r="M15" i="12" s="1"/>
  <c r="X14" i="12"/>
  <c r="S14" i="12"/>
  <c r="U14" i="12" s="1"/>
  <c r="J14" i="12"/>
  <c r="M14" i="12" s="1"/>
  <c r="X13" i="12"/>
  <c r="S13" i="12"/>
  <c r="U13" i="12" s="1"/>
  <c r="J13" i="12"/>
  <c r="M13" i="12" s="1"/>
  <c r="X12" i="12"/>
  <c r="S12" i="12"/>
  <c r="U12" i="12" s="1"/>
  <c r="J12" i="12"/>
  <c r="M12" i="12" s="1"/>
  <c r="X11" i="12"/>
  <c r="S11" i="12"/>
  <c r="U11" i="12" s="1"/>
  <c r="J11" i="12"/>
  <c r="M11" i="12" s="1"/>
  <c r="X10" i="12"/>
  <c r="S10" i="12"/>
  <c r="U10" i="12" s="1"/>
  <c r="J10" i="12"/>
  <c r="M10" i="12" s="1"/>
  <c r="X9" i="12"/>
  <c r="S9" i="12"/>
  <c r="U9" i="12" s="1"/>
  <c r="J9" i="12"/>
  <c r="M9" i="12" s="1"/>
  <c r="X8" i="12"/>
  <c r="S8" i="12"/>
  <c r="U8" i="12" s="1"/>
  <c r="J8" i="12"/>
  <c r="M8" i="12" s="1"/>
  <c r="X7" i="12"/>
  <c r="S7" i="12"/>
  <c r="U7" i="12" s="1"/>
  <c r="J7" i="12"/>
  <c r="M7" i="12" s="1"/>
  <c r="X6" i="12"/>
  <c r="S6" i="12"/>
  <c r="U6" i="12" s="1"/>
  <c r="J6" i="12"/>
  <c r="M6" i="12" s="1"/>
  <c r="X5" i="12"/>
  <c r="U5" i="12"/>
  <c r="S5" i="12"/>
  <c r="J5" i="12"/>
  <c r="M5" i="12" s="1"/>
  <c r="X4" i="12"/>
  <c r="S4" i="12"/>
  <c r="U4" i="12" s="1"/>
  <c r="J4" i="12"/>
  <c r="M4" i="12" s="1"/>
  <c r="K219" i="11"/>
  <c r="K211" i="11"/>
  <c r="N23" i="9" s="1"/>
  <c r="K208" i="11"/>
  <c r="J203" i="11"/>
  <c r="M203" i="11" s="1"/>
  <c r="J202" i="11"/>
  <c r="M202" i="11" s="1"/>
  <c r="J201" i="11"/>
  <c r="M201" i="11" s="1"/>
  <c r="J200" i="11"/>
  <c r="M200" i="11" s="1"/>
  <c r="J199" i="11"/>
  <c r="M199" i="11" s="1"/>
  <c r="J198" i="11"/>
  <c r="M198" i="11" s="1"/>
  <c r="J197" i="11"/>
  <c r="M197" i="11" s="1"/>
  <c r="J196" i="11"/>
  <c r="M196" i="11" s="1"/>
  <c r="J195" i="11"/>
  <c r="M195" i="11" s="1"/>
  <c r="J194" i="11"/>
  <c r="M194" i="11" s="1"/>
  <c r="J193" i="11"/>
  <c r="M193" i="11" s="1"/>
  <c r="J192" i="11"/>
  <c r="M192" i="11" s="1"/>
  <c r="J191" i="11"/>
  <c r="M191" i="11" s="1"/>
  <c r="J190" i="11"/>
  <c r="M190" i="11" s="1"/>
  <c r="J189" i="11"/>
  <c r="M189" i="11" s="1"/>
  <c r="J188" i="11"/>
  <c r="M188" i="11" s="1"/>
  <c r="J187" i="11"/>
  <c r="M187" i="11" s="1"/>
  <c r="J186" i="11"/>
  <c r="M186" i="11" s="1"/>
  <c r="J185" i="11"/>
  <c r="M185" i="11" s="1"/>
  <c r="J184" i="11"/>
  <c r="M184" i="11" s="1"/>
  <c r="J183" i="11"/>
  <c r="M183" i="11" s="1"/>
  <c r="J182" i="11"/>
  <c r="M182" i="11" s="1"/>
  <c r="J181" i="11"/>
  <c r="M181" i="11" s="1"/>
  <c r="J180" i="11"/>
  <c r="M180" i="11" s="1"/>
  <c r="J179" i="11"/>
  <c r="M179" i="11" s="1"/>
  <c r="J178" i="11"/>
  <c r="M178" i="11" s="1"/>
  <c r="J177" i="11"/>
  <c r="M177" i="11" s="1"/>
  <c r="J176" i="11"/>
  <c r="M176" i="11" s="1"/>
  <c r="J175" i="11"/>
  <c r="M175" i="11" s="1"/>
  <c r="J174" i="11"/>
  <c r="M174" i="11" s="1"/>
  <c r="J173" i="11"/>
  <c r="M173" i="11" s="1"/>
  <c r="J172" i="11"/>
  <c r="M172" i="11" s="1"/>
  <c r="J171" i="11"/>
  <c r="M171" i="11" s="1"/>
  <c r="J170" i="11"/>
  <c r="M170" i="11" s="1"/>
  <c r="J169" i="11"/>
  <c r="M169" i="11" s="1"/>
  <c r="J168" i="11"/>
  <c r="M168" i="11" s="1"/>
  <c r="J167" i="11"/>
  <c r="M167" i="11" s="1"/>
  <c r="J166" i="11"/>
  <c r="M166" i="11" s="1"/>
  <c r="J165" i="11"/>
  <c r="M165" i="11" s="1"/>
  <c r="J164" i="11"/>
  <c r="M164" i="11" s="1"/>
  <c r="J163" i="11"/>
  <c r="M163" i="11" s="1"/>
  <c r="J162" i="11"/>
  <c r="M162" i="11" s="1"/>
  <c r="J161" i="11"/>
  <c r="M161" i="11" s="1"/>
  <c r="J160" i="11"/>
  <c r="M160" i="11" s="1"/>
  <c r="J159" i="11"/>
  <c r="M159" i="11" s="1"/>
  <c r="J158" i="11"/>
  <c r="M158" i="11" s="1"/>
  <c r="J157" i="11"/>
  <c r="M157" i="11" s="1"/>
  <c r="J156" i="11"/>
  <c r="M156" i="11" s="1"/>
  <c r="J155" i="11"/>
  <c r="M155" i="11" s="1"/>
  <c r="J154" i="11"/>
  <c r="M154" i="11" s="1"/>
  <c r="J153" i="11"/>
  <c r="M153" i="11" s="1"/>
  <c r="J152" i="11"/>
  <c r="M152" i="11" s="1"/>
  <c r="J151" i="11"/>
  <c r="M151" i="11" s="1"/>
  <c r="J150" i="11"/>
  <c r="M150" i="11" s="1"/>
  <c r="J149" i="11"/>
  <c r="M149" i="11" s="1"/>
  <c r="J148" i="11"/>
  <c r="M148" i="11" s="1"/>
  <c r="J147" i="11"/>
  <c r="M147" i="11" s="1"/>
  <c r="J146" i="11"/>
  <c r="M146" i="11" s="1"/>
  <c r="J145" i="11"/>
  <c r="M145" i="11" s="1"/>
  <c r="J144" i="11"/>
  <c r="M144" i="11" s="1"/>
  <c r="J143" i="11"/>
  <c r="M143" i="11" s="1"/>
  <c r="J142" i="11"/>
  <c r="M142" i="11" s="1"/>
  <c r="J141" i="11"/>
  <c r="M141" i="11" s="1"/>
  <c r="J140" i="11"/>
  <c r="M140" i="11" s="1"/>
  <c r="J139" i="11"/>
  <c r="M139" i="11" s="1"/>
  <c r="J138" i="11"/>
  <c r="M138" i="11" s="1"/>
  <c r="J137" i="11"/>
  <c r="M137" i="11" s="1"/>
  <c r="J136" i="11"/>
  <c r="M136" i="11" s="1"/>
  <c r="J135" i="11"/>
  <c r="M135" i="11" s="1"/>
  <c r="J134" i="11"/>
  <c r="M134" i="11" s="1"/>
  <c r="J133" i="11"/>
  <c r="M133" i="11" s="1"/>
  <c r="J132" i="11"/>
  <c r="M132" i="11" s="1"/>
  <c r="J131" i="11"/>
  <c r="M131" i="11" s="1"/>
  <c r="J130" i="11"/>
  <c r="M130" i="11" s="1"/>
  <c r="J129" i="11"/>
  <c r="M129" i="11" s="1"/>
  <c r="J128" i="11"/>
  <c r="M128" i="11" s="1"/>
  <c r="J127" i="11"/>
  <c r="M127" i="11" s="1"/>
  <c r="J126" i="11"/>
  <c r="M126" i="11" s="1"/>
  <c r="J125" i="11"/>
  <c r="M125" i="11" s="1"/>
  <c r="J124" i="11"/>
  <c r="M124" i="11" s="1"/>
  <c r="J123" i="11"/>
  <c r="M123" i="11" s="1"/>
  <c r="J122" i="11"/>
  <c r="M122" i="11" s="1"/>
  <c r="J121" i="11"/>
  <c r="M121" i="11" s="1"/>
  <c r="J120" i="11"/>
  <c r="M120" i="11" s="1"/>
  <c r="J119" i="11"/>
  <c r="M119" i="11" s="1"/>
  <c r="J118" i="11"/>
  <c r="M118" i="11" s="1"/>
  <c r="J117" i="11"/>
  <c r="M117" i="11" s="1"/>
  <c r="J116" i="11"/>
  <c r="M116" i="11" s="1"/>
  <c r="J115" i="11"/>
  <c r="M115" i="11" s="1"/>
  <c r="J114" i="11"/>
  <c r="M114" i="11" s="1"/>
  <c r="J113" i="11"/>
  <c r="M113" i="11" s="1"/>
  <c r="J112" i="11"/>
  <c r="M112" i="11" s="1"/>
  <c r="J111" i="11"/>
  <c r="M111" i="11" s="1"/>
  <c r="J110" i="11"/>
  <c r="M110" i="11" s="1"/>
  <c r="J109" i="11"/>
  <c r="M109" i="11" s="1"/>
  <c r="J108" i="11"/>
  <c r="M108" i="11" s="1"/>
  <c r="J107" i="11"/>
  <c r="M107" i="11" s="1"/>
  <c r="J106" i="11"/>
  <c r="M106" i="11" s="1"/>
  <c r="J105" i="11"/>
  <c r="M105" i="11" s="1"/>
  <c r="Z104" i="11"/>
  <c r="J104" i="11"/>
  <c r="M104" i="11" s="1"/>
  <c r="X103" i="11"/>
  <c r="S103" i="11"/>
  <c r="U103" i="11" s="1"/>
  <c r="J103" i="11"/>
  <c r="M103" i="11" s="1"/>
  <c r="X102" i="11"/>
  <c r="S102" i="11"/>
  <c r="U102" i="11" s="1"/>
  <c r="J102" i="11"/>
  <c r="M102" i="11" s="1"/>
  <c r="X101" i="11"/>
  <c r="S101" i="11"/>
  <c r="U101" i="11" s="1"/>
  <c r="J101" i="11"/>
  <c r="M101" i="11" s="1"/>
  <c r="X100" i="11"/>
  <c r="S100" i="11"/>
  <c r="U100" i="11" s="1"/>
  <c r="J100" i="11"/>
  <c r="M100" i="11" s="1"/>
  <c r="X99" i="11"/>
  <c r="S99" i="11"/>
  <c r="U99" i="11" s="1"/>
  <c r="J99" i="11"/>
  <c r="M99" i="11" s="1"/>
  <c r="X98" i="11"/>
  <c r="S98" i="11"/>
  <c r="U98" i="11" s="1"/>
  <c r="J98" i="11"/>
  <c r="M98" i="11" s="1"/>
  <c r="X97" i="11"/>
  <c r="S97" i="11"/>
  <c r="U97" i="11" s="1"/>
  <c r="J97" i="11"/>
  <c r="M97" i="11" s="1"/>
  <c r="X96" i="11"/>
  <c r="S96" i="11"/>
  <c r="U96" i="11" s="1"/>
  <c r="J96" i="11"/>
  <c r="M96" i="11" s="1"/>
  <c r="X95" i="11"/>
  <c r="S95" i="11"/>
  <c r="U95" i="11" s="1"/>
  <c r="J95" i="11"/>
  <c r="M95" i="11" s="1"/>
  <c r="X94" i="11"/>
  <c r="S94" i="11"/>
  <c r="U94" i="11" s="1"/>
  <c r="J94" i="11"/>
  <c r="M94" i="11" s="1"/>
  <c r="X93" i="11"/>
  <c r="S93" i="11"/>
  <c r="U93" i="11" s="1"/>
  <c r="J93" i="11"/>
  <c r="M93" i="11" s="1"/>
  <c r="X92" i="11"/>
  <c r="S92" i="11"/>
  <c r="U92" i="11" s="1"/>
  <c r="J92" i="11"/>
  <c r="M92" i="11" s="1"/>
  <c r="X91" i="11"/>
  <c r="S91" i="11"/>
  <c r="U91" i="11" s="1"/>
  <c r="J91" i="11"/>
  <c r="M91" i="11" s="1"/>
  <c r="X90" i="11"/>
  <c r="S90" i="11"/>
  <c r="U90" i="11" s="1"/>
  <c r="J90" i="11"/>
  <c r="M90" i="11" s="1"/>
  <c r="X89" i="11"/>
  <c r="S89" i="11"/>
  <c r="U89" i="11" s="1"/>
  <c r="J89" i="11"/>
  <c r="M89" i="11" s="1"/>
  <c r="X88" i="11"/>
  <c r="S88" i="11"/>
  <c r="U88" i="11" s="1"/>
  <c r="J88" i="11"/>
  <c r="M88" i="11" s="1"/>
  <c r="X87" i="11"/>
  <c r="S87" i="11"/>
  <c r="U87" i="11" s="1"/>
  <c r="J87" i="11"/>
  <c r="M87" i="11" s="1"/>
  <c r="X86" i="11"/>
  <c r="S86" i="11"/>
  <c r="U86" i="11" s="1"/>
  <c r="J86" i="11"/>
  <c r="M86" i="11" s="1"/>
  <c r="X85" i="11"/>
  <c r="S85" i="11"/>
  <c r="U85" i="11" s="1"/>
  <c r="J85" i="11"/>
  <c r="M85" i="11" s="1"/>
  <c r="X84" i="11"/>
  <c r="S84" i="11"/>
  <c r="U84" i="11" s="1"/>
  <c r="J84" i="11"/>
  <c r="M84" i="11" s="1"/>
  <c r="X83" i="11"/>
  <c r="S83" i="11"/>
  <c r="U83" i="11" s="1"/>
  <c r="J83" i="11"/>
  <c r="M83" i="11" s="1"/>
  <c r="X82" i="11"/>
  <c r="S82" i="11"/>
  <c r="U82" i="11" s="1"/>
  <c r="J82" i="11"/>
  <c r="M82" i="11" s="1"/>
  <c r="X81" i="11"/>
  <c r="S81" i="11"/>
  <c r="U81" i="11" s="1"/>
  <c r="J81" i="11"/>
  <c r="M81" i="11" s="1"/>
  <c r="X80" i="11"/>
  <c r="S80" i="11"/>
  <c r="U80" i="11" s="1"/>
  <c r="J80" i="11"/>
  <c r="M80" i="11" s="1"/>
  <c r="X79" i="11"/>
  <c r="S79" i="11"/>
  <c r="U79" i="11" s="1"/>
  <c r="J79" i="11"/>
  <c r="M79" i="11" s="1"/>
  <c r="X78" i="11"/>
  <c r="S78" i="11"/>
  <c r="U78" i="11" s="1"/>
  <c r="J78" i="11"/>
  <c r="M78" i="11" s="1"/>
  <c r="X77" i="11"/>
  <c r="S77" i="11"/>
  <c r="U77" i="11" s="1"/>
  <c r="J77" i="11"/>
  <c r="M77" i="11" s="1"/>
  <c r="X76" i="11"/>
  <c r="S76" i="11"/>
  <c r="U76" i="11" s="1"/>
  <c r="J76" i="11"/>
  <c r="M76" i="11" s="1"/>
  <c r="X75" i="11"/>
  <c r="S75" i="11"/>
  <c r="U75" i="11" s="1"/>
  <c r="J75" i="11"/>
  <c r="M75" i="11" s="1"/>
  <c r="X74" i="11"/>
  <c r="S74" i="11"/>
  <c r="U74" i="11" s="1"/>
  <c r="J74" i="11"/>
  <c r="M74" i="11" s="1"/>
  <c r="X73" i="11"/>
  <c r="S73" i="11"/>
  <c r="U73" i="11" s="1"/>
  <c r="J73" i="11"/>
  <c r="M73" i="11" s="1"/>
  <c r="X72" i="11"/>
  <c r="S72" i="11"/>
  <c r="U72" i="11" s="1"/>
  <c r="J72" i="11"/>
  <c r="M72" i="11" s="1"/>
  <c r="X71" i="11"/>
  <c r="S71" i="11"/>
  <c r="U71" i="11" s="1"/>
  <c r="J71" i="11"/>
  <c r="M71" i="11" s="1"/>
  <c r="X70" i="11"/>
  <c r="S70" i="11"/>
  <c r="U70" i="11" s="1"/>
  <c r="J70" i="11"/>
  <c r="M70" i="11" s="1"/>
  <c r="X69" i="11"/>
  <c r="S69" i="11"/>
  <c r="U69" i="11" s="1"/>
  <c r="J69" i="11"/>
  <c r="M69" i="11" s="1"/>
  <c r="X68" i="11"/>
  <c r="U68" i="11"/>
  <c r="S68" i="11"/>
  <c r="J68" i="11"/>
  <c r="M68" i="11" s="1"/>
  <c r="X67" i="11"/>
  <c r="S67" i="11"/>
  <c r="U67" i="11" s="1"/>
  <c r="J67" i="11"/>
  <c r="M67" i="11" s="1"/>
  <c r="X66" i="11"/>
  <c r="S66" i="11"/>
  <c r="U66" i="11" s="1"/>
  <c r="J66" i="11"/>
  <c r="M66" i="11" s="1"/>
  <c r="X65" i="11"/>
  <c r="S65" i="11"/>
  <c r="U65" i="11" s="1"/>
  <c r="J65" i="11"/>
  <c r="M65" i="11" s="1"/>
  <c r="X64" i="11"/>
  <c r="U64" i="11"/>
  <c r="S64" i="11"/>
  <c r="J64" i="11"/>
  <c r="M64" i="11" s="1"/>
  <c r="X63" i="11"/>
  <c r="S63" i="11"/>
  <c r="U63" i="11" s="1"/>
  <c r="J63" i="11"/>
  <c r="M63" i="11" s="1"/>
  <c r="X62" i="11"/>
  <c r="S62" i="11"/>
  <c r="U62" i="11" s="1"/>
  <c r="J62" i="11"/>
  <c r="M62" i="11" s="1"/>
  <c r="X61" i="11"/>
  <c r="S61" i="11"/>
  <c r="U61" i="11" s="1"/>
  <c r="J61" i="11"/>
  <c r="M61" i="11" s="1"/>
  <c r="X60" i="11"/>
  <c r="S60" i="11"/>
  <c r="U60" i="11" s="1"/>
  <c r="J60" i="11"/>
  <c r="M60" i="11" s="1"/>
  <c r="X59" i="11"/>
  <c r="S59" i="11"/>
  <c r="U59" i="11" s="1"/>
  <c r="J59" i="11"/>
  <c r="M59" i="11" s="1"/>
  <c r="X58" i="11"/>
  <c r="S58" i="11"/>
  <c r="U58" i="11" s="1"/>
  <c r="J58" i="11"/>
  <c r="M58" i="11" s="1"/>
  <c r="X57" i="11"/>
  <c r="S57" i="11"/>
  <c r="U57" i="11" s="1"/>
  <c r="J57" i="11"/>
  <c r="M57" i="11" s="1"/>
  <c r="X56" i="11"/>
  <c r="U56" i="11"/>
  <c r="S56" i="11"/>
  <c r="J56" i="11"/>
  <c r="M56" i="11" s="1"/>
  <c r="X55" i="11"/>
  <c r="S55" i="11"/>
  <c r="U55" i="11" s="1"/>
  <c r="J55" i="11"/>
  <c r="M55" i="11" s="1"/>
  <c r="X54" i="11"/>
  <c r="S54" i="11"/>
  <c r="U54" i="11" s="1"/>
  <c r="J54" i="11"/>
  <c r="M54" i="11" s="1"/>
  <c r="X53" i="11"/>
  <c r="S53" i="11"/>
  <c r="U53" i="11" s="1"/>
  <c r="J53" i="11"/>
  <c r="M53" i="11" s="1"/>
  <c r="X52" i="11"/>
  <c r="S52" i="11"/>
  <c r="U52" i="11" s="1"/>
  <c r="J52" i="11"/>
  <c r="M52" i="11" s="1"/>
  <c r="X51" i="11"/>
  <c r="S51" i="11"/>
  <c r="U51" i="11" s="1"/>
  <c r="J51" i="11"/>
  <c r="M51" i="11" s="1"/>
  <c r="X50" i="11"/>
  <c r="U50" i="11"/>
  <c r="S50" i="11"/>
  <c r="J50" i="11"/>
  <c r="M50" i="11" s="1"/>
  <c r="X49" i="11"/>
  <c r="S49" i="11"/>
  <c r="U49" i="11" s="1"/>
  <c r="J49" i="11"/>
  <c r="M49" i="11" s="1"/>
  <c r="X48" i="11"/>
  <c r="U48" i="11"/>
  <c r="S48" i="11"/>
  <c r="J48" i="11"/>
  <c r="M48" i="11" s="1"/>
  <c r="X47" i="11"/>
  <c r="S47" i="11"/>
  <c r="U47" i="11" s="1"/>
  <c r="J47" i="11"/>
  <c r="M47" i="11" s="1"/>
  <c r="X46" i="11"/>
  <c r="S46" i="11"/>
  <c r="U46" i="11" s="1"/>
  <c r="J46" i="11"/>
  <c r="M46" i="11" s="1"/>
  <c r="X45" i="11"/>
  <c r="S45" i="11"/>
  <c r="U45" i="11" s="1"/>
  <c r="J45" i="11"/>
  <c r="M45" i="11" s="1"/>
  <c r="X44" i="11"/>
  <c r="S44" i="11"/>
  <c r="U44" i="11" s="1"/>
  <c r="J44" i="11"/>
  <c r="M44" i="11" s="1"/>
  <c r="X43" i="11"/>
  <c r="S43" i="11"/>
  <c r="U43" i="11" s="1"/>
  <c r="J43" i="11"/>
  <c r="M43" i="11" s="1"/>
  <c r="X42" i="11"/>
  <c r="S42" i="11"/>
  <c r="U42" i="11" s="1"/>
  <c r="J42" i="11"/>
  <c r="M42" i="11" s="1"/>
  <c r="X41" i="11"/>
  <c r="S41" i="11"/>
  <c r="U41" i="11" s="1"/>
  <c r="J41" i="11"/>
  <c r="M41" i="11" s="1"/>
  <c r="X40" i="11"/>
  <c r="S40" i="11"/>
  <c r="U40" i="11" s="1"/>
  <c r="J40" i="11"/>
  <c r="M40" i="11" s="1"/>
  <c r="X39" i="11"/>
  <c r="S39" i="11"/>
  <c r="U39" i="11" s="1"/>
  <c r="J39" i="11"/>
  <c r="M39" i="11" s="1"/>
  <c r="X38" i="11"/>
  <c r="S38" i="11"/>
  <c r="U38" i="11" s="1"/>
  <c r="J38" i="11"/>
  <c r="M38" i="11" s="1"/>
  <c r="X37" i="11"/>
  <c r="S37" i="11"/>
  <c r="U37" i="11" s="1"/>
  <c r="J37" i="11"/>
  <c r="M37" i="11" s="1"/>
  <c r="X36" i="11"/>
  <c r="S36" i="11"/>
  <c r="U36" i="11" s="1"/>
  <c r="J36" i="11"/>
  <c r="M36" i="11" s="1"/>
  <c r="X35" i="11"/>
  <c r="S35" i="11"/>
  <c r="U35" i="11" s="1"/>
  <c r="J35" i="11"/>
  <c r="M35" i="11" s="1"/>
  <c r="X34" i="11"/>
  <c r="S34" i="11"/>
  <c r="U34" i="11" s="1"/>
  <c r="J34" i="11"/>
  <c r="M34" i="11" s="1"/>
  <c r="X33" i="11"/>
  <c r="S33" i="11"/>
  <c r="U33" i="11" s="1"/>
  <c r="J33" i="11"/>
  <c r="M33" i="11" s="1"/>
  <c r="X32" i="11"/>
  <c r="S32" i="11"/>
  <c r="U32" i="11" s="1"/>
  <c r="J32" i="11"/>
  <c r="M32" i="11" s="1"/>
  <c r="X31" i="11"/>
  <c r="S31" i="11"/>
  <c r="U31" i="11" s="1"/>
  <c r="J31" i="11"/>
  <c r="M31" i="11" s="1"/>
  <c r="X30" i="11"/>
  <c r="S30" i="11"/>
  <c r="U30" i="11" s="1"/>
  <c r="J30" i="11"/>
  <c r="M30" i="11" s="1"/>
  <c r="X29" i="11"/>
  <c r="S29" i="11"/>
  <c r="U29" i="11" s="1"/>
  <c r="J29" i="11"/>
  <c r="M29" i="11" s="1"/>
  <c r="X28" i="11"/>
  <c r="S28" i="11"/>
  <c r="U28" i="11" s="1"/>
  <c r="J28" i="11"/>
  <c r="M28" i="11" s="1"/>
  <c r="X27" i="11"/>
  <c r="S27" i="11"/>
  <c r="U27" i="11" s="1"/>
  <c r="J27" i="11"/>
  <c r="M27" i="11" s="1"/>
  <c r="X26" i="11"/>
  <c r="S26" i="11"/>
  <c r="U26" i="11" s="1"/>
  <c r="J26" i="11"/>
  <c r="M26" i="11" s="1"/>
  <c r="X25" i="11"/>
  <c r="S25" i="11"/>
  <c r="U25" i="11" s="1"/>
  <c r="J25" i="11"/>
  <c r="M25" i="11" s="1"/>
  <c r="X24" i="11"/>
  <c r="U24" i="11"/>
  <c r="S24" i="11"/>
  <c r="J24" i="11"/>
  <c r="M24" i="11" s="1"/>
  <c r="X23" i="11"/>
  <c r="S23" i="11"/>
  <c r="U23" i="11" s="1"/>
  <c r="J23" i="11"/>
  <c r="M23" i="11" s="1"/>
  <c r="X22" i="11"/>
  <c r="S22" i="11"/>
  <c r="U22" i="11" s="1"/>
  <c r="J22" i="11"/>
  <c r="M22" i="11" s="1"/>
  <c r="X21" i="11"/>
  <c r="U21" i="11"/>
  <c r="S21" i="11"/>
  <c r="J21" i="11"/>
  <c r="M21" i="11" s="1"/>
  <c r="X20" i="11"/>
  <c r="S20" i="11"/>
  <c r="U20" i="11" s="1"/>
  <c r="J20" i="11"/>
  <c r="M20" i="11" s="1"/>
  <c r="X19" i="11"/>
  <c r="S19" i="11"/>
  <c r="U19" i="11" s="1"/>
  <c r="J19" i="11"/>
  <c r="M19" i="11" s="1"/>
  <c r="X18" i="11"/>
  <c r="S18" i="11"/>
  <c r="U18" i="11" s="1"/>
  <c r="J18" i="11"/>
  <c r="M18" i="11" s="1"/>
  <c r="X17" i="11"/>
  <c r="S17" i="11"/>
  <c r="U17" i="11" s="1"/>
  <c r="J17" i="11"/>
  <c r="M17" i="11" s="1"/>
  <c r="X16" i="11"/>
  <c r="S16" i="11"/>
  <c r="U16" i="11" s="1"/>
  <c r="J16" i="11"/>
  <c r="M16" i="11" s="1"/>
  <c r="X15" i="11"/>
  <c r="S15" i="11"/>
  <c r="U15" i="11" s="1"/>
  <c r="J15" i="11"/>
  <c r="M15" i="11" s="1"/>
  <c r="X14" i="11"/>
  <c r="S14" i="11"/>
  <c r="U14" i="11" s="1"/>
  <c r="J14" i="11"/>
  <c r="M14" i="11" s="1"/>
  <c r="X13" i="11"/>
  <c r="S13" i="11"/>
  <c r="U13" i="11" s="1"/>
  <c r="J13" i="11"/>
  <c r="M13" i="11" s="1"/>
  <c r="X12" i="11"/>
  <c r="S12" i="11"/>
  <c r="U12" i="11" s="1"/>
  <c r="J12" i="11"/>
  <c r="M12" i="11" s="1"/>
  <c r="X11" i="11"/>
  <c r="U11" i="11"/>
  <c r="S11" i="11"/>
  <c r="J11" i="11"/>
  <c r="M11" i="11" s="1"/>
  <c r="X10" i="11"/>
  <c r="S10" i="11"/>
  <c r="U10" i="11" s="1"/>
  <c r="M10" i="11"/>
  <c r="J10" i="11"/>
  <c r="X9" i="11"/>
  <c r="S9" i="11"/>
  <c r="U9" i="11" s="1"/>
  <c r="J9" i="11"/>
  <c r="M9" i="11" s="1"/>
  <c r="X8" i="11"/>
  <c r="S8" i="11"/>
  <c r="U8" i="11" s="1"/>
  <c r="J8" i="11"/>
  <c r="M8" i="11" s="1"/>
  <c r="X7" i="11"/>
  <c r="S7" i="11"/>
  <c r="U7" i="11" s="1"/>
  <c r="J7" i="11"/>
  <c r="M7" i="11" s="1"/>
  <c r="X6" i="11"/>
  <c r="U6" i="11"/>
  <c r="S6" i="11"/>
  <c r="J6" i="11"/>
  <c r="M6" i="11" s="1"/>
  <c r="X5" i="11"/>
  <c r="S5" i="11"/>
  <c r="U5" i="11" s="1"/>
  <c r="J5" i="11"/>
  <c r="M5" i="11" s="1"/>
  <c r="X4" i="11"/>
  <c r="S4" i="11"/>
  <c r="U4" i="11" s="1"/>
  <c r="J4" i="11"/>
  <c r="M4" i="11" s="1"/>
  <c r="T22" i="9"/>
  <c r="Q22" i="9"/>
  <c r="P22" i="9"/>
  <c r="O22" i="9"/>
  <c r="T21" i="9"/>
  <c r="Q21" i="9"/>
  <c r="P21" i="9"/>
  <c r="O21" i="9"/>
  <c r="Q20" i="9"/>
  <c r="P20" i="9"/>
  <c r="O20" i="9"/>
  <c r="T19" i="9"/>
  <c r="Q19" i="9"/>
  <c r="P19" i="9"/>
  <c r="O19" i="9"/>
  <c r="T18" i="9"/>
  <c r="Q18" i="9"/>
  <c r="P18" i="9"/>
  <c r="O18" i="9"/>
  <c r="T17" i="9"/>
  <c r="Q17" i="9"/>
  <c r="P17" i="9"/>
  <c r="O17" i="9"/>
  <c r="T16" i="9"/>
  <c r="Q16" i="9"/>
  <c r="P16" i="9"/>
  <c r="O16" i="9"/>
  <c r="T15" i="9"/>
  <c r="Q15" i="9"/>
  <c r="P15" i="9"/>
  <c r="O15" i="9"/>
  <c r="S14" i="9"/>
  <c r="U14" i="9" s="1"/>
  <c r="S13" i="9"/>
  <c r="U13" i="9" s="1"/>
  <c r="S12" i="9"/>
  <c r="U12" i="9" s="1"/>
  <c r="S11" i="9"/>
  <c r="U11" i="9" s="1"/>
  <c r="S10" i="9"/>
  <c r="U10" i="9" s="1"/>
  <c r="S9" i="9"/>
  <c r="U9" i="9" s="1"/>
  <c r="S8" i="9"/>
  <c r="U8" i="9" s="1"/>
  <c r="S7" i="9"/>
  <c r="U7" i="9" s="1"/>
  <c r="S6" i="9"/>
  <c r="U6" i="9" s="1"/>
  <c r="C17" i="9"/>
  <c r="G17" i="9" s="1"/>
  <c r="C24" i="9"/>
  <c r="G24" i="9" s="1"/>
  <c r="C25" i="9"/>
  <c r="C32" i="9"/>
  <c r="G32" i="9" s="1"/>
  <c r="C33" i="9"/>
  <c r="G33" i="9" s="1"/>
  <c r="C40" i="9"/>
  <c r="G40" i="9" s="1"/>
  <c r="C48" i="9"/>
  <c r="G48" i="9" s="1"/>
  <c r="C49" i="9"/>
  <c r="G49" i="9" s="1"/>
  <c r="C56" i="9"/>
  <c r="G56" i="9" s="1"/>
  <c r="C64" i="9"/>
  <c r="G64" i="9" s="1"/>
  <c r="C65" i="9"/>
  <c r="C72" i="9"/>
  <c r="G72" i="9" s="1"/>
  <c r="C73" i="9"/>
  <c r="C80" i="9"/>
  <c r="G80" i="9" s="1"/>
  <c r="C81" i="9"/>
  <c r="C89" i="9"/>
  <c r="G89" i="9" s="1"/>
  <c r="C97" i="9"/>
  <c r="G97" i="9" s="1"/>
  <c r="C104" i="9"/>
  <c r="G104" i="9" s="1"/>
  <c r="C105" i="9"/>
  <c r="C112" i="9"/>
  <c r="G112" i="9" s="1"/>
  <c r="C113" i="9"/>
  <c r="G113" i="9" s="1"/>
  <c r="C120" i="9"/>
  <c r="C121" i="9"/>
  <c r="C129" i="9"/>
  <c r="G129" i="9" s="1"/>
  <c r="C136" i="9"/>
  <c r="G136" i="9" s="1"/>
  <c r="C144" i="9"/>
  <c r="G144" i="9" s="1"/>
  <c r="C145" i="9"/>
  <c r="G145" i="9" s="1"/>
  <c r="C152" i="9"/>
  <c r="G152" i="9" s="1"/>
  <c r="C160" i="9"/>
  <c r="G160" i="9" s="1"/>
  <c r="C161" i="9"/>
  <c r="G161" i="9" s="1"/>
  <c r="C168" i="9"/>
  <c r="C169" i="9"/>
  <c r="G169" i="9" s="1"/>
  <c r="C177" i="9"/>
  <c r="G177" i="9" s="1"/>
  <c r="C184" i="9"/>
  <c r="G184" i="9" s="1"/>
  <c r="C192" i="9"/>
  <c r="C193" i="9"/>
  <c r="C201" i="9"/>
  <c r="G201" i="9" s="1"/>
  <c r="C205" i="9"/>
  <c r="G205" i="9" s="1"/>
  <c r="C206" i="9"/>
  <c r="G206" i="9" s="1"/>
  <c r="C207" i="9"/>
  <c r="G207" i="9" s="1"/>
  <c r="C208" i="9"/>
  <c r="C209" i="9"/>
  <c r="C210" i="9"/>
  <c r="G210" i="9" s="1"/>
  <c r="C211" i="9"/>
  <c r="G211" i="9" s="1"/>
  <c r="C212" i="9"/>
  <c r="G212" i="9" s="1"/>
  <c r="C213" i="9"/>
  <c r="G213" i="9" s="1"/>
  <c r="C214" i="9"/>
  <c r="G214" i="9" s="1"/>
  <c r="C215" i="9"/>
  <c r="G215" i="9" s="1"/>
  <c r="C216" i="9"/>
  <c r="G216" i="9" s="1"/>
  <c r="C217" i="9"/>
  <c r="G217" i="9" s="1"/>
  <c r="C218" i="9"/>
  <c r="G218" i="9" s="1"/>
  <c r="C219" i="9"/>
  <c r="G219" i="9" s="1"/>
  <c r="C220" i="9"/>
  <c r="G220" i="9" s="1"/>
  <c r="C221" i="9"/>
  <c r="G221" i="9" s="1"/>
  <c r="C222" i="9"/>
  <c r="G222" i="9" s="1"/>
  <c r="C223" i="9"/>
  <c r="G223" i="9" s="1"/>
  <c r="C224" i="9"/>
  <c r="C225" i="9"/>
  <c r="C12" i="9"/>
  <c r="G12" i="9" s="1"/>
  <c r="C14" i="9"/>
  <c r="G14" i="9" s="1"/>
  <c r="C18" i="9"/>
  <c r="G18" i="9" s="1"/>
  <c r="C20" i="9"/>
  <c r="G20" i="9" s="1"/>
  <c r="C27" i="9"/>
  <c r="G27" i="9" s="1"/>
  <c r="C34" i="9"/>
  <c r="C36" i="9"/>
  <c r="G36" i="9" s="1"/>
  <c r="C37" i="9"/>
  <c r="G37" i="9" s="1"/>
  <c r="C43" i="9"/>
  <c r="C44" i="9"/>
  <c r="G44" i="9" s="1"/>
  <c r="C50" i="9"/>
  <c r="G50" i="9" s="1"/>
  <c r="C52" i="9"/>
  <c r="G52" i="9" s="1"/>
  <c r="C53" i="9"/>
  <c r="G53" i="9" s="1"/>
  <c r="C54" i="9"/>
  <c r="G54" i="9" s="1"/>
  <c r="C59" i="9"/>
  <c r="C60" i="9"/>
  <c r="G60" i="9" s="1"/>
  <c r="C66" i="9"/>
  <c r="G66" i="9" s="1"/>
  <c r="C67" i="9"/>
  <c r="C69" i="9"/>
  <c r="G69" i="9" s="1"/>
  <c r="C70" i="9"/>
  <c r="G70" i="9" s="1"/>
  <c r="C76" i="9"/>
  <c r="G76" i="9" s="1"/>
  <c r="C83" i="9"/>
  <c r="G83" i="9" s="1"/>
  <c r="C92" i="9"/>
  <c r="G92" i="9" s="1"/>
  <c r="C94" i="9"/>
  <c r="G94" i="9" s="1"/>
  <c r="C99" i="9"/>
  <c r="G99" i="9" s="1"/>
  <c r="C107" i="9"/>
  <c r="C110" i="9"/>
  <c r="C114" i="9"/>
  <c r="G114" i="9" s="1"/>
  <c r="C115" i="9"/>
  <c r="C117" i="9"/>
  <c r="G117" i="9" s="1"/>
  <c r="C122" i="9"/>
  <c r="G122" i="9" s="1"/>
  <c r="C130" i="9"/>
  <c r="G130" i="9" s="1"/>
  <c r="C132" i="9"/>
  <c r="G132" i="9" s="1"/>
  <c r="C133" i="9"/>
  <c r="G133" i="9" s="1"/>
  <c r="C134" i="9"/>
  <c r="C140" i="9"/>
  <c r="G140" i="9" s="1"/>
  <c r="C148" i="9"/>
  <c r="G148" i="9" s="1"/>
  <c r="C149" i="9"/>
  <c r="G149" i="9" s="1"/>
  <c r="C150" i="9"/>
  <c r="G150" i="9" s="1"/>
  <c r="C155" i="9"/>
  <c r="G155" i="9" s="1"/>
  <c r="C156" i="9"/>
  <c r="G156" i="9" s="1"/>
  <c r="C163" i="9"/>
  <c r="G163" i="9" s="1"/>
  <c r="C164" i="9"/>
  <c r="G164" i="9" s="1"/>
  <c r="C166" i="9"/>
  <c r="G166" i="9" s="1"/>
  <c r="C171" i="9"/>
  <c r="G171" i="9" s="1"/>
  <c r="C173" i="9"/>
  <c r="G173" i="9" s="1"/>
  <c r="C178" i="9"/>
  <c r="G178" i="9" s="1"/>
  <c r="C179" i="9"/>
  <c r="G179" i="9" s="1"/>
  <c r="C182" i="9"/>
  <c r="G182" i="9" s="1"/>
  <c r="C186" i="9"/>
  <c r="G186" i="9" s="1"/>
  <c r="C189" i="9"/>
  <c r="G189" i="9" s="1"/>
  <c r="C190" i="9"/>
  <c r="G190" i="9" s="1"/>
  <c r="C194" i="9"/>
  <c r="C196" i="9"/>
  <c r="C204" i="9"/>
  <c r="G204" i="9" s="1"/>
  <c r="C203" i="9"/>
  <c r="G203" i="9" s="1"/>
  <c r="C202" i="9"/>
  <c r="G202" i="9" s="1"/>
  <c r="C195" i="9"/>
  <c r="C188" i="9"/>
  <c r="G188" i="9" s="1"/>
  <c r="C187" i="9"/>
  <c r="G187" i="9" s="1"/>
  <c r="C180" i="9"/>
  <c r="G180" i="9" s="1"/>
  <c r="C172" i="9"/>
  <c r="G172" i="9" s="1"/>
  <c r="C170" i="9"/>
  <c r="G170" i="9" s="1"/>
  <c r="C162" i="9"/>
  <c r="C154" i="9"/>
  <c r="G154" i="9" s="1"/>
  <c r="C147" i="9"/>
  <c r="G147" i="9" s="1"/>
  <c r="C146" i="9"/>
  <c r="G146" i="9" s="1"/>
  <c r="C139" i="9"/>
  <c r="G139" i="9" s="1"/>
  <c r="C138" i="9"/>
  <c r="G138" i="9" s="1"/>
  <c r="C131" i="9"/>
  <c r="C124" i="9"/>
  <c r="G124" i="9" s="1"/>
  <c r="C123" i="9"/>
  <c r="G123" i="9" s="1"/>
  <c r="C116" i="9"/>
  <c r="G116" i="9" s="1"/>
  <c r="C108" i="9"/>
  <c r="G108" i="9" s="1"/>
  <c r="C106" i="9"/>
  <c r="G106" i="9" s="1"/>
  <c r="C100" i="9"/>
  <c r="G100" i="9" s="1"/>
  <c r="C98" i="9"/>
  <c r="G98" i="9" s="1"/>
  <c r="C91" i="9"/>
  <c r="G91" i="9" s="1"/>
  <c r="C90" i="9"/>
  <c r="C84" i="9"/>
  <c r="G84" i="9" s="1"/>
  <c r="C82" i="9"/>
  <c r="G82" i="9" s="1"/>
  <c r="C75" i="9"/>
  <c r="G75" i="9" s="1"/>
  <c r="C74" i="9"/>
  <c r="G74" i="9" s="1"/>
  <c r="C68" i="9"/>
  <c r="G68" i="9" s="1"/>
  <c r="C58" i="9"/>
  <c r="G58" i="9" s="1"/>
  <c r="C51" i="9"/>
  <c r="G51" i="9" s="1"/>
  <c r="C42" i="9"/>
  <c r="G42" i="9" s="1"/>
  <c r="C35" i="9"/>
  <c r="G35" i="9" s="1"/>
  <c r="C28" i="9"/>
  <c r="G28" i="9" s="1"/>
  <c r="C26" i="9"/>
  <c r="G26" i="9" s="1"/>
  <c r="C19" i="9"/>
  <c r="G19" i="9" s="1"/>
  <c r="C11" i="9"/>
  <c r="G11" i="9" s="1"/>
  <c r="C10" i="9"/>
  <c r="G10" i="9" s="1"/>
  <c r="C5" i="9"/>
  <c r="G5" i="9" s="1"/>
  <c r="E217" i="9"/>
  <c r="E212" i="9"/>
  <c r="S35" i="9"/>
  <c r="U35" i="9" s="1"/>
  <c r="S34" i="9"/>
  <c r="U34" i="9" s="1"/>
  <c r="S33" i="9"/>
  <c r="S32" i="9"/>
  <c r="S31" i="9"/>
  <c r="U31" i="9" s="1"/>
  <c r="S30" i="9"/>
  <c r="S29" i="9"/>
  <c r="S27" i="9"/>
  <c r="U27" i="9" s="1"/>
  <c r="S26" i="9"/>
  <c r="S5" i="9"/>
  <c r="C23" i="30" l="1"/>
  <c r="E23" i="30" s="1"/>
  <c r="G23" i="30" s="1"/>
  <c r="C23" i="31" s="1"/>
  <c r="E23" i="31" s="1"/>
  <c r="G23" i="31" s="1"/>
  <c r="C23" i="1" s="1"/>
  <c r="C42" i="30"/>
  <c r="E42" i="30" s="1"/>
  <c r="G42" i="30" s="1"/>
  <c r="C42" i="31" s="1"/>
  <c r="E42" i="31" s="1"/>
  <c r="G42" i="31" s="1"/>
  <c r="C42" i="1" s="1"/>
  <c r="C43" i="30"/>
  <c r="E43" i="30" s="1"/>
  <c r="G43" i="30" s="1"/>
  <c r="C43" i="31" s="1"/>
  <c r="E43" i="31" s="1"/>
  <c r="G43" i="31" s="1"/>
  <c r="C43" i="1" s="1"/>
  <c r="C45" i="30"/>
  <c r="E45" i="30" s="1"/>
  <c r="G45" i="30" s="1"/>
  <c r="C45" i="31" s="1"/>
  <c r="E45" i="31" s="1"/>
  <c r="G45" i="31" s="1"/>
  <c r="C45" i="1" s="1"/>
  <c r="E28" i="30"/>
  <c r="G28" i="30" s="1"/>
  <c r="C28" i="31" s="1"/>
  <c r="E28" i="31" s="1"/>
  <c r="G28" i="31" s="1"/>
  <c r="C28" i="1" s="1"/>
  <c r="C28" i="30"/>
  <c r="E85" i="30"/>
  <c r="G85" i="30" s="1"/>
  <c r="C85" i="31" s="1"/>
  <c r="E85" i="31" s="1"/>
  <c r="G85" i="31" s="1"/>
  <c r="C85" i="1" s="1"/>
  <c r="C37" i="30"/>
  <c r="E37" i="30" s="1"/>
  <c r="G37" i="30" s="1"/>
  <c r="C37" i="31" s="1"/>
  <c r="E37" i="31" s="1"/>
  <c r="G37" i="31" s="1"/>
  <c r="C37" i="1" s="1"/>
  <c r="O36" i="9"/>
  <c r="J229" i="9" s="1"/>
  <c r="E207" i="9"/>
  <c r="E210" i="9"/>
  <c r="Q36" i="9"/>
  <c r="F230" i="9" s="1"/>
  <c r="E215" i="9"/>
  <c r="E223" i="9"/>
  <c r="E32" i="30"/>
  <c r="G32" i="30" s="1"/>
  <c r="C32" i="31" s="1"/>
  <c r="E32" i="31" s="1"/>
  <c r="G32" i="31" s="1"/>
  <c r="C32" i="1" s="1"/>
  <c r="C32" i="30"/>
  <c r="C86" i="30"/>
  <c r="E86" i="30" s="1"/>
  <c r="G86" i="30" s="1"/>
  <c r="C86" i="31" s="1"/>
  <c r="E86" i="31" s="1"/>
  <c r="G86" i="31" s="1"/>
  <c r="C86" i="1" s="1"/>
  <c r="C22" i="30"/>
  <c r="E22" i="30" s="1"/>
  <c r="G22" i="30" s="1"/>
  <c r="C22" i="31" s="1"/>
  <c r="E22" i="31" s="1"/>
  <c r="G22" i="31" s="1"/>
  <c r="C22" i="1" s="1"/>
  <c r="U26" i="9"/>
  <c r="E225" i="9"/>
  <c r="G225" i="9"/>
  <c r="E209" i="9"/>
  <c r="G209" i="9"/>
  <c r="E224" i="9"/>
  <c r="G224" i="9"/>
  <c r="E208" i="9"/>
  <c r="G208" i="9"/>
  <c r="C62" i="31"/>
  <c r="E62" i="31" s="1"/>
  <c r="G62" i="31" s="1"/>
  <c r="C62" i="1" s="1"/>
  <c r="E31" i="30"/>
  <c r="G31" i="30" s="1"/>
  <c r="E57" i="30"/>
  <c r="G57" i="30" s="1"/>
  <c r="E79" i="30"/>
  <c r="G79" i="30" s="1"/>
  <c r="E126" i="30"/>
  <c r="G126" i="30" s="1"/>
  <c r="E167" i="30"/>
  <c r="G167" i="30" s="1"/>
  <c r="E155" i="30"/>
  <c r="G155" i="30" s="1"/>
  <c r="E180" i="30"/>
  <c r="G180" i="30" s="1"/>
  <c r="E164" i="30"/>
  <c r="G164" i="30" s="1"/>
  <c r="E159" i="30"/>
  <c r="G159" i="30" s="1"/>
  <c r="E146" i="30"/>
  <c r="G146" i="30" s="1"/>
  <c r="E156" i="30"/>
  <c r="G156" i="30" s="1"/>
  <c r="E112" i="30"/>
  <c r="G112" i="30" s="1"/>
  <c r="E166" i="30"/>
  <c r="G166" i="30" s="1"/>
  <c r="E55" i="30"/>
  <c r="G55" i="30" s="1"/>
  <c r="E144" i="30"/>
  <c r="G144" i="30" s="1"/>
  <c r="E187" i="30"/>
  <c r="G187" i="30" s="1"/>
  <c r="E121" i="30"/>
  <c r="G121" i="30" s="1"/>
  <c r="E197" i="30"/>
  <c r="G197" i="30" s="1"/>
  <c r="E20" i="30"/>
  <c r="G20" i="30" s="1"/>
  <c r="E99" i="30"/>
  <c r="G99" i="30" s="1"/>
  <c r="E183" i="30"/>
  <c r="G183" i="30" s="1"/>
  <c r="E174" i="30"/>
  <c r="G174" i="30" s="1"/>
  <c r="E129" i="30"/>
  <c r="G129" i="30" s="1"/>
  <c r="E93" i="30"/>
  <c r="G93" i="30" s="1"/>
  <c r="E176" i="30"/>
  <c r="G176" i="30" s="1"/>
  <c r="E72" i="30"/>
  <c r="G72" i="30" s="1"/>
  <c r="E189" i="30"/>
  <c r="G189" i="30" s="1"/>
  <c r="C80" i="31"/>
  <c r="E80" i="31" s="1"/>
  <c r="G80" i="31" s="1"/>
  <c r="C80" i="1" s="1"/>
  <c r="E108" i="30"/>
  <c r="G108" i="30" s="1"/>
  <c r="E135" i="30"/>
  <c r="G135" i="30" s="1"/>
  <c r="E100" i="30"/>
  <c r="G100" i="30" s="1"/>
  <c r="E127" i="30"/>
  <c r="G127" i="30" s="1"/>
  <c r="E98" i="30"/>
  <c r="G98" i="30" s="1"/>
  <c r="E179" i="30"/>
  <c r="G179" i="30" s="1"/>
  <c r="E7" i="30"/>
  <c r="G7" i="30" s="1"/>
  <c r="E94" i="30"/>
  <c r="G94" i="30" s="1"/>
  <c r="E202" i="30"/>
  <c r="G202" i="30" s="1"/>
  <c r="E16" i="30"/>
  <c r="G16" i="30" s="1"/>
  <c r="E26" i="30"/>
  <c r="G26" i="30" s="1"/>
  <c r="E102" i="30"/>
  <c r="G102" i="30" s="1"/>
  <c r="E178" i="30"/>
  <c r="G178" i="30" s="1"/>
  <c r="E152" i="30"/>
  <c r="G152" i="30" s="1"/>
  <c r="E68" i="30"/>
  <c r="G68" i="30" s="1"/>
  <c r="E56" i="30"/>
  <c r="G56" i="30" s="1"/>
  <c r="E151" i="30"/>
  <c r="G151" i="30" s="1"/>
  <c r="E186" i="30"/>
  <c r="G186" i="30" s="1"/>
  <c r="E116" i="30"/>
  <c r="G116" i="30" s="1"/>
  <c r="E95" i="30"/>
  <c r="G95" i="30" s="1"/>
  <c r="E91" i="30"/>
  <c r="G91" i="30" s="1"/>
  <c r="C193" i="31"/>
  <c r="E193" i="31" s="1"/>
  <c r="G193" i="31" s="1"/>
  <c r="C193" i="1" s="1"/>
  <c r="E89" i="30"/>
  <c r="G89" i="30" s="1"/>
  <c r="E109" i="30"/>
  <c r="G109" i="30" s="1"/>
  <c r="E40" i="30"/>
  <c r="G40" i="30" s="1"/>
  <c r="E67" i="30"/>
  <c r="G67" i="30" s="1"/>
  <c r="E54" i="30"/>
  <c r="G54" i="30" s="1"/>
  <c r="E48" i="30"/>
  <c r="G48" i="30" s="1"/>
  <c r="E29" i="30"/>
  <c r="G29" i="30" s="1"/>
  <c r="E184" i="30"/>
  <c r="G184" i="30" s="1"/>
  <c r="E107" i="30"/>
  <c r="G107" i="30" s="1"/>
  <c r="E132" i="30"/>
  <c r="G132" i="30" s="1"/>
  <c r="E61" i="30"/>
  <c r="G61" i="30" s="1"/>
  <c r="E90" i="30"/>
  <c r="G90" i="30" s="1"/>
  <c r="E199" i="30"/>
  <c r="G199" i="30" s="1"/>
  <c r="E142" i="30"/>
  <c r="G142" i="30" s="1"/>
  <c r="E104" i="30"/>
  <c r="G104" i="30" s="1"/>
  <c r="E149" i="30"/>
  <c r="G149" i="30" s="1"/>
  <c r="E51" i="30"/>
  <c r="G51" i="30" s="1"/>
  <c r="E157" i="30"/>
  <c r="G157" i="30" s="1"/>
  <c r="E191" i="30"/>
  <c r="G191" i="30" s="1"/>
  <c r="E160" i="30"/>
  <c r="G160" i="30" s="1"/>
  <c r="E70" i="30"/>
  <c r="G70" i="30" s="1"/>
  <c r="E114" i="30"/>
  <c r="G114" i="30" s="1"/>
  <c r="E169" i="30"/>
  <c r="G169" i="30" s="1"/>
  <c r="E130" i="30"/>
  <c r="G130" i="30" s="1"/>
  <c r="C81" i="31"/>
  <c r="E81" i="31" s="1"/>
  <c r="G81" i="31" s="1"/>
  <c r="C81" i="1" s="1"/>
  <c r="E171" i="30"/>
  <c r="G171" i="30" s="1"/>
  <c r="E46" i="30"/>
  <c r="G46" i="30" s="1"/>
  <c r="E21" i="30"/>
  <c r="G21" i="30" s="1"/>
  <c r="E88" i="30"/>
  <c r="G88" i="30" s="1"/>
  <c r="E53" i="30"/>
  <c r="G53" i="30" s="1"/>
  <c r="E11" i="30"/>
  <c r="G11" i="30" s="1"/>
  <c r="E73" i="30"/>
  <c r="G73" i="30" s="1"/>
  <c r="E154" i="30"/>
  <c r="G154" i="30" s="1"/>
  <c r="E35" i="30"/>
  <c r="G35" i="30" s="1"/>
  <c r="E133" i="30"/>
  <c r="G133" i="30" s="1"/>
  <c r="E140" i="30"/>
  <c r="G140" i="30" s="1"/>
  <c r="E33" i="30"/>
  <c r="G33" i="30" s="1"/>
  <c r="C33" i="31" s="1"/>
  <c r="E33" i="31" s="1"/>
  <c r="G33" i="31" s="1"/>
  <c r="C33" i="1" s="1"/>
  <c r="E60" i="30"/>
  <c r="G60" i="30" s="1"/>
  <c r="E75" i="30"/>
  <c r="G75" i="30" s="1"/>
  <c r="E63" i="30"/>
  <c r="G63" i="30" s="1"/>
  <c r="E13" i="30"/>
  <c r="G13" i="30" s="1"/>
  <c r="E203" i="30"/>
  <c r="G203" i="30" s="1"/>
  <c r="E27" i="30"/>
  <c r="G27" i="30" s="1"/>
  <c r="E82" i="30"/>
  <c r="G82" i="30" s="1"/>
  <c r="E97" i="30"/>
  <c r="G97" i="30" s="1"/>
  <c r="E49" i="30"/>
  <c r="G49" i="30" s="1"/>
  <c r="E30" i="30"/>
  <c r="G30" i="30" s="1"/>
  <c r="E17" i="30"/>
  <c r="G17" i="30" s="1"/>
  <c r="E170" i="30"/>
  <c r="G170" i="30" s="1"/>
  <c r="E150" i="30"/>
  <c r="G150" i="30" s="1"/>
  <c r="E145" i="30"/>
  <c r="G145" i="30" s="1"/>
  <c r="E139" i="30"/>
  <c r="G139" i="30" s="1"/>
  <c r="E103" i="30"/>
  <c r="G103" i="30" s="1"/>
  <c r="E74" i="30"/>
  <c r="G74" i="30" s="1"/>
  <c r="E137" i="30"/>
  <c r="G137" i="30" s="1"/>
  <c r="E128" i="30"/>
  <c r="G128" i="30" s="1"/>
  <c r="E15" i="30"/>
  <c r="G15" i="30" s="1"/>
  <c r="E131" i="30"/>
  <c r="G131" i="30" s="1"/>
  <c r="E10" i="30"/>
  <c r="G10" i="30" s="1"/>
  <c r="E110" i="30"/>
  <c r="G110" i="30" s="1"/>
  <c r="E173" i="30"/>
  <c r="G173" i="30" s="1"/>
  <c r="E14" i="30"/>
  <c r="G14" i="30" s="1"/>
  <c r="E188" i="30"/>
  <c r="G188" i="30" s="1"/>
  <c r="E117" i="30"/>
  <c r="G117" i="30" s="1"/>
  <c r="E192" i="30"/>
  <c r="G192" i="30" s="1"/>
  <c r="E124" i="30"/>
  <c r="G124" i="30" s="1"/>
  <c r="E92" i="30"/>
  <c r="G92" i="30" s="1"/>
  <c r="E136" i="30"/>
  <c r="G136" i="30" s="1"/>
  <c r="E9" i="30"/>
  <c r="G9" i="30" s="1"/>
  <c r="E168" i="30"/>
  <c r="G168" i="30" s="1"/>
  <c r="E105" i="30"/>
  <c r="G105" i="30" s="1"/>
  <c r="E111" i="30"/>
  <c r="G111" i="30" s="1"/>
  <c r="C123" i="31"/>
  <c r="E123" i="31" s="1"/>
  <c r="G123" i="31" s="1"/>
  <c r="C123" i="1" s="1"/>
  <c r="E34" i="30"/>
  <c r="G34" i="30" s="1"/>
  <c r="E138" i="30"/>
  <c r="G138" i="30" s="1"/>
  <c r="E44" i="30"/>
  <c r="G44" i="30" s="1"/>
  <c r="E77" i="30"/>
  <c r="G77" i="30" s="1"/>
  <c r="E198" i="30"/>
  <c r="G198" i="30" s="1"/>
  <c r="E43" i="9"/>
  <c r="G43" i="9"/>
  <c r="E105" i="9"/>
  <c r="G105" i="9"/>
  <c r="E65" i="9"/>
  <c r="G65" i="9"/>
  <c r="E25" i="9"/>
  <c r="G25" i="9"/>
  <c r="E162" i="9"/>
  <c r="G162" i="9"/>
  <c r="E201" i="30"/>
  <c r="G201" i="30" s="1"/>
  <c r="E158" i="30"/>
  <c r="G158" i="30" s="1"/>
  <c r="E19" i="30"/>
  <c r="G19" i="30" s="1"/>
  <c r="E172" i="30"/>
  <c r="G172" i="30" s="1"/>
  <c r="E8" i="30"/>
  <c r="G8" i="30" s="1"/>
  <c r="E6" i="30"/>
  <c r="G6" i="30" s="1"/>
  <c r="E59" i="30"/>
  <c r="G59" i="30" s="1"/>
  <c r="E101" i="30"/>
  <c r="G101" i="30" s="1"/>
  <c r="C101" i="31" s="1"/>
  <c r="E101" i="31" s="1"/>
  <c r="G101" i="31" s="1"/>
  <c r="C101" i="1" s="1"/>
  <c r="E195" i="30"/>
  <c r="G195" i="30" s="1"/>
  <c r="E182" i="30"/>
  <c r="G182" i="30" s="1"/>
  <c r="E87" i="30"/>
  <c r="G87" i="30" s="1"/>
  <c r="E125" i="30"/>
  <c r="G125" i="30" s="1"/>
  <c r="E161" i="30"/>
  <c r="G161" i="30" s="1"/>
  <c r="E106" i="30"/>
  <c r="G106" i="30" s="1"/>
  <c r="E122" i="30"/>
  <c r="G122" i="30" s="1"/>
  <c r="E190" i="30"/>
  <c r="G190" i="30" s="1"/>
  <c r="E58" i="30"/>
  <c r="G58" i="30" s="1"/>
  <c r="E96" i="30"/>
  <c r="G96" i="30" s="1"/>
  <c r="E115" i="30"/>
  <c r="G115" i="30" s="1"/>
  <c r="E165" i="30"/>
  <c r="G165" i="30" s="1"/>
  <c r="E52" i="30"/>
  <c r="G52" i="30" s="1"/>
  <c r="E141" i="30"/>
  <c r="G141" i="30" s="1"/>
  <c r="E185" i="30"/>
  <c r="G185" i="30" s="1"/>
  <c r="E119" i="30"/>
  <c r="G119" i="30" s="1"/>
  <c r="E118" i="30"/>
  <c r="G118" i="30" s="1"/>
  <c r="E134" i="30"/>
  <c r="G134" i="30" s="1"/>
  <c r="E12" i="30"/>
  <c r="G12" i="30" s="1"/>
  <c r="E83" i="30"/>
  <c r="G83" i="30" s="1"/>
  <c r="E200" i="30"/>
  <c r="G200" i="30" s="1"/>
  <c r="C18" i="31"/>
  <c r="E18" i="31" s="1"/>
  <c r="G18" i="31" s="1"/>
  <c r="C18" i="1" s="1"/>
  <c r="E24" i="30"/>
  <c r="G24" i="30" s="1"/>
  <c r="E147" i="30"/>
  <c r="G147" i="30" s="1"/>
  <c r="E163" i="30"/>
  <c r="G163" i="30" s="1"/>
  <c r="E50" i="30"/>
  <c r="G50" i="30" s="1"/>
  <c r="E194" i="30"/>
  <c r="G194" i="30" s="1"/>
  <c r="E148" i="30"/>
  <c r="G148" i="30" s="1"/>
  <c r="E181" i="30"/>
  <c r="G181" i="30" s="1"/>
  <c r="E153" i="30"/>
  <c r="G153" i="30" s="1"/>
  <c r="E71" i="30"/>
  <c r="G71" i="30" s="1"/>
  <c r="E113" i="30"/>
  <c r="G113" i="30" s="1"/>
  <c r="E143" i="30"/>
  <c r="G143" i="30" s="1"/>
  <c r="E64" i="30"/>
  <c r="G64" i="30" s="1"/>
  <c r="E196" i="30"/>
  <c r="G196" i="30" s="1"/>
  <c r="E90" i="9"/>
  <c r="G90" i="9"/>
  <c r="E59" i="9"/>
  <c r="G59" i="9"/>
  <c r="C84" i="31"/>
  <c r="E84" i="31" s="1"/>
  <c r="G84" i="31" s="1"/>
  <c r="C84" i="1" s="1"/>
  <c r="E131" i="9"/>
  <c r="G131" i="9"/>
  <c r="E34" i="9"/>
  <c r="G34" i="9"/>
  <c r="C120" i="31"/>
  <c r="E120" i="31" s="1"/>
  <c r="G120" i="31" s="1"/>
  <c r="C120" i="1" s="1"/>
  <c r="E115" i="9"/>
  <c r="G115" i="9"/>
  <c r="E168" i="9"/>
  <c r="G168" i="9"/>
  <c r="E121" i="9"/>
  <c r="G121" i="9"/>
  <c r="E81" i="9"/>
  <c r="G81" i="9"/>
  <c r="E120" i="9"/>
  <c r="G120" i="9"/>
  <c r="E134" i="9"/>
  <c r="G134" i="9"/>
  <c r="E110" i="9"/>
  <c r="G110" i="9"/>
  <c r="E73" i="9"/>
  <c r="G73" i="9"/>
  <c r="E107" i="9"/>
  <c r="G107" i="9"/>
  <c r="E67" i="9"/>
  <c r="G67" i="9"/>
  <c r="E182" i="9"/>
  <c r="E94" i="9"/>
  <c r="E150" i="9"/>
  <c r="E190" i="9"/>
  <c r="E166" i="9"/>
  <c r="E178" i="9"/>
  <c r="C65" i="31"/>
  <c r="E65" i="31" s="1"/>
  <c r="G65" i="31" s="1"/>
  <c r="C65" i="1" s="1"/>
  <c r="P36" i="9"/>
  <c r="F228" i="9" s="1"/>
  <c r="E78" i="30"/>
  <c r="G78" i="30" s="1"/>
  <c r="E162" i="30"/>
  <c r="G162" i="30" s="1"/>
  <c r="E36" i="30"/>
  <c r="G36" i="30" s="1"/>
  <c r="T36" i="9"/>
  <c r="M34" i="13"/>
  <c r="M26" i="13"/>
  <c r="M69" i="13"/>
  <c r="M100" i="12"/>
  <c r="M43" i="12"/>
  <c r="E72" i="9"/>
  <c r="E56" i="9"/>
  <c r="E66" i="9"/>
  <c r="K214" i="21"/>
  <c r="K217" i="21" s="1"/>
  <c r="E14" i="9"/>
  <c r="E54" i="9"/>
  <c r="E5" i="9"/>
  <c r="E70" i="9"/>
  <c r="E160" i="9"/>
  <c r="E152" i="9"/>
  <c r="E112" i="9"/>
  <c r="E192" i="9"/>
  <c r="E184" i="9"/>
  <c r="E144" i="9"/>
  <c r="E80" i="9"/>
  <c r="E201" i="9"/>
  <c r="E113" i="9"/>
  <c r="E145" i="9"/>
  <c r="E64" i="9"/>
  <c r="E129" i="9"/>
  <c r="E205" i="9"/>
  <c r="C185" i="9"/>
  <c r="G185" i="9" s="1"/>
  <c r="C153" i="9"/>
  <c r="C137" i="9"/>
  <c r="C57" i="9"/>
  <c r="G57" i="9" s="1"/>
  <c r="C41" i="9"/>
  <c r="C9" i="9"/>
  <c r="C200" i="9"/>
  <c r="C176" i="9"/>
  <c r="C96" i="9"/>
  <c r="C88" i="9"/>
  <c r="C16" i="9"/>
  <c r="C8" i="9"/>
  <c r="G8" i="9" s="1"/>
  <c r="E76" i="9"/>
  <c r="C199" i="9"/>
  <c r="C191" i="9"/>
  <c r="C183" i="9"/>
  <c r="C175" i="9"/>
  <c r="C167" i="9"/>
  <c r="C159" i="9"/>
  <c r="C151" i="9"/>
  <c r="C143" i="9"/>
  <c r="C135" i="9"/>
  <c r="C127" i="9"/>
  <c r="C119" i="9"/>
  <c r="C111" i="9"/>
  <c r="C103" i="9"/>
  <c r="C95" i="9"/>
  <c r="C87" i="9"/>
  <c r="C79" i="9"/>
  <c r="C71" i="9"/>
  <c r="C63" i="9"/>
  <c r="C55" i="9"/>
  <c r="C47" i="9"/>
  <c r="C39" i="9"/>
  <c r="C31" i="9"/>
  <c r="C23" i="9"/>
  <c r="C15" i="9"/>
  <c r="C7" i="9"/>
  <c r="E220" i="9"/>
  <c r="E108" i="9"/>
  <c r="E83" i="9"/>
  <c r="E75" i="9"/>
  <c r="E51" i="9"/>
  <c r="E35" i="9"/>
  <c r="E27" i="9"/>
  <c r="E19" i="9"/>
  <c r="E11" i="9"/>
  <c r="C128" i="9"/>
  <c r="E222" i="9"/>
  <c r="E214" i="9"/>
  <c r="E206" i="9"/>
  <c r="C198" i="9"/>
  <c r="C174" i="9"/>
  <c r="C158" i="9"/>
  <c r="C142" i="9"/>
  <c r="C126" i="9"/>
  <c r="C118" i="9"/>
  <c r="C102" i="9"/>
  <c r="C86" i="9"/>
  <c r="C78" i="9"/>
  <c r="C62" i="9"/>
  <c r="C46" i="9"/>
  <c r="C38" i="9"/>
  <c r="C30" i="9"/>
  <c r="C22" i="9"/>
  <c r="C6" i="9"/>
  <c r="E155" i="9"/>
  <c r="E147" i="9"/>
  <c r="E139" i="9"/>
  <c r="E123" i="9"/>
  <c r="C197" i="9"/>
  <c r="C181" i="9"/>
  <c r="C165" i="9"/>
  <c r="C157" i="9"/>
  <c r="G157" i="9" s="1"/>
  <c r="C141" i="9"/>
  <c r="G141" i="9" s="1"/>
  <c r="C125" i="9"/>
  <c r="G125" i="9" s="1"/>
  <c r="C109" i="9"/>
  <c r="C101" i="9"/>
  <c r="C93" i="9"/>
  <c r="C85" i="9"/>
  <c r="C77" i="9"/>
  <c r="C61" i="9"/>
  <c r="C45" i="9"/>
  <c r="G45" i="9" s="1"/>
  <c r="C29" i="9"/>
  <c r="G29" i="9" s="1"/>
  <c r="C21" i="9"/>
  <c r="C13" i="9"/>
  <c r="G13" i="9" s="1"/>
  <c r="E218" i="9"/>
  <c r="E186" i="9"/>
  <c r="E170" i="9"/>
  <c r="E106" i="9"/>
  <c r="E48" i="9"/>
  <c r="E40" i="9"/>
  <c r="E32" i="9"/>
  <c r="E24" i="9"/>
  <c r="E8" i="9"/>
  <c r="E216" i="9"/>
  <c r="E136" i="9"/>
  <c r="E104" i="9"/>
  <c r="K218" i="13"/>
  <c r="R25" i="9"/>
  <c r="K218" i="12"/>
  <c r="R24" i="9"/>
  <c r="X106" i="12"/>
  <c r="J205" i="12" s="1"/>
  <c r="K206" i="12" s="1"/>
  <c r="M24" i="9" s="1"/>
  <c r="K218" i="11"/>
  <c r="R23" i="9"/>
  <c r="K215" i="20"/>
  <c r="K214" i="20"/>
  <c r="K217" i="20" s="1"/>
  <c r="K220" i="20" s="1"/>
  <c r="K215" i="19"/>
  <c r="K214" i="19"/>
  <c r="K217" i="19" s="1"/>
  <c r="K220" i="19" s="1"/>
  <c r="K215" i="18"/>
  <c r="K214" i="18"/>
  <c r="K217" i="18" s="1"/>
  <c r="K220" i="18" s="1"/>
  <c r="K215" i="17"/>
  <c r="K214" i="17"/>
  <c r="K217" i="17" s="1"/>
  <c r="K220" i="17" s="1"/>
  <c r="K215" i="16"/>
  <c r="K214" i="16"/>
  <c r="K217" i="16" s="1"/>
  <c r="K220" i="16" s="1"/>
  <c r="K215" i="15"/>
  <c r="K214" i="15"/>
  <c r="K215" i="14"/>
  <c r="K214" i="14"/>
  <c r="K217" i="14" s="1"/>
  <c r="K220" i="14" s="1"/>
  <c r="X106" i="13"/>
  <c r="J205" i="13" s="1"/>
  <c r="K206" i="13" s="1"/>
  <c r="M25" i="9" s="1"/>
  <c r="X106" i="11"/>
  <c r="J205" i="11" s="1"/>
  <c r="K206" i="11"/>
  <c r="M23" i="9" s="1"/>
  <c r="U5" i="9"/>
  <c r="U30" i="9"/>
  <c r="U32" i="9"/>
  <c r="E221" i="9"/>
  <c r="E189" i="9"/>
  <c r="E173" i="9"/>
  <c r="E157" i="9"/>
  <c r="E149" i="9"/>
  <c r="E133" i="9"/>
  <c r="E117" i="9"/>
  <c r="E204" i="9"/>
  <c r="E188" i="9"/>
  <c r="E180" i="9"/>
  <c r="E172" i="9"/>
  <c r="E164" i="9"/>
  <c r="E156" i="9"/>
  <c r="E148" i="9"/>
  <c r="E140" i="9"/>
  <c r="E132" i="9"/>
  <c r="E124" i="9"/>
  <c r="E116" i="9"/>
  <c r="E100" i="9"/>
  <c r="E92" i="9"/>
  <c r="E84" i="9"/>
  <c r="E68" i="9"/>
  <c r="E60" i="9"/>
  <c r="E52" i="9"/>
  <c r="E44" i="9"/>
  <c r="E12" i="9"/>
  <c r="E213" i="9"/>
  <c r="E187" i="9"/>
  <c r="E219" i="9"/>
  <c r="E203" i="9"/>
  <c r="E179" i="9"/>
  <c r="E163" i="9"/>
  <c r="E202" i="9"/>
  <c r="E154" i="9"/>
  <c r="E146" i="9"/>
  <c r="E138" i="9"/>
  <c r="E130" i="9"/>
  <c r="E122" i="9"/>
  <c r="E114" i="9"/>
  <c r="E98" i="9"/>
  <c r="E82" i="9"/>
  <c r="E74" i="9"/>
  <c r="E58" i="9"/>
  <c r="E50" i="9"/>
  <c r="E42" i="9"/>
  <c r="E18" i="9"/>
  <c r="E211" i="9"/>
  <c r="E171" i="9"/>
  <c r="E91" i="9"/>
  <c r="E29" i="9"/>
  <c r="E36" i="9"/>
  <c r="E53" i="9"/>
  <c r="E97" i="9"/>
  <c r="E28" i="9"/>
  <c r="E37" i="9"/>
  <c r="E89" i="9"/>
  <c r="E99" i="9"/>
  <c r="E161" i="9"/>
  <c r="E169" i="9"/>
  <c r="E177" i="9"/>
  <c r="E185" i="9"/>
  <c r="E26" i="9"/>
  <c r="E33" i="9"/>
  <c r="E49" i="9"/>
  <c r="E69" i="9"/>
  <c r="E17" i="9"/>
  <c r="E10" i="9"/>
  <c r="E20" i="9"/>
  <c r="S28" i="9"/>
  <c r="U28" i="9" s="1"/>
  <c r="U29" i="9"/>
  <c r="U33" i="9"/>
  <c r="K217" i="15" l="1"/>
  <c r="E57" i="9"/>
  <c r="E45" i="9"/>
  <c r="E125" i="9"/>
  <c r="S24" i="9"/>
  <c r="U24" i="9" s="1"/>
  <c r="C148" i="31"/>
  <c r="E148" i="31" s="1"/>
  <c r="G148" i="31" s="1"/>
  <c r="C148" i="1" s="1"/>
  <c r="C185" i="31"/>
  <c r="E185" i="31" s="1"/>
  <c r="G185" i="31" s="1"/>
  <c r="C185" i="1" s="1"/>
  <c r="C58" i="31"/>
  <c r="E58" i="31" s="1"/>
  <c r="G58" i="31" s="1"/>
  <c r="C58" i="1" s="1"/>
  <c r="C172" i="31"/>
  <c r="E172" i="31" s="1"/>
  <c r="G172" i="31" s="1"/>
  <c r="C172" i="1" s="1"/>
  <c r="C105" i="31"/>
  <c r="E105" i="31" s="1"/>
  <c r="G105" i="31" s="1"/>
  <c r="C105" i="1" s="1"/>
  <c r="C131" i="31"/>
  <c r="E131" i="31" s="1"/>
  <c r="G131" i="31" s="1"/>
  <c r="C131" i="1" s="1"/>
  <c r="C139" i="31"/>
  <c r="E139" i="31" s="1"/>
  <c r="G139" i="31" s="1"/>
  <c r="C139" i="1" s="1"/>
  <c r="C75" i="31"/>
  <c r="E75" i="31" s="1"/>
  <c r="G75" i="31" s="1"/>
  <c r="C75" i="1" s="1"/>
  <c r="C171" i="31"/>
  <c r="E171" i="31" s="1"/>
  <c r="G171" i="31" s="1"/>
  <c r="C171" i="1" s="1"/>
  <c r="C160" i="31"/>
  <c r="E160" i="31" s="1"/>
  <c r="G160" i="31" s="1"/>
  <c r="C160" i="1" s="1"/>
  <c r="C29" i="31"/>
  <c r="E29" i="31" s="1"/>
  <c r="G29" i="31" s="1"/>
  <c r="C29" i="1" s="1"/>
  <c r="C56" i="31"/>
  <c r="E56" i="31" s="1"/>
  <c r="G56" i="31" s="1"/>
  <c r="C56" i="1" s="1"/>
  <c r="C16" i="31"/>
  <c r="E16" i="31" s="1"/>
  <c r="G16" i="31" s="1"/>
  <c r="C16" i="1" s="1"/>
  <c r="C176" i="31"/>
  <c r="E176" i="31" s="1"/>
  <c r="G176" i="31" s="1"/>
  <c r="C176" i="1" s="1"/>
  <c r="C112" i="31"/>
  <c r="E112" i="31" s="1"/>
  <c r="G112" i="31" s="1"/>
  <c r="C112" i="1" s="1"/>
  <c r="C155" i="31"/>
  <c r="E155" i="31" s="1"/>
  <c r="G155" i="31" s="1"/>
  <c r="C155" i="1" s="1"/>
  <c r="C194" i="31"/>
  <c r="E194" i="31" s="1"/>
  <c r="G194" i="31" s="1"/>
  <c r="C194" i="1" s="1"/>
  <c r="C200" i="31"/>
  <c r="E200" i="31" s="1"/>
  <c r="G200" i="31" s="1"/>
  <c r="C200" i="1" s="1"/>
  <c r="C190" i="31"/>
  <c r="E190" i="31" s="1"/>
  <c r="G190" i="31" s="1"/>
  <c r="C190" i="1" s="1"/>
  <c r="C19" i="31"/>
  <c r="E19" i="31" s="1"/>
  <c r="G19" i="31" s="1"/>
  <c r="C19" i="1" s="1"/>
  <c r="C168" i="31"/>
  <c r="E168" i="31" s="1"/>
  <c r="G168" i="31" s="1"/>
  <c r="C168" i="1" s="1"/>
  <c r="C117" i="31"/>
  <c r="E117" i="31" s="1"/>
  <c r="G117" i="31" s="1"/>
  <c r="C117" i="1" s="1"/>
  <c r="C145" i="31"/>
  <c r="E145" i="31" s="1"/>
  <c r="G145" i="31" s="1"/>
  <c r="C145" i="1" s="1"/>
  <c r="C60" i="31"/>
  <c r="E60" i="31" s="1"/>
  <c r="G60" i="31" s="1"/>
  <c r="C60" i="1" s="1"/>
  <c r="C73" i="31"/>
  <c r="E73" i="31" s="1"/>
  <c r="G73" i="31" s="1"/>
  <c r="C73" i="1" s="1"/>
  <c r="C191" i="31"/>
  <c r="E191" i="31" s="1"/>
  <c r="G191" i="31" s="1"/>
  <c r="C191" i="1" s="1"/>
  <c r="C48" i="31"/>
  <c r="E48" i="31" s="1"/>
  <c r="G48" i="31" s="1"/>
  <c r="C48" i="1" s="1"/>
  <c r="C202" i="31"/>
  <c r="E202" i="31" s="1"/>
  <c r="G202" i="31" s="1"/>
  <c r="C202" i="1" s="1"/>
  <c r="C93" i="31"/>
  <c r="E93" i="31" s="1"/>
  <c r="G93" i="31" s="1"/>
  <c r="C93" i="1" s="1"/>
  <c r="C197" i="31"/>
  <c r="E197" i="31" s="1"/>
  <c r="G197" i="31" s="1"/>
  <c r="C197" i="1" s="1"/>
  <c r="C167" i="31"/>
  <c r="E167" i="31" s="1"/>
  <c r="G167" i="31" s="1"/>
  <c r="C167" i="1" s="1"/>
  <c r="C143" i="31"/>
  <c r="E143" i="31" s="1"/>
  <c r="G143" i="31" s="1"/>
  <c r="C143" i="1" s="1"/>
  <c r="C83" i="31"/>
  <c r="E83" i="31" s="1"/>
  <c r="G83" i="31" s="1"/>
  <c r="C83" i="1" s="1"/>
  <c r="C122" i="31"/>
  <c r="E122" i="31" s="1"/>
  <c r="G122" i="31" s="1"/>
  <c r="C122" i="1" s="1"/>
  <c r="C195" i="31"/>
  <c r="E195" i="31" s="1"/>
  <c r="G195" i="31" s="1"/>
  <c r="C195" i="1" s="1"/>
  <c r="C44" i="31"/>
  <c r="E44" i="31" s="1"/>
  <c r="G44" i="31" s="1"/>
  <c r="C44" i="1" s="1"/>
  <c r="C188" i="31"/>
  <c r="E188" i="31" s="1"/>
  <c r="G188" i="31" s="1"/>
  <c r="C188" i="1" s="1"/>
  <c r="C150" i="31"/>
  <c r="E150" i="31" s="1"/>
  <c r="G150" i="31" s="1"/>
  <c r="C150" i="1" s="1"/>
  <c r="C82" i="31"/>
  <c r="E82" i="31" s="1"/>
  <c r="G82" i="31" s="1"/>
  <c r="C82" i="1" s="1"/>
  <c r="C11" i="31"/>
  <c r="E11" i="31" s="1"/>
  <c r="G11" i="31" s="1"/>
  <c r="C11" i="1" s="1"/>
  <c r="C157" i="31"/>
  <c r="E157" i="31" s="1"/>
  <c r="G157" i="31" s="1"/>
  <c r="C157" i="1" s="1"/>
  <c r="C90" i="31"/>
  <c r="E90" i="31" s="1"/>
  <c r="G90" i="31" s="1"/>
  <c r="C90" i="1" s="1"/>
  <c r="C91" i="31"/>
  <c r="E91" i="31" s="1"/>
  <c r="G91" i="31" s="1"/>
  <c r="C91" i="1" s="1"/>
  <c r="C94" i="31"/>
  <c r="E94" i="31" s="1"/>
  <c r="G94" i="31" s="1"/>
  <c r="C94" i="1" s="1"/>
  <c r="C135" i="31"/>
  <c r="E135" i="31" s="1"/>
  <c r="G135" i="31" s="1"/>
  <c r="C135" i="1" s="1"/>
  <c r="C121" i="31"/>
  <c r="E121" i="31" s="1"/>
  <c r="G121" i="31" s="1"/>
  <c r="C121" i="1" s="1"/>
  <c r="C126" i="31"/>
  <c r="E126" i="31" s="1"/>
  <c r="G126" i="31" s="1"/>
  <c r="C126" i="1" s="1"/>
  <c r="C113" i="31"/>
  <c r="E113" i="31" s="1"/>
  <c r="G113" i="31" s="1"/>
  <c r="C113" i="1" s="1"/>
  <c r="C12" i="31"/>
  <c r="E12" i="31" s="1"/>
  <c r="G12" i="31" s="1"/>
  <c r="C12" i="1" s="1"/>
  <c r="C52" i="31"/>
  <c r="E52" i="31" s="1"/>
  <c r="G52" i="31" s="1"/>
  <c r="C52" i="1" s="1"/>
  <c r="C138" i="31"/>
  <c r="E138" i="31" s="1"/>
  <c r="G138" i="31" s="1"/>
  <c r="C138" i="1" s="1"/>
  <c r="C14" i="31"/>
  <c r="E14" i="31" s="1"/>
  <c r="G14" i="31" s="1"/>
  <c r="C14" i="1" s="1"/>
  <c r="C128" i="31"/>
  <c r="E128" i="31" s="1"/>
  <c r="G128" i="31" s="1"/>
  <c r="C128" i="1" s="1"/>
  <c r="C27" i="31"/>
  <c r="E27" i="31" s="1"/>
  <c r="G27" i="31" s="1"/>
  <c r="C27" i="1" s="1"/>
  <c r="C53" i="31"/>
  <c r="E53" i="31" s="1"/>
  <c r="G53" i="31" s="1"/>
  <c r="C53" i="1" s="1"/>
  <c r="C130" i="31"/>
  <c r="E130" i="31" s="1"/>
  <c r="G130" i="31" s="1"/>
  <c r="C130" i="1" s="1"/>
  <c r="C61" i="31"/>
  <c r="E61" i="31" s="1"/>
  <c r="G61" i="31" s="1"/>
  <c r="C61" i="1" s="1"/>
  <c r="C95" i="31"/>
  <c r="E95" i="31" s="1"/>
  <c r="G95" i="31" s="1"/>
  <c r="C95" i="1" s="1"/>
  <c r="C152" i="31"/>
  <c r="E152" i="31" s="1"/>
  <c r="G152" i="31" s="1"/>
  <c r="C152" i="1" s="1"/>
  <c r="C108" i="31"/>
  <c r="E108" i="31" s="1"/>
  <c r="G108" i="31" s="1"/>
  <c r="C108" i="1" s="1"/>
  <c r="C187" i="31"/>
  <c r="E187" i="31" s="1"/>
  <c r="G187" i="31" s="1"/>
  <c r="C187" i="1" s="1"/>
  <c r="C146" i="31"/>
  <c r="E146" i="31" s="1"/>
  <c r="G146" i="31" s="1"/>
  <c r="C146" i="1" s="1"/>
  <c r="C71" i="31"/>
  <c r="E71" i="31" s="1"/>
  <c r="G71" i="31" s="1"/>
  <c r="C71" i="1" s="1"/>
  <c r="C163" i="31"/>
  <c r="E163" i="31" s="1"/>
  <c r="G163" i="31" s="1"/>
  <c r="C163" i="1" s="1"/>
  <c r="C165" i="31"/>
  <c r="E165" i="31" s="1"/>
  <c r="G165" i="31" s="1"/>
  <c r="C165" i="1" s="1"/>
  <c r="C59" i="31"/>
  <c r="E59" i="31" s="1"/>
  <c r="G59" i="31" s="1"/>
  <c r="C59" i="1" s="1"/>
  <c r="C201" i="31"/>
  <c r="E201" i="31" s="1"/>
  <c r="G201" i="31" s="1"/>
  <c r="C201" i="1" s="1"/>
  <c r="C34" i="31"/>
  <c r="E34" i="31" s="1"/>
  <c r="G34" i="31" s="1"/>
  <c r="C34" i="1" s="1"/>
  <c r="C136" i="31"/>
  <c r="E136" i="31" s="1"/>
  <c r="G136" i="31" s="1"/>
  <c r="C136" i="1" s="1"/>
  <c r="C137" i="31"/>
  <c r="E137" i="31" s="1"/>
  <c r="G137" i="31" s="1"/>
  <c r="C137" i="1" s="1"/>
  <c r="C203" i="31"/>
  <c r="E203" i="31" s="1"/>
  <c r="G203" i="31" s="1"/>
  <c r="C203" i="1" s="1"/>
  <c r="C140" i="31"/>
  <c r="E140" i="31" s="1"/>
  <c r="G140" i="31" s="1"/>
  <c r="C140" i="1" s="1"/>
  <c r="C169" i="31"/>
  <c r="E169" i="31" s="1"/>
  <c r="G169" i="31" s="1"/>
  <c r="C169" i="1" s="1"/>
  <c r="C132" i="31"/>
  <c r="E132" i="31" s="1"/>
  <c r="G132" i="31" s="1"/>
  <c r="C132" i="1" s="1"/>
  <c r="C67" i="31"/>
  <c r="E67" i="31" s="1"/>
  <c r="G67" i="31" s="1"/>
  <c r="C67" i="1" s="1"/>
  <c r="C178" i="31"/>
  <c r="E178" i="31" s="1"/>
  <c r="G178" i="31" s="1"/>
  <c r="C178" i="1" s="1"/>
  <c r="C174" i="31"/>
  <c r="E174" i="31" s="1"/>
  <c r="G174" i="31" s="1"/>
  <c r="C174" i="1" s="1"/>
  <c r="C159" i="31"/>
  <c r="E159" i="31" s="1"/>
  <c r="G159" i="31" s="1"/>
  <c r="C159" i="1" s="1"/>
  <c r="C147" i="31"/>
  <c r="E147" i="31" s="1"/>
  <c r="G147" i="31" s="1"/>
  <c r="C147" i="1" s="1"/>
  <c r="C115" i="31"/>
  <c r="E115" i="31" s="1"/>
  <c r="G115" i="31" s="1"/>
  <c r="C115" i="1" s="1"/>
  <c r="C161" i="31"/>
  <c r="E161" i="31" s="1"/>
  <c r="G161" i="31" s="1"/>
  <c r="C161" i="1" s="1"/>
  <c r="C92" i="31"/>
  <c r="E92" i="31" s="1"/>
  <c r="G92" i="31" s="1"/>
  <c r="C92" i="1" s="1"/>
  <c r="C74" i="31"/>
  <c r="E74" i="31" s="1"/>
  <c r="G74" i="31" s="1"/>
  <c r="C74" i="1" s="1"/>
  <c r="C17" i="31"/>
  <c r="E17" i="31" s="1"/>
  <c r="G17" i="31" s="1"/>
  <c r="C17" i="1" s="1"/>
  <c r="C133" i="31"/>
  <c r="E133" i="31" s="1"/>
  <c r="G133" i="31" s="1"/>
  <c r="C133" i="1" s="1"/>
  <c r="C114" i="31"/>
  <c r="E114" i="31" s="1"/>
  <c r="G114" i="31" s="1"/>
  <c r="C114" i="1" s="1"/>
  <c r="C149" i="31"/>
  <c r="E149" i="31" s="1"/>
  <c r="G149" i="31" s="1"/>
  <c r="C149" i="1" s="1"/>
  <c r="C40" i="31"/>
  <c r="E40" i="31" s="1"/>
  <c r="G40" i="31" s="1"/>
  <c r="C40" i="1" s="1"/>
  <c r="C102" i="31"/>
  <c r="E102" i="31" s="1"/>
  <c r="G102" i="31" s="1"/>
  <c r="C102" i="1" s="1"/>
  <c r="C179" i="31"/>
  <c r="E179" i="31" s="1"/>
  <c r="G179" i="31" s="1"/>
  <c r="C179" i="1" s="1"/>
  <c r="C183" i="31"/>
  <c r="E183" i="31" s="1"/>
  <c r="G183" i="31" s="1"/>
  <c r="C183" i="1" s="1"/>
  <c r="C164" i="31"/>
  <c r="E164" i="31" s="1"/>
  <c r="G164" i="31" s="1"/>
  <c r="C164" i="1" s="1"/>
  <c r="C57" i="31"/>
  <c r="E57" i="31" s="1"/>
  <c r="G57" i="31" s="1"/>
  <c r="C57" i="1" s="1"/>
  <c r="C24" i="31"/>
  <c r="E24" i="31" s="1"/>
  <c r="G24" i="31" s="1"/>
  <c r="C24" i="1" s="1"/>
  <c r="C118" i="31"/>
  <c r="E118" i="31" s="1"/>
  <c r="G118" i="31" s="1"/>
  <c r="C118" i="1" s="1"/>
  <c r="C125" i="31"/>
  <c r="E125" i="31" s="1"/>
  <c r="G125" i="31" s="1"/>
  <c r="C125" i="1" s="1"/>
  <c r="C124" i="31"/>
  <c r="E124" i="31" s="1"/>
  <c r="G124" i="31" s="1"/>
  <c r="C124" i="1" s="1"/>
  <c r="C110" i="31"/>
  <c r="E110" i="31" s="1"/>
  <c r="G110" i="31" s="1"/>
  <c r="C110" i="1" s="1"/>
  <c r="C30" i="31"/>
  <c r="E30" i="31" s="1"/>
  <c r="G30" i="31" s="1"/>
  <c r="C30" i="1" s="1"/>
  <c r="C35" i="31"/>
  <c r="E35" i="31" s="1"/>
  <c r="G35" i="31" s="1"/>
  <c r="C35" i="1" s="1"/>
  <c r="C21" i="31"/>
  <c r="E21" i="31" s="1"/>
  <c r="G21" i="31" s="1"/>
  <c r="C21" i="1" s="1"/>
  <c r="C104" i="31"/>
  <c r="E104" i="31" s="1"/>
  <c r="G104" i="31" s="1"/>
  <c r="C104" i="1" s="1"/>
  <c r="C109" i="31"/>
  <c r="E109" i="31" s="1"/>
  <c r="G109" i="31" s="1"/>
  <c r="C109" i="1" s="1"/>
  <c r="C186" i="31"/>
  <c r="E186" i="31" s="1"/>
  <c r="G186" i="31" s="1"/>
  <c r="C186" i="1" s="1"/>
  <c r="C98" i="31"/>
  <c r="E98" i="31" s="1"/>
  <c r="G98" i="31" s="1"/>
  <c r="C98" i="1" s="1"/>
  <c r="C99" i="31"/>
  <c r="E99" i="31" s="1"/>
  <c r="G99" i="31" s="1"/>
  <c r="C99" i="1" s="1"/>
  <c r="C55" i="31"/>
  <c r="E55" i="31" s="1"/>
  <c r="G55" i="31" s="1"/>
  <c r="C55" i="1" s="1"/>
  <c r="C31" i="31"/>
  <c r="E31" i="31" s="1"/>
  <c r="G31" i="31" s="1"/>
  <c r="C31" i="1" s="1"/>
  <c r="C196" i="31"/>
  <c r="E196" i="31" s="1"/>
  <c r="G196" i="31" s="1"/>
  <c r="C196" i="1" s="1"/>
  <c r="C181" i="31"/>
  <c r="E181" i="31" s="1"/>
  <c r="G181" i="31" s="1"/>
  <c r="C181" i="1" s="1"/>
  <c r="C119" i="31"/>
  <c r="E119" i="31" s="1"/>
  <c r="G119" i="31" s="1"/>
  <c r="C119" i="1" s="1"/>
  <c r="C87" i="31"/>
  <c r="E87" i="31" s="1"/>
  <c r="G87" i="31" s="1"/>
  <c r="C87" i="1" s="1"/>
  <c r="C8" i="31"/>
  <c r="E8" i="31" s="1"/>
  <c r="G8" i="31" s="1"/>
  <c r="C8" i="1" s="1"/>
  <c r="C198" i="31"/>
  <c r="E198" i="31" s="1"/>
  <c r="G198" i="31" s="1"/>
  <c r="C198" i="1" s="1"/>
  <c r="C111" i="31"/>
  <c r="E111" i="31" s="1"/>
  <c r="G111" i="31" s="1"/>
  <c r="C111" i="1" s="1"/>
  <c r="C10" i="31"/>
  <c r="E10" i="31" s="1"/>
  <c r="G10" i="31" s="1"/>
  <c r="C10" i="1" s="1"/>
  <c r="C49" i="31"/>
  <c r="E49" i="31" s="1"/>
  <c r="G49" i="31" s="1"/>
  <c r="C49" i="1" s="1"/>
  <c r="C63" i="31"/>
  <c r="E63" i="31" s="1"/>
  <c r="G63" i="31" s="1"/>
  <c r="C63" i="1" s="1"/>
  <c r="C46" i="31"/>
  <c r="E46" i="31" s="1"/>
  <c r="G46" i="31" s="1"/>
  <c r="C46" i="1" s="1"/>
  <c r="C142" i="31"/>
  <c r="E142" i="31" s="1"/>
  <c r="G142" i="31" s="1"/>
  <c r="C142" i="1" s="1"/>
  <c r="C184" i="31"/>
  <c r="E184" i="31" s="1"/>
  <c r="G184" i="31" s="1"/>
  <c r="C184" i="1" s="1"/>
  <c r="C151" i="31"/>
  <c r="E151" i="31" s="1"/>
  <c r="G151" i="31" s="1"/>
  <c r="C151" i="1" s="1"/>
  <c r="C127" i="31"/>
  <c r="E127" i="31" s="1"/>
  <c r="G127" i="31" s="1"/>
  <c r="C127" i="1" s="1"/>
  <c r="C72" i="31"/>
  <c r="E72" i="31" s="1"/>
  <c r="G72" i="31" s="1"/>
  <c r="C72" i="1" s="1"/>
  <c r="C166" i="31"/>
  <c r="E166" i="31" s="1"/>
  <c r="G166" i="31" s="1"/>
  <c r="C166" i="1" s="1"/>
  <c r="E127" i="9"/>
  <c r="G127" i="9"/>
  <c r="C50" i="31"/>
  <c r="E50" i="31" s="1"/>
  <c r="G50" i="31" s="1"/>
  <c r="C50" i="1" s="1"/>
  <c r="E93" i="9"/>
  <c r="G93" i="9"/>
  <c r="E38" i="9"/>
  <c r="G38" i="9"/>
  <c r="E142" i="9"/>
  <c r="G142" i="9"/>
  <c r="E55" i="9"/>
  <c r="G55" i="9"/>
  <c r="E119" i="9"/>
  <c r="G119" i="9"/>
  <c r="E183" i="9"/>
  <c r="G183" i="9"/>
  <c r="E176" i="9"/>
  <c r="G176" i="9"/>
  <c r="E158" i="9"/>
  <c r="G158" i="9"/>
  <c r="C134" i="31"/>
  <c r="E134" i="31" s="1"/>
  <c r="G134" i="31" s="1"/>
  <c r="C134" i="1" s="1"/>
  <c r="C96" i="31"/>
  <c r="E96" i="31" s="1"/>
  <c r="G96" i="31" s="1"/>
  <c r="C96" i="1" s="1"/>
  <c r="C182" i="31"/>
  <c r="E182" i="31" s="1"/>
  <c r="G182" i="31" s="1"/>
  <c r="C182" i="1" s="1"/>
  <c r="C6" i="31"/>
  <c r="E6" i="31" s="1"/>
  <c r="G6" i="31" s="1"/>
  <c r="C6" i="1" s="1"/>
  <c r="C158" i="31"/>
  <c r="E158" i="31" s="1"/>
  <c r="G158" i="31" s="1"/>
  <c r="C158" i="1" s="1"/>
  <c r="C77" i="31"/>
  <c r="E77" i="31" s="1"/>
  <c r="G77" i="31" s="1"/>
  <c r="C77" i="1" s="1"/>
  <c r="C9" i="31"/>
  <c r="E9" i="31" s="1"/>
  <c r="G9" i="31" s="1"/>
  <c r="C9" i="1" s="1"/>
  <c r="C192" i="31"/>
  <c r="E192" i="31" s="1"/>
  <c r="G192" i="31" s="1"/>
  <c r="C192" i="1" s="1"/>
  <c r="C173" i="31"/>
  <c r="E173" i="31" s="1"/>
  <c r="G173" i="31" s="1"/>
  <c r="C173" i="1" s="1"/>
  <c r="C15" i="31"/>
  <c r="E15" i="31" s="1"/>
  <c r="G15" i="31" s="1"/>
  <c r="C15" i="1" s="1"/>
  <c r="C103" i="31"/>
  <c r="E103" i="31" s="1"/>
  <c r="G103" i="31" s="1"/>
  <c r="C103" i="1" s="1"/>
  <c r="C170" i="31"/>
  <c r="E170" i="31" s="1"/>
  <c r="G170" i="31" s="1"/>
  <c r="C170" i="1" s="1"/>
  <c r="C97" i="31"/>
  <c r="E97" i="31" s="1"/>
  <c r="G97" i="31" s="1"/>
  <c r="C97" i="1" s="1"/>
  <c r="C13" i="31"/>
  <c r="E13" i="31" s="1"/>
  <c r="G13" i="31" s="1"/>
  <c r="C13" i="1" s="1"/>
  <c r="C154" i="31"/>
  <c r="E154" i="31" s="1"/>
  <c r="G154" i="31" s="1"/>
  <c r="C154" i="1" s="1"/>
  <c r="C88" i="31"/>
  <c r="E88" i="31" s="1"/>
  <c r="G88" i="31" s="1"/>
  <c r="C88" i="1" s="1"/>
  <c r="C70" i="31"/>
  <c r="E70" i="31" s="1"/>
  <c r="G70" i="31" s="1"/>
  <c r="C70" i="1" s="1"/>
  <c r="C51" i="31"/>
  <c r="E51" i="31" s="1"/>
  <c r="G51" i="31" s="1"/>
  <c r="C51" i="1" s="1"/>
  <c r="C199" i="31"/>
  <c r="E199" i="31" s="1"/>
  <c r="G199" i="31" s="1"/>
  <c r="C199" i="1" s="1"/>
  <c r="C107" i="31"/>
  <c r="E107" i="31" s="1"/>
  <c r="G107" i="31" s="1"/>
  <c r="C107" i="1" s="1"/>
  <c r="C54" i="31"/>
  <c r="E54" i="31" s="1"/>
  <c r="G54" i="31" s="1"/>
  <c r="C54" i="1" s="1"/>
  <c r="C89" i="31"/>
  <c r="E89" i="31" s="1"/>
  <c r="G89" i="31" s="1"/>
  <c r="C89" i="1" s="1"/>
  <c r="C116" i="31"/>
  <c r="E116" i="31" s="1"/>
  <c r="G116" i="31" s="1"/>
  <c r="C116" i="1" s="1"/>
  <c r="C68" i="31"/>
  <c r="E68" i="31" s="1"/>
  <c r="G68" i="31" s="1"/>
  <c r="C68" i="1" s="1"/>
  <c r="C26" i="31"/>
  <c r="E26" i="31" s="1"/>
  <c r="G26" i="31" s="1"/>
  <c r="C26" i="1" s="1"/>
  <c r="C7" i="31"/>
  <c r="E7" i="31" s="1"/>
  <c r="G7" i="31" s="1"/>
  <c r="C7" i="1" s="1"/>
  <c r="C100" i="31"/>
  <c r="E100" i="31" s="1"/>
  <c r="G100" i="31" s="1"/>
  <c r="C100" i="1" s="1"/>
  <c r="C189" i="31"/>
  <c r="E189" i="31" s="1"/>
  <c r="G189" i="31" s="1"/>
  <c r="C189" i="1" s="1"/>
  <c r="C129" i="31"/>
  <c r="E129" i="31" s="1"/>
  <c r="G129" i="31" s="1"/>
  <c r="C129" i="1" s="1"/>
  <c r="C20" i="31"/>
  <c r="E20" i="31" s="1"/>
  <c r="G20" i="31" s="1"/>
  <c r="C20" i="1" s="1"/>
  <c r="C144" i="31"/>
  <c r="E144" i="31" s="1"/>
  <c r="G144" i="31" s="1"/>
  <c r="C144" i="1" s="1"/>
  <c r="C156" i="31"/>
  <c r="E156" i="31" s="1"/>
  <c r="G156" i="31" s="1"/>
  <c r="C156" i="1" s="1"/>
  <c r="C180" i="31"/>
  <c r="E180" i="31" s="1"/>
  <c r="G180" i="31" s="1"/>
  <c r="C180" i="1" s="1"/>
  <c r="C79" i="31"/>
  <c r="E79" i="31" s="1"/>
  <c r="G79" i="31" s="1"/>
  <c r="C79" i="1" s="1"/>
  <c r="E101" i="9"/>
  <c r="G101" i="9"/>
  <c r="E191" i="9"/>
  <c r="G191" i="9"/>
  <c r="C141" i="31"/>
  <c r="E141" i="31" s="1"/>
  <c r="G141" i="31" s="1"/>
  <c r="C141" i="1" s="1"/>
  <c r="E21" i="9"/>
  <c r="G21" i="9"/>
  <c r="E109" i="9"/>
  <c r="G109" i="9"/>
  <c r="E62" i="9"/>
  <c r="G62" i="9"/>
  <c r="E174" i="9"/>
  <c r="G174" i="9"/>
  <c r="E7" i="9"/>
  <c r="G7" i="9"/>
  <c r="E71" i="9"/>
  <c r="G71" i="9"/>
  <c r="E135" i="9"/>
  <c r="G135" i="9"/>
  <c r="E9" i="9"/>
  <c r="G9" i="9"/>
  <c r="C106" i="31"/>
  <c r="E106" i="31" s="1"/>
  <c r="G106" i="31" s="1"/>
  <c r="C106" i="1" s="1"/>
  <c r="E141" i="9"/>
  <c r="E78" i="9"/>
  <c r="G78" i="9"/>
  <c r="E15" i="9"/>
  <c r="G15" i="9"/>
  <c r="E79" i="9"/>
  <c r="G79" i="9"/>
  <c r="E143" i="9"/>
  <c r="G143" i="9"/>
  <c r="E41" i="9"/>
  <c r="G41" i="9"/>
  <c r="E63" i="9"/>
  <c r="G63" i="9"/>
  <c r="E86" i="9"/>
  <c r="G86" i="9"/>
  <c r="E23" i="9"/>
  <c r="G23" i="9"/>
  <c r="E87" i="9"/>
  <c r="G87" i="9"/>
  <c r="E151" i="9"/>
  <c r="G151" i="9"/>
  <c r="E46" i="9"/>
  <c r="G46" i="9"/>
  <c r="E61" i="9"/>
  <c r="G61" i="9"/>
  <c r="E6" i="9"/>
  <c r="G6" i="9"/>
  <c r="E102" i="9"/>
  <c r="G102" i="9"/>
  <c r="E31" i="9"/>
  <c r="G31" i="9"/>
  <c r="E95" i="9"/>
  <c r="G95" i="9"/>
  <c r="E159" i="9"/>
  <c r="G159" i="9"/>
  <c r="E16" i="9"/>
  <c r="G16" i="9"/>
  <c r="E137" i="9"/>
  <c r="G137" i="9"/>
  <c r="C78" i="31"/>
  <c r="E78" i="31" s="1"/>
  <c r="G78" i="31" s="1"/>
  <c r="C78" i="1" s="1"/>
  <c r="C153" i="31"/>
  <c r="E153" i="31" s="1"/>
  <c r="G153" i="31" s="1"/>
  <c r="C153" i="1" s="1"/>
  <c r="E77" i="9"/>
  <c r="G77" i="9"/>
  <c r="E165" i="9"/>
  <c r="G165" i="9"/>
  <c r="E22" i="9"/>
  <c r="G22" i="9"/>
  <c r="E118" i="9"/>
  <c r="G118" i="9"/>
  <c r="E39" i="9"/>
  <c r="G39" i="9"/>
  <c r="E103" i="9"/>
  <c r="G103" i="9"/>
  <c r="E167" i="9"/>
  <c r="G167" i="9"/>
  <c r="E88" i="9"/>
  <c r="G88" i="9"/>
  <c r="E153" i="9"/>
  <c r="G153" i="9"/>
  <c r="C64" i="31"/>
  <c r="E64" i="31" s="1"/>
  <c r="G64" i="31" s="1"/>
  <c r="C64" i="1" s="1"/>
  <c r="E13" i="9"/>
  <c r="E85" i="9"/>
  <c r="G85" i="9"/>
  <c r="E181" i="9"/>
  <c r="G181" i="9"/>
  <c r="E30" i="9"/>
  <c r="G30" i="9"/>
  <c r="E126" i="9"/>
  <c r="G126" i="9"/>
  <c r="E128" i="9"/>
  <c r="G128" i="9"/>
  <c r="E47" i="9"/>
  <c r="G47" i="9"/>
  <c r="E111" i="9"/>
  <c r="G111" i="9"/>
  <c r="E175" i="9"/>
  <c r="G175" i="9"/>
  <c r="E96" i="9"/>
  <c r="G96" i="9"/>
  <c r="C162" i="31"/>
  <c r="E162" i="31" s="1"/>
  <c r="G162" i="31" s="1"/>
  <c r="C162" i="1" s="1"/>
  <c r="C36" i="31"/>
  <c r="E36" i="31" s="1"/>
  <c r="G36" i="31" s="1"/>
  <c r="C36" i="1" s="1"/>
  <c r="F231" i="9"/>
  <c r="J231" i="9" s="1"/>
  <c r="S25" i="9"/>
  <c r="U25" i="9" s="1"/>
  <c r="S23" i="9"/>
  <c r="U23" i="9" s="1"/>
  <c r="K212" i="13"/>
  <c r="K212" i="12"/>
  <c r="K212" i="11"/>
  <c r="K215" i="13" l="1"/>
  <c r="K214" i="13"/>
  <c r="K217" i="13" s="1"/>
  <c r="K220" i="13" s="1"/>
  <c r="K215" i="12"/>
  <c r="K214" i="12"/>
  <c r="K217" i="12" s="1"/>
  <c r="K220" i="12" s="1"/>
  <c r="K215" i="11"/>
  <c r="K214" i="11"/>
  <c r="K217" i="11" s="1"/>
  <c r="K220" i="11" s="1"/>
  <c r="K219" i="8" l="1"/>
  <c r="K211" i="8"/>
  <c r="N22" i="9" s="1"/>
  <c r="K208" i="8"/>
  <c r="J203" i="8"/>
  <c r="M203" i="8" s="1"/>
  <c r="J202" i="8"/>
  <c r="M202" i="8" s="1"/>
  <c r="J201" i="8"/>
  <c r="M201" i="8" s="1"/>
  <c r="J200" i="8"/>
  <c r="M200" i="8" s="1"/>
  <c r="J199" i="8"/>
  <c r="M199" i="8" s="1"/>
  <c r="J198" i="8"/>
  <c r="M198" i="8" s="1"/>
  <c r="J197" i="8"/>
  <c r="M197" i="8" s="1"/>
  <c r="J196" i="8"/>
  <c r="M196" i="8" s="1"/>
  <c r="J195" i="8"/>
  <c r="M195" i="8" s="1"/>
  <c r="J194" i="8"/>
  <c r="M194" i="8" s="1"/>
  <c r="J193" i="8"/>
  <c r="M193" i="8" s="1"/>
  <c r="J192" i="8"/>
  <c r="M192" i="8" s="1"/>
  <c r="J191" i="8"/>
  <c r="M191" i="8" s="1"/>
  <c r="J190" i="8"/>
  <c r="M190" i="8" s="1"/>
  <c r="J189" i="8"/>
  <c r="M189" i="8" s="1"/>
  <c r="J188" i="8"/>
  <c r="M188" i="8" s="1"/>
  <c r="J187" i="8"/>
  <c r="M187" i="8" s="1"/>
  <c r="J186" i="8"/>
  <c r="M186" i="8" s="1"/>
  <c r="J185" i="8"/>
  <c r="M185" i="8" s="1"/>
  <c r="J184" i="8"/>
  <c r="M184" i="8" s="1"/>
  <c r="J183" i="8"/>
  <c r="M183" i="8" s="1"/>
  <c r="J182" i="8"/>
  <c r="M182" i="8" s="1"/>
  <c r="J181" i="8"/>
  <c r="M181" i="8" s="1"/>
  <c r="J180" i="8"/>
  <c r="M180" i="8" s="1"/>
  <c r="J179" i="8"/>
  <c r="M179" i="8" s="1"/>
  <c r="J178" i="8"/>
  <c r="M178" i="8" s="1"/>
  <c r="J177" i="8"/>
  <c r="M177" i="8" s="1"/>
  <c r="J176" i="8"/>
  <c r="M176" i="8" s="1"/>
  <c r="J175" i="8"/>
  <c r="M175" i="8" s="1"/>
  <c r="J174" i="8"/>
  <c r="M174" i="8" s="1"/>
  <c r="J173" i="8"/>
  <c r="M173" i="8" s="1"/>
  <c r="J172" i="8"/>
  <c r="M172" i="8" s="1"/>
  <c r="J171" i="8"/>
  <c r="M171" i="8" s="1"/>
  <c r="J170" i="8"/>
  <c r="M170" i="8" s="1"/>
  <c r="J169" i="8"/>
  <c r="M169" i="8" s="1"/>
  <c r="J168" i="8"/>
  <c r="M168" i="8" s="1"/>
  <c r="J167" i="8"/>
  <c r="M167" i="8" s="1"/>
  <c r="J166" i="8"/>
  <c r="M166" i="8" s="1"/>
  <c r="J165" i="8"/>
  <c r="M165" i="8" s="1"/>
  <c r="J164" i="8"/>
  <c r="M164" i="8" s="1"/>
  <c r="J163" i="8"/>
  <c r="M163" i="8" s="1"/>
  <c r="J162" i="8"/>
  <c r="M162" i="8" s="1"/>
  <c r="J161" i="8"/>
  <c r="M161" i="8" s="1"/>
  <c r="J160" i="8"/>
  <c r="M160" i="8" s="1"/>
  <c r="J159" i="8"/>
  <c r="M159" i="8" s="1"/>
  <c r="J158" i="8"/>
  <c r="M158" i="8" s="1"/>
  <c r="J157" i="8"/>
  <c r="M157" i="8" s="1"/>
  <c r="J156" i="8"/>
  <c r="M156" i="8" s="1"/>
  <c r="J155" i="8"/>
  <c r="M155" i="8" s="1"/>
  <c r="J154" i="8"/>
  <c r="M154" i="8" s="1"/>
  <c r="J153" i="8"/>
  <c r="M153" i="8" s="1"/>
  <c r="J152" i="8"/>
  <c r="M152" i="8" s="1"/>
  <c r="J151" i="8"/>
  <c r="M151" i="8" s="1"/>
  <c r="J150" i="8"/>
  <c r="M150" i="8" s="1"/>
  <c r="J149" i="8"/>
  <c r="M149" i="8" s="1"/>
  <c r="J148" i="8"/>
  <c r="M148" i="8" s="1"/>
  <c r="J147" i="8"/>
  <c r="M147" i="8" s="1"/>
  <c r="J146" i="8"/>
  <c r="M146" i="8" s="1"/>
  <c r="J145" i="8"/>
  <c r="M145" i="8" s="1"/>
  <c r="J144" i="8"/>
  <c r="M144" i="8" s="1"/>
  <c r="J143" i="8"/>
  <c r="M143" i="8" s="1"/>
  <c r="J142" i="8"/>
  <c r="M142" i="8" s="1"/>
  <c r="J141" i="8"/>
  <c r="M141" i="8" s="1"/>
  <c r="J140" i="8"/>
  <c r="M140" i="8" s="1"/>
  <c r="J139" i="8"/>
  <c r="M139" i="8" s="1"/>
  <c r="J138" i="8"/>
  <c r="M138" i="8" s="1"/>
  <c r="J137" i="8"/>
  <c r="M137" i="8" s="1"/>
  <c r="J136" i="8"/>
  <c r="M136" i="8" s="1"/>
  <c r="J135" i="8"/>
  <c r="M135" i="8" s="1"/>
  <c r="J134" i="8"/>
  <c r="M134" i="8" s="1"/>
  <c r="J133" i="8"/>
  <c r="M133" i="8" s="1"/>
  <c r="J132" i="8"/>
  <c r="M132" i="8" s="1"/>
  <c r="J131" i="8"/>
  <c r="M131" i="8" s="1"/>
  <c r="J130" i="8"/>
  <c r="M130" i="8" s="1"/>
  <c r="J129" i="8"/>
  <c r="M129" i="8" s="1"/>
  <c r="J128" i="8"/>
  <c r="M128" i="8" s="1"/>
  <c r="J127" i="8"/>
  <c r="M127" i="8" s="1"/>
  <c r="J126" i="8"/>
  <c r="M126" i="8" s="1"/>
  <c r="J125" i="8"/>
  <c r="M125" i="8" s="1"/>
  <c r="J124" i="8"/>
  <c r="M124" i="8" s="1"/>
  <c r="J123" i="8"/>
  <c r="M123" i="8" s="1"/>
  <c r="J122" i="8"/>
  <c r="M122" i="8" s="1"/>
  <c r="J121" i="8"/>
  <c r="M121" i="8" s="1"/>
  <c r="J120" i="8"/>
  <c r="M120" i="8" s="1"/>
  <c r="J119" i="8"/>
  <c r="M119" i="8" s="1"/>
  <c r="J118" i="8"/>
  <c r="M118" i="8" s="1"/>
  <c r="J117" i="8"/>
  <c r="M117" i="8" s="1"/>
  <c r="J116" i="8"/>
  <c r="M116" i="8" s="1"/>
  <c r="J115" i="8"/>
  <c r="M115" i="8" s="1"/>
  <c r="J114" i="8"/>
  <c r="M114" i="8" s="1"/>
  <c r="J113" i="8"/>
  <c r="M113" i="8" s="1"/>
  <c r="J112" i="8"/>
  <c r="M112" i="8" s="1"/>
  <c r="J111" i="8"/>
  <c r="M111" i="8" s="1"/>
  <c r="J110" i="8"/>
  <c r="M110" i="8" s="1"/>
  <c r="J109" i="8"/>
  <c r="M109" i="8" s="1"/>
  <c r="J108" i="8"/>
  <c r="M108" i="8" s="1"/>
  <c r="J107" i="8"/>
  <c r="M107" i="8" s="1"/>
  <c r="J106" i="8"/>
  <c r="M106" i="8" s="1"/>
  <c r="J105" i="8"/>
  <c r="M105" i="8" s="1"/>
  <c r="Z104" i="8"/>
  <c r="J104" i="8"/>
  <c r="M104" i="8" s="1"/>
  <c r="X103" i="8"/>
  <c r="S103" i="8"/>
  <c r="U103" i="8" s="1"/>
  <c r="J103" i="8"/>
  <c r="M103" i="8" s="1"/>
  <c r="X102" i="8"/>
  <c r="S102" i="8"/>
  <c r="U102" i="8" s="1"/>
  <c r="J102" i="8"/>
  <c r="M102" i="8" s="1"/>
  <c r="X101" i="8"/>
  <c r="S101" i="8"/>
  <c r="U101" i="8" s="1"/>
  <c r="J101" i="8"/>
  <c r="M101" i="8" s="1"/>
  <c r="X100" i="8"/>
  <c r="S100" i="8"/>
  <c r="U100" i="8" s="1"/>
  <c r="J100" i="8"/>
  <c r="M100" i="8" s="1"/>
  <c r="X99" i="8"/>
  <c r="S99" i="8"/>
  <c r="U99" i="8" s="1"/>
  <c r="J99" i="8"/>
  <c r="M99" i="8" s="1"/>
  <c r="X98" i="8"/>
  <c r="S98" i="8"/>
  <c r="U98" i="8" s="1"/>
  <c r="J98" i="8"/>
  <c r="M98" i="8" s="1"/>
  <c r="X97" i="8"/>
  <c r="S97" i="8"/>
  <c r="U97" i="8" s="1"/>
  <c r="J97" i="8"/>
  <c r="M97" i="8" s="1"/>
  <c r="X96" i="8"/>
  <c r="S96" i="8"/>
  <c r="U96" i="8" s="1"/>
  <c r="J96" i="8"/>
  <c r="M96" i="8" s="1"/>
  <c r="X95" i="8"/>
  <c r="S95" i="8"/>
  <c r="U95" i="8" s="1"/>
  <c r="J95" i="8"/>
  <c r="M95" i="8" s="1"/>
  <c r="X94" i="8"/>
  <c r="S94" i="8"/>
  <c r="U94" i="8" s="1"/>
  <c r="J94" i="8"/>
  <c r="M94" i="8" s="1"/>
  <c r="X93" i="8"/>
  <c r="S93" i="8"/>
  <c r="U93" i="8" s="1"/>
  <c r="J93" i="8"/>
  <c r="M93" i="8" s="1"/>
  <c r="X92" i="8"/>
  <c r="S92" i="8"/>
  <c r="U92" i="8" s="1"/>
  <c r="J92" i="8"/>
  <c r="M92" i="8" s="1"/>
  <c r="X91" i="8"/>
  <c r="S91" i="8"/>
  <c r="U91" i="8" s="1"/>
  <c r="J91" i="8"/>
  <c r="M91" i="8" s="1"/>
  <c r="X90" i="8"/>
  <c r="S90" i="8"/>
  <c r="U90" i="8" s="1"/>
  <c r="J90" i="8"/>
  <c r="M90" i="8" s="1"/>
  <c r="X89" i="8"/>
  <c r="S89" i="8"/>
  <c r="U89" i="8" s="1"/>
  <c r="J89" i="8"/>
  <c r="M89" i="8" s="1"/>
  <c r="X88" i="8"/>
  <c r="S88" i="8"/>
  <c r="U88" i="8" s="1"/>
  <c r="J88" i="8"/>
  <c r="M88" i="8" s="1"/>
  <c r="X87" i="8"/>
  <c r="S87" i="8"/>
  <c r="U87" i="8" s="1"/>
  <c r="J87" i="8"/>
  <c r="M87" i="8" s="1"/>
  <c r="X86" i="8"/>
  <c r="S86" i="8"/>
  <c r="U86" i="8" s="1"/>
  <c r="J86" i="8"/>
  <c r="M86" i="8" s="1"/>
  <c r="X85" i="8"/>
  <c r="S85" i="8"/>
  <c r="U85" i="8" s="1"/>
  <c r="J85" i="8"/>
  <c r="M85" i="8" s="1"/>
  <c r="X84" i="8"/>
  <c r="S84" i="8"/>
  <c r="U84" i="8" s="1"/>
  <c r="J84" i="8"/>
  <c r="M84" i="8" s="1"/>
  <c r="X83" i="8"/>
  <c r="S83" i="8"/>
  <c r="U83" i="8" s="1"/>
  <c r="J83" i="8"/>
  <c r="M83" i="8" s="1"/>
  <c r="X82" i="8"/>
  <c r="S82" i="8"/>
  <c r="U82" i="8" s="1"/>
  <c r="J82" i="8"/>
  <c r="M82" i="8" s="1"/>
  <c r="X81" i="8"/>
  <c r="S81" i="8"/>
  <c r="U81" i="8" s="1"/>
  <c r="J81" i="8"/>
  <c r="M81" i="8" s="1"/>
  <c r="X80" i="8"/>
  <c r="S80" i="8"/>
  <c r="U80" i="8" s="1"/>
  <c r="J80" i="8"/>
  <c r="M80" i="8" s="1"/>
  <c r="X79" i="8"/>
  <c r="S79" i="8"/>
  <c r="U79" i="8" s="1"/>
  <c r="J79" i="8"/>
  <c r="M79" i="8" s="1"/>
  <c r="X78" i="8"/>
  <c r="S78" i="8"/>
  <c r="U78" i="8" s="1"/>
  <c r="J78" i="8"/>
  <c r="M78" i="8" s="1"/>
  <c r="X77" i="8"/>
  <c r="S77" i="8"/>
  <c r="U77" i="8" s="1"/>
  <c r="J77" i="8"/>
  <c r="M77" i="8" s="1"/>
  <c r="X76" i="8"/>
  <c r="S76" i="8"/>
  <c r="U76" i="8" s="1"/>
  <c r="J76" i="8"/>
  <c r="M76" i="8" s="1"/>
  <c r="X75" i="8"/>
  <c r="S75" i="8"/>
  <c r="U75" i="8" s="1"/>
  <c r="J75" i="8"/>
  <c r="M75" i="8" s="1"/>
  <c r="X74" i="8"/>
  <c r="S74" i="8"/>
  <c r="U74" i="8" s="1"/>
  <c r="J74" i="8"/>
  <c r="M74" i="8" s="1"/>
  <c r="X73" i="8"/>
  <c r="S73" i="8"/>
  <c r="U73" i="8" s="1"/>
  <c r="J73" i="8"/>
  <c r="M73" i="8" s="1"/>
  <c r="X72" i="8"/>
  <c r="S72" i="8"/>
  <c r="U72" i="8" s="1"/>
  <c r="J72" i="8"/>
  <c r="M72" i="8" s="1"/>
  <c r="X71" i="8"/>
  <c r="S71" i="8"/>
  <c r="U71" i="8" s="1"/>
  <c r="J71" i="8"/>
  <c r="M71" i="8" s="1"/>
  <c r="X70" i="8"/>
  <c r="S70" i="8"/>
  <c r="U70" i="8" s="1"/>
  <c r="J70" i="8"/>
  <c r="M70" i="8" s="1"/>
  <c r="X69" i="8"/>
  <c r="S69" i="8"/>
  <c r="U69" i="8" s="1"/>
  <c r="J69" i="8"/>
  <c r="M69" i="8" s="1"/>
  <c r="X68" i="8"/>
  <c r="S68" i="8"/>
  <c r="U68" i="8" s="1"/>
  <c r="J68" i="8"/>
  <c r="M68" i="8" s="1"/>
  <c r="X67" i="8"/>
  <c r="S67" i="8"/>
  <c r="U67" i="8" s="1"/>
  <c r="J67" i="8"/>
  <c r="M67" i="8" s="1"/>
  <c r="X66" i="8"/>
  <c r="S66" i="8"/>
  <c r="U66" i="8" s="1"/>
  <c r="J66" i="8"/>
  <c r="M66" i="8" s="1"/>
  <c r="X65" i="8"/>
  <c r="S65" i="8"/>
  <c r="U65" i="8" s="1"/>
  <c r="J65" i="8"/>
  <c r="M65" i="8" s="1"/>
  <c r="X64" i="8"/>
  <c r="S64" i="8"/>
  <c r="U64" i="8" s="1"/>
  <c r="J64" i="8"/>
  <c r="M64" i="8" s="1"/>
  <c r="X63" i="8"/>
  <c r="S63" i="8"/>
  <c r="U63" i="8" s="1"/>
  <c r="J63" i="8"/>
  <c r="M63" i="8" s="1"/>
  <c r="X62" i="8"/>
  <c r="S62" i="8"/>
  <c r="U62" i="8" s="1"/>
  <c r="J62" i="8"/>
  <c r="M62" i="8" s="1"/>
  <c r="X61" i="8"/>
  <c r="S61" i="8"/>
  <c r="U61" i="8" s="1"/>
  <c r="J61" i="8"/>
  <c r="M61" i="8" s="1"/>
  <c r="X60" i="8"/>
  <c r="S60" i="8"/>
  <c r="U60" i="8" s="1"/>
  <c r="J60" i="8"/>
  <c r="M60" i="8" s="1"/>
  <c r="X59" i="8"/>
  <c r="S59" i="8"/>
  <c r="U59" i="8" s="1"/>
  <c r="J59" i="8"/>
  <c r="M59" i="8" s="1"/>
  <c r="X58" i="8"/>
  <c r="S58" i="8"/>
  <c r="U58" i="8" s="1"/>
  <c r="J58" i="8"/>
  <c r="M58" i="8" s="1"/>
  <c r="X57" i="8"/>
  <c r="S57" i="8"/>
  <c r="U57" i="8" s="1"/>
  <c r="J57" i="8"/>
  <c r="M57" i="8" s="1"/>
  <c r="X56" i="8"/>
  <c r="S56" i="8"/>
  <c r="U56" i="8" s="1"/>
  <c r="J56" i="8"/>
  <c r="M56" i="8" s="1"/>
  <c r="X55" i="8"/>
  <c r="S55" i="8"/>
  <c r="U55" i="8" s="1"/>
  <c r="J55" i="8"/>
  <c r="M55" i="8" s="1"/>
  <c r="X54" i="8"/>
  <c r="S54" i="8"/>
  <c r="U54" i="8" s="1"/>
  <c r="J54" i="8"/>
  <c r="M54" i="8" s="1"/>
  <c r="X53" i="8"/>
  <c r="S53" i="8"/>
  <c r="U53" i="8" s="1"/>
  <c r="J53" i="8"/>
  <c r="M53" i="8" s="1"/>
  <c r="X52" i="8"/>
  <c r="S52" i="8"/>
  <c r="U52" i="8" s="1"/>
  <c r="J52" i="8"/>
  <c r="M52" i="8" s="1"/>
  <c r="X51" i="8"/>
  <c r="S51" i="8"/>
  <c r="U51" i="8" s="1"/>
  <c r="J51" i="8"/>
  <c r="M51" i="8" s="1"/>
  <c r="X50" i="8"/>
  <c r="S50" i="8"/>
  <c r="U50" i="8" s="1"/>
  <c r="J50" i="8"/>
  <c r="M50" i="8" s="1"/>
  <c r="X49" i="8"/>
  <c r="S49" i="8"/>
  <c r="U49" i="8" s="1"/>
  <c r="J49" i="8"/>
  <c r="M49" i="8" s="1"/>
  <c r="X48" i="8"/>
  <c r="S48" i="8"/>
  <c r="U48" i="8" s="1"/>
  <c r="J48" i="8"/>
  <c r="M48" i="8" s="1"/>
  <c r="X47" i="8"/>
  <c r="S47" i="8"/>
  <c r="U47" i="8" s="1"/>
  <c r="J47" i="8"/>
  <c r="M47" i="8" s="1"/>
  <c r="X46" i="8"/>
  <c r="S46" i="8"/>
  <c r="U46" i="8" s="1"/>
  <c r="J46" i="8"/>
  <c r="M46" i="8" s="1"/>
  <c r="X45" i="8"/>
  <c r="S45" i="8"/>
  <c r="U45" i="8" s="1"/>
  <c r="J45" i="8"/>
  <c r="M45" i="8" s="1"/>
  <c r="X44" i="8"/>
  <c r="S44" i="8"/>
  <c r="U44" i="8" s="1"/>
  <c r="J44" i="8"/>
  <c r="M44" i="8" s="1"/>
  <c r="X43" i="8"/>
  <c r="S43" i="8"/>
  <c r="U43" i="8" s="1"/>
  <c r="J43" i="8"/>
  <c r="M43" i="8" s="1"/>
  <c r="X42" i="8"/>
  <c r="S42" i="8"/>
  <c r="U42" i="8" s="1"/>
  <c r="J42" i="8"/>
  <c r="M42" i="8" s="1"/>
  <c r="X41" i="8"/>
  <c r="S41" i="8"/>
  <c r="U41" i="8" s="1"/>
  <c r="J41" i="8"/>
  <c r="M41" i="8" s="1"/>
  <c r="X40" i="8"/>
  <c r="S40" i="8"/>
  <c r="U40" i="8" s="1"/>
  <c r="J40" i="8"/>
  <c r="M40" i="8" s="1"/>
  <c r="X39" i="8"/>
  <c r="S39" i="8"/>
  <c r="U39" i="8" s="1"/>
  <c r="J39" i="8"/>
  <c r="M39" i="8" s="1"/>
  <c r="X38" i="8"/>
  <c r="S38" i="8"/>
  <c r="U38" i="8" s="1"/>
  <c r="J38" i="8"/>
  <c r="M38" i="8" s="1"/>
  <c r="X37" i="8"/>
  <c r="S37" i="8"/>
  <c r="U37" i="8" s="1"/>
  <c r="J37" i="8"/>
  <c r="M37" i="8" s="1"/>
  <c r="X36" i="8"/>
  <c r="S36" i="8"/>
  <c r="U36" i="8" s="1"/>
  <c r="J36" i="8"/>
  <c r="M36" i="8" s="1"/>
  <c r="X35" i="8"/>
  <c r="S35" i="8"/>
  <c r="U35" i="8" s="1"/>
  <c r="J35" i="8"/>
  <c r="M35" i="8" s="1"/>
  <c r="X34" i="8"/>
  <c r="S34" i="8"/>
  <c r="U34" i="8" s="1"/>
  <c r="J34" i="8"/>
  <c r="M34" i="8" s="1"/>
  <c r="X33" i="8"/>
  <c r="S33" i="8"/>
  <c r="U33" i="8" s="1"/>
  <c r="J33" i="8"/>
  <c r="M33" i="8" s="1"/>
  <c r="X32" i="8"/>
  <c r="S32" i="8"/>
  <c r="U32" i="8" s="1"/>
  <c r="J32" i="8"/>
  <c r="M32" i="8" s="1"/>
  <c r="X31" i="8"/>
  <c r="S31" i="8"/>
  <c r="U31" i="8" s="1"/>
  <c r="J31" i="8"/>
  <c r="M31" i="8" s="1"/>
  <c r="X30" i="8"/>
  <c r="S30" i="8"/>
  <c r="U30" i="8" s="1"/>
  <c r="J30" i="8"/>
  <c r="M30" i="8" s="1"/>
  <c r="X29" i="8"/>
  <c r="S29" i="8"/>
  <c r="U29" i="8" s="1"/>
  <c r="J29" i="8"/>
  <c r="M29" i="8" s="1"/>
  <c r="X28" i="8"/>
  <c r="S28" i="8"/>
  <c r="U28" i="8" s="1"/>
  <c r="J28" i="8"/>
  <c r="M28" i="8" s="1"/>
  <c r="X27" i="8"/>
  <c r="S27" i="8"/>
  <c r="U27" i="8" s="1"/>
  <c r="J27" i="8"/>
  <c r="M27" i="8" s="1"/>
  <c r="X26" i="8"/>
  <c r="S26" i="8"/>
  <c r="U26" i="8" s="1"/>
  <c r="J26" i="8"/>
  <c r="M26" i="8" s="1"/>
  <c r="X25" i="8"/>
  <c r="S25" i="8"/>
  <c r="U25" i="8" s="1"/>
  <c r="J25" i="8"/>
  <c r="M25" i="8" s="1"/>
  <c r="X24" i="8"/>
  <c r="S24" i="8"/>
  <c r="U24" i="8" s="1"/>
  <c r="J24" i="8"/>
  <c r="M24" i="8" s="1"/>
  <c r="X23" i="8"/>
  <c r="S23" i="8"/>
  <c r="U23" i="8" s="1"/>
  <c r="J23" i="8"/>
  <c r="M23" i="8" s="1"/>
  <c r="X22" i="8"/>
  <c r="S22" i="8"/>
  <c r="U22" i="8" s="1"/>
  <c r="J22" i="8"/>
  <c r="M22" i="8" s="1"/>
  <c r="X21" i="8"/>
  <c r="S21" i="8"/>
  <c r="U21" i="8" s="1"/>
  <c r="J21" i="8"/>
  <c r="M21" i="8" s="1"/>
  <c r="X20" i="8"/>
  <c r="S20" i="8"/>
  <c r="U20" i="8" s="1"/>
  <c r="J20" i="8"/>
  <c r="M20" i="8" s="1"/>
  <c r="X19" i="8"/>
  <c r="S19" i="8"/>
  <c r="U19" i="8" s="1"/>
  <c r="J19" i="8"/>
  <c r="M19" i="8" s="1"/>
  <c r="X18" i="8"/>
  <c r="S18" i="8"/>
  <c r="U18" i="8" s="1"/>
  <c r="J18" i="8"/>
  <c r="M18" i="8" s="1"/>
  <c r="X17" i="8"/>
  <c r="S17" i="8"/>
  <c r="U17" i="8" s="1"/>
  <c r="J17" i="8"/>
  <c r="M17" i="8" s="1"/>
  <c r="X16" i="8"/>
  <c r="S16" i="8"/>
  <c r="U16" i="8" s="1"/>
  <c r="J16" i="8"/>
  <c r="M16" i="8" s="1"/>
  <c r="X15" i="8"/>
  <c r="S15" i="8"/>
  <c r="U15" i="8" s="1"/>
  <c r="J15" i="8"/>
  <c r="M15" i="8" s="1"/>
  <c r="X14" i="8"/>
  <c r="S14" i="8"/>
  <c r="U14" i="8" s="1"/>
  <c r="J14" i="8"/>
  <c r="M14" i="8" s="1"/>
  <c r="X13" i="8"/>
  <c r="S13" i="8"/>
  <c r="U13" i="8" s="1"/>
  <c r="J13" i="8"/>
  <c r="M13" i="8" s="1"/>
  <c r="X12" i="8"/>
  <c r="S12" i="8"/>
  <c r="U12" i="8" s="1"/>
  <c r="J12" i="8"/>
  <c r="M12" i="8" s="1"/>
  <c r="X11" i="8"/>
  <c r="S11" i="8"/>
  <c r="U11" i="8" s="1"/>
  <c r="J11" i="8"/>
  <c r="M11" i="8" s="1"/>
  <c r="X10" i="8"/>
  <c r="S10" i="8"/>
  <c r="U10" i="8" s="1"/>
  <c r="J10" i="8"/>
  <c r="M10" i="8" s="1"/>
  <c r="X9" i="8"/>
  <c r="S9" i="8"/>
  <c r="U9" i="8" s="1"/>
  <c r="J9" i="8"/>
  <c r="M9" i="8" s="1"/>
  <c r="X8" i="8"/>
  <c r="S8" i="8"/>
  <c r="U8" i="8" s="1"/>
  <c r="J8" i="8"/>
  <c r="M8" i="8" s="1"/>
  <c r="X7" i="8"/>
  <c r="S7" i="8"/>
  <c r="U7" i="8" s="1"/>
  <c r="J7" i="8"/>
  <c r="M7" i="8" s="1"/>
  <c r="X6" i="8"/>
  <c r="S6" i="8"/>
  <c r="U6" i="8" s="1"/>
  <c r="J6" i="8"/>
  <c r="M6" i="8" s="1"/>
  <c r="X5" i="8"/>
  <c r="S5" i="8"/>
  <c r="U5" i="8" s="1"/>
  <c r="J5" i="8"/>
  <c r="M5" i="8" s="1"/>
  <c r="X4" i="8"/>
  <c r="S4" i="8"/>
  <c r="U4" i="8" s="1"/>
  <c r="J4" i="8"/>
  <c r="K219" i="7"/>
  <c r="K211" i="7"/>
  <c r="N21" i="9" s="1"/>
  <c r="J203" i="7"/>
  <c r="M203" i="7" s="1"/>
  <c r="J202" i="7"/>
  <c r="M202" i="7" s="1"/>
  <c r="J201" i="7"/>
  <c r="M201" i="7" s="1"/>
  <c r="J200" i="7"/>
  <c r="M200" i="7" s="1"/>
  <c r="J199" i="7"/>
  <c r="M199" i="7" s="1"/>
  <c r="J198" i="7"/>
  <c r="M198" i="7" s="1"/>
  <c r="J197" i="7"/>
  <c r="M197" i="7" s="1"/>
  <c r="J196" i="7"/>
  <c r="M196" i="7" s="1"/>
  <c r="J195" i="7"/>
  <c r="M195" i="7" s="1"/>
  <c r="J194" i="7"/>
  <c r="M194" i="7" s="1"/>
  <c r="J193" i="7"/>
  <c r="M193" i="7" s="1"/>
  <c r="J192" i="7"/>
  <c r="M192" i="7" s="1"/>
  <c r="J191" i="7"/>
  <c r="M191" i="7" s="1"/>
  <c r="J190" i="7"/>
  <c r="M190" i="7" s="1"/>
  <c r="J189" i="7"/>
  <c r="M189" i="7" s="1"/>
  <c r="J188" i="7"/>
  <c r="M188" i="7" s="1"/>
  <c r="J187" i="7"/>
  <c r="M187" i="7" s="1"/>
  <c r="J186" i="7"/>
  <c r="M186" i="7" s="1"/>
  <c r="J185" i="7"/>
  <c r="M185" i="7" s="1"/>
  <c r="J184" i="7"/>
  <c r="M184" i="7" s="1"/>
  <c r="J183" i="7"/>
  <c r="M183" i="7" s="1"/>
  <c r="J182" i="7"/>
  <c r="M182" i="7" s="1"/>
  <c r="J181" i="7"/>
  <c r="M181" i="7" s="1"/>
  <c r="J180" i="7"/>
  <c r="M180" i="7" s="1"/>
  <c r="J179" i="7"/>
  <c r="M179" i="7" s="1"/>
  <c r="J178" i="7"/>
  <c r="M178" i="7" s="1"/>
  <c r="J177" i="7"/>
  <c r="J176" i="7"/>
  <c r="M176" i="7" s="1"/>
  <c r="J175" i="7"/>
  <c r="M175" i="7" s="1"/>
  <c r="M174" i="7"/>
  <c r="J174" i="7"/>
  <c r="J173" i="7"/>
  <c r="M173" i="7" s="1"/>
  <c r="J172" i="7"/>
  <c r="M172" i="7" s="1"/>
  <c r="J171" i="7"/>
  <c r="M171" i="7" s="1"/>
  <c r="J170" i="7"/>
  <c r="M170" i="7" s="1"/>
  <c r="J169" i="7"/>
  <c r="M169" i="7" s="1"/>
  <c r="J168" i="7"/>
  <c r="M168" i="7" s="1"/>
  <c r="J167" i="7"/>
  <c r="M167" i="7" s="1"/>
  <c r="J166" i="7"/>
  <c r="M166" i="7" s="1"/>
  <c r="J165" i="7"/>
  <c r="M165" i="7" s="1"/>
  <c r="J164" i="7"/>
  <c r="M164" i="7" s="1"/>
  <c r="J163" i="7"/>
  <c r="M163" i="7" s="1"/>
  <c r="J162" i="7"/>
  <c r="M162" i="7" s="1"/>
  <c r="J161" i="7"/>
  <c r="M161" i="7" s="1"/>
  <c r="J160" i="7"/>
  <c r="M160" i="7" s="1"/>
  <c r="J159" i="7"/>
  <c r="M159" i="7" s="1"/>
  <c r="J158" i="7"/>
  <c r="M158" i="7" s="1"/>
  <c r="J157" i="7"/>
  <c r="M157" i="7" s="1"/>
  <c r="J156" i="7"/>
  <c r="M156" i="7" s="1"/>
  <c r="J155" i="7"/>
  <c r="M155" i="7" s="1"/>
  <c r="J154" i="7"/>
  <c r="M154" i="7" s="1"/>
  <c r="J153" i="7"/>
  <c r="M153" i="7" s="1"/>
  <c r="J152" i="7"/>
  <c r="M152" i="7" s="1"/>
  <c r="J151" i="7"/>
  <c r="M151" i="7" s="1"/>
  <c r="J150" i="7"/>
  <c r="M150" i="7" s="1"/>
  <c r="J149" i="7"/>
  <c r="M149" i="7" s="1"/>
  <c r="J148" i="7"/>
  <c r="M148" i="7" s="1"/>
  <c r="J147" i="7"/>
  <c r="M147" i="7" s="1"/>
  <c r="J146" i="7"/>
  <c r="M146" i="7" s="1"/>
  <c r="J145" i="7"/>
  <c r="M145" i="7" s="1"/>
  <c r="J144" i="7"/>
  <c r="M144" i="7" s="1"/>
  <c r="J143" i="7"/>
  <c r="M143" i="7" s="1"/>
  <c r="J142" i="7"/>
  <c r="M142" i="7" s="1"/>
  <c r="J141" i="7"/>
  <c r="M141" i="7" s="1"/>
  <c r="J140" i="7"/>
  <c r="M140" i="7" s="1"/>
  <c r="J139" i="7"/>
  <c r="M139" i="7" s="1"/>
  <c r="J138" i="7"/>
  <c r="M138" i="7" s="1"/>
  <c r="J137" i="7"/>
  <c r="M137" i="7" s="1"/>
  <c r="J136" i="7"/>
  <c r="M136" i="7" s="1"/>
  <c r="J135" i="7"/>
  <c r="M135" i="7" s="1"/>
  <c r="J134" i="7"/>
  <c r="M134" i="7" s="1"/>
  <c r="J133" i="7"/>
  <c r="M133" i="7" s="1"/>
  <c r="J132" i="7"/>
  <c r="M132" i="7" s="1"/>
  <c r="J131" i="7"/>
  <c r="M131" i="7" s="1"/>
  <c r="J130" i="7"/>
  <c r="M130" i="7" s="1"/>
  <c r="J129" i="7"/>
  <c r="M129" i="7" s="1"/>
  <c r="J128" i="7"/>
  <c r="M128" i="7" s="1"/>
  <c r="J127" i="7"/>
  <c r="M127" i="7" s="1"/>
  <c r="J126" i="7"/>
  <c r="M126" i="7" s="1"/>
  <c r="J125" i="7"/>
  <c r="M125" i="7" s="1"/>
  <c r="J124" i="7"/>
  <c r="M124" i="7" s="1"/>
  <c r="J123" i="7"/>
  <c r="M123" i="7" s="1"/>
  <c r="J122" i="7"/>
  <c r="M122" i="7" s="1"/>
  <c r="J121" i="7"/>
  <c r="M121" i="7" s="1"/>
  <c r="J120" i="7"/>
  <c r="M120" i="7" s="1"/>
  <c r="J119" i="7"/>
  <c r="M119" i="7" s="1"/>
  <c r="J118" i="7"/>
  <c r="M118" i="7" s="1"/>
  <c r="J117" i="7"/>
  <c r="M117" i="7" s="1"/>
  <c r="J116" i="7"/>
  <c r="M116" i="7" s="1"/>
  <c r="J115" i="7"/>
  <c r="M115" i="7" s="1"/>
  <c r="J114" i="7"/>
  <c r="M114" i="7" s="1"/>
  <c r="J113" i="7"/>
  <c r="M113" i="7" s="1"/>
  <c r="J112" i="7"/>
  <c r="M112" i="7" s="1"/>
  <c r="J111" i="7"/>
  <c r="M111" i="7" s="1"/>
  <c r="J110" i="7"/>
  <c r="M110" i="7" s="1"/>
  <c r="J109" i="7"/>
  <c r="M109" i="7" s="1"/>
  <c r="J108" i="7"/>
  <c r="M108" i="7" s="1"/>
  <c r="J107" i="7"/>
  <c r="M107" i="7" s="1"/>
  <c r="J106" i="7"/>
  <c r="M106" i="7" s="1"/>
  <c r="J105" i="7"/>
  <c r="M105" i="7" s="1"/>
  <c r="Z104" i="7"/>
  <c r="J104" i="7"/>
  <c r="M104" i="7" s="1"/>
  <c r="X103" i="7"/>
  <c r="S103" i="7"/>
  <c r="U103" i="7" s="1"/>
  <c r="J103" i="7"/>
  <c r="M103" i="7" s="1"/>
  <c r="X102" i="7"/>
  <c r="S102" i="7"/>
  <c r="U102" i="7" s="1"/>
  <c r="J102" i="7"/>
  <c r="M102" i="7" s="1"/>
  <c r="X101" i="7"/>
  <c r="S101" i="7"/>
  <c r="U101" i="7" s="1"/>
  <c r="J101" i="7"/>
  <c r="M101" i="7" s="1"/>
  <c r="X100" i="7"/>
  <c r="S100" i="7"/>
  <c r="U100" i="7" s="1"/>
  <c r="J100" i="7"/>
  <c r="M100" i="7" s="1"/>
  <c r="X99" i="7"/>
  <c r="S99" i="7"/>
  <c r="U99" i="7" s="1"/>
  <c r="J99" i="7"/>
  <c r="M99" i="7" s="1"/>
  <c r="X98" i="7"/>
  <c r="S98" i="7"/>
  <c r="U98" i="7" s="1"/>
  <c r="J98" i="7"/>
  <c r="M98" i="7" s="1"/>
  <c r="X97" i="7"/>
  <c r="S97" i="7"/>
  <c r="U97" i="7" s="1"/>
  <c r="J97" i="7"/>
  <c r="M97" i="7" s="1"/>
  <c r="X96" i="7"/>
  <c r="S96" i="7"/>
  <c r="U96" i="7" s="1"/>
  <c r="J96" i="7"/>
  <c r="M96" i="7" s="1"/>
  <c r="X95" i="7"/>
  <c r="S95" i="7"/>
  <c r="U95" i="7" s="1"/>
  <c r="J95" i="7"/>
  <c r="M95" i="7" s="1"/>
  <c r="X94" i="7"/>
  <c r="S94" i="7"/>
  <c r="U94" i="7" s="1"/>
  <c r="J94" i="7"/>
  <c r="M94" i="7" s="1"/>
  <c r="X93" i="7"/>
  <c r="S93" i="7"/>
  <c r="U93" i="7" s="1"/>
  <c r="J93" i="7"/>
  <c r="M93" i="7" s="1"/>
  <c r="X92" i="7"/>
  <c r="S92" i="7"/>
  <c r="U92" i="7" s="1"/>
  <c r="J92" i="7"/>
  <c r="M92" i="7" s="1"/>
  <c r="X91" i="7"/>
  <c r="S91" i="7"/>
  <c r="U91" i="7" s="1"/>
  <c r="J91" i="7"/>
  <c r="M91" i="7" s="1"/>
  <c r="X90" i="7"/>
  <c r="S90" i="7"/>
  <c r="U90" i="7" s="1"/>
  <c r="J90" i="7"/>
  <c r="M90" i="7" s="1"/>
  <c r="X89" i="7"/>
  <c r="S89" i="7"/>
  <c r="U89" i="7" s="1"/>
  <c r="J89" i="7"/>
  <c r="M89" i="7" s="1"/>
  <c r="X88" i="7"/>
  <c r="S88" i="7"/>
  <c r="U88" i="7" s="1"/>
  <c r="J88" i="7"/>
  <c r="X87" i="7"/>
  <c r="S87" i="7"/>
  <c r="U87" i="7" s="1"/>
  <c r="J87" i="7"/>
  <c r="X86" i="7"/>
  <c r="S86" i="7"/>
  <c r="U86" i="7" s="1"/>
  <c r="J86" i="7"/>
  <c r="X85" i="7"/>
  <c r="S85" i="7"/>
  <c r="U85" i="7" s="1"/>
  <c r="J85" i="7"/>
  <c r="X84" i="7"/>
  <c r="S84" i="7"/>
  <c r="U84" i="7" s="1"/>
  <c r="J84" i="7"/>
  <c r="X83" i="7"/>
  <c r="S83" i="7"/>
  <c r="U83" i="7" s="1"/>
  <c r="J83" i="7"/>
  <c r="M83" i="7" s="1"/>
  <c r="X82" i="7"/>
  <c r="S82" i="7"/>
  <c r="U82" i="7" s="1"/>
  <c r="J82" i="7"/>
  <c r="M82" i="7" s="1"/>
  <c r="X81" i="7"/>
  <c r="S81" i="7"/>
  <c r="U81" i="7" s="1"/>
  <c r="J81" i="7"/>
  <c r="X80" i="7"/>
  <c r="S80" i="7"/>
  <c r="U80" i="7" s="1"/>
  <c r="J80" i="7"/>
  <c r="M80" i="7" s="1"/>
  <c r="X79" i="7"/>
  <c r="S79" i="7"/>
  <c r="U79" i="7" s="1"/>
  <c r="J79" i="7"/>
  <c r="M79" i="7" s="1"/>
  <c r="X78" i="7"/>
  <c r="S78" i="7"/>
  <c r="U78" i="7" s="1"/>
  <c r="J78" i="7"/>
  <c r="M78" i="7" s="1"/>
  <c r="X77" i="7"/>
  <c r="S77" i="7"/>
  <c r="U77" i="7" s="1"/>
  <c r="J77" i="7"/>
  <c r="M77" i="7" s="1"/>
  <c r="X76" i="7"/>
  <c r="S76" i="7"/>
  <c r="U76" i="7" s="1"/>
  <c r="J76" i="7"/>
  <c r="M76" i="7" s="1"/>
  <c r="X75" i="7"/>
  <c r="S75" i="7"/>
  <c r="U75" i="7" s="1"/>
  <c r="J75" i="7"/>
  <c r="M75" i="7" s="1"/>
  <c r="X74" i="7"/>
  <c r="S74" i="7"/>
  <c r="U74" i="7" s="1"/>
  <c r="J74" i="7"/>
  <c r="M74" i="7" s="1"/>
  <c r="X73" i="7"/>
  <c r="S73" i="7"/>
  <c r="U73" i="7" s="1"/>
  <c r="J73" i="7"/>
  <c r="M73" i="7" s="1"/>
  <c r="X72" i="7"/>
  <c r="S72" i="7"/>
  <c r="U72" i="7" s="1"/>
  <c r="J72" i="7"/>
  <c r="M72" i="7" s="1"/>
  <c r="X71" i="7"/>
  <c r="S71" i="7"/>
  <c r="U71" i="7" s="1"/>
  <c r="J71" i="7"/>
  <c r="M71" i="7" s="1"/>
  <c r="X70" i="7"/>
  <c r="S70" i="7"/>
  <c r="U70" i="7" s="1"/>
  <c r="J70" i="7"/>
  <c r="M70" i="7" s="1"/>
  <c r="X69" i="7"/>
  <c r="S69" i="7"/>
  <c r="U69" i="7" s="1"/>
  <c r="J69" i="7"/>
  <c r="X68" i="7"/>
  <c r="S68" i="7"/>
  <c r="U68" i="7" s="1"/>
  <c r="J68" i="7"/>
  <c r="M68" i="7" s="1"/>
  <c r="X67" i="7"/>
  <c r="S67" i="7"/>
  <c r="U67" i="7" s="1"/>
  <c r="J67" i="7"/>
  <c r="M67" i="7" s="1"/>
  <c r="X66" i="7"/>
  <c r="S66" i="7"/>
  <c r="U66" i="7" s="1"/>
  <c r="J66" i="7"/>
  <c r="M66" i="7" s="1"/>
  <c r="X65" i="7"/>
  <c r="S65" i="7"/>
  <c r="U65" i="7" s="1"/>
  <c r="J65" i="7"/>
  <c r="X64" i="7"/>
  <c r="S64" i="7"/>
  <c r="U64" i="7" s="1"/>
  <c r="J64" i="7"/>
  <c r="M64" i="7" s="1"/>
  <c r="X63" i="7"/>
  <c r="S63" i="7"/>
  <c r="U63" i="7" s="1"/>
  <c r="J63" i="7"/>
  <c r="M63" i="7" s="1"/>
  <c r="X62" i="7"/>
  <c r="S62" i="7"/>
  <c r="U62" i="7" s="1"/>
  <c r="J62" i="7"/>
  <c r="M62" i="7" s="1"/>
  <c r="X61" i="7"/>
  <c r="S61" i="7"/>
  <c r="U61" i="7" s="1"/>
  <c r="J61" i="7"/>
  <c r="X60" i="7"/>
  <c r="S60" i="7"/>
  <c r="U60" i="7" s="1"/>
  <c r="J60" i="7"/>
  <c r="X59" i="7"/>
  <c r="S59" i="7"/>
  <c r="U59" i="7" s="1"/>
  <c r="J59" i="7"/>
  <c r="M59" i="7" s="1"/>
  <c r="X58" i="7"/>
  <c r="S58" i="7"/>
  <c r="U58" i="7" s="1"/>
  <c r="J58" i="7"/>
  <c r="M58" i="7" s="1"/>
  <c r="X57" i="7"/>
  <c r="S57" i="7"/>
  <c r="U57" i="7" s="1"/>
  <c r="J57" i="7"/>
  <c r="M57" i="7" s="1"/>
  <c r="X56" i="7"/>
  <c r="S56" i="7"/>
  <c r="U56" i="7" s="1"/>
  <c r="J56" i="7"/>
  <c r="M56" i="7" s="1"/>
  <c r="X55" i="7"/>
  <c r="S55" i="7"/>
  <c r="U55" i="7" s="1"/>
  <c r="J55" i="7"/>
  <c r="M55" i="7" s="1"/>
  <c r="X54" i="7"/>
  <c r="S54" i="7"/>
  <c r="U54" i="7" s="1"/>
  <c r="J54" i="7"/>
  <c r="M54" i="7" s="1"/>
  <c r="X53" i="7"/>
  <c r="S53" i="7"/>
  <c r="U53" i="7" s="1"/>
  <c r="J53" i="7"/>
  <c r="M53" i="7" s="1"/>
  <c r="X52" i="7"/>
  <c r="S52" i="7"/>
  <c r="U52" i="7" s="1"/>
  <c r="J52" i="7"/>
  <c r="M52" i="7" s="1"/>
  <c r="X51" i="7"/>
  <c r="U51" i="7"/>
  <c r="S51" i="7"/>
  <c r="J51" i="7"/>
  <c r="M51" i="7" s="1"/>
  <c r="X50" i="7"/>
  <c r="S50" i="7"/>
  <c r="U50" i="7" s="1"/>
  <c r="J50" i="7"/>
  <c r="M50" i="7" s="1"/>
  <c r="X49" i="7"/>
  <c r="U49" i="7"/>
  <c r="S49" i="7"/>
  <c r="J49" i="7"/>
  <c r="M49" i="7" s="1"/>
  <c r="X48" i="7"/>
  <c r="S48" i="7"/>
  <c r="U48" i="7" s="1"/>
  <c r="J48" i="7"/>
  <c r="M48" i="7" s="1"/>
  <c r="X47" i="7"/>
  <c r="S47" i="7"/>
  <c r="U47" i="7" s="1"/>
  <c r="J47" i="7"/>
  <c r="M47" i="7" s="1"/>
  <c r="X46" i="7"/>
  <c r="S46" i="7"/>
  <c r="U46" i="7" s="1"/>
  <c r="J46" i="7"/>
  <c r="M46" i="7" s="1"/>
  <c r="X45" i="7"/>
  <c r="S45" i="7"/>
  <c r="U45" i="7" s="1"/>
  <c r="J45" i="7"/>
  <c r="M45" i="7" s="1"/>
  <c r="X44" i="7"/>
  <c r="S44" i="7"/>
  <c r="U44" i="7" s="1"/>
  <c r="J44" i="7"/>
  <c r="X43" i="7"/>
  <c r="S43" i="7"/>
  <c r="U43" i="7" s="1"/>
  <c r="J43" i="7"/>
  <c r="M43" i="7" s="1"/>
  <c r="X42" i="7"/>
  <c r="S42" i="7"/>
  <c r="U42" i="7" s="1"/>
  <c r="J42" i="7"/>
  <c r="M42" i="7" s="1"/>
  <c r="X41" i="7"/>
  <c r="S41" i="7"/>
  <c r="U41" i="7" s="1"/>
  <c r="J41" i="7"/>
  <c r="M41" i="7" s="1"/>
  <c r="X40" i="7"/>
  <c r="S40" i="7"/>
  <c r="U40" i="7" s="1"/>
  <c r="J40" i="7"/>
  <c r="M40" i="7" s="1"/>
  <c r="X39" i="7"/>
  <c r="S39" i="7"/>
  <c r="U39" i="7" s="1"/>
  <c r="J39" i="7"/>
  <c r="M39" i="7" s="1"/>
  <c r="X38" i="7"/>
  <c r="S38" i="7"/>
  <c r="U38" i="7" s="1"/>
  <c r="J38" i="7"/>
  <c r="X37" i="7"/>
  <c r="S37" i="7"/>
  <c r="U37" i="7" s="1"/>
  <c r="J37" i="7"/>
  <c r="X36" i="7"/>
  <c r="S36" i="7"/>
  <c r="U36" i="7" s="1"/>
  <c r="J36" i="7"/>
  <c r="X35" i="7"/>
  <c r="S35" i="7"/>
  <c r="U35" i="7" s="1"/>
  <c r="J35" i="7"/>
  <c r="M35" i="7" s="1"/>
  <c r="X34" i="7"/>
  <c r="S34" i="7"/>
  <c r="U34" i="7" s="1"/>
  <c r="J34" i="7"/>
  <c r="M34" i="7" s="1"/>
  <c r="X33" i="7"/>
  <c r="S33" i="7"/>
  <c r="U33" i="7" s="1"/>
  <c r="J33" i="7"/>
  <c r="M33" i="7" s="1"/>
  <c r="X32" i="7"/>
  <c r="S32" i="7"/>
  <c r="U32" i="7" s="1"/>
  <c r="J32" i="7"/>
  <c r="M32" i="7" s="1"/>
  <c r="X31" i="7"/>
  <c r="S31" i="7"/>
  <c r="U31" i="7" s="1"/>
  <c r="J31" i="7"/>
  <c r="M31" i="7" s="1"/>
  <c r="X30" i="7"/>
  <c r="S30" i="7"/>
  <c r="U30" i="7" s="1"/>
  <c r="J30" i="7"/>
  <c r="X29" i="7"/>
  <c r="S29" i="7"/>
  <c r="U29" i="7" s="1"/>
  <c r="J29" i="7"/>
  <c r="M29" i="7" s="1"/>
  <c r="X28" i="7"/>
  <c r="S28" i="7"/>
  <c r="U28" i="7" s="1"/>
  <c r="J28" i="7"/>
  <c r="M28" i="7" s="1"/>
  <c r="X27" i="7"/>
  <c r="S27" i="7"/>
  <c r="U27" i="7" s="1"/>
  <c r="J27" i="7"/>
  <c r="M27" i="7" s="1"/>
  <c r="X26" i="7"/>
  <c r="S26" i="7"/>
  <c r="U26" i="7" s="1"/>
  <c r="J26" i="7"/>
  <c r="M26" i="7" s="1"/>
  <c r="X25" i="7"/>
  <c r="S25" i="7"/>
  <c r="U25" i="7" s="1"/>
  <c r="J25" i="7"/>
  <c r="M25" i="7" s="1"/>
  <c r="X24" i="7"/>
  <c r="S24" i="7"/>
  <c r="U24" i="7" s="1"/>
  <c r="J24" i="7"/>
  <c r="M24" i="7" s="1"/>
  <c r="X23" i="7"/>
  <c r="S23" i="7"/>
  <c r="U23" i="7" s="1"/>
  <c r="J23" i="7"/>
  <c r="M23" i="7" s="1"/>
  <c r="X22" i="7"/>
  <c r="S22" i="7"/>
  <c r="U22" i="7" s="1"/>
  <c r="J22" i="7"/>
  <c r="M22" i="7" s="1"/>
  <c r="X21" i="7"/>
  <c r="S21" i="7"/>
  <c r="U21" i="7" s="1"/>
  <c r="J21" i="7"/>
  <c r="M21" i="7" s="1"/>
  <c r="X20" i="7"/>
  <c r="S20" i="7"/>
  <c r="U20" i="7" s="1"/>
  <c r="J20" i="7"/>
  <c r="M20" i="7" s="1"/>
  <c r="X19" i="7"/>
  <c r="S19" i="7"/>
  <c r="U19" i="7" s="1"/>
  <c r="J19" i="7"/>
  <c r="M19" i="7" s="1"/>
  <c r="X18" i="7"/>
  <c r="S18" i="7"/>
  <c r="U18" i="7" s="1"/>
  <c r="J18" i="7"/>
  <c r="X17" i="7"/>
  <c r="S17" i="7"/>
  <c r="U17" i="7" s="1"/>
  <c r="J17" i="7"/>
  <c r="M17" i="7" s="1"/>
  <c r="X16" i="7"/>
  <c r="S16" i="7"/>
  <c r="U16" i="7" s="1"/>
  <c r="J16" i="7"/>
  <c r="M16" i="7" s="1"/>
  <c r="X15" i="7"/>
  <c r="S15" i="7"/>
  <c r="U15" i="7" s="1"/>
  <c r="J15" i="7"/>
  <c r="M15" i="7" s="1"/>
  <c r="X14" i="7"/>
  <c r="S14" i="7"/>
  <c r="U14" i="7" s="1"/>
  <c r="J14" i="7"/>
  <c r="M14" i="7" s="1"/>
  <c r="X13" i="7"/>
  <c r="S13" i="7"/>
  <c r="U13" i="7" s="1"/>
  <c r="J13" i="7"/>
  <c r="M13" i="7" s="1"/>
  <c r="X12" i="7"/>
  <c r="S12" i="7"/>
  <c r="U12" i="7" s="1"/>
  <c r="J12" i="7"/>
  <c r="M12" i="7" s="1"/>
  <c r="X11" i="7"/>
  <c r="S11" i="7"/>
  <c r="U11" i="7" s="1"/>
  <c r="J11" i="7"/>
  <c r="M11" i="7" s="1"/>
  <c r="X10" i="7"/>
  <c r="S10" i="7"/>
  <c r="U10" i="7" s="1"/>
  <c r="J10" i="7"/>
  <c r="M10" i="7" s="1"/>
  <c r="X9" i="7"/>
  <c r="S9" i="7"/>
  <c r="U9" i="7" s="1"/>
  <c r="J9" i="7"/>
  <c r="M9" i="7" s="1"/>
  <c r="X8" i="7"/>
  <c r="S8" i="7"/>
  <c r="U8" i="7" s="1"/>
  <c r="J8" i="7"/>
  <c r="M8" i="7" s="1"/>
  <c r="X7" i="7"/>
  <c r="S7" i="7"/>
  <c r="U7" i="7" s="1"/>
  <c r="J7" i="7"/>
  <c r="M7" i="7" s="1"/>
  <c r="X6" i="7"/>
  <c r="S6" i="7"/>
  <c r="U6" i="7" s="1"/>
  <c r="J6" i="7"/>
  <c r="M6" i="7" s="1"/>
  <c r="X5" i="7"/>
  <c r="S5" i="7"/>
  <c r="U5" i="7" s="1"/>
  <c r="J5" i="7"/>
  <c r="M5" i="7" s="1"/>
  <c r="X4" i="7"/>
  <c r="S4" i="7"/>
  <c r="U4" i="7" s="1"/>
  <c r="J4" i="7"/>
  <c r="K219" i="6"/>
  <c r="K211" i="6"/>
  <c r="N20" i="9" s="1"/>
  <c r="K208" i="6"/>
  <c r="J203" i="6"/>
  <c r="M203" i="6" s="1"/>
  <c r="J202" i="6"/>
  <c r="M202" i="6" s="1"/>
  <c r="J201" i="6"/>
  <c r="M201" i="6" s="1"/>
  <c r="J200" i="6"/>
  <c r="M200" i="6" s="1"/>
  <c r="J199" i="6"/>
  <c r="M199" i="6" s="1"/>
  <c r="J198" i="6"/>
  <c r="M198" i="6" s="1"/>
  <c r="J197" i="6"/>
  <c r="M197" i="6" s="1"/>
  <c r="J196" i="6"/>
  <c r="M196" i="6" s="1"/>
  <c r="J195" i="6"/>
  <c r="M195" i="6" s="1"/>
  <c r="J194" i="6"/>
  <c r="M194" i="6" s="1"/>
  <c r="J193" i="6"/>
  <c r="J192" i="6"/>
  <c r="M192" i="6" s="1"/>
  <c r="J191" i="6"/>
  <c r="M191" i="6" s="1"/>
  <c r="J190" i="6"/>
  <c r="M190" i="6" s="1"/>
  <c r="J189" i="6"/>
  <c r="M189" i="6" s="1"/>
  <c r="J188" i="6"/>
  <c r="M188" i="6" s="1"/>
  <c r="J187" i="6"/>
  <c r="M187" i="6" s="1"/>
  <c r="J186" i="6"/>
  <c r="M186" i="6" s="1"/>
  <c r="J185" i="6"/>
  <c r="M185" i="6" s="1"/>
  <c r="J184" i="6"/>
  <c r="M184" i="6" s="1"/>
  <c r="J183" i="6"/>
  <c r="M183" i="6" s="1"/>
  <c r="J182" i="6"/>
  <c r="M182" i="6" s="1"/>
  <c r="J181" i="6"/>
  <c r="M181" i="6" s="1"/>
  <c r="J180" i="6"/>
  <c r="M180" i="6" s="1"/>
  <c r="J179" i="6"/>
  <c r="M179" i="6" s="1"/>
  <c r="J178" i="6"/>
  <c r="M178" i="6" s="1"/>
  <c r="J177" i="6"/>
  <c r="M177" i="6" s="1"/>
  <c r="J176" i="6"/>
  <c r="M176" i="6" s="1"/>
  <c r="J175" i="6"/>
  <c r="M175" i="6" s="1"/>
  <c r="J174" i="6"/>
  <c r="M174" i="6" s="1"/>
  <c r="J173" i="6"/>
  <c r="M173" i="6" s="1"/>
  <c r="J172" i="6"/>
  <c r="M172" i="6" s="1"/>
  <c r="J171" i="6"/>
  <c r="M171" i="6" s="1"/>
  <c r="J170" i="6"/>
  <c r="M170" i="6" s="1"/>
  <c r="J169" i="6"/>
  <c r="M169" i="6" s="1"/>
  <c r="J168" i="6"/>
  <c r="M168" i="6" s="1"/>
  <c r="J167" i="6"/>
  <c r="M167" i="6" s="1"/>
  <c r="J166" i="6"/>
  <c r="M166" i="6" s="1"/>
  <c r="J165" i="6"/>
  <c r="M165" i="6" s="1"/>
  <c r="J164" i="6"/>
  <c r="M164" i="6" s="1"/>
  <c r="J163" i="6"/>
  <c r="M163" i="6" s="1"/>
  <c r="J162" i="6"/>
  <c r="M162" i="6" s="1"/>
  <c r="J161" i="6"/>
  <c r="M161" i="6" s="1"/>
  <c r="J160" i="6"/>
  <c r="M160" i="6" s="1"/>
  <c r="J159" i="6"/>
  <c r="M159" i="6" s="1"/>
  <c r="J158" i="6"/>
  <c r="M158" i="6" s="1"/>
  <c r="J157" i="6"/>
  <c r="M157" i="6" s="1"/>
  <c r="J156" i="6"/>
  <c r="M156" i="6" s="1"/>
  <c r="J155" i="6"/>
  <c r="M155" i="6" s="1"/>
  <c r="J154" i="6"/>
  <c r="M154" i="6" s="1"/>
  <c r="J153" i="6"/>
  <c r="M153" i="6" s="1"/>
  <c r="J152" i="6"/>
  <c r="M152" i="6" s="1"/>
  <c r="J151" i="6"/>
  <c r="M151" i="6" s="1"/>
  <c r="J150" i="6"/>
  <c r="M150" i="6" s="1"/>
  <c r="J149" i="6"/>
  <c r="M149" i="6" s="1"/>
  <c r="J148" i="6"/>
  <c r="M148" i="6" s="1"/>
  <c r="J147" i="6"/>
  <c r="M147" i="6" s="1"/>
  <c r="J146" i="6"/>
  <c r="M146" i="6" s="1"/>
  <c r="J145" i="6"/>
  <c r="M145" i="6" s="1"/>
  <c r="J144" i="6"/>
  <c r="M144" i="6" s="1"/>
  <c r="J143" i="6"/>
  <c r="M143" i="6" s="1"/>
  <c r="J142" i="6"/>
  <c r="M142" i="6" s="1"/>
  <c r="J141" i="6"/>
  <c r="M141" i="6" s="1"/>
  <c r="J140" i="6"/>
  <c r="M140" i="6" s="1"/>
  <c r="J139" i="6"/>
  <c r="M139" i="6" s="1"/>
  <c r="J138" i="6"/>
  <c r="M138" i="6" s="1"/>
  <c r="J137" i="6"/>
  <c r="M137" i="6" s="1"/>
  <c r="J136" i="6"/>
  <c r="M136" i="6" s="1"/>
  <c r="J135" i="6"/>
  <c r="M135" i="6" s="1"/>
  <c r="J134" i="6"/>
  <c r="M134" i="6" s="1"/>
  <c r="J133" i="6"/>
  <c r="M133" i="6" s="1"/>
  <c r="J132" i="6"/>
  <c r="M132" i="6" s="1"/>
  <c r="J131" i="6"/>
  <c r="M131" i="6" s="1"/>
  <c r="J130" i="6"/>
  <c r="M130" i="6" s="1"/>
  <c r="J129" i="6"/>
  <c r="M129" i="6" s="1"/>
  <c r="J128" i="6"/>
  <c r="M128" i="6" s="1"/>
  <c r="J127" i="6"/>
  <c r="M127" i="6" s="1"/>
  <c r="J126" i="6"/>
  <c r="M126" i="6" s="1"/>
  <c r="J125" i="6"/>
  <c r="M125" i="6" s="1"/>
  <c r="J124" i="6"/>
  <c r="M124" i="6" s="1"/>
  <c r="J123" i="6"/>
  <c r="M123" i="6" s="1"/>
  <c r="J122" i="6"/>
  <c r="M122" i="6" s="1"/>
  <c r="J121" i="6"/>
  <c r="M121" i="6" s="1"/>
  <c r="J120" i="6"/>
  <c r="M120" i="6" s="1"/>
  <c r="J119" i="6"/>
  <c r="M119" i="6" s="1"/>
  <c r="J118" i="6"/>
  <c r="M118" i="6" s="1"/>
  <c r="J117" i="6"/>
  <c r="M117" i="6" s="1"/>
  <c r="J116" i="6"/>
  <c r="M116" i="6" s="1"/>
  <c r="J115" i="6"/>
  <c r="M115" i="6" s="1"/>
  <c r="J114" i="6"/>
  <c r="M114" i="6" s="1"/>
  <c r="J113" i="6"/>
  <c r="M113" i="6" s="1"/>
  <c r="J112" i="6"/>
  <c r="M112" i="6" s="1"/>
  <c r="J111" i="6"/>
  <c r="M111" i="6" s="1"/>
  <c r="J110" i="6"/>
  <c r="M110" i="6" s="1"/>
  <c r="J109" i="6"/>
  <c r="M109" i="6" s="1"/>
  <c r="J108" i="6"/>
  <c r="M108" i="6" s="1"/>
  <c r="J107" i="6"/>
  <c r="M107" i="6" s="1"/>
  <c r="J106" i="6"/>
  <c r="M106" i="6" s="1"/>
  <c r="J105" i="6"/>
  <c r="M105" i="6" s="1"/>
  <c r="Z104" i="6"/>
  <c r="J104" i="6"/>
  <c r="M104" i="6" s="1"/>
  <c r="X103" i="6"/>
  <c r="S103" i="6"/>
  <c r="U103" i="6" s="1"/>
  <c r="J103" i="6"/>
  <c r="M103" i="6" s="1"/>
  <c r="X102" i="6"/>
  <c r="U102" i="6"/>
  <c r="S102" i="6"/>
  <c r="J102" i="6"/>
  <c r="M102" i="6" s="1"/>
  <c r="X101" i="6"/>
  <c r="S101" i="6"/>
  <c r="U101" i="6" s="1"/>
  <c r="J101" i="6"/>
  <c r="M101" i="6" s="1"/>
  <c r="X100" i="6"/>
  <c r="U100" i="6"/>
  <c r="S100" i="6"/>
  <c r="J100" i="6"/>
  <c r="M100" i="6" s="1"/>
  <c r="X99" i="6"/>
  <c r="S99" i="6"/>
  <c r="U99" i="6" s="1"/>
  <c r="J99" i="6"/>
  <c r="M99" i="6" s="1"/>
  <c r="X98" i="6"/>
  <c r="S98" i="6"/>
  <c r="U98" i="6" s="1"/>
  <c r="J98" i="6"/>
  <c r="M98" i="6" s="1"/>
  <c r="X97" i="6"/>
  <c r="S97" i="6"/>
  <c r="U97" i="6" s="1"/>
  <c r="J97" i="6"/>
  <c r="M97" i="6" s="1"/>
  <c r="X96" i="6"/>
  <c r="U96" i="6"/>
  <c r="S96" i="6"/>
  <c r="J96" i="6"/>
  <c r="M96" i="6" s="1"/>
  <c r="X95" i="6"/>
  <c r="S95" i="6"/>
  <c r="U95" i="6" s="1"/>
  <c r="J95" i="6"/>
  <c r="M95" i="6" s="1"/>
  <c r="X94" i="6"/>
  <c r="S94" i="6"/>
  <c r="U94" i="6" s="1"/>
  <c r="J94" i="6"/>
  <c r="M94" i="6" s="1"/>
  <c r="X93" i="6"/>
  <c r="S93" i="6"/>
  <c r="U93" i="6" s="1"/>
  <c r="J93" i="6"/>
  <c r="M93" i="6" s="1"/>
  <c r="X92" i="6"/>
  <c r="S92" i="6"/>
  <c r="U92" i="6" s="1"/>
  <c r="J92" i="6"/>
  <c r="M92" i="6" s="1"/>
  <c r="X91" i="6"/>
  <c r="S91" i="6"/>
  <c r="U91" i="6" s="1"/>
  <c r="J91" i="6"/>
  <c r="M91" i="6" s="1"/>
  <c r="X90" i="6"/>
  <c r="S90" i="6"/>
  <c r="U90" i="6" s="1"/>
  <c r="J90" i="6"/>
  <c r="M90" i="6" s="1"/>
  <c r="X89" i="6"/>
  <c r="S89" i="6"/>
  <c r="U89" i="6" s="1"/>
  <c r="J89" i="6"/>
  <c r="M89" i="6" s="1"/>
  <c r="X88" i="6"/>
  <c r="S88" i="6"/>
  <c r="U88" i="6" s="1"/>
  <c r="J88" i="6"/>
  <c r="M88" i="6" s="1"/>
  <c r="X87" i="6"/>
  <c r="S87" i="6"/>
  <c r="U87" i="6" s="1"/>
  <c r="J87" i="6"/>
  <c r="X86" i="6"/>
  <c r="S86" i="6"/>
  <c r="U86" i="6" s="1"/>
  <c r="J86" i="6"/>
  <c r="M86" i="6" s="1"/>
  <c r="X85" i="6"/>
  <c r="S85" i="6"/>
  <c r="U85" i="6" s="1"/>
  <c r="J85" i="6"/>
  <c r="M85" i="6" s="1"/>
  <c r="X84" i="6"/>
  <c r="S84" i="6"/>
  <c r="U84" i="6" s="1"/>
  <c r="J84" i="6"/>
  <c r="M84" i="6" s="1"/>
  <c r="X83" i="6"/>
  <c r="S83" i="6"/>
  <c r="U83" i="6" s="1"/>
  <c r="J83" i="6"/>
  <c r="M83" i="6" s="1"/>
  <c r="X82" i="6"/>
  <c r="S82" i="6"/>
  <c r="U82" i="6" s="1"/>
  <c r="J82" i="6"/>
  <c r="M82" i="6" s="1"/>
  <c r="X81" i="6"/>
  <c r="S81" i="6"/>
  <c r="U81" i="6" s="1"/>
  <c r="J81" i="6"/>
  <c r="M81" i="6" s="1"/>
  <c r="X80" i="6"/>
  <c r="S80" i="6"/>
  <c r="U80" i="6" s="1"/>
  <c r="J80" i="6"/>
  <c r="M80" i="6" s="1"/>
  <c r="X79" i="6"/>
  <c r="S79" i="6"/>
  <c r="U79" i="6" s="1"/>
  <c r="J79" i="6"/>
  <c r="M79" i="6" s="1"/>
  <c r="X78" i="6"/>
  <c r="S78" i="6"/>
  <c r="U78" i="6" s="1"/>
  <c r="J78" i="6"/>
  <c r="X77" i="6"/>
  <c r="S77" i="6"/>
  <c r="U77" i="6" s="1"/>
  <c r="J77" i="6"/>
  <c r="M77" i="6" s="1"/>
  <c r="X76" i="6"/>
  <c r="S76" i="6"/>
  <c r="U76" i="6" s="1"/>
  <c r="J76" i="6"/>
  <c r="M76" i="6" s="1"/>
  <c r="X75" i="6"/>
  <c r="S75" i="6"/>
  <c r="U75" i="6" s="1"/>
  <c r="J75" i="6"/>
  <c r="M75" i="6" s="1"/>
  <c r="X74" i="6"/>
  <c r="S74" i="6"/>
  <c r="U74" i="6" s="1"/>
  <c r="J74" i="6"/>
  <c r="M74" i="6" s="1"/>
  <c r="X73" i="6"/>
  <c r="S73" i="6"/>
  <c r="U73" i="6" s="1"/>
  <c r="J73" i="6"/>
  <c r="M73" i="6" s="1"/>
  <c r="X72" i="6"/>
  <c r="S72" i="6"/>
  <c r="U72" i="6" s="1"/>
  <c r="J72" i="6"/>
  <c r="M72" i="6" s="1"/>
  <c r="X71" i="6"/>
  <c r="S71" i="6"/>
  <c r="U71" i="6" s="1"/>
  <c r="J71" i="6"/>
  <c r="M71" i="6" s="1"/>
  <c r="X70" i="6"/>
  <c r="S70" i="6"/>
  <c r="U70" i="6" s="1"/>
  <c r="J70" i="6"/>
  <c r="X69" i="6"/>
  <c r="U69" i="6"/>
  <c r="S69" i="6"/>
  <c r="J69" i="6"/>
  <c r="M69" i="6" s="1"/>
  <c r="X68" i="6"/>
  <c r="U68" i="6"/>
  <c r="S68" i="6"/>
  <c r="J68" i="6"/>
  <c r="M68" i="6" s="1"/>
  <c r="X67" i="6"/>
  <c r="S67" i="6"/>
  <c r="U67" i="6" s="1"/>
  <c r="J67" i="6"/>
  <c r="M67" i="6" s="1"/>
  <c r="X66" i="6"/>
  <c r="S66" i="6"/>
  <c r="U66" i="6" s="1"/>
  <c r="J66" i="6"/>
  <c r="M66" i="6" s="1"/>
  <c r="X65" i="6"/>
  <c r="S65" i="6"/>
  <c r="U65" i="6" s="1"/>
  <c r="J65" i="6"/>
  <c r="M65" i="6" s="1"/>
  <c r="X64" i="6"/>
  <c r="S64" i="6"/>
  <c r="U64" i="6" s="1"/>
  <c r="J64" i="6"/>
  <c r="M64" i="6" s="1"/>
  <c r="X63" i="6"/>
  <c r="S63" i="6"/>
  <c r="U63" i="6" s="1"/>
  <c r="J63" i="6"/>
  <c r="M63" i="6" s="1"/>
  <c r="X62" i="6"/>
  <c r="S62" i="6"/>
  <c r="U62" i="6" s="1"/>
  <c r="J62" i="6"/>
  <c r="M62" i="6" s="1"/>
  <c r="X61" i="6"/>
  <c r="S61" i="6"/>
  <c r="U61" i="6" s="1"/>
  <c r="J61" i="6"/>
  <c r="M61" i="6" s="1"/>
  <c r="X60" i="6"/>
  <c r="S60" i="6"/>
  <c r="U60" i="6" s="1"/>
  <c r="J60" i="6"/>
  <c r="M60" i="6" s="1"/>
  <c r="X59" i="6"/>
  <c r="S59" i="6"/>
  <c r="U59" i="6" s="1"/>
  <c r="J59" i="6"/>
  <c r="M59" i="6" s="1"/>
  <c r="X58" i="6"/>
  <c r="S58" i="6"/>
  <c r="U58" i="6" s="1"/>
  <c r="J58" i="6"/>
  <c r="M58" i="6" s="1"/>
  <c r="X57" i="6"/>
  <c r="S57" i="6"/>
  <c r="U57" i="6" s="1"/>
  <c r="J57" i="6"/>
  <c r="M57" i="6" s="1"/>
  <c r="X56" i="6"/>
  <c r="S56" i="6"/>
  <c r="U56" i="6" s="1"/>
  <c r="J56" i="6"/>
  <c r="M56" i="6" s="1"/>
  <c r="X55" i="6"/>
  <c r="S55" i="6"/>
  <c r="U55" i="6" s="1"/>
  <c r="J55" i="6"/>
  <c r="M55" i="6" s="1"/>
  <c r="X54" i="6"/>
  <c r="S54" i="6"/>
  <c r="U54" i="6" s="1"/>
  <c r="J54" i="6"/>
  <c r="M54" i="6" s="1"/>
  <c r="X53" i="6"/>
  <c r="S53" i="6"/>
  <c r="U53" i="6" s="1"/>
  <c r="J53" i="6"/>
  <c r="M53" i="6" s="1"/>
  <c r="X52" i="6"/>
  <c r="S52" i="6"/>
  <c r="U52" i="6" s="1"/>
  <c r="J52" i="6"/>
  <c r="M52" i="6" s="1"/>
  <c r="X51" i="6"/>
  <c r="S51" i="6"/>
  <c r="U51" i="6" s="1"/>
  <c r="J51" i="6"/>
  <c r="M51" i="6" s="1"/>
  <c r="X50" i="6"/>
  <c r="S50" i="6"/>
  <c r="U50" i="6" s="1"/>
  <c r="J50" i="6"/>
  <c r="M50" i="6" s="1"/>
  <c r="X49" i="6"/>
  <c r="S49" i="6"/>
  <c r="U49" i="6" s="1"/>
  <c r="J49" i="6"/>
  <c r="M49" i="6" s="1"/>
  <c r="X48" i="6"/>
  <c r="S48" i="6"/>
  <c r="U48" i="6" s="1"/>
  <c r="J48" i="6"/>
  <c r="M48" i="6" s="1"/>
  <c r="X47" i="6"/>
  <c r="S47" i="6"/>
  <c r="U47" i="6" s="1"/>
  <c r="J47" i="6"/>
  <c r="M47" i="6" s="1"/>
  <c r="X46" i="6"/>
  <c r="S46" i="6"/>
  <c r="U46" i="6" s="1"/>
  <c r="J46" i="6"/>
  <c r="M46" i="6" s="1"/>
  <c r="X45" i="6"/>
  <c r="S45" i="6"/>
  <c r="U45" i="6" s="1"/>
  <c r="J45" i="6"/>
  <c r="M45" i="6" s="1"/>
  <c r="X44" i="6"/>
  <c r="S44" i="6"/>
  <c r="U44" i="6" s="1"/>
  <c r="J44" i="6"/>
  <c r="M44" i="6" s="1"/>
  <c r="X43" i="6"/>
  <c r="S43" i="6"/>
  <c r="U43" i="6" s="1"/>
  <c r="J43" i="6"/>
  <c r="M43" i="6" s="1"/>
  <c r="X42" i="6"/>
  <c r="S42" i="6"/>
  <c r="U42" i="6" s="1"/>
  <c r="J42" i="6"/>
  <c r="M42" i="6" s="1"/>
  <c r="X41" i="6"/>
  <c r="S41" i="6"/>
  <c r="U41" i="6" s="1"/>
  <c r="J41" i="6"/>
  <c r="M41" i="6" s="1"/>
  <c r="X40" i="6"/>
  <c r="S40" i="6"/>
  <c r="U40" i="6" s="1"/>
  <c r="J40" i="6"/>
  <c r="M40" i="6" s="1"/>
  <c r="X39" i="6"/>
  <c r="S39" i="6"/>
  <c r="U39" i="6" s="1"/>
  <c r="J39" i="6"/>
  <c r="X38" i="6"/>
  <c r="S38" i="6"/>
  <c r="U38" i="6" s="1"/>
  <c r="J38" i="6"/>
  <c r="M38" i="6" s="1"/>
  <c r="X37" i="6"/>
  <c r="S37" i="6"/>
  <c r="U37" i="6" s="1"/>
  <c r="J37" i="6"/>
  <c r="M37" i="6" s="1"/>
  <c r="X36" i="6"/>
  <c r="S36" i="6"/>
  <c r="U36" i="6" s="1"/>
  <c r="J36" i="6"/>
  <c r="M36" i="6" s="1"/>
  <c r="X35" i="6"/>
  <c r="S35" i="6"/>
  <c r="U35" i="6" s="1"/>
  <c r="J35" i="6"/>
  <c r="M35" i="6" s="1"/>
  <c r="X34" i="6"/>
  <c r="S34" i="6"/>
  <c r="U34" i="6" s="1"/>
  <c r="J34" i="6"/>
  <c r="X33" i="6"/>
  <c r="S33" i="6"/>
  <c r="U33" i="6" s="1"/>
  <c r="J33" i="6"/>
  <c r="M33" i="6" s="1"/>
  <c r="X32" i="6"/>
  <c r="S32" i="6"/>
  <c r="U32" i="6" s="1"/>
  <c r="J32" i="6"/>
  <c r="X31" i="6"/>
  <c r="S31" i="6"/>
  <c r="U31" i="6" s="1"/>
  <c r="J31" i="6"/>
  <c r="M31" i="6" s="1"/>
  <c r="X30" i="6"/>
  <c r="S30" i="6"/>
  <c r="U30" i="6" s="1"/>
  <c r="J30" i="6"/>
  <c r="M30" i="6" s="1"/>
  <c r="X29" i="6"/>
  <c r="S29" i="6"/>
  <c r="U29" i="6" s="1"/>
  <c r="J29" i="6"/>
  <c r="M29" i="6" s="1"/>
  <c r="X28" i="6"/>
  <c r="S28" i="6"/>
  <c r="U28" i="6" s="1"/>
  <c r="J28" i="6"/>
  <c r="M28" i="6" s="1"/>
  <c r="X27" i="6"/>
  <c r="S27" i="6"/>
  <c r="U27" i="6" s="1"/>
  <c r="J27" i="6"/>
  <c r="M27" i="6" s="1"/>
  <c r="X26" i="6"/>
  <c r="S26" i="6"/>
  <c r="U26" i="6" s="1"/>
  <c r="J26" i="6"/>
  <c r="M26" i="6" s="1"/>
  <c r="X25" i="6"/>
  <c r="S25" i="6"/>
  <c r="U25" i="6" s="1"/>
  <c r="J25" i="6"/>
  <c r="X24" i="6"/>
  <c r="S24" i="6"/>
  <c r="U24" i="6" s="1"/>
  <c r="J24" i="6"/>
  <c r="M24" i="6" s="1"/>
  <c r="X23" i="6"/>
  <c r="S23" i="6"/>
  <c r="U23" i="6" s="1"/>
  <c r="J23" i="6"/>
  <c r="X22" i="6"/>
  <c r="S22" i="6"/>
  <c r="U22" i="6" s="1"/>
  <c r="J22" i="6"/>
  <c r="X21" i="6"/>
  <c r="S21" i="6"/>
  <c r="U21" i="6" s="1"/>
  <c r="J21" i="6"/>
  <c r="M21" i="6" s="1"/>
  <c r="X20" i="6"/>
  <c r="S20" i="6"/>
  <c r="U20" i="6" s="1"/>
  <c r="J20" i="6"/>
  <c r="M20" i="6" s="1"/>
  <c r="X19" i="6"/>
  <c r="S19" i="6"/>
  <c r="U19" i="6" s="1"/>
  <c r="J19" i="6"/>
  <c r="M19" i="6" s="1"/>
  <c r="X18" i="6"/>
  <c r="S18" i="6"/>
  <c r="U18" i="6" s="1"/>
  <c r="J18" i="6"/>
  <c r="X17" i="6"/>
  <c r="S17" i="6"/>
  <c r="U17" i="6" s="1"/>
  <c r="J17" i="6"/>
  <c r="M17" i="6" s="1"/>
  <c r="X16" i="6"/>
  <c r="S16" i="6"/>
  <c r="U16" i="6" s="1"/>
  <c r="J16" i="6"/>
  <c r="M16" i="6" s="1"/>
  <c r="X15" i="6"/>
  <c r="S15" i="6"/>
  <c r="U15" i="6" s="1"/>
  <c r="J15" i="6"/>
  <c r="M15" i="6" s="1"/>
  <c r="X14" i="6"/>
  <c r="S14" i="6"/>
  <c r="U14" i="6" s="1"/>
  <c r="J14" i="6"/>
  <c r="M14" i="6" s="1"/>
  <c r="X13" i="6"/>
  <c r="S13" i="6"/>
  <c r="U13" i="6" s="1"/>
  <c r="J13" i="6"/>
  <c r="M13" i="6" s="1"/>
  <c r="X12" i="6"/>
  <c r="S12" i="6"/>
  <c r="U12" i="6" s="1"/>
  <c r="J12" i="6"/>
  <c r="M12" i="6" s="1"/>
  <c r="X11" i="6"/>
  <c r="S11" i="6"/>
  <c r="U11" i="6" s="1"/>
  <c r="J11" i="6"/>
  <c r="M11" i="6" s="1"/>
  <c r="X10" i="6"/>
  <c r="S10" i="6"/>
  <c r="U10" i="6" s="1"/>
  <c r="J10" i="6"/>
  <c r="M10" i="6" s="1"/>
  <c r="X9" i="6"/>
  <c r="S9" i="6"/>
  <c r="U9" i="6" s="1"/>
  <c r="J9" i="6"/>
  <c r="M9" i="6" s="1"/>
  <c r="X8" i="6"/>
  <c r="S8" i="6"/>
  <c r="U8" i="6" s="1"/>
  <c r="J8" i="6"/>
  <c r="M8" i="6" s="1"/>
  <c r="X7" i="6"/>
  <c r="S7" i="6"/>
  <c r="U7" i="6" s="1"/>
  <c r="J7" i="6"/>
  <c r="M7" i="6" s="1"/>
  <c r="X6" i="6"/>
  <c r="S6" i="6"/>
  <c r="U6" i="6" s="1"/>
  <c r="J6" i="6"/>
  <c r="M6" i="6" s="1"/>
  <c r="X5" i="6"/>
  <c r="S5" i="6"/>
  <c r="U5" i="6" s="1"/>
  <c r="J5" i="6"/>
  <c r="X4" i="6"/>
  <c r="S4" i="6"/>
  <c r="U4" i="6" s="1"/>
  <c r="J4" i="6"/>
  <c r="M4" i="6" s="1"/>
  <c r="K219" i="5"/>
  <c r="K211" i="5"/>
  <c r="N19" i="9" s="1"/>
  <c r="K208" i="5"/>
  <c r="J203" i="5"/>
  <c r="M203" i="5" s="1"/>
  <c r="J202" i="5"/>
  <c r="M202" i="5" s="1"/>
  <c r="J201" i="5"/>
  <c r="M201" i="5" s="1"/>
  <c r="J200" i="5"/>
  <c r="M200" i="5" s="1"/>
  <c r="J199" i="5"/>
  <c r="M199" i="5" s="1"/>
  <c r="J198" i="5"/>
  <c r="M198" i="5" s="1"/>
  <c r="J197" i="5"/>
  <c r="M197" i="5" s="1"/>
  <c r="J196" i="5"/>
  <c r="M196" i="5" s="1"/>
  <c r="J195" i="5"/>
  <c r="M195" i="5" s="1"/>
  <c r="J194" i="5"/>
  <c r="M194" i="5" s="1"/>
  <c r="J193" i="5"/>
  <c r="M193" i="5" s="1"/>
  <c r="J192" i="5"/>
  <c r="M192" i="5" s="1"/>
  <c r="J191" i="5"/>
  <c r="M191" i="5" s="1"/>
  <c r="J190" i="5"/>
  <c r="M190" i="5" s="1"/>
  <c r="J189" i="5"/>
  <c r="M189" i="5" s="1"/>
  <c r="J188" i="5"/>
  <c r="M188" i="5" s="1"/>
  <c r="J187" i="5"/>
  <c r="M187" i="5" s="1"/>
  <c r="J186" i="5"/>
  <c r="M186" i="5" s="1"/>
  <c r="J185" i="5"/>
  <c r="M185" i="5" s="1"/>
  <c r="J184" i="5"/>
  <c r="M184" i="5" s="1"/>
  <c r="J183" i="5"/>
  <c r="M183" i="5" s="1"/>
  <c r="J182" i="5"/>
  <c r="M182" i="5" s="1"/>
  <c r="J181" i="5"/>
  <c r="M181" i="5" s="1"/>
  <c r="J180" i="5"/>
  <c r="M180" i="5" s="1"/>
  <c r="J179" i="5"/>
  <c r="M179" i="5" s="1"/>
  <c r="J178" i="5"/>
  <c r="M178" i="5" s="1"/>
  <c r="J177" i="5"/>
  <c r="M177" i="5" s="1"/>
  <c r="J176" i="5"/>
  <c r="J175" i="5"/>
  <c r="J174" i="5"/>
  <c r="M174" i="5" s="1"/>
  <c r="J173" i="5"/>
  <c r="M173" i="5" s="1"/>
  <c r="J172" i="5"/>
  <c r="M172" i="5" s="1"/>
  <c r="J171" i="5"/>
  <c r="M171" i="5" s="1"/>
  <c r="J170" i="5"/>
  <c r="M170" i="5" s="1"/>
  <c r="J169" i="5"/>
  <c r="M169" i="5" s="1"/>
  <c r="J168" i="5"/>
  <c r="M168" i="5" s="1"/>
  <c r="J167" i="5"/>
  <c r="M167" i="5" s="1"/>
  <c r="J166" i="5"/>
  <c r="M166" i="5" s="1"/>
  <c r="J165" i="5"/>
  <c r="M165" i="5" s="1"/>
  <c r="J164" i="5"/>
  <c r="M164" i="5" s="1"/>
  <c r="J163" i="5"/>
  <c r="M163" i="5" s="1"/>
  <c r="J162" i="5"/>
  <c r="J161" i="5"/>
  <c r="M161" i="5" s="1"/>
  <c r="J160" i="5"/>
  <c r="M160" i="5" s="1"/>
  <c r="J159" i="5"/>
  <c r="M159" i="5" s="1"/>
  <c r="J158" i="5"/>
  <c r="M158" i="5" s="1"/>
  <c r="J157" i="5"/>
  <c r="M157" i="5" s="1"/>
  <c r="J156" i="5"/>
  <c r="M156" i="5" s="1"/>
  <c r="J155" i="5"/>
  <c r="M155" i="5" s="1"/>
  <c r="J154" i="5"/>
  <c r="M154" i="5" s="1"/>
  <c r="J153" i="5"/>
  <c r="M153" i="5" s="1"/>
  <c r="J152" i="5"/>
  <c r="M152" i="5" s="1"/>
  <c r="J151" i="5"/>
  <c r="M151" i="5" s="1"/>
  <c r="J150" i="5"/>
  <c r="M150" i="5" s="1"/>
  <c r="J149" i="5"/>
  <c r="M149" i="5" s="1"/>
  <c r="J148" i="5"/>
  <c r="M148" i="5" s="1"/>
  <c r="J147" i="5"/>
  <c r="M147" i="5" s="1"/>
  <c r="J146" i="5"/>
  <c r="M146" i="5" s="1"/>
  <c r="J145" i="5"/>
  <c r="M145" i="5" s="1"/>
  <c r="J144" i="5"/>
  <c r="M144" i="5" s="1"/>
  <c r="J143" i="5"/>
  <c r="M143" i="5" s="1"/>
  <c r="J142" i="5"/>
  <c r="M142" i="5" s="1"/>
  <c r="J141" i="5"/>
  <c r="M141" i="5" s="1"/>
  <c r="J140" i="5"/>
  <c r="M140" i="5" s="1"/>
  <c r="J139" i="5"/>
  <c r="M139" i="5" s="1"/>
  <c r="J138" i="5"/>
  <c r="M138" i="5" s="1"/>
  <c r="J137" i="5"/>
  <c r="M137" i="5" s="1"/>
  <c r="J136" i="5"/>
  <c r="M136" i="5" s="1"/>
  <c r="J135" i="5"/>
  <c r="M135" i="5" s="1"/>
  <c r="J134" i="5"/>
  <c r="M134" i="5" s="1"/>
  <c r="J133" i="5"/>
  <c r="M133" i="5" s="1"/>
  <c r="J132" i="5"/>
  <c r="M132" i="5" s="1"/>
  <c r="J131" i="5"/>
  <c r="M131" i="5" s="1"/>
  <c r="J130" i="5"/>
  <c r="M130" i="5" s="1"/>
  <c r="J129" i="5"/>
  <c r="M129" i="5" s="1"/>
  <c r="J128" i="5"/>
  <c r="M128" i="5" s="1"/>
  <c r="J127" i="5"/>
  <c r="M127" i="5" s="1"/>
  <c r="J126" i="5"/>
  <c r="M126" i="5" s="1"/>
  <c r="J125" i="5"/>
  <c r="M125" i="5" s="1"/>
  <c r="J124" i="5"/>
  <c r="M124" i="5" s="1"/>
  <c r="J123" i="5"/>
  <c r="M123" i="5" s="1"/>
  <c r="J122" i="5"/>
  <c r="M122" i="5" s="1"/>
  <c r="J121" i="5"/>
  <c r="M121" i="5" s="1"/>
  <c r="J120" i="5"/>
  <c r="M120" i="5" s="1"/>
  <c r="J119" i="5"/>
  <c r="M119" i="5" s="1"/>
  <c r="J118" i="5"/>
  <c r="M118" i="5" s="1"/>
  <c r="J117" i="5"/>
  <c r="M117" i="5" s="1"/>
  <c r="J116" i="5"/>
  <c r="M116" i="5" s="1"/>
  <c r="J115" i="5"/>
  <c r="M115" i="5" s="1"/>
  <c r="J114" i="5"/>
  <c r="M114" i="5" s="1"/>
  <c r="J113" i="5"/>
  <c r="M113" i="5" s="1"/>
  <c r="J112" i="5"/>
  <c r="M112" i="5" s="1"/>
  <c r="J111" i="5"/>
  <c r="M111" i="5" s="1"/>
  <c r="J110" i="5"/>
  <c r="M110" i="5" s="1"/>
  <c r="J109" i="5"/>
  <c r="J108" i="5"/>
  <c r="M108" i="5" s="1"/>
  <c r="J107" i="5"/>
  <c r="M107" i="5" s="1"/>
  <c r="J106" i="5"/>
  <c r="M106" i="5" s="1"/>
  <c r="J105" i="5"/>
  <c r="M105" i="5" s="1"/>
  <c r="Z104" i="5"/>
  <c r="J104" i="5"/>
  <c r="M104" i="5" s="1"/>
  <c r="X103" i="5"/>
  <c r="S103" i="5"/>
  <c r="U103" i="5" s="1"/>
  <c r="J103" i="5"/>
  <c r="M103" i="5" s="1"/>
  <c r="X102" i="5"/>
  <c r="S102" i="5"/>
  <c r="U102" i="5" s="1"/>
  <c r="J102" i="5"/>
  <c r="M102" i="5" s="1"/>
  <c r="X101" i="5"/>
  <c r="S101" i="5"/>
  <c r="U101" i="5" s="1"/>
  <c r="J101" i="5"/>
  <c r="M101" i="5" s="1"/>
  <c r="X100" i="5"/>
  <c r="S100" i="5"/>
  <c r="U100" i="5" s="1"/>
  <c r="J100" i="5"/>
  <c r="M100" i="5" s="1"/>
  <c r="X99" i="5"/>
  <c r="S99" i="5"/>
  <c r="U99" i="5" s="1"/>
  <c r="J99" i="5"/>
  <c r="M99" i="5" s="1"/>
  <c r="X98" i="5"/>
  <c r="S98" i="5"/>
  <c r="U98" i="5" s="1"/>
  <c r="J98" i="5"/>
  <c r="M98" i="5" s="1"/>
  <c r="X97" i="5"/>
  <c r="S97" i="5"/>
  <c r="U97" i="5" s="1"/>
  <c r="J97" i="5"/>
  <c r="M97" i="5" s="1"/>
  <c r="X96" i="5"/>
  <c r="S96" i="5"/>
  <c r="U96" i="5" s="1"/>
  <c r="J96" i="5"/>
  <c r="M96" i="5" s="1"/>
  <c r="X95" i="5"/>
  <c r="S95" i="5"/>
  <c r="U95" i="5" s="1"/>
  <c r="J95" i="5"/>
  <c r="M95" i="5" s="1"/>
  <c r="X94" i="5"/>
  <c r="S94" i="5"/>
  <c r="U94" i="5" s="1"/>
  <c r="J94" i="5"/>
  <c r="M94" i="5" s="1"/>
  <c r="X93" i="5"/>
  <c r="S93" i="5"/>
  <c r="U93" i="5" s="1"/>
  <c r="J93" i="5"/>
  <c r="M93" i="5" s="1"/>
  <c r="X92" i="5"/>
  <c r="S92" i="5"/>
  <c r="U92" i="5" s="1"/>
  <c r="J92" i="5"/>
  <c r="M92" i="5" s="1"/>
  <c r="X91" i="5"/>
  <c r="S91" i="5"/>
  <c r="U91" i="5" s="1"/>
  <c r="J91" i="5"/>
  <c r="M91" i="5" s="1"/>
  <c r="X90" i="5"/>
  <c r="S90" i="5"/>
  <c r="U90" i="5" s="1"/>
  <c r="J90" i="5"/>
  <c r="M90" i="5" s="1"/>
  <c r="X89" i="5"/>
  <c r="S89" i="5"/>
  <c r="U89" i="5" s="1"/>
  <c r="J89" i="5"/>
  <c r="M89" i="5" s="1"/>
  <c r="X88" i="5"/>
  <c r="S88" i="5"/>
  <c r="U88" i="5" s="1"/>
  <c r="J88" i="5"/>
  <c r="M88" i="5" s="1"/>
  <c r="X87" i="5"/>
  <c r="S87" i="5"/>
  <c r="U87" i="5" s="1"/>
  <c r="J87" i="5"/>
  <c r="M87" i="5" s="1"/>
  <c r="X86" i="5"/>
  <c r="S86" i="5"/>
  <c r="U86" i="5" s="1"/>
  <c r="J86" i="5"/>
  <c r="M86" i="5" s="1"/>
  <c r="X85" i="5"/>
  <c r="S85" i="5"/>
  <c r="U85" i="5" s="1"/>
  <c r="J85" i="5"/>
  <c r="X84" i="5"/>
  <c r="S84" i="5"/>
  <c r="U84" i="5" s="1"/>
  <c r="J84" i="5"/>
  <c r="M84" i="5" s="1"/>
  <c r="X83" i="5"/>
  <c r="S83" i="5"/>
  <c r="U83" i="5" s="1"/>
  <c r="J83" i="5"/>
  <c r="M83" i="5" s="1"/>
  <c r="X82" i="5"/>
  <c r="S82" i="5"/>
  <c r="U82" i="5" s="1"/>
  <c r="J82" i="5"/>
  <c r="M82" i="5" s="1"/>
  <c r="X81" i="5"/>
  <c r="S81" i="5"/>
  <c r="U81" i="5" s="1"/>
  <c r="J81" i="5"/>
  <c r="M81" i="5" s="1"/>
  <c r="X80" i="5"/>
  <c r="S80" i="5"/>
  <c r="U80" i="5" s="1"/>
  <c r="J80" i="5"/>
  <c r="M80" i="5" s="1"/>
  <c r="X79" i="5"/>
  <c r="S79" i="5"/>
  <c r="U79" i="5" s="1"/>
  <c r="J79" i="5"/>
  <c r="M79" i="5" s="1"/>
  <c r="X78" i="5"/>
  <c r="S78" i="5"/>
  <c r="U78" i="5" s="1"/>
  <c r="J78" i="5"/>
  <c r="M78" i="5" s="1"/>
  <c r="X77" i="5"/>
  <c r="S77" i="5"/>
  <c r="U77" i="5" s="1"/>
  <c r="J77" i="5"/>
  <c r="M77" i="5" s="1"/>
  <c r="X76" i="5"/>
  <c r="S76" i="5"/>
  <c r="U76" i="5" s="1"/>
  <c r="J76" i="5"/>
  <c r="M76" i="5" s="1"/>
  <c r="X75" i="5"/>
  <c r="S75" i="5"/>
  <c r="U75" i="5" s="1"/>
  <c r="J75" i="5"/>
  <c r="M75" i="5" s="1"/>
  <c r="X74" i="5"/>
  <c r="S74" i="5"/>
  <c r="U74" i="5" s="1"/>
  <c r="J74" i="5"/>
  <c r="M74" i="5" s="1"/>
  <c r="X73" i="5"/>
  <c r="S73" i="5"/>
  <c r="U73" i="5" s="1"/>
  <c r="J73" i="5"/>
  <c r="M73" i="5" s="1"/>
  <c r="X72" i="5"/>
  <c r="S72" i="5"/>
  <c r="U72" i="5" s="1"/>
  <c r="J72" i="5"/>
  <c r="M72" i="5" s="1"/>
  <c r="X71" i="5"/>
  <c r="S71" i="5"/>
  <c r="U71" i="5" s="1"/>
  <c r="J71" i="5"/>
  <c r="M71" i="5" s="1"/>
  <c r="X70" i="5"/>
  <c r="S70" i="5"/>
  <c r="U70" i="5" s="1"/>
  <c r="J70" i="5"/>
  <c r="M70" i="5" s="1"/>
  <c r="X69" i="5"/>
  <c r="S69" i="5"/>
  <c r="U69" i="5" s="1"/>
  <c r="J69" i="5"/>
  <c r="M69" i="5" s="1"/>
  <c r="X68" i="5"/>
  <c r="S68" i="5"/>
  <c r="U68" i="5" s="1"/>
  <c r="J68" i="5"/>
  <c r="M68" i="5" s="1"/>
  <c r="X67" i="5"/>
  <c r="S67" i="5"/>
  <c r="U67" i="5" s="1"/>
  <c r="J67" i="5"/>
  <c r="M67" i="5" s="1"/>
  <c r="X66" i="5"/>
  <c r="S66" i="5"/>
  <c r="U66" i="5" s="1"/>
  <c r="J66" i="5"/>
  <c r="M66" i="5" s="1"/>
  <c r="X65" i="5"/>
  <c r="S65" i="5"/>
  <c r="U65" i="5" s="1"/>
  <c r="J65" i="5"/>
  <c r="M65" i="5" s="1"/>
  <c r="X64" i="5"/>
  <c r="S64" i="5"/>
  <c r="U64" i="5" s="1"/>
  <c r="J64" i="5"/>
  <c r="M64" i="5" s="1"/>
  <c r="X63" i="5"/>
  <c r="S63" i="5"/>
  <c r="U63" i="5" s="1"/>
  <c r="J63" i="5"/>
  <c r="M63" i="5" s="1"/>
  <c r="X62" i="5"/>
  <c r="S62" i="5"/>
  <c r="U62" i="5" s="1"/>
  <c r="J62" i="5"/>
  <c r="M62" i="5" s="1"/>
  <c r="X61" i="5"/>
  <c r="S61" i="5"/>
  <c r="U61" i="5" s="1"/>
  <c r="J61" i="5"/>
  <c r="M61" i="5" s="1"/>
  <c r="X60" i="5"/>
  <c r="S60" i="5"/>
  <c r="U60" i="5" s="1"/>
  <c r="J60" i="5"/>
  <c r="M60" i="5" s="1"/>
  <c r="X59" i="5"/>
  <c r="S59" i="5"/>
  <c r="U59" i="5" s="1"/>
  <c r="J59" i="5"/>
  <c r="M59" i="5" s="1"/>
  <c r="X58" i="5"/>
  <c r="S58" i="5"/>
  <c r="U58" i="5" s="1"/>
  <c r="J58" i="5"/>
  <c r="M58" i="5" s="1"/>
  <c r="X57" i="5"/>
  <c r="S57" i="5"/>
  <c r="U57" i="5" s="1"/>
  <c r="J57" i="5"/>
  <c r="M57" i="5" s="1"/>
  <c r="X56" i="5"/>
  <c r="S56" i="5"/>
  <c r="U56" i="5" s="1"/>
  <c r="J56" i="5"/>
  <c r="M56" i="5" s="1"/>
  <c r="X55" i="5"/>
  <c r="S55" i="5"/>
  <c r="U55" i="5" s="1"/>
  <c r="J55" i="5"/>
  <c r="M55" i="5" s="1"/>
  <c r="X54" i="5"/>
  <c r="S54" i="5"/>
  <c r="U54" i="5" s="1"/>
  <c r="J54" i="5"/>
  <c r="M54" i="5" s="1"/>
  <c r="X53" i="5"/>
  <c r="S53" i="5"/>
  <c r="U53" i="5" s="1"/>
  <c r="J53" i="5"/>
  <c r="X52" i="5"/>
  <c r="S52" i="5"/>
  <c r="U52" i="5" s="1"/>
  <c r="J52" i="5"/>
  <c r="M52" i="5" s="1"/>
  <c r="X51" i="5"/>
  <c r="S51" i="5"/>
  <c r="U51" i="5" s="1"/>
  <c r="J51" i="5"/>
  <c r="M51" i="5" s="1"/>
  <c r="X50" i="5"/>
  <c r="S50" i="5"/>
  <c r="U50" i="5" s="1"/>
  <c r="J50" i="5"/>
  <c r="M50" i="5" s="1"/>
  <c r="X49" i="5"/>
  <c r="S49" i="5"/>
  <c r="U49" i="5" s="1"/>
  <c r="J49" i="5"/>
  <c r="M49" i="5" s="1"/>
  <c r="X48" i="5"/>
  <c r="S48" i="5"/>
  <c r="U48" i="5" s="1"/>
  <c r="J48" i="5"/>
  <c r="M48" i="5" s="1"/>
  <c r="X47" i="5"/>
  <c r="U47" i="5"/>
  <c r="S47" i="5"/>
  <c r="J47" i="5"/>
  <c r="X46" i="5"/>
  <c r="S46" i="5"/>
  <c r="U46" i="5" s="1"/>
  <c r="J46" i="5"/>
  <c r="M46" i="5" s="1"/>
  <c r="X45" i="5"/>
  <c r="S45" i="5"/>
  <c r="U45" i="5" s="1"/>
  <c r="J45" i="5"/>
  <c r="M45" i="5" s="1"/>
  <c r="X44" i="5"/>
  <c r="S44" i="5"/>
  <c r="U44" i="5" s="1"/>
  <c r="J44" i="5"/>
  <c r="M44" i="5" s="1"/>
  <c r="X43" i="5"/>
  <c r="S43" i="5"/>
  <c r="U43" i="5" s="1"/>
  <c r="J43" i="5"/>
  <c r="M43" i="5" s="1"/>
  <c r="X42" i="5"/>
  <c r="S42" i="5"/>
  <c r="U42" i="5" s="1"/>
  <c r="J42" i="5"/>
  <c r="M42" i="5" s="1"/>
  <c r="X41" i="5"/>
  <c r="S41" i="5"/>
  <c r="U41" i="5" s="1"/>
  <c r="J41" i="5"/>
  <c r="M41" i="5" s="1"/>
  <c r="X40" i="5"/>
  <c r="U40" i="5"/>
  <c r="S40" i="5"/>
  <c r="J40" i="5"/>
  <c r="M40" i="5" s="1"/>
  <c r="X39" i="5"/>
  <c r="S39" i="5"/>
  <c r="U39" i="5" s="1"/>
  <c r="J39" i="5"/>
  <c r="M39" i="5" s="1"/>
  <c r="X38" i="5"/>
  <c r="S38" i="5"/>
  <c r="U38" i="5" s="1"/>
  <c r="J38" i="5"/>
  <c r="M38" i="5" s="1"/>
  <c r="X37" i="5"/>
  <c r="S37" i="5"/>
  <c r="U37" i="5" s="1"/>
  <c r="J37" i="5"/>
  <c r="M37" i="5" s="1"/>
  <c r="X36" i="5"/>
  <c r="S36" i="5"/>
  <c r="U36" i="5" s="1"/>
  <c r="J36" i="5"/>
  <c r="M36" i="5" s="1"/>
  <c r="X35" i="5"/>
  <c r="S35" i="5"/>
  <c r="U35" i="5" s="1"/>
  <c r="J35" i="5"/>
  <c r="M35" i="5" s="1"/>
  <c r="X34" i="5"/>
  <c r="S34" i="5"/>
  <c r="U34" i="5" s="1"/>
  <c r="J34" i="5"/>
  <c r="M34" i="5" s="1"/>
  <c r="X33" i="5"/>
  <c r="S33" i="5"/>
  <c r="U33" i="5" s="1"/>
  <c r="J33" i="5"/>
  <c r="M33" i="5" s="1"/>
  <c r="X32" i="5"/>
  <c r="S32" i="5"/>
  <c r="U32" i="5" s="1"/>
  <c r="J32" i="5"/>
  <c r="M32" i="5" s="1"/>
  <c r="X31" i="5"/>
  <c r="S31" i="5"/>
  <c r="U31" i="5" s="1"/>
  <c r="J31" i="5"/>
  <c r="M31" i="5" s="1"/>
  <c r="X30" i="5"/>
  <c r="S30" i="5"/>
  <c r="U30" i="5" s="1"/>
  <c r="J30" i="5"/>
  <c r="M30" i="5" s="1"/>
  <c r="X29" i="5"/>
  <c r="S29" i="5"/>
  <c r="U29" i="5" s="1"/>
  <c r="J29" i="5"/>
  <c r="M29" i="5" s="1"/>
  <c r="X28" i="5"/>
  <c r="S28" i="5"/>
  <c r="U28" i="5" s="1"/>
  <c r="J28" i="5"/>
  <c r="X27" i="5"/>
  <c r="S27" i="5"/>
  <c r="U27" i="5" s="1"/>
  <c r="J27" i="5"/>
  <c r="M27" i="5" s="1"/>
  <c r="X26" i="5"/>
  <c r="U26" i="5"/>
  <c r="S26" i="5"/>
  <c r="J26" i="5"/>
  <c r="M26" i="5" s="1"/>
  <c r="X25" i="5"/>
  <c r="S25" i="5"/>
  <c r="U25" i="5" s="1"/>
  <c r="J25" i="5"/>
  <c r="M25" i="5" s="1"/>
  <c r="X24" i="5"/>
  <c r="S24" i="5"/>
  <c r="U24" i="5" s="1"/>
  <c r="J24" i="5"/>
  <c r="M24" i="5" s="1"/>
  <c r="X23" i="5"/>
  <c r="S23" i="5"/>
  <c r="U23" i="5" s="1"/>
  <c r="J23" i="5"/>
  <c r="M23" i="5" s="1"/>
  <c r="X22" i="5"/>
  <c r="S22" i="5"/>
  <c r="U22" i="5" s="1"/>
  <c r="J22" i="5"/>
  <c r="X21" i="5"/>
  <c r="S21" i="5"/>
  <c r="U21" i="5" s="1"/>
  <c r="J21" i="5"/>
  <c r="M21" i="5" s="1"/>
  <c r="X20" i="5"/>
  <c r="S20" i="5"/>
  <c r="U20" i="5" s="1"/>
  <c r="J20" i="5"/>
  <c r="M20" i="5" s="1"/>
  <c r="X19" i="5"/>
  <c r="S19" i="5"/>
  <c r="U19" i="5" s="1"/>
  <c r="J19" i="5"/>
  <c r="M19" i="5" s="1"/>
  <c r="X18" i="5"/>
  <c r="S18" i="5"/>
  <c r="U18" i="5" s="1"/>
  <c r="J18" i="5"/>
  <c r="M18" i="5" s="1"/>
  <c r="X17" i="5"/>
  <c r="S17" i="5"/>
  <c r="U17" i="5" s="1"/>
  <c r="J17" i="5"/>
  <c r="M17" i="5" s="1"/>
  <c r="X16" i="5"/>
  <c r="S16" i="5"/>
  <c r="U16" i="5" s="1"/>
  <c r="J16" i="5"/>
  <c r="M16" i="5" s="1"/>
  <c r="X15" i="5"/>
  <c r="S15" i="5"/>
  <c r="U15" i="5" s="1"/>
  <c r="J15" i="5"/>
  <c r="M15" i="5" s="1"/>
  <c r="X14" i="5"/>
  <c r="S14" i="5"/>
  <c r="U14" i="5" s="1"/>
  <c r="J14" i="5"/>
  <c r="M14" i="5" s="1"/>
  <c r="X13" i="5"/>
  <c r="S13" i="5"/>
  <c r="U13" i="5" s="1"/>
  <c r="J13" i="5"/>
  <c r="M13" i="5" s="1"/>
  <c r="X12" i="5"/>
  <c r="S12" i="5"/>
  <c r="U12" i="5" s="1"/>
  <c r="J12" i="5"/>
  <c r="M12" i="5" s="1"/>
  <c r="X11" i="5"/>
  <c r="S11" i="5"/>
  <c r="U11" i="5" s="1"/>
  <c r="J11" i="5"/>
  <c r="M11" i="5" s="1"/>
  <c r="X10" i="5"/>
  <c r="S10" i="5"/>
  <c r="U10" i="5" s="1"/>
  <c r="J10" i="5"/>
  <c r="M10" i="5" s="1"/>
  <c r="X9" i="5"/>
  <c r="S9" i="5"/>
  <c r="U9" i="5" s="1"/>
  <c r="J9" i="5"/>
  <c r="M9" i="5" s="1"/>
  <c r="X8" i="5"/>
  <c r="S8" i="5"/>
  <c r="U8" i="5" s="1"/>
  <c r="J8" i="5"/>
  <c r="M8" i="5" s="1"/>
  <c r="X7" i="5"/>
  <c r="S7" i="5"/>
  <c r="U7" i="5" s="1"/>
  <c r="J7" i="5"/>
  <c r="M7" i="5" s="1"/>
  <c r="X6" i="5"/>
  <c r="S6" i="5"/>
  <c r="U6" i="5" s="1"/>
  <c r="J6" i="5"/>
  <c r="M6" i="5" s="1"/>
  <c r="X5" i="5"/>
  <c r="S5" i="5"/>
  <c r="U5" i="5" s="1"/>
  <c r="J5" i="5"/>
  <c r="X4" i="5"/>
  <c r="S4" i="5"/>
  <c r="U4" i="5" s="1"/>
  <c r="J4" i="5"/>
  <c r="M88" i="7" l="1"/>
  <c r="M84" i="7"/>
  <c r="M65" i="7"/>
  <c r="M44" i="7"/>
  <c r="M30" i="7"/>
  <c r="M87" i="6"/>
  <c r="M78" i="6"/>
  <c r="M32" i="6"/>
  <c r="M25" i="6"/>
  <c r="M23" i="6"/>
  <c r="M18" i="6"/>
  <c r="M109" i="5"/>
  <c r="M176" i="5"/>
  <c r="M175" i="5"/>
  <c r="M85" i="5"/>
  <c r="M162" i="5"/>
  <c r="M53" i="5"/>
  <c r="M47" i="5"/>
  <c r="M28" i="5"/>
  <c r="M22" i="5"/>
  <c r="M5" i="5"/>
  <c r="K218" i="5"/>
  <c r="R19" i="9"/>
  <c r="K218" i="8"/>
  <c r="R22" i="9"/>
  <c r="M60" i="7"/>
  <c r="M69" i="7"/>
  <c r="M86" i="7"/>
  <c r="M177" i="7"/>
  <c r="M61" i="7"/>
  <c r="M193" i="6"/>
  <c r="M87" i="7"/>
  <c r="M85" i="7"/>
  <c r="M81" i="7"/>
  <c r="M38" i="7"/>
  <c r="M37" i="7"/>
  <c r="M36" i="7"/>
  <c r="M18" i="7"/>
  <c r="M4" i="7"/>
  <c r="K218" i="7"/>
  <c r="R21" i="9"/>
  <c r="K218" i="6"/>
  <c r="J233" i="9"/>
  <c r="R20" i="9"/>
  <c r="M70" i="6"/>
  <c r="M39" i="6"/>
  <c r="M34" i="6"/>
  <c r="M22" i="6"/>
  <c r="M5" i="6"/>
  <c r="X106" i="6"/>
  <c r="J205" i="6" s="1"/>
  <c r="K206" i="6" s="1"/>
  <c r="M20" i="9" s="1"/>
  <c r="X106" i="5"/>
  <c r="J205" i="5" s="1"/>
  <c r="X106" i="7"/>
  <c r="J205" i="7" s="1"/>
  <c r="K206" i="7" s="1"/>
  <c r="M21" i="9" s="1"/>
  <c r="X106" i="8"/>
  <c r="J205" i="8" s="1"/>
  <c r="K206" i="8" s="1"/>
  <c r="M22" i="9" s="1"/>
  <c r="K206" i="5"/>
  <c r="M4" i="8"/>
  <c r="M4" i="5"/>
  <c r="K212" i="5" l="1"/>
  <c r="K215" i="5" s="1"/>
  <c r="M19" i="9"/>
  <c r="S22" i="9"/>
  <c r="U22" i="9" s="1"/>
  <c r="S21" i="9"/>
  <c r="U21" i="9" s="1"/>
  <c r="S20" i="9"/>
  <c r="K212" i="8"/>
  <c r="K212" i="7"/>
  <c r="K212" i="6"/>
  <c r="S19" i="9" l="1"/>
  <c r="K214" i="5"/>
  <c r="K217" i="5" s="1"/>
  <c r="K220" i="5" s="1"/>
  <c r="U20" i="9"/>
  <c r="K215" i="8"/>
  <c r="K214" i="8"/>
  <c r="K217" i="8" s="1"/>
  <c r="K220" i="8" s="1"/>
  <c r="K215" i="7"/>
  <c r="K214" i="7"/>
  <c r="K217" i="7" s="1"/>
  <c r="K220" i="7" s="1"/>
  <c r="K215" i="6"/>
  <c r="K214" i="6"/>
  <c r="K217" i="6" s="1"/>
  <c r="K220" i="6" s="1"/>
  <c r="U19" i="9" l="1"/>
  <c r="K219" i="4"/>
  <c r="K211" i="4"/>
  <c r="N18" i="9" s="1"/>
  <c r="K208" i="4"/>
  <c r="J203" i="4"/>
  <c r="M203" i="4" s="1"/>
  <c r="J202" i="4"/>
  <c r="M202" i="4" s="1"/>
  <c r="J201" i="4"/>
  <c r="M201" i="4" s="1"/>
  <c r="J200" i="4"/>
  <c r="M200" i="4" s="1"/>
  <c r="J199" i="4"/>
  <c r="M199" i="4" s="1"/>
  <c r="J198" i="4"/>
  <c r="M198" i="4" s="1"/>
  <c r="J197" i="4"/>
  <c r="M197" i="4" s="1"/>
  <c r="J196" i="4"/>
  <c r="M196" i="4" s="1"/>
  <c r="J195" i="4"/>
  <c r="J194" i="4"/>
  <c r="M194" i="4" s="1"/>
  <c r="J193" i="4"/>
  <c r="M193" i="4" s="1"/>
  <c r="J192" i="4"/>
  <c r="M192" i="4" s="1"/>
  <c r="J191" i="4"/>
  <c r="M191" i="4" s="1"/>
  <c r="J190" i="4"/>
  <c r="M190" i="4" s="1"/>
  <c r="J189" i="4"/>
  <c r="M189" i="4" s="1"/>
  <c r="J188" i="4"/>
  <c r="M188" i="4" s="1"/>
  <c r="J187" i="4"/>
  <c r="M187" i="4" s="1"/>
  <c r="J186" i="4"/>
  <c r="M186" i="4" s="1"/>
  <c r="J185" i="4"/>
  <c r="M185" i="4" s="1"/>
  <c r="J184" i="4"/>
  <c r="M184" i="4" s="1"/>
  <c r="J183" i="4"/>
  <c r="M183" i="4" s="1"/>
  <c r="J182" i="4"/>
  <c r="M182" i="4" s="1"/>
  <c r="J181" i="4"/>
  <c r="M181" i="4" s="1"/>
  <c r="J180" i="4"/>
  <c r="M180" i="4" s="1"/>
  <c r="J179" i="4"/>
  <c r="M179" i="4" s="1"/>
  <c r="J178" i="4"/>
  <c r="M178" i="4" s="1"/>
  <c r="J177" i="4"/>
  <c r="M177" i="4" s="1"/>
  <c r="J176" i="4"/>
  <c r="M176" i="4" s="1"/>
  <c r="J175" i="4"/>
  <c r="M175" i="4" s="1"/>
  <c r="J174" i="4"/>
  <c r="M174" i="4" s="1"/>
  <c r="J173" i="4"/>
  <c r="M173" i="4" s="1"/>
  <c r="J172" i="4"/>
  <c r="M172" i="4" s="1"/>
  <c r="J171" i="4"/>
  <c r="M171" i="4" s="1"/>
  <c r="J170" i="4"/>
  <c r="M170" i="4" s="1"/>
  <c r="J169" i="4"/>
  <c r="M169" i="4" s="1"/>
  <c r="J168" i="4"/>
  <c r="M168" i="4" s="1"/>
  <c r="J167" i="4"/>
  <c r="M167" i="4" s="1"/>
  <c r="J166" i="4"/>
  <c r="M166" i="4" s="1"/>
  <c r="J165" i="4"/>
  <c r="M165" i="4" s="1"/>
  <c r="J164" i="4"/>
  <c r="M164" i="4" s="1"/>
  <c r="J163" i="4"/>
  <c r="M163" i="4" s="1"/>
  <c r="J162" i="4"/>
  <c r="M162" i="4" s="1"/>
  <c r="J161" i="4"/>
  <c r="M161" i="4" s="1"/>
  <c r="J160" i="4"/>
  <c r="M160" i="4" s="1"/>
  <c r="J159" i="4"/>
  <c r="M159" i="4" s="1"/>
  <c r="J158" i="4"/>
  <c r="M158" i="4" s="1"/>
  <c r="J157" i="4"/>
  <c r="M157" i="4" s="1"/>
  <c r="J156" i="4"/>
  <c r="M156" i="4" s="1"/>
  <c r="J155" i="4"/>
  <c r="M155" i="4" s="1"/>
  <c r="J154" i="4"/>
  <c r="M154" i="4" s="1"/>
  <c r="J153" i="4"/>
  <c r="M153" i="4" s="1"/>
  <c r="J152" i="4"/>
  <c r="M152" i="4" s="1"/>
  <c r="J151" i="4"/>
  <c r="M151" i="4" s="1"/>
  <c r="J150" i="4"/>
  <c r="M150" i="4" s="1"/>
  <c r="J149" i="4"/>
  <c r="M149" i="4" s="1"/>
  <c r="J148" i="4"/>
  <c r="M148" i="4" s="1"/>
  <c r="J147" i="4"/>
  <c r="M147" i="4" s="1"/>
  <c r="J146" i="4"/>
  <c r="M146" i="4" s="1"/>
  <c r="J145" i="4"/>
  <c r="M145" i="4" s="1"/>
  <c r="J144" i="4"/>
  <c r="M144" i="4" s="1"/>
  <c r="J143" i="4"/>
  <c r="M143" i="4" s="1"/>
  <c r="J142" i="4"/>
  <c r="M142" i="4" s="1"/>
  <c r="J141" i="4"/>
  <c r="M141" i="4" s="1"/>
  <c r="J140" i="4"/>
  <c r="M140" i="4" s="1"/>
  <c r="J139" i="4"/>
  <c r="M139" i="4" s="1"/>
  <c r="J138" i="4"/>
  <c r="M138" i="4" s="1"/>
  <c r="J137" i="4"/>
  <c r="M137" i="4" s="1"/>
  <c r="J136" i="4"/>
  <c r="M136" i="4" s="1"/>
  <c r="J135" i="4"/>
  <c r="M135" i="4" s="1"/>
  <c r="J134" i="4"/>
  <c r="M134" i="4" s="1"/>
  <c r="J133" i="4"/>
  <c r="M133" i="4" s="1"/>
  <c r="J132" i="4"/>
  <c r="M132" i="4" s="1"/>
  <c r="J131" i="4"/>
  <c r="M131" i="4" s="1"/>
  <c r="J130" i="4"/>
  <c r="M130" i="4" s="1"/>
  <c r="J129" i="4"/>
  <c r="M129" i="4" s="1"/>
  <c r="J128" i="4"/>
  <c r="M128" i="4" s="1"/>
  <c r="J127" i="4"/>
  <c r="M127" i="4" s="1"/>
  <c r="J126" i="4"/>
  <c r="M126" i="4" s="1"/>
  <c r="J125" i="4"/>
  <c r="M125" i="4" s="1"/>
  <c r="J124" i="4"/>
  <c r="M124" i="4" s="1"/>
  <c r="J123" i="4"/>
  <c r="M123" i="4" s="1"/>
  <c r="J122" i="4"/>
  <c r="M122" i="4" s="1"/>
  <c r="J121" i="4"/>
  <c r="M121" i="4" s="1"/>
  <c r="J120" i="4"/>
  <c r="M120" i="4" s="1"/>
  <c r="J119" i="4"/>
  <c r="M119" i="4" s="1"/>
  <c r="J118" i="4"/>
  <c r="M118" i="4" s="1"/>
  <c r="J117" i="4"/>
  <c r="M117" i="4" s="1"/>
  <c r="J116" i="4"/>
  <c r="M116" i="4" s="1"/>
  <c r="J115" i="4"/>
  <c r="M115" i="4" s="1"/>
  <c r="J114" i="4"/>
  <c r="M114" i="4" s="1"/>
  <c r="J113" i="4"/>
  <c r="M113" i="4" s="1"/>
  <c r="J112" i="4"/>
  <c r="M112" i="4" s="1"/>
  <c r="J111" i="4"/>
  <c r="M111" i="4" s="1"/>
  <c r="J110" i="4"/>
  <c r="M110" i="4" s="1"/>
  <c r="J109" i="4"/>
  <c r="M109" i="4" s="1"/>
  <c r="J108" i="4"/>
  <c r="M108" i="4" s="1"/>
  <c r="J107" i="4"/>
  <c r="M107" i="4" s="1"/>
  <c r="J106" i="4"/>
  <c r="M106" i="4" s="1"/>
  <c r="J105" i="4"/>
  <c r="M105" i="4" s="1"/>
  <c r="Z104" i="4"/>
  <c r="J104" i="4"/>
  <c r="M104" i="4" s="1"/>
  <c r="X103" i="4"/>
  <c r="S103" i="4"/>
  <c r="U103" i="4" s="1"/>
  <c r="J103" i="4"/>
  <c r="M103" i="4" s="1"/>
  <c r="X102" i="4"/>
  <c r="S102" i="4"/>
  <c r="U102" i="4" s="1"/>
  <c r="J102" i="4"/>
  <c r="M102" i="4" s="1"/>
  <c r="X101" i="4"/>
  <c r="S101" i="4"/>
  <c r="U101" i="4" s="1"/>
  <c r="J101" i="4"/>
  <c r="M101" i="4" s="1"/>
  <c r="X100" i="4"/>
  <c r="S100" i="4"/>
  <c r="U100" i="4" s="1"/>
  <c r="J100" i="4"/>
  <c r="M100" i="4" s="1"/>
  <c r="X99" i="4"/>
  <c r="S99" i="4"/>
  <c r="U99" i="4" s="1"/>
  <c r="J99" i="4"/>
  <c r="M99" i="4" s="1"/>
  <c r="X98" i="4"/>
  <c r="S98" i="4"/>
  <c r="U98" i="4" s="1"/>
  <c r="J98" i="4"/>
  <c r="M98" i="4" s="1"/>
  <c r="X97" i="4"/>
  <c r="S97" i="4"/>
  <c r="U97" i="4" s="1"/>
  <c r="J97" i="4"/>
  <c r="M97" i="4" s="1"/>
  <c r="X96" i="4"/>
  <c r="S96" i="4"/>
  <c r="U96" i="4" s="1"/>
  <c r="J96" i="4"/>
  <c r="M96" i="4" s="1"/>
  <c r="X95" i="4"/>
  <c r="S95" i="4"/>
  <c r="U95" i="4" s="1"/>
  <c r="J95" i="4"/>
  <c r="M95" i="4" s="1"/>
  <c r="X94" i="4"/>
  <c r="S94" i="4"/>
  <c r="U94" i="4" s="1"/>
  <c r="J94" i="4"/>
  <c r="M94" i="4" s="1"/>
  <c r="X93" i="4"/>
  <c r="S93" i="4"/>
  <c r="U93" i="4" s="1"/>
  <c r="J93" i="4"/>
  <c r="M93" i="4" s="1"/>
  <c r="X92" i="4"/>
  <c r="S92" i="4"/>
  <c r="U92" i="4" s="1"/>
  <c r="J92" i="4"/>
  <c r="M92" i="4" s="1"/>
  <c r="X91" i="4"/>
  <c r="S91" i="4"/>
  <c r="U91" i="4" s="1"/>
  <c r="J91" i="4"/>
  <c r="M91" i="4" s="1"/>
  <c r="X90" i="4"/>
  <c r="S90" i="4"/>
  <c r="U90" i="4" s="1"/>
  <c r="J90" i="4"/>
  <c r="M90" i="4" s="1"/>
  <c r="X89" i="4"/>
  <c r="S89" i="4"/>
  <c r="U89" i="4" s="1"/>
  <c r="J89" i="4"/>
  <c r="M89" i="4" s="1"/>
  <c r="X88" i="4"/>
  <c r="S88" i="4"/>
  <c r="U88" i="4" s="1"/>
  <c r="J88" i="4"/>
  <c r="M88" i="4" s="1"/>
  <c r="X87" i="4"/>
  <c r="S87" i="4"/>
  <c r="U87" i="4" s="1"/>
  <c r="J87" i="4"/>
  <c r="M87" i="4" s="1"/>
  <c r="X86" i="4"/>
  <c r="S86" i="4"/>
  <c r="U86" i="4" s="1"/>
  <c r="J86" i="4"/>
  <c r="M86" i="4" s="1"/>
  <c r="X85" i="4"/>
  <c r="S85" i="4"/>
  <c r="U85" i="4" s="1"/>
  <c r="J85" i="4"/>
  <c r="M85" i="4" s="1"/>
  <c r="X84" i="4"/>
  <c r="S84" i="4"/>
  <c r="U84" i="4" s="1"/>
  <c r="J84" i="4"/>
  <c r="M84" i="4" s="1"/>
  <c r="X83" i="4"/>
  <c r="S83" i="4"/>
  <c r="U83" i="4" s="1"/>
  <c r="J83" i="4"/>
  <c r="M83" i="4" s="1"/>
  <c r="X82" i="4"/>
  <c r="S82" i="4"/>
  <c r="U82" i="4" s="1"/>
  <c r="J82" i="4"/>
  <c r="M82" i="4" s="1"/>
  <c r="X81" i="4"/>
  <c r="S81" i="4"/>
  <c r="U81" i="4" s="1"/>
  <c r="J81" i="4"/>
  <c r="M81" i="4" s="1"/>
  <c r="X80" i="4"/>
  <c r="S80" i="4"/>
  <c r="U80" i="4" s="1"/>
  <c r="J80" i="4"/>
  <c r="M80" i="4" s="1"/>
  <c r="X79" i="4"/>
  <c r="S79" i="4"/>
  <c r="U79" i="4" s="1"/>
  <c r="J79" i="4"/>
  <c r="M79" i="4" s="1"/>
  <c r="X78" i="4"/>
  <c r="S78" i="4"/>
  <c r="U78" i="4" s="1"/>
  <c r="J78" i="4"/>
  <c r="M78" i="4" s="1"/>
  <c r="X77" i="4"/>
  <c r="S77" i="4"/>
  <c r="U77" i="4" s="1"/>
  <c r="J77" i="4"/>
  <c r="M77" i="4" s="1"/>
  <c r="X76" i="4"/>
  <c r="S76" i="4"/>
  <c r="U76" i="4" s="1"/>
  <c r="J76" i="4"/>
  <c r="M76" i="4" s="1"/>
  <c r="X75" i="4"/>
  <c r="S75" i="4"/>
  <c r="U75" i="4" s="1"/>
  <c r="J75" i="4"/>
  <c r="M75" i="4" s="1"/>
  <c r="X74" i="4"/>
  <c r="S74" i="4"/>
  <c r="U74" i="4" s="1"/>
  <c r="J74" i="4"/>
  <c r="M74" i="4" s="1"/>
  <c r="X73" i="4"/>
  <c r="S73" i="4"/>
  <c r="U73" i="4" s="1"/>
  <c r="J73" i="4"/>
  <c r="M73" i="4" s="1"/>
  <c r="X72" i="4"/>
  <c r="S72" i="4"/>
  <c r="U72" i="4" s="1"/>
  <c r="J72" i="4"/>
  <c r="M72" i="4" s="1"/>
  <c r="X71" i="4"/>
  <c r="S71" i="4"/>
  <c r="U71" i="4" s="1"/>
  <c r="J71" i="4"/>
  <c r="M71" i="4" s="1"/>
  <c r="X70" i="4"/>
  <c r="S70" i="4"/>
  <c r="U70" i="4" s="1"/>
  <c r="J70" i="4"/>
  <c r="M70" i="4" s="1"/>
  <c r="X69" i="4"/>
  <c r="S69" i="4"/>
  <c r="U69" i="4" s="1"/>
  <c r="J69" i="4"/>
  <c r="M69" i="4" s="1"/>
  <c r="X68" i="4"/>
  <c r="S68" i="4"/>
  <c r="U68" i="4" s="1"/>
  <c r="J68" i="4"/>
  <c r="M68" i="4" s="1"/>
  <c r="X67" i="4"/>
  <c r="S67" i="4"/>
  <c r="U67" i="4" s="1"/>
  <c r="J67" i="4"/>
  <c r="M67" i="4" s="1"/>
  <c r="X66" i="4"/>
  <c r="S66" i="4"/>
  <c r="U66" i="4" s="1"/>
  <c r="J66" i="4"/>
  <c r="M66" i="4" s="1"/>
  <c r="X65" i="4"/>
  <c r="S65" i="4"/>
  <c r="U65" i="4" s="1"/>
  <c r="J65" i="4"/>
  <c r="M65" i="4" s="1"/>
  <c r="X64" i="4"/>
  <c r="S64" i="4"/>
  <c r="U64" i="4" s="1"/>
  <c r="J64" i="4"/>
  <c r="M64" i="4" s="1"/>
  <c r="X63" i="4"/>
  <c r="S63" i="4"/>
  <c r="U63" i="4" s="1"/>
  <c r="J63" i="4"/>
  <c r="M63" i="4" s="1"/>
  <c r="X62" i="4"/>
  <c r="S62" i="4"/>
  <c r="U62" i="4" s="1"/>
  <c r="J62" i="4"/>
  <c r="M62" i="4" s="1"/>
  <c r="X61" i="4"/>
  <c r="S61" i="4"/>
  <c r="U61" i="4" s="1"/>
  <c r="J61" i="4"/>
  <c r="M61" i="4" s="1"/>
  <c r="X60" i="4"/>
  <c r="S60" i="4"/>
  <c r="U60" i="4" s="1"/>
  <c r="J60" i="4"/>
  <c r="M60" i="4" s="1"/>
  <c r="X59" i="4"/>
  <c r="U59" i="4"/>
  <c r="S59" i="4"/>
  <c r="J59" i="4"/>
  <c r="M59" i="4" s="1"/>
  <c r="X58" i="4"/>
  <c r="S58" i="4"/>
  <c r="U58" i="4" s="1"/>
  <c r="J58" i="4"/>
  <c r="M58" i="4" s="1"/>
  <c r="X57" i="4"/>
  <c r="S57" i="4"/>
  <c r="U57" i="4" s="1"/>
  <c r="J57" i="4"/>
  <c r="M57" i="4" s="1"/>
  <c r="X56" i="4"/>
  <c r="S56" i="4"/>
  <c r="U56" i="4" s="1"/>
  <c r="J56" i="4"/>
  <c r="M56" i="4" s="1"/>
  <c r="X55" i="4"/>
  <c r="S55" i="4"/>
  <c r="U55" i="4" s="1"/>
  <c r="J55" i="4"/>
  <c r="M55" i="4" s="1"/>
  <c r="X54" i="4"/>
  <c r="U54" i="4"/>
  <c r="S54" i="4"/>
  <c r="J54" i="4"/>
  <c r="M54" i="4" s="1"/>
  <c r="X53" i="4"/>
  <c r="S53" i="4"/>
  <c r="U53" i="4" s="1"/>
  <c r="J53" i="4"/>
  <c r="M53" i="4" s="1"/>
  <c r="X52" i="4"/>
  <c r="S52" i="4"/>
  <c r="U52" i="4" s="1"/>
  <c r="J52" i="4"/>
  <c r="M52" i="4" s="1"/>
  <c r="X51" i="4"/>
  <c r="S51" i="4"/>
  <c r="U51" i="4" s="1"/>
  <c r="J51" i="4"/>
  <c r="M51" i="4" s="1"/>
  <c r="X50" i="4"/>
  <c r="S50" i="4"/>
  <c r="U50" i="4" s="1"/>
  <c r="J50" i="4"/>
  <c r="M50" i="4" s="1"/>
  <c r="X49" i="4"/>
  <c r="S49" i="4"/>
  <c r="U49" i="4" s="1"/>
  <c r="J49" i="4"/>
  <c r="M49" i="4" s="1"/>
  <c r="X48" i="4"/>
  <c r="S48" i="4"/>
  <c r="U48" i="4" s="1"/>
  <c r="J48" i="4"/>
  <c r="M48" i="4" s="1"/>
  <c r="X47" i="4"/>
  <c r="S47" i="4"/>
  <c r="U47" i="4" s="1"/>
  <c r="J47" i="4"/>
  <c r="M47" i="4" s="1"/>
  <c r="X46" i="4"/>
  <c r="S46" i="4"/>
  <c r="U46" i="4" s="1"/>
  <c r="J46" i="4"/>
  <c r="M46" i="4" s="1"/>
  <c r="X45" i="4"/>
  <c r="S45" i="4"/>
  <c r="U45" i="4" s="1"/>
  <c r="J45" i="4"/>
  <c r="M45" i="4" s="1"/>
  <c r="X44" i="4"/>
  <c r="S44" i="4"/>
  <c r="U44" i="4" s="1"/>
  <c r="J44" i="4"/>
  <c r="M44" i="4" s="1"/>
  <c r="X43" i="4"/>
  <c r="S43" i="4"/>
  <c r="U43" i="4" s="1"/>
  <c r="J43" i="4"/>
  <c r="M43" i="4" s="1"/>
  <c r="X42" i="4"/>
  <c r="S42" i="4"/>
  <c r="U42" i="4" s="1"/>
  <c r="J42" i="4"/>
  <c r="M42" i="4" s="1"/>
  <c r="X41" i="4"/>
  <c r="S41" i="4"/>
  <c r="U41" i="4" s="1"/>
  <c r="J41" i="4"/>
  <c r="M41" i="4" s="1"/>
  <c r="X40" i="4"/>
  <c r="S40" i="4"/>
  <c r="U40" i="4" s="1"/>
  <c r="J40" i="4"/>
  <c r="M40" i="4" s="1"/>
  <c r="X39" i="4"/>
  <c r="S39" i="4"/>
  <c r="U39" i="4" s="1"/>
  <c r="J39" i="4"/>
  <c r="M39" i="4" s="1"/>
  <c r="X38" i="4"/>
  <c r="S38" i="4"/>
  <c r="U38" i="4" s="1"/>
  <c r="J38" i="4"/>
  <c r="M38" i="4" s="1"/>
  <c r="X37" i="4"/>
  <c r="S37" i="4"/>
  <c r="U37" i="4" s="1"/>
  <c r="J37" i="4"/>
  <c r="M37" i="4" s="1"/>
  <c r="X36" i="4"/>
  <c r="S36" i="4"/>
  <c r="U36" i="4" s="1"/>
  <c r="J36" i="4"/>
  <c r="M36" i="4" s="1"/>
  <c r="X35" i="4"/>
  <c r="S35" i="4"/>
  <c r="U35" i="4" s="1"/>
  <c r="J35" i="4"/>
  <c r="M35" i="4" s="1"/>
  <c r="X34" i="4"/>
  <c r="S34" i="4"/>
  <c r="U34" i="4" s="1"/>
  <c r="J34" i="4"/>
  <c r="M34" i="4" s="1"/>
  <c r="X33" i="4"/>
  <c r="S33" i="4"/>
  <c r="U33" i="4" s="1"/>
  <c r="J33" i="4"/>
  <c r="M33" i="4" s="1"/>
  <c r="X32" i="4"/>
  <c r="S32" i="4"/>
  <c r="U32" i="4" s="1"/>
  <c r="J32" i="4"/>
  <c r="M32" i="4" s="1"/>
  <c r="X31" i="4"/>
  <c r="S31" i="4"/>
  <c r="U31" i="4" s="1"/>
  <c r="J31" i="4"/>
  <c r="M31" i="4" s="1"/>
  <c r="X30" i="4"/>
  <c r="S30" i="4"/>
  <c r="U30" i="4" s="1"/>
  <c r="J30" i="4"/>
  <c r="M30" i="4" s="1"/>
  <c r="X29" i="4"/>
  <c r="S29" i="4"/>
  <c r="U29" i="4" s="1"/>
  <c r="J29" i="4"/>
  <c r="M29" i="4" s="1"/>
  <c r="X28" i="4"/>
  <c r="S28" i="4"/>
  <c r="U28" i="4" s="1"/>
  <c r="J28" i="4"/>
  <c r="M28" i="4" s="1"/>
  <c r="X27" i="4"/>
  <c r="S27" i="4"/>
  <c r="U27" i="4" s="1"/>
  <c r="J27" i="4"/>
  <c r="M27" i="4" s="1"/>
  <c r="X26" i="4"/>
  <c r="S26" i="4"/>
  <c r="U26" i="4" s="1"/>
  <c r="J26" i="4"/>
  <c r="M26" i="4" s="1"/>
  <c r="X25" i="4"/>
  <c r="U25" i="4"/>
  <c r="S25" i="4"/>
  <c r="J25" i="4"/>
  <c r="M25" i="4" s="1"/>
  <c r="X24" i="4"/>
  <c r="S24" i="4"/>
  <c r="U24" i="4" s="1"/>
  <c r="J24" i="4"/>
  <c r="M24" i="4" s="1"/>
  <c r="X23" i="4"/>
  <c r="S23" i="4"/>
  <c r="U23" i="4" s="1"/>
  <c r="J23" i="4"/>
  <c r="M23" i="4" s="1"/>
  <c r="X22" i="4"/>
  <c r="S22" i="4"/>
  <c r="U22" i="4" s="1"/>
  <c r="J22" i="4"/>
  <c r="M22" i="4" s="1"/>
  <c r="X21" i="4"/>
  <c r="S21" i="4"/>
  <c r="U21" i="4" s="1"/>
  <c r="J21" i="4"/>
  <c r="M21" i="4" s="1"/>
  <c r="X20" i="4"/>
  <c r="S20" i="4"/>
  <c r="U20" i="4" s="1"/>
  <c r="J20" i="4"/>
  <c r="M20" i="4" s="1"/>
  <c r="X19" i="4"/>
  <c r="S19" i="4"/>
  <c r="U19" i="4" s="1"/>
  <c r="J19" i="4"/>
  <c r="M19" i="4" s="1"/>
  <c r="X18" i="4"/>
  <c r="S18" i="4"/>
  <c r="U18" i="4" s="1"/>
  <c r="J18" i="4"/>
  <c r="M18" i="4" s="1"/>
  <c r="X17" i="4"/>
  <c r="S17" i="4"/>
  <c r="U17" i="4" s="1"/>
  <c r="J17" i="4"/>
  <c r="M17" i="4" s="1"/>
  <c r="X16" i="4"/>
  <c r="S16" i="4"/>
  <c r="U16" i="4" s="1"/>
  <c r="J16" i="4"/>
  <c r="M16" i="4" s="1"/>
  <c r="X15" i="4"/>
  <c r="S15" i="4"/>
  <c r="U15" i="4" s="1"/>
  <c r="J15" i="4"/>
  <c r="M15" i="4" s="1"/>
  <c r="X14" i="4"/>
  <c r="S14" i="4"/>
  <c r="U14" i="4" s="1"/>
  <c r="J14" i="4"/>
  <c r="M14" i="4" s="1"/>
  <c r="X13" i="4"/>
  <c r="S13" i="4"/>
  <c r="U13" i="4" s="1"/>
  <c r="J13" i="4"/>
  <c r="M13" i="4" s="1"/>
  <c r="X12" i="4"/>
  <c r="S12" i="4"/>
  <c r="U12" i="4" s="1"/>
  <c r="J12" i="4"/>
  <c r="M12" i="4" s="1"/>
  <c r="X11" i="4"/>
  <c r="S11" i="4"/>
  <c r="U11" i="4" s="1"/>
  <c r="J11" i="4"/>
  <c r="M11" i="4" s="1"/>
  <c r="X10" i="4"/>
  <c r="S10" i="4"/>
  <c r="U10" i="4" s="1"/>
  <c r="J10" i="4"/>
  <c r="M10" i="4" s="1"/>
  <c r="X9" i="4"/>
  <c r="S9" i="4"/>
  <c r="U9" i="4" s="1"/>
  <c r="J9" i="4"/>
  <c r="M9" i="4" s="1"/>
  <c r="X8" i="4"/>
  <c r="S8" i="4"/>
  <c r="U8" i="4" s="1"/>
  <c r="J8" i="4"/>
  <c r="M8" i="4" s="1"/>
  <c r="X7" i="4"/>
  <c r="S7" i="4"/>
  <c r="U7" i="4" s="1"/>
  <c r="J7" i="4"/>
  <c r="M7" i="4" s="1"/>
  <c r="X6" i="4"/>
  <c r="S6" i="4"/>
  <c r="U6" i="4" s="1"/>
  <c r="J6" i="4"/>
  <c r="M6" i="4" s="1"/>
  <c r="X5" i="4"/>
  <c r="S5" i="4"/>
  <c r="U5" i="4" s="1"/>
  <c r="J5" i="4"/>
  <c r="M5" i="4" s="1"/>
  <c r="X4" i="4"/>
  <c r="S4" i="4"/>
  <c r="U4" i="4" s="1"/>
  <c r="J4" i="4"/>
  <c r="K219" i="3"/>
  <c r="K211" i="3"/>
  <c r="N17" i="9" s="1"/>
  <c r="K208" i="3"/>
  <c r="J203" i="3"/>
  <c r="M203" i="3" s="1"/>
  <c r="J202" i="3"/>
  <c r="M202" i="3" s="1"/>
  <c r="J201" i="3"/>
  <c r="M201" i="3" s="1"/>
  <c r="J200" i="3"/>
  <c r="M200" i="3" s="1"/>
  <c r="J199" i="3"/>
  <c r="M199" i="3" s="1"/>
  <c r="J198" i="3"/>
  <c r="M198" i="3" s="1"/>
  <c r="J197" i="3"/>
  <c r="M197" i="3" s="1"/>
  <c r="J196" i="3"/>
  <c r="M196" i="3" s="1"/>
  <c r="J195" i="3"/>
  <c r="M195" i="3" s="1"/>
  <c r="J194" i="3"/>
  <c r="M194" i="3" s="1"/>
  <c r="J193" i="3"/>
  <c r="M193" i="3" s="1"/>
  <c r="J192" i="3"/>
  <c r="M192" i="3" s="1"/>
  <c r="J191" i="3"/>
  <c r="M191" i="3" s="1"/>
  <c r="J190" i="3"/>
  <c r="M190" i="3" s="1"/>
  <c r="J189" i="3"/>
  <c r="M189" i="3" s="1"/>
  <c r="J188" i="3"/>
  <c r="M188" i="3" s="1"/>
  <c r="J187" i="3"/>
  <c r="M187" i="3" s="1"/>
  <c r="J186" i="3"/>
  <c r="M186" i="3" s="1"/>
  <c r="J185" i="3"/>
  <c r="M185" i="3" s="1"/>
  <c r="J184" i="3"/>
  <c r="M184" i="3" s="1"/>
  <c r="J183" i="3"/>
  <c r="M183" i="3" s="1"/>
  <c r="J182" i="3"/>
  <c r="M182" i="3" s="1"/>
  <c r="J181" i="3"/>
  <c r="M181" i="3" s="1"/>
  <c r="J180" i="3"/>
  <c r="M180" i="3" s="1"/>
  <c r="J179" i="3"/>
  <c r="M179" i="3" s="1"/>
  <c r="J178" i="3"/>
  <c r="M178" i="3" s="1"/>
  <c r="J177" i="3"/>
  <c r="M177" i="3" s="1"/>
  <c r="J176" i="3"/>
  <c r="M176" i="3" s="1"/>
  <c r="J175" i="3"/>
  <c r="M175" i="3" s="1"/>
  <c r="J174" i="3"/>
  <c r="M174" i="3" s="1"/>
  <c r="J173" i="3"/>
  <c r="M173" i="3" s="1"/>
  <c r="J172" i="3"/>
  <c r="M172" i="3" s="1"/>
  <c r="J171" i="3"/>
  <c r="M171" i="3" s="1"/>
  <c r="J170" i="3"/>
  <c r="M170" i="3" s="1"/>
  <c r="J169" i="3"/>
  <c r="M169" i="3" s="1"/>
  <c r="J168" i="3"/>
  <c r="M168" i="3" s="1"/>
  <c r="J167" i="3"/>
  <c r="M167" i="3" s="1"/>
  <c r="J166" i="3"/>
  <c r="M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M160" i="3" s="1"/>
  <c r="J159" i="3"/>
  <c r="M159" i="3" s="1"/>
  <c r="J158" i="3"/>
  <c r="M158" i="3" s="1"/>
  <c r="J157" i="3"/>
  <c r="M157" i="3" s="1"/>
  <c r="J156" i="3"/>
  <c r="M156" i="3" s="1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M150" i="3" s="1"/>
  <c r="J149" i="3"/>
  <c r="M149" i="3" s="1"/>
  <c r="J148" i="3"/>
  <c r="M148" i="3" s="1"/>
  <c r="J147" i="3"/>
  <c r="M147" i="3" s="1"/>
  <c r="J146" i="3"/>
  <c r="M146" i="3" s="1"/>
  <c r="J145" i="3"/>
  <c r="M145" i="3" s="1"/>
  <c r="J144" i="3"/>
  <c r="M144" i="3" s="1"/>
  <c r="J143" i="3"/>
  <c r="M143" i="3" s="1"/>
  <c r="J142" i="3"/>
  <c r="M142" i="3" s="1"/>
  <c r="J141" i="3"/>
  <c r="M141" i="3" s="1"/>
  <c r="J140" i="3"/>
  <c r="M140" i="3" s="1"/>
  <c r="J139" i="3"/>
  <c r="M139" i="3" s="1"/>
  <c r="J138" i="3"/>
  <c r="M138" i="3" s="1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M132" i="3" s="1"/>
  <c r="J131" i="3"/>
  <c r="M131" i="3" s="1"/>
  <c r="J130" i="3"/>
  <c r="M130" i="3" s="1"/>
  <c r="J129" i="3"/>
  <c r="M129" i="3" s="1"/>
  <c r="J128" i="3"/>
  <c r="M128" i="3" s="1"/>
  <c r="J127" i="3"/>
  <c r="M127" i="3" s="1"/>
  <c r="J126" i="3"/>
  <c r="M126" i="3" s="1"/>
  <c r="J125" i="3"/>
  <c r="M125" i="3" s="1"/>
  <c r="J124" i="3"/>
  <c r="M124" i="3" s="1"/>
  <c r="J123" i="3"/>
  <c r="M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J113" i="3"/>
  <c r="M113" i="3" s="1"/>
  <c r="J112" i="3"/>
  <c r="M112" i="3" s="1"/>
  <c r="J111" i="3"/>
  <c r="M111" i="3" s="1"/>
  <c r="J110" i="3"/>
  <c r="M110" i="3" s="1"/>
  <c r="J109" i="3"/>
  <c r="M109" i="3" s="1"/>
  <c r="J108" i="3"/>
  <c r="M108" i="3" s="1"/>
  <c r="J107" i="3"/>
  <c r="M107" i="3" s="1"/>
  <c r="J106" i="3"/>
  <c r="M106" i="3" s="1"/>
  <c r="J105" i="3"/>
  <c r="M105" i="3" s="1"/>
  <c r="Z104" i="3"/>
  <c r="J104" i="3"/>
  <c r="M104" i="3" s="1"/>
  <c r="X103" i="3"/>
  <c r="S103" i="3"/>
  <c r="U103" i="3" s="1"/>
  <c r="J103" i="3"/>
  <c r="M103" i="3" s="1"/>
  <c r="X102" i="3"/>
  <c r="S102" i="3"/>
  <c r="U102" i="3" s="1"/>
  <c r="J102" i="3"/>
  <c r="M102" i="3" s="1"/>
  <c r="X101" i="3"/>
  <c r="S101" i="3"/>
  <c r="U101" i="3" s="1"/>
  <c r="J101" i="3"/>
  <c r="M101" i="3" s="1"/>
  <c r="X100" i="3"/>
  <c r="S100" i="3"/>
  <c r="U100" i="3" s="1"/>
  <c r="J100" i="3"/>
  <c r="M100" i="3" s="1"/>
  <c r="X99" i="3"/>
  <c r="S99" i="3"/>
  <c r="U99" i="3" s="1"/>
  <c r="J99" i="3"/>
  <c r="M99" i="3" s="1"/>
  <c r="X98" i="3"/>
  <c r="S98" i="3"/>
  <c r="U98" i="3" s="1"/>
  <c r="J98" i="3"/>
  <c r="M98" i="3" s="1"/>
  <c r="X97" i="3"/>
  <c r="S97" i="3"/>
  <c r="U97" i="3" s="1"/>
  <c r="J97" i="3"/>
  <c r="M97" i="3" s="1"/>
  <c r="X96" i="3"/>
  <c r="S96" i="3"/>
  <c r="U96" i="3" s="1"/>
  <c r="J96" i="3"/>
  <c r="M96" i="3" s="1"/>
  <c r="X95" i="3"/>
  <c r="S95" i="3"/>
  <c r="U95" i="3" s="1"/>
  <c r="J95" i="3"/>
  <c r="M95" i="3" s="1"/>
  <c r="X94" i="3"/>
  <c r="S94" i="3"/>
  <c r="U94" i="3" s="1"/>
  <c r="J94" i="3"/>
  <c r="M94" i="3" s="1"/>
  <c r="X93" i="3"/>
  <c r="S93" i="3"/>
  <c r="U93" i="3" s="1"/>
  <c r="J93" i="3"/>
  <c r="M93" i="3" s="1"/>
  <c r="X92" i="3"/>
  <c r="S92" i="3"/>
  <c r="U92" i="3" s="1"/>
  <c r="J92" i="3"/>
  <c r="M92" i="3" s="1"/>
  <c r="X91" i="3"/>
  <c r="S91" i="3"/>
  <c r="U91" i="3" s="1"/>
  <c r="J91" i="3"/>
  <c r="M91" i="3" s="1"/>
  <c r="X90" i="3"/>
  <c r="S90" i="3"/>
  <c r="U90" i="3" s="1"/>
  <c r="J90" i="3"/>
  <c r="M90" i="3" s="1"/>
  <c r="X89" i="3"/>
  <c r="S89" i="3"/>
  <c r="U89" i="3" s="1"/>
  <c r="J89" i="3"/>
  <c r="M89" i="3" s="1"/>
  <c r="X88" i="3"/>
  <c r="S88" i="3"/>
  <c r="U88" i="3" s="1"/>
  <c r="J88" i="3"/>
  <c r="M88" i="3" s="1"/>
  <c r="X87" i="3"/>
  <c r="S87" i="3"/>
  <c r="U87" i="3" s="1"/>
  <c r="J87" i="3"/>
  <c r="M87" i="3" s="1"/>
  <c r="X86" i="3"/>
  <c r="S86" i="3"/>
  <c r="U86" i="3" s="1"/>
  <c r="J86" i="3"/>
  <c r="M86" i="3" s="1"/>
  <c r="X85" i="3"/>
  <c r="S85" i="3"/>
  <c r="U85" i="3" s="1"/>
  <c r="J85" i="3"/>
  <c r="M85" i="3" s="1"/>
  <c r="X84" i="3"/>
  <c r="S84" i="3"/>
  <c r="U84" i="3" s="1"/>
  <c r="J84" i="3"/>
  <c r="M84" i="3" s="1"/>
  <c r="X83" i="3"/>
  <c r="S83" i="3"/>
  <c r="U83" i="3" s="1"/>
  <c r="J83" i="3"/>
  <c r="M83" i="3" s="1"/>
  <c r="X82" i="3"/>
  <c r="S82" i="3"/>
  <c r="U82" i="3" s="1"/>
  <c r="J82" i="3"/>
  <c r="M82" i="3" s="1"/>
  <c r="X81" i="3"/>
  <c r="S81" i="3"/>
  <c r="U81" i="3" s="1"/>
  <c r="J81" i="3"/>
  <c r="M81" i="3" s="1"/>
  <c r="X80" i="3"/>
  <c r="S80" i="3"/>
  <c r="U80" i="3" s="1"/>
  <c r="J80" i="3"/>
  <c r="M80" i="3" s="1"/>
  <c r="X79" i="3"/>
  <c r="S79" i="3"/>
  <c r="U79" i="3" s="1"/>
  <c r="J79" i="3"/>
  <c r="M79" i="3" s="1"/>
  <c r="X78" i="3"/>
  <c r="S78" i="3"/>
  <c r="U78" i="3" s="1"/>
  <c r="J78" i="3"/>
  <c r="M78" i="3" s="1"/>
  <c r="X77" i="3"/>
  <c r="S77" i="3"/>
  <c r="U77" i="3" s="1"/>
  <c r="J77" i="3"/>
  <c r="M77" i="3" s="1"/>
  <c r="X76" i="3"/>
  <c r="S76" i="3"/>
  <c r="U76" i="3" s="1"/>
  <c r="J76" i="3"/>
  <c r="M76" i="3" s="1"/>
  <c r="X75" i="3"/>
  <c r="S75" i="3"/>
  <c r="U75" i="3" s="1"/>
  <c r="J75" i="3"/>
  <c r="M75" i="3" s="1"/>
  <c r="X74" i="3"/>
  <c r="S74" i="3"/>
  <c r="U74" i="3" s="1"/>
  <c r="J74" i="3"/>
  <c r="M74" i="3" s="1"/>
  <c r="X73" i="3"/>
  <c r="S73" i="3"/>
  <c r="U73" i="3" s="1"/>
  <c r="J73" i="3"/>
  <c r="M73" i="3" s="1"/>
  <c r="X72" i="3"/>
  <c r="S72" i="3"/>
  <c r="U72" i="3" s="1"/>
  <c r="J72" i="3"/>
  <c r="M72" i="3" s="1"/>
  <c r="X71" i="3"/>
  <c r="S71" i="3"/>
  <c r="U71" i="3" s="1"/>
  <c r="J71" i="3"/>
  <c r="M71" i="3" s="1"/>
  <c r="X70" i="3"/>
  <c r="S70" i="3"/>
  <c r="U70" i="3" s="1"/>
  <c r="J70" i="3"/>
  <c r="M70" i="3" s="1"/>
  <c r="X69" i="3"/>
  <c r="S69" i="3"/>
  <c r="U69" i="3" s="1"/>
  <c r="J69" i="3"/>
  <c r="M69" i="3" s="1"/>
  <c r="X68" i="3"/>
  <c r="S68" i="3"/>
  <c r="U68" i="3" s="1"/>
  <c r="J68" i="3"/>
  <c r="M68" i="3" s="1"/>
  <c r="X67" i="3"/>
  <c r="S67" i="3"/>
  <c r="U67" i="3" s="1"/>
  <c r="J67" i="3"/>
  <c r="M67" i="3" s="1"/>
  <c r="X66" i="3"/>
  <c r="S66" i="3"/>
  <c r="U66" i="3" s="1"/>
  <c r="J66" i="3"/>
  <c r="M66" i="3" s="1"/>
  <c r="X65" i="3"/>
  <c r="S65" i="3"/>
  <c r="U65" i="3" s="1"/>
  <c r="J65" i="3"/>
  <c r="M65" i="3" s="1"/>
  <c r="X64" i="3"/>
  <c r="S64" i="3"/>
  <c r="U64" i="3" s="1"/>
  <c r="J64" i="3"/>
  <c r="M64" i="3" s="1"/>
  <c r="X63" i="3"/>
  <c r="S63" i="3"/>
  <c r="U63" i="3" s="1"/>
  <c r="J63" i="3"/>
  <c r="M63" i="3" s="1"/>
  <c r="X62" i="3"/>
  <c r="U62" i="3"/>
  <c r="S62" i="3"/>
  <c r="J62" i="3"/>
  <c r="M62" i="3" s="1"/>
  <c r="X61" i="3"/>
  <c r="S61" i="3"/>
  <c r="U61" i="3" s="1"/>
  <c r="J61" i="3"/>
  <c r="M61" i="3" s="1"/>
  <c r="X60" i="3"/>
  <c r="S60" i="3"/>
  <c r="U60" i="3" s="1"/>
  <c r="J60" i="3"/>
  <c r="M60" i="3" s="1"/>
  <c r="X59" i="3"/>
  <c r="S59" i="3"/>
  <c r="U59" i="3" s="1"/>
  <c r="J59" i="3"/>
  <c r="M59" i="3" s="1"/>
  <c r="X58" i="3"/>
  <c r="S58" i="3"/>
  <c r="U58" i="3" s="1"/>
  <c r="J58" i="3"/>
  <c r="M58" i="3" s="1"/>
  <c r="X57" i="3"/>
  <c r="S57" i="3"/>
  <c r="U57" i="3" s="1"/>
  <c r="J57" i="3"/>
  <c r="M57" i="3" s="1"/>
  <c r="X56" i="3"/>
  <c r="S56" i="3"/>
  <c r="U56" i="3" s="1"/>
  <c r="J56" i="3"/>
  <c r="M56" i="3" s="1"/>
  <c r="X55" i="3"/>
  <c r="S55" i="3"/>
  <c r="U55" i="3" s="1"/>
  <c r="J55" i="3"/>
  <c r="M55" i="3" s="1"/>
  <c r="X54" i="3"/>
  <c r="S54" i="3"/>
  <c r="U54" i="3" s="1"/>
  <c r="J54" i="3"/>
  <c r="M54" i="3" s="1"/>
  <c r="X53" i="3"/>
  <c r="S53" i="3"/>
  <c r="U53" i="3" s="1"/>
  <c r="J53" i="3"/>
  <c r="M53" i="3" s="1"/>
  <c r="X52" i="3"/>
  <c r="S52" i="3"/>
  <c r="U52" i="3" s="1"/>
  <c r="J52" i="3"/>
  <c r="M52" i="3" s="1"/>
  <c r="X51" i="3"/>
  <c r="S51" i="3"/>
  <c r="U51" i="3" s="1"/>
  <c r="J51" i="3"/>
  <c r="M51" i="3" s="1"/>
  <c r="X50" i="3"/>
  <c r="S50" i="3"/>
  <c r="U50" i="3" s="1"/>
  <c r="J50" i="3"/>
  <c r="M50" i="3" s="1"/>
  <c r="X49" i="3"/>
  <c r="S49" i="3"/>
  <c r="U49" i="3" s="1"/>
  <c r="J49" i="3"/>
  <c r="M49" i="3" s="1"/>
  <c r="X48" i="3"/>
  <c r="S48" i="3"/>
  <c r="U48" i="3" s="1"/>
  <c r="J48" i="3"/>
  <c r="M48" i="3" s="1"/>
  <c r="X47" i="3"/>
  <c r="S47" i="3"/>
  <c r="U47" i="3" s="1"/>
  <c r="J47" i="3"/>
  <c r="M47" i="3" s="1"/>
  <c r="X46" i="3"/>
  <c r="S46" i="3"/>
  <c r="U46" i="3" s="1"/>
  <c r="J46" i="3"/>
  <c r="M46" i="3" s="1"/>
  <c r="X45" i="3"/>
  <c r="S45" i="3"/>
  <c r="U45" i="3" s="1"/>
  <c r="J45" i="3"/>
  <c r="M45" i="3" s="1"/>
  <c r="X44" i="3"/>
  <c r="S44" i="3"/>
  <c r="U44" i="3" s="1"/>
  <c r="J44" i="3"/>
  <c r="M44" i="3" s="1"/>
  <c r="X43" i="3"/>
  <c r="S43" i="3"/>
  <c r="U43" i="3" s="1"/>
  <c r="J43" i="3"/>
  <c r="M43" i="3" s="1"/>
  <c r="X42" i="3"/>
  <c r="S42" i="3"/>
  <c r="U42" i="3" s="1"/>
  <c r="J42" i="3"/>
  <c r="M42" i="3" s="1"/>
  <c r="X41" i="3"/>
  <c r="S41" i="3"/>
  <c r="U41" i="3" s="1"/>
  <c r="J41" i="3"/>
  <c r="M41" i="3" s="1"/>
  <c r="X40" i="3"/>
  <c r="S40" i="3"/>
  <c r="U40" i="3" s="1"/>
  <c r="J40" i="3"/>
  <c r="M40" i="3" s="1"/>
  <c r="X39" i="3"/>
  <c r="S39" i="3"/>
  <c r="U39" i="3" s="1"/>
  <c r="J39" i="3"/>
  <c r="M39" i="3" s="1"/>
  <c r="X38" i="3"/>
  <c r="S38" i="3"/>
  <c r="U38" i="3" s="1"/>
  <c r="J38" i="3"/>
  <c r="M38" i="3" s="1"/>
  <c r="X37" i="3"/>
  <c r="S37" i="3"/>
  <c r="U37" i="3" s="1"/>
  <c r="J37" i="3"/>
  <c r="M37" i="3" s="1"/>
  <c r="X36" i="3"/>
  <c r="S36" i="3"/>
  <c r="U36" i="3" s="1"/>
  <c r="J36" i="3"/>
  <c r="M36" i="3" s="1"/>
  <c r="X35" i="3"/>
  <c r="S35" i="3"/>
  <c r="U35" i="3" s="1"/>
  <c r="J35" i="3"/>
  <c r="M35" i="3" s="1"/>
  <c r="X34" i="3"/>
  <c r="S34" i="3"/>
  <c r="U34" i="3" s="1"/>
  <c r="J34" i="3"/>
  <c r="M34" i="3" s="1"/>
  <c r="X33" i="3"/>
  <c r="S33" i="3"/>
  <c r="U33" i="3" s="1"/>
  <c r="J33" i="3"/>
  <c r="M33" i="3" s="1"/>
  <c r="X32" i="3"/>
  <c r="S32" i="3"/>
  <c r="U32" i="3" s="1"/>
  <c r="J32" i="3"/>
  <c r="M32" i="3" s="1"/>
  <c r="X31" i="3"/>
  <c r="S31" i="3"/>
  <c r="U31" i="3" s="1"/>
  <c r="J31" i="3"/>
  <c r="M31" i="3" s="1"/>
  <c r="X30" i="3"/>
  <c r="S30" i="3"/>
  <c r="U30" i="3" s="1"/>
  <c r="J30" i="3"/>
  <c r="M30" i="3" s="1"/>
  <c r="X29" i="3"/>
  <c r="S29" i="3"/>
  <c r="U29" i="3" s="1"/>
  <c r="J29" i="3"/>
  <c r="M29" i="3" s="1"/>
  <c r="X28" i="3"/>
  <c r="S28" i="3"/>
  <c r="U28" i="3" s="1"/>
  <c r="J28" i="3"/>
  <c r="M28" i="3" s="1"/>
  <c r="X27" i="3"/>
  <c r="S27" i="3"/>
  <c r="U27" i="3" s="1"/>
  <c r="J27" i="3"/>
  <c r="M27" i="3" s="1"/>
  <c r="X26" i="3"/>
  <c r="S26" i="3"/>
  <c r="U26" i="3" s="1"/>
  <c r="J26" i="3"/>
  <c r="M26" i="3" s="1"/>
  <c r="X25" i="3"/>
  <c r="S25" i="3"/>
  <c r="U25" i="3" s="1"/>
  <c r="J25" i="3"/>
  <c r="M25" i="3" s="1"/>
  <c r="X24" i="3"/>
  <c r="S24" i="3"/>
  <c r="U24" i="3" s="1"/>
  <c r="J24" i="3"/>
  <c r="M24" i="3" s="1"/>
  <c r="X23" i="3"/>
  <c r="S23" i="3"/>
  <c r="U23" i="3" s="1"/>
  <c r="J23" i="3"/>
  <c r="M23" i="3" s="1"/>
  <c r="X22" i="3"/>
  <c r="S22" i="3"/>
  <c r="U22" i="3" s="1"/>
  <c r="J22" i="3"/>
  <c r="M22" i="3" s="1"/>
  <c r="X21" i="3"/>
  <c r="S21" i="3"/>
  <c r="U21" i="3" s="1"/>
  <c r="J21" i="3"/>
  <c r="M21" i="3" s="1"/>
  <c r="X20" i="3"/>
  <c r="S20" i="3"/>
  <c r="U20" i="3" s="1"/>
  <c r="J20" i="3"/>
  <c r="M20" i="3" s="1"/>
  <c r="X19" i="3"/>
  <c r="S19" i="3"/>
  <c r="U19" i="3" s="1"/>
  <c r="J19" i="3"/>
  <c r="M19" i="3" s="1"/>
  <c r="X18" i="3"/>
  <c r="S18" i="3"/>
  <c r="U18" i="3" s="1"/>
  <c r="J18" i="3"/>
  <c r="M18" i="3" s="1"/>
  <c r="X17" i="3"/>
  <c r="S17" i="3"/>
  <c r="U17" i="3" s="1"/>
  <c r="J17" i="3"/>
  <c r="M17" i="3" s="1"/>
  <c r="X16" i="3"/>
  <c r="S16" i="3"/>
  <c r="U16" i="3" s="1"/>
  <c r="J16" i="3"/>
  <c r="M16" i="3" s="1"/>
  <c r="X15" i="3"/>
  <c r="S15" i="3"/>
  <c r="U15" i="3" s="1"/>
  <c r="J15" i="3"/>
  <c r="M15" i="3" s="1"/>
  <c r="X14" i="3"/>
  <c r="S14" i="3"/>
  <c r="U14" i="3" s="1"/>
  <c r="J14" i="3"/>
  <c r="M14" i="3" s="1"/>
  <c r="X13" i="3"/>
  <c r="S13" i="3"/>
  <c r="U13" i="3" s="1"/>
  <c r="J13" i="3"/>
  <c r="M13" i="3" s="1"/>
  <c r="X12" i="3"/>
  <c r="S12" i="3"/>
  <c r="U12" i="3" s="1"/>
  <c r="J12" i="3"/>
  <c r="M12" i="3" s="1"/>
  <c r="X11" i="3"/>
  <c r="S11" i="3"/>
  <c r="U11" i="3" s="1"/>
  <c r="J11" i="3"/>
  <c r="M11" i="3" s="1"/>
  <c r="X10" i="3"/>
  <c r="S10" i="3"/>
  <c r="U10" i="3" s="1"/>
  <c r="J10" i="3"/>
  <c r="M10" i="3" s="1"/>
  <c r="X9" i="3"/>
  <c r="S9" i="3"/>
  <c r="U9" i="3" s="1"/>
  <c r="J9" i="3"/>
  <c r="M9" i="3" s="1"/>
  <c r="X8" i="3"/>
  <c r="S8" i="3"/>
  <c r="U8" i="3" s="1"/>
  <c r="J8" i="3"/>
  <c r="M8" i="3" s="1"/>
  <c r="X7" i="3"/>
  <c r="S7" i="3"/>
  <c r="U7" i="3" s="1"/>
  <c r="J7" i="3"/>
  <c r="M7" i="3" s="1"/>
  <c r="X6" i="3"/>
  <c r="S6" i="3"/>
  <c r="U6" i="3" s="1"/>
  <c r="J6" i="3"/>
  <c r="M6" i="3" s="1"/>
  <c r="X5" i="3"/>
  <c r="S5" i="3"/>
  <c r="U5" i="3" s="1"/>
  <c r="J5" i="3"/>
  <c r="M5" i="3" s="1"/>
  <c r="X4" i="3"/>
  <c r="S4" i="3"/>
  <c r="U4" i="3" s="1"/>
  <c r="J4" i="3"/>
  <c r="M4" i="3" s="1"/>
  <c r="K219" i="2"/>
  <c r="K211" i="2"/>
  <c r="N16" i="9" s="1"/>
  <c r="K208" i="2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Z104" i="2"/>
  <c r="J104" i="2"/>
  <c r="M104" i="2" s="1"/>
  <c r="X103" i="2"/>
  <c r="S103" i="2"/>
  <c r="U103" i="2" s="1"/>
  <c r="J103" i="2"/>
  <c r="M103" i="2" s="1"/>
  <c r="X102" i="2"/>
  <c r="S102" i="2"/>
  <c r="U102" i="2" s="1"/>
  <c r="J102" i="2"/>
  <c r="M102" i="2" s="1"/>
  <c r="X101" i="2"/>
  <c r="S101" i="2"/>
  <c r="U101" i="2" s="1"/>
  <c r="J101" i="2"/>
  <c r="M101" i="2" s="1"/>
  <c r="X100" i="2"/>
  <c r="S100" i="2"/>
  <c r="U100" i="2" s="1"/>
  <c r="J100" i="2"/>
  <c r="M100" i="2" s="1"/>
  <c r="X99" i="2"/>
  <c r="S99" i="2"/>
  <c r="U99" i="2" s="1"/>
  <c r="J99" i="2"/>
  <c r="M99" i="2" s="1"/>
  <c r="X98" i="2"/>
  <c r="S98" i="2"/>
  <c r="U98" i="2" s="1"/>
  <c r="J98" i="2"/>
  <c r="M98" i="2" s="1"/>
  <c r="X97" i="2"/>
  <c r="S97" i="2"/>
  <c r="U97" i="2" s="1"/>
  <c r="J97" i="2"/>
  <c r="M97" i="2" s="1"/>
  <c r="X96" i="2"/>
  <c r="S96" i="2"/>
  <c r="U96" i="2" s="1"/>
  <c r="J96" i="2"/>
  <c r="M96" i="2" s="1"/>
  <c r="X95" i="2"/>
  <c r="S95" i="2"/>
  <c r="U95" i="2" s="1"/>
  <c r="J95" i="2"/>
  <c r="M95" i="2" s="1"/>
  <c r="X94" i="2"/>
  <c r="S94" i="2"/>
  <c r="U94" i="2" s="1"/>
  <c r="J94" i="2"/>
  <c r="M94" i="2" s="1"/>
  <c r="X93" i="2"/>
  <c r="S93" i="2"/>
  <c r="U93" i="2" s="1"/>
  <c r="J93" i="2"/>
  <c r="M93" i="2" s="1"/>
  <c r="X92" i="2"/>
  <c r="S92" i="2"/>
  <c r="U92" i="2" s="1"/>
  <c r="J92" i="2"/>
  <c r="M92" i="2" s="1"/>
  <c r="X91" i="2"/>
  <c r="S91" i="2"/>
  <c r="U91" i="2" s="1"/>
  <c r="J91" i="2"/>
  <c r="M91" i="2" s="1"/>
  <c r="X90" i="2"/>
  <c r="S90" i="2"/>
  <c r="U90" i="2" s="1"/>
  <c r="J90" i="2"/>
  <c r="M90" i="2" s="1"/>
  <c r="X89" i="2"/>
  <c r="S89" i="2"/>
  <c r="U89" i="2" s="1"/>
  <c r="J89" i="2"/>
  <c r="M89" i="2" s="1"/>
  <c r="X88" i="2"/>
  <c r="S88" i="2"/>
  <c r="U88" i="2" s="1"/>
  <c r="J88" i="2"/>
  <c r="M88" i="2" s="1"/>
  <c r="X87" i="2"/>
  <c r="S87" i="2"/>
  <c r="U87" i="2" s="1"/>
  <c r="J87" i="2"/>
  <c r="M87" i="2" s="1"/>
  <c r="X86" i="2"/>
  <c r="S86" i="2"/>
  <c r="U86" i="2" s="1"/>
  <c r="J86" i="2"/>
  <c r="M86" i="2" s="1"/>
  <c r="X85" i="2"/>
  <c r="S85" i="2"/>
  <c r="U85" i="2" s="1"/>
  <c r="J85" i="2"/>
  <c r="M85" i="2" s="1"/>
  <c r="X84" i="2"/>
  <c r="S84" i="2"/>
  <c r="U84" i="2" s="1"/>
  <c r="J84" i="2"/>
  <c r="M84" i="2" s="1"/>
  <c r="X83" i="2"/>
  <c r="S83" i="2"/>
  <c r="U83" i="2" s="1"/>
  <c r="J83" i="2"/>
  <c r="M83" i="2" s="1"/>
  <c r="X82" i="2"/>
  <c r="S82" i="2"/>
  <c r="U82" i="2" s="1"/>
  <c r="J82" i="2"/>
  <c r="M82" i="2" s="1"/>
  <c r="X81" i="2"/>
  <c r="S81" i="2"/>
  <c r="U81" i="2" s="1"/>
  <c r="J81" i="2"/>
  <c r="M81" i="2" s="1"/>
  <c r="X80" i="2"/>
  <c r="S80" i="2"/>
  <c r="U80" i="2" s="1"/>
  <c r="J80" i="2"/>
  <c r="M80" i="2" s="1"/>
  <c r="X79" i="2"/>
  <c r="S79" i="2"/>
  <c r="U79" i="2" s="1"/>
  <c r="J79" i="2"/>
  <c r="M79" i="2" s="1"/>
  <c r="X78" i="2"/>
  <c r="S78" i="2"/>
  <c r="U78" i="2" s="1"/>
  <c r="J78" i="2"/>
  <c r="M78" i="2" s="1"/>
  <c r="X77" i="2"/>
  <c r="S77" i="2"/>
  <c r="U77" i="2" s="1"/>
  <c r="J77" i="2"/>
  <c r="M77" i="2" s="1"/>
  <c r="X76" i="2"/>
  <c r="S76" i="2"/>
  <c r="U76" i="2" s="1"/>
  <c r="J76" i="2"/>
  <c r="M76" i="2" s="1"/>
  <c r="X75" i="2"/>
  <c r="S75" i="2"/>
  <c r="U75" i="2" s="1"/>
  <c r="J75" i="2"/>
  <c r="M75" i="2" s="1"/>
  <c r="X74" i="2"/>
  <c r="S74" i="2"/>
  <c r="U74" i="2" s="1"/>
  <c r="J74" i="2"/>
  <c r="M74" i="2" s="1"/>
  <c r="X73" i="2"/>
  <c r="S73" i="2"/>
  <c r="U73" i="2" s="1"/>
  <c r="J73" i="2"/>
  <c r="M73" i="2" s="1"/>
  <c r="X72" i="2"/>
  <c r="S72" i="2"/>
  <c r="U72" i="2" s="1"/>
  <c r="J72" i="2"/>
  <c r="M72" i="2" s="1"/>
  <c r="X71" i="2"/>
  <c r="S71" i="2"/>
  <c r="U71" i="2" s="1"/>
  <c r="J71" i="2"/>
  <c r="M71" i="2" s="1"/>
  <c r="X70" i="2"/>
  <c r="S70" i="2"/>
  <c r="U70" i="2" s="1"/>
  <c r="J70" i="2"/>
  <c r="M70" i="2" s="1"/>
  <c r="X69" i="2"/>
  <c r="S69" i="2"/>
  <c r="U69" i="2" s="1"/>
  <c r="J69" i="2"/>
  <c r="M69" i="2" s="1"/>
  <c r="X68" i="2"/>
  <c r="S68" i="2"/>
  <c r="U68" i="2" s="1"/>
  <c r="J68" i="2"/>
  <c r="M68" i="2" s="1"/>
  <c r="X67" i="2"/>
  <c r="S67" i="2"/>
  <c r="U67" i="2" s="1"/>
  <c r="J67" i="2"/>
  <c r="M67" i="2" s="1"/>
  <c r="X66" i="2"/>
  <c r="S66" i="2"/>
  <c r="U66" i="2" s="1"/>
  <c r="J66" i="2"/>
  <c r="M66" i="2" s="1"/>
  <c r="X65" i="2"/>
  <c r="S65" i="2"/>
  <c r="U65" i="2" s="1"/>
  <c r="J65" i="2"/>
  <c r="M65" i="2" s="1"/>
  <c r="X64" i="2"/>
  <c r="S64" i="2"/>
  <c r="U64" i="2" s="1"/>
  <c r="J64" i="2"/>
  <c r="M64" i="2" s="1"/>
  <c r="X63" i="2"/>
  <c r="S63" i="2"/>
  <c r="U63" i="2" s="1"/>
  <c r="J63" i="2"/>
  <c r="M63" i="2" s="1"/>
  <c r="X62" i="2"/>
  <c r="S62" i="2"/>
  <c r="U62" i="2" s="1"/>
  <c r="J62" i="2"/>
  <c r="M62" i="2" s="1"/>
  <c r="X61" i="2"/>
  <c r="S61" i="2"/>
  <c r="U61" i="2" s="1"/>
  <c r="J61" i="2"/>
  <c r="M61" i="2" s="1"/>
  <c r="X60" i="2"/>
  <c r="S60" i="2"/>
  <c r="U60" i="2" s="1"/>
  <c r="J60" i="2"/>
  <c r="M60" i="2" s="1"/>
  <c r="X59" i="2"/>
  <c r="S59" i="2"/>
  <c r="U59" i="2" s="1"/>
  <c r="J59" i="2"/>
  <c r="M59" i="2" s="1"/>
  <c r="X58" i="2"/>
  <c r="S58" i="2"/>
  <c r="U58" i="2" s="1"/>
  <c r="J58" i="2"/>
  <c r="M58" i="2" s="1"/>
  <c r="X57" i="2"/>
  <c r="U57" i="2"/>
  <c r="S57" i="2"/>
  <c r="J57" i="2"/>
  <c r="M57" i="2" s="1"/>
  <c r="X56" i="2"/>
  <c r="S56" i="2"/>
  <c r="U56" i="2" s="1"/>
  <c r="J56" i="2"/>
  <c r="M56" i="2" s="1"/>
  <c r="X55" i="2"/>
  <c r="S55" i="2"/>
  <c r="U55" i="2" s="1"/>
  <c r="J55" i="2"/>
  <c r="M55" i="2" s="1"/>
  <c r="X54" i="2"/>
  <c r="S54" i="2"/>
  <c r="U54" i="2" s="1"/>
  <c r="J54" i="2"/>
  <c r="M54" i="2" s="1"/>
  <c r="X53" i="2"/>
  <c r="S53" i="2"/>
  <c r="U53" i="2" s="1"/>
  <c r="J53" i="2"/>
  <c r="M53" i="2" s="1"/>
  <c r="X52" i="2"/>
  <c r="S52" i="2"/>
  <c r="U52" i="2" s="1"/>
  <c r="J52" i="2"/>
  <c r="M52" i="2" s="1"/>
  <c r="X51" i="2"/>
  <c r="S51" i="2"/>
  <c r="U51" i="2" s="1"/>
  <c r="J51" i="2"/>
  <c r="M51" i="2" s="1"/>
  <c r="X50" i="2"/>
  <c r="S50" i="2"/>
  <c r="U50" i="2" s="1"/>
  <c r="J50" i="2"/>
  <c r="M50" i="2" s="1"/>
  <c r="X49" i="2"/>
  <c r="S49" i="2"/>
  <c r="U49" i="2" s="1"/>
  <c r="J49" i="2"/>
  <c r="M49" i="2" s="1"/>
  <c r="X48" i="2"/>
  <c r="S48" i="2"/>
  <c r="U48" i="2" s="1"/>
  <c r="J48" i="2"/>
  <c r="M48" i="2" s="1"/>
  <c r="X47" i="2"/>
  <c r="S47" i="2"/>
  <c r="U47" i="2" s="1"/>
  <c r="J47" i="2"/>
  <c r="M47" i="2" s="1"/>
  <c r="X46" i="2"/>
  <c r="S46" i="2"/>
  <c r="U46" i="2" s="1"/>
  <c r="J46" i="2"/>
  <c r="M46" i="2" s="1"/>
  <c r="X45" i="2"/>
  <c r="S45" i="2"/>
  <c r="U45" i="2" s="1"/>
  <c r="J45" i="2"/>
  <c r="M45" i="2" s="1"/>
  <c r="X44" i="2"/>
  <c r="S44" i="2"/>
  <c r="U44" i="2" s="1"/>
  <c r="J44" i="2"/>
  <c r="M44" i="2" s="1"/>
  <c r="X43" i="2"/>
  <c r="S43" i="2"/>
  <c r="U43" i="2" s="1"/>
  <c r="J43" i="2"/>
  <c r="M43" i="2" s="1"/>
  <c r="X42" i="2"/>
  <c r="S42" i="2"/>
  <c r="U42" i="2" s="1"/>
  <c r="J42" i="2"/>
  <c r="M42" i="2" s="1"/>
  <c r="X41" i="2"/>
  <c r="S41" i="2"/>
  <c r="U41" i="2" s="1"/>
  <c r="J41" i="2"/>
  <c r="M41" i="2" s="1"/>
  <c r="X40" i="2"/>
  <c r="S40" i="2"/>
  <c r="U40" i="2" s="1"/>
  <c r="J40" i="2"/>
  <c r="M40" i="2" s="1"/>
  <c r="X39" i="2"/>
  <c r="S39" i="2"/>
  <c r="U39" i="2" s="1"/>
  <c r="J39" i="2"/>
  <c r="M39" i="2" s="1"/>
  <c r="X38" i="2"/>
  <c r="S38" i="2"/>
  <c r="U38" i="2" s="1"/>
  <c r="J38" i="2"/>
  <c r="M38" i="2" s="1"/>
  <c r="X37" i="2"/>
  <c r="S37" i="2"/>
  <c r="U37" i="2" s="1"/>
  <c r="J37" i="2"/>
  <c r="M37" i="2" s="1"/>
  <c r="X36" i="2"/>
  <c r="S36" i="2"/>
  <c r="U36" i="2" s="1"/>
  <c r="J36" i="2"/>
  <c r="M36" i="2" s="1"/>
  <c r="X35" i="2"/>
  <c r="S35" i="2"/>
  <c r="U35" i="2" s="1"/>
  <c r="J35" i="2"/>
  <c r="M35" i="2" s="1"/>
  <c r="X34" i="2"/>
  <c r="S34" i="2"/>
  <c r="U34" i="2" s="1"/>
  <c r="J34" i="2"/>
  <c r="M34" i="2" s="1"/>
  <c r="X33" i="2"/>
  <c r="S33" i="2"/>
  <c r="U33" i="2" s="1"/>
  <c r="J33" i="2"/>
  <c r="M33" i="2" s="1"/>
  <c r="X32" i="2"/>
  <c r="S32" i="2"/>
  <c r="U32" i="2" s="1"/>
  <c r="J32" i="2"/>
  <c r="M32" i="2" s="1"/>
  <c r="X31" i="2"/>
  <c r="S31" i="2"/>
  <c r="U31" i="2" s="1"/>
  <c r="J31" i="2"/>
  <c r="M31" i="2" s="1"/>
  <c r="X30" i="2"/>
  <c r="S30" i="2"/>
  <c r="U30" i="2" s="1"/>
  <c r="J30" i="2"/>
  <c r="M30" i="2" s="1"/>
  <c r="X29" i="2"/>
  <c r="S29" i="2"/>
  <c r="U29" i="2" s="1"/>
  <c r="J29" i="2"/>
  <c r="M29" i="2" s="1"/>
  <c r="X28" i="2"/>
  <c r="S28" i="2"/>
  <c r="U28" i="2" s="1"/>
  <c r="J28" i="2"/>
  <c r="M28" i="2" s="1"/>
  <c r="X27" i="2"/>
  <c r="S27" i="2"/>
  <c r="U27" i="2" s="1"/>
  <c r="J27" i="2"/>
  <c r="M27" i="2" s="1"/>
  <c r="X26" i="2"/>
  <c r="S26" i="2"/>
  <c r="U26" i="2" s="1"/>
  <c r="J26" i="2"/>
  <c r="M26" i="2" s="1"/>
  <c r="X25" i="2"/>
  <c r="S25" i="2"/>
  <c r="U25" i="2" s="1"/>
  <c r="J25" i="2"/>
  <c r="M25" i="2" s="1"/>
  <c r="X24" i="2"/>
  <c r="U24" i="2"/>
  <c r="S24" i="2"/>
  <c r="J24" i="2"/>
  <c r="M24" i="2" s="1"/>
  <c r="X23" i="2"/>
  <c r="S23" i="2"/>
  <c r="U23" i="2" s="1"/>
  <c r="J23" i="2"/>
  <c r="M23" i="2" s="1"/>
  <c r="X22" i="2"/>
  <c r="S22" i="2"/>
  <c r="U22" i="2" s="1"/>
  <c r="J22" i="2"/>
  <c r="M22" i="2" s="1"/>
  <c r="X21" i="2"/>
  <c r="S21" i="2"/>
  <c r="U21" i="2" s="1"/>
  <c r="J21" i="2"/>
  <c r="M21" i="2" s="1"/>
  <c r="X20" i="2"/>
  <c r="S20" i="2"/>
  <c r="U20" i="2" s="1"/>
  <c r="J20" i="2"/>
  <c r="M20" i="2" s="1"/>
  <c r="X19" i="2"/>
  <c r="S19" i="2"/>
  <c r="U19" i="2" s="1"/>
  <c r="J19" i="2"/>
  <c r="M19" i="2" s="1"/>
  <c r="X18" i="2"/>
  <c r="S18" i="2"/>
  <c r="U18" i="2" s="1"/>
  <c r="J18" i="2"/>
  <c r="M18" i="2" s="1"/>
  <c r="X17" i="2"/>
  <c r="S17" i="2"/>
  <c r="U17" i="2" s="1"/>
  <c r="J17" i="2"/>
  <c r="M17" i="2" s="1"/>
  <c r="X16" i="2"/>
  <c r="S16" i="2"/>
  <c r="U16" i="2" s="1"/>
  <c r="J16" i="2"/>
  <c r="M16" i="2" s="1"/>
  <c r="X15" i="2"/>
  <c r="S15" i="2"/>
  <c r="U15" i="2" s="1"/>
  <c r="J15" i="2"/>
  <c r="M15" i="2" s="1"/>
  <c r="X14" i="2"/>
  <c r="S14" i="2"/>
  <c r="U14" i="2" s="1"/>
  <c r="J14" i="2"/>
  <c r="M14" i="2" s="1"/>
  <c r="X13" i="2"/>
  <c r="S13" i="2"/>
  <c r="U13" i="2" s="1"/>
  <c r="J13" i="2"/>
  <c r="M13" i="2" s="1"/>
  <c r="X12" i="2"/>
  <c r="S12" i="2"/>
  <c r="U12" i="2" s="1"/>
  <c r="J12" i="2"/>
  <c r="M12" i="2" s="1"/>
  <c r="X11" i="2"/>
  <c r="S11" i="2"/>
  <c r="U11" i="2" s="1"/>
  <c r="J11" i="2"/>
  <c r="M11" i="2" s="1"/>
  <c r="X10" i="2"/>
  <c r="S10" i="2"/>
  <c r="U10" i="2" s="1"/>
  <c r="J10" i="2"/>
  <c r="M10" i="2" s="1"/>
  <c r="X9" i="2"/>
  <c r="S9" i="2"/>
  <c r="U9" i="2" s="1"/>
  <c r="J9" i="2"/>
  <c r="M9" i="2" s="1"/>
  <c r="X8" i="2"/>
  <c r="S8" i="2"/>
  <c r="U8" i="2" s="1"/>
  <c r="J8" i="2"/>
  <c r="M8" i="2" s="1"/>
  <c r="X7" i="2"/>
  <c r="S7" i="2"/>
  <c r="U7" i="2" s="1"/>
  <c r="J7" i="2"/>
  <c r="M7" i="2" s="1"/>
  <c r="X6" i="2"/>
  <c r="S6" i="2"/>
  <c r="U6" i="2" s="1"/>
  <c r="J6" i="2"/>
  <c r="M6" i="2" s="1"/>
  <c r="X5" i="2"/>
  <c r="S5" i="2"/>
  <c r="U5" i="2" s="1"/>
  <c r="J5" i="2"/>
  <c r="M5" i="2" s="1"/>
  <c r="X4" i="2"/>
  <c r="S4" i="2"/>
  <c r="U4" i="2" s="1"/>
  <c r="J4" i="2"/>
  <c r="E5" i="1"/>
  <c r="G5" i="1" s="1"/>
  <c r="C5" i="2" s="1"/>
  <c r="E6" i="1"/>
  <c r="G6" i="1" s="1"/>
  <c r="C6" i="2" s="1"/>
  <c r="E7" i="1"/>
  <c r="G7" i="1" s="1"/>
  <c r="C7" i="2" s="1"/>
  <c r="E8" i="1"/>
  <c r="G8" i="1" s="1"/>
  <c r="C8" i="2" s="1"/>
  <c r="E9" i="1"/>
  <c r="G9" i="1" s="1"/>
  <c r="C9" i="2" s="1"/>
  <c r="E10" i="1"/>
  <c r="G10" i="1" s="1"/>
  <c r="C10" i="2" s="1"/>
  <c r="E11" i="1"/>
  <c r="G11" i="1" s="1"/>
  <c r="C11" i="2" s="1"/>
  <c r="E12" i="1"/>
  <c r="G12" i="1" s="1"/>
  <c r="C12" i="2" s="1"/>
  <c r="E13" i="1"/>
  <c r="G13" i="1" s="1"/>
  <c r="C13" i="2" s="1"/>
  <c r="E14" i="1"/>
  <c r="G14" i="1" s="1"/>
  <c r="C14" i="2" s="1"/>
  <c r="E15" i="1"/>
  <c r="G15" i="1" s="1"/>
  <c r="C15" i="2" s="1"/>
  <c r="E16" i="1"/>
  <c r="G16" i="1" s="1"/>
  <c r="C16" i="2" s="1"/>
  <c r="E17" i="1"/>
  <c r="G17" i="1" s="1"/>
  <c r="C17" i="2" s="1"/>
  <c r="E18" i="1"/>
  <c r="G18" i="1" s="1"/>
  <c r="C18" i="2" s="1"/>
  <c r="E19" i="1"/>
  <c r="G19" i="1" s="1"/>
  <c r="C19" i="2" s="1"/>
  <c r="E20" i="1"/>
  <c r="G20" i="1" s="1"/>
  <c r="C20" i="2" s="1"/>
  <c r="E21" i="1"/>
  <c r="G21" i="1" s="1"/>
  <c r="C21" i="2" s="1"/>
  <c r="E22" i="1"/>
  <c r="G22" i="1" s="1"/>
  <c r="C22" i="2" s="1"/>
  <c r="E23" i="1"/>
  <c r="G23" i="1" s="1"/>
  <c r="C23" i="2" s="1"/>
  <c r="E24" i="1"/>
  <c r="G24" i="1" s="1"/>
  <c r="C24" i="2" s="1"/>
  <c r="E25" i="1"/>
  <c r="G25" i="1" s="1"/>
  <c r="C25" i="2" s="1"/>
  <c r="E26" i="1"/>
  <c r="G26" i="1" s="1"/>
  <c r="C26" i="2" s="1"/>
  <c r="E27" i="1"/>
  <c r="G27" i="1" s="1"/>
  <c r="C27" i="2" s="1"/>
  <c r="E28" i="1"/>
  <c r="G28" i="1" s="1"/>
  <c r="C28" i="2" s="1"/>
  <c r="E29" i="1"/>
  <c r="G29" i="1" s="1"/>
  <c r="C29" i="2" s="1"/>
  <c r="E30" i="1"/>
  <c r="G30" i="1" s="1"/>
  <c r="C30" i="2" s="1"/>
  <c r="E31" i="1"/>
  <c r="G31" i="1" s="1"/>
  <c r="C31" i="2" s="1"/>
  <c r="E32" i="1"/>
  <c r="G32" i="1" s="1"/>
  <c r="C32" i="2" s="1"/>
  <c r="E33" i="1"/>
  <c r="G33" i="1" s="1"/>
  <c r="C33" i="2" s="1"/>
  <c r="E34" i="1"/>
  <c r="G34" i="1" s="1"/>
  <c r="C34" i="2" s="1"/>
  <c r="E35" i="1"/>
  <c r="G35" i="1" s="1"/>
  <c r="C35" i="2" s="1"/>
  <c r="E36" i="1"/>
  <c r="G36" i="1" s="1"/>
  <c r="C36" i="2" s="1"/>
  <c r="E37" i="1"/>
  <c r="G37" i="1" s="1"/>
  <c r="C37" i="2" s="1"/>
  <c r="E38" i="1"/>
  <c r="G38" i="1" s="1"/>
  <c r="C38" i="2" s="1"/>
  <c r="E39" i="1"/>
  <c r="G39" i="1" s="1"/>
  <c r="C39" i="2" s="1"/>
  <c r="E40" i="1"/>
  <c r="G40" i="1" s="1"/>
  <c r="C40" i="2" s="1"/>
  <c r="E41" i="1"/>
  <c r="G41" i="1" s="1"/>
  <c r="C41" i="2" s="1"/>
  <c r="E42" i="1"/>
  <c r="G42" i="1" s="1"/>
  <c r="C42" i="2" s="1"/>
  <c r="E43" i="1"/>
  <c r="G43" i="1" s="1"/>
  <c r="C43" i="2" s="1"/>
  <c r="E44" i="1"/>
  <c r="G44" i="1" s="1"/>
  <c r="C44" i="2" s="1"/>
  <c r="E45" i="1"/>
  <c r="G45" i="1" s="1"/>
  <c r="C45" i="2" s="1"/>
  <c r="E46" i="1"/>
  <c r="G46" i="1" s="1"/>
  <c r="C46" i="2" s="1"/>
  <c r="E47" i="1"/>
  <c r="G47" i="1" s="1"/>
  <c r="C47" i="2" s="1"/>
  <c r="E48" i="1"/>
  <c r="G48" i="1" s="1"/>
  <c r="C48" i="2" s="1"/>
  <c r="E49" i="1"/>
  <c r="G49" i="1" s="1"/>
  <c r="C49" i="2" s="1"/>
  <c r="E50" i="1"/>
  <c r="G50" i="1" s="1"/>
  <c r="C50" i="2" s="1"/>
  <c r="E51" i="1"/>
  <c r="G51" i="1" s="1"/>
  <c r="C51" i="2" s="1"/>
  <c r="E52" i="1"/>
  <c r="G52" i="1" s="1"/>
  <c r="C52" i="2" s="1"/>
  <c r="E53" i="1"/>
  <c r="G53" i="1" s="1"/>
  <c r="C53" i="2" s="1"/>
  <c r="E54" i="1"/>
  <c r="G54" i="1" s="1"/>
  <c r="C54" i="2" s="1"/>
  <c r="E55" i="1"/>
  <c r="G55" i="1" s="1"/>
  <c r="C55" i="2" s="1"/>
  <c r="E56" i="1"/>
  <c r="G56" i="1" s="1"/>
  <c r="C56" i="2" s="1"/>
  <c r="E57" i="1"/>
  <c r="G57" i="1" s="1"/>
  <c r="C57" i="2" s="1"/>
  <c r="E58" i="1"/>
  <c r="G58" i="1" s="1"/>
  <c r="C58" i="2" s="1"/>
  <c r="E59" i="1"/>
  <c r="G59" i="1" s="1"/>
  <c r="C59" i="2" s="1"/>
  <c r="E60" i="1"/>
  <c r="G60" i="1" s="1"/>
  <c r="C60" i="2" s="1"/>
  <c r="E61" i="1"/>
  <c r="G61" i="1" s="1"/>
  <c r="C61" i="2" s="1"/>
  <c r="E62" i="1"/>
  <c r="G62" i="1" s="1"/>
  <c r="C62" i="2" s="1"/>
  <c r="E63" i="1"/>
  <c r="G63" i="1" s="1"/>
  <c r="C63" i="2" s="1"/>
  <c r="E64" i="1"/>
  <c r="G64" i="1" s="1"/>
  <c r="C64" i="2" s="1"/>
  <c r="E65" i="1"/>
  <c r="G65" i="1" s="1"/>
  <c r="C65" i="2" s="1"/>
  <c r="E66" i="1"/>
  <c r="G66" i="1" s="1"/>
  <c r="C66" i="2" s="1"/>
  <c r="E67" i="1"/>
  <c r="G67" i="1" s="1"/>
  <c r="C67" i="2" s="1"/>
  <c r="E68" i="1"/>
  <c r="G68" i="1" s="1"/>
  <c r="C68" i="2" s="1"/>
  <c r="E69" i="1"/>
  <c r="G69" i="1" s="1"/>
  <c r="C69" i="2" s="1"/>
  <c r="E70" i="1"/>
  <c r="G70" i="1" s="1"/>
  <c r="C70" i="2" s="1"/>
  <c r="E71" i="1"/>
  <c r="G71" i="1" s="1"/>
  <c r="C71" i="2" s="1"/>
  <c r="E72" i="1"/>
  <c r="G72" i="1" s="1"/>
  <c r="C72" i="2" s="1"/>
  <c r="E73" i="1"/>
  <c r="G73" i="1" s="1"/>
  <c r="C73" i="2" s="1"/>
  <c r="E74" i="1"/>
  <c r="G74" i="1" s="1"/>
  <c r="C74" i="2" s="1"/>
  <c r="E75" i="1"/>
  <c r="G75" i="1" s="1"/>
  <c r="C75" i="2" s="1"/>
  <c r="E76" i="1"/>
  <c r="G76" i="1" s="1"/>
  <c r="C76" i="2" s="1"/>
  <c r="E77" i="1"/>
  <c r="G77" i="1" s="1"/>
  <c r="C77" i="2" s="1"/>
  <c r="E78" i="1"/>
  <c r="G78" i="1" s="1"/>
  <c r="C78" i="2" s="1"/>
  <c r="E79" i="1"/>
  <c r="G79" i="1" s="1"/>
  <c r="C79" i="2" s="1"/>
  <c r="E80" i="1"/>
  <c r="G80" i="1" s="1"/>
  <c r="C80" i="2" s="1"/>
  <c r="E81" i="1"/>
  <c r="G81" i="1" s="1"/>
  <c r="C81" i="2" s="1"/>
  <c r="E82" i="1"/>
  <c r="G82" i="1" s="1"/>
  <c r="C82" i="2" s="1"/>
  <c r="E83" i="1"/>
  <c r="G83" i="1" s="1"/>
  <c r="C83" i="2" s="1"/>
  <c r="E84" i="1"/>
  <c r="G84" i="1" s="1"/>
  <c r="C84" i="2" s="1"/>
  <c r="E85" i="1"/>
  <c r="G85" i="1" s="1"/>
  <c r="C85" i="2" s="1"/>
  <c r="E86" i="1"/>
  <c r="G86" i="1" s="1"/>
  <c r="C86" i="2" s="1"/>
  <c r="E87" i="1"/>
  <c r="G87" i="1" s="1"/>
  <c r="C87" i="2" s="1"/>
  <c r="E88" i="1"/>
  <c r="G88" i="1" s="1"/>
  <c r="C88" i="2" s="1"/>
  <c r="E89" i="1"/>
  <c r="G89" i="1" s="1"/>
  <c r="C89" i="2" s="1"/>
  <c r="E90" i="1"/>
  <c r="G90" i="1" s="1"/>
  <c r="C90" i="2" s="1"/>
  <c r="E91" i="1"/>
  <c r="G91" i="1" s="1"/>
  <c r="C91" i="2" s="1"/>
  <c r="E92" i="1"/>
  <c r="G92" i="1" s="1"/>
  <c r="C92" i="2" s="1"/>
  <c r="E93" i="1"/>
  <c r="G93" i="1" s="1"/>
  <c r="C93" i="2" s="1"/>
  <c r="E94" i="1"/>
  <c r="G94" i="1" s="1"/>
  <c r="C94" i="2" s="1"/>
  <c r="E95" i="1"/>
  <c r="G95" i="1" s="1"/>
  <c r="C95" i="2" s="1"/>
  <c r="E96" i="1"/>
  <c r="G96" i="1" s="1"/>
  <c r="C96" i="2" s="1"/>
  <c r="E97" i="1"/>
  <c r="G97" i="1" s="1"/>
  <c r="C97" i="2" s="1"/>
  <c r="E98" i="1"/>
  <c r="G98" i="1" s="1"/>
  <c r="C98" i="2" s="1"/>
  <c r="E99" i="1"/>
  <c r="G99" i="1" s="1"/>
  <c r="C99" i="2" s="1"/>
  <c r="E100" i="1"/>
  <c r="G100" i="1" s="1"/>
  <c r="C100" i="2" s="1"/>
  <c r="E101" i="1"/>
  <c r="G101" i="1" s="1"/>
  <c r="C101" i="2" s="1"/>
  <c r="E102" i="1"/>
  <c r="G102" i="1" s="1"/>
  <c r="C102" i="2" s="1"/>
  <c r="E103" i="1"/>
  <c r="G103" i="1" s="1"/>
  <c r="C103" i="2" s="1"/>
  <c r="E104" i="1"/>
  <c r="G104" i="1" s="1"/>
  <c r="C104" i="2" s="1"/>
  <c r="E105" i="1"/>
  <c r="G105" i="1" s="1"/>
  <c r="C105" i="2" s="1"/>
  <c r="E106" i="1"/>
  <c r="G106" i="1" s="1"/>
  <c r="C106" i="2" s="1"/>
  <c r="E107" i="1"/>
  <c r="G107" i="1" s="1"/>
  <c r="C107" i="2" s="1"/>
  <c r="E108" i="1"/>
  <c r="G108" i="1" s="1"/>
  <c r="C108" i="2" s="1"/>
  <c r="E109" i="1"/>
  <c r="G109" i="1" s="1"/>
  <c r="C109" i="2" s="1"/>
  <c r="E110" i="1"/>
  <c r="G110" i="1" s="1"/>
  <c r="C110" i="2" s="1"/>
  <c r="E111" i="1"/>
  <c r="G111" i="1" s="1"/>
  <c r="C111" i="2" s="1"/>
  <c r="E112" i="1"/>
  <c r="G112" i="1" s="1"/>
  <c r="C112" i="2" s="1"/>
  <c r="E113" i="1"/>
  <c r="G113" i="1" s="1"/>
  <c r="C113" i="2" s="1"/>
  <c r="E114" i="1"/>
  <c r="G114" i="1" s="1"/>
  <c r="C114" i="2" s="1"/>
  <c r="E115" i="1"/>
  <c r="G115" i="1" s="1"/>
  <c r="C115" i="2" s="1"/>
  <c r="E116" i="1"/>
  <c r="G116" i="1" s="1"/>
  <c r="C116" i="2" s="1"/>
  <c r="E117" i="1"/>
  <c r="G117" i="1" s="1"/>
  <c r="C117" i="2" s="1"/>
  <c r="E118" i="1"/>
  <c r="G118" i="1" s="1"/>
  <c r="C118" i="2" s="1"/>
  <c r="E119" i="1"/>
  <c r="G119" i="1" s="1"/>
  <c r="C119" i="2" s="1"/>
  <c r="E120" i="1"/>
  <c r="G120" i="1" s="1"/>
  <c r="C120" i="2" s="1"/>
  <c r="E121" i="1"/>
  <c r="G121" i="1" s="1"/>
  <c r="C121" i="2" s="1"/>
  <c r="E122" i="1"/>
  <c r="G122" i="1" s="1"/>
  <c r="C122" i="2" s="1"/>
  <c r="E123" i="1"/>
  <c r="G123" i="1" s="1"/>
  <c r="C123" i="2" s="1"/>
  <c r="E124" i="1"/>
  <c r="G124" i="1" s="1"/>
  <c r="C124" i="2" s="1"/>
  <c r="E125" i="1"/>
  <c r="G125" i="1" s="1"/>
  <c r="C125" i="2" s="1"/>
  <c r="E126" i="1"/>
  <c r="G126" i="1" s="1"/>
  <c r="C126" i="2" s="1"/>
  <c r="E127" i="1"/>
  <c r="G127" i="1" s="1"/>
  <c r="C127" i="2" s="1"/>
  <c r="E128" i="1"/>
  <c r="G128" i="1" s="1"/>
  <c r="C128" i="2" s="1"/>
  <c r="E129" i="1"/>
  <c r="G129" i="1" s="1"/>
  <c r="C129" i="2" s="1"/>
  <c r="E130" i="1"/>
  <c r="G130" i="1" s="1"/>
  <c r="C130" i="2" s="1"/>
  <c r="E131" i="1"/>
  <c r="G131" i="1" s="1"/>
  <c r="C131" i="2" s="1"/>
  <c r="E132" i="1"/>
  <c r="G132" i="1" s="1"/>
  <c r="C132" i="2" s="1"/>
  <c r="E133" i="1"/>
  <c r="G133" i="1" s="1"/>
  <c r="C133" i="2" s="1"/>
  <c r="E134" i="1"/>
  <c r="G134" i="1" s="1"/>
  <c r="C134" i="2" s="1"/>
  <c r="E135" i="1"/>
  <c r="G135" i="1" s="1"/>
  <c r="C135" i="2" s="1"/>
  <c r="E136" i="1"/>
  <c r="G136" i="1" s="1"/>
  <c r="C136" i="2" s="1"/>
  <c r="E137" i="1"/>
  <c r="G137" i="1" s="1"/>
  <c r="C137" i="2" s="1"/>
  <c r="E138" i="1"/>
  <c r="G138" i="1" s="1"/>
  <c r="C138" i="2" s="1"/>
  <c r="E139" i="1"/>
  <c r="G139" i="1" s="1"/>
  <c r="C139" i="2" s="1"/>
  <c r="E140" i="1"/>
  <c r="G140" i="1" s="1"/>
  <c r="C140" i="2" s="1"/>
  <c r="E141" i="1"/>
  <c r="G141" i="1" s="1"/>
  <c r="C141" i="2" s="1"/>
  <c r="E142" i="1"/>
  <c r="G142" i="1" s="1"/>
  <c r="C142" i="2" s="1"/>
  <c r="E143" i="1"/>
  <c r="G143" i="1" s="1"/>
  <c r="C143" i="2" s="1"/>
  <c r="E144" i="1"/>
  <c r="G144" i="1" s="1"/>
  <c r="C144" i="2" s="1"/>
  <c r="E145" i="1"/>
  <c r="G145" i="1" s="1"/>
  <c r="C145" i="2" s="1"/>
  <c r="E146" i="1"/>
  <c r="G146" i="1" s="1"/>
  <c r="C146" i="2" s="1"/>
  <c r="E147" i="1"/>
  <c r="G147" i="1" s="1"/>
  <c r="C147" i="2" s="1"/>
  <c r="E148" i="1"/>
  <c r="G148" i="1" s="1"/>
  <c r="C148" i="2" s="1"/>
  <c r="E149" i="1"/>
  <c r="G149" i="1" s="1"/>
  <c r="C149" i="2" s="1"/>
  <c r="E150" i="1"/>
  <c r="G150" i="1" s="1"/>
  <c r="C150" i="2" s="1"/>
  <c r="E151" i="1"/>
  <c r="G151" i="1" s="1"/>
  <c r="C151" i="2" s="1"/>
  <c r="E152" i="1"/>
  <c r="G152" i="1" s="1"/>
  <c r="C152" i="2" s="1"/>
  <c r="E153" i="1"/>
  <c r="G153" i="1" s="1"/>
  <c r="C153" i="2" s="1"/>
  <c r="E154" i="1"/>
  <c r="G154" i="1" s="1"/>
  <c r="C154" i="2" s="1"/>
  <c r="E155" i="1"/>
  <c r="G155" i="1" s="1"/>
  <c r="C155" i="2" s="1"/>
  <c r="E156" i="1"/>
  <c r="G156" i="1" s="1"/>
  <c r="C156" i="2" s="1"/>
  <c r="E157" i="1"/>
  <c r="G157" i="1" s="1"/>
  <c r="C157" i="2" s="1"/>
  <c r="E158" i="1"/>
  <c r="G158" i="1" s="1"/>
  <c r="C158" i="2" s="1"/>
  <c r="E159" i="1"/>
  <c r="G159" i="1" s="1"/>
  <c r="C159" i="2" s="1"/>
  <c r="E160" i="1"/>
  <c r="G160" i="1" s="1"/>
  <c r="C160" i="2" s="1"/>
  <c r="E161" i="1"/>
  <c r="G161" i="1" s="1"/>
  <c r="C161" i="2" s="1"/>
  <c r="E162" i="1"/>
  <c r="G162" i="1" s="1"/>
  <c r="C162" i="2" s="1"/>
  <c r="E163" i="1"/>
  <c r="G163" i="1" s="1"/>
  <c r="C163" i="2" s="1"/>
  <c r="E164" i="1"/>
  <c r="G164" i="1" s="1"/>
  <c r="C164" i="2" s="1"/>
  <c r="E165" i="1"/>
  <c r="G165" i="1" s="1"/>
  <c r="C165" i="2" s="1"/>
  <c r="E166" i="1"/>
  <c r="G166" i="1" s="1"/>
  <c r="C166" i="2" s="1"/>
  <c r="E167" i="1"/>
  <c r="G167" i="1" s="1"/>
  <c r="C167" i="2" s="1"/>
  <c r="E168" i="1"/>
  <c r="G168" i="1" s="1"/>
  <c r="C168" i="2" s="1"/>
  <c r="E169" i="1"/>
  <c r="G169" i="1" s="1"/>
  <c r="C169" i="2" s="1"/>
  <c r="E170" i="1"/>
  <c r="G170" i="1" s="1"/>
  <c r="C170" i="2" s="1"/>
  <c r="E171" i="1"/>
  <c r="G171" i="1" s="1"/>
  <c r="C171" i="2" s="1"/>
  <c r="E172" i="1"/>
  <c r="G172" i="1" s="1"/>
  <c r="C172" i="2" s="1"/>
  <c r="E173" i="1"/>
  <c r="G173" i="1" s="1"/>
  <c r="C173" i="2" s="1"/>
  <c r="E174" i="1"/>
  <c r="G174" i="1" s="1"/>
  <c r="C174" i="2" s="1"/>
  <c r="E175" i="1"/>
  <c r="G175" i="1" s="1"/>
  <c r="C175" i="2" s="1"/>
  <c r="E176" i="1"/>
  <c r="G176" i="1" s="1"/>
  <c r="C176" i="2" s="1"/>
  <c r="E177" i="1"/>
  <c r="G177" i="1" s="1"/>
  <c r="C177" i="2" s="1"/>
  <c r="E178" i="1"/>
  <c r="G178" i="1" s="1"/>
  <c r="C178" i="2" s="1"/>
  <c r="E179" i="1"/>
  <c r="G179" i="1" s="1"/>
  <c r="C179" i="2" s="1"/>
  <c r="E180" i="1"/>
  <c r="G180" i="1" s="1"/>
  <c r="C180" i="2" s="1"/>
  <c r="E181" i="1"/>
  <c r="G181" i="1" s="1"/>
  <c r="C181" i="2" s="1"/>
  <c r="E182" i="1"/>
  <c r="G182" i="1" s="1"/>
  <c r="C182" i="2" s="1"/>
  <c r="E183" i="1"/>
  <c r="G183" i="1" s="1"/>
  <c r="C183" i="2" s="1"/>
  <c r="E184" i="1"/>
  <c r="G184" i="1" s="1"/>
  <c r="C184" i="2" s="1"/>
  <c r="E185" i="1"/>
  <c r="G185" i="1" s="1"/>
  <c r="C185" i="2" s="1"/>
  <c r="E186" i="1"/>
  <c r="G186" i="1" s="1"/>
  <c r="C186" i="2" s="1"/>
  <c r="E187" i="1"/>
  <c r="G187" i="1" s="1"/>
  <c r="C187" i="2" s="1"/>
  <c r="E188" i="1"/>
  <c r="G188" i="1" s="1"/>
  <c r="C188" i="2" s="1"/>
  <c r="E189" i="1"/>
  <c r="G189" i="1" s="1"/>
  <c r="C189" i="2" s="1"/>
  <c r="E190" i="1"/>
  <c r="G190" i="1" s="1"/>
  <c r="C190" i="2" s="1"/>
  <c r="E191" i="1"/>
  <c r="G191" i="1" s="1"/>
  <c r="C191" i="2" s="1"/>
  <c r="E192" i="1"/>
  <c r="G192" i="1" s="1"/>
  <c r="C192" i="2" s="1"/>
  <c r="E193" i="1"/>
  <c r="G193" i="1" s="1"/>
  <c r="C193" i="2" s="1"/>
  <c r="E194" i="1"/>
  <c r="G194" i="1" s="1"/>
  <c r="C194" i="2" s="1"/>
  <c r="E195" i="1"/>
  <c r="G195" i="1" s="1"/>
  <c r="C195" i="2" s="1"/>
  <c r="E196" i="1"/>
  <c r="G196" i="1" s="1"/>
  <c r="C196" i="2" s="1"/>
  <c r="E197" i="1"/>
  <c r="G197" i="1" s="1"/>
  <c r="C197" i="2" s="1"/>
  <c r="E198" i="1"/>
  <c r="G198" i="1" s="1"/>
  <c r="C198" i="2" s="1"/>
  <c r="E199" i="1"/>
  <c r="G199" i="1" s="1"/>
  <c r="C199" i="2" s="1"/>
  <c r="E200" i="1"/>
  <c r="G200" i="1" s="1"/>
  <c r="C200" i="2" s="1"/>
  <c r="E201" i="1"/>
  <c r="G201" i="1" s="1"/>
  <c r="C201" i="2" s="1"/>
  <c r="E202" i="1"/>
  <c r="G202" i="1" s="1"/>
  <c r="C202" i="2" s="1"/>
  <c r="E203" i="1"/>
  <c r="G203" i="1" s="1"/>
  <c r="C203" i="2" s="1"/>
  <c r="K219" i="1"/>
  <c r="K211" i="1"/>
  <c r="N15" i="9" s="1"/>
  <c r="K208" i="1"/>
  <c r="J203" i="1"/>
  <c r="J202" i="1"/>
  <c r="J203" i="9" s="1"/>
  <c r="J201" i="1"/>
  <c r="J202" i="9" s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90" i="9" s="1"/>
  <c r="J188" i="1"/>
  <c r="J189" i="9" s="1"/>
  <c r="J187" i="1"/>
  <c r="J186" i="1"/>
  <c r="J187" i="9" s="1"/>
  <c r="J185" i="1"/>
  <c r="J184" i="1"/>
  <c r="J185" i="9" s="1"/>
  <c r="J183" i="1"/>
  <c r="J184" i="9" s="1"/>
  <c r="J182" i="1"/>
  <c r="J181" i="1"/>
  <c r="J182" i="9" s="1"/>
  <c r="J180" i="1"/>
  <c r="J181" i="9" s="1"/>
  <c r="J179" i="1"/>
  <c r="J178" i="1"/>
  <c r="J179" i="9" s="1"/>
  <c r="J177" i="1"/>
  <c r="J176" i="1"/>
  <c r="J177" i="9" s="1"/>
  <c r="J175" i="1"/>
  <c r="J176" i="9" s="1"/>
  <c r="J174" i="1"/>
  <c r="J175" i="9" s="1"/>
  <c r="J173" i="1"/>
  <c r="J174" i="9" s="1"/>
  <c r="J172" i="1"/>
  <c r="J173" i="9" s="1"/>
  <c r="J171" i="1"/>
  <c r="J170" i="1"/>
  <c r="J169" i="1"/>
  <c r="J168" i="1"/>
  <c r="J169" i="9" s="1"/>
  <c r="J167" i="1"/>
  <c r="J168" i="9" s="1"/>
  <c r="J166" i="1"/>
  <c r="J167" i="9" s="1"/>
  <c r="J165" i="1"/>
  <c r="J166" i="9" s="1"/>
  <c r="J164" i="1"/>
  <c r="J165" i="9" s="1"/>
  <c r="J163" i="1"/>
  <c r="J162" i="1"/>
  <c r="J161" i="1"/>
  <c r="J162" i="9" s="1"/>
  <c r="J160" i="1"/>
  <c r="J161" i="9" s="1"/>
  <c r="J159" i="1"/>
  <c r="J160" i="9" s="1"/>
  <c r="J158" i="1"/>
  <c r="J157" i="1"/>
  <c r="J158" i="9" s="1"/>
  <c r="J156" i="1"/>
  <c r="J157" i="9" s="1"/>
  <c r="J155" i="1"/>
  <c r="J154" i="1"/>
  <c r="J153" i="1"/>
  <c r="J154" i="9" s="1"/>
  <c r="J152" i="1"/>
  <c r="J153" i="9" s="1"/>
  <c r="J151" i="1"/>
  <c r="J152" i="9" s="1"/>
  <c r="J150" i="1"/>
  <c r="J151" i="9" s="1"/>
  <c r="J149" i="1"/>
  <c r="J150" i="9" s="1"/>
  <c r="J148" i="1"/>
  <c r="J149" i="9" s="1"/>
  <c r="J147" i="1"/>
  <c r="J146" i="1"/>
  <c r="J145" i="1"/>
  <c r="J146" i="9" s="1"/>
  <c r="J144" i="1"/>
  <c r="J145" i="9" s="1"/>
  <c r="J143" i="1"/>
  <c r="J144" i="9" s="1"/>
  <c r="J142" i="1"/>
  <c r="J143" i="9" s="1"/>
  <c r="J141" i="1"/>
  <c r="J142" i="9" s="1"/>
  <c r="J140" i="1"/>
  <c r="J141" i="9" s="1"/>
  <c r="J139" i="1"/>
  <c r="J138" i="1"/>
  <c r="J137" i="1"/>
  <c r="J138" i="9" s="1"/>
  <c r="J136" i="1"/>
  <c r="J137" i="9" s="1"/>
  <c r="J135" i="1"/>
  <c r="J136" i="9" s="1"/>
  <c r="J134" i="1"/>
  <c r="J135" i="9" s="1"/>
  <c r="J133" i="1"/>
  <c r="J134" i="9" s="1"/>
  <c r="J132" i="1"/>
  <c r="J133" i="9" s="1"/>
  <c r="J131" i="1"/>
  <c r="J130" i="1"/>
  <c r="J129" i="1"/>
  <c r="J130" i="9" s="1"/>
  <c r="J128" i="1"/>
  <c r="J129" i="9" s="1"/>
  <c r="J127" i="1"/>
  <c r="J128" i="9" s="1"/>
  <c r="J126" i="1"/>
  <c r="J127" i="9" s="1"/>
  <c r="J125" i="1"/>
  <c r="J126" i="9" s="1"/>
  <c r="J124" i="1"/>
  <c r="J125" i="9" s="1"/>
  <c r="J123" i="1"/>
  <c r="J122" i="1"/>
  <c r="J121" i="1"/>
  <c r="J122" i="9" s="1"/>
  <c r="J120" i="1"/>
  <c r="J121" i="9" s="1"/>
  <c r="J119" i="1"/>
  <c r="J120" i="9" s="1"/>
  <c r="J118" i="1"/>
  <c r="J119" i="9" s="1"/>
  <c r="J117" i="1"/>
  <c r="J118" i="9" s="1"/>
  <c r="J116" i="1"/>
  <c r="J117" i="9" s="1"/>
  <c r="J115" i="1"/>
  <c r="J114" i="1"/>
  <c r="J113" i="1"/>
  <c r="J114" i="9" s="1"/>
  <c r="J112" i="1"/>
  <c r="J113" i="9" s="1"/>
  <c r="J111" i="1"/>
  <c r="J112" i="9" s="1"/>
  <c r="J110" i="1"/>
  <c r="J111" i="9" s="1"/>
  <c r="J109" i="1"/>
  <c r="J110" i="9" s="1"/>
  <c r="J108" i="1"/>
  <c r="J109" i="9" s="1"/>
  <c r="J107" i="1"/>
  <c r="J106" i="1"/>
  <c r="J105" i="1"/>
  <c r="J106" i="9" s="1"/>
  <c r="Z104" i="1"/>
  <c r="J104" i="1"/>
  <c r="J105" i="9" s="1"/>
  <c r="X103" i="1"/>
  <c r="S103" i="1"/>
  <c r="U103" i="1" s="1"/>
  <c r="J103" i="1"/>
  <c r="J104" i="9" s="1"/>
  <c r="X102" i="1"/>
  <c r="S102" i="1"/>
  <c r="U102" i="1" s="1"/>
  <c r="J102" i="1"/>
  <c r="J103" i="9" s="1"/>
  <c r="X101" i="1"/>
  <c r="S101" i="1"/>
  <c r="U101" i="1" s="1"/>
  <c r="J101" i="1"/>
  <c r="J102" i="9" s="1"/>
  <c r="X100" i="1"/>
  <c r="S100" i="1"/>
  <c r="U100" i="1" s="1"/>
  <c r="J100" i="1"/>
  <c r="X99" i="1"/>
  <c r="S99" i="1"/>
  <c r="U99" i="1" s="1"/>
  <c r="J99" i="1"/>
  <c r="J100" i="9" s="1"/>
  <c r="X98" i="1"/>
  <c r="S98" i="1"/>
  <c r="U98" i="1" s="1"/>
  <c r="J98" i="1"/>
  <c r="J99" i="9" s="1"/>
  <c r="X97" i="1"/>
  <c r="S97" i="1"/>
  <c r="U97" i="1" s="1"/>
  <c r="J97" i="1"/>
  <c r="X96" i="1"/>
  <c r="S96" i="1"/>
  <c r="U96" i="1" s="1"/>
  <c r="J96" i="1"/>
  <c r="J97" i="9" s="1"/>
  <c r="X95" i="1"/>
  <c r="S95" i="1"/>
  <c r="U95" i="1" s="1"/>
  <c r="J95" i="1"/>
  <c r="X94" i="1"/>
  <c r="S94" i="1"/>
  <c r="U94" i="1" s="1"/>
  <c r="J94" i="1"/>
  <c r="J95" i="9" s="1"/>
  <c r="X93" i="1"/>
  <c r="S93" i="1"/>
  <c r="U93" i="1" s="1"/>
  <c r="J93" i="1"/>
  <c r="J94" i="9" s="1"/>
  <c r="X92" i="1"/>
  <c r="S92" i="1"/>
  <c r="U92" i="1" s="1"/>
  <c r="J92" i="1"/>
  <c r="J93" i="9" s="1"/>
  <c r="X91" i="1"/>
  <c r="S91" i="1"/>
  <c r="U91" i="1" s="1"/>
  <c r="J91" i="1"/>
  <c r="J92" i="9" s="1"/>
  <c r="X90" i="1"/>
  <c r="S90" i="1"/>
  <c r="U90" i="1" s="1"/>
  <c r="J90" i="1"/>
  <c r="X89" i="1"/>
  <c r="S89" i="1"/>
  <c r="U89" i="1" s="1"/>
  <c r="J89" i="1"/>
  <c r="X88" i="1"/>
  <c r="S88" i="1"/>
  <c r="U88" i="1" s="1"/>
  <c r="J88" i="1"/>
  <c r="J89" i="9" s="1"/>
  <c r="X87" i="1"/>
  <c r="S87" i="1"/>
  <c r="U87" i="1" s="1"/>
  <c r="J87" i="1"/>
  <c r="J88" i="9" s="1"/>
  <c r="X86" i="1"/>
  <c r="S86" i="1"/>
  <c r="U86" i="1" s="1"/>
  <c r="J86" i="1"/>
  <c r="J87" i="9" s="1"/>
  <c r="X85" i="1"/>
  <c r="S85" i="1"/>
  <c r="U85" i="1" s="1"/>
  <c r="J85" i="1"/>
  <c r="J86" i="9" s="1"/>
  <c r="X84" i="1"/>
  <c r="S84" i="1"/>
  <c r="U84" i="1" s="1"/>
  <c r="J84" i="1"/>
  <c r="J85" i="9" s="1"/>
  <c r="X83" i="1"/>
  <c r="S83" i="1"/>
  <c r="U83" i="1" s="1"/>
  <c r="J83" i="1"/>
  <c r="J84" i="9" s="1"/>
  <c r="X82" i="1"/>
  <c r="S82" i="1"/>
  <c r="U82" i="1" s="1"/>
  <c r="J82" i="1"/>
  <c r="X81" i="1"/>
  <c r="S81" i="1"/>
  <c r="U81" i="1" s="1"/>
  <c r="J81" i="1"/>
  <c r="X80" i="1"/>
  <c r="S80" i="1"/>
  <c r="U80" i="1" s="1"/>
  <c r="J80" i="1"/>
  <c r="J81" i="9" s="1"/>
  <c r="X79" i="1"/>
  <c r="S79" i="1"/>
  <c r="U79" i="1" s="1"/>
  <c r="J79" i="1"/>
  <c r="J80" i="9" s="1"/>
  <c r="X78" i="1"/>
  <c r="S78" i="1"/>
  <c r="U78" i="1" s="1"/>
  <c r="J78" i="1"/>
  <c r="J79" i="9" s="1"/>
  <c r="X77" i="1"/>
  <c r="S77" i="1"/>
  <c r="U77" i="1" s="1"/>
  <c r="J77" i="1"/>
  <c r="J78" i="9" s="1"/>
  <c r="X76" i="1"/>
  <c r="S76" i="1"/>
  <c r="U76" i="1" s="1"/>
  <c r="J76" i="1"/>
  <c r="J77" i="9" s="1"/>
  <c r="X75" i="1"/>
  <c r="S75" i="1"/>
  <c r="U75" i="1" s="1"/>
  <c r="J75" i="1"/>
  <c r="J76" i="9" s="1"/>
  <c r="X74" i="1"/>
  <c r="S74" i="1"/>
  <c r="U74" i="1" s="1"/>
  <c r="J74" i="1"/>
  <c r="X73" i="1"/>
  <c r="S73" i="1"/>
  <c r="U73" i="1" s="1"/>
  <c r="J73" i="1"/>
  <c r="X72" i="1"/>
  <c r="S72" i="1"/>
  <c r="U72" i="1" s="1"/>
  <c r="J72" i="1"/>
  <c r="J73" i="9" s="1"/>
  <c r="X71" i="1"/>
  <c r="S71" i="1"/>
  <c r="U71" i="1" s="1"/>
  <c r="J71" i="1"/>
  <c r="J72" i="9" s="1"/>
  <c r="X70" i="1"/>
  <c r="S70" i="1"/>
  <c r="U70" i="1" s="1"/>
  <c r="J70" i="1"/>
  <c r="J71" i="9" s="1"/>
  <c r="X69" i="1"/>
  <c r="S69" i="1"/>
  <c r="U69" i="1" s="1"/>
  <c r="J69" i="1"/>
  <c r="J70" i="9" s="1"/>
  <c r="X68" i="1"/>
  <c r="S68" i="1"/>
  <c r="U68" i="1" s="1"/>
  <c r="J68" i="1"/>
  <c r="J69" i="9" s="1"/>
  <c r="X67" i="1"/>
  <c r="S67" i="1"/>
  <c r="U67" i="1" s="1"/>
  <c r="J67" i="1"/>
  <c r="J68" i="9" s="1"/>
  <c r="X66" i="1"/>
  <c r="S66" i="1"/>
  <c r="U66" i="1" s="1"/>
  <c r="J66" i="1"/>
  <c r="X65" i="1"/>
  <c r="S65" i="1"/>
  <c r="U65" i="1" s="1"/>
  <c r="J65" i="1"/>
  <c r="X64" i="1"/>
  <c r="S64" i="1"/>
  <c r="U64" i="1" s="1"/>
  <c r="J64" i="1"/>
  <c r="X63" i="1"/>
  <c r="S63" i="1"/>
  <c r="U63" i="1" s="1"/>
  <c r="J63" i="1"/>
  <c r="J64" i="9" s="1"/>
  <c r="X62" i="1"/>
  <c r="S62" i="1"/>
  <c r="U62" i="1" s="1"/>
  <c r="J62" i="1"/>
  <c r="J63" i="9" s="1"/>
  <c r="X61" i="1"/>
  <c r="S61" i="1"/>
  <c r="U61" i="1" s="1"/>
  <c r="J61" i="1"/>
  <c r="J62" i="9" s="1"/>
  <c r="X60" i="1"/>
  <c r="S60" i="1"/>
  <c r="U60" i="1" s="1"/>
  <c r="J60" i="1"/>
  <c r="J61" i="9" s="1"/>
  <c r="X59" i="1"/>
  <c r="S59" i="1"/>
  <c r="U59" i="1" s="1"/>
  <c r="J59" i="1"/>
  <c r="X58" i="1"/>
  <c r="S58" i="1"/>
  <c r="U58" i="1" s="1"/>
  <c r="J58" i="1"/>
  <c r="X57" i="1"/>
  <c r="S57" i="1"/>
  <c r="U57" i="1" s="1"/>
  <c r="J57" i="1"/>
  <c r="J58" i="9" s="1"/>
  <c r="X56" i="1"/>
  <c r="S56" i="1"/>
  <c r="U56" i="1" s="1"/>
  <c r="J56" i="1"/>
  <c r="J57" i="9" s="1"/>
  <c r="X55" i="1"/>
  <c r="S55" i="1"/>
  <c r="U55" i="1" s="1"/>
  <c r="J55" i="1"/>
  <c r="J56" i="9" s="1"/>
  <c r="X54" i="1"/>
  <c r="S54" i="1"/>
  <c r="U54" i="1" s="1"/>
  <c r="J54" i="1"/>
  <c r="X53" i="1"/>
  <c r="S53" i="1"/>
  <c r="U53" i="1" s="1"/>
  <c r="J53" i="1"/>
  <c r="J54" i="9" s="1"/>
  <c r="X52" i="1"/>
  <c r="S52" i="1"/>
  <c r="U52" i="1" s="1"/>
  <c r="J52" i="1"/>
  <c r="J53" i="9" s="1"/>
  <c r="X51" i="1"/>
  <c r="S51" i="1"/>
  <c r="U51" i="1" s="1"/>
  <c r="J51" i="1"/>
  <c r="J52" i="9" s="1"/>
  <c r="X50" i="1"/>
  <c r="S50" i="1"/>
  <c r="U50" i="1" s="1"/>
  <c r="J50" i="1"/>
  <c r="J51" i="9" s="1"/>
  <c r="X49" i="1"/>
  <c r="S49" i="1"/>
  <c r="U49" i="1" s="1"/>
  <c r="J49" i="1"/>
  <c r="J50" i="9" s="1"/>
  <c r="X48" i="1"/>
  <c r="S48" i="1"/>
  <c r="U48" i="1" s="1"/>
  <c r="J48" i="1"/>
  <c r="J49" i="9" s="1"/>
  <c r="X47" i="1"/>
  <c r="S47" i="1"/>
  <c r="U47" i="1" s="1"/>
  <c r="J47" i="1"/>
  <c r="J48" i="9" s="1"/>
  <c r="X46" i="1"/>
  <c r="S46" i="1"/>
  <c r="U46" i="1" s="1"/>
  <c r="J46" i="1"/>
  <c r="X45" i="1"/>
  <c r="S45" i="1"/>
  <c r="U45" i="1" s="1"/>
  <c r="J45" i="1"/>
  <c r="J46" i="9" s="1"/>
  <c r="X44" i="1"/>
  <c r="S44" i="1"/>
  <c r="U44" i="1" s="1"/>
  <c r="J44" i="1"/>
  <c r="J45" i="9" s="1"/>
  <c r="X43" i="1"/>
  <c r="S43" i="1"/>
  <c r="U43" i="1" s="1"/>
  <c r="J43" i="1"/>
  <c r="X42" i="1"/>
  <c r="S42" i="1"/>
  <c r="U42" i="1" s="1"/>
  <c r="J42" i="1"/>
  <c r="J43" i="9" s="1"/>
  <c r="X41" i="1"/>
  <c r="S41" i="1"/>
  <c r="U41" i="1" s="1"/>
  <c r="J41" i="1"/>
  <c r="J42" i="9" s="1"/>
  <c r="X40" i="1"/>
  <c r="S40" i="1"/>
  <c r="U40" i="1" s="1"/>
  <c r="J40" i="1"/>
  <c r="J41" i="9" s="1"/>
  <c r="X39" i="1"/>
  <c r="S39" i="1"/>
  <c r="U39" i="1" s="1"/>
  <c r="J39" i="1"/>
  <c r="J40" i="9" s="1"/>
  <c r="X38" i="1"/>
  <c r="S38" i="1"/>
  <c r="U38" i="1" s="1"/>
  <c r="J38" i="1"/>
  <c r="X37" i="1"/>
  <c r="S37" i="1"/>
  <c r="U37" i="1" s="1"/>
  <c r="J37" i="1"/>
  <c r="J38" i="9" s="1"/>
  <c r="X36" i="1"/>
  <c r="S36" i="1"/>
  <c r="U36" i="1" s="1"/>
  <c r="J36" i="1"/>
  <c r="J37" i="9" s="1"/>
  <c r="X35" i="1"/>
  <c r="S35" i="1"/>
  <c r="U35" i="1" s="1"/>
  <c r="J35" i="1"/>
  <c r="X34" i="1"/>
  <c r="S34" i="1"/>
  <c r="U34" i="1" s="1"/>
  <c r="J34" i="1"/>
  <c r="J35" i="9" s="1"/>
  <c r="X33" i="1"/>
  <c r="S33" i="1"/>
  <c r="U33" i="1" s="1"/>
  <c r="J33" i="1"/>
  <c r="J34" i="9" s="1"/>
  <c r="X32" i="1"/>
  <c r="S32" i="1"/>
  <c r="U32" i="1" s="1"/>
  <c r="J32" i="1"/>
  <c r="J33" i="9" s="1"/>
  <c r="X31" i="1"/>
  <c r="S31" i="1"/>
  <c r="U31" i="1" s="1"/>
  <c r="J31" i="1"/>
  <c r="J32" i="9" s="1"/>
  <c r="X30" i="1"/>
  <c r="S30" i="1"/>
  <c r="U30" i="1" s="1"/>
  <c r="J30" i="1"/>
  <c r="X29" i="1"/>
  <c r="S29" i="1"/>
  <c r="U29" i="1" s="1"/>
  <c r="J29" i="1"/>
  <c r="J30" i="9" s="1"/>
  <c r="X28" i="1"/>
  <c r="S28" i="1"/>
  <c r="U28" i="1" s="1"/>
  <c r="J28" i="1"/>
  <c r="J29" i="9" s="1"/>
  <c r="X27" i="1"/>
  <c r="S27" i="1"/>
  <c r="U27" i="1" s="1"/>
  <c r="J27" i="1"/>
  <c r="X26" i="1"/>
  <c r="S26" i="1"/>
  <c r="U26" i="1" s="1"/>
  <c r="J26" i="1"/>
  <c r="J27" i="9" s="1"/>
  <c r="X25" i="1"/>
  <c r="S25" i="1"/>
  <c r="U25" i="1" s="1"/>
  <c r="J25" i="1"/>
  <c r="J26" i="9" s="1"/>
  <c r="X24" i="1"/>
  <c r="S24" i="1"/>
  <c r="U24" i="1" s="1"/>
  <c r="J24" i="1"/>
  <c r="J25" i="9" s="1"/>
  <c r="X23" i="1"/>
  <c r="S23" i="1"/>
  <c r="U23" i="1" s="1"/>
  <c r="J23" i="1"/>
  <c r="J24" i="9" s="1"/>
  <c r="X22" i="1"/>
  <c r="S22" i="1"/>
  <c r="U22" i="1" s="1"/>
  <c r="J22" i="1"/>
  <c r="X21" i="1"/>
  <c r="S21" i="1"/>
  <c r="U21" i="1" s="1"/>
  <c r="J21" i="1"/>
  <c r="J22" i="9" s="1"/>
  <c r="X20" i="1"/>
  <c r="S20" i="1"/>
  <c r="U20" i="1" s="1"/>
  <c r="J20" i="1"/>
  <c r="J21" i="9" s="1"/>
  <c r="X19" i="1"/>
  <c r="S19" i="1"/>
  <c r="U19" i="1" s="1"/>
  <c r="J19" i="1"/>
  <c r="J20" i="9" s="1"/>
  <c r="X18" i="1"/>
  <c r="S18" i="1"/>
  <c r="U18" i="1" s="1"/>
  <c r="J18" i="1"/>
  <c r="X17" i="1"/>
  <c r="S17" i="1"/>
  <c r="U17" i="1" s="1"/>
  <c r="J17" i="1"/>
  <c r="J18" i="9" s="1"/>
  <c r="X16" i="1"/>
  <c r="S16" i="1"/>
  <c r="U16" i="1" s="1"/>
  <c r="J16" i="1"/>
  <c r="J17" i="9" s="1"/>
  <c r="X15" i="1"/>
  <c r="S15" i="1"/>
  <c r="U15" i="1" s="1"/>
  <c r="J15" i="1"/>
  <c r="J16" i="9" s="1"/>
  <c r="X14" i="1"/>
  <c r="S14" i="1"/>
  <c r="U14" i="1" s="1"/>
  <c r="J14" i="1"/>
  <c r="X13" i="1"/>
  <c r="S13" i="1"/>
  <c r="U13" i="1" s="1"/>
  <c r="J13" i="1"/>
  <c r="J14" i="9" s="1"/>
  <c r="X12" i="1"/>
  <c r="S12" i="1"/>
  <c r="U12" i="1" s="1"/>
  <c r="J12" i="1"/>
  <c r="J13" i="9" s="1"/>
  <c r="X11" i="1"/>
  <c r="S11" i="1"/>
  <c r="U11" i="1" s="1"/>
  <c r="J11" i="1"/>
  <c r="J12" i="9" s="1"/>
  <c r="X10" i="1"/>
  <c r="S10" i="1"/>
  <c r="U10" i="1" s="1"/>
  <c r="J10" i="1"/>
  <c r="X9" i="1"/>
  <c r="S9" i="1"/>
  <c r="U9" i="1" s="1"/>
  <c r="J9" i="1"/>
  <c r="J10" i="9" s="1"/>
  <c r="X8" i="1"/>
  <c r="S8" i="1"/>
  <c r="U8" i="1" s="1"/>
  <c r="J8" i="1"/>
  <c r="J9" i="9" s="1"/>
  <c r="X7" i="1"/>
  <c r="S7" i="1"/>
  <c r="U7" i="1" s="1"/>
  <c r="J7" i="1"/>
  <c r="J8" i="9" s="1"/>
  <c r="X6" i="1"/>
  <c r="S6" i="1"/>
  <c r="U6" i="1" s="1"/>
  <c r="J6" i="1"/>
  <c r="X5" i="1"/>
  <c r="S5" i="1"/>
  <c r="U5" i="1" s="1"/>
  <c r="J5" i="1"/>
  <c r="J6" i="9" s="1"/>
  <c r="X4" i="1"/>
  <c r="S4" i="1"/>
  <c r="U4" i="1" s="1"/>
  <c r="J4" i="1"/>
  <c r="E4" i="1"/>
  <c r="G4" i="1" s="1"/>
  <c r="C4" i="2" s="1"/>
  <c r="E4" i="2" s="1"/>
  <c r="G4" i="2" s="1"/>
  <c r="C4" i="3" s="1"/>
  <c r="E4" i="3" s="1"/>
  <c r="G4" i="3" s="1"/>
  <c r="C4" i="4" s="1"/>
  <c r="E4" i="4" s="1"/>
  <c r="G4" i="4" s="1"/>
  <c r="C4" i="5" s="1"/>
  <c r="E4" i="5" s="1"/>
  <c r="G4" i="5" s="1"/>
  <c r="C4" i="6" s="1"/>
  <c r="E4" i="6" s="1"/>
  <c r="G4" i="6" s="1"/>
  <c r="C4" i="7" s="1"/>
  <c r="E4" i="7" s="1"/>
  <c r="G4" i="7" s="1"/>
  <c r="C4" i="8" s="1"/>
  <c r="E4" i="8" s="1"/>
  <c r="G4" i="8" s="1"/>
  <c r="C4" i="11" s="1"/>
  <c r="E4" i="11" s="1"/>
  <c r="G4" i="11" s="1"/>
  <c r="C4" i="12" s="1"/>
  <c r="E4" i="12" s="1"/>
  <c r="G4" i="12" s="1"/>
  <c r="C4" i="13" s="1"/>
  <c r="E4" i="13" s="1"/>
  <c r="G4" i="13" s="1"/>
  <c r="C4" i="14" s="1"/>
  <c r="E4" i="14" s="1"/>
  <c r="G4" i="14" s="1"/>
  <c r="C4" i="15" s="1"/>
  <c r="E4" i="15" s="1"/>
  <c r="G4" i="15" s="1"/>
  <c r="C4" i="16" s="1"/>
  <c r="E4" i="16" s="1"/>
  <c r="G4" i="16" s="1"/>
  <c r="C4" i="17" s="1"/>
  <c r="E4" i="17" s="1"/>
  <c r="G4" i="17" s="1"/>
  <c r="C4" i="18" s="1"/>
  <c r="E4" i="18" s="1"/>
  <c r="G4" i="18" s="1"/>
  <c r="C4" i="19" s="1"/>
  <c r="E4" i="19" s="1"/>
  <c r="G4" i="19" s="1"/>
  <c r="C4" i="20" s="1"/>
  <c r="E4" i="20" s="1"/>
  <c r="G4" i="20" s="1"/>
  <c r="C4" i="21" s="1"/>
  <c r="E4" i="21" s="1"/>
  <c r="G4" i="21" s="1"/>
  <c r="C4" i="32" s="1"/>
  <c r="E4" i="32" s="1"/>
  <c r="G4" i="32" s="1"/>
  <c r="C4" i="33" s="1"/>
  <c r="E4" i="33" s="1"/>
  <c r="G4" i="33" s="1"/>
  <c r="J5" i="9" l="1"/>
  <c r="N36" i="9"/>
  <c r="J159" i="9"/>
  <c r="J171" i="9"/>
  <c r="J183" i="9"/>
  <c r="J11" i="9"/>
  <c r="J19" i="9"/>
  <c r="J170" i="9"/>
  <c r="J178" i="9"/>
  <c r="J186" i="9"/>
  <c r="J66" i="9"/>
  <c r="J74" i="9"/>
  <c r="J82" i="9"/>
  <c r="J90" i="9"/>
  <c r="J98" i="9"/>
  <c r="J107" i="9"/>
  <c r="J115" i="9"/>
  <c r="J123" i="9"/>
  <c r="J131" i="9"/>
  <c r="J139" i="9"/>
  <c r="J147" i="9"/>
  <c r="J155" i="9"/>
  <c r="J163" i="9"/>
  <c r="M4" i="4"/>
  <c r="J96" i="9"/>
  <c r="J83" i="9"/>
  <c r="J91" i="9"/>
  <c r="J65" i="9"/>
  <c r="J60" i="9"/>
  <c r="J31" i="9"/>
  <c r="J39" i="9"/>
  <c r="J47" i="9"/>
  <c r="J55" i="9"/>
  <c r="J101" i="9"/>
  <c r="J108" i="9"/>
  <c r="J116" i="9"/>
  <c r="J59" i="9"/>
  <c r="J67" i="9"/>
  <c r="J75" i="9"/>
  <c r="J28" i="9"/>
  <c r="J36" i="9"/>
  <c r="J44" i="9"/>
  <c r="J7" i="9"/>
  <c r="J15" i="9"/>
  <c r="J23" i="9"/>
  <c r="J124" i="9"/>
  <c r="J132" i="9"/>
  <c r="J140" i="9"/>
  <c r="J148" i="9"/>
  <c r="J156" i="9"/>
  <c r="J164" i="9"/>
  <c r="J172" i="9"/>
  <c r="J180" i="9"/>
  <c r="J188" i="9"/>
  <c r="J204" i="9"/>
  <c r="E198" i="2"/>
  <c r="G198" i="2" s="1"/>
  <c r="C198" i="3" s="1"/>
  <c r="E190" i="2"/>
  <c r="G190" i="2" s="1"/>
  <c r="C190" i="3" s="1"/>
  <c r="E182" i="2"/>
  <c r="G182" i="2" s="1"/>
  <c r="C182" i="3" s="1"/>
  <c r="E174" i="2"/>
  <c r="G174" i="2" s="1"/>
  <c r="C174" i="3" s="1"/>
  <c r="E166" i="2"/>
  <c r="G166" i="2" s="1"/>
  <c r="C166" i="3" s="1"/>
  <c r="E158" i="2"/>
  <c r="G158" i="2" s="1"/>
  <c r="C158" i="3" s="1"/>
  <c r="E150" i="2"/>
  <c r="G150" i="2" s="1"/>
  <c r="C150" i="3" s="1"/>
  <c r="E142" i="2"/>
  <c r="G142" i="2" s="1"/>
  <c r="C142" i="3" s="1"/>
  <c r="E134" i="2"/>
  <c r="G134" i="2" s="1"/>
  <c r="C134" i="3" s="1"/>
  <c r="E126" i="2"/>
  <c r="G126" i="2" s="1"/>
  <c r="C126" i="3" s="1"/>
  <c r="E118" i="2"/>
  <c r="G118" i="2" s="1"/>
  <c r="C118" i="3" s="1"/>
  <c r="E110" i="2"/>
  <c r="G110" i="2" s="1"/>
  <c r="C110" i="3" s="1"/>
  <c r="E102" i="2"/>
  <c r="G102" i="2" s="1"/>
  <c r="C102" i="3" s="1"/>
  <c r="E94" i="2"/>
  <c r="G94" i="2" s="1"/>
  <c r="C94" i="3" s="1"/>
  <c r="E78" i="2"/>
  <c r="G78" i="2" s="1"/>
  <c r="E70" i="2"/>
  <c r="G70" i="2" s="1"/>
  <c r="C70" i="3" s="1"/>
  <c r="E62" i="2"/>
  <c r="G62" i="2" s="1"/>
  <c r="C62" i="3" s="1"/>
  <c r="E54" i="2"/>
  <c r="G54" i="2" s="1"/>
  <c r="C54" i="3" s="1"/>
  <c r="E46" i="2"/>
  <c r="G46" i="2" s="1"/>
  <c r="C46" i="3" s="1"/>
  <c r="E30" i="2"/>
  <c r="G30" i="2" s="1"/>
  <c r="C30" i="3" s="1"/>
  <c r="E14" i="2"/>
  <c r="G14" i="2" s="1"/>
  <c r="C14" i="3" s="1"/>
  <c r="E6" i="2"/>
  <c r="G6" i="2" s="1"/>
  <c r="C6" i="3" s="1"/>
  <c r="E197" i="2"/>
  <c r="G197" i="2" s="1"/>
  <c r="C197" i="3" s="1"/>
  <c r="E189" i="2"/>
  <c r="G189" i="2" s="1"/>
  <c r="C189" i="3" s="1"/>
  <c r="E181" i="2"/>
  <c r="G181" i="2" s="1"/>
  <c r="C181" i="3" s="1"/>
  <c r="E173" i="2"/>
  <c r="G173" i="2" s="1"/>
  <c r="C173" i="3" s="1"/>
  <c r="E165" i="2"/>
  <c r="G165" i="2" s="1"/>
  <c r="C165" i="3" s="1"/>
  <c r="E157" i="2"/>
  <c r="G157" i="2" s="1"/>
  <c r="C157" i="3" s="1"/>
  <c r="E149" i="2"/>
  <c r="G149" i="2" s="1"/>
  <c r="C149" i="3" s="1"/>
  <c r="E141" i="2"/>
  <c r="G141" i="2" s="1"/>
  <c r="C141" i="3" s="1"/>
  <c r="E133" i="2"/>
  <c r="G133" i="2" s="1"/>
  <c r="C133" i="3" s="1"/>
  <c r="E125" i="2"/>
  <c r="G125" i="2" s="1"/>
  <c r="C125" i="3" s="1"/>
  <c r="E117" i="2"/>
  <c r="G117" i="2" s="1"/>
  <c r="C117" i="3" s="1"/>
  <c r="E109" i="2"/>
  <c r="G109" i="2" s="1"/>
  <c r="C109" i="3" s="1"/>
  <c r="E93" i="2"/>
  <c r="G93" i="2" s="1"/>
  <c r="C93" i="3" s="1"/>
  <c r="E85" i="2"/>
  <c r="G85" i="2" s="1"/>
  <c r="C85" i="3" s="1"/>
  <c r="E77" i="2"/>
  <c r="G77" i="2" s="1"/>
  <c r="C77" i="3" s="1"/>
  <c r="E69" i="2"/>
  <c r="G69" i="2" s="1"/>
  <c r="C69" i="3" s="1"/>
  <c r="E61" i="2"/>
  <c r="G61" i="2" s="1"/>
  <c r="C61" i="3" s="1"/>
  <c r="E53" i="2"/>
  <c r="G53" i="2" s="1"/>
  <c r="C53" i="3" s="1"/>
  <c r="E29" i="2"/>
  <c r="G29" i="2" s="1"/>
  <c r="C29" i="3" s="1"/>
  <c r="E21" i="2"/>
  <c r="G21" i="2" s="1"/>
  <c r="C21" i="3" s="1"/>
  <c r="E13" i="2"/>
  <c r="G13" i="2" s="1"/>
  <c r="C13" i="3" s="1"/>
  <c r="E196" i="2"/>
  <c r="G196" i="2" s="1"/>
  <c r="E188" i="2"/>
  <c r="G188" i="2" s="1"/>
  <c r="C188" i="3" s="1"/>
  <c r="E180" i="2"/>
  <c r="G180" i="2" s="1"/>
  <c r="C180" i="3" s="1"/>
  <c r="E172" i="2"/>
  <c r="G172" i="2" s="1"/>
  <c r="C172" i="3" s="1"/>
  <c r="E164" i="2"/>
  <c r="G164" i="2" s="1"/>
  <c r="C164" i="3" s="1"/>
  <c r="E156" i="2"/>
  <c r="G156" i="2" s="1"/>
  <c r="C156" i="3" s="1"/>
  <c r="E148" i="2"/>
  <c r="G148" i="2" s="1"/>
  <c r="C148" i="3" s="1"/>
  <c r="E140" i="2"/>
  <c r="G140" i="2" s="1"/>
  <c r="C140" i="3" s="1"/>
  <c r="E132" i="2"/>
  <c r="G132" i="2" s="1"/>
  <c r="C132" i="3" s="1"/>
  <c r="E124" i="2"/>
  <c r="G124" i="2" s="1"/>
  <c r="C124" i="3" s="1"/>
  <c r="E116" i="2"/>
  <c r="G116" i="2" s="1"/>
  <c r="C116" i="3" s="1"/>
  <c r="E108" i="2"/>
  <c r="G108" i="2" s="1"/>
  <c r="C108" i="3" s="1"/>
  <c r="E100" i="2"/>
  <c r="G100" i="2" s="1"/>
  <c r="C100" i="3" s="1"/>
  <c r="E92" i="2"/>
  <c r="G92" i="2" s="1"/>
  <c r="C92" i="3" s="1"/>
  <c r="E76" i="2"/>
  <c r="G76" i="2" s="1"/>
  <c r="C76" i="3" s="1"/>
  <c r="E68" i="2"/>
  <c r="G68" i="2" s="1"/>
  <c r="C68" i="3" s="1"/>
  <c r="E60" i="2"/>
  <c r="G60" i="2" s="1"/>
  <c r="C60" i="3" s="1"/>
  <c r="E52" i="2"/>
  <c r="G52" i="2" s="1"/>
  <c r="C52" i="3" s="1"/>
  <c r="E44" i="2"/>
  <c r="G44" i="2" s="1"/>
  <c r="C44" i="3" s="1"/>
  <c r="E20" i="2"/>
  <c r="G20" i="2" s="1"/>
  <c r="C20" i="3" s="1"/>
  <c r="E12" i="2"/>
  <c r="G12" i="2" s="1"/>
  <c r="C12" i="3" s="1"/>
  <c r="E203" i="2"/>
  <c r="G203" i="2" s="1"/>
  <c r="C203" i="3" s="1"/>
  <c r="E195" i="2"/>
  <c r="G195" i="2" s="1"/>
  <c r="C195" i="3" s="1"/>
  <c r="E187" i="2"/>
  <c r="G187" i="2" s="1"/>
  <c r="C187" i="3" s="1"/>
  <c r="E179" i="2"/>
  <c r="G179" i="2" s="1"/>
  <c r="C179" i="3" s="1"/>
  <c r="E171" i="2"/>
  <c r="G171" i="2" s="1"/>
  <c r="C171" i="3" s="1"/>
  <c r="E163" i="2"/>
  <c r="G163" i="2" s="1"/>
  <c r="C163" i="3" s="1"/>
  <c r="E155" i="2"/>
  <c r="G155" i="2" s="1"/>
  <c r="C155" i="3" s="1"/>
  <c r="E147" i="2"/>
  <c r="G147" i="2" s="1"/>
  <c r="C147" i="3" s="1"/>
  <c r="E139" i="2"/>
  <c r="G139" i="2" s="1"/>
  <c r="C139" i="3" s="1"/>
  <c r="E131" i="2"/>
  <c r="G131" i="2" s="1"/>
  <c r="C131" i="3" s="1"/>
  <c r="E123" i="2"/>
  <c r="G123" i="2" s="1"/>
  <c r="C123" i="3" s="1"/>
  <c r="E115" i="2"/>
  <c r="G115" i="2" s="1"/>
  <c r="C115" i="3" s="1"/>
  <c r="E107" i="2"/>
  <c r="G107" i="2" s="1"/>
  <c r="C107" i="3" s="1"/>
  <c r="E99" i="2"/>
  <c r="G99" i="2" s="1"/>
  <c r="C99" i="3" s="1"/>
  <c r="E91" i="2"/>
  <c r="G91" i="2" s="1"/>
  <c r="C91" i="3" s="1"/>
  <c r="E83" i="2"/>
  <c r="G83" i="2" s="1"/>
  <c r="C83" i="3" s="1"/>
  <c r="E75" i="2"/>
  <c r="G75" i="2" s="1"/>
  <c r="C75" i="3" s="1"/>
  <c r="E67" i="2"/>
  <c r="G67" i="2" s="1"/>
  <c r="C67" i="3" s="1"/>
  <c r="E59" i="2"/>
  <c r="G59" i="2" s="1"/>
  <c r="C59" i="3" s="1"/>
  <c r="E51" i="2"/>
  <c r="G51" i="2" s="1"/>
  <c r="C51" i="3" s="1"/>
  <c r="E43" i="2"/>
  <c r="G43" i="2" s="1"/>
  <c r="C43" i="3" s="1"/>
  <c r="E35" i="2"/>
  <c r="G35" i="2" s="1"/>
  <c r="C35" i="3" s="1"/>
  <c r="E27" i="2"/>
  <c r="G27" i="2" s="1"/>
  <c r="C27" i="3" s="1"/>
  <c r="E19" i="2"/>
  <c r="G19" i="2" s="1"/>
  <c r="C19" i="3" s="1"/>
  <c r="E11" i="2"/>
  <c r="G11" i="2" s="1"/>
  <c r="C11" i="3" s="1"/>
  <c r="E202" i="2"/>
  <c r="G202" i="2" s="1"/>
  <c r="C202" i="3" s="1"/>
  <c r="E194" i="2"/>
  <c r="G194" i="2" s="1"/>
  <c r="C194" i="3" s="1"/>
  <c r="E186" i="2"/>
  <c r="G186" i="2" s="1"/>
  <c r="C186" i="3" s="1"/>
  <c r="E178" i="2"/>
  <c r="G178" i="2" s="1"/>
  <c r="C178" i="3" s="1"/>
  <c r="E170" i="2"/>
  <c r="G170" i="2" s="1"/>
  <c r="C170" i="3" s="1"/>
  <c r="E154" i="2"/>
  <c r="G154" i="2" s="1"/>
  <c r="C154" i="3" s="1"/>
  <c r="E146" i="2"/>
  <c r="G146" i="2" s="1"/>
  <c r="C146" i="3" s="1"/>
  <c r="E138" i="2"/>
  <c r="G138" i="2" s="1"/>
  <c r="C138" i="3" s="1"/>
  <c r="E130" i="2"/>
  <c r="G130" i="2" s="1"/>
  <c r="C130" i="3" s="1"/>
  <c r="E122" i="2"/>
  <c r="G122" i="2" s="1"/>
  <c r="C122" i="3" s="1"/>
  <c r="E114" i="2"/>
  <c r="G114" i="2" s="1"/>
  <c r="C114" i="3" s="1"/>
  <c r="E106" i="2"/>
  <c r="G106" i="2" s="1"/>
  <c r="C106" i="3" s="1"/>
  <c r="E98" i="2"/>
  <c r="G98" i="2" s="1"/>
  <c r="C98" i="3" s="1"/>
  <c r="E90" i="2"/>
  <c r="G90" i="2" s="1"/>
  <c r="C90" i="3" s="1"/>
  <c r="E82" i="2"/>
  <c r="G82" i="2" s="1"/>
  <c r="C82" i="3" s="1"/>
  <c r="E74" i="2"/>
  <c r="G74" i="2" s="1"/>
  <c r="C74" i="3" s="1"/>
  <c r="E66" i="2"/>
  <c r="G66" i="2" s="1"/>
  <c r="C66" i="3" s="1"/>
  <c r="E58" i="2"/>
  <c r="G58" i="2" s="1"/>
  <c r="C58" i="3" s="1"/>
  <c r="E50" i="2"/>
  <c r="G50" i="2" s="1"/>
  <c r="C50" i="3" s="1"/>
  <c r="E42" i="2"/>
  <c r="G42" i="2" s="1"/>
  <c r="C42" i="3" s="1"/>
  <c r="E34" i="2"/>
  <c r="G34" i="2" s="1"/>
  <c r="C34" i="3" s="1"/>
  <c r="E26" i="2"/>
  <c r="G26" i="2" s="1"/>
  <c r="C26" i="3" s="1"/>
  <c r="E18" i="2"/>
  <c r="G18" i="2" s="1"/>
  <c r="C18" i="3" s="1"/>
  <c r="E10" i="2"/>
  <c r="G10" i="2" s="1"/>
  <c r="C10" i="3" s="1"/>
  <c r="E201" i="2"/>
  <c r="G201" i="2" s="1"/>
  <c r="C201" i="3" s="1"/>
  <c r="E193" i="2"/>
  <c r="G193" i="2" s="1"/>
  <c r="C193" i="3" s="1"/>
  <c r="E185" i="2"/>
  <c r="G185" i="2" s="1"/>
  <c r="C185" i="3" s="1"/>
  <c r="E169" i="2"/>
  <c r="G169" i="2" s="1"/>
  <c r="C169" i="3" s="1"/>
  <c r="E161" i="2"/>
  <c r="G161" i="2" s="1"/>
  <c r="C161" i="3" s="1"/>
  <c r="E153" i="2"/>
  <c r="G153" i="2" s="1"/>
  <c r="C153" i="3" s="1"/>
  <c r="E145" i="2"/>
  <c r="G145" i="2" s="1"/>
  <c r="C145" i="3" s="1"/>
  <c r="E137" i="2"/>
  <c r="G137" i="2" s="1"/>
  <c r="C137" i="3" s="1"/>
  <c r="E129" i="2"/>
  <c r="G129" i="2" s="1"/>
  <c r="C129" i="3" s="1"/>
  <c r="E121" i="2"/>
  <c r="G121" i="2" s="1"/>
  <c r="C121" i="3" s="1"/>
  <c r="E113" i="2"/>
  <c r="G113" i="2" s="1"/>
  <c r="C113" i="3" s="1"/>
  <c r="E105" i="2"/>
  <c r="G105" i="2" s="1"/>
  <c r="C105" i="3" s="1"/>
  <c r="E97" i="2"/>
  <c r="G97" i="2" s="1"/>
  <c r="C97" i="3" s="1"/>
  <c r="E89" i="2"/>
  <c r="G89" i="2" s="1"/>
  <c r="C89" i="3" s="1"/>
  <c r="E81" i="2"/>
  <c r="G81" i="2" s="1"/>
  <c r="C81" i="3" s="1"/>
  <c r="E73" i="2"/>
  <c r="G73" i="2" s="1"/>
  <c r="C73" i="3" s="1"/>
  <c r="E65" i="2"/>
  <c r="G65" i="2" s="1"/>
  <c r="C65" i="3" s="1"/>
  <c r="E57" i="2"/>
  <c r="G57" i="2" s="1"/>
  <c r="C57" i="3" s="1"/>
  <c r="E49" i="2"/>
  <c r="G49" i="2" s="1"/>
  <c r="C49" i="3" s="1"/>
  <c r="E41" i="2"/>
  <c r="G41" i="2" s="1"/>
  <c r="C41" i="3" s="1"/>
  <c r="E17" i="2"/>
  <c r="G17" i="2" s="1"/>
  <c r="C17" i="3" s="1"/>
  <c r="E9" i="2"/>
  <c r="G9" i="2" s="1"/>
  <c r="C9" i="3" s="1"/>
  <c r="E200" i="2"/>
  <c r="G200" i="2" s="1"/>
  <c r="C200" i="3" s="1"/>
  <c r="E192" i="2"/>
  <c r="G192" i="2" s="1"/>
  <c r="C192" i="3" s="1"/>
  <c r="E184" i="2"/>
  <c r="G184" i="2" s="1"/>
  <c r="C184" i="3" s="1"/>
  <c r="E176" i="2"/>
  <c r="G176" i="2" s="1"/>
  <c r="C176" i="3" s="1"/>
  <c r="E168" i="2"/>
  <c r="G168" i="2" s="1"/>
  <c r="C168" i="3" s="1"/>
  <c r="E160" i="2"/>
  <c r="G160" i="2" s="1"/>
  <c r="C160" i="3" s="1"/>
  <c r="E152" i="2"/>
  <c r="G152" i="2" s="1"/>
  <c r="C152" i="3" s="1"/>
  <c r="E144" i="2"/>
  <c r="G144" i="2" s="1"/>
  <c r="C144" i="3" s="1"/>
  <c r="E136" i="2"/>
  <c r="G136" i="2" s="1"/>
  <c r="C136" i="3" s="1"/>
  <c r="E128" i="2"/>
  <c r="G128" i="2" s="1"/>
  <c r="C128" i="3" s="1"/>
  <c r="E120" i="2"/>
  <c r="G120" i="2" s="1"/>
  <c r="C120" i="3" s="1"/>
  <c r="E112" i="2"/>
  <c r="G112" i="2" s="1"/>
  <c r="C112" i="3" s="1"/>
  <c r="E104" i="2"/>
  <c r="G104" i="2" s="1"/>
  <c r="C104" i="3" s="1"/>
  <c r="E96" i="2"/>
  <c r="G96" i="2" s="1"/>
  <c r="C96" i="3" s="1"/>
  <c r="E88" i="2"/>
  <c r="G88" i="2" s="1"/>
  <c r="C88" i="3" s="1"/>
  <c r="E80" i="2"/>
  <c r="G80" i="2" s="1"/>
  <c r="C80" i="3" s="1"/>
  <c r="E72" i="2"/>
  <c r="G72" i="2" s="1"/>
  <c r="C72" i="3" s="1"/>
  <c r="E64" i="2"/>
  <c r="G64" i="2" s="1"/>
  <c r="C64" i="3" s="1"/>
  <c r="E56" i="2"/>
  <c r="G56" i="2" s="1"/>
  <c r="C56" i="3" s="1"/>
  <c r="E48" i="2"/>
  <c r="G48" i="2" s="1"/>
  <c r="C48" i="3" s="1"/>
  <c r="E40" i="2"/>
  <c r="G40" i="2" s="1"/>
  <c r="C40" i="3" s="1"/>
  <c r="E32" i="2"/>
  <c r="G32" i="2" s="1"/>
  <c r="C32" i="3" s="1"/>
  <c r="E24" i="2"/>
  <c r="G24" i="2" s="1"/>
  <c r="C24" i="3" s="1"/>
  <c r="E16" i="2"/>
  <c r="G16" i="2" s="1"/>
  <c r="C16" i="3" s="1"/>
  <c r="E8" i="2"/>
  <c r="G8" i="2" s="1"/>
  <c r="C8" i="3" s="1"/>
  <c r="E199" i="2"/>
  <c r="G199" i="2" s="1"/>
  <c r="C199" i="3" s="1"/>
  <c r="E191" i="2"/>
  <c r="G191" i="2" s="1"/>
  <c r="C191" i="3" s="1"/>
  <c r="E183" i="2"/>
  <c r="G183" i="2" s="1"/>
  <c r="C183" i="3" s="1"/>
  <c r="E167" i="2"/>
  <c r="G167" i="2" s="1"/>
  <c r="C167" i="3" s="1"/>
  <c r="E159" i="2"/>
  <c r="G159" i="2" s="1"/>
  <c r="C159" i="3" s="1"/>
  <c r="E151" i="2"/>
  <c r="G151" i="2" s="1"/>
  <c r="C151" i="3" s="1"/>
  <c r="E143" i="2"/>
  <c r="G143" i="2" s="1"/>
  <c r="C143" i="3" s="1"/>
  <c r="E135" i="2"/>
  <c r="G135" i="2" s="1"/>
  <c r="C135" i="3" s="1"/>
  <c r="E127" i="2"/>
  <c r="G127" i="2" s="1"/>
  <c r="C127" i="3" s="1"/>
  <c r="E119" i="2"/>
  <c r="G119" i="2" s="1"/>
  <c r="C119" i="3" s="1"/>
  <c r="E111" i="2"/>
  <c r="G111" i="2" s="1"/>
  <c r="C111" i="3" s="1"/>
  <c r="E103" i="2"/>
  <c r="G103" i="2" s="1"/>
  <c r="C103" i="3" s="1"/>
  <c r="E95" i="2"/>
  <c r="G95" i="2" s="1"/>
  <c r="C95" i="3" s="1"/>
  <c r="E87" i="2"/>
  <c r="G87" i="2" s="1"/>
  <c r="C87" i="3" s="1"/>
  <c r="E79" i="2"/>
  <c r="G79" i="2" s="1"/>
  <c r="C79" i="3" s="1"/>
  <c r="E71" i="2"/>
  <c r="G71" i="2" s="1"/>
  <c r="C71" i="3" s="1"/>
  <c r="E63" i="2"/>
  <c r="G63" i="2" s="1"/>
  <c r="C63" i="3" s="1"/>
  <c r="E55" i="2"/>
  <c r="G55" i="2" s="1"/>
  <c r="C55" i="3" s="1"/>
  <c r="E39" i="2"/>
  <c r="G39" i="2" s="1"/>
  <c r="C39" i="3" s="1"/>
  <c r="E31" i="2"/>
  <c r="G31" i="2" s="1"/>
  <c r="C31" i="3" s="1"/>
  <c r="E23" i="2"/>
  <c r="G23" i="2" s="1"/>
  <c r="E15" i="2"/>
  <c r="G15" i="2" s="1"/>
  <c r="C15" i="3" s="1"/>
  <c r="E7" i="2"/>
  <c r="G7" i="2" s="1"/>
  <c r="C7" i="3" s="1"/>
  <c r="E86" i="2"/>
  <c r="G86" i="2" s="1"/>
  <c r="C86" i="3" s="1"/>
  <c r="E84" i="2"/>
  <c r="G84" i="2" s="1"/>
  <c r="C84" i="3" s="1"/>
  <c r="E45" i="2"/>
  <c r="G45" i="2" s="1"/>
  <c r="C45" i="3" s="1"/>
  <c r="E177" i="2"/>
  <c r="G177" i="2" s="1"/>
  <c r="C177" i="3" s="1"/>
  <c r="E175" i="2"/>
  <c r="G175" i="2" s="1"/>
  <c r="C175" i="3" s="1"/>
  <c r="E101" i="2"/>
  <c r="G101" i="2" s="1"/>
  <c r="C101" i="3" s="1"/>
  <c r="E162" i="2"/>
  <c r="G162" i="2" s="1"/>
  <c r="C162" i="3" s="1"/>
  <c r="E47" i="2"/>
  <c r="G47" i="2" s="1"/>
  <c r="C47" i="3" s="1"/>
  <c r="E38" i="2"/>
  <c r="G38" i="2" s="1"/>
  <c r="C38" i="3" s="1"/>
  <c r="E37" i="2"/>
  <c r="G37" i="2" s="1"/>
  <c r="C37" i="3" s="1"/>
  <c r="E36" i="2"/>
  <c r="G36" i="2" s="1"/>
  <c r="C36" i="3" s="1"/>
  <c r="E33" i="2"/>
  <c r="G33" i="2" s="1"/>
  <c r="C33" i="3" s="1"/>
  <c r="E28" i="2"/>
  <c r="G28" i="2" s="1"/>
  <c r="C28" i="3" s="1"/>
  <c r="E25" i="2"/>
  <c r="G25" i="2" s="1"/>
  <c r="C25" i="3" s="1"/>
  <c r="E22" i="2"/>
  <c r="G22" i="2" s="1"/>
  <c r="C22" i="3" s="1"/>
  <c r="E5" i="2"/>
  <c r="G5" i="2" s="1"/>
  <c r="C5" i="3" s="1"/>
  <c r="M88" i="1"/>
  <c r="M181" i="1"/>
  <c r="M195" i="4"/>
  <c r="M58" i="1"/>
  <c r="M131" i="1"/>
  <c r="M40" i="1"/>
  <c r="M48" i="1"/>
  <c r="M161" i="1"/>
  <c r="M4" i="1"/>
  <c r="M7" i="1"/>
  <c r="M15" i="1"/>
  <c r="M20" i="1"/>
  <c r="M28" i="1"/>
  <c r="M36" i="1"/>
  <c r="M41" i="1"/>
  <c r="M54" i="1"/>
  <c r="M59" i="1"/>
  <c r="M67" i="1"/>
  <c r="M72" i="1"/>
  <c r="M80" i="1"/>
  <c r="M93" i="1"/>
  <c r="M101" i="1"/>
  <c r="M110" i="1"/>
  <c r="M118" i="1"/>
  <c r="M126" i="1"/>
  <c r="M133" i="1"/>
  <c r="M141" i="1"/>
  <c r="M149" i="1"/>
  <c r="M157" i="1"/>
  <c r="M164" i="1"/>
  <c r="M172" i="1"/>
  <c r="M180" i="1"/>
  <c r="M187" i="1"/>
  <c r="M195" i="1"/>
  <c r="M203" i="1"/>
  <c r="K218" i="4"/>
  <c r="R18" i="9"/>
  <c r="K218" i="3"/>
  <c r="R17" i="9"/>
  <c r="M9" i="1"/>
  <c r="M56" i="1"/>
  <c r="M51" i="1"/>
  <c r="M77" i="1"/>
  <c r="M90" i="1"/>
  <c r="M98" i="1"/>
  <c r="M117" i="1"/>
  <c r="M125" i="1"/>
  <c r="M132" i="1"/>
  <c r="M140" i="1"/>
  <c r="M148" i="1"/>
  <c r="M156" i="1"/>
  <c r="M163" i="1"/>
  <c r="M171" i="1"/>
  <c r="M179" i="1"/>
  <c r="M186" i="1"/>
  <c r="M194" i="1"/>
  <c r="M202" i="1"/>
  <c r="M23" i="1"/>
  <c r="M31" i="1"/>
  <c r="M39" i="1"/>
  <c r="M44" i="1"/>
  <c r="M57" i="1"/>
  <c r="M12" i="1"/>
  <c r="M25" i="1"/>
  <c r="M33" i="1"/>
  <c r="M46" i="1"/>
  <c r="M64" i="1"/>
  <c r="M85" i="1"/>
  <c r="M109" i="1"/>
  <c r="M10" i="1"/>
  <c r="M49" i="1"/>
  <c r="M62" i="1"/>
  <c r="M5" i="1"/>
  <c r="M18" i="1"/>
  <c r="M26" i="1"/>
  <c r="M34" i="1"/>
  <c r="M47" i="1"/>
  <c r="M52" i="1"/>
  <c r="M65" i="1"/>
  <c r="M70" i="1"/>
  <c r="M86" i="1"/>
  <c r="M91" i="1"/>
  <c r="M99" i="1"/>
  <c r="M112" i="1"/>
  <c r="M120" i="1"/>
  <c r="M128" i="1"/>
  <c r="M135" i="1"/>
  <c r="M143" i="1"/>
  <c r="M151" i="1"/>
  <c r="M159" i="1"/>
  <c r="M166" i="1"/>
  <c r="M174" i="1"/>
  <c r="M189" i="1"/>
  <c r="M197" i="1"/>
  <c r="K230" i="9"/>
  <c r="D229" i="9" s="1"/>
  <c r="B230" i="9" s="1"/>
  <c r="M17" i="1"/>
  <c r="M38" i="1"/>
  <c r="M103" i="1"/>
  <c r="M116" i="1"/>
  <c r="M124" i="1"/>
  <c r="M139" i="1"/>
  <c r="M147" i="1"/>
  <c r="M155" i="1"/>
  <c r="M162" i="1"/>
  <c r="M178" i="1"/>
  <c r="M185" i="1"/>
  <c r="M193" i="1"/>
  <c r="M201" i="1"/>
  <c r="M75" i="1"/>
  <c r="M83" i="1"/>
  <c r="M96" i="1"/>
  <c r="M104" i="1"/>
  <c r="M111" i="1"/>
  <c r="M119" i="1"/>
  <c r="M127" i="1"/>
  <c r="M134" i="1"/>
  <c r="M142" i="1"/>
  <c r="M150" i="1"/>
  <c r="M158" i="1"/>
  <c r="M165" i="1"/>
  <c r="M173" i="1"/>
  <c r="M188" i="1"/>
  <c r="M196" i="1"/>
  <c r="K218" i="1"/>
  <c r="R15" i="9"/>
  <c r="M13" i="1"/>
  <c r="M78" i="1"/>
  <c r="M8" i="1"/>
  <c r="M16" i="1"/>
  <c r="M21" i="1"/>
  <c r="M29" i="1"/>
  <c r="M37" i="1"/>
  <c r="M42" i="1"/>
  <c r="M55" i="1"/>
  <c r="M60" i="1"/>
  <c r="M68" i="1"/>
  <c r="M73" i="1"/>
  <c r="M81" i="1"/>
  <c r="M94" i="1"/>
  <c r="M102" i="1"/>
  <c r="M105" i="1"/>
  <c r="M113" i="1"/>
  <c r="M121" i="1"/>
  <c r="M129" i="1"/>
  <c r="M136" i="1"/>
  <c r="M144" i="1"/>
  <c r="M152" i="1"/>
  <c r="M160" i="1"/>
  <c r="M167" i="1"/>
  <c r="M175" i="1"/>
  <c r="M182" i="1"/>
  <c r="M190" i="1"/>
  <c r="M198" i="1"/>
  <c r="M11" i="1"/>
  <c r="M24" i="1"/>
  <c r="M32" i="1"/>
  <c r="M45" i="1"/>
  <c r="M50" i="1"/>
  <c r="M63" i="1"/>
  <c r="M76" i="1"/>
  <c r="M84" i="1"/>
  <c r="M89" i="1"/>
  <c r="M97" i="1"/>
  <c r="M106" i="1"/>
  <c r="M114" i="1"/>
  <c r="M122" i="1"/>
  <c r="M130" i="1"/>
  <c r="M137" i="1"/>
  <c r="M145" i="1"/>
  <c r="M153" i="1"/>
  <c r="M168" i="1"/>
  <c r="M176" i="1"/>
  <c r="M183" i="1"/>
  <c r="M191" i="1"/>
  <c r="M199" i="1"/>
  <c r="M22" i="1"/>
  <c r="M30" i="1"/>
  <c r="M43" i="1"/>
  <c r="M61" i="1"/>
  <c r="M69" i="1"/>
  <c r="M74" i="1"/>
  <c r="M82" i="1"/>
  <c r="M95" i="1"/>
  <c r="M108" i="1"/>
  <c r="M170" i="1"/>
  <c r="M6" i="1"/>
  <c r="M14" i="1"/>
  <c r="M19" i="1"/>
  <c r="M27" i="1"/>
  <c r="M35" i="1"/>
  <c r="M53" i="1"/>
  <c r="M66" i="1"/>
  <c r="M71" i="1"/>
  <c r="M79" i="1"/>
  <c r="M87" i="1"/>
  <c r="M92" i="1"/>
  <c r="M100" i="1"/>
  <c r="M107" i="1"/>
  <c r="M115" i="1"/>
  <c r="M123" i="1"/>
  <c r="M138" i="1"/>
  <c r="M146" i="1"/>
  <c r="M154" i="1"/>
  <c r="M169" i="1"/>
  <c r="M177" i="1"/>
  <c r="M184" i="1"/>
  <c r="M192" i="1"/>
  <c r="M200" i="1"/>
  <c r="K218" i="2"/>
  <c r="R16" i="9"/>
  <c r="X106" i="1"/>
  <c r="J205" i="1" s="1"/>
  <c r="K206" i="1" s="1"/>
  <c r="M15" i="9" s="1"/>
  <c r="X106" i="4"/>
  <c r="J205" i="4" s="1"/>
  <c r="K206" i="4" s="1"/>
  <c r="M18" i="9" s="1"/>
  <c r="X106" i="3"/>
  <c r="J205" i="3" s="1"/>
  <c r="K206" i="3" s="1"/>
  <c r="M17" i="9" s="1"/>
  <c r="X106" i="2"/>
  <c r="J205" i="2" s="1"/>
  <c r="K206" i="2"/>
  <c r="M16" i="9" s="1"/>
  <c r="M4" i="2"/>
  <c r="S17" i="9" l="1"/>
  <c r="U17" i="9" s="1"/>
  <c r="C196" i="3"/>
  <c r="E196" i="3" s="1"/>
  <c r="G196" i="3" s="1"/>
  <c r="C78" i="3"/>
  <c r="E78" i="3" s="1"/>
  <c r="G78" i="3" s="1"/>
  <c r="C78" i="4" s="1"/>
  <c r="E78" i="4" s="1"/>
  <c r="G78" i="4" s="1"/>
  <c r="C78" i="5" s="1"/>
  <c r="J206" i="9"/>
  <c r="J227" i="9" s="1"/>
  <c r="E23" i="3"/>
  <c r="G23" i="3" s="1"/>
  <c r="C23" i="4" s="1"/>
  <c r="C23" i="3"/>
  <c r="E95" i="3"/>
  <c r="G95" i="3" s="1"/>
  <c r="C95" i="4" s="1"/>
  <c r="E143" i="3"/>
  <c r="G143" i="3" s="1"/>
  <c r="C143" i="4" s="1"/>
  <c r="E56" i="3"/>
  <c r="G56" i="3" s="1"/>
  <c r="C56" i="4" s="1"/>
  <c r="E160" i="3"/>
  <c r="G160" i="3" s="1"/>
  <c r="C160" i="4" s="1"/>
  <c r="E9" i="3"/>
  <c r="G9" i="3" s="1"/>
  <c r="C9" i="4" s="1"/>
  <c r="E129" i="3"/>
  <c r="G129" i="3" s="1"/>
  <c r="C129" i="4" s="1"/>
  <c r="E42" i="3"/>
  <c r="G42" i="3" s="1"/>
  <c r="C42" i="4" s="1"/>
  <c r="E90" i="3"/>
  <c r="G90" i="3" s="1"/>
  <c r="C90" i="4" s="1"/>
  <c r="E202" i="3"/>
  <c r="G202" i="3" s="1"/>
  <c r="C202" i="4" s="1"/>
  <c r="E107" i="3"/>
  <c r="G107" i="3" s="1"/>
  <c r="C107" i="4" s="1"/>
  <c r="E155" i="3"/>
  <c r="G155" i="3" s="1"/>
  <c r="C155" i="4" s="1"/>
  <c r="E76" i="3"/>
  <c r="G76" i="3" s="1"/>
  <c r="C76" i="4" s="1"/>
  <c r="E188" i="3"/>
  <c r="G188" i="3" s="1"/>
  <c r="C188" i="4" s="1"/>
  <c r="E61" i="3"/>
  <c r="G61" i="3" s="1"/>
  <c r="C61" i="4" s="1"/>
  <c r="E173" i="3"/>
  <c r="G173" i="3" s="1"/>
  <c r="C173" i="4" s="1"/>
  <c r="E102" i="3"/>
  <c r="G102" i="3" s="1"/>
  <c r="C102" i="4" s="1"/>
  <c r="E150" i="3"/>
  <c r="G150" i="3" s="1"/>
  <c r="C150" i="4" s="1"/>
  <c r="E39" i="3"/>
  <c r="G39" i="3" s="1"/>
  <c r="C39" i="4" s="1"/>
  <c r="E151" i="3"/>
  <c r="G151" i="3" s="1"/>
  <c r="C151" i="4" s="1"/>
  <c r="E64" i="3"/>
  <c r="G64" i="3" s="1"/>
  <c r="C64" i="4" s="1"/>
  <c r="E112" i="3"/>
  <c r="G112" i="3" s="1"/>
  <c r="C112" i="4" s="1"/>
  <c r="E17" i="3"/>
  <c r="G17" i="3" s="1"/>
  <c r="C17" i="4" s="1"/>
  <c r="E137" i="3"/>
  <c r="G137" i="3" s="1"/>
  <c r="C137" i="4" s="1"/>
  <c r="E193" i="3"/>
  <c r="G193" i="3" s="1"/>
  <c r="C193" i="4" s="1"/>
  <c r="E98" i="3"/>
  <c r="G98" i="3" s="1"/>
  <c r="C98" i="4" s="1"/>
  <c r="E11" i="3"/>
  <c r="G11" i="3" s="1"/>
  <c r="C11" i="4" s="1"/>
  <c r="E59" i="3"/>
  <c r="G59" i="3" s="1"/>
  <c r="C59" i="4" s="1"/>
  <c r="E163" i="3"/>
  <c r="G163" i="3" s="1"/>
  <c r="C163" i="4" s="1"/>
  <c r="E92" i="3"/>
  <c r="G92" i="3" s="1"/>
  <c r="C92" i="4" s="1"/>
  <c r="E140" i="3"/>
  <c r="G140" i="3" s="1"/>
  <c r="C140" i="4" s="1"/>
  <c r="E69" i="3"/>
  <c r="G69" i="3" s="1"/>
  <c r="C69" i="4" s="1"/>
  <c r="E181" i="3"/>
  <c r="G181" i="3" s="1"/>
  <c r="C181" i="4" s="1"/>
  <c r="E46" i="3"/>
  <c r="G46" i="3" s="1"/>
  <c r="C46" i="4" s="1"/>
  <c r="E158" i="3"/>
  <c r="G158" i="3" s="1"/>
  <c r="C158" i="4" s="1"/>
  <c r="E55" i="3"/>
  <c r="G55" i="3" s="1"/>
  <c r="C55" i="4" s="1"/>
  <c r="E159" i="3"/>
  <c r="G159" i="3" s="1"/>
  <c r="C159" i="4" s="1"/>
  <c r="E16" i="3"/>
  <c r="G16" i="3" s="1"/>
  <c r="C16" i="4" s="1"/>
  <c r="E120" i="3"/>
  <c r="G120" i="3" s="1"/>
  <c r="C120" i="4" s="1"/>
  <c r="E41" i="3"/>
  <c r="G41" i="3" s="1"/>
  <c r="C41" i="4" s="1"/>
  <c r="E89" i="3"/>
  <c r="G89" i="3" s="1"/>
  <c r="C89" i="4" s="1"/>
  <c r="E201" i="3"/>
  <c r="G201" i="3" s="1"/>
  <c r="C201" i="4" s="1"/>
  <c r="E106" i="3"/>
  <c r="G106" i="3" s="1"/>
  <c r="C106" i="4" s="1"/>
  <c r="E154" i="3"/>
  <c r="G154" i="3" s="1"/>
  <c r="C154" i="4" s="1"/>
  <c r="E67" i="3"/>
  <c r="G67" i="3" s="1"/>
  <c r="C67" i="4" s="1"/>
  <c r="E171" i="3"/>
  <c r="G171" i="3" s="1"/>
  <c r="C171" i="4" s="1"/>
  <c r="E20" i="3"/>
  <c r="G20" i="3" s="1"/>
  <c r="C20" i="4" s="1"/>
  <c r="E148" i="3"/>
  <c r="G148" i="3" s="1"/>
  <c r="C148" i="4" s="1"/>
  <c r="E77" i="3"/>
  <c r="G77" i="3" s="1"/>
  <c r="C77" i="4" s="1"/>
  <c r="E133" i="3"/>
  <c r="G133" i="3" s="1"/>
  <c r="C133" i="4" s="1"/>
  <c r="E54" i="3"/>
  <c r="G54" i="3" s="1"/>
  <c r="C54" i="4" s="1"/>
  <c r="E166" i="3"/>
  <c r="G166" i="3" s="1"/>
  <c r="C166" i="4" s="1"/>
  <c r="E63" i="3"/>
  <c r="G63" i="3" s="1"/>
  <c r="C63" i="4" s="1"/>
  <c r="E111" i="3"/>
  <c r="G111" i="3" s="1"/>
  <c r="C111" i="4" s="1"/>
  <c r="E24" i="3"/>
  <c r="G24" i="3" s="1"/>
  <c r="C24" i="4" s="1"/>
  <c r="E128" i="3"/>
  <c r="G128" i="3" s="1"/>
  <c r="C128" i="4" s="1"/>
  <c r="E176" i="3"/>
  <c r="G176" i="3" s="1"/>
  <c r="C176" i="4" s="1"/>
  <c r="E97" i="3"/>
  <c r="G97" i="3" s="1"/>
  <c r="C97" i="4" s="1"/>
  <c r="E10" i="3"/>
  <c r="G10" i="3" s="1"/>
  <c r="C10" i="4" s="1"/>
  <c r="E58" i="3"/>
  <c r="G58" i="3" s="1"/>
  <c r="C58" i="4" s="1"/>
  <c r="E170" i="3"/>
  <c r="G170" i="3" s="1"/>
  <c r="C170" i="4" s="1"/>
  <c r="E75" i="3"/>
  <c r="G75" i="3" s="1"/>
  <c r="C75" i="4" s="1"/>
  <c r="E123" i="3"/>
  <c r="G123" i="3" s="1"/>
  <c r="C123" i="4" s="1"/>
  <c r="E44" i="3"/>
  <c r="G44" i="3" s="1"/>
  <c r="C44" i="4" s="1"/>
  <c r="E156" i="3"/>
  <c r="G156" i="3" s="1"/>
  <c r="C156" i="4" s="1"/>
  <c r="E13" i="3"/>
  <c r="G13" i="3" s="1"/>
  <c r="C13" i="4" s="1"/>
  <c r="E141" i="3"/>
  <c r="G141" i="3" s="1"/>
  <c r="C141" i="4" s="1"/>
  <c r="E62" i="3"/>
  <c r="G62" i="3" s="1"/>
  <c r="C62" i="4" s="1"/>
  <c r="E118" i="3"/>
  <c r="G118" i="3" s="1"/>
  <c r="C118" i="4" s="1"/>
  <c r="E7" i="3"/>
  <c r="G7" i="3" s="1"/>
  <c r="C7" i="4" s="1"/>
  <c r="E119" i="3"/>
  <c r="G119" i="3" s="1"/>
  <c r="C119" i="4" s="1"/>
  <c r="E32" i="3"/>
  <c r="G32" i="3" s="1"/>
  <c r="C32" i="4" s="1"/>
  <c r="E80" i="3"/>
  <c r="G80" i="3" s="1"/>
  <c r="C80" i="4" s="1"/>
  <c r="E184" i="3"/>
  <c r="G184" i="3" s="1"/>
  <c r="C184" i="4" s="1"/>
  <c r="E105" i="3"/>
  <c r="G105" i="3" s="1"/>
  <c r="C105" i="4" s="1"/>
  <c r="E153" i="3"/>
  <c r="G153" i="3" s="1"/>
  <c r="C153" i="4" s="1"/>
  <c r="E66" i="3"/>
  <c r="G66" i="3" s="1"/>
  <c r="C66" i="4" s="1"/>
  <c r="E178" i="3"/>
  <c r="G178" i="3" s="1"/>
  <c r="C178" i="4" s="1"/>
  <c r="E27" i="3"/>
  <c r="G27" i="3" s="1"/>
  <c r="C27" i="4" s="1"/>
  <c r="E131" i="3"/>
  <c r="G131" i="3" s="1"/>
  <c r="C131" i="4" s="1"/>
  <c r="E52" i="3"/>
  <c r="G52" i="3" s="1"/>
  <c r="C52" i="4" s="1"/>
  <c r="E108" i="3"/>
  <c r="G108" i="3" s="1"/>
  <c r="C108" i="4" s="1"/>
  <c r="E21" i="3"/>
  <c r="G21" i="3" s="1"/>
  <c r="C21" i="4" s="1"/>
  <c r="E149" i="3"/>
  <c r="G149" i="3" s="1"/>
  <c r="C149" i="4" s="1"/>
  <c r="E197" i="3"/>
  <c r="G197" i="3" s="1"/>
  <c r="C197" i="4" s="1"/>
  <c r="E126" i="3"/>
  <c r="G126" i="3" s="1"/>
  <c r="C126" i="4" s="1"/>
  <c r="E15" i="3"/>
  <c r="G15" i="3" s="1"/>
  <c r="C15" i="4" s="1"/>
  <c r="E127" i="3"/>
  <c r="G127" i="3" s="1"/>
  <c r="C127" i="4" s="1"/>
  <c r="E183" i="3"/>
  <c r="G183" i="3" s="1"/>
  <c r="C183" i="4" s="1"/>
  <c r="E88" i="3"/>
  <c r="G88" i="3" s="1"/>
  <c r="C88" i="4" s="1"/>
  <c r="E192" i="3"/>
  <c r="G192" i="3" s="1"/>
  <c r="C192" i="4" s="1"/>
  <c r="E57" i="3"/>
  <c r="G57" i="3" s="1"/>
  <c r="C57" i="4" s="1"/>
  <c r="E161" i="3"/>
  <c r="G161" i="3" s="1"/>
  <c r="C161" i="4" s="1"/>
  <c r="E74" i="3"/>
  <c r="G74" i="3" s="1"/>
  <c r="C74" i="4" s="1"/>
  <c r="E122" i="3"/>
  <c r="G122" i="3" s="1"/>
  <c r="C122" i="4" s="1"/>
  <c r="E35" i="3"/>
  <c r="G35" i="3" s="1"/>
  <c r="C35" i="4" s="1"/>
  <c r="E139" i="3"/>
  <c r="G139" i="3" s="1"/>
  <c r="C139" i="4" s="1"/>
  <c r="E187" i="3"/>
  <c r="G187" i="3" s="1"/>
  <c r="C187" i="4" s="1"/>
  <c r="E116" i="3"/>
  <c r="G116" i="3" s="1"/>
  <c r="C116" i="4" s="1"/>
  <c r="E29" i="3"/>
  <c r="G29" i="3" s="1"/>
  <c r="C29" i="4" s="1"/>
  <c r="E93" i="3"/>
  <c r="G93" i="3" s="1"/>
  <c r="C93" i="4" s="1"/>
  <c r="E6" i="3"/>
  <c r="G6" i="3" s="1"/>
  <c r="C6" i="4" s="1"/>
  <c r="E134" i="3"/>
  <c r="G134" i="3" s="1"/>
  <c r="C134" i="4" s="1"/>
  <c r="E182" i="3"/>
  <c r="G182" i="3" s="1"/>
  <c r="C182" i="4" s="1"/>
  <c r="E79" i="3"/>
  <c r="G79" i="3" s="1"/>
  <c r="C79" i="4" s="1"/>
  <c r="E191" i="3"/>
  <c r="G191" i="3" s="1"/>
  <c r="C191" i="4" s="1"/>
  <c r="E96" i="3"/>
  <c r="G96" i="3" s="1"/>
  <c r="C96" i="4" s="1"/>
  <c r="E144" i="3"/>
  <c r="G144" i="3" s="1"/>
  <c r="C144" i="4" s="1"/>
  <c r="E65" i="3"/>
  <c r="G65" i="3" s="1"/>
  <c r="C65" i="4" s="1"/>
  <c r="E169" i="3"/>
  <c r="G169" i="3" s="1"/>
  <c r="C169" i="4" s="1"/>
  <c r="E26" i="3"/>
  <c r="G26" i="3" s="1"/>
  <c r="C26" i="4" s="1"/>
  <c r="E130" i="3"/>
  <c r="G130" i="3" s="1"/>
  <c r="C130" i="4" s="1"/>
  <c r="E43" i="3"/>
  <c r="G43" i="3" s="1"/>
  <c r="C43" i="4" s="1"/>
  <c r="E91" i="3"/>
  <c r="G91" i="3" s="1"/>
  <c r="C91" i="4" s="1"/>
  <c r="E195" i="3"/>
  <c r="G195" i="3" s="1"/>
  <c r="C195" i="4" s="1"/>
  <c r="E124" i="3"/>
  <c r="G124" i="3" s="1"/>
  <c r="C124" i="4" s="1"/>
  <c r="E172" i="3"/>
  <c r="G172" i="3" s="1"/>
  <c r="C172" i="4" s="1"/>
  <c r="E109" i="3"/>
  <c r="G109" i="3" s="1"/>
  <c r="C109" i="4" s="1"/>
  <c r="E14" i="3"/>
  <c r="G14" i="3" s="1"/>
  <c r="C14" i="4" s="1"/>
  <c r="E190" i="3"/>
  <c r="G190" i="3" s="1"/>
  <c r="C190" i="4" s="1"/>
  <c r="E87" i="3"/>
  <c r="G87" i="3" s="1"/>
  <c r="C87" i="4" s="1"/>
  <c r="E199" i="3"/>
  <c r="G199" i="3" s="1"/>
  <c r="C199" i="4" s="1"/>
  <c r="E48" i="3"/>
  <c r="G48" i="3" s="1"/>
  <c r="C48" i="4" s="1"/>
  <c r="E152" i="3"/>
  <c r="G152" i="3" s="1"/>
  <c r="C152" i="4" s="1"/>
  <c r="E73" i="3"/>
  <c r="G73" i="3" s="1"/>
  <c r="C73" i="4" s="1"/>
  <c r="E121" i="3"/>
  <c r="G121" i="3" s="1"/>
  <c r="C121" i="4" s="1"/>
  <c r="E34" i="3"/>
  <c r="G34" i="3" s="1"/>
  <c r="C34" i="4" s="1"/>
  <c r="E138" i="3"/>
  <c r="G138" i="3" s="1"/>
  <c r="C138" i="4" s="1"/>
  <c r="E194" i="3"/>
  <c r="G194" i="3" s="1"/>
  <c r="C194" i="4" s="1"/>
  <c r="E99" i="3"/>
  <c r="G99" i="3" s="1"/>
  <c r="C99" i="4" s="1"/>
  <c r="E203" i="3"/>
  <c r="G203" i="3" s="1"/>
  <c r="C203" i="4" s="1"/>
  <c r="E68" i="3"/>
  <c r="G68" i="3" s="1"/>
  <c r="C68" i="4" s="1"/>
  <c r="E180" i="3"/>
  <c r="G180" i="3" s="1"/>
  <c r="C180" i="4" s="1"/>
  <c r="E117" i="3"/>
  <c r="G117" i="3" s="1"/>
  <c r="C117" i="4" s="1"/>
  <c r="E165" i="3"/>
  <c r="G165" i="3" s="1"/>
  <c r="C165" i="4" s="1"/>
  <c r="E94" i="3"/>
  <c r="G94" i="3" s="1"/>
  <c r="C94" i="4" s="1"/>
  <c r="E198" i="3"/>
  <c r="G198" i="3" s="1"/>
  <c r="C198" i="4" s="1"/>
  <c r="E31" i="3"/>
  <c r="G31" i="3" s="1"/>
  <c r="C31" i="4" s="1"/>
  <c r="E8" i="3"/>
  <c r="G8" i="3" s="1"/>
  <c r="C8" i="4" s="1"/>
  <c r="E40" i="3"/>
  <c r="G40" i="3" s="1"/>
  <c r="C40" i="4" s="1"/>
  <c r="E72" i="3"/>
  <c r="G72" i="3" s="1"/>
  <c r="C72" i="4" s="1"/>
  <c r="E104" i="3"/>
  <c r="G104" i="3" s="1"/>
  <c r="C104" i="4" s="1"/>
  <c r="E136" i="3"/>
  <c r="G136" i="3" s="1"/>
  <c r="C136" i="4" s="1"/>
  <c r="E168" i="3"/>
  <c r="G168" i="3" s="1"/>
  <c r="C168" i="4" s="1"/>
  <c r="E200" i="3"/>
  <c r="G200" i="3" s="1"/>
  <c r="C200" i="4" s="1"/>
  <c r="E49" i="3"/>
  <c r="G49" i="3" s="1"/>
  <c r="C49" i="4" s="1"/>
  <c r="E81" i="3"/>
  <c r="G81" i="3" s="1"/>
  <c r="C81" i="4" s="1"/>
  <c r="E113" i="3"/>
  <c r="G113" i="3" s="1"/>
  <c r="C113" i="4" s="1"/>
  <c r="E145" i="3"/>
  <c r="G145" i="3" s="1"/>
  <c r="C145" i="4" s="1"/>
  <c r="E185" i="3"/>
  <c r="G185" i="3" s="1"/>
  <c r="C185" i="4" s="1"/>
  <c r="E18" i="3"/>
  <c r="G18" i="3" s="1"/>
  <c r="C18" i="4" s="1"/>
  <c r="E50" i="3"/>
  <c r="G50" i="3" s="1"/>
  <c r="C50" i="4" s="1"/>
  <c r="E82" i="3"/>
  <c r="G82" i="3" s="1"/>
  <c r="C82" i="4" s="1"/>
  <c r="E114" i="3"/>
  <c r="G114" i="3" s="1"/>
  <c r="C114" i="4" s="1"/>
  <c r="E146" i="3"/>
  <c r="G146" i="3" s="1"/>
  <c r="C146" i="4" s="1"/>
  <c r="E186" i="3"/>
  <c r="G186" i="3" s="1"/>
  <c r="C186" i="4" s="1"/>
  <c r="E19" i="3"/>
  <c r="G19" i="3" s="1"/>
  <c r="C19" i="4" s="1"/>
  <c r="E51" i="3"/>
  <c r="G51" i="3" s="1"/>
  <c r="C51" i="4" s="1"/>
  <c r="E83" i="3"/>
  <c r="G83" i="3" s="1"/>
  <c r="C83" i="4" s="1"/>
  <c r="E115" i="3"/>
  <c r="G115" i="3" s="1"/>
  <c r="C115" i="4" s="1"/>
  <c r="E147" i="3"/>
  <c r="G147" i="3" s="1"/>
  <c r="C147" i="4" s="1"/>
  <c r="E179" i="3"/>
  <c r="G179" i="3" s="1"/>
  <c r="C179" i="4" s="1"/>
  <c r="E12" i="3"/>
  <c r="G12" i="3" s="1"/>
  <c r="C12" i="4" s="1"/>
  <c r="E60" i="3"/>
  <c r="G60" i="3" s="1"/>
  <c r="C60" i="4" s="1"/>
  <c r="E100" i="3"/>
  <c r="G100" i="3" s="1"/>
  <c r="C100" i="4" s="1"/>
  <c r="E132" i="3"/>
  <c r="G132" i="3" s="1"/>
  <c r="C132" i="4" s="1"/>
  <c r="E164" i="3"/>
  <c r="G164" i="3" s="1"/>
  <c r="C164" i="4" s="1"/>
  <c r="E53" i="3"/>
  <c r="G53" i="3" s="1"/>
  <c r="C53" i="4" s="1"/>
  <c r="E85" i="3"/>
  <c r="G85" i="3" s="1"/>
  <c r="C85" i="4" s="1"/>
  <c r="E125" i="3"/>
  <c r="G125" i="3" s="1"/>
  <c r="C125" i="4" s="1"/>
  <c r="E157" i="3"/>
  <c r="G157" i="3" s="1"/>
  <c r="C157" i="4" s="1"/>
  <c r="E189" i="3"/>
  <c r="G189" i="3" s="1"/>
  <c r="C189" i="4" s="1"/>
  <c r="E30" i="3"/>
  <c r="G30" i="3" s="1"/>
  <c r="C30" i="4" s="1"/>
  <c r="E70" i="3"/>
  <c r="G70" i="3" s="1"/>
  <c r="C70" i="4" s="1"/>
  <c r="E110" i="3"/>
  <c r="G110" i="3" s="1"/>
  <c r="C110" i="4" s="1"/>
  <c r="E142" i="3"/>
  <c r="G142" i="3" s="1"/>
  <c r="C142" i="4" s="1"/>
  <c r="E174" i="3"/>
  <c r="G174" i="3" s="1"/>
  <c r="C174" i="4" s="1"/>
  <c r="E103" i="3"/>
  <c r="G103" i="3" s="1"/>
  <c r="C103" i="4" s="1"/>
  <c r="E135" i="3"/>
  <c r="G135" i="3" s="1"/>
  <c r="C135" i="4" s="1"/>
  <c r="E167" i="3"/>
  <c r="G167" i="3" s="1"/>
  <c r="C167" i="4" s="1"/>
  <c r="E71" i="3"/>
  <c r="G71" i="3" s="1"/>
  <c r="C71" i="4" s="1"/>
  <c r="E23" i="4"/>
  <c r="G23" i="4" s="1"/>
  <c r="C23" i="5" s="1"/>
  <c r="E86" i="3"/>
  <c r="G86" i="3" s="1"/>
  <c r="C86" i="4" s="1"/>
  <c r="E84" i="3"/>
  <c r="G84" i="3" s="1"/>
  <c r="C84" i="4" s="1"/>
  <c r="E45" i="3"/>
  <c r="G45" i="3" s="1"/>
  <c r="C45" i="4" s="1"/>
  <c r="E177" i="3"/>
  <c r="G177" i="3" s="1"/>
  <c r="C177" i="4" s="1"/>
  <c r="E175" i="3"/>
  <c r="G175" i="3" s="1"/>
  <c r="C175" i="4" s="1"/>
  <c r="E101" i="3"/>
  <c r="G101" i="3" s="1"/>
  <c r="C101" i="4" s="1"/>
  <c r="E162" i="3"/>
  <c r="G162" i="3" s="1"/>
  <c r="C162" i="4" s="1"/>
  <c r="E47" i="3"/>
  <c r="G47" i="3" s="1"/>
  <c r="C47" i="4" s="1"/>
  <c r="E38" i="3"/>
  <c r="G38" i="3" s="1"/>
  <c r="C38" i="4" s="1"/>
  <c r="E37" i="3"/>
  <c r="G37" i="3" s="1"/>
  <c r="C37" i="4" s="1"/>
  <c r="E36" i="3"/>
  <c r="G36" i="3" s="1"/>
  <c r="C36" i="4" s="1"/>
  <c r="E33" i="3"/>
  <c r="G33" i="3" s="1"/>
  <c r="C33" i="4" s="1"/>
  <c r="E28" i="3"/>
  <c r="G28" i="3" s="1"/>
  <c r="C28" i="4" s="1"/>
  <c r="E25" i="3"/>
  <c r="G25" i="3" s="1"/>
  <c r="C25" i="4" s="1"/>
  <c r="E22" i="3"/>
  <c r="G22" i="3" s="1"/>
  <c r="C22" i="4" s="1"/>
  <c r="E5" i="3"/>
  <c r="G5" i="3" s="1"/>
  <c r="C5" i="4" s="1"/>
  <c r="R36" i="9"/>
  <c r="K228" i="9" s="1"/>
  <c r="S18" i="9"/>
  <c r="M36" i="9"/>
  <c r="S16" i="9"/>
  <c r="U16" i="9" s="1"/>
  <c r="S15" i="9"/>
  <c r="K212" i="4"/>
  <c r="K212" i="3"/>
  <c r="K212" i="2"/>
  <c r="K212" i="1"/>
  <c r="C196" i="4" l="1"/>
  <c r="E196" i="4" s="1"/>
  <c r="G196" i="4" s="1"/>
  <c r="C196" i="5" s="1"/>
  <c r="E196" i="5" s="1"/>
  <c r="G196" i="5" s="1"/>
  <c r="C196" i="6" s="1"/>
  <c r="E196" i="6" s="1"/>
  <c r="G196" i="6" s="1"/>
  <c r="C196" i="7" s="1"/>
  <c r="E70" i="4"/>
  <c r="G70" i="4" s="1"/>
  <c r="C70" i="5" s="1"/>
  <c r="E104" i="4"/>
  <c r="G104" i="4" s="1"/>
  <c r="C104" i="5" s="1"/>
  <c r="E94" i="4"/>
  <c r="G94" i="4" s="1"/>
  <c r="C94" i="5" s="1"/>
  <c r="E48" i="4"/>
  <c r="G48" i="4" s="1"/>
  <c r="C48" i="5" s="1"/>
  <c r="E169" i="4"/>
  <c r="G169" i="4" s="1"/>
  <c r="C169" i="5" s="1"/>
  <c r="E182" i="4"/>
  <c r="G182" i="4" s="1"/>
  <c r="C182" i="5" s="1"/>
  <c r="E192" i="4"/>
  <c r="G192" i="4" s="1"/>
  <c r="C192" i="5" s="1"/>
  <c r="E178" i="4"/>
  <c r="G178" i="4" s="1"/>
  <c r="C178" i="5" s="1"/>
  <c r="E32" i="4"/>
  <c r="G32" i="4" s="1"/>
  <c r="C32" i="5" s="1"/>
  <c r="E10" i="4"/>
  <c r="G10" i="4" s="1"/>
  <c r="C10" i="5" s="1"/>
  <c r="E171" i="4"/>
  <c r="G171" i="4" s="1"/>
  <c r="C171" i="5" s="1"/>
  <c r="E41" i="4"/>
  <c r="G41" i="4" s="1"/>
  <c r="C41" i="5" s="1"/>
  <c r="E11" i="4"/>
  <c r="G11" i="4" s="1"/>
  <c r="C11" i="5" s="1"/>
  <c r="E188" i="4"/>
  <c r="G188" i="4" s="1"/>
  <c r="C188" i="5" s="1"/>
  <c r="E42" i="4"/>
  <c r="G42" i="4" s="1"/>
  <c r="C42" i="5" s="1"/>
  <c r="E164" i="4"/>
  <c r="G164" i="4" s="1"/>
  <c r="C164" i="5" s="1"/>
  <c r="E114" i="4"/>
  <c r="G114" i="4" s="1"/>
  <c r="C114" i="5" s="1"/>
  <c r="E113" i="4"/>
  <c r="G113" i="4" s="1"/>
  <c r="C113" i="5" s="1"/>
  <c r="E165" i="4"/>
  <c r="G165" i="4" s="1"/>
  <c r="C165" i="5" s="1"/>
  <c r="E199" i="4"/>
  <c r="G199" i="4" s="1"/>
  <c r="C199" i="5" s="1"/>
  <c r="E124" i="4"/>
  <c r="G124" i="4" s="1"/>
  <c r="C124" i="5" s="1"/>
  <c r="E134" i="4"/>
  <c r="G134" i="4" s="1"/>
  <c r="C134" i="5" s="1"/>
  <c r="E88" i="4"/>
  <c r="G88" i="4" s="1"/>
  <c r="C88" i="5" s="1"/>
  <c r="E149" i="4"/>
  <c r="G149" i="4" s="1"/>
  <c r="C149" i="5" s="1"/>
  <c r="E119" i="4"/>
  <c r="G119" i="4" s="1"/>
  <c r="C119" i="5" s="1"/>
  <c r="E97" i="4"/>
  <c r="G97" i="4" s="1"/>
  <c r="C97" i="5" s="1"/>
  <c r="E166" i="4"/>
  <c r="G166" i="4" s="1"/>
  <c r="C166" i="5" s="1"/>
  <c r="E120" i="4"/>
  <c r="G120" i="4" s="1"/>
  <c r="C120" i="5" s="1"/>
  <c r="E98" i="4"/>
  <c r="G98" i="4" s="1"/>
  <c r="C98" i="5" s="1"/>
  <c r="E151" i="4"/>
  <c r="G151" i="4" s="1"/>
  <c r="C151" i="5" s="1"/>
  <c r="E129" i="4"/>
  <c r="G129" i="4" s="1"/>
  <c r="C129" i="5" s="1"/>
  <c r="E135" i="4"/>
  <c r="G135" i="4" s="1"/>
  <c r="C135" i="5" s="1"/>
  <c r="E132" i="4"/>
  <c r="G132" i="4" s="1"/>
  <c r="C132" i="5" s="1"/>
  <c r="E115" i="4"/>
  <c r="G115" i="4" s="1"/>
  <c r="C115" i="5" s="1"/>
  <c r="E81" i="4"/>
  <c r="G81" i="4" s="1"/>
  <c r="C81" i="5" s="1"/>
  <c r="E117" i="4"/>
  <c r="G117" i="4" s="1"/>
  <c r="C117" i="5" s="1"/>
  <c r="E138" i="4"/>
  <c r="G138" i="4" s="1"/>
  <c r="C138" i="5" s="1"/>
  <c r="E195" i="4"/>
  <c r="G195" i="4" s="1"/>
  <c r="C195" i="5" s="1"/>
  <c r="E6" i="4"/>
  <c r="G6" i="4" s="1"/>
  <c r="C6" i="5" s="1"/>
  <c r="E35" i="4"/>
  <c r="G35" i="4" s="1"/>
  <c r="C35" i="5" s="1"/>
  <c r="E21" i="4"/>
  <c r="G21" i="4" s="1"/>
  <c r="C21" i="5" s="1"/>
  <c r="E7" i="4"/>
  <c r="G7" i="4" s="1"/>
  <c r="C7" i="5" s="1"/>
  <c r="E44" i="4"/>
  <c r="G44" i="4" s="1"/>
  <c r="C44" i="5" s="1"/>
  <c r="E54" i="4"/>
  <c r="G54" i="4" s="1"/>
  <c r="C54" i="5" s="1"/>
  <c r="E16" i="4"/>
  <c r="G16" i="4" s="1"/>
  <c r="C16" i="5" s="1"/>
  <c r="E69" i="4"/>
  <c r="G69" i="4" s="1"/>
  <c r="E39" i="4"/>
  <c r="G39" i="4" s="1"/>
  <c r="C39" i="5" s="1"/>
  <c r="E9" i="4"/>
  <c r="G9" i="4" s="1"/>
  <c r="C9" i="5" s="1"/>
  <c r="E167" i="4"/>
  <c r="G167" i="4" s="1"/>
  <c r="C167" i="5" s="1"/>
  <c r="E103" i="4"/>
  <c r="G103" i="4" s="1"/>
  <c r="C103" i="5" s="1"/>
  <c r="E189" i="4"/>
  <c r="G189" i="4" s="1"/>
  <c r="C189" i="5" s="1"/>
  <c r="E83" i="4"/>
  <c r="G83" i="4" s="1"/>
  <c r="C83" i="5" s="1"/>
  <c r="E49" i="4"/>
  <c r="G49" i="4" s="1"/>
  <c r="C49" i="5" s="1"/>
  <c r="E40" i="4"/>
  <c r="G40" i="4" s="1"/>
  <c r="C40" i="5" s="1"/>
  <c r="E34" i="4"/>
  <c r="G34" i="4" s="1"/>
  <c r="C34" i="5" s="1"/>
  <c r="E91" i="4"/>
  <c r="G91" i="4" s="1"/>
  <c r="C91" i="5" s="1"/>
  <c r="E144" i="4"/>
  <c r="G144" i="4" s="1"/>
  <c r="C144" i="5" s="1"/>
  <c r="E122" i="4"/>
  <c r="G122" i="4" s="1"/>
  <c r="C122" i="5" s="1"/>
  <c r="E108" i="4"/>
  <c r="G108" i="4" s="1"/>
  <c r="C108" i="5" s="1"/>
  <c r="E153" i="4"/>
  <c r="G153" i="4" s="1"/>
  <c r="C153" i="5" s="1"/>
  <c r="E123" i="4"/>
  <c r="G123" i="4" s="1"/>
  <c r="C123" i="5" s="1"/>
  <c r="E133" i="4"/>
  <c r="G133" i="4" s="1"/>
  <c r="C133" i="5" s="1"/>
  <c r="E154" i="4"/>
  <c r="G154" i="4" s="1"/>
  <c r="C154" i="5" s="1"/>
  <c r="E140" i="4"/>
  <c r="G140" i="4" s="1"/>
  <c r="C140" i="5" s="1"/>
  <c r="E150" i="4"/>
  <c r="G150" i="4" s="1"/>
  <c r="C150" i="5" s="1"/>
  <c r="E155" i="4"/>
  <c r="G155" i="4" s="1"/>
  <c r="C155" i="5" s="1"/>
  <c r="E157" i="4"/>
  <c r="G157" i="4" s="1"/>
  <c r="C157" i="5" s="1"/>
  <c r="E51" i="4"/>
  <c r="G51" i="4" s="1"/>
  <c r="C51" i="5" s="1"/>
  <c r="E50" i="4"/>
  <c r="G50" i="4" s="1"/>
  <c r="C50" i="5" s="1"/>
  <c r="E8" i="4"/>
  <c r="G8" i="4" s="1"/>
  <c r="C8" i="5" s="1"/>
  <c r="E121" i="4"/>
  <c r="G121" i="4" s="1"/>
  <c r="C121" i="5" s="1"/>
  <c r="E190" i="4"/>
  <c r="G190" i="4" s="1"/>
  <c r="C190" i="5" s="1"/>
  <c r="E96" i="4"/>
  <c r="G96" i="4" s="1"/>
  <c r="C96" i="5" s="1"/>
  <c r="E74" i="4"/>
  <c r="G74" i="4" s="1"/>
  <c r="C74" i="5" s="1"/>
  <c r="E127" i="4"/>
  <c r="G127" i="4" s="1"/>
  <c r="C127" i="5" s="1"/>
  <c r="E105" i="4"/>
  <c r="G105" i="4" s="1"/>
  <c r="C105" i="5" s="1"/>
  <c r="E75" i="4"/>
  <c r="G75" i="4" s="1"/>
  <c r="C75" i="5" s="1"/>
  <c r="E128" i="4"/>
  <c r="G128" i="4" s="1"/>
  <c r="C128" i="5" s="1"/>
  <c r="E106" i="4"/>
  <c r="G106" i="4" s="1"/>
  <c r="C106" i="5" s="1"/>
  <c r="E92" i="4"/>
  <c r="G92" i="4" s="1"/>
  <c r="C92" i="5" s="1"/>
  <c r="E137" i="4"/>
  <c r="G137" i="4" s="1"/>
  <c r="C137" i="5" s="1"/>
  <c r="E107" i="4"/>
  <c r="G107" i="4" s="1"/>
  <c r="C107" i="5" s="1"/>
  <c r="E125" i="4"/>
  <c r="G125" i="4" s="1"/>
  <c r="C125" i="5" s="1"/>
  <c r="E60" i="4"/>
  <c r="G60" i="4" s="1"/>
  <c r="C60" i="5" s="1"/>
  <c r="E18" i="4"/>
  <c r="G18" i="4" s="1"/>
  <c r="C18" i="5" s="1"/>
  <c r="E31" i="4"/>
  <c r="G31" i="4" s="1"/>
  <c r="C31" i="5" s="1"/>
  <c r="E68" i="4"/>
  <c r="G68" i="4" s="1"/>
  <c r="C68" i="5" s="1"/>
  <c r="E14" i="4"/>
  <c r="G14" i="4" s="1"/>
  <c r="C14" i="5" s="1"/>
  <c r="E191" i="4"/>
  <c r="G191" i="4" s="1"/>
  <c r="C191" i="5" s="1"/>
  <c r="E29" i="4"/>
  <c r="G29" i="4" s="1"/>
  <c r="C29" i="5" s="1"/>
  <c r="E15" i="4"/>
  <c r="G15" i="4" s="1"/>
  <c r="C15" i="5" s="1"/>
  <c r="E184" i="4"/>
  <c r="G184" i="4" s="1"/>
  <c r="C184" i="5" s="1"/>
  <c r="E62" i="4"/>
  <c r="G62" i="4" s="1"/>
  <c r="C62" i="5" s="1"/>
  <c r="E24" i="4"/>
  <c r="G24" i="4" s="1"/>
  <c r="C24" i="5" s="1"/>
  <c r="E201" i="4"/>
  <c r="G201" i="4" s="1"/>
  <c r="C201" i="5" s="1"/>
  <c r="E55" i="4"/>
  <c r="G55" i="4" s="1"/>
  <c r="C55" i="5" s="1"/>
  <c r="E17" i="4"/>
  <c r="G17" i="4" s="1"/>
  <c r="C17" i="5" s="1"/>
  <c r="E202" i="4"/>
  <c r="G202" i="4" s="1"/>
  <c r="C202" i="5" s="1"/>
  <c r="E56" i="4"/>
  <c r="G56" i="4" s="1"/>
  <c r="C56" i="5" s="1"/>
  <c r="E53" i="4"/>
  <c r="G53" i="4" s="1"/>
  <c r="C53" i="5" s="1"/>
  <c r="E142" i="4"/>
  <c r="G142" i="4" s="1"/>
  <c r="C142" i="5" s="1"/>
  <c r="E12" i="4"/>
  <c r="G12" i="4" s="1"/>
  <c r="C12" i="5" s="1"/>
  <c r="E185" i="4"/>
  <c r="G185" i="4" s="1"/>
  <c r="C185" i="5" s="1"/>
  <c r="E168" i="4"/>
  <c r="G168" i="4" s="1"/>
  <c r="C168" i="5" s="1"/>
  <c r="E203" i="4"/>
  <c r="G203" i="4" s="1"/>
  <c r="C203" i="5" s="1"/>
  <c r="E109" i="4"/>
  <c r="G109" i="4" s="1"/>
  <c r="C109" i="5" s="1"/>
  <c r="E130" i="4"/>
  <c r="G130" i="4" s="1"/>
  <c r="C130" i="5" s="1"/>
  <c r="E116" i="4"/>
  <c r="G116" i="4" s="1"/>
  <c r="C116" i="5" s="1"/>
  <c r="E126" i="4"/>
  <c r="G126" i="4" s="1"/>
  <c r="C126" i="5" s="1"/>
  <c r="E131" i="4"/>
  <c r="G131" i="4" s="1"/>
  <c r="C131" i="5" s="1"/>
  <c r="E141" i="4"/>
  <c r="G141" i="4" s="1"/>
  <c r="C141" i="5" s="1"/>
  <c r="E111" i="4"/>
  <c r="G111" i="4" s="1"/>
  <c r="C111" i="5" s="1"/>
  <c r="E148" i="4"/>
  <c r="G148" i="4" s="1"/>
  <c r="C148" i="5" s="1"/>
  <c r="E158" i="4"/>
  <c r="G158" i="4" s="1"/>
  <c r="C158" i="5" s="1"/>
  <c r="E112" i="4"/>
  <c r="G112" i="4" s="1"/>
  <c r="C112" i="5" s="1"/>
  <c r="E173" i="4"/>
  <c r="G173" i="4" s="1"/>
  <c r="C173" i="5" s="1"/>
  <c r="E143" i="4"/>
  <c r="G143" i="4" s="1"/>
  <c r="C143" i="5" s="1"/>
  <c r="E146" i="4"/>
  <c r="G146" i="4" s="1"/>
  <c r="C146" i="5" s="1"/>
  <c r="E110" i="4"/>
  <c r="G110" i="4" s="1"/>
  <c r="C110" i="5" s="1"/>
  <c r="E179" i="4"/>
  <c r="G179" i="4" s="1"/>
  <c r="C179" i="5" s="1"/>
  <c r="E186" i="4"/>
  <c r="G186" i="4" s="1"/>
  <c r="C186" i="5" s="1"/>
  <c r="E136" i="4"/>
  <c r="G136" i="4" s="1"/>
  <c r="C136" i="5" s="1"/>
  <c r="E99" i="4"/>
  <c r="G99" i="4" s="1"/>
  <c r="C99" i="5" s="1"/>
  <c r="E152" i="4"/>
  <c r="G152" i="4" s="1"/>
  <c r="C152" i="5" s="1"/>
  <c r="E26" i="4"/>
  <c r="G26" i="4" s="1"/>
  <c r="C26" i="5" s="1"/>
  <c r="E187" i="4"/>
  <c r="G187" i="4" s="1"/>
  <c r="C187" i="5" s="1"/>
  <c r="E57" i="4"/>
  <c r="G57" i="4" s="1"/>
  <c r="C57" i="5" s="1"/>
  <c r="E27" i="4"/>
  <c r="G27" i="4" s="1"/>
  <c r="C27" i="5" s="1"/>
  <c r="E13" i="4"/>
  <c r="G13" i="4" s="1"/>
  <c r="C13" i="5" s="1"/>
  <c r="E58" i="4"/>
  <c r="G58" i="4" s="1"/>
  <c r="C58" i="5" s="1"/>
  <c r="E20" i="4"/>
  <c r="G20" i="4" s="1"/>
  <c r="C20" i="5" s="1"/>
  <c r="E46" i="4"/>
  <c r="G46" i="4" s="1"/>
  <c r="C46" i="5" s="1"/>
  <c r="E59" i="4"/>
  <c r="G59" i="4" s="1"/>
  <c r="C59" i="5" s="1"/>
  <c r="E61" i="4"/>
  <c r="G61" i="4" s="1"/>
  <c r="C61" i="5" s="1"/>
  <c r="E95" i="4"/>
  <c r="G95" i="4" s="1"/>
  <c r="C95" i="5" s="1"/>
  <c r="E85" i="4"/>
  <c r="G85" i="4" s="1"/>
  <c r="C85" i="5" s="1"/>
  <c r="E87" i="4"/>
  <c r="G87" i="4" s="1"/>
  <c r="E174" i="4"/>
  <c r="G174" i="4" s="1"/>
  <c r="C174" i="5" s="1"/>
  <c r="E200" i="4"/>
  <c r="G200" i="4" s="1"/>
  <c r="C200" i="5" s="1"/>
  <c r="E73" i="4"/>
  <c r="G73" i="4" s="1"/>
  <c r="C73" i="5" s="1"/>
  <c r="E65" i="4"/>
  <c r="G65" i="4" s="1"/>
  <c r="C65" i="5" s="1"/>
  <c r="E79" i="4"/>
  <c r="G79" i="4" s="1"/>
  <c r="C79" i="5" s="1"/>
  <c r="E93" i="4"/>
  <c r="G93" i="4" s="1"/>
  <c r="C93" i="5" s="1"/>
  <c r="E139" i="4"/>
  <c r="G139" i="4" s="1"/>
  <c r="C139" i="5" s="1"/>
  <c r="E161" i="4"/>
  <c r="G161" i="4" s="1"/>
  <c r="C161" i="5" s="1"/>
  <c r="E183" i="4"/>
  <c r="G183" i="4" s="1"/>
  <c r="C183" i="5" s="1"/>
  <c r="E197" i="4"/>
  <c r="G197" i="4" s="1"/>
  <c r="C197" i="5" s="1"/>
  <c r="E52" i="4"/>
  <c r="G52" i="4" s="1"/>
  <c r="C52" i="5" s="1"/>
  <c r="E66" i="4"/>
  <c r="G66" i="4" s="1"/>
  <c r="E80" i="4"/>
  <c r="G80" i="4" s="1"/>
  <c r="C80" i="5" s="1"/>
  <c r="E118" i="4"/>
  <c r="G118" i="4" s="1"/>
  <c r="C118" i="5" s="1"/>
  <c r="E156" i="4"/>
  <c r="G156" i="4" s="1"/>
  <c r="C156" i="5" s="1"/>
  <c r="E170" i="4"/>
  <c r="G170" i="4" s="1"/>
  <c r="C170" i="5" s="1"/>
  <c r="E176" i="4"/>
  <c r="G176" i="4" s="1"/>
  <c r="C176" i="5" s="1"/>
  <c r="E63" i="4"/>
  <c r="G63" i="4" s="1"/>
  <c r="C63" i="5" s="1"/>
  <c r="E77" i="4"/>
  <c r="G77" i="4" s="1"/>
  <c r="C77" i="5" s="1"/>
  <c r="E67" i="4"/>
  <c r="G67" i="4" s="1"/>
  <c r="C67" i="5" s="1"/>
  <c r="E89" i="4"/>
  <c r="G89" i="4" s="1"/>
  <c r="C89" i="5" s="1"/>
  <c r="E159" i="4"/>
  <c r="G159" i="4" s="1"/>
  <c r="C159" i="5" s="1"/>
  <c r="E181" i="4"/>
  <c r="G181" i="4" s="1"/>
  <c r="C181" i="5" s="1"/>
  <c r="E163" i="4"/>
  <c r="G163" i="4" s="1"/>
  <c r="C163" i="5" s="1"/>
  <c r="E193" i="4"/>
  <c r="G193" i="4" s="1"/>
  <c r="C193" i="5" s="1"/>
  <c r="E64" i="4"/>
  <c r="G64" i="4" s="1"/>
  <c r="C64" i="5" s="1"/>
  <c r="E102" i="4"/>
  <c r="G102" i="4" s="1"/>
  <c r="C102" i="5" s="1"/>
  <c r="E76" i="4"/>
  <c r="G76" i="4" s="1"/>
  <c r="C76" i="5" s="1"/>
  <c r="E90" i="4"/>
  <c r="G90" i="4" s="1"/>
  <c r="C90" i="5" s="1"/>
  <c r="E160" i="4"/>
  <c r="G160" i="4" s="1"/>
  <c r="C160" i="5" s="1"/>
  <c r="E147" i="4"/>
  <c r="G147" i="4" s="1"/>
  <c r="C147" i="5" s="1"/>
  <c r="E194" i="4"/>
  <c r="G194" i="4" s="1"/>
  <c r="C194" i="5" s="1"/>
  <c r="E82" i="4"/>
  <c r="G82" i="4" s="1"/>
  <c r="C82" i="5" s="1"/>
  <c r="E72" i="4"/>
  <c r="G72" i="4" s="1"/>
  <c r="C72" i="5" s="1"/>
  <c r="E19" i="4"/>
  <c r="G19" i="4" s="1"/>
  <c r="C19" i="5" s="1"/>
  <c r="E198" i="4"/>
  <c r="G198" i="4" s="1"/>
  <c r="C198" i="5" s="1"/>
  <c r="E100" i="4"/>
  <c r="G100" i="4" s="1"/>
  <c r="C100" i="5" s="1"/>
  <c r="E43" i="4"/>
  <c r="G43" i="4" s="1"/>
  <c r="C43" i="5" s="1"/>
  <c r="E71" i="4"/>
  <c r="G71" i="4" s="1"/>
  <c r="C71" i="5" s="1"/>
  <c r="E145" i="4"/>
  <c r="G145" i="4" s="1"/>
  <c r="C145" i="5" s="1"/>
  <c r="E180" i="4"/>
  <c r="G180" i="4" s="1"/>
  <c r="C180" i="5" s="1"/>
  <c r="E30" i="4"/>
  <c r="G30" i="4" s="1"/>
  <c r="C30" i="5" s="1"/>
  <c r="E172" i="4"/>
  <c r="G172" i="4" s="1"/>
  <c r="C172" i="5" s="1"/>
  <c r="E78" i="5"/>
  <c r="G78" i="5" s="1"/>
  <c r="C78" i="6" s="1"/>
  <c r="E23" i="5"/>
  <c r="G23" i="5" s="1"/>
  <c r="C23" i="6" s="1"/>
  <c r="E86" i="4"/>
  <c r="G86" i="4" s="1"/>
  <c r="C86" i="5" s="1"/>
  <c r="E84" i="4"/>
  <c r="G84" i="4" s="1"/>
  <c r="C84" i="5" s="1"/>
  <c r="E45" i="4"/>
  <c r="G45" i="4" s="1"/>
  <c r="C45" i="5" s="1"/>
  <c r="E177" i="4"/>
  <c r="G177" i="4" s="1"/>
  <c r="C177" i="5" s="1"/>
  <c r="E175" i="4"/>
  <c r="G175" i="4" s="1"/>
  <c r="C175" i="5" s="1"/>
  <c r="E101" i="4"/>
  <c r="G101" i="4" s="1"/>
  <c r="C101" i="5" s="1"/>
  <c r="E162" i="4"/>
  <c r="G162" i="4" s="1"/>
  <c r="C162" i="5" s="1"/>
  <c r="E47" i="4"/>
  <c r="G47" i="4" s="1"/>
  <c r="C47" i="5" s="1"/>
  <c r="E38" i="4"/>
  <c r="G38" i="4" s="1"/>
  <c r="C38" i="5" s="1"/>
  <c r="E37" i="4"/>
  <c r="G37" i="4" s="1"/>
  <c r="C37" i="5" s="1"/>
  <c r="E36" i="4"/>
  <c r="G36" i="4" s="1"/>
  <c r="C36" i="5" s="1"/>
  <c r="E33" i="4"/>
  <c r="G33" i="4" s="1"/>
  <c r="C33" i="5" s="1"/>
  <c r="E28" i="4"/>
  <c r="G28" i="4" s="1"/>
  <c r="C28" i="5" s="1"/>
  <c r="E25" i="4"/>
  <c r="G25" i="4" s="1"/>
  <c r="C25" i="5" s="1"/>
  <c r="E22" i="4"/>
  <c r="G22" i="4" s="1"/>
  <c r="C22" i="5" s="1"/>
  <c r="E5" i="4"/>
  <c r="G5" i="4" s="1"/>
  <c r="C5" i="5" s="1"/>
  <c r="U18" i="9"/>
  <c r="S36" i="9"/>
  <c r="D228" i="9"/>
  <c r="D231" i="9" s="1"/>
  <c r="D233" i="9" s="1"/>
  <c r="J230" i="9"/>
  <c r="U15" i="9"/>
  <c r="K215" i="4"/>
  <c r="K214" i="4"/>
  <c r="K217" i="4" s="1"/>
  <c r="K220" i="4" s="1"/>
  <c r="K215" i="3"/>
  <c r="K214" i="3"/>
  <c r="K217" i="3" s="1"/>
  <c r="K220" i="3" s="1"/>
  <c r="K215" i="2"/>
  <c r="K214" i="2"/>
  <c r="K217" i="2" s="1"/>
  <c r="K220" i="2" s="1"/>
  <c r="K215" i="1"/>
  <c r="K214" i="1"/>
  <c r="C69" i="5" l="1"/>
  <c r="E69" i="5" s="1"/>
  <c r="G69" i="5" s="1"/>
  <c r="C87" i="5"/>
  <c r="E87" i="5" s="1"/>
  <c r="G87" i="5" s="1"/>
  <c r="C66" i="5"/>
  <c r="E66" i="5" s="1"/>
  <c r="G66" i="5" s="1"/>
  <c r="E80" i="5"/>
  <c r="G80" i="5" s="1"/>
  <c r="C80" i="6" s="1"/>
  <c r="E56" i="5"/>
  <c r="G56" i="5" s="1"/>
  <c r="C56" i="6" s="1"/>
  <c r="E157" i="5"/>
  <c r="G157" i="5" s="1"/>
  <c r="C157" i="6" s="1"/>
  <c r="E81" i="5"/>
  <c r="G81" i="5" s="1"/>
  <c r="C81" i="6" s="1"/>
  <c r="E134" i="5"/>
  <c r="G134" i="5" s="1"/>
  <c r="C134" i="6" s="1"/>
  <c r="E193" i="5"/>
  <c r="G193" i="5" s="1"/>
  <c r="C193" i="6" s="1"/>
  <c r="E198" i="5"/>
  <c r="G198" i="5" s="1"/>
  <c r="C198" i="6" s="1"/>
  <c r="E160" i="5"/>
  <c r="G160" i="5" s="1"/>
  <c r="C160" i="6" s="1"/>
  <c r="E176" i="5"/>
  <c r="G176" i="5" s="1"/>
  <c r="C176" i="6" s="1"/>
  <c r="E65" i="5"/>
  <c r="G65" i="5" s="1"/>
  <c r="E95" i="5"/>
  <c r="G95" i="5" s="1"/>
  <c r="C95" i="6" s="1"/>
  <c r="E136" i="5"/>
  <c r="G136" i="5" s="1"/>
  <c r="C136" i="6" s="1"/>
  <c r="E126" i="5"/>
  <c r="G126" i="5" s="1"/>
  <c r="C126" i="6" s="1"/>
  <c r="E185" i="5"/>
  <c r="G185" i="5" s="1"/>
  <c r="C185" i="6" s="1"/>
  <c r="E29" i="5"/>
  <c r="G29" i="5" s="1"/>
  <c r="C29" i="6" s="1"/>
  <c r="E75" i="5"/>
  <c r="G75" i="5" s="1"/>
  <c r="C75" i="6" s="1"/>
  <c r="E121" i="5"/>
  <c r="G121" i="5" s="1"/>
  <c r="C121" i="6" s="1"/>
  <c r="E122" i="5"/>
  <c r="G122" i="5" s="1"/>
  <c r="C122" i="6" s="1"/>
  <c r="E16" i="5"/>
  <c r="G16" i="5" s="1"/>
  <c r="C16" i="6" s="1"/>
  <c r="E6" i="5"/>
  <c r="G6" i="5" s="1"/>
  <c r="C6" i="6" s="1"/>
  <c r="E97" i="5"/>
  <c r="G97" i="5" s="1"/>
  <c r="C97" i="6" s="1"/>
  <c r="E11" i="5"/>
  <c r="G11" i="5" s="1"/>
  <c r="C11" i="6" s="1"/>
  <c r="E192" i="5"/>
  <c r="G192" i="5" s="1"/>
  <c r="C192" i="6" s="1"/>
  <c r="E90" i="5"/>
  <c r="G90" i="5" s="1"/>
  <c r="C90" i="6" s="1"/>
  <c r="E119" i="5"/>
  <c r="G119" i="5" s="1"/>
  <c r="C119" i="6" s="1"/>
  <c r="E170" i="5"/>
  <c r="G170" i="5" s="1"/>
  <c r="C170" i="6" s="1"/>
  <c r="E112" i="5"/>
  <c r="G112" i="5" s="1"/>
  <c r="C112" i="6" s="1"/>
  <c r="E191" i="5"/>
  <c r="G191" i="5" s="1"/>
  <c r="C191" i="6" s="1"/>
  <c r="E8" i="5"/>
  <c r="G8" i="5" s="1"/>
  <c r="C8" i="6" s="1"/>
  <c r="E165" i="5"/>
  <c r="G165" i="5" s="1"/>
  <c r="C165" i="6" s="1"/>
  <c r="E180" i="5"/>
  <c r="G180" i="5" s="1"/>
  <c r="C180" i="6" s="1"/>
  <c r="E76" i="5"/>
  <c r="G76" i="5" s="1"/>
  <c r="E159" i="5"/>
  <c r="G159" i="5" s="1"/>
  <c r="C159" i="6" s="1"/>
  <c r="E183" i="5"/>
  <c r="G183" i="5" s="1"/>
  <c r="C183" i="6" s="1"/>
  <c r="E59" i="5"/>
  <c r="G59" i="5" s="1"/>
  <c r="C59" i="6" s="1"/>
  <c r="E57" i="5"/>
  <c r="G57" i="5" s="1"/>
  <c r="C57" i="6" s="1"/>
  <c r="E158" i="5"/>
  <c r="G158" i="5" s="1"/>
  <c r="C158" i="6" s="1"/>
  <c r="E142" i="5"/>
  <c r="G142" i="5" s="1"/>
  <c r="C142" i="6" s="1"/>
  <c r="E201" i="5"/>
  <c r="G201" i="5" s="1"/>
  <c r="C201" i="6" s="1"/>
  <c r="E107" i="5"/>
  <c r="G107" i="5" s="1"/>
  <c r="C107" i="6" s="1"/>
  <c r="E50" i="5"/>
  <c r="G50" i="5" s="1"/>
  <c r="C50" i="6" s="1"/>
  <c r="E154" i="5"/>
  <c r="G154" i="5" s="1"/>
  <c r="C154" i="6" s="1"/>
  <c r="E103" i="5"/>
  <c r="G103" i="5" s="1"/>
  <c r="C103" i="6" s="1"/>
  <c r="E138" i="5"/>
  <c r="G138" i="5" s="1"/>
  <c r="C138" i="6" s="1"/>
  <c r="E129" i="5"/>
  <c r="G129" i="5" s="1"/>
  <c r="C129" i="6" s="1"/>
  <c r="E113" i="5"/>
  <c r="G113" i="5" s="1"/>
  <c r="C113" i="6" s="1"/>
  <c r="E169" i="5"/>
  <c r="G169" i="5" s="1"/>
  <c r="C169" i="6" s="1"/>
  <c r="E30" i="5"/>
  <c r="G30" i="5" s="1"/>
  <c r="C30" i="6" s="1"/>
  <c r="E61" i="5"/>
  <c r="G61" i="5" s="1"/>
  <c r="C61" i="6" s="1"/>
  <c r="E12" i="5"/>
  <c r="G12" i="5" s="1"/>
  <c r="C12" i="6" s="1"/>
  <c r="E144" i="5"/>
  <c r="G144" i="5" s="1"/>
  <c r="C144" i="6" s="1"/>
  <c r="E195" i="5"/>
  <c r="G195" i="5" s="1"/>
  <c r="C195" i="6" s="1"/>
  <c r="E145" i="5"/>
  <c r="G145" i="5" s="1"/>
  <c r="C145" i="6" s="1"/>
  <c r="E72" i="5"/>
  <c r="G72" i="5" s="1"/>
  <c r="C72" i="6" s="1"/>
  <c r="E89" i="5"/>
  <c r="G89" i="5" s="1"/>
  <c r="C89" i="6" s="1"/>
  <c r="E161" i="5"/>
  <c r="G161" i="5" s="1"/>
  <c r="C161" i="6" s="1"/>
  <c r="E200" i="5"/>
  <c r="G200" i="5" s="1"/>
  <c r="C200" i="6" s="1"/>
  <c r="E187" i="5"/>
  <c r="G187" i="5" s="1"/>
  <c r="C187" i="6" s="1"/>
  <c r="E148" i="5"/>
  <c r="G148" i="5" s="1"/>
  <c r="C148" i="6" s="1"/>
  <c r="E130" i="5"/>
  <c r="G130" i="5" s="1"/>
  <c r="C130" i="6" s="1"/>
  <c r="E24" i="5"/>
  <c r="G24" i="5" s="1"/>
  <c r="C24" i="6" s="1"/>
  <c r="E137" i="5"/>
  <c r="G137" i="5" s="1"/>
  <c r="C137" i="6" s="1"/>
  <c r="E127" i="5"/>
  <c r="G127" i="5" s="1"/>
  <c r="C127" i="6" s="1"/>
  <c r="E133" i="5"/>
  <c r="G133" i="5" s="1"/>
  <c r="C133" i="6" s="1"/>
  <c r="E167" i="5"/>
  <c r="G167" i="5" s="1"/>
  <c r="C167" i="6" s="1"/>
  <c r="E44" i="5"/>
  <c r="G44" i="5" s="1"/>
  <c r="C44" i="6" s="1"/>
  <c r="E151" i="5"/>
  <c r="G151" i="5" s="1"/>
  <c r="C151" i="6" s="1"/>
  <c r="E114" i="5"/>
  <c r="G114" i="5" s="1"/>
  <c r="C114" i="6" s="1"/>
  <c r="E171" i="5"/>
  <c r="G171" i="5" s="1"/>
  <c r="C171" i="6" s="1"/>
  <c r="E197" i="5"/>
  <c r="G197" i="5" s="1"/>
  <c r="C197" i="6" s="1"/>
  <c r="E186" i="5"/>
  <c r="G186" i="5" s="1"/>
  <c r="C186" i="6" s="1"/>
  <c r="E125" i="5"/>
  <c r="G125" i="5" s="1"/>
  <c r="C125" i="6" s="1"/>
  <c r="E189" i="5"/>
  <c r="G189" i="5" s="1"/>
  <c r="C189" i="6" s="1"/>
  <c r="E182" i="5"/>
  <c r="G182" i="5" s="1"/>
  <c r="C182" i="6" s="1"/>
  <c r="E82" i="5"/>
  <c r="G82" i="5" s="1"/>
  <c r="C82" i="6" s="1"/>
  <c r="E67" i="5"/>
  <c r="G67" i="5" s="1"/>
  <c r="C67" i="6" s="1"/>
  <c r="E118" i="5"/>
  <c r="G118" i="5" s="1"/>
  <c r="C118" i="6" s="1"/>
  <c r="E174" i="5"/>
  <c r="G174" i="5" s="1"/>
  <c r="C174" i="6" s="1"/>
  <c r="E26" i="5"/>
  <c r="G26" i="5" s="1"/>
  <c r="C26" i="6" s="1"/>
  <c r="E110" i="5"/>
  <c r="G110" i="5" s="1"/>
  <c r="C110" i="6" s="1"/>
  <c r="E109" i="5"/>
  <c r="G109" i="5" s="1"/>
  <c r="C109" i="6" s="1"/>
  <c r="E62" i="5"/>
  <c r="G62" i="5" s="1"/>
  <c r="C62" i="6" s="1"/>
  <c r="E68" i="5"/>
  <c r="G68" i="5" s="1"/>
  <c r="C68" i="6" s="1"/>
  <c r="E74" i="5"/>
  <c r="G74" i="5" s="1"/>
  <c r="C74" i="6" s="1"/>
  <c r="E123" i="5"/>
  <c r="G123" i="5" s="1"/>
  <c r="C123" i="6" s="1"/>
  <c r="E34" i="5"/>
  <c r="G34" i="5" s="1"/>
  <c r="C34" i="6" s="1"/>
  <c r="E7" i="5"/>
  <c r="G7" i="5" s="1"/>
  <c r="C7" i="6" s="1"/>
  <c r="E98" i="5"/>
  <c r="G98" i="5" s="1"/>
  <c r="C98" i="6" s="1"/>
  <c r="E88" i="5"/>
  <c r="G88" i="5" s="1"/>
  <c r="C88" i="6" s="1"/>
  <c r="E10" i="5"/>
  <c r="G10" i="5" s="1"/>
  <c r="C10" i="6" s="1"/>
  <c r="E64" i="5"/>
  <c r="G64" i="5" s="1"/>
  <c r="C64" i="6" s="1"/>
  <c r="E32" i="5"/>
  <c r="G32" i="5" s="1"/>
  <c r="C32" i="6" s="1"/>
  <c r="E146" i="5"/>
  <c r="G146" i="5" s="1"/>
  <c r="C146" i="6" s="1"/>
  <c r="E31" i="5"/>
  <c r="G31" i="5" s="1"/>
  <c r="C31" i="6" s="1"/>
  <c r="E40" i="5"/>
  <c r="G40" i="5" s="1"/>
  <c r="C40" i="6" s="1"/>
  <c r="E43" i="5"/>
  <c r="G43" i="5" s="1"/>
  <c r="C43" i="6" s="1"/>
  <c r="E93" i="5"/>
  <c r="G93" i="5" s="1"/>
  <c r="C93" i="6" s="1"/>
  <c r="E58" i="5"/>
  <c r="G58" i="5" s="1"/>
  <c r="C58" i="6" s="1"/>
  <c r="E143" i="5"/>
  <c r="G143" i="5" s="1"/>
  <c r="C143" i="6" s="1"/>
  <c r="E141" i="5"/>
  <c r="G141" i="5" s="1"/>
  <c r="C141" i="6" s="1"/>
  <c r="E202" i="5"/>
  <c r="G202" i="5" s="1"/>
  <c r="C202" i="6" s="1"/>
  <c r="E18" i="5"/>
  <c r="G18" i="5" s="1"/>
  <c r="C18" i="6" s="1"/>
  <c r="E106" i="5"/>
  <c r="G106" i="5" s="1"/>
  <c r="C106" i="6" s="1"/>
  <c r="E155" i="5"/>
  <c r="G155" i="5" s="1"/>
  <c r="C155" i="6" s="1"/>
  <c r="E49" i="5"/>
  <c r="G49" i="5" s="1"/>
  <c r="C49" i="6" s="1"/>
  <c r="E39" i="5"/>
  <c r="G39" i="5" s="1"/>
  <c r="C39" i="6" s="1"/>
  <c r="E115" i="5"/>
  <c r="G115" i="5" s="1"/>
  <c r="C115" i="6" s="1"/>
  <c r="E124" i="5"/>
  <c r="G124" i="5" s="1"/>
  <c r="C124" i="6" s="1"/>
  <c r="E42" i="5"/>
  <c r="G42" i="5" s="1"/>
  <c r="C42" i="6" s="1"/>
  <c r="E104" i="5"/>
  <c r="G104" i="5" s="1"/>
  <c r="C104" i="6" s="1"/>
  <c r="E194" i="5"/>
  <c r="G194" i="5" s="1"/>
  <c r="C194" i="6" s="1"/>
  <c r="E20" i="5"/>
  <c r="G20" i="5" s="1"/>
  <c r="C20" i="6" s="1"/>
  <c r="E203" i="5"/>
  <c r="G203" i="5" s="1"/>
  <c r="C203" i="6" s="1"/>
  <c r="E96" i="5"/>
  <c r="G96" i="5" s="1"/>
  <c r="C96" i="6" s="1"/>
  <c r="E21" i="5"/>
  <c r="G21" i="5" s="1"/>
  <c r="C21" i="6" s="1"/>
  <c r="E94" i="5"/>
  <c r="G94" i="5" s="1"/>
  <c r="C94" i="6" s="1"/>
  <c r="E100" i="5"/>
  <c r="G100" i="5" s="1"/>
  <c r="C100" i="6" s="1"/>
  <c r="E163" i="5"/>
  <c r="G163" i="5" s="1"/>
  <c r="C163" i="6" s="1"/>
  <c r="E63" i="5"/>
  <c r="G63" i="5" s="1"/>
  <c r="C63" i="6" s="1"/>
  <c r="E79" i="5"/>
  <c r="G79" i="5" s="1"/>
  <c r="C79" i="6" s="1"/>
  <c r="E13" i="5"/>
  <c r="G13" i="5" s="1"/>
  <c r="C13" i="6" s="1"/>
  <c r="E99" i="5"/>
  <c r="G99" i="5" s="1"/>
  <c r="C99" i="6" s="1"/>
  <c r="E131" i="5"/>
  <c r="G131" i="5" s="1"/>
  <c r="C131" i="6" s="1"/>
  <c r="E17" i="5"/>
  <c r="G17" i="5" s="1"/>
  <c r="C17" i="6" s="1"/>
  <c r="E15" i="5"/>
  <c r="G15" i="5" s="1"/>
  <c r="C15" i="6" s="1"/>
  <c r="E128" i="5"/>
  <c r="G128" i="5" s="1"/>
  <c r="C128" i="6" s="1"/>
  <c r="E150" i="5"/>
  <c r="G150" i="5" s="1"/>
  <c r="C150" i="6" s="1"/>
  <c r="E108" i="5"/>
  <c r="G108" i="5" s="1"/>
  <c r="C108" i="6" s="1"/>
  <c r="E132" i="5"/>
  <c r="G132" i="5" s="1"/>
  <c r="C132" i="6" s="1"/>
  <c r="E166" i="5"/>
  <c r="G166" i="5" s="1"/>
  <c r="C166" i="6" s="1"/>
  <c r="E188" i="5"/>
  <c r="G188" i="5" s="1"/>
  <c r="C188" i="6" s="1"/>
  <c r="E70" i="5"/>
  <c r="G70" i="5" s="1"/>
  <c r="C70" i="6" s="1"/>
  <c r="E19" i="5"/>
  <c r="G19" i="5" s="1"/>
  <c r="C19" i="6" s="1"/>
  <c r="E52" i="5"/>
  <c r="G52" i="5" s="1"/>
  <c r="C52" i="6" s="1"/>
  <c r="E46" i="5"/>
  <c r="G46" i="5" s="1"/>
  <c r="C46" i="6" s="1"/>
  <c r="E116" i="5"/>
  <c r="G116" i="5" s="1"/>
  <c r="C116" i="6" s="1"/>
  <c r="E53" i="5"/>
  <c r="G53" i="5" s="1"/>
  <c r="C53" i="6" s="1"/>
  <c r="E55" i="5"/>
  <c r="G55" i="5" s="1"/>
  <c r="C55" i="6" s="1"/>
  <c r="E184" i="5"/>
  <c r="G184" i="5" s="1"/>
  <c r="C184" i="6" s="1"/>
  <c r="E14" i="5"/>
  <c r="G14" i="5" s="1"/>
  <c r="C14" i="6" s="1"/>
  <c r="E60" i="5"/>
  <c r="G60" i="5" s="1"/>
  <c r="C60" i="6" s="1"/>
  <c r="E92" i="5"/>
  <c r="G92" i="5" s="1"/>
  <c r="C92" i="6" s="1"/>
  <c r="E105" i="5"/>
  <c r="G105" i="5" s="1"/>
  <c r="C105" i="6" s="1"/>
  <c r="E190" i="5"/>
  <c r="G190" i="5" s="1"/>
  <c r="C190" i="6" s="1"/>
  <c r="E51" i="5"/>
  <c r="G51" i="5" s="1"/>
  <c r="C51" i="6" s="1"/>
  <c r="E140" i="5"/>
  <c r="G140" i="5" s="1"/>
  <c r="C140" i="6" s="1"/>
  <c r="E153" i="5"/>
  <c r="G153" i="5" s="1"/>
  <c r="C153" i="6" s="1"/>
  <c r="E91" i="5"/>
  <c r="G91" i="5" s="1"/>
  <c r="C91" i="6" s="1"/>
  <c r="E83" i="5"/>
  <c r="G83" i="5" s="1"/>
  <c r="C83" i="6" s="1"/>
  <c r="E9" i="5"/>
  <c r="G9" i="5" s="1"/>
  <c r="C9" i="6" s="1"/>
  <c r="E54" i="5"/>
  <c r="G54" i="5" s="1"/>
  <c r="C54" i="6" s="1"/>
  <c r="E35" i="5"/>
  <c r="G35" i="5" s="1"/>
  <c r="C35" i="6" s="1"/>
  <c r="E117" i="5"/>
  <c r="G117" i="5" s="1"/>
  <c r="C117" i="6" s="1"/>
  <c r="E135" i="5"/>
  <c r="G135" i="5" s="1"/>
  <c r="C135" i="6" s="1"/>
  <c r="E120" i="5"/>
  <c r="G120" i="5" s="1"/>
  <c r="C120" i="6" s="1"/>
  <c r="E149" i="5"/>
  <c r="G149" i="5" s="1"/>
  <c r="C149" i="6" s="1"/>
  <c r="E199" i="5"/>
  <c r="G199" i="5" s="1"/>
  <c r="C199" i="6" s="1"/>
  <c r="E164" i="5"/>
  <c r="G164" i="5" s="1"/>
  <c r="C164" i="6" s="1"/>
  <c r="E41" i="5"/>
  <c r="G41" i="5" s="1"/>
  <c r="C41" i="6" s="1"/>
  <c r="E178" i="5"/>
  <c r="G178" i="5" s="1"/>
  <c r="C178" i="6" s="1"/>
  <c r="E48" i="5"/>
  <c r="G48" i="5" s="1"/>
  <c r="C48" i="6" s="1"/>
  <c r="E102" i="5"/>
  <c r="G102" i="5" s="1"/>
  <c r="C102" i="6" s="1"/>
  <c r="E85" i="5"/>
  <c r="G85" i="5" s="1"/>
  <c r="C85" i="6" s="1"/>
  <c r="E179" i="5"/>
  <c r="G179" i="5" s="1"/>
  <c r="C179" i="6" s="1"/>
  <c r="E172" i="5"/>
  <c r="G172" i="5" s="1"/>
  <c r="C172" i="6" s="1"/>
  <c r="E77" i="5"/>
  <c r="G77" i="5" s="1"/>
  <c r="C77" i="6" s="1"/>
  <c r="E111" i="5"/>
  <c r="G111" i="5" s="1"/>
  <c r="C111" i="6" s="1"/>
  <c r="E152" i="5"/>
  <c r="G152" i="5" s="1"/>
  <c r="C152" i="6" s="1"/>
  <c r="E71" i="5"/>
  <c r="G71" i="5" s="1"/>
  <c r="C71" i="6" s="1"/>
  <c r="E156" i="5"/>
  <c r="G156" i="5" s="1"/>
  <c r="C156" i="6" s="1"/>
  <c r="E168" i="5"/>
  <c r="G168" i="5" s="1"/>
  <c r="C168" i="6" s="1"/>
  <c r="E147" i="5"/>
  <c r="G147" i="5" s="1"/>
  <c r="C147" i="6" s="1"/>
  <c r="E139" i="5"/>
  <c r="G139" i="5" s="1"/>
  <c r="C139" i="6" s="1"/>
  <c r="E173" i="5"/>
  <c r="G173" i="5" s="1"/>
  <c r="C173" i="6" s="1"/>
  <c r="E181" i="5"/>
  <c r="G181" i="5" s="1"/>
  <c r="C181" i="6" s="1"/>
  <c r="E73" i="5"/>
  <c r="G73" i="5" s="1"/>
  <c r="C73" i="6" s="1"/>
  <c r="E27" i="5"/>
  <c r="G27" i="5" s="1"/>
  <c r="C27" i="6" s="1"/>
  <c r="E196" i="7"/>
  <c r="G196" i="7" s="1"/>
  <c r="E78" i="6"/>
  <c r="G78" i="6" s="1"/>
  <c r="C78" i="7" s="1"/>
  <c r="E23" i="6"/>
  <c r="G23" i="6" s="1"/>
  <c r="C23" i="7" s="1"/>
  <c r="E86" i="5"/>
  <c r="G86" i="5" s="1"/>
  <c r="C86" i="6" s="1"/>
  <c r="E84" i="5"/>
  <c r="G84" i="5" s="1"/>
  <c r="C84" i="6" s="1"/>
  <c r="E45" i="5"/>
  <c r="G45" i="5" s="1"/>
  <c r="C45" i="6" s="1"/>
  <c r="E177" i="5"/>
  <c r="G177" i="5" s="1"/>
  <c r="C177" i="6" s="1"/>
  <c r="E175" i="5"/>
  <c r="G175" i="5" s="1"/>
  <c r="C175" i="6" s="1"/>
  <c r="E101" i="5"/>
  <c r="G101" i="5" s="1"/>
  <c r="C101" i="6" s="1"/>
  <c r="E162" i="5"/>
  <c r="G162" i="5" s="1"/>
  <c r="C162" i="6" s="1"/>
  <c r="E47" i="5"/>
  <c r="G47" i="5" s="1"/>
  <c r="C47" i="6" s="1"/>
  <c r="E38" i="5"/>
  <c r="G38" i="5" s="1"/>
  <c r="C38" i="6" s="1"/>
  <c r="E37" i="5"/>
  <c r="G37" i="5" s="1"/>
  <c r="C37" i="6" s="1"/>
  <c r="E36" i="5"/>
  <c r="G36" i="5" s="1"/>
  <c r="C36" i="6" s="1"/>
  <c r="E33" i="5"/>
  <c r="G33" i="5" s="1"/>
  <c r="C33" i="6" s="1"/>
  <c r="E28" i="5"/>
  <c r="G28" i="5" s="1"/>
  <c r="C28" i="6" s="1"/>
  <c r="E25" i="5"/>
  <c r="G25" i="5" s="1"/>
  <c r="C25" i="6" s="1"/>
  <c r="E22" i="5"/>
  <c r="G22" i="5" s="1"/>
  <c r="C22" i="6" s="1"/>
  <c r="E5" i="5"/>
  <c r="G5" i="5" s="1"/>
  <c r="C5" i="6" s="1"/>
  <c r="U36" i="9"/>
  <c r="B228" i="9"/>
  <c r="B231" i="9" s="1"/>
  <c r="J232" i="9"/>
  <c r="J235" i="9" s="1"/>
  <c r="K217" i="1"/>
  <c r="K220" i="1" s="1"/>
  <c r="C66" i="6" l="1"/>
  <c r="E66" i="6" s="1"/>
  <c r="G66" i="6" s="1"/>
  <c r="C69" i="6"/>
  <c r="E69" i="6" s="1"/>
  <c r="G69" i="6" s="1"/>
  <c r="C65" i="6"/>
  <c r="E65" i="6" s="1"/>
  <c r="G65" i="6" s="1"/>
  <c r="C87" i="6"/>
  <c r="E87" i="6" s="1"/>
  <c r="G87" i="6" s="1"/>
  <c r="C196" i="8"/>
  <c r="E196" i="8" s="1"/>
  <c r="G196" i="8" s="1"/>
  <c r="C196" i="11" s="1"/>
  <c r="E196" i="11" s="1"/>
  <c r="G196" i="11" s="1"/>
  <c r="C196" i="12" s="1"/>
  <c r="C76" i="6"/>
  <c r="E76" i="6" s="1"/>
  <c r="G76" i="6" s="1"/>
  <c r="E73" i="6"/>
  <c r="G73" i="6" s="1"/>
  <c r="C73" i="7" s="1"/>
  <c r="E108" i="6"/>
  <c r="G108" i="6" s="1"/>
  <c r="C108" i="7" s="1"/>
  <c r="E79" i="6"/>
  <c r="G79" i="6" s="1"/>
  <c r="C79" i="7" s="1"/>
  <c r="E20" i="6"/>
  <c r="G20" i="6" s="1"/>
  <c r="C20" i="7" s="1"/>
  <c r="E155" i="6"/>
  <c r="G155" i="6" s="1"/>
  <c r="C155" i="7" s="1"/>
  <c r="E43" i="6"/>
  <c r="G43" i="6" s="1"/>
  <c r="C43" i="7" s="1"/>
  <c r="E98" i="6"/>
  <c r="G98" i="6" s="1"/>
  <c r="C98" i="7" s="1"/>
  <c r="E110" i="6"/>
  <c r="G110" i="6" s="1"/>
  <c r="C110" i="7" s="1"/>
  <c r="E125" i="6"/>
  <c r="G125" i="6" s="1"/>
  <c r="C125" i="7" s="1"/>
  <c r="E133" i="6"/>
  <c r="G133" i="6" s="1"/>
  <c r="C133" i="7" s="1"/>
  <c r="E161" i="6"/>
  <c r="G161" i="6" s="1"/>
  <c r="C161" i="7" s="1"/>
  <c r="E30" i="6"/>
  <c r="G30" i="6" s="1"/>
  <c r="C30" i="7" s="1"/>
  <c r="E107" i="6"/>
  <c r="G107" i="6" s="1"/>
  <c r="C107" i="7" s="1"/>
  <c r="E90" i="6"/>
  <c r="G90" i="6" s="1"/>
  <c r="C90" i="7" s="1"/>
  <c r="E75" i="6"/>
  <c r="G75" i="6" s="1"/>
  <c r="C75" i="7" s="1"/>
  <c r="E160" i="6"/>
  <c r="G160" i="6" s="1"/>
  <c r="C160" i="7" s="1"/>
  <c r="E35" i="6"/>
  <c r="G35" i="6" s="1"/>
  <c r="C35" i="7" s="1"/>
  <c r="E181" i="6"/>
  <c r="G181" i="6" s="1"/>
  <c r="C181" i="7" s="1"/>
  <c r="E111" i="6"/>
  <c r="G111" i="6" s="1"/>
  <c r="C111" i="7" s="1"/>
  <c r="E41" i="6"/>
  <c r="G41" i="6" s="1"/>
  <c r="C41" i="7" s="1"/>
  <c r="E54" i="6"/>
  <c r="G54" i="6" s="1"/>
  <c r="C54" i="7" s="1"/>
  <c r="E105" i="6"/>
  <c r="G105" i="6" s="1"/>
  <c r="C105" i="7" s="1"/>
  <c r="E46" i="6"/>
  <c r="G46" i="6" s="1"/>
  <c r="C46" i="7" s="1"/>
  <c r="E150" i="6"/>
  <c r="G150" i="6" s="1"/>
  <c r="C150" i="7" s="1"/>
  <c r="E63" i="6"/>
  <c r="G63" i="6" s="1"/>
  <c r="C63" i="7" s="1"/>
  <c r="E194" i="6"/>
  <c r="G194" i="6" s="1"/>
  <c r="C194" i="7" s="1"/>
  <c r="E106" i="6"/>
  <c r="G106" i="6" s="1"/>
  <c r="C106" i="7" s="1"/>
  <c r="E40" i="6"/>
  <c r="G40" i="6" s="1"/>
  <c r="C40" i="7" s="1"/>
  <c r="E7" i="6"/>
  <c r="G7" i="6" s="1"/>
  <c r="C7" i="7" s="1"/>
  <c r="E26" i="6"/>
  <c r="G26" i="6" s="1"/>
  <c r="C26" i="7" s="1"/>
  <c r="E186" i="6"/>
  <c r="G186" i="6" s="1"/>
  <c r="C186" i="7" s="1"/>
  <c r="E127" i="6"/>
  <c r="G127" i="6" s="1"/>
  <c r="C127" i="7" s="1"/>
  <c r="E89" i="6"/>
  <c r="G89" i="6" s="1"/>
  <c r="C89" i="7" s="1"/>
  <c r="E169" i="6"/>
  <c r="G169" i="6" s="1"/>
  <c r="C169" i="7" s="1"/>
  <c r="E201" i="6"/>
  <c r="G201" i="6" s="1"/>
  <c r="C201" i="7" s="1"/>
  <c r="E180" i="6"/>
  <c r="G180" i="6" s="1"/>
  <c r="C180" i="7" s="1"/>
  <c r="E192" i="6"/>
  <c r="G192" i="6" s="1"/>
  <c r="C192" i="7" s="1"/>
  <c r="E29" i="6"/>
  <c r="G29" i="6" s="1"/>
  <c r="C29" i="7" s="1"/>
  <c r="E198" i="6"/>
  <c r="G198" i="6" s="1"/>
  <c r="C198" i="7" s="1"/>
  <c r="E152" i="6"/>
  <c r="G152" i="6" s="1"/>
  <c r="C152" i="7" s="1"/>
  <c r="E77" i="6"/>
  <c r="G77" i="6" s="1"/>
  <c r="C77" i="7" s="1"/>
  <c r="E9" i="6"/>
  <c r="G9" i="6" s="1"/>
  <c r="C9" i="7" s="1"/>
  <c r="E92" i="6"/>
  <c r="G92" i="6" s="1"/>
  <c r="C92" i="7" s="1"/>
  <c r="E52" i="6"/>
  <c r="G52" i="6" s="1"/>
  <c r="C52" i="7" s="1"/>
  <c r="E128" i="6"/>
  <c r="G128" i="6" s="1"/>
  <c r="C128" i="7" s="1"/>
  <c r="E163" i="6"/>
  <c r="G163" i="6" s="1"/>
  <c r="C163" i="7" s="1"/>
  <c r="E104" i="6"/>
  <c r="G104" i="6" s="1"/>
  <c r="C104" i="7" s="1"/>
  <c r="E18" i="6"/>
  <c r="G18" i="6" s="1"/>
  <c r="C18" i="7" s="1"/>
  <c r="E31" i="6"/>
  <c r="G31" i="6" s="1"/>
  <c r="C31" i="7" s="1"/>
  <c r="E34" i="6"/>
  <c r="G34" i="6" s="1"/>
  <c r="C34" i="7" s="1"/>
  <c r="E174" i="6"/>
  <c r="G174" i="6" s="1"/>
  <c r="C174" i="7" s="1"/>
  <c r="E197" i="6"/>
  <c r="G197" i="6" s="1"/>
  <c r="C197" i="7" s="1"/>
  <c r="E137" i="6"/>
  <c r="G137" i="6" s="1"/>
  <c r="C137" i="7" s="1"/>
  <c r="E72" i="6"/>
  <c r="G72" i="6" s="1"/>
  <c r="C72" i="7" s="1"/>
  <c r="E113" i="6"/>
  <c r="G113" i="6" s="1"/>
  <c r="C113" i="7" s="1"/>
  <c r="E142" i="6"/>
  <c r="G142" i="6" s="1"/>
  <c r="C142" i="7" s="1"/>
  <c r="E165" i="6"/>
  <c r="G165" i="6" s="1"/>
  <c r="C165" i="7" s="1"/>
  <c r="E11" i="6"/>
  <c r="G11" i="6" s="1"/>
  <c r="C11" i="7" s="1"/>
  <c r="E185" i="6"/>
  <c r="G185" i="6" s="1"/>
  <c r="C185" i="7" s="1"/>
  <c r="E193" i="6"/>
  <c r="G193" i="6" s="1"/>
  <c r="C193" i="7" s="1"/>
  <c r="E102" i="6"/>
  <c r="G102" i="6" s="1"/>
  <c r="C102" i="7" s="1"/>
  <c r="E116" i="6"/>
  <c r="G116" i="6" s="1"/>
  <c r="C116" i="7" s="1"/>
  <c r="E164" i="6"/>
  <c r="G164" i="6" s="1"/>
  <c r="C164" i="7" s="1"/>
  <c r="E139" i="6"/>
  <c r="G139" i="6" s="1"/>
  <c r="C139" i="7" s="1"/>
  <c r="E172" i="6"/>
  <c r="G172" i="6" s="1"/>
  <c r="C172" i="7" s="1"/>
  <c r="E199" i="6"/>
  <c r="G199" i="6" s="1"/>
  <c r="C199" i="7" s="1"/>
  <c r="E83" i="6"/>
  <c r="G83" i="6" s="1"/>
  <c r="C83" i="7" s="1"/>
  <c r="E60" i="6"/>
  <c r="G60" i="6" s="1"/>
  <c r="C60" i="7" s="1"/>
  <c r="E19" i="6"/>
  <c r="G19" i="6" s="1"/>
  <c r="C19" i="7" s="1"/>
  <c r="E15" i="6"/>
  <c r="G15" i="6" s="1"/>
  <c r="C15" i="7" s="1"/>
  <c r="E100" i="6"/>
  <c r="G100" i="6" s="1"/>
  <c r="C100" i="7" s="1"/>
  <c r="E42" i="6"/>
  <c r="G42" i="6" s="1"/>
  <c r="C42" i="7" s="1"/>
  <c r="E202" i="6"/>
  <c r="G202" i="6" s="1"/>
  <c r="C202" i="7" s="1"/>
  <c r="E146" i="6"/>
  <c r="G146" i="6" s="1"/>
  <c r="C146" i="7" s="1"/>
  <c r="E123" i="6"/>
  <c r="G123" i="6" s="1"/>
  <c r="C123" i="7" s="1"/>
  <c r="E118" i="6"/>
  <c r="G118" i="6" s="1"/>
  <c r="C118" i="7" s="1"/>
  <c r="E171" i="6"/>
  <c r="G171" i="6" s="1"/>
  <c r="C171" i="7" s="1"/>
  <c r="E24" i="6"/>
  <c r="G24" i="6" s="1"/>
  <c r="C24" i="7" s="1"/>
  <c r="E145" i="6"/>
  <c r="G145" i="6" s="1"/>
  <c r="C145" i="7" s="1"/>
  <c r="E129" i="6"/>
  <c r="G129" i="6" s="1"/>
  <c r="C129" i="7" s="1"/>
  <c r="E158" i="6"/>
  <c r="G158" i="6" s="1"/>
  <c r="C158" i="7" s="1"/>
  <c r="E8" i="6"/>
  <c r="G8" i="6" s="1"/>
  <c r="C8" i="7" s="1"/>
  <c r="E97" i="6"/>
  <c r="G97" i="6" s="1"/>
  <c r="C97" i="7" s="1"/>
  <c r="E126" i="6"/>
  <c r="G126" i="6" s="1"/>
  <c r="C126" i="7" s="1"/>
  <c r="E134" i="6"/>
  <c r="G134" i="6" s="1"/>
  <c r="C134" i="7" s="1"/>
  <c r="E178" i="6"/>
  <c r="G178" i="6" s="1"/>
  <c r="C178" i="7" s="1"/>
  <c r="E173" i="6"/>
  <c r="G173" i="6" s="1"/>
  <c r="C173" i="7" s="1"/>
  <c r="E147" i="6"/>
  <c r="G147" i="6" s="1"/>
  <c r="C147" i="7" s="1"/>
  <c r="E179" i="6"/>
  <c r="G179" i="6" s="1"/>
  <c r="C179" i="7" s="1"/>
  <c r="E149" i="6"/>
  <c r="G149" i="6" s="1"/>
  <c r="E91" i="6"/>
  <c r="G91" i="6" s="1"/>
  <c r="C91" i="7" s="1"/>
  <c r="E14" i="6"/>
  <c r="G14" i="6" s="1"/>
  <c r="C14" i="7" s="1"/>
  <c r="E70" i="6"/>
  <c r="G70" i="6" s="1"/>
  <c r="C70" i="7" s="1"/>
  <c r="E17" i="6"/>
  <c r="G17" i="6" s="1"/>
  <c r="C17" i="7" s="1"/>
  <c r="E94" i="6"/>
  <c r="G94" i="6" s="1"/>
  <c r="C94" i="7" s="1"/>
  <c r="E124" i="6"/>
  <c r="G124" i="6" s="1"/>
  <c r="C124" i="7" s="1"/>
  <c r="E141" i="6"/>
  <c r="G141" i="6" s="1"/>
  <c r="C141" i="7" s="1"/>
  <c r="E32" i="6"/>
  <c r="G32" i="6" s="1"/>
  <c r="C32" i="7" s="1"/>
  <c r="E74" i="6"/>
  <c r="G74" i="6" s="1"/>
  <c r="C74" i="7" s="1"/>
  <c r="E67" i="6"/>
  <c r="G67" i="6" s="1"/>
  <c r="C67" i="7" s="1"/>
  <c r="E114" i="6"/>
  <c r="G114" i="6" s="1"/>
  <c r="C114" i="7" s="1"/>
  <c r="E130" i="6"/>
  <c r="G130" i="6" s="1"/>
  <c r="C130" i="7" s="1"/>
  <c r="E195" i="6"/>
  <c r="G195" i="6" s="1"/>
  <c r="C195" i="7" s="1"/>
  <c r="E138" i="6"/>
  <c r="G138" i="6" s="1"/>
  <c r="C138" i="7" s="1"/>
  <c r="E57" i="6"/>
  <c r="G57" i="6" s="1"/>
  <c r="C57" i="7" s="1"/>
  <c r="E191" i="6"/>
  <c r="G191" i="6" s="1"/>
  <c r="C191" i="7" s="1"/>
  <c r="E6" i="6"/>
  <c r="G6" i="6" s="1"/>
  <c r="C6" i="7" s="1"/>
  <c r="E136" i="6"/>
  <c r="G136" i="6" s="1"/>
  <c r="C136" i="7" s="1"/>
  <c r="E81" i="6"/>
  <c r="G81" i="6" s="1"/>
  <c r="C81" i="7" s="1"/>
  <c r="E190" i="6"/>
  <c r="G190" i="6" s="1"/>
  <c r="C190" i="7" s="1"/>
  <c r="E168" i="6"/>
  <c r="G168" i="6" s="1"/>
  <c r="C168" i="7" s="1"/>
  <c r="E85" i="6"/>
  <c r="G85" i="6" s="1"/>
  <c r="C85" i="7" s="1"/>
  <c r="E120" i="6"/>
  <c r="G120" i="6" s="1"/>
  <c r="C120" i="7" s="1"/>
  <c r="E153" i="6"/>
  <c r="G153" i="6" s="1"/>
  <c r="C153" i="7" s="1"/>
  <c r="E184" i="6"/>
  <c r="G184" i="6" s="1"/>
  <c r="C184" i="7" s="1"/>
  <c r="E188" i="6"/>
  <c r="G188" i="6" s="1"/>
  <c r="C188" i="7" s="1"/>
  <c r="E131" i="6"/>
  <c r="G131" i="6" s="1"/>
  <c r="C131" i="7" s="1"/>
  <c r="E21" i="6"/>
  <c r="G21" i="6" s="1"/>
  <c r="C21" i="7" s="1"/>
  <c r="E115" i="6"/>
  <c r="G115" i="6" s="1"/>
  <c r="C115" i="7" s="1"/>
  <c r="E143" i="6"/>
  <c r="G143" i="6" s="1"/>
  <c r="C143" i="7" s="1"/>
  <c r="E64" i="6"/>
  <c r="G64" i="6" s="1"/>
  <c r="C64" i="7" s="1"/>
  <c r="E68" i="6"/>
  <c r="G68" i="6" s="1"/>
  <c r="C68" i="7" s="1"/>
  <c r="E82" i="6"/>
  <c r="G82" i="6" s="1"/>
  <c r="C82" i="7" s="1"/>
  <c r="E151" i="6"/>
  <c r="G151" i="6" s="1"/>
  <c r="C151" i="7" s="1"/>
  <c r="E148" i="6"/>
  <c r="G148" i="6" s="1"/>
  <c r="C148" i="7" s="1"/>
  <c r="E144" i="6"/>
  <c r="G144" i="6" s="1"/>
  <c r="C144" i="7" s="1"/>
  <c r="E103" i="6"/>
  <c r="G103" i="6" s="1"/>
  <c r="C103" i="7" s="1"/>
  <c r="E59" i="6"/>
  <c r="G59" i="6" s="1"/>
  <c r="C59" i="7" s="1"/>
  <c r="E112" i="6"/>
  <c r="G112" i="6" s="1"/>
  <c r="C112" i="7" s="1"/>
  <c r="E16" i="6"/>
  <c r="G16" i="6" s="1"/>
  <c r="C16" i="7" s="1"/>
  <c r="E95" i="6"/>
  <c r="G95" i="6" s="1"/>
  <c r="C95" i="7" s="1"/>
  <c r="E157" i="6"/>
  <c r="G157" i="6" s="1"/>
  <c r="C157" i="7" s="1"/>
  <c r="E135" i="6"/>
  <c r="G135" i="6" s="1"/>
  <c r="C135" i="7" s="1"/>
  <c r="E55" i="6"/>
  <c r="G55" i="6" s="1"/>
  <c r="C55" i="7" s="1"/>
  <c r="E99" i="6"/>
  <c r="G99" i="6" s="1"/>
  <c r="C99" i="7" s="1"/>
  <c r="E39" i="6"/>
  <c r="G39" i="6" s="1"/>
  <c r="E58" i="6"/>
  <c r="G58" i="6" s="1"/>
  <c r="C58" i="7" s="1"/>
  <c r="E10" i="6"/>
  <c r="G10" i="6" s="1"/>
  <c r="C10" i="7" s="1"/>
  <c r="E62" i="6"/>
  <c r="G62" i="6" s="1"/>
  <c r="C62" i="7" s="1"/>
  <c r="E182" i="6"/>
  <c r="G182" i="6" s="1"/>
  <c r="C182" i="7" s="1"/>
  <c r="E44" i="6"/>
  <c r="G44" i="6" s="1"/>
  <c r="C44" i="7" s="1"/>
  <c r="E187" i="6"/>
  <c r="G187" i="6" s="1"/>
  <c r="C187" i="7" s="1"/>
  <c r="E12" i="6"/>
  <c r="G12" i="6" s="1"/>
  <c r="C12" i="7" s="1"/>
  <c r="E154" i="6"/>
  <c r="G154" i="6" s="1"/>
  <c r="C154" i="7" s="1"/>
  <c r="E183" i="6"/>
  <c r="G183" i="6" s="1"/>
  <c r="C183" i="7" s="1"/>
  <c r="E170" i="6"/>
  <c r="G170" i="6" s="1"/>
  <c r="C170" i="7" s="1"/>
  <c r="E122" i="6"/>
  <c r="G122" i="6" s="1"/>
  <c r="C122" i="7" s="1"/>
  <c r="E56" i="6"/>
  <c r="G56" i="6" s="1"/>
  <c r="C56" i="7" s="1"/>
  <c r="E156" i="6"/>
  <c r="G156" i="6" s="1"/>
  <c r="C156" i="7" s="1"/>
  <c r="E140" i="6"/>
  <c r="G140" i="6" s="1"/>
  <c r="C140" i="7" s="1"/>
  <c r="E166" i="6"/>
  <c r="G166" i="6" s="1"/>
  <c r="C166" i="7" s="1"/>
  <c r="E96" i="6"/>
  <c r="G96" i="6" s="1"/>
  <c r="C96" i="7" s="1"/>
  <c r="E27" i="6"/>
  <c r="G27" i="6" s="1"/>
  <c r="C27" i="7" s="1"/>
  <c r="E71" i="6"/>
  <c r="G71" i="6" s="1"/>
  <c r="C71" i="7" s="1"/>
  <c r="E48" i="6"/>
  <c r="G48" i="6" s="1"/>
  <c r="C48" i="7" s="1"/>
  <c r="E117" i="6"/>
  <c r="G117" i="6" s="1"/>
  <c r="C117" i="7" s="1"/>
  <c r="E51" i="6"/>
  <c r="G51" i="6" s="1"/>
  <c r="C51" i="7" s="1"/>
  <c r="E53" i="6"/>
  <c r="G53" i="6" s="1"/>
  <c r="C53" i="7" s="1"/>
  <c r="E132" i="6"/>
  <c r="G132" i="6" s="1"/>
  <c r="C132" i="7" s="1"/>
  <c r="E13" i="6"/>
  <c r="G13" i="6" s="1"/>
  <c r="C13" i="7" s="1"/>
  <c r="E203" i="6"/>
  <c r="G203" i="6" s="1"/>
  <c r="C203" i="7" s="1"/>
  <c r="E49" i="6"/>
  <c r="G49" i="6" s="1"/>
  <c r="C49" i="7" s="1"/>
  <c r="E93" i="6"/>
  <c r="G93" i="6" s="1"/>
  <c r="C93" i="7" s="1"/>
  <c r="E88" i="6"/>
  <c r="G88" i="6" s="1"/>
  <c r="C88" i="7" s="1"/>
  <c r="E109" i="6"/>
  <c r="G109" i="6" s="1"/>
  <c r="C109" i="7" s="1"/>
  <c r="E189" i="6"/>
  <c r="G189" i="6" s="1"/>
  <c r="C189" i="7" s="1"/>
  <c r="E167" i="6"/>
  <c r="G167" i="6" s="1"/>
  <c r="C167" i="7" s="1"/>
  <c r="E200" i="6"/>
  <c r="G200" i="6" s="1"/>
  <c r="C200" i="7" s="1"/>
  <c r="E61" i="6"/>
  <c r="G61" i="6" s="1"/>
  <c r="C61" i="7" s="1"/>
  <c r="E50" i="6"/>
  <c r="G50" i="6" s="1"/>
  <c r="C50" i="7" s="1"/>
  <c r="E159" i="6"/>
  <c r="G159" i="6" s="1"/>
  <c r="C159" i="7" s="1"/>
  <c r="E119" i="6"/>
  <c r="G119" i="6" s="1"/>
  <c r="C119" i="7" s="1"/>
  <c r="E121" i="6"/>
  <c r="G121" i="6" s="1"/>
  <c r="C121" i="7" s="1"/>
  <c r="E176" i="6"/>
  <c r="G176" i="6" s="1"/>
  <c r="C176" i="7" s="1"/>
  <c r="E80" i="6"/>
  <c r="G80" i="6" s="1"/>
  <c r="C80" i="7" s="1"/>
  <c r="E78" i="7"/>
  <c r="G78" i="7" s="1"/>
  <c r="C78" i="8" s="1"/>
  <c r="E23" i="7"/>
  <c r="G23" i="7" s="1"/>
  <c r="C23" i="8" s="1"/>
  <c r="E86" i="6"/>
  <c r="G86" i="6" s="1"/>
  <c r="C86" i="7" s="1"/>
  <c r="E84" i="6"/>
  <c r="G84" i="6" s="1"/>
  <c r="C84" i="7" s="1"/>
  <c r="E45" i="6"/>
  <c r="G45" i="6" s="1"/>
  <c r="C45" i="7" s="1"/>
  <c r="E177" i="6"/>
  <c r="G177" i="6" s="1"/>
  <c r="C177" i="7" s="1"/>
  <c r="E175" i="6"/>
  <c r="G175" i="6" s="1"/>
  <c r="C175" i="7" s="1"/>
  <c r="E101" i="6"/>
  <c r="G101" i="6" s="1"/>
  <c r="C101" i="7" s="1"/>
  <c r="E162" i="6"/>
  <c r="G162" i="6" s="1"/>
  <c r="C162" i="7" s="1"/>
  <c r="E47" i="6"/>
  <c r="G47" i="6" s="1"/>
  <c r="C47" i="7" s="1"/>
  <c r="E38" i="6"/>
  <c r="G38" i="6" s="1"/>
  <c r="C38" i="7" s="1"/>
  <c r="E37" i="6"/>
  <c r="G37" i="6" s="1"/>
  <c r="C37" i="7" s="1"/>
  <c r="E36" i="6"/>
  <c r="G36" i="6" s="1"/>
  <c r="C36" i="7" s="1"/>
  <c r="E33" i="6"/>
  <c r="G33" i="6" s="1"/>
  <c r="C33" i="7" s="1"/>
  <c r="E28" i="6"/>
  <c r="G28" i="6" s="1"/>
  <c r="C28" i="7" s="1"/>
  <c r="E25" i="6"/>
  <c r="G25" i="6" s="1"/>
  <c r="C25" i="7" s="1"/>
  <c r="E22" i="6"/>
  <c r="G22" i="6" s="1"/>
  <c r="C22" i="7" s="1"/>
  <c r="E5" i="6"/>
  <c r="G5" i="6" s="1"/>
  <c r="C5" i="7" s="1"/>
  <c r="C76" i="7" l="1"/>
  <c r="E76" i="7" s="1"/>
  <c r="G76" i="7" s="1"/>
  <c r="C65" i="7"/>
  <c r="E65" i="7" s="1"/>
  <c r="G65" i="7" s="1"/>
  <c r="C69" i="7"/>
  <c r="E69" i="7" s="1"/>
  <c r="G69" i="7" s="1"/>
  <c r="C69" i="8" s="1"/>
  <c r="E69" i="8" s="1"/>
  <c r="G69" i="8" s="1"/>
  <c r="C69" i="11" s="1"/>
  <c r="E69" i="11" s="1"/>
  <c r="G69" i="11" s="1"/>
  <c r="C69" i="12" s="1"/>
  <c r="E69" i="12" s="1"/>
  <c r="G69" i="12" s="1"/>
  <c r="C69" i="13" s="1"/>
  <c r="E66" i="7"/>
  <c r="G66" i="7" s="1"/>
  <c r="C66" i="8" s="1"/>
  <c r="E66" i="8" s="1"/>
  <c r="G66" i="8" s="1"/>
  <c r="C66" i="11" s="1"/>
  <c r="E66" i="11" s="1"/>
  <c r="G66" i="11" s="1"/>
  <c r="C66" i="12" s="1"/>
  <c r="E66" i="12" s="1"/>
  <c r="G66" i="12" s="1"/>
  <c r="C66" i="13" s="1"/>
  <c r="C66" i="7"/>
  <c r="C87" i="7"/>
  <c r="E87" i="7" s="1"/>
  <c r="G87" i="7" s="1"/>
  <c r="C149" i="7"/>
  <c r="E149" i="7" s="1"/>
  <c r="G149" i="7" s="1"/>
  <c r="C39" i="7"/>
  <c r="E39" i="7" s="1"/>
  <c r="G39" i="7" s="1"/>
  <c r="E21" i="7"/>
  <c r="G21" i="7" s="1"/>
  <c r="C21" i="8" s="1"/>
  <c r="E178" i="7"/>
  <c r="G178" i="7" s="1"/>
  <c r="E72" i="7"/>
  <c r="G72" i="7" s="1"/>
  <c r="C72" i="8" s="1"/>
  <c r="E105" i="7"/>
  <c r="G105" i="7" s="1"/>
  <c r="E121" i="7"/>
  <c r="G121" i="7" s="1"/>
  <c r="E167" i="7"/>
  <c r="G167" i="7" s="1"/>
  <c r="E71" i="7"/>
  <c r="G71" i="7" s="1"/>
  <c r="C71" i="8" s="1"/>
  <c r="E44" i="7"/>
  <c r="G44" i="7" s="1"/>
  <c r="C44" i="8" s="1"/>
  <c r="E99" i="7"/>
  <c r="G99" i="7" s="1"/>
  <c r="E68" i="7"/>
  <c r="G68" i="7" s="1"/>
  <c r="C68" i="8" s="1"/>
  <c r="E81" i="7"/>
  <c r="G81" i="7" s="1"/>
  <c r="C81" i="8" s="1"/>
  <c r="E195" i="7"/>
  <c r="G195" i="7" s="1"/>
  <c r="E171" i="7"/>
  <c r="G171" i="7" s="1"/>
  <c r="E100" i="7"/>
  <c r="G100" i="7" s="1"/>
  <c r="E11" i="7"/>
  <c r="G11" i="7" s="1"/>
  <c r="C11" i="8" s="1"/>
  <c r="E128" i="7"/>
  <c r="G128" i="7" s="1"/>
  <c r="E198" i="7"/>
  <c r="G198" i="7" s="1"/>
  <c r="E194" i="7"/>
  <c r="G194" i="7" s="1"/>
  <c r="E107" i="7"/>
  <c r="G107" i="7" s="1"/>
  <c r="E98" i="7"/>
  <c r="G98" i="7" s="1"/>
  <c r="E130" i="7"/>
  <c r="G130" i="7" s="1"/>
  <c r="E43" i="7"/>
  <c r="G43" i="7" s="1"/>
  <c r="C43" i="8" s="1"/>
  <c r="E27" i="7"/>
  <c r="G27" i="7" s="1"/>
  <c r="C27" i="8" s="1"/>
  <c r="E64" i="7"/>
  <c r="G64" i="7" s="1"/>
  <c r="C64" i="8" s="1"/>
  <c r="E97" i="7"/>
  <c r="G97" i="7" s="1"/>
  <c r="E15" i="7"/>
  <c r="G15" i="7" s="1"/>
  <c r="C15" i="8" s="1"/>
  <c r="E29" i="7"/>
  <c r="G29" i="7" s="1"/>
  <c r="C29" i="8" s="1"/>
  <c r="E109" i="7"/>
  <c r="G109" i="7" s="1"/>
  <c r="E132" i="7"/>
  <c r="G132" i="7" s="1"/>
  <c r="E170" i="7"/>
  <c r="G170" i="7" s="1"/>
  <c r="E135" i="7"/>
  <c r="G135" i="7" s="1"/>
  <c r="E103" i="7"/>
  <c r="G103" i="7" s="1"/>
  <c r="E153" i="7"/>
  <c r="G153" i="7" s="1"/>
  <c r="E114" i="7"/>
  <c r="G114" i="7" s="1"/>
  <c r="E94" i="7"/>
  <c r="G94" i="7" s="1"/>
  <c r="E8" i="7"/>
  <c r="G8" i="7" s="1"/>
  <c r="C8" i="8" s="1"/>
  <c r="E19" i="7"/>
  <c r="G19" i="7" s="1"/>
  <c r="C19" i="8" s="1"/>
  <c r="E164" i="7"/>
  <c r="G164" i="7" s="1"/>
  <c r="E34" i="7"/>
  <c r="G34" i="7" s="1"/>
  <c r="C34" i="8" s="1"/>
  <c r="E192" i="7"/>
  <c r="G192" i="7" s="1"/>
  <c r="E186" i="7"/>
  <c r="G186" i="7" s="1"/>
  <c r="E181" i="7"/>
  <c r="G181" i="7" s="1"/>
  <c r="E155" i="7"/>
  <c r="G155" i="7" s="1"/>
  <c r="E189" i="7"/>
  <c r="G189" i="7" s="1"/>
  <c r="E55" i="7"/>
  <c r="G55" i="7" s="1"/>
  <c r="C55" i="8" s="1"/>
  <c r="E179" i="7"/>
  <c r="G179" i="7" s="1"/>
  <c r="E165" i="7"/>
  <c r="G165" i="7" s="1"/>
  <c r="E111" i="7"/>
  <c r="G111" i="7" s="1"/>
  <c r="E159" i="7"/>
  <c r="G159" i="7" s="1"/>
  <c r="E53" i="7"/>
  <c r="G53" i="7" s="1"/>
  <c r="C53" i="8" s="1"/>
  <c r="E183" i="7"/>
  <c r="G183" i="7" s="1"/>
  <c r="E62" i="7"/>
  <c r="G62" i="7" s="1"/>
  <c r="C62" i="8" s="1"/>
  <c r="E144" i="7"/>
  <c r="G144" i="7" s="1"/>
  <c r="E120" i="7"/>
  <c r="G120" i="7" s="1"/>
  <c r="E6" i="7"/>
  <c r="G6" i="7" s="1"/>
  <c r="C6" i="8" s="1"/>
  <c r="E17" i="7"/>
  <c r="G17" i="7" s="1"/>
  <c r="C17" i="8" s="1"/>
  <c r="E158" i="7"/>
  <c r="G158" i="7" s="1"/>
  <c r="E123" i="7"/>
  <c r="G123" i="7" s="1"/>
  <c r="E116" i="7"/>
  <c r="G116" i="7" s="1"/>
  <c r="E31" i="7"/>
  <c r="G31" i="7" s="1"/>
  <c r="C31" i="8" s="1"/>
  <c r="E92" i="7"/>
  <c r="G92" i="7" s="1"/>
  <c r="E26" i="7"/>
  <c r="G26" i="7" s="1"/>
  <c r="C26" i="8" s="1"/>
  <c r="E35" i="7"/>
  <c r="G35" i="7" s="1"/>
  <c r="C35" i="8" s="1"/>
  <c r="E161" i="7"/>
  <c r="G161" i="7" s="1"/>
  <c r="E122" i="7"/>
  <c r="G122" i="7" s="1"/>
  <c r="E184" i="7"/>
  <c r="G184" i="7" s="1"/>
  <c r="E174" i="7"/>
  <c r="G174" i="7" s="1"/>
  <c r="E63" i="7"/>
  <c r="G63" i="7" s="1"/>
  <c r="C63" i="8" s="1"/>
  <c r="E50" i="7"/>
  <c r="G50" i="7" s="1"/>
  <c r="C50" i="8" s="1"/>
  <c r="E51" i="7"/>
  <c r="G51" i="7" s="1"/>
  <c r="C51" i="8" s="1"/>
  <c r="E166" i="7"/>
  <c r="G166" i="7" s="1"/>
  <c r="E10" i="7"/>
  <c r="G10" i="7" s="1"/>
  <c r="C10" i="8" s="1"/>
  <c r="E148" i="7"/>
  <c r="G148" i="7" s="1"/>
  <c r="E115" i="7"/>
  <c r="G115" i="7" s="1"/>
  <c r="E191" i="7"/>
  <c r="G191" i="7" s="1"/>
  <c r="E70" i="7"/>
  <c r="G70" i="7" s="1"/>
  <c r="C70" i="8" s="1"/>
  <c r="E173" i="7"/>
  <c r="G173" i="7" s="1"/>
  <c r="E146" i="7"/>
  <c r="G146" i="7" s="1"/>
  <c r="E102" i="7"/>
  <c r="G102" i="7" s="1"/>
  <c r="E113" i="7"/>
  <c r="G113" i="7" s="1"/>
  <c r="E9" i="7"/>
  <c r="G9" i="7" s="1"/>
  <c r="C9" i="8" s="1"/>
  <c r="E7" i="7"/>
  <c r="G7" i="7" s="1"/>
  <c r="C7" i="8" s="1"/>
  <c r="E46" i="7"/>
  <c r="G46" i="7" s="1"/>
  <c r="C46" i="8" s="1"/>
  <c r="E133" i="7"/>
  <c r="G133" i="7" s="1"/>
  <c r="E140" i="7"/>
  <c r="G140" i="7" s="1"/>
  <c r="E77" i="7"/>
  <c r="G77" i="7" s="1"/>
  <c r="C77" i="8" s="1"/>
  <c r="E79" i="7"/>
  <c r="G79" i="7" s="1"/>
  <c r="C79" i="8" s="1"/>
  <c r="E61" i="7"/>
  <c r="G61" i="7" s="1"/>
  <c r="C61" i="8" s="1"/>
  <c r="E58" i="7"/>
  <c r="G58" i="7" s="1"/>
  <c r="C58" i="8" s="1"/>
  <c r="E57" i="7"/>
  <c r="G57" i="7" s="1"/>
  <c r="C57" i="8" s="1"/>
  <c r="E202" i="7"/>
  <c r="G202" i="7" s="1"/>
  <c r="E125" i="7"/>
  <c r="G125" i="7" s="1"/>
  <c r="E80" i="7"/>
  <c r="G80" i="7" s="1"/>
  <c r="C80" i="8" s="1"/>
  <c r="E49" i="7"/>
  <c r="G49" i="7" s="1"/>
  <c r="C49" i="8" s="1"/>
  <c r="E156" i="7"/>
  <c r="G156" i="7" s="1"/>
  <c r="E12" i="7"/>
  <c r="G12" i="7" s="1"/>
  <c r="C12" i="8" s="1"/>
  <c r="E16" i="7"/>
  <c r="G16" i="7" s="1"/>
  <c r="C16" i="8" s="1"/>
  <c r="E131" i="7"/>
  <c r="G131" i="7" s="1"/>
  <c r="E168" i="7"/>
  <c r="G168" i="7" s="1"/>
  <c r="E32" i="7"/>
  <c r="G32" i="7" s="1"/>
  <c r="C32" i="8" s="1"/>
  <c r="E134" i="7"/>
  <c r="G134" i="7" s="1"/>
  <c r="E145" i="7"/>
  <c r="G145" i="7" s="1"/>
  <c r="E199" i="7"/>
  <c r="G199" i="7" s="1"/>
  <c r="E137" i="7"/>
  <c r="G137" i="7" s="1"/>
  <c r="E104" i="7"/>
  <c r="G104" i="7" s="1"/>
  <c r="E169" i="7"/>
  <c r="G169" i="7" s="1"/>
  <c r="E54" i="7"/>
  <c r="G54" i="7" s="1"/>
  <c r="C54" i="8" s="1"/>
  <c r="E75" i="7"/>
  <c r="G75" i="7" s="1"/>
  <c r="C75" i="8" s="1"/>
  <c r="E108" i="7"/>
  <c r="G108" i="7" s="1"/>
  <c r="E93" i="7"/>
  <c r="G93" i="7" s="1"/>
  <c r="E95" i="7"/>
  <c r="G95" i="7" s="1"/>
  <c r="E74" i="7"/>
  <c r="G74" i="7" s="1"/>
  <c r="C74" i="8" s="1"/>
  <c r="E83" i="7"/>
  <c r="G83" i="7" s="1"/>
  <c r="E201" i="7"/>
  <c r="G201" i="7" s="1"/>
  <c r="E176" i="7"/>
  <c r="G176" i="7" s="1"/>
  <c r="E203" i="7"/>
  <c r="G203" i="7" s="1"/>
  <c r="E48" i="7"/>
  <c r="G48" i="7" s="1"/>
  <c r="C48" i="8" s="1"/>
  <c r="E187" i="7"/>
  <c r="G187" i="7" s="1"/>
  <c r="E112" i="7"/>
  <c r="G112" i="7" s="1"/>
  <c r="E82" i="7"/>
  <c r="G82" i="7" s="1"/>
  <c r="C82" i="8" s="1"/>
  <c r="E190" i="7"/>
  <c r="G190" i="7" s="1"/>
  <c r="E141" i="7"/>
  <c r="G141" i="7" s="1"/>
  <c r="E91" i="7"/>
  <c r="G91" i="7" s="1"/>
  <c r="E24" i="7"/>
  <c r="G24" i="7" s="1"/>
  <c r="C24" i="8" s="1"/>
  <c r="E172" i="7"/>
  <c r="G172" i="7" s="1"/>
  <c r="E185" i="7"/>
  <c r="G185" i="7" s="1"/>
  <c r="E163" i="7"/>
  <c r="G163" i="7" s="1"/>
  <c r="E89" i="7"/>
  <c r="G89" i="7" s="1"/>
  <c r="E106" i="7"/>
  <c r="G106" i="7" s="1"/>
  <c r="E90" i="7"/>
  <c r="G90" i="7" s="1"/>
  <c r="E73" i="7"/>
  <c r="G73" i="7" s="1"/>
  <c r="C73" i="8" s="1"/>
  <c r="E119" i="7"/>
  <c r="G119" i="7" s="1"/>
  <c r="E154" i="7"/>
  <c r="G154" i="7" s="1"/>
  <c r="E151" i="7"/>
  <c r="G151" i="7" s="1"/>
  <c r="E138" i="7"/>
  <c r="G138" i="7" s="1"/>
  <c r="E67" i="7"/>
  <c r="G67" i="7" s="1"/>
  <c r="C67" i="8" s="1"/>
  <c r="E124" i="7"/>
  <c r="G124" i="7" s="1"/>
  <c r="E14" i="7"/>
  <c r="G14" i="7" s="1"/>
  <c r="C14" i="8" s="1"/>
  <c r="E147" i="7"/>
  <c r="G147" i="7" s="1"/>
  <c r="E126" i="7"/>
  <c r="G126" i="7" s="1"/>
  <c r="E129" i="7"/>
  <c r="G129" i="7" s="1"/>
  <c r="E118" i="7"/>
  <c r="G118" i="7" s="1"/>
  <c r="E42" i="7"/>
  <c r="G42" i="7" s="1"/>
  <c r="C42" i="8" s="1"/>
  <c r="E60" i="7"/>
  <c r="G60" i="7" s="1"/>
  <c r="C60" i="8" s="1"/>
  <c r="E139" i="7"/>
  <c r="G139" i="7" s="1"/>
  <c r="E193" i="7"/>
  <c r="G193" i="7" s="1"/>
  <c r="E142" i="7"/>
  <c r="G142" i="7" s="1"/>
  <c r="E197" i="7"/>
  <c r="G197" i="7" s="1"/>
  <c r="E18" i="7"/>
  <c r="G18" i="7" s="1"/>
  <c r="C18" i="8" s="1"/>
  <c r="E52" i="7"/>
  <c r="G52" i="7" s="1"/>
  <c r="C52" i="8" s="1"/>
  <c r="E152" i="7"/>
  <c r="G152" i="7" s="1"/>
  <c r="E180" i="7"/>
  <c r="G180" i="7" s="1"/>
  <c r="E127" i="7"/>
  <c r="G127" i="7" s="1"/>
  <c r="E40" i="7"/>
  <c r="G40" i="7" s="1"/>
  <c r="C40" i="8" s="1"/>
  <c r="E150" i="7"/>
  <c r="G150" i="7" s="1"/>
  <c r="E41" i="7"/>
  <c r="G41" i="7" s="1"/>
  <c r="C41" i="8" s="1"/>
  <c r="E160" i="7"/>
  <c r="G160" i="7" s="1"/>
  <c r="E30" i="7"/>
  <c r="G30" i="7" s="1"/>
  <c r="C30" i="8" s="1"/>
  <c r="E110" i="7"/>
  <c r="G110" i="7" s="1"/>
  <c r="E20" i="7"/>
  <c r="G20" i="7" s="1"/>
  <c r="C20" i="8" s="1"/>
  <c r="E96" i="7"/>
  <c r="G96" i="7" s="1"/>
  <c r="E182" i="7"/>
  <c r="G182" i="7" s="1"/>
  <c r="E85" i="7"/>
  <c r="G85" i="7" s="1"/>
  <c r="E117" i="7"/>
  <c r="G117" i="7" s="1"/>
  <c r="E59" i="7"/>
  <c r="G59" i="7" s="1"/>
  <c r="C59" i="8" s="1"/>
  <c r="E88" i="7"/>
  <c r="G88" i="7" s="1"/>
  <c r="E143" i="7"/>
  <c r="G143" i="7" s="1"/>
  <c r="E13" i="7"/>
  <c r="G13" i="7" s="1"/>
  <c r="C13" i="8" s="1"/>
  <c r="E157" i="7"/>
  <c r="G157" i="7" s="1"/>
  <c r="E56" i="7"/>
  <c r="G56" i="7" s="1"/>
  <c r="C56" i="8" s="1"/>
  <c r="E136" i="7"/>
  <c r="G136" i="7" s="1"/>
  <c r="E200" i="7"/>
  <c r="G200" i="7" s="1"/>
  <c r="E188" i="7"/>
  <c r="G188" i="7" s="1"/>
  <c r="E196" i="12"/>
  <c r="G196" i="12" s="1"/>
  <c r="C196" i="13" s="1"/>
  <c r="E78" i="8"/>
  <c r="G78" i="8" s="1"/>
  <c r="C78" i="11" s="1"/>
  <c r="E23" i="8"/>
  <c r="G23" i="8" s="1"/>
  <c r="C23" i="11" s="1"/>
  <c r="E86" i="7"/>
  <c r="G86" i="7" s="1"/>
  <c r="E84" i="7"/>
  <c r="G84" i="7" s="1"/>
  <c r="E45" i="7"/>
  <c r="G45" i="7" s="1"/>
  <c r="C45" i="8" s="1"/>
  <c r="E177" i="7"/>
  <c r="G177" i="7" s="1"/>
  <c r="E175" i="7"/>
  <c r="G175" i="7" s="1"/>
  <c r="E101" i="7"/>
  <c r="G101" i="7" s="1"/>
  <c r="E162" i="7"/>
  <c r="G162" i="7" s="1"/>
  <c r="E47" i="7"/>
  <c r="G47" i="7" s="1"/>
  <c r="C47" i="8" s="1"/>
  <c r="E38" i="7"/>
  <c r="G38" i="7" s="1"/>
  <c r="C38" i="8" s="1"/>
  <c r="E37" i="7"/>
  <c r="G37" i="7" s="1"/>
  <c r="C37" i="8" s="1"/>
  <c r="E36" i="7"/>
  <c r="G36" i="7" s="1"/>
  <c r="C36" i="8" s="1"/>
  <c r="E33" i="7"/>
  <c r="G33" i="7" s="1"/>
  <c r="C33" i="8" s="1"/>
  <c r="E28" i="7"/>
  <c r="G28" i="7" s="1"/>
  <c r="C28" i="8" s="1"/>
  <c r="E25" i="7"/>
  <c r="G25" i="7" s="1"/>
  <c r="C25" i="8" s="1"/>
  <c r="E22" i="7"/>
  <c r="G22" i="7" s="1"/>
  <c r="C22" i="8" s="1"/>
  <c r="E5" i="7"/>
  <c r="G5" i="7" s="1"/>
  <c r="C5" i="8" s="1"/>
  <c r="C39" i="8" l="1"/>
  <c r="E39" i="8" s="1"/>
  <c r="G39" i="8" s="1"/>
  <c r="C149" i="8"/>
  <c r="E149" i="8" s="1"/>
  <c r="G149" i="8" s="1"/>
  <c r="C65" i="8"/>
  <c r="E65" i="8" s="1"/>
  <c r="G65" i="8" s="1"/>
  <c r="E76" i="8"/>
  <c r="G76" i="8" s="1"/>
  <c r="C76" i="8"/>
  <c r="C84" i="8"/>
  <c r="E84" i="8" s="1"/>
  <c r="G84" i="8" s="1"/>
  <c r="C84" i="11" s="1"/>
  <c r="E84" i="11" s="1"/>
  <c r="G84" i="11" s="1"/>
  <c r="C84" i="12" s="1"/>
  <c r="E188" i="8"/>
  <c r="G188" i="8" s="1"/>
  <c r="C188" i="11" s="1"/>
  <c r="C188" i="8"/>
  <c r="C95" i="8"/>
  <c r="E95" i="8" s="1"/>
  <c r="G95" i="8" s="1"/>
  <c r="C95" i="11" s="1"/>
  <c r="E95" i="11" s="1"/>
  <c r="G95" i="11" s="1"/>
  <c r="C95" i="12" s="1"/>
  <c r="E164" i="8"/>
  <c r="G164" i="8" s="1"/>
  <c r="C164" i="11" s="1"/>
  <c r="E164" i="11" s="1"/>
  <c r="G164" i="11" s="1"/>
  <c r="C164" i="12" s="1"/>
  <c r="C164" i="8"/>
  <c r="C100" i="8"/>
  <c r="E100" i="8" s="1"/>
  <c r="G100" i="8" s="1"/>
  <c r="C100" i="11" s="1"/>
  <c r="E100" i="11" s="1"/>
  <c r="G100" i="11" s="1"/>
  <c r="C100" i="12" s="1"/>
  <c r="E157" i="8"/>
  <c r="G157" i="8" s="1"/>
  <c r="C157" i="11" s="1"/>
  <c r="C157" i="8"/>
  <c r="E154" i="8"/>
  <c r="G154" i="8" s="1"/>
  <c r="C154" i="11" s="1"/>
  <c r="E154" i="11" s="1"/>
  <c r="G154" i="11" s="1"/>
  <c r="C154" i="12" s="1"/>
  <c r="C154" i="8"/>
  <c r="E148" i="8"/>
  <c r="G148" i="8" s="1"/>
  <c r="C148" i="11" s="1"/>
  <c r="C148" i="8"/>
  <c r="C119" i="8"/>
  <c r="E119" i="8" s="1"/>
  <c r="G119" i="8" s="1"/>
  <c r="C119" i="11" s="1"/>
  <c r="E119" i="11" s="1"/>
  <c r="G119" i="11" s="1"/>
  <c r="C119" i="12" s="1"/>
  <c r="E133" i="8"/>
  <c r="G133" i="8" s="1"/>
  <c r="C133" i="11" s="1"/>
  <c r="E133" i="11" s="1"/>
  <c r="G133" i="11" s="1"/>
  <c r="C133" i="12" s="1"/>
  <c r="C133" i="8"/>
  <c r="C162" i="8"/>
  <c r="E162" i="8" s="1"/>
  <c r="G162" i="8" s="1"/>
  <c r="C162" i="11" s="1"/>
  <c r="E162" i="11" s="1"/>
  <c r="G162" i="11" s="1"/>
  <c r="C162" i="12" s="1"/>
  <c r="E118" i="8"/>
  <c r="G118" i="8" s="1"/>
  <c r="C118" i="11" s="1"/>
  <c r="C118" i="8"/>
  <c r="E90" i="8"/>
  <c r="G90" i="8" s="1"/>
  <c r="C90" i="11" s="1"/>
  <c r="E90" i="11" s="1"/>
  <c r="G90" i="11" s="1"/>
  <c r="C90" i="12" s="1"/>
  <c r="C90" i="8"/>
  <c r="E187" i="8"/>
  <c r="G187" i="8" s="1"/>
  <c r="C187" i="11" s="1"/>
  <c r="C187" i="8"/>
  <c r="C169" i="8"/>
  <c r="E169" i="8" s="1"/>
  <c r="G169" i="8" s="1"/>
  <c r="C169" i="11" s="1"/>
  <c r="E169" i="11" s="1"/>
  <c r="G169" i="11" s="1"/>
  <c r="C169" i="12" s="1"/>
  <c r="E123" i="8"/>
  <c r="G123" i="8" s="1"/>
  <c r="C123" i="11" s="1"/>
  <c r="C123" i="8"/>
  <c r="C179" i="8"/>
  <c r="E179" i="8" s="1"/>
  <c r="G179" i="8" s="1"/>
  <c r="C179" i="11" s="1"/>
  <c r="E179" i="11" s="1"/>
  <c r="G179" i="11" s="1"/>
  <c r="C179" i="12" s="1"/>
  <c r="E114" i="8"/>
  <c r="G114" i="8" s="1"/>
  <c r="C114" i="11" s="1"/>
  <c r="E114" i="11" s="1"/>
  <c r="G114" i="11" s="1"/>
  <c r="C114" i="12" s="1"/>
  <c r="C114" i="8"/>
  <c r="E136" i="8"/>
  <c r="G136" i="8" s="1"/>
  <c r="C136" i="11" s="1"/>
  <c r="E136" i="11" s="1"/>
  <c r="G136" i="11" s="1"/>
  <c r="C136" i="12" s="1"/>
  <c r="C136" i="8"/>
  <c r="E142" i="8"/>
  <c r="G142" i="8" s="1"/>
  <c r="C142" i="11" s="1"/>
  <c r="C142" i="8"/>
  <c r="C168" i="8"/>
  <c r="E168" i="8" s="1"/>
  <c r="G168" i="8" s="1"/>
  <c r="C168" i="11" s="1"/>
  <c r="E168" i="11" s="1"/>
  <c r="G168" i="11" s="1"/>
  <c r="C168" i="12" s="1"/>
  <c r="E193" i="8"/>
  <c r="G193" i="8" s="1"/>
  <c r="C193" i="11" s="1"/>
  <c r="C193" i="8"/>
  <c r="C151" i="8"/>
  <c r="E151" i="8" s="1"/>
  <c r="G151" i="8" s="1"/>
  <c r="C151" i="11" s="1"/>
  <c r="E151" i="11" s="1"/>
  <c r="G151" i="11" s="1"/>
  <c r="C151" i="12" s="1"/>
  <c r="E141" i="8"/>
  <c r="G141" i="8" s="1"/>
  <c r="C141" i="11" s="1"/>
  <c r="E141" i="11" s="1"/>
  <c r="G141" i="11" s="1"/>
  <c r="C141" i="12" s="1"/>
  <c r="C141" i="8"/>
  <c r="E93" i="8"/>
  <c r="G93" i="8" s="1"/>
  <c r="C93" i="11" s="1"/>
  <c r="C93" i="8"/>
  <c r="E131" i="8"/>
  <c r="G131" i="8" s="1"/>
  <c r="C131" i="11" s="1"/>
  <c r="C131" i="8"/>
  <c r="C115" i="8"/>
  <c r="E115" i="8" s="1"/>
  <c r="G115" i="8" s="1"/>
  <c r="C115" i="11" s="1"/>
  <c r="E115" i="11" s="1"/>
  <c r="G115" i="11" s="1"/>
  <c r="C115" i="12" s="1"/>
  <c r="E139" i="8"/>
  <c r="G139" i="8" s="1"/>
  <c r="C139" i="11" s="1"/>
  <c r="C139" i="8"/>
  <c r="C190" i="8"/>
  <c r="E190" i="8" s="1"/>
  <c r="G190" i="8" s="1"/>
  <c r="C190" i="11" s="1"/>
  <c r="E190" i="11" s="1"/>
  <c r="G190" i="11" s="1"/>
  <c r="C190" i="12" s="1"/>
  <c r="E140" i="8"/>
  <c r="G140" i="8" s="1"/>
  <c r="C140" i="11" s="1"/>
  <c r="E140" i="11" s="1"/>
  <c r="G140" i="11" s="1"/>
  <c r="C140" i="12" s="1"/>
  <c r="C140" i="8"/>
  <c r="E159" i="8"/>
  <c r="G159" i="8" s="1"/>
  <c r="C159" i="11" s="1"/>
  <c r="C159" i="8"/>
  <c r="E129" i="8"/>
  <c r="G129" i="8" s="1"/>
  <c r="C129" i="11" s="1"/>
  <c r="C129" i="8"/>
  <c r="C106" i="8"/>
  <c r="E106" i="8" s="1"/>
  <c r="G106" i="8" s="1"/>
  <c r="C106" i="11" s="1"/>
  <c r="E106" i="11" s="1"/>
  <c r="G106" i="11" s="1"/>
  <c r="C106" i="12" s="1"/>
  <c r="E104" i="8"/>
  <c r="G104" i="8" s="1"/>
  <c r="C104" i="11" s="1"/>
  <c r="E104" i="11" s="1"/>
  <c r="G104" i="11" s="1"/>
  <c r="C104" i="12" s="1"/>
  <c r="C104" i="8"/>
  <c r="C158" i="8"/>
  <c r="E158" i="8" s="1"/>
  <c r="G158" i="8" s="1"/>
  <c r="C158" i="11" s="1"/>
  <c r="E158" i="11" s="1"/>
  <c r="G158" i="11" s="1"/>
  <c r="C158" i="12" s="1"/>
  <c r="E153" i="8"/>
  <c r="G153" i="8" s="1"/>
  <c r="C153" i="11" s="1"/>
  <c r="E153" i="11" s="1"/>
  <c r="G153" i="11" s="1"/>
  <c r="C153" i="12" s="1"/>
  <c r="C153" i="8"/>
  <c r="E130" i="8"/>
  <c r="G130" i="8" s="1"/>
  <c r="C130" i="11" s="1"/>
  <c r="E130" i="11" s="1"/>
  <c r="G130" i="11" s="1"/>
  <c r="C130" i="12" s="1"/>
  <c r="C130" i="8"/>
  <c r="E99" i="8"/>
  <c r="G99" i="8" s="1"/>
  <c r="C99" i="11" s="1"/>
  <c r="E99" i="11" s="1"/>
  <c r="G99" i="11" s="1"/>
  <c r="C99" i="12" s="1"/>
  <c r="C99" i="8"/>
  <c r="C110" i="8"/>
  <c r="E110" i="8" s="1"/>
  <c r="G110" i="8" s="1"/>
  <c r="C110" i="11" s="1"/>
  <c r="E110" i="11" s="1"/>
  <c r="G110" i="11" s="1"/>
  <c r="C110" i="12" s="1"/>
  <c r="E138" i="8"/>
  <c r="G138" i="8" s="1"/>
  <c r="C138" i="11" s="1"/>
  <c r="C138" i="8"/>
  <c r="C91" i="8"/>
  <c r="E91" i="8" s="1"/>
  <c r="G91" i="8" s="1"/>
  <c r="C91" i="11" s="1"/>
  <c r="E91" i="11" s="1"/>
  <c r="G91" i="11" s="1"/>
  <c r="C91" i="12" s="1"/>
  <c r="E183" i="8"/>
  <c r="G183" i="8" s="1"/>
  <c r="C183" i="11" s="1"/>
  <c r="E183" i="11" s="1"/>
  <c r="G183" i="11" s="1"/>
  <c r="C183" i="12" s="1"/>
  <c r="C183" i="8"/>
  <c r="E108" i="8"/>
  <c r="G108" i="8" s="1"/>
  <c r="C108" i="11" s="1"/>
  <c r="E108" i="11" s="1"/>
  <c r="G108" i="11" s="1"/>
  <c r="C108" i="12" s="1"/>
  <c r="C108" i="8"/>
  <c r="E171" i="8"/>
  <c r="G171" i="8" s="1"/>
  <c r="C171" i="11" s="1"/>
  <c r="E171" i="11" s="1"/>
  <c r="G171" i="11" s="1"/>
  <c r="C171" i="12" s="1"/>
  <c r="C171" i="8"/>
  <c r="C127" i="8"/>
  <c r="E127" i="8" s="1"/>
  <c r="G127" i="8" s="1"/>
  <c r="C127" i="11" s="1"/>
  <c r="E127" i="11" s="1"/>
  <c r="G127" i="11" s="1"/>
  <c r="C127" i="12" s="1"/>
  <c r="C175" i="8"/>
  <c r="E175" i="8" s="1"/>
  <c r="G175" i="8" s="1"/>
  <c r="C175" i="11" s="1"/>
  <c r="E175" i="11" s="1"/>
  <c r="G175" i="11" s="1"/>
  <c r="C175" i="12" s="1"/>
  <c r="C117" i="8"/>
  <c r="E117" i="8" s="1"/>
  <c r="G117" i="8" s="1"/>
  <c r="C117" i="11" s="1"/>
  <c r="E117" i="11" s="1"/>
  <c r="G117" i="11" s="1"/>
  <c r="C117" i="12" s="1"/>
  <c r="E180" i="8"/>
  <c r="G180" i="8" s="1"/>
  <c r="C180" i="11" s="1"/>
  <c r="C180" i="8"/>
  <c r="E126" i="8"/>
  <c r="G126" i="8" s="1"/>
  <c r="C126" i="11" s="1"/>
  <c r="E126" i="11" s="1"/>
  <c r="G126" i="11" s="1"/>
  <c r="C126" i="12" s="1"/>
  <c r="C126" i="8"/>
  <c r="E89" i="8"/>
  <c r="G89" i="8" s="1"/>
  <c r="C89" i="11" s="1"/>
  <c r="C89" i="8"/>
  <c r="C203" i="8"/>
  <c r="E203" i="8" s="1"/>
  <c r="G203" i="8" s="1"/>
  <c r="C203" i="11" s="1"/>
  <c r="E203" i="11" s="1"/>
  <c r="G203" i="11" s="1"/>
  <c r="C203" i="12" s="1"/>
  <c r="E137" i="8"/>
  <c r="G137" i="8" s="1"/>
  <c r="C137" i="11" s="1"/>
  <c r="E137" i="11" s="1"/>
  <c r="G137" i="11" s="1"/>
  <c r="C137" i="12" s="1"/>
  <c r="C137" i="8"/>
  <c r="C125" i="8"/>
  <c r="E125" i="8" s="1"/>
  <c r="G125" i="8" s="1"/>
  <c r="C125" i="11" s="1"/>
  <c r="E125" i="11" s="1"/>
  <c r="G125" i="11" s="1"/>
  <c r="C125" i="12" s="1"/>
  <c r="E113" i="8"/>
  <c r="G113" i="8" s="1"/>
  <c r="C113" i="11" s="1"/>
  <c r="E113" i="11" s="1"/>
  <c r="G113" i="11" s="1"/>
  <c r="C113" i="12" s="1"/>
  <c r="C113" i="8"/>
  <c r="E189" i="8"/>
  <c r="G189" i="8" s="1"/>
  <c r="C189" i="11" s="1"/>
  <c r="E189" i="11" s="1"/>
  <c r="G189" i="11" s="1"/>
  <c r="C189" i="12" s="1"/>
  <c r="C189" i="8"/>
  <c r="E103" i="8"/>
  <c r="G103" i="8" s="1"/>
  <c r="C103" i="11" s="1"/>
  <c r="C103" i="8"/>
  <c r="C98" i="8"/>
  <c r="E98" i="8" s="1"/>
  <c r="G98" i="8" s="1"/>
  <c r="C98" i="11" s="1"/>
  <c r="E98" i="11" s="1"/>
  <c r="G98" i="11" s="1"/>
  <c r="C98" i="12" s="1"/>
  <c r="C177" i="8"/>
  <c r="E177" i="8" s="1"/>
  <c r="G177" i="8" s="1"/>
  <c r="C177" i="11" s="1"/>
  <c r="E177" i="11" s="1"/>
  <c r="G177" i="11" s="1"/>
  <c r="C177" i="12" s="1"/>
  <c r="C85" i="8"/>
  <c r="E85" i="8" s="1"/>
  <c r="G85" i="8" s="1"/>
  <c r="E152" i="8"/>
  <c r="G152" i="8" s="1"/>
  <c r="C152" i="11" s="1"/>
  <c r="E152" i="11" s="1"/>
  <c r="G152" i="11" s="1"/>
  <c r="C152" i="12" s="1"/>
  <c r="C152" i="8"/>
  <c r="E147" i="8"/>
  <c r="G147" i="8" s="1"/>
  <c r="C147" i="11" s="1"/>
  <c r="E147" i="11" s="1"/>
  <c r="G147" i="11" s="1"/>
  <c r="C147" i="12" s="1"/>
  <c r="C147" i="8"/>
  <c r="E163" i="8"/>
  <c r="G163" i="8" s="1"/>
  <c r="C163" i="11" s="1"/>
  <c r="C163" i="8"/>
  <c r="C176" i="8"/>
  <c r="E176" i="8" s="1"/>
  <c r="G176" i="8" s="1"/>
  <c r="C176" i="11" s="1"/>
  <c r="E176" i="11" s="1"/>
  <c r="G176" i="11" s="1"/>
  <c r="C176" i="12" s="1"/>
  <c r="C199" i="8"/>
  <c r="E199" i="8" s="1"/>
  <c r="G199" i="8" s="1"/>
  <c r="C199" i="11" s="1"/>
  <c r="E199" i="11" s="1"/>
  <c r="G199" i="11" s="1"/>
  <c r="C199" i="12" s="1"/>
  <c r="C202" i="8"/>
  <c r="E202" i="8" s="1"/>
  <c r="G202" i="8" s="1"/>
  <c r="C202" i="11" s="1"/>
  <c r="E202" i="11" s="1"/>
  <c r="G202" i="11" s="1"/>
  <c r="C202" i="12" s="1"/>
  <c r="E102" i="8"/>
  <c r="G102" i="8" s="1"/>
  <c r="C102" i="11" s="1"/>
  <c r="E102" i="11" s="1"/>
  <c r="G102" i="11" s="1"/>
  <c r="C102" i="12" s="1"/>
  <c r="C102" i="8"/>
  <c r="E174" i="8"/>
  <c r="G174" i="8" s="1"/>
  <c r="C174" i="11" s="1"/>
  <c r="E174" i="11" s="1"/>
  <c r="G174" i="11" s="1"/>
  <c r="C174" i="12" s="1"/>
  <c r="C174" i="8"/>
  <c r="E155" i="8"/>
  <c r="G155" i="8" s="1"/>
  <c r="C155" i="11" s="1"/>
  <c r="E155" i="11" s="1"/>
  <c r="G155" i="11" s="1"/>
  <c r="C155" i="12" s="1"/>
  <c r="C155" i="8"/>
  <c r="C135" i="8"/>
  <c r="E135" i="8" s="1"/>
  <c r="G135" i="8" s="1"/>
  <c r="C135" i="11" s="1"/>
  <c r="E135" i="11" s="1"/>
  <c r="G135" i="11" s="1"/>
  <c r="C135" i="12" s="1"/>
  <c r="E107" i="8"/>
  <c r="G107" i="8" s="1"/>
  <c r="C107" i="11" s="1"/>
  <c r="E107" i="11" s="1"/>
  <c r="G107" i="11" s="1"/>
  <c r="C107" i="12" s="1"/>
  <c r="C107" i="8"/>
  <c r="C87" i="8"/>
  <c r="E87" i="8" s="1"/>
  <c r="G87" i="8" s="1"/>
  <c r="C87" i="11" s="1"/>
  <c r="E87" i="11" s="1"/>
  <c r="G87" i="11" s="1"/>
  <c r="C87" i="12" s="1"/>
  <c r="E87" i="12" s="1"/>
  <c r="G87" i="12" s="1"/>
  <c r="C87" i="13" s="1"/>
  <c r="E87" i="13" s="1"/>
  <c r="G87" i="13" s="1"/>
  <c r="C87" i="14" s="1"/>
  <c r="E87" i="14" s="1"/>
  <c r="G87" i="14" s="1"/>
  <c r="C87" i="15" s="1"/>
  <c r="E182" i="8"/>
  <c r="G182" i="8" s="1"/>
  <c r="C182" i="11" s="1"/>
  <c r="E182" i="11" s="1"/>
  <c r="G182" i="11" s="1"/>
  <c r="C182" i="12" s="1"/>
  <c r="C182" i="8"/>
  <c r="E185" i="8"/>
  <c r="G185" i="8" s="1"/>
  <c r="C185" i="11" s="1"/>
  <c r="E185" i="11" s="1"/>
  <c r="G185" i="11" s="1"/>
  <c r="C185" i="12" s="1"/>
  <c r="C185" i="8"/>
  <c r="E201" i="8"/>
  <c r="G201" i="8" s="1"/>
  <c r="C201" i="11" s="1"/>
  <c r="C201" i="8"/>
  <c r="C145" i="8"/>
  <c r="E145" i="8" s="1"/>
  <c r="G145" i="8" s="1"/>
  <c r="C145" i="11" s="1"/>
  <c r="E145" i="11" s="1"/>
  <c r="G145" i="11" s="1"/>
  <c r="C145" i="12" s="1"/>
  <c r="E146" i="8"/>
  <c r="G146" i="8" s="1"/>
  <c r="C146" i="11" s="1"/>
  <c r="E146" i="11" s="1"/>
  <c r="G146" i="11" s="1"/>
  <c r="C146" i="12" s="1"/>
  <c r="C146" i="8"/>
  <c r="C184" i="8"/>
  <c r="E184" i="8" s="1"/>
  <c r="G184" i="8" s="1"/>
  <c r="C184" i="11" s="1"/>
  <c r="E184" i="11" s="1"/>
  <c r="G184" i="11" s="1"/>
  <c r="C184" i="12" s="1"/>
  <c r="E120" i="8"/>
  <c r="G120" i="8" s="1"/>
  <c r="C120" i="11" s="1"/>
  <c r="E120" i="11" s="1"/>
  <c r="G120" i="11" s="1"/>
  <c r="C120" i="12" s="1"/>
  <c r="C120" i="8"/>
  <c r="E181" i="8"/>
  <c r="G181" i="8" s="1"/>
  <c r="C181" i="11" s="1"/>
  <c r="E181" i="11" s="1"/>
  <c r="G181" i="11" s="1"/>
  <c r="C181" i="12" s="1"/>
  <c r="C181" i="8"/>
  <c r="E170" i="8"/>
  <c r="G170" i="8" s="1"/>
  <c r="C170" i="11" s="1"/>
  <c r="C170" i="8"/>
  <c r="C194" i="8"/>
  <c r="E194" i="8" s="1"/>
  <c r="G194" i="8" s="1"/>
  <c r="C194" i="11" s="1"/>
  <c r="E194" i="11" s="1"/>
  <c r="G194" i="11" s="1"/>
  <c r="C194" i="12" s="1"/>
  <c r="E167" i="8"/>
  <c r="G167" i="8" s="1"/>
  <c r="C167" i="11" s="1"/>
  <c r="E167" i="11" s="1"/>
  <c r="G167" i="11" s="1"/>
  <c r="C167" i="12" s="1"/>
  <c r="C167" i="8"/>
  <c r="C96" i="8"/>
  <c r="E96" i="8" s="1"/>
  <c r="G96" i="8" s="1"/>
  <c r="C96" i="11" s="1"/>
  <c r="E96" i="11" s="1"/>
  <c r="G96" i="11" s="1"/>
  <c r="C96" i="12" s="1"/>
  <c r="E124" i="8"/>
  <c r="G124" i="8" s="1"/>
  <c r="C124" i="11" s="1"/>
  <c r="E124" i="11" s="1"/>
  <c r="G124" i="11" s="1"/>
  <c r="C124" i="12" s="1"/>
  <c r="C124" i="8"/>
  <c r="E172" i="8"/>
  <c r="G172" i="8" s="1"/>
  <c r="C172" i="11" s="1"/>
  <c r="C172" i="8"/>
  <c r="E83" i="8"/>
  <c r="G83" i="8" s="1"/>
  <c r="C83" i="11" s="1"/>
  <c r="C83" i="8"/>
  <c r="C134" i="8"/>
  <c r="E134" i="8" s="1"/>
  <c r="G134" i="8" s="1"/>
  <c r="C134" i="11" s="1"/>
  <c r="E134" i="11" s="1"/>
  <c r="G134" i="11" s="1"/>
  <c r="C134" i="12" s="1"/>
  <c r="E173" i="8"/>
  <c r="G173" i="8" s="1"/>
  <c r="C173" i="11" s="1"/>
  <c r="C173" i="8"/>
  <c r="C122" i="8"/>
  <c r="E122" i="8" s="1"/>
  <c r="G122" i="8" s="1"/>
  <c r="C122" i="11" s="1"/>
  <c r="E122" i="11" s="1"/>
  <c r="G122" i="11" s="1"/>
  <c r="C122" i="12" s="1"/>
  <c r="E144" i="8"/>
  <c r="G144" i="8" s="1"/>
  <c r="C144" i="11" s="1"/>
  <c r="E144" i="11" s="1"/>
  <c r="G144" i="11" s="1"/>
  <c r="C144" i="12" s="1"/>
  <c r="C144" i="8"/>
  <c r="E186" i="8"/>
  <c r="G186" i="8" s="1"/>
  <c r="C186" i="11" s="1"/>
  <c r="C186" i="8"/>
  <c r="E132" i="8"/>
  <c r="G132" i="8" s="1"/>
  <c r="C132" i="11" s="1"/>
  <c r="E132" i="11" s="1"/>
  <c r="G132" i="11" s="1"/>
  <c r="C132" i="12" s="1"/>
  <c r="C132" i="8"/>
  <c r="C198" i="8"/>
  <c r="E198" i="8" s="1"/>
  <c r="G198" i="8" s="1"/>
  <c r="C198" i="11" s="1"/>
  <c r="E198" i="11" s="1"/>
  <c r="G198" i="11" s="1"/>
  <c r="C198" i="12" s="1"/>
  <c r="E121" i="8"/>
  <c r="G121" i="8" s="1"/>
  <c r="C121" i="11" s="1"/>
  <c r="E121" i="11" s="1"/>
  <c r="G121" i="11" s="1"/>
  <c r="C121" i="12" s="1"/>
  <c r="C121" i="8"/>
  <c r="C200" i="8"/>
  <c r="E200" i="8" s="1"/>
  <c r="G200" i="8" s="1"/>
  <c r="C200" i="11" s="1"/>
  <c r="E200" i="11" s="1"/>
  <c r="G200" i="11" s="1"/>
  <c r="C200" i="12" s="1"/>
  <c r="E197" i="8"/>
  <c r="G197" i="8" s="1"/>
  <c r="C197" i="11" s="1"/>
  <c r="E197" i="11" s="1"/>
  <c r="G197" i="11" s="1"/>
  <c r="C197" i="12" s="1"/>
  <c r="C197" i="8"/>
  <c r="E161" i="8"/>
  <c r="G161" i="8" s="1"/>
  <c r="C161" i="11" s="1"/>
  <c r="E161" i="11" s="1"/>
  <c r="G161" i="11" s="1"/>
  <c r="C161" i="12" s="1"/>
  <c r="C161" i="8"/>
  <c r="C192" i="8"/>
  <c r="E192" i="8" s="1"/>
  <c r="G192" i="8" s="1"/>
  <c r="C192" i="11" s="1"/>
  <c r="E192" i="11" s="1"/>
  <c r="G192" i="11" s="1"/>
  <c r="C192" i="12" s="1"/>
  <c r="C109" i="8"/>
  <c r="E109" i="8" s="1"/>
  <c r="G109" i="8" s="1"/>
  <c r="C109" i="11" s="1"/>
  <c r="E109" i="11" s="1"/>
  <c r="G109" i="11" s="1"/>
  <c r="C109" i="12" s="1"/>
  <c r="E128" i="8"/>
  <c r="G128" i="8" s="1"/>
  <c r="C128" i="11" s="1"/>
  <c r="E128" i="11" s="1"/>
  <c r="G128" i="11" s="1"/>
  <c r="C128" i="12" s="1"/>
  <c r="C128" i="8"/>
  <c r="C105" i="8"/>
  <c r="E105" i="8" s="1"/>
  <c r="G105" i="8" s="1"/>
  <c r="E191" i="8"/>
  <c r="G191" i="8" s="1"/>
  <c r="C191" i="11" s="1"/>
  <c r="E191" i="11" s="1"/>
  <c r="G191" i="11" s="1"/>
  <c r="C191" i="12" s="1"/>
  <c r="C191" i="8"/>
  <c r="E178" i="8"/>
  <c r="G178" i="8" s="1"/>
  <c r="C178" i="11" s="1"/>
  <c r="E178" i="11" s="1"/>
  <c r="G178" i="11" s="1"/>
  <c r="C178" i="12" s="1"/>
  <c r="C178" i="8"/>
  <c r="E160" i="8"/>
  <c r="G160" i="8" s="1"/>
  <c r="C160" i="11" s="1"/>
  <c r="E160" i="11" s="1"/>
  <c r="G160" i="11" s="1"/>
  <c r="C160" i="12" s="1"/>
  <c r="C160" i="8"/>
  <c r="C92" i="8"/>
  <c r="E92" i="8" s="1"/>
  <c r="G92" i="8" s="1"/>
  <c r="C92" i="11" s="1"/>
  <c r="E92" i="11" s="1"/>
  <c r="G92" i="11" s="1"/>
  <c r="C92" i="12" s="1"/>
  <c r="E97" i="8"/>
  <c r="G97" i="8" s="1"/>
  <c r="C97" i="11" s="1"/>
  <c r="E97" i="11" s="1"/>
  <c r="G97" i="11" s="1"/>
  <c r="C97" i="12" s="1"/>
  <c r="C97" i="8"/>
  <c r="C111" i="8"/>
  <c r="E111" i="8" s="1"/>
  <c r="G111" i="8" s="1"/>
  <c r="C111" i="11" s="1"/>
  <c r="E111" i="11" s="1"/>
  <c r="G111" i="11" s="1"/>
  <c r="C111" i="12" s="1"/>
  <c r="E143" i="8"/>
  <c r="G143" i="8" s="1"/>
  <c r="C143" i="11" s="1"/>
  <c r="E143" i="11" s="1"/>
  <c r="G143" i="11" s="1"/>
  <c r="C143" i="12" s="1"/>
  <c r="C143" i="8"/>
  <c r="E150" i="8"/>
  <c r="G150" i="8" s="1"/>
  <c r="C150" i="11" s="1"/>
  <c r="E150" i="11" s="1"/>
  <c r="G150" i="11" s="1"/>
  <c r="C150" i="12" s="1"/>
  <c r="C150" i="8"/>
  <c r="E112" i="8"/>
  <c r="G112" i="8" s="1"/>
  <c r="C112" i="11" s="1"/>
  <c r="C112" i="8"/>
  <c r="C156" i="8"/>
  <c r="E156" i="8" s="1"/>
  <c r="G156" i="8" s="1"/>
  <c r="C156" i="11" s="1"/>
  <c r="E156" i="11" s="1"/>
  <c r="G156" i="11" s="1"/>
  <c r="C156" i="12" s="1"/>
  <c r="E166" i="8"/>
  <c r="G166" i="8" s="1"/>
  <c r="C166" i="11" s="1"/>
  <c r="E166" i="11" s="1"/>
  <c r="G166" i="11" s="1"/>
  <c r="C166" i="12" s="1"/>
  <c r="C166" i="8"/>
  <c r="C116" i="8"/>
  <c r="E116" i="8" s="1"/>
  <c r="G116" i="8" s="1"/>
  <c r="C116" i="11" s="1"/>
  <c r="E116" i="11" s="1"/>
  <c r="G116" i="11" s="1"/>
  <c r="C116" i="12" s="1"/>
  <c r="E165" i="8"/>
  <c r="G165" i="8" s="1"/>
  <c r="C165" i="11" s="1"/>
  <c r="E165" i="11" s="1"/>
  <c r="G165" i="11" s="1"/>
  <c r="C165" i="12" s="1"/>
  <c r="C165" i="8"/>
  <c r="E94" i="8"/>
  <c r="G94" i="8" s="1"/>
  <c r="C94" i="11" s="1"/>
  <c r="E94" i="11" s="1"/>
  <c r="G94" i="11" s="1"/>
  <c r="C94" i="12" s="1"/>
  <c r="C94" i="8"/>
  <c r="C195" i="8"/>
  <c r="E195" i="8" s="1"/>
  <c r="G195" i="8" s="1"/>
  <c r="C195" i="11" s="1"/>
  <c r="E195" i="11" s="1"/>
  <c r="G195" i="11" s="1"/>
  <c r="C195" i="12" s="1"/>
  <c r="C101" i="8"/>
  <c r="E101" i="8" s="1"/>
  <c r="G101" i="8" s="1"/>
  <c r="C101" i="11" s="1"/>
  <c r="E101" i="11" s="1"/>
  <c r="G101" i="11" s="1"/>
  <c r="C101" i="12" s="1"/>
  <c r="C88" i="8"/>
  <c r="E88" i="8" s="1"/>
  <c r="G88" i="8" s="1"/>
  <c r="C88" i="11" s="1"/>
  <c r="E88" i="11" s="1"/>
  <c r="G88" i="11" s="1"/>
  <c r="C88" i="12" s="1"/>
  <c r="C86" i="8"/>
  <c r="E86" i="8" s="1"/>
  <c r="G86" i="8" s="1"/>
  <c r="C86" i="11" s="1"/>
  <c r="E86" i="11" s="1"/>
  <c r="G86" i="11" s="1"/>
  <c r="C86" i="12" s="1"/>
  <c r="E138" i="11"/>
  <c r="G138" i="11" s="1"/>
  <c r="C138" i="12" s="1"/>
  <c r="E34" i="8"/>
  <c r="G34" i="8" s="1"/>
  <c r="C34" i="11" s="1"/>
  <c r="E81" i="8"/>
  <c r="G81" i="8" s="1"/>
  <c r="C81" i="11" s="1"/>
  <c r="E42" i="8"/>
  <c r="G42" i="8" s="1"/>
  <c r="C42" i="11" s="1"/>
  <c r="E11" i="8"/>
  <c r="G11" i="8" s="1"/>
  <c r="C11" i="11" s="1"/>
  <c r="E46" i="8"/>
  <c r="G46" i="8" s="1"/>
  <c r="C46" i="11" s="1"/>
  <c r="E54" i="8"/>
  <c r="G54" i="8" s="1"/>
  <c r="C54" i="11" s="1"/>
  <c r="E142" i="11"/>
  <c r="G142" i="11" s="1"/>
  <c r="C142" i="12" s="1"/>
  <c r="E112" i="11"/>
  <c r="G112" i="11" s="1"/>
  <c r="C112" i="12" s="1"/>
  <c r="E79" i="8"/>
  <c r="G79" i="8" s="1"/>
  <c r="C79" i="11" s="1"/>
  <c r="E6" i="8"/>
  <c r="G6" i="8" s="1"/>
  <c r="C6" i="11" s="1"/>
  <c r="E27" i="8"/>
  <c r="G27" i="8" s="1"/>
  <c r="C27" i="11" s="1"/>
  <c r="E72" i="8"/>
  <c r="G72" i="8" s="1"/>
  <c r="C72" i="11" s="1"/>
  <c r="E29" i="8"/>
  <c r="G29" i="8" s="1"/>
  <c r="C29" i="11" s="1"/>
  <c r="E163" i="11"/>
  <c r="G163" i="11" s="1"/>
  <c r="C163" i="12" s="1"/>
  <c r="E35" i="8"/>
  <c r="G35" i="8" s="1"/>
  <c r="C35" i="11" s="1"/>
  <c r="E71" i="8"/>
  <c r="G71" i="8" s="1"/>
  <c r="C71" i="11" s="1"/>
  <c r="E73" i="8"/>
  <c r="G73" i="8" s="1"/>
  <c r="C73" i="11" s="1"/>
  <c r="E21" i="8"/>
  <c r="G21" i="8" s="1"/>
  <c r="C21" i="11" s="1"/>
  <c r="E52" i="8"/>
  <c r="G52" i="8" s="1"/>
  <c r="C52" i="11" s="1"/>
  <c r="E14" i="8"/>
  <c r="G14" i="8" s="1"/>
  <c r="C14" i="11" s="1"/>
  <c r="E18" i="8"/>
  <c r="G18" i="8" s="1"/>
  <c r="C18" i="11" s="1"/>
  <c r="E129" i="11"/>
  <c r="G129" i="11" s="1"/>
  <c r="C129" i="12" s="1"/>
  <c r="E172" i="11"/>
  <c r="G172" i="11" s="1"/>
  <c r="C172" i="12" s="1"/>
  <c r="E48" i="8"/>
  <c r="G48" i="8" s="1"/>
  <c r="C48" i="11" s="1"/>
  <c r="E16" i="8"/>
  <c r="G16" i="8" s="1"/>
  <c r="C16" i="11" s="1"/>
  <c r="E58" i="8"/>
  <c r="G58" i="8" s="1"/>
  <c r="C58" i="11" s="1"/>
  <c r="E173" i="11"/>
  <c r="G173" i="11" s="1"/>
  <c r="C173" i="12" s="1"/>
  <c r="E50" i="8"/>
  <c r="G50" i="8" s="1"/>
  <c r="C50" i="11" s="1"/>
  <c r="E188" i="11"/>
  <c r="G188" i="11" s="1"/>
  <c r="C188" i="12" s="1"/>
  <c r="E13" i="8"/>
  <c r="G13" i="8" s="1"/>
  <c r="C13" i="11" s="1"/>
  <c r="E41" i="8"/>
  <c r="G41" i="8" s="1"/>
  <c r="C41" i="11" s="1"/>
  <c r="E89" i="11"/>
  <c r="G89" i="11" s="1"/>
  <c r="C89" i="12" s="1"/>
  <c r="E61" i="8"/>
  <c r="G61" i="8" s="1"/>
  <c r="C61" i="11" s="1"/>
  <c r="E10" i="8"/>
  <c r="G10" i="8" s="1"/>
  <c r="C10" i="11" s="1"/>
  <c r="E64" i="8"/>
  <c r="G64" i="8" s="1"/>
  <c r="C64" i="11" s="1"/>
  <c r="E30" i="8"/>
  <c r="G30" i="8" s="1"/>
  <c r="C30" i="11" s="1"/>
  <c r="E187" i="11"/>
  <c r="G187" i="11" s="1"/>
  <c r="C187" i="12" s="1"/>
  <c r="E180" i="11"/>
  <c r="G180" i="11" s="1"/>
  <c r="C180" i="12" s="1"/>
  <c r="E60" i="8"/>
  <c r="G60" i="8" s="1"/>
  <c r="C60" i="11" s="1"/>
  <c r="E67" i="8"/>
  <c r="G67" i="8" s="1"/>
  <c r="C67" i="11" s="1"/>
  <c r="E24" i="8"/>
  <c r="G24" i="8" s="1"/>
  <c r="C24" i="11" s="1"/>
  <c r="E75" i="8"/>
  <c r="G75" i="8" s="1"/>
  <c r="C75" i="11" s="1"/>
  <c r="E12" i="8"/>
  <c r="G12" i="8" s="1"/>
  <c r="C12" i="11" s="1"/>
  <c r="E63" i="8"/>
  <c r="G63" i="8" s="1"/>
  <c r="C63" i="11" s="1"/>
  <c r="E17" i="8"/>
  <c r="G17" i="8" s="1"/>
  <c r="C17" i="11" s="1"/>
  <c r="E62" i="8"/>
  <c r="G62" i="8" s="1"/>
  <c r="C62" i="11" s="1"/>
  <c r="E103" i="11"/>
  <c r="G103" i="11" s="1"/>
  <c r="C103" i="12" s="1"/>
  <c r="E44" i="8"/>
  <c r="G44" i="8" s="1"/>
  <c r="C44" i="11" s="1"/>
  <c r="E59" i="8"/>
  <c r="G59" i="8" s="1"/>
  <c r="C59" i="11" s="1"/>
  <c r="E20" i="8"/>
  <c r="G20" i="8" s="1"/>
  <c r="C20" i="11" s="1"/>
  <c r="E8" i="8"/>
  <c r="G8" i="8" s="1"/>
  <c r="C8" i="11" s="1"/>
  <c r="E193" i="11"/>
  <c r="G193" i="11" s="1"/>
  <c r="C193" i="12" s="1"/>
  <c r="E82" i="8"/>
  <c r="G82" i="8" s="1"/>
  <c r="C82" i="11" s="1"/>
  <c r="E74" i="8"/>
  <c r="G74" i="8" s="1"/>
  <c r="C74" i="11" s="1"/>
  <c r="E32" i="8"/>
  <c r="G32" i="8" s="1"/>
  <c r="C32" i="11" s="1"/>
  <c r="E70" i="8"/>
  <c r="G70" i="8" s="1"/>
  <c r="C70" i="11" s="1"/>
  <c r="E31" i="8"/>
  <c r="G31" i="8" s="1"/>
  <c r="C31" i="11" s="1"/>
  <c r="E118" i="11"/>
  <c r="G118" i="11" s="1"/>
  <c r="C118" i="12" s="1"/>
  <c r="E201" i="11"/>
  <c r="G201" i="11" s="1"/>
  <c r="C201" i="12" s="1"/>
  <c r="E131" i="11"/>
  <c r="G131" i="11" s="1"/>
  <c r="C131" i="12" s="1"/>
  <c r="E57" i="8"/>
  <c r="G57" i="8" s="1"/>
  <c r="C57" i="11" s="1"/>
  <c r="E7" i="8"/>
  <c r="G7" i="8" s="1"/>
  <c r="C7" i="11" s="1"/>
  <c r="E51" i="8"/>
  <c r="G51" i="8" s="1"/>
  <c r="C51" i="11" s="1"/>
  <c r="E26" i="8"/>
  <c r="G26" i="8" s="1"/>
  <c r="C26" i="11" s="1"/>
  <c r="E123" i="11"/>
  <c r="G123" i="11" s="1"/>
  <c r="C123" i="12" s="1"/>
  <c r="E53" i="8"/>
  <c r="G53" i="8" s="1"/>
  <c r="C53" i="11" s="1"/>
  <c r="E15" i="8"/>
  <c r="G15" i="8" s="1"/>
  <c r="C15" i="11" s="1"/>
  <c r="E43" i="8"/>
  <c r="G43" i="8" s="1"/>
  <c r="C43" i="11" s="1"/>
  <c r="E68" i="8"/>
  <c r="G68" i="8" s="1"/>
  <c r="C68" i="11" s="1"/>
  <c r="E40" i="8"/>
  <c r="G40" i="8" s="1"/>
  <c r="C40" i="11" s="1"/>
  <c r="E93" i="11"/>
  <c r="G93" i="11" s="1"/>
  <c r="C93" i="12" s="1"/>
  <c r="E49" i="8"/>
  <c r="G49" i="8" s="1"/>
  <c r="C49" i="11" s="1"/>
  <c r="E77" i="8"/>
  <c r="G77" i="8" s="1"/>
  <c r="C77" i="11" s="1"/>
  <c r="E170" i="11"/>
  <c r="G170" i="11" s="1"/>
  <c r="C170" i="12" s="1"/>
  <c r="E56" i="8"/>
  <c r="G56" i="8" s="1"/>
  <c r="C56" i="11" s="1"/>
  <c r="E157" i="11"/>
  <c r="G157" i="11" s="1"/>
  <c r="C157" i="12" s="1"/>
  <c r="E139" i="11"/>
  <c r="G139" i="11" s="1"/>
  <c r="C139" i="12" s="1"/>
  <c r="E83" i="11"/>
  <c r="G83" i="11" s="1"/>
  <c r="C83" i="12" s="1"/>
  <c r="E80" i="8"/>
  <c r="G80" i="8" s="1"/>
  <c r="C80" i="11" s="1"/>
  <c r="E9" i="8"/>
  <c r="G9" i="8" s="1"/>
  <c r="C9" i="11" s="1"/>
  <c r="E148" i="11"/>
  <c r="G148" i="11" s="1"/>
  <c r="C148" i="12" s="1"/>
  <c r="E159" i="11"/>
  <c r="G159" i="11" s="1"/>
  <c r="C159" i="12" s="1"/>
  <c r="E55" i="8"/>
  <c r="G55" i="8" s="1"/>
  <c r="C55" i="11" s="1"/>
  <c r="E186" i="11"/>
  <c r="G186" i="11" s="1"/>
  <c r="C186" i="12" s="1"/>
  <c r="E19" i="8"/>
  <c r="G19" i="8" s="1"/>
  <c r="C19" i="11" s="1"/>
  <c r="E69" i="13"/>
  <c r="G69" i="13" s="1"/>
  <c r="C69" i="14" s="1"/>
  <c r="E66" i="13"/>
  <c r="G66" i="13" s="1"/>
  <c r="C66" i="14" s="1"/>
  <c r="E196" i="13"/>
  <c r="G196" i="13" s="1"/>
  <c r="C196" i="14" s="1"/>
  <c r="E78" i="11"/>
  <c r="G78" i="11" s="1"/>
  <c r="C78" i="12" s="1"/>
  <c r="E23" i="11"/>
  <c r="G23" i="11" s="1"/>
  <c r="C23" i="12" s="1"/>
  <c r="E45" i="8"/>
  <c r="G45" i="8" s="1"/>
  <c r="C45" i="11" s="1"/>
  <c r="E47" i="8"/>
  <c r="G47" i="8" s="1"/>
  <c r="C47" i="11" s="1"/>
  <c r="E38" i="8"/>
  <c r="G38" i="8" s="1"/>
  <c r="C38" i="11" s="1"/>
  <c r="E37" i="8"/>
  <c r="G37" i="8" s="1"/>
  <c r="C37" i="11" s="1"/>
  <c r="E36" i="8"/>
  <c r="G36" i="8" s="1"/>
  <c r="C36" i="11" s="1"/>
  <c r="E33" i="8"/>
  <c r="G33" i="8" s="1"/>
  <c r="C33" i="11" s="1"/>
  <c r="E28" i="8"/>
  <c r="G28" i="8" s="1"/>
  <c r="C28" i="11" s="1"/>
  <c r="E25" i="8"/>
  <c r="G25" i="8" s="1"/>
  <c r="C25" i="11" s="1"/>
  <c r="E22" i="8"/>
  <c r="G22" i="8" s="1"/>
  <c r="C22" i="11" s="1"/>
  <c r="E5" i="8"/>
  <c r="G5" i="8" s="1"/>
  <c r="C5" i="11" s="1"/>
  <c r="C39" i="11" l="1"/>
  <c r="E39" i="11" s="1"/>
  <c r="G39" i="11" s="1"/>
  <c r="C85" i="11"/>
  <c r="E85" i="11" s="1"/>
  <c r="G85" i="11" s="1"/>
  <c r="C105" i="11"/>
  <c r="E105" i="11" s="1"/>
  <c r="G105" i="11" s="1"/>
  <c r="C65" i="11"/>
  <c r="E65" i="11" s="1"/>
  <c r="G65" i="11" s="1"/>
  <c r="C65" i="12" s="1"/>
  <c r="E65" i="12" s="1"/>
  <c r="G65" i="12" s="1"/>
  <c r="C65" i="13" s="1"/>
  <c r="E65" i="13" s="1"/>
  <c r="G65" i="13" s="1"/>
  <c r="C65" i="14" s="1"/>
  <c r="E65" i="14" s="1"/>
  <c r="G65" i="14" s="1"/>
  <c r="C65" i="15" s="1"/>
  <c r="E65" i="15" s="1"/>
  <c r="G65" i="15" s="1"/>
  <c r="C65" i="16" s="1"/>
  <c r="C76" i="11"/>
  <c r="E76" i="11" s="1"/>
  <c r="G76" i="11" s="1"/>
  <c r="C76" i="12" s="1"/>
  <c r="E76" i="12" s="1"/>
  <c r="G76" i="12" s="1"/>
  <c r="C76" i="13" s="1"/>
  <c r="E76" i="13" s="1"/>
  <c r="G76" i="13" s="1"/>
  <c r="C76" i="14" s="1"/>
  <c r="E76" i="14" s="1"/>
  <c r="G76" i="14" s="1"/>
  <c r="C76" i="15" s="1"/>
  <c r="E76" i="15" s="1"/>
  <c r="G76" i="15" s="1"/>
  <c r="C76" i="16" s="1"/>
  <c r="C149" i="11"/>
  <c r="E149" i="11" s="1"/>
  <c r="G149" i="11" s="1"/>
  <c r="E153" i="12"/>
  <c r="G153" i="12" s="1"/>
  <c r="C153" i="13" s="1"/>
  <c r="E104" i="12"/>
  <c r="G104" i="12" s="1"/>
  <c r="C104" i="13" s="1"/>
  <c r="E179" i="12"/>
  <c r="G179" i="12" s="1"/>
  <c r="C179" i="13" s="1"/>
  <c r="E93" i="12"/>
  <c r="G93" i="12" s="1"/>
  <c r="C93" i="13" s="1"/>
  <c r="E26" i="11"/>
  <c r="G26" i="11" s="1"/>
  <c r="C26" i="12" s="1"/>
  <c r="E70" i="11"/>
  <c r="G70" i="11" s="1"/>
  <c r="C70" i="12" s="1"/>
  <c r="E197" i="12"/>
  <c r="G197" i="12" s="1"/>
  <c r="C197" i="13" s="1"/>
  <c r="E88" i="12"/>
  <c r="G88" i="12" s="1"/>
  <c r="C88" i="13" s="1"/>
  <c r="E180" i="12"/>
  <c r="G180" i="12" s="1"/>
  <c r="C180" i="13" s="1"/>
  <c r="E189" i="12"/>
  <c r="G189" i="12" s="1"/>
  <c r="C189" i="13" s="1"/>
  <c r="E134" i="12"/>
  <c r="G134" i="12" s="1"/>
  <c r="C134" i="13" s="1"/>
  <c r="E94" i="12"/>
  <c r="G94" i="12" s="1"/>
  <c r="C94" i="13" s="1"/>
  <c r="E35" i="11"/>
  <c r="G35" i="11" s="1"/>
  <c r="C35" i="12" s="1"/>
  <c r="E152" i="12"/>
  <c r="G152" i="12" s="1"/>
  <c r="C152" i="13" s="1"/>
  <c r="E95" i="12"/>
  <c r="G95" i="12" s="1"/>
  <c r="C95" i="13" s="1"/>
  <c r="E34" i="11"/>
  <c r="G34" i="11" s="1"/>
  <c r="C34" i="12" s="1"/>
  <c r="E19" i="11"/>
  <c r="G19" i="11" s="1"/>
  <c r="C19" i="12" s="1"/>
  <c r="E83" i="12"/>
  <c r="G83" i="12" s="1"/>
  <c r="C83" i="13" s="1"/>
  <c r="E157" i="12"/>
  <c r="G157" i="12" s="1"/>
  <c r="C157" i="13" s="1"/>
  <c r="E141" i="12"/>
  <c r="G141" i="12" s="1"/>
  <c r="C141" i="13" s="1"/>
  <c r="E51" i="11"/>
  <c r="G51" i="11" s="1"/>
  <c r="C51" i="12" s="1"/>
  <c r="E169" i="12"/>
  <c r="G169" i="12" s="1"/>
  <c r="C169" i="13" s="1"/>
  <c r="E200" i="12"/>
  <c r="G200" i="12" s="1"/>
  <c r="C200" i="13" s="1"/>
  <c r="E44" i="11"/>
  <c r="G44" i="11" s="1"/>
  <c r="C44" i="12" s="1"/>
  <c r="E113" i="12"/>
  <c r="G113" i="12" s="1"/>
  <c r="C113" i="13" s="1"/>
  <c r="E10" i="11"/>
  <c r="G10" i="11" s="1"/>
  <c r="C10" i="12" s="1"/>
  <c r="E108" i="12"/>
  <c r="G108" i="12" s="1"/>
  <c r="C108" i="13" s="1"/>
  <c r="E127" i="12"/>
  <c r="G127" i="12" s="1"/>
  <c r="C127" i="13" s="1"/>
  <c r="E156" i="12"/>
  <c r="G156" i="12" s="1"/>
  <c r="C156" i="13" s="1"/>
  <c r="E142" i="12"/>
  <c r="G142" i="12" s="1"/>
  <c r="C142" i="13" s="1"/>
  <c r="E46" i="11"/>
  <c r="G46" i="11" s="1"/>
  <c r="C46" i="12" s="1"/>
  <c r="E166" i="12"/>
  <c r="G166" i="12" s="1"/>
  <c r="C166" i="13" s="1"/>
  <c r="E122" i="12"/>
  <c r="G122" i="12" s="1"/>
  <c r="C122" i="13" s="1"/>
  <c r="E90" i="12"/>
  <c r="G90" i="12" s="1"/>
  <c r="C90" i="13" s="1"/>
  <c r="E40" i="11"/>
  <c r="G40" i="11" s="1"/>
  <c r="C40" i="12" s="1"/>
  <c r="E15" i="11"/>
  <c r="G15" i="11" s="1"/>
  <c r="C15" i="12" s="1"/>
  <c r="E201" i="12"/>
  <c r="G201" i="12" s="1"/>
  <c r="C201" i="13" s="1"/>
  <c r="E193" i="12"/>
  <c r="G193" i="12" s="1"/>
  <c r="C193" i="13" s="1"/>
  <c r="E203" i="12"/>
  <c r="G203" i="12" s="1"/>
  <c r="C203" i="13" s="1"/>
  <c r="E12" i="11"/>
  <c r="G12" i="11" s="1"/>
  <c r="C12" i="12" s="1"/>
  <c r="E61" i="11"/>
  <c r="G61" i="11" s="1"/>
  <c r="C61" i="12" s="1"/>
  <c r="E151" i="12"/>
  <c r="G151" i="12" s="1"/>
  <c r="C151" i="13" s="1"/>
  <c r="E96" i="12"/>
  <c r="G96" i="12" s="1"/>
  <c r="C96" i="13" s="1"/>
  <c r="E163" i="12"/>
  <c r="G163" i="12" s="1"/>
  <c r="C163" i="13" s="1"/>
  <c r="E72" i="11"/>
  <c r="G72" i="11" s="1"/>
  <c r="C72" i="12" s="1"/>
  <c r="E176" i="12"/>
  <c r="G176" i="12" s="1"/>
  <c r="C176" i="13" s="1"/>
  <c r="E199" i="12"/>
  <c r="G199" i="12" s="1"/>
  <c r="C199" i="13" s="1"/>
  <c r="E186" i="12"/>
  <c r="G186" i="12" s="1"/>
  <c r="C186" i="13" s="1"/>
  <c r="E198" i="12"/>
  <c r="G198" i="12" s="1"/>
  <c r="C198" i="13" s="1"/>
  <c r="E148" i="12"/>
  <c r="G148" i="12" s="1"/>
  <c r="C148" i="13" s="1"/>
  <c r="E56" i="11"/>
  <c r="G56" i="11" s="1"/>
  <c r="C56" i="12" s="1"/>
  <c r="E184" i="12"/>
  <c r="G184" i="12" s="1"/>
  <c r="C184" i="13" s="1"/>
  <c r="E114" i="12"/>
  <c r="G114" i="12" s="1"/>
  <c r="C114" i="13" s="1"/>
  <c r="E118" i="12"/>
  <c r="G118" i="12" s="1"/>
  <c r="C118" i="13" s="1"/>
  <c r="E32" i="11"/>
  <c r="G32" i="11" s="1"/>
  <c r="C32" i="12" s="1"/>
  <c r="E126" i="12"/>
  <c r="G126" i="12" s="1"/>
  <c r="C126" i="13" s="1"/>
  <c r="E75" i="11"/>
  <c r="G75" i="11" s="1"/>
  <c r="C75" i="12" s="1"/>
  <c r="E187" i="12"/>
  <c r="G187" i="12" s="1"/>
  <c r="C187" i="13" s="1"/>
  <c r="E50" i="11"/>
  <c r="G50" i="11" s="1"/>
  <c r="C50" i="12" s="1"/>
  <c r="E14" i="11"/>
  <c r="G14" i="11" s="1"/>
  <c r="C14" i="12" s="1"/>
  <c r="E168" i="12"/>
  <c r="G168" i="12" s="1"/>
  <c r="C168" i="13" s="1"/>
  <c r="E27" i="11"/>
  <c r="G27" i="11" s="1"/>
  <c r="C27" i="12" s="1"/>
  <c r="E191" i="12"/>
  <c r="G191" i="12" s="1"/>
  <c r="C191" i="13" s="1"/>
  <c r="E121" i="12"/>
  <c r="G121" i="12" s="1"/>
  <c r="C121" i="13" s="1"/>
  <c r="E9" i="11"/>
  <c r="G9" i="11" s="1"/>
  <c r="C9" i="12" s="1"/>
  <c r="E106" i="12"/>
  <c r="G106" i="12" s="1"/>
  <c r="C106" i="13" s="1"/>
  <c r="E77" i="11"/>
  <c r="G77" i="11" s="1"/>
  <c r="C77" i="12" s="1"/>
  <c r="E181" i="12"/>
  <c r="G181" i="12" s="1"/>
  <c r="C181" i="13" s="1"/>
  <c r="E146" i="12"/>
  <c r="G146" i="12" s="1"/>
  <c r="C146" i="13" s="1"/>
  <c r="E74" i="11"/>
  <c r="G74" i="11" s="1"/>
  <c r="C74" i="12" s="1"/>
  <c r="E20" i="11"/>
  <c r="G20" i="11" s="1"/>
  <c r="C20" i="12" s="1"/>
  <c r="E103" i="12"/>
  <c r="G103" i="12" s="1"/>
  <c r="C103" i="13" s="1"/>
  <c r="E30" i="11"/>
  <c r="G30" i="11" s="1"/>
  <c r="C30" i="12" s="1"/>
  <c r="E173" i="12"/>
  <c r="G173" i="12" s="1"/>
  <c r="C173" i="13" s="1"/>
  <c r="E172" i="12"/>
  <c r="G172" i="12" s="1"/>
  <c r="C172" i="13" s="1"/>
  <c r="E73" i="11"/>
  <c r="G73" i="11" s="1"/>
  <c r="C73" i="12" s="1"/>
  <c r="E6" i="11"/>
  <c r="G6" i="11" s="1"/>
  <c r="C6" i="12" s="1"/>
  <c r="E147" i="12"/>
  <c r="G147" i="12" s="1"/>
  <c r="C147" i="13" s="1"/>
  <c r="E155" i="12"/>
  <c r="G155" i="12" s="1"/>
  <c r="C155" i="13" s="1"/>
  <c r="E97" i="12"/>
  <c r="G97" i="12" s="1"/>
  <c r="C97" i="13" s="1"/>
  <c r="E159" i="12"/>
  <c r="G159" i="12" s="1"/>
  <c r="C159" i="13" s="1"/>
  <c r="E124" i="12"/>
  <c r="G124" i="12" s="1"/>
  <c r="C124" i="13" s="1"/>
  <c r="E49" i="11"/>
  <c r="G49" i="11" s="1"/>
  <c r="C49" i="12" s="1"/>
  <c r="E167" i="12"/>
  <c r="G167" i="12" s="1"/>
  <c r="C167" i="13" s="1"/>
  <c r="E7" i="11"/>
  <c r="G7" i="11" s="1"/>
  <c r="C7" i="12" s="1"/>
  <c r="E82" i="11"/>
  <c r="G82" i="11" s="1"/>
  <c r="C82" i="12" s="1"/>
  <c r="E8" i="11"/>
  <c r="G8" i="11" s="1"/>
  <c r="C8" i="12" s="1"/>
  <c r="E62" i="11"/>
  <c r="G62" i="11" s="1"/>
  <c r="C62" i="12" s="1"/>
  <c r="E64" i="11"/>
  <c r="G64" i="11" s="1"/>
  <c r="C64" i="12" s="1"/>
  <c r="E89" i="12"/>
  <c r="G89" i="12" s="1"/>
  <c r="C89" i="13" s="1"/>
  <c r="E154" i="12"/>
  <c r="G154" i="12" s="1"/>
  <c r="C154" i="13" s="1"/>
  <c r="E71" i="11"/>
  <c r="G71" i="11" s="1"/>
  <c r="C71" i="12" s="1"/>
  <c r="E171" i="12"/>
  <c r="G171" i="12" s="1"/>
  <c r="C171" i="13" s="1"/>
  <c r="E99" i="12"/>
  <c r="G99" i="12" s="1"/>
  <c r="C99" i="13" s="1"/>
  <c r="E136" i="12"/>
  <c r="G136" i="12" s="1"/>
  <c r="C136" i="13" s="1"/>
  <c r="E143" i="12"/>
  <c r="G143" i="12" s="1"/>
  <c r="C143" i="13" s="1"/>
  <c r="E144" i="12"/>
  <c r="G144" i="12" s="1"/>
  <c r="C144" i="13" s="1"/>
  <c r="E139" i="12"/>
  <c r="G139" i="12" s="1"/>
  <c r="C139" i="13" s="1"/>
  <c r="E170" i="12"/>
  <c r="G170" i="12" s="1"/>
  <c r="C170" i="13" s="1"/>
  <c r="E68" i="11"/>
  <c r="G68" i="11" s="1"/>
  <c r="C68" i="12" s="1"/>
  <c r="E57" i="11"/>
  <c r="G57" i="11" s="1"/>
  <c r="C57" i="12" s="1"/>
  <c r="E192" i="12"/>
  <c r="G192" i="12" s="1"/>
  <c r="C192" i="13" s="1"/>
  <c r="E111" i="12"/>
  <c r="G111" i="12" s="1"/>
  <c r="C111" i="13" s="1"/>
  <c r="E17" i="11"/>
  <c r="G17" i="11" s="1"/>
  <c r="C17" i="12" s="1"/>
  <c r="E67" i="11"/>
  <c r="G67" i="11" s="1"/>
  <c r="C67" i="12" s="1"/>
  <c r="E41" i="11"/>
  <c r="G41" i="11" s="1"/>
  <c r="C41" i="12" s="1"/>
  <c r="E129" i="12"/>
  <c r="G129" i="12" s="1"/>
  <c r="C129" i="13" s="1"/>
  <c r="E182" i="12"/>
  <c r="G182" i="12" s="1"/>
  <c r="C182" i="13" s="1"/>
  <c r="E202" i="12"/>
  <c r="G202" i="12" s="1"/>
  <c r="C202" i="13" s="1"/>
  <c r="E107" i="12"/>
  <c r="G107" i="12" s="1"/>
  <c r="C107" i="13" s="1"/>
  <c r="E165" i="12"/>
  <c r="G165" i="12" s="1"/>
  <c r="C165" i="13" s="1"/>
  <c r="E116" i="12"/>
  <c r="G116" i="12" s="1"/>
  <c r="C116" i="13" s="1"/>
  <c r="E130" i="12"/>
  <c r="G130" i="12" s="1"/>
  <c r="C130" i="13" s="1"/>
  <c r="E158" i="12"/>
  <c r="G158" i="12" s="1"/>
  <c r="C158" i="13" s="1"/>
  <c r="E80" i="11"/>
  <c r="G80" i="11" s="1"/>
  <c r="C80" i="12" s="1"/>
  <c r="E164" i="12"/>
  <c r="G164" i="12" s="1"/>
  <c r="C164" i="13" s="1"/>
  <c r="E100" i="12"/>
  <c r="G100" i="12" s="1"/>
  <c r="C100" i="13" s="1"/>
  <c r="E123" i="12"/>
  <c r="G123" i="12" s="1"/>
  <c r="C123" i="13" s="1"/>
  <c r="E31" i="11"/>
  <c r="G31" i="11" s="1"/>
  <c r="C31" i="12" s="1"/>
  <c r="E161" i="12"/>
  <c r="G161" i="12" s="1"/>
  <c r="C161" i="13" s="1"/>
  <c r="E185" i="12"/>
  <c r="G185" i="12" s="1"/>
  <c r="C185" i="13" s="1"/>
  <c r="E60" i="11"/>
  <c r="G60" i="11" s="1"/>
  <c r="C60" i="12" s="1"/>
  <c r="E13" i="11"/>
  <c r="G13" i="11" s="1"/>
  <c r="C13" i="12" s="1"/>
  <c r="E16" i="11"/>
  <c r="G16" i="11" s="1"/>
  <c r="C16" i="12" s="1"/>
  <c r="E21" i="11"/>
  <c r="G21" i="11" s="1"/>
  <c r="C21" i="12" s="1"/>
  <c r="E150" i="12"/>
  <c r="G150" i="12" s="1"/>
  <c r="C150" i="13" s="1"/>
  <c r="E112" i="12"/>
  <c r="G112" i="12" s="1"/>
  <c r="C112" i="13" s="1"/>
  <c r="E102" i="12"/>
  <c r="G102" i="12" s="1"/>
  <c r="C102" i="13" s="1"/>
  <c r="E91" i="12"/>
  <c r="G91" i="12" s="1"/>
  <c r="C91" i="13" s="1"/>
  <c r="E160" i="12"/>
  <c r="G160" i="12" s="1"/>
  <c r="C160" i="13" s="1"/>
  <c r="E43" i="11"/>
  <c r="G43" i="11" s="1"/>
  <c r="E55" i="11"/>
  <c r="G55" i="11" s="1"/>
  <c r="C55" i="12" s="1"/>
  <c r="E145" i="12"/>
  <c r="G145" i="12" s="1"/>
  <c r="C145" i="13" s="1"/>
  <c r="E128" i="12"/>
  <c r="G128" i="12" s="1"/>
  <c r="C128" i="13" s="1"/>
  <c r="E195" i="12"/>
  <c r="G195" i="12" s="1"/>
  <c r="C195" i="13" s="1"/>
  <c r="E125" i="12"/>
  <c r="G125" i="12" s="1"/>
  <c r="C125" i="13" s="1"/>
  <c r="E59" i="11"/>
  <c r="G59" i="11" s="1"/>
  <c r="C59" i="12" s="1"/>
  <c r="E98" i="12"/>
  <c r="G98" i="12" s="1"/>
  <c r="C98" i="13" s="1"/>
  <c r="E63" i="11"/>
  <c r="G63" i="11" s="1"/>
  <c r="C63" i="12" s="1"/>
  <c r="E24" i="11"/>
  <c r="G24" i="11" s="1"/>
  <c r="C24" i="12" s="1"/>
  <c r="E117" i="12"/>
  <c r="G117" i="12" s="1"/>
  <c r="C117" i="13" s="1"/>
  <c r="E109" i="12"/>
  <c r="G109" i="12" s="1"/>
  <c r="C109" i="13" s="1"/>
  <c r="E137" i="12"/>
  <c r="G137" i="12" s="1"/>
  <c r="C137" i="13" s="1"/>
  <c r="E188" i="12"/>
  <c r="G188" i="12" s="1"/>
  <c r="C188" i="13" s="1"/>
  <c r="E58" i="11"/>
  <c r="G58" i="11" s="1"/>
  <c r="C58" i="12" s="1"/>
  <c r="E48" i="11"/>
  <c r="G48" i="11" s="1"/>
  <c r="E18" i="11"/>
  <c r="G18" i="11" s="1"/>
  <c r="C18" i="12" s="1"/>
  <c r="E52" i="11"/>
  <c r="G52" i="11" s="1"/>
  <c r="C52" i="12" s="1"/>
  <c r="E174" i="12"/>
  <c r="G174" i="12" s="1"/>
  <c r="C174" i="13" s="1"/>
  <c r="E135" i="12"/>
  <c r="G135" i="12" s="1"/>
  <c r="C135" i="13" s="1"/>
  <c r="E110" i="12"/>
  <c r="G110" i="12" s="1"/>
  <c r="C110" i="13" s="1"/>
  <c r="E29" i="11"/>
  <c r="G29" i="11" s="1"/>
  <c r="C29" i="12" s="1"/>
  <c r="E79" i="11"/>
  <c r="G79" i="11" s="1"/>
  <c r="C79" i="12" s="1"/>
  <c r="E54" i="11"/>
  <c r="G54" i="11" s="1"/>
  <c r="C54" i="12" s="1"/>
  <c r="E183" i="12"/>
  <c r="G183" i="12" s="1"/>
  <c r="C183" i="13" s="1"/>
  <c r="E11" i="11"/>
  <c r="G11" i="11" s="1"/>
  <c r="C11" i="12" s="1"/>
  <c r="E42" i="11"/>
  <c r="G42" i="11" s="1"/>
  <c r="C42" i="12" s="1"/>
  <c r="E81" i="11"/>
  <c r="G81" i="11" s="1"/>
  <c r="C81" i="12" s="1"/>
  <c r="E138" i="12"/>
  <c r="G138" i="12" s="1"/>
  <c r="C138" i="13" s="1"/>
  <c r="E190" i="12"/>
  <c r="G190" i="12" s="1"/>
  <c r="C190" i="13" s="1"/>
  <c r="E131" i="12"/>
  <c r="G131" i="12" s="1"/>
  <c r="C131" i="13" s="1"/>
  <c r="E140" i="12"/>
  <c r="G140" i="12" s="1"/>
  <c r="C140" i="13" s="1"/>
  <c r="E178" i="12"/>
  <c r="G178" i="12" s="1"/>
  <c r="C178" i="13" s="1"/>
  <c r="E132" i="12"/>
  <c r="G132" i="12" s="1"/>
  <c r="C132" i="13" s="1"/>
  <c r="E115" i="12"/>
  <c r="G115" i="12" s="1"/>
  <c r="C115" i="13" s="1"/>
  <c r="E92" i="12"/>
  <c r="G92" i="12" s="1"/>
  <c r="C92" i="13" s="1"/>
  <c r="E133" i="12"/>
  <c r="G133" i="12" s="1"/>
  <c r="C133" i="13" s="1"/>
  <c r="E120" i="12"/>
  <c r="G120" i="12" s="1"/>
  <c r="C120" i="13" s="1"/>
  <c r="E53" i="11"/>
  <c r="G53" i="11" s="1"/>
  <c r="C53" i="12" s="1"/>
  <c r="E194" i="12"/>
  <c r="G194" i="12" s="1"/>
  <c r="C194" i="13" s="1"/>
  <c r="E119" i="12"/>
  <c r="G119" i="12" s="1"/>
  <c r="C119" i="13" s="1"/>
  <c r="E87" i="15"/>
  <c r="G87" i="15" s="1"/>
  <c r="C87" i="16" s="1"/>
  <c r="E69" i="14"/>
  <c r="G69" i="14" s="1"/>
  <c r="C69" i="15" s="1"/>
  <c r="E66" i="14"/>
  <c r="G66" i="14" s="1"/>
  <c r="C66" i="15" s="1"/>
  <c r="E196" i="14"/>
  <c r="G196" i="14" s="1"/>
  <c r="C196" i="15" s="1"/>
  <c r="E78" i="12"/>
  <c r="G78" i="12" s="1"/>
  <c r="C78" i="13" s="1"/>
  <c r="E23" i="12"/>
  <c r="G23" i="12" s="1"/>
  <c r="C23" i="13" s="1"/>
  <c r="E86" i="12"/>
  <c r="G86" i="12" s="1"/>
  <c r="C86" i="13" s="1"/>
  <c r="E84" i="12"/>
  <c r="G84" i="12" s="1"/>
  <c r="C84" i="13" s="1"/>
  <c r="E45" i="11"/>
  <c r="G45" i="11" s="1"/>
  <c r="C45" i="12" s="1"/>
  <c r="E177" i="12"/>
  <c r="G177" i="12" s="1"/>
  <c r="C177" i="13" s="1"/>
  <c r="E175" i="12"/>
  <c r="G175" i="12" s="1"/>
  <c r="C175" i="13" s="1"/>
  <c r="E101" i="12"/>
  <c r="G101" i="12" s="1"/>
  <c r="C101" i="13" s="1"/>
  <c r="E162" i="12"/>
  <c r="G162" i="12" s="1"/>
  <c r="C162" i="13" s="1"/>
  <c r="E47" i="11"/>
  <c r="G47" i="11" s="1"/>
  <c r="C47" i="12" s="1"/>
  <c r="E38" i="11"/>
  <c r="G38" i="11" s="1"/>
  <c r="C38" i="12" s="1"/>
  <c r="E37" i="11"/>
  <c r="G37" i="11" s="1"/>
  <c r="C37" i="12" s="1"/>
  <c r="E36" i="11"/>
  <c r="G36" i="11" s="1"/>
  <c r="C36" i="12" s="1"/>
  <c r="E33" i="11"/>
  <c r="G33" i="11" s="1"/>
  <c r="C33" i="12" s="1"/>
  <c r="E28" i="11"/>
  <c r="G28" i="11" s="1"/>
  <c r="C28" i="12" s="1"/>
  <c r="E25" i="11"/>
  <c r="G25" i="11" s="1"/>
  <c r="C25" i="12" s="1"/>
  <c r="E22" i="11"/>
  <c r="G22" i="11" s="1"/>
  <c r="C22" i="12" s="1"/>
  <c r="E5" i="11"/>
  <c r="G5" i="11" s="1"/>
  <c r="C5" i="12" s="1"/>
  <c r="C149" i="12" l="1"/>
  <c r="E149" i="12" s="1"/>
  <c r="G149" i="12" s="1"/>
  <c r="E105" i="12"/>
  <c r="G105" i="12" s="1"/>
  <c r="C105" i="12"/>
  <c r="C85" i="12"/>
  <c r="E85" i="12" s="1"/>
  <c r="G85" i="12" s="1"/>
  <c r="C39" i="12"/>
  <c r="E39" i="12" s="1"/>
  <c r="G39" i="12" s="1"/>
  <c r="E48" i="12"/>
  <c r="G48" i="12" s="1"/>
  <c r="C48" i="12"/>
  <c r="E43" i="12"/>
  <c r="G43" i="12" s="1"/>
  <c r="C43" i="12"/>
  <c r="E195" i="13"/>
  <c r="G195" i="13" s="1"/>
  <c r="C195" i="14" s="1"/>
  <c r="E60" i="12"/>
  <c r="G60" i="12" s="1"/>
  <c r="C60" i="13" s="1"/>
  <c r="E6" i="12"/>
  <c r="G6" i="12" s="1"/>
  <c r="C6" i="13" s="1"/>
  <c r="E72" i="12"/>
  <c r="G72" i="12" s="1"/>
  <c r="C72" i="13" s="1"/>
  <c r="E197" i="13"/>
  <c r="G197" i="13" s="1"/>
  <c r="C197" i="14" s="1"/>
  <c r="E92" i="13"/>
  <c r="G92" i="13" s="1"/>
  <c r="C92" i="14" s="1"/>
  <c r="E79" i="12"/>
  <c r="G79" i="12" s="1"/>
  <c r="C79" i="13" s="1"/>
  <c r="E18" i="12"/>
  <c r="G18" i="12" s="1"/>
  <c r="C18" i="13" s="1"/>
  <c r="E128" i="13"/>
  <c r="G128" i="13" s="1"/>
  <c r="C128" i="14" s="1"/>
  <c r="E185" i="13"/>
  <c r="G185" i="13" s="1"/>
  <c r="C185" i="14" s="1"/>
  <c r="E80" i="12"/>
  <c r="G80" i="12" s="1"/>
  <c r="C80" i="13" s="1"/>
  <c r="E192" i="13"/>
  <c r="G192" i="13" s="1"/>
  <c r="C192" i="14" s="1"/>
  <c r="E64" i="12"/>
  <c r="G64" i="12" s="1"/>
  <c r="C64" i="13" s="1"/>
  <c r="E49" i="12"/>
  <c r="G49" i="12" s="1"/>
  <c r="C49" i="13" s="1"/>
  <c r="E74" i="12"/>
  <c r="G74" i="12" s="1"/>
  <c r="C74" i="13" s="1"/>
  <c r="E75" i="12"/>
  <c r="G75" i="12" s="1"/>
  <c r="C75" i="13" s="1"/>
  <c r="E56" i="12"/>
  <c r="G56" i="12" s="1"/>
  <c r="C56" i="13" s="1"/>
  <c r="E193" i="13"/>
  <c r="G193" i="13" s="1"/>
  <c r="C193" i="14" s="1"/>
  <c r="E113" i="13"/>
  <c r="G113" i="13" s="1"/>
  <c r="C113" i="14" s="1"/>
  <c r="E157" i="13"/>
  <c r="G157" i="13" s="1"/>
  <c r="C157" i="14" s="1"/>
  <c r="E70" i="12"/>
  <c r="G70" i="12" s="1"/>
  <c r="C70" i="13" s="1"/>
  <c r="E57" i="12"/>
  <c r="G57" i="12" s="1"/>
  <c r="C57" i="13" s="1"/>
  <c r="E136" i="13"/>
  <c r="G136" i="13" s="1"/>
  <c r="C136" i="14" s="1"/>
  <c r="E124" i="13"/>
  <c r="G124" i="13" s="1"/>
  <c r="C124" i="14" s="1"/>
  <c r="E146" i="13"/>
  <c r="G146" i="13" s="1"/>
  <c r="C146" i="14" s="1"/>
  <c r="E191" i="13"/>
  <c r="G191" i="13" s="1"/>
  <c r="C191" i="14" s="1"/>
  <c r="E148" i="13"/>
  <c r="G148" i="13" s="1"/>
  <c r="C148" i="14" s="1"/>
  <c r="E201" i="13"/>
  <c r="G201" i="13" s="1"/>
  <c r="C201" i="14" s="1"/>
  <c r="E46" i="12"/>
  <c r="G46" i="12" s="1"/>
  <c r="C46" i="13" s="1"/>
  <c r="E83" i="13"/>
  <c r="G83" i="13" s="1"/>
  <c r="C83" i="14" s="1"/>
  <c r="E26" i="12"/>
  <c r="G26" i="12" s="1"/>
  <c r="C26" i="13" s="1"/>
  <c r="E117" i="13"/>
  <c r="G117" i="13" s="1"/>
  <c r="C117" i="14" s="1"/>
  <c r="E111" i="13"/>
  <c r="G111" i="13" s="1"/>
  <c r="C111" i="14" s="1"/>
  <c r="E20" i="12"/>
  <c r="G20" i="12" s="1"/>
  <c r="C20" i="13" s="1"/>
  <c r="E203" i="13"/>
  <c r="G203" i="13" s="1"/>
  <c r="C203" i="14" s="1"/>
  <c r="E138" i="13"/>
  <c r="G138" i="13" s="1"/>
  <c r="C138" i="14" s="1"/>
  <c r="E145" i="13"/>
  <c r="G145" i="13" s="1"/>
  <c r="C145" i="14" s="1"/>
  <c r="E158" i="13"/>
  <c r="G158" i="13" s="1"/>
  <c r="C158" i="14" s="1"/>
  <c r="E119" i="13"/>
  <c r="G119" i="13" s="1"/>
  <c r="C119" i="14" s="1"/>
  <c r="E81" i="12"/>
  <c r="G81" i="12" s="1"/>
  <c r="C81" i="13" s="1"/>
  <c r="E58" i="12"/>
  <c r="G58" i="12" s="1"/>
  <c r="C58" i="13" s="1"/>
  <c r="E63" i="12"/>
  <c r="G63" i="12" s="1"/>
  <c r="C63" i="13" s="1"/>
  <c r="E150" i="13"/>
  <c r="G150" i="13" s="1"/>
  <c r="C150" i="14" s="1"/>
  <c r="E130" i="13"/>
  <c r="G130" i="13" s="1"/>
  <c r="C130" i="14" s="1"/>
  <c r="E129" i="13"/>
  <c r="G129" i="13" s="1"/>
  <c r="C129" i="14" s="1"/>
  <c r="E99" i="13"/>
  <c r="G99" i="13" s="1"/>
  <c r="C99" i="14" s="1"/>
  <c r="E159" i="13"/>
  <c r="G159" i="13" s="1"/>
  <c r="C159" i="14" s="1"/>
  <c r="E172" i="13"/>
  <c r="G172" i="13" s="1"/>
  <c r="C172" i="14" s="1"/>
  <c r="E27" i="12"/>
  <c r="G27" i="12" s="1"/>
  <c r="C27" i="13" s="1"/>
  <c r="E198" i="13"/>
  <c r="G198" i="13" s="1"/>
  <c r="C198" i="14" s="1"/>
  <c r="E96" i="13"/>
  <c r="G96" i="13" s="1"/>
  <c r="C96" i="14" s="1"/>
  <c r="E142" i="13"/>
  <c r="G142" i="13" s="1"/>
  <c r="C142" i="14" s="1"/>
  <c r="E19" i="12"/>
  <c r="G19" i="12" s="1"/>
  <c r="C19" i="13" s="1"/>
  <c r="E134" i="13"/>
  <c r="G134" i="13" s="1"/>
  <c r="C134" i="14" s="1"/>
  <c r="E112" i="13"/>
  <c r="G112" i="13" s="1"/>
  <c r="C112" i="14" s="1"/>
  <c r="E194" i="13"/>
  <c r="G194" i="13" s="1"/>
  <c r="C194" i="14" s="1"/>
  <c r="E42" i="12"/>
  <c r="G42" i="12" s="1"/>
  <c r="C42" i="13" s="1"/>
  <c r="E110" i="13"/>
  <c r="G110" i="13" s="1"/>
  <c r="C110" i="14" s="1"/>
  <c r="E98" i="13"/>
  <c r="G98" i="13" s="1"/>
  <c r="C98" i="14" s="1"/>
  <c r="E21" i="12"/>
  <c r="G21" i="12" s="1"/>
  <c r="C21" i="13" s="1"/>
  <c r="E31" i="12"/>
  <c r="G31" i="12" s="1"/>
  <c r="C31" i="13" s="1"/>
  <c r="E41" i="12"/>
  <c r="G41" i="12" s="1"/>
  <c r="C41" i="13" s="1"/>
  <c r="E171" i="13"/>
  <c r="G171" i="13" s="1"/>
  <c r="C171" i="14" s="1"/>
  <c r="E8" i="12"/>
  <c r="G8" i="12" s="1"/>
  <c r="C8" i="13" s="1"/>
  <c r="E173" i="13"/>
  <c r="G173" i="13" s="1"/>
  <c r="C173" i="14" s="1"/>
  <c r="E168" i="13"/>
  <c r="G168" i="13" s="1"/>
  <c r="C168" i="14" s="1"/>
  <c r="E32" i="12"/>
  <c r="G32" i="12" s="1"/>
  <c r="C32" i="13" s="1"/>
  <c r="E151" i="13"/>
  <c r="G151" i="13" s="1"/>
  <c r="C151" i="14" s="1"/>
  <c r="E156" i="13"/>
  <c r="G156" i="13" s="1"/>
  <c r="C156" i="14" s="1"/>
  <c r="E200" i="13"/>
  <c r="G200" i="13" s="1"/>
  <c r="C200" i="14" s="1"/>
  <c r="E189" i="13"/>
  <c r="G189" i="13" s="1"/>
  <c r="C189" i="14" s="1"/>
  <c r="E123" i="13"/>
  <c r="G123" i="13" s="1"/>
  <c r="C123" i="14" s="1"/>
  <c r="E67" i="12"/>
  <c r="G67" i="12" s="1"/>
  <c r="C67" i="13" s="1"/>
  <c r="E170" i="13"/>
  <c r="G170" i="13" s="1"/>
  <c r="C170" i="14" s="1"/>
  <c r="E82" i="12"/>
  <c r="G82" i="12" s="1"/>
  <c r="C82" i="13" s="1"/>
  <c r="E30" i="12"/>
  <c r="G30" i="12" s="1"/>
  <c r="C30" i="13" s="1"/>
  <c r="E77" i="12"/>
  <c r="G77" i="12" s="1"/>
  <c r="C77" i="13" s="1"/>
  <c r="E118" i="13"/>
  <c r="G118" i="13" s="1"/>
  <c r="C118" i="14" s="1"/>
  <c r="E61" i="12"/>
  <c r="G61" i="12" s="1"/>
  <c r="C61" i="13" s="1"/>
  <c r="E40" i="12"/>
  <c r="G40" i="12" s="1"/>
  <c r="C40" i="13" s="1"/>
  <c r="E169" i="13"/>
  <c r="G169" i="13" s="1"/>
  <c r="C169" i="14" s="1"/>
  <c r="E180" i="13"/>
  <c r="G180" i="13" s="1"/>
  <c r="C180" i="14" s="1"/>
  <c r="E179" i="13"/>
  <c r="G179" i="13" s="1"/>
  <c r="C179" i="14" s="1"/>
  <c r="E133" i="13"/>
  <c r="G133" i="13" s="1"/>
  <c r="C133" i="14" s="1"/>
  <c r="E202" i="13"/>
  <c r="G202" i="13" s="1"/>
  <c r="C202" i="14" s="1"/>
  <c r="E187" i="13"/>
  <c r="G187" i="13" s="1"/>
  <c r="C187" i="14" s="1"/>
  <c r="E35" i="12"/>
  <c r="G35" i="12" s="1"/>
  <c r="C35" i="13" s="1"/>
  <c r="E178" i="13"/>
  <c r="G178" i="13" s="1"/>
  <c r="C178" i="14" s="1"/>
  <c r="E135" i="13"/>
  <c r="G135" i="13" s="1"/>
  <c r="C135" i="14" s="1"/>
  <c r="E140" i="13"/>
  <c r="G140" i="13" s="1"/>
  <c r="C140" i="14" s="1"/>
  <c r="E174" i="13"/>
  <c r="G174" i="13" s="1"/>
  <c r="C174" i="14" s="1"/>
  <c r="E137" i="13"/>
  <c r="G137" i="13" s="1"/>
  <c r="C137" i="14" s="1"/>
  <c r="E160" i="13"/>
  <c r="G160" i="13" s="1"/>
  <c r="C160" i="14" s="1"/>
  <c r="E100" i="13"/>
  <c r="G100" i="13" s="1"/>
  <c r="C100" i="14" s="1"/>
  <c r="E165" i="13"/>
  <c r="G165" i="13" s="1"/>
  <c r="C165" i="14" s="1"/>
  <c r="E139" i="13"/>
  <c r="G139" i="13" s="1"/>
  <c r="C139" i="14" s="1"/>
  <c r="E7" i="12"/>
  <c r="G7" i="12" s="1"/>
  <c r="C7" i="13" s="1"/>
  <c r="E155" i="13"/>
  <c r="G155" i="13" s="1"/>
  <c r="C155" i="14" s="1"/>
  <c r="E106" i="13"/>
  <c r="G106" i="13" s="1"/>
  <c r="C106" i="14" s="1"/>
  <c r="E114" i="13"/>
  <c r="G114" i="13" s="1"/>
  <c r="C114" i="14" s="1"/>
  <c r="E199" i="13"/>
  <c r="G199" i="13" s="1"/>
  <c r="C199" i="14" s="1"/>
  <c r="E90" i="13"/>
  <c r="G90" i="13" s="1"/>
  <c r="C90" i="14" s="1"/>
  <c r="E51" i="12"/>
  <c r="G51" i="12" s="1"/>
  <c r="C51" i="13" s="1"/>
  <c r="E95" i="13"/>
  <c r="G95" i="13" s="1"/>
  <c r="C95" i="14" s="1"/>
  <c r="E104" i="13"/>
  <c r="G104" i="13" s="1"/>
  <c r="C104" i="14" s="1"/>
  <c r="E54" i="12"/>
  <c r="G54" i="12" s="1"/>
  <c r="C54" i="13" s="1"/>
  <c r="E89" i="13"/>
  <c r="G89" i="13" s="1"/>
  <c r="C89" i="14" s="1"/>
  <c r="E10" i="12"/>
  <c r="G10" i="12" s="1"/>
  <c r="C10" i="13" s="1"/>
  <c r="E115" i="13"/>
  <c r="G115" i="13" s="1"/>
  <c r="C115" i="14" s="1"/>
  <c r="E53" i="12"/>
  <c r="G53" i="12" s="1"/>
  <c r="C53" i="13" s="1"/>
  <c r="E59" i="12"/>
  <c r="G59" i="12" s="1"/>
  <c r="C59" i="13" s="1"/>
  <c r="E131" i="13"/>
  <c r="G131" i="13" s="1"/>
  <c r="C131" i="14" s="1"/>
  <c r="E183" i="13"/>
  <c r="G183" i="13" s="1"/>
  <c r="C183" i="14" s="1"/>
  <c r="E109" i="13"/>
  <c r="G109" i="13" s="1"/>
  <c r="C109" i="14" s="1"/>
  <c r="E91" i="13"/>
  <c r="G91" i="13" s="1"/>
  <c r="C91" i="14" s="1"/>
  <c r="E13" i="12"/>
  <c r="G13" i="12" s="1"/>
  <c r="C13" i="13" s="1"/>
  <c r="E107" i="13"/>
  <c r="G107" i="13" s="1"/>
  <c r="C107" i="14" s="1"/>
  <c r="E144" i="13"/>
  <c r="G144" i="13" s="1"/>
  <c r="C144" i="14" s="1"/>
  <c r="E154" i="13"/>
  <c r="G154" i="13" s="1"/>
  <c r="C154" i="14" s="1"/>
  <c r="E147" i="13"/>
  <c r="G147" i="13" s="1"/>
  <c r="C147" i="14" s="1"/>
  <c r="E9" i="12"/>
  <c r="G9" i="12" s="1"/>
  <c r="C9" i="13" s="1"/>
  <c r="E50" i="12"/>
  <c r="G50" i="12" s="1"/>
  <c r="C50" i="13" s="1"/>
  <c r="E176" i="13"/>
  <c r="G176" i="13" s="1"/>
  <c r="C176" i="14" s="1"/>
  <c r="E122" i="13"/>
  <c r="G122" i="13" s="1"/>
  <c r="C122" i="14" s="1"/>
  <c r="E108" i="13"/>
  <c r="G108" i="13" s="1"/>
  <c r="C108" i="14" s="1"/>
  <c r="E152" i="13"/>
  <c r="G152" i="13" s="1"/>
  <c r="C152" i="14" s="1"/>
  <c r="E153" i="13"/>
  <c r="G153" i="13" s="1"/>
  <c r="C153" i="14" s="1"/>
  <c r="E120" i="13"/>
  <c r="G120" i="13" s="1"/>
  <c r="C120" i="14" s="1"/>
  <c r="E52" i="12"/>
  <c r="G52" i="12" s="1"/>
  <c r="C52" i="13" s="1"/>
  <c r="E102" i="13"/>
  <c r="G102" i="13" s="1"/>
  <c r="C102" i="14" s="1"/>
  <c r="E164" i="13"/>
  <c r="G164" i="13" s="1"/>
  <c r="C164" i="14" s="1"/>
  <c r="E17" i="12"/>
  <c r="G17" i="12" s="1"/>
  <c r="C17" i="13" s="1"/>
  <c r="E68" i="12"/>
  <c r="G68" i="12" s="1"/>
  <c r="C68" i="13" s="1"/>
  <c r="E143" i="13"/>
  <c r="G143" i="13" s="1"/>
  <c r="C143" i="14" s="1"/>
  <c r="E71" i="12"/>
  <c r="G71" i="12" s="1"/>
  <c r="C71" i="13" s="1"/>
  <c r="E62" i="12"/>
  <c r="G62" i="12" s="1"/>
  <c r="C62" i="13" s="1"/>
  <c r="E167" i="13"/>
  <c r="E97" i="13"/>
  <c r="G97" i="13" s="1"/>
  <c r="C97" i="14" s="1"/>
  <c r="E73" i="12"/>
  <c r="G73" i="12" s="1"/>
  <c r="C73" i="13" s="1"/>
  <c r="E103" i="13"/>
  <c r="G103" i="13" s="1"/>
  <c r="C103" i="14" s="1"/>
  <c r="E181" i="13"/>
  <c r="G181" i="13" s="1"/>
  <c r="C181" i="14" s="1"/>
  <c r="E121" i="13"/>
  <c r="G121" i="13" s="1"/>
  <c r="C121" i="14" s="1"/>
  <c r="E14" i="12"/>
  <c r="G14" i="12" s="1"/>
  <c r="C14" i="13" s="1"/>
  <c r="E126" i="13"/>
  <c r="G126" i="13" s="1"/>
  <c r="C126" i="14" s="1"/>
  <c r="E184" i="13"/>
  <c r="G184" i="13" s="1"/>
  <c r="C184" i="14" s="1"/>
  <c r="E186" i="13"/>
  <c r="G186" i="13" s="1"/>
  <c r="C186" i="14" s="1"/>
  <c r="E163" i="13"/>
  <c r="G163" i="13" s="1"/>
  <c r="C163" i="14" s="1"/>
  <c r="E12" i="12"/>
  <c r="G12" i="12" s="1"/>
  <c r="C12" i="13" s="1"/>
  <c r="E15" i="12"/>
  <c r="G15" i="12" s="1"/>
  <c r="C15" i="13" s="1"/>
  <c r="E166" i="13"/>
  <c r="G166" i="13" s="1"/>
  <c r="C166" i="14" s="1"/>
  <c r="E127" i="13"/>
  <c r="G127" i="13" s="1"/>
  <c r="C127" i="14" s="1"/>
  <c r="E44" i="12"/>
  <c r="G44" i="12" s="1"/>
  <c r="C44" i="13" s="1"/>
  <c r="E141" i="13"/>
  <c r="G141" i="13" s="1"/>
  <c r="C141" i="14" s="1"/>
  <c r="E34" i="12"/>
  <c r="G34" i="12" s="1"/>
  <c r="C34" i="13" s="1"/>
  <c r="E94" i="13"/>
  <c r="G94" i="13" s="1"/>
  <c r="C94" i="14" s="1"/>
  <c r="E88" i="13"/>
  <c r="G88" i="13" s="1"/>
  <c r="C88" i="14" s="1"/>
  <c r="E93" i="13"/>
  <c r="G93" i="13" s="1"/>
  <c r="C93" i="14" s="1"/>
  <c r="E29" i="12"/>
  <c r="G29" i="12" s="1"/>
  <c r="C29" i="13" s="1"/>
  <c r="E125" i="13"/>
  <c r="G125" i="13" s="1"/>
  <c r="C125" i="14" s="1"/>
  <c r="E16" i="12"/>
  <c r="G16" i="12" s="1"/>
  <c r="C16" i="13" s="1"/>
  <c r="E11" i="12"/>
  <c r="G11" i="12" s="1"/>
  <c r="C11" i="13" s="1"/>
  <c r="E55" i="12"/>
  <c r="G55" i="12" s="1"/>
  <c r="C55" i="13" s="1"/>
  <c r="E116" i="13"/>
  <c r="G116" i="13" s="1"/>
  <c r="C116" i="14" s="1"/>
  <c r="E132" i="13"/>
  <c r="G132" i="13" s="1"/>
  <c r="C132" i="14" s="1"/>
  <c r="E24" i="12"/>
  <c r="G24" i="12" s="1"/>
  <c r="C24" i="13" s="1"/>
  <c r="E161" i="13"/>
  <c r="G161" i="13" s="1"/>
  <c r="C161" i="14" s="1"/>
  <c r="E190" i="13"/>
  <c r="G190" i="13" s="1"/>
  <c r="C190" i="14" s="1"/>
  <c r="E188" i="13"/>
  <c r="G188" i="13" s="1"/>
  <c r="C188" i="14" s="1"/>
  <c r="E182" i="13"/>
  <c r="G182" i="13" s="1"/>
  <c r="C182" i="14" s="1"/>
  <c r="E76" i="16"/>
  <c r="G76" i="16" s="1"/>
  <c r="C76" i="17" s="1"/>
  <c r="E65" i="16"/>
  <c r="G65" i="16" s="1"/>
  <c r="C65" i="17" s="1"/>
  <c r="E87" i="16"/>
  <c r="G87" i="16" s="1"/>
  <c r="C87" i="17" s="1"/>
  <c r="E69" i="15"/>
  <c r="G69" i="15" s="1"/>
  <c r="C69" i="16" s="1"/>
  <c r="E66" i="15"/>
  <c r="G66" i="15" s="1"/>
  <c r="C66" i="16" s="1"/>
  <c r="E196" i="15"/>
  <c r="G196" i="15" s="1"/>
  <c r="C196" i="16" s="1"/>
  <c r="E78" i="13"/>
  <c r="G78" i="13" s="1"/>
  <c r="C78" i="14" s="1"/>
  <c r="E23" i="13"/>
  <c r="G23" i="13" s="1"/>
  <c r="C23" i="14" s="1"/>
  <c r="E86" i="13"/>
  <c r="G86" i="13" s="1"/>
  <c r="C86" i="14" s="1"/>
  <c r="E84" i="13"/>
  <c r="G84" i="13" s="1"/>
  <c r="C84" i="14" s="1"/>
  <c r="E45" i="12"/>
  <c r="G45" i="12" s="1"/>
  <c r="C45" i="13" s="1"/>
  <c r="E177" i="13"/>
  <c r="G177" i="13" s="1"/>
  <c r="C177" i="14" s="1"/>
  <c r="E175" i="13"/>
  <c r="G175" i="13" s="1"/>
  <c r="C175" i="14" s="1"/>
  <c r="E101" i="13"/>
  <c r="G101" i="13" s="1"/>
  <c r="C101" i="14" s="1"/>
  <c r="E162" i="13"/>
  <c r="G162" i="13" s="1"/>
  <c r="C162" i="14" s="1"/>
  <c r="E47" i="12"/>
  <c r="G47" i="12" s="1"/>
  <c r="C47" i="13" s="1"/>
  <c r="E38" i="12"/>
  <c r="G38" i="12" s="1"/>
  <c r="C38" i="13" s="1"/>
  <c r="E37" i="12"/>
  <c r="G37" i="12" s="1"/>
  <c r="C37" i="13" s="1"/>
  <c r="E36" i="12"/>
  <c r="G36" i="12" s="1"/>
  <c r="C36" i="13" s="1"/>
  <c r="E33" i="12"/>
  <c r="G33" i="12" s="1"/>
  <c r="C33" i="13" s="1"/>
  <c r="E28" i="12"/>
  <c r="G28" i="12" s="1"/>
  <c r="C28" i="13" s="1"/>
  <c r="E25" i="12"/>
  <c r="G25" i="12" s="1"/>
  <c r="C25" i="13" s="1"/>
  <c r="E22" i="12"/>
  <c r="G22" i="12" s="1"/>
  <c r="C22" i="13" s="1"/>
  <c r="E5" i="12"/>
  <c r="G5" i="12" s="1"/>
  <c r="C5" i="13" s="1"/>
  <c r="C149" i="13" l="1"/>
  <c r="E149" i="13" s="1"/>
  <c r="C43" i="13"/>
  <c r="E43" i="13" s="1"/>
  <c r="C48" i="13"/>
  <c r="E48" i="13" s="1"/>
  <c r="C39" i="13"/>
  <c r="E39" i="13" s="1"/>
  <c r="G39" i="13" s="1"/>
  <c r="C39" i="14" s="1"/>
  <c r="E39" i="14" s="1"/>
  <c r="G39" i="14" s="1"/>
  <c r="C39" i="15" s="1"/>
  <c r="E39" i="15" s="1"/>
  <c r="G39" i="15" s="1"/>
  <c r="C39" i="16" s="1"/>
  <c r="E39" i="16" s="1"/>
  <c r="G39" i="16" s="1"/>
  <c r="C39" i="17" s="1"/>
  <c r="E39" i="17" s="1"/>
  <c r="G39" i="17" s="1"/>
  <c r="C39" i="18" s="1"/>
  <c r="E39" i="18" s="1"/>
  <c r="G39" i="18" s="1"/>
  <c r="C39" i="19" s="1"/>
  <c r="C85" i="13"/>
  <c r="E85" i="13" s="1"/>
  <c r="E105" i="13"/>
  <c r="C105" i="13"/>
  <c r="G167" i="13"/>
  <c r="C167" i="14" s="1"/>
  <c r="E167" i="14" s="1"/>
  <c r="G167" i="14" s="1"/>
  <c r="E190" i="14"/>
  <c r="G190" i="14" s="1"/>
  <c r="C190" i="15" s="1"/>
  <c r="E11" i="13"/>
  <c r="G11" i="13" s="1"/>
  <c r="C11" i="14" s="1"/>
  <c r="E12" i="13"/>
  <c r="G12" i="13" s="1"/>
  <c r="C12" i="14" s="1"/>
  <c r="E71" i="13"/>
  <c r="G71" i="13" s="1"/>
  <c r="C71" i="14" s="1"/>
  <c r="E52" i="13"/>
  <c r="G52" i="13" s="1"/>
  <c r="C52" i="14" s="1"/>
  <c r="E13" i="13"/>
  <c r="G13" i="13" s="1"/>
  <c r="C13" i="14" s="1"/>
  <c r="E51" i="13"/>
  <c r="G51" i="13" s="1"/>
  <c r="C51" i="14" s="1"/>
  <c r="E7" i="13"/>
  <c r="G7" i="13" s="1"/>
  <c r="C7" i="14" s="1"/>
  <c r="E133" i="14"/>
  <c r="G133" i="14" s="1"/>
  <c r="C133" i="15" s="1"/>
  <c r="E189" i="14"/>
  <c r="G189" i="14" s="1"/>
  <c r="C189" i="15" s="1"/>
  <c r="E173" i="14"/>
  <c r="G173" i="14" s="1"/>
  <c r="C173" i="15" s="1"/>
  <c r="E142" i="14"/>
  <c r="G142" i="14" s="1"/>
  <c r="C142" i="15" s="1"/>
  <c r="E119" i="14"/>
  <c r="G119" i="14" s="1"/>
  <c r="C119" i="15" s="1"/>
  <c r="E111" i="14"/>
  <c r="G111" i="14" s="1"/>
  <c r="C111" i="15" s="1"/>
  <c r="E157" i="14"/>
  <c r="G157" i="14" s="1"/>
  <c r="C157" i="15" s="1"/>
  <c r="E79" i="13"/>
  <c r="G79" i="13" s="1"/>
  <c r="C79" i="14" s="1"/>
  <c r="E16" i="13"/>
  <c r="G16" i="13" s="1"/>
  <c r="C16" i="14" s="1"/>
  <c r="E163" i="14"/>
  <c r="G163" i="14" s="1"/>
  <c r="C163" i="15" s="1"/>
  <c r="E181" i="14"/>
  <c r="G181" i="14" s="1"/>
  <c r="C181" i="15" s="1"/>
  <c r="E120" i="14"/>
  <c r="G120" i="14" s="1"/>
  <c r="C120" i="15" s="1"/>
  <c r="E91" i="14"/>
  <c r="G91" i="14" s="1"/>
  <c r="C91" i="15" s="1"/>
  <c r="E115" i="14"/>
  <c r="G115" i="14" s="1"/>
  <c r="C115" i="15" s="1"/>
  <c r="E139" i="14"/>
  <c r="G139" i="14" s="1"/>
  <c r="C139" i="15" s="1"/>
  <c r="E179" i="14"/>
  <c r="G179" i="14" s="1"/>
  <c r="C179" i="15" s="1"/>
  <c r="E77" i="13"/>
  <c r="G77" i="13" s="1"/>
  <c r="C77" i="14" s="1"/>
  <c r="E8" i="13"/>
  <c r="G8" i="13" s="1"/>
  <c r="C8" i="14" s="1"/>
  <c r="E96" i="14"/>
  <c r="G96" i="14" s="1"/>
  <c r="C96" i="15" s="1"/>
  <c r="E129" i="14"/>
  <c r="G129" i="14" s="1"/>
  <c r="C129" i="15" s="1"/>
  <c r="E117" i="14"/>
  <c r="G117" i="14" s="1"/>
  <c r="C117" i="15" s="1"/>
  <c r="E113" i="14"/>
  <c r="G113" i="14" s="1"/>
  <c r="C113" i="15" s="1"/>
  <c r="E64" i="13"/>
  <c r="G64" i="13" s="1"/>
  <c r="C64" i="14" s="1"/>
  <c r="E182" i="14"/>
  <c r="G182" i="14" s="1"/>
  <c r="C182" i="15" s="1"/>
  <c r="E125" i="14"/>
  <c r="G125" i="14" s="1"/>
  <c r="C125" i="15" s="1"/>
  <c r="E141" i="14"/>
  <c r="G141" i="14" s="1"/>
  <c r="C141" i="15" s="1"/>
  <c r="E103" i="14"/>
  <c r="G103" i="14" s="1"/>
  <c r="C103" i="15" s="1"/>
  <c r="E153" i="14"/>
  <c r="G153" i="14" s="1"/>
  <c r="C153" i="15" s="1"/>
  <c r="E9" i="13"/>
  <c r="G9" i="13" s="1"/>
  <c r="C9" i="14" s="1"/>
  <c r="E10" i="13"/>
  <c r="G10" i="13" s="1"/>
  <c r="C10" i="14" s="1"/>
  <c r="E165" i="14"/>
  <c r="G165" i="14" s="1"/>
  <c r="C165" i="15" s="1"/>
  <c r="E135" i="14"/>
  <c r="G135" i="14" s="1"/>
  <c r="C135" i="15" s="1"/>
  <c r="E30" i="13"/>
  <c r="G30" i="13" s="1"/>
  <c r="C30" i="14" s="1"/>
  <c r="E171" i="14"/>
  <c r="G171" i="14" s="1"/>
  <c r="C171" i="15" s="1"/>
  <c r="E42" i="13"/>
  <c r="G42" i="13" s="1"/>
  <c r="C42" i="14" s="1"/>
  <c r="E130" i="14"/>
  <c r="G130" i="14" s="1"/>
  <c r="C130" i="15" s="1"/>
  <c r="E26" i="13"/>
  <c r="G26" i="13" s="1"/>
  <c r="C26" i="14" s="1"/>
  <c r="E146" i="14"/>
  <c r="G146" i="14" s="1"/>
  <c r="C146" i="15" s="1"/>
  <c r="E192" i="14"/>
  <c r="G192" i="14" s="1"/>
  <c r="C192" i="15" s="1"/>
  <c r="E24" i="13"/>
  <c r="G24" i="13" s="1"/>
  <c r="C24" i="14" s="1"/>
  <c r="E44" i="13"/>
  <c r="G44" i="13" s="1"/>
  <c r="C44" i="14" s="1"/>
  <c r="E73" i="13"/>
  <c r="G73" i="13" s="1"/>
  <c r="C73" i="14" s="1"/>
  <c r="E68" i="13"/>
  <c r="G68" i="13" s="1"/>
  <c r="C68" i="14" s="1"/>
  <c r="E147" i="14"/>
  <c r="G147" i="14" s="1"/>
  <c r="C147" i="15" s="1"/>
  <c r="E89" i="14"/>
  <c r="G89" i="14" s="1"/>
  <c r="C89" i="15" s="1"/>
  <c r="E199" i="14"/>
  <c r="G199" i="14" s="1"/>
  <c r="C199" i="15" s="1"/>
  <c r="E178" i="14"/>
  <c r="G178" i="14" s="1"/>
  <c r="C178" i="15" s="1"/>
  <c r="E82" i="13"/>
  <c r="G82" i="13" s="1"/>
  <c r="C82" i="14" s="1"/>
  <c r="E156" i="14"/>
  <c r="G156" i="14" s="1"/>
  <c r="C156" i="15" s="1"/>
  <c r="E194" i="14"/>
  <c r="G194" i="14" s="1"/>
  <c r="C194" i="15" s="1"/>
  <c r="E150" i="14"/>
  <c r="G150" i="14" s="1"/>
  <c r="C150" i="15" s="1"/>
  <c r="E145" i="14"/>
  <c r="G145" i="14" s="1"/>
  <c r="C145" i="15" s="1"/>
  <c r="E124" i="14"/>
  <c r="G124" i="14" s="1"/>
  <c r="C124" i="15" s="1"/>
  <c r="E80" i="13"/>
  <c r="G80" i="13" s="1"/>
  <c r="C80" i="14" s="1"/>
  <c r="E197" i="14"/>
  <c r="G197" i="14" s="1"/>
  <c r="C197" i="15" s="1"/>
  <c r="E132" i="14"/>
  <c r="G132" i="14" s="1"/>
  <c r="C132" i="15" s="1"/>
  <c r="E127" i="14"/>
  <c r="G127" i="14" s="1"/>
  <c r="C127" i="15" s="1"/>
  <c r="E184" i="14"/>
  <c r="G184" i="14" s="1"/>
  <c r="C184" i="15" s="1"/>
  <c r="E17" i="13"/>
  <c r="G17" i="13" s="1"/>
  <c r="C17" i="14" s="1"/>
  <c r="E154" i="14"/>
  <c r="G154" i="14" s="1"/>
  <c r="C154" i="15" s="1"/>
  <c r="E183" i="14"/>
  <c r="G183" i="14" s="1"/>
  <c r="C183" i="15" s="1"/>
  <c r="E114" i="14"/>
  <c r="G114" i="14" s="1"/>
  <c r="C114" i="15" s="1"/>
  <c r="E35" i="13"/>
  <c r="G35" i="13" s="1"/>
  <c r="C35" i="14" s="1"/>
  <c r="E169" i="14"/>
  <c r="G169" i="14" s="1"/>
  <c r="C169" i="15" s="1"/>
  <c r="E151" i="14"/>
  <c r="G151" i="14" s="1"/>
  <c r="C151" i="15" s="1"/>
  <c r="E112" i="14"/>
  <c r="G112" i="14" s="1"/>
  <c r="C112" i="15" s="1"/>
  <c r="E27" i="13"/>
  <c r="G27" i="13" s="1"/>
  <c r="C27" i="14" s="1"/>
  <c r="E138" i="14"/>
  <c r="G138" i="14" s="1"/>
  <c r="C138" i="15" s="1"/>
  <c r="E136" i="14"/>
  <c r="G136" i="14" s="1"/>
  <c r="C136" i="15" s="1"/>
  <c r="E56" i="13"/>
  <c r="G56" i="13" s="1"/>
  <c r="C56" i="14" s="1"/>
  <c r="E72" i="13"/>
  <c r="G72" i="13" s="1"/>
  <c r="C72" i="14" s="1"/>
  <c r="E116" i="14"/>
  <c r="G116" i="14" s="1"/>
  <c r="C116" i="15" s="1"/>
  <c r="E93" i="14"/>
  <c r="G93" i="14" s="1"/>
  <c r="C93" i="15" s="1"/>
  <c r="E126" i="14"/>
  <c r="G126" i="14" s="1"/>
  <c r="C126" i="15" s="1"/>
  <c r="E164" i="14"/>
  <c r="G164" i="14" s="1"/>
  <c r="C164" i="15" s="1"/>
  <c r="E108" i="14"/>
  <c r="G108" i="14" s="1"/>
  <c r="C108" i="15" s="1"/>
  <c r="E131" i="14"/>
  <c r="G131" i="14" s="1"/>
  <c r="C131" i="15" s="1"/>
  <c r="E106" i="14"/>
  <c r="G106" i="14" s="1"/>
  <c r="C106" i="15" s="1"/>
  <c r="E160" i="14"/>
  <c r="G160" i="14" s="1"/>
  <c r="C160" i="15" s="1"/>
  <c r="E40" i="13"/>
  <c r="G40" i="13" s="1"/>
  <c r="C40" i="14" s="1"/>
  <c r="E32" i="13"/>
  <c r="G32" i="13" s="1"/>
  <c r="C32" i="14" s="1"/>
  <c r="E31" i="13"/>
  <c r="G31" i="13" s="1"/>
  <c r="C31" i="14" s="1"/>
  <c r="E172" i="14"/>
  <c r="G172" i="14" s="1"/>
  <c r="C172" i="15" s="1"/>
  <c r="E203" i="14"/>
  <c r="G203" i="14" s="1"/>
  <c r="C203" i="15" s="1"/>
  <c r="E46" i="13"/>
  <c r="G46" i="13" s="1"/>
  <c r="C46" i="14" s="1"/>
  <c r="E75" i="13"/>
  <c r="G75" i="13" s="1"/>
  <c r="C75" i="14" s="1"/>
  <c r="E6" i="13"/>
  <c r="G6" i="13" s="1"/>
  <c r="C6" i="14" s="1"/>
  <c r="E122" i="14"/>
  <c r="G122" i="14" s="1"/>
  <c r="C122" i="15" s="1"/>
  <c r="E59" i="13"/>
  <c r="G59" i="13" s="1"/>
  <c r="C59" i="14" s="1"/>
  <c r="E104" i="14"/>
  <c r="G104" i="14" s="1"/>
  <c r="C104" i="15" s="1"/>
  <c r="E137" i="14"/>
  <c r="G137" i="14" s="1"/>
  <c r="C137" i="15" s="1"/>
  <c r="E61" i="13"/>
  <c r="G61" i="13" s="1"/>
  <c r="C61" i="14" s="1"/>
  <c r="E67" i="13"/>
  <c r="G67" i="13" s="1"/>
  <c r="C67" i="14" s="1"/>
  <c r="E21" i="13"/>
  <c r="G21" i="13" s="1"/>
  <c r="C21" i="14" s="1"/>
  <c r="E159" i="14"/>
  <c r="G159" i="14" s="1"/>
  <c r="C159" i="15" s="1"/>
  <c r="E58" i="13"/>
  <c r="G58" i="13" s="1"/>
  <c r="C58" i="14" s="1"/>
  <c r="E201" i="14"/>
  <c r="G201" i="14" s="1"/>
  <c r="C201" i="15" s="1"/>
  <c r="E74" i="13"/>
  <c r="G74" i="13" s="1"/>
  <c r="C74" i="14" s="1"/>
  <c r="E128" i="14"/>
  <c r="G128" i="14" s="1"/>
  <c r="C128" i="15" s="1"/>
  <c r="E60" i="13"/>
  <c r="G60" i="13" s="1"/>
  <c r="C60" i="14" s="1"/>
  <c r="E88" i="14"/>
  <c r="G88" i="14" s="1"/>
  <c r="C88" i="15" s="1"/>
  <c r="E14" i="13"/>
  <c r="G14" i="13" s="1"/>
  <c r="C14" i="14" s="1"/>
  <c r="E188" i="14"/>
  <c r="G188" i="14" s="1"/>
  <c r="C188" i="15" s="1"/>
  <c r="E94" i="14"/>
  <c r="G94" i="14" s="1"/>
  <c r="C94" i="15" s="1"/>
  <c r="E15" i="13"/>
  <c r="G15" i="13" s="1"/>
  <c r="C15" i="14" s="1"/>
  <c r="E62" i="13"/>
  <c r="G62" i="13" s="1"/>
  <c r="C62" i="14" s="1"/>
  <c r="E176" i="14"/>
  <c r="G176" i="14" s="1"/>
  <c r="C176" i="15" s="1"/>
  <c r="E107" i="14"/>
  <c r="G107" i="14" s="1"/>
  <c r="C107" i="15" s="1"/>
  <c r="E95" i="14"/>
  <c r="G95" i="14" s="1"/>
  <c r="C95" i="15" s="1"/>
  <c r="E174" i="14"/>
  <c r="G174" i="14" s="1"/>
  <c r="C174" i="15" s="1"/>
  <c r="E202" i="14"/>
  <c r="G202" i="14" s="1"/>
  <c r="C202" i="15" s="1"/>
  <c r="E123" i="14"/>
  <c r="G123" i="14" s="1"/>
  <c r="C123" i="15" s="1"/>
  <c r="E98" i="14"/>
  <c r="G98" i="14" s="1"/>
  <c r="C98" i="15" s="1"/>
  <c r="E19" i="13"/>
  <c r="G19" i="13" s="1"/>
  <c r="C19" i="14" s="1"/>
  <c r="E81" i="13"/>
  <c r="G81" i="13" s="1"/>
  <c r="C81" i="14" s="1"/>
  <c r="E148" i="14"/>
  <c r="G148" i="14" s="1"/>
  <c r="C148" i="15" s="1"/>
  <c r="E70" i="13"/>
  <c r="G70" i="13" s="1"/>
  <c r="C70" i="14" s="1"/>
  <c r="E18" i="13"/>
  <c r="G18" i="13" s="1"/>
  <c r="C18" i="14" s="1"/>
  <c r="E195" i="14"/>
  <c r="G195" i="14" s="1"/>
  <c r="C195" i="15" s="1"/>
  <c r="E161" i="14"/>
  <c r="G161" i="14" s="1"/>
  <c r="C161" i="15" s="1"/>
  <c r="E34" i="13"/>
  <c r="G34" i="13" s="1"/>
  <c r="C34" i="14" s="1"/>
  <c r="E186" i="14"/>
  <c r="G186" i="14" s="1"/>
  <c r="C186" i="15" s="1"/>
  <c r="E143" i="14"/>
  <c r="G143" i="14" s="1"/>
  <c r="C143" i="15" s="1"/>
  <c r="E152" i="14"/>
  <c r="G152" i="14" s="1"/>
  <c r="C152" i="15" s="1"/>
  <c r="E144" i="14"/>
  <c r="G144" i="14" s="1"/>
  <c r="C144" i="15" s="1"/>
  <c r="E53" i="13"/>
  <c r="G53" i="13" s="1"/>
  <c r="C53" i="14" s="1"/>
  <c r="E54" i="13"/>
  <c r="G54" i="13" s="1"/>
  <c r="C54" i="14" s="1"/>
  <c r="E90" i="14"/>
  <c r="G90" i="14" s="1"/>
  <c r="C90" i="15" s="1"/>
  <c r="E155" i="14"/>
  <c r="G155" i="14" s="1"/>
  <c r="C155" i="15" s="1"/>
  <c r="E100" i="14"/>
  <c r="G100" i="14" s="1"/>
  <c r="C100" i="15" s="1"/>
  <c r="E140" i="14"/>
  <c r="G140" i="14" s="1"/>
  <c r="C140" i="15" s="1"/>
  <c r="E187" i="14"/>
  <c r="G187" i="14" s="1"/>
  <c r="C187" i="15" s="1"/>
  <c r="E180" i="14"/>
  <c r="G180" i="14" s="1"/>
  <c r="C180" i="15" s="1"/>
  <c r="E118" i="14"/>
  <c r="G118" i="14" s="1"/>
  <c r="C118" i="15" s="1"/>
  <c r="E170" i="14"/>
  <c r="G170" i="14" s="1"/>
  <c r="C170" i="15" s="1"/>
  <c r="E200" i="14"/>
  <c r="G200" i="14" s="1"/>
  <c r="C200" i="15" s="1"/>
  <c r="E168" i="14"/>
  <c r="G168" i="14" s="1"/>
  <c r="C168" i="15" s="1"/>
  <c r="E41" i="13"/>
  <c r="G41" i="13" s="1"/>
  <c r="C41" i="14" s="1"/>
  <c r="E110" i="14"/>
  <c r="G110" i="14" s="1"/>
  <c r="C110" i="15" s="1"/>
  <c r="E134" i="14"/>
  <c r="G134" i="14" s="1"/>
  <c r="C134" i="15" s="1"/>
  <c r="E198" i="14"/>
  <c r="G198" i="14" s="1"/>
  <c r="C198" i="15" s="1"/>
  <c r="E99" i="14"/>
  <c r="G99" i="14" s="1"/>
  <c r="C99" i="15" s="1"/>
  <c r="E63" i="13"/>
  <c r="G63" i="13" s="1"/>
  <c r="C63" i="14" s="1"/>
  <c r="E158" i="14"/>
  <c r="G158" i="14" s="1"/>
  <c r="C158" i="15" s="1"/>
  <c r="E20" i="13"/>
  <c r="G20" i="13" s="1"/>
  <c r="C20" i="14" s="1"/>
  <c r="E83" i="14"/>
  <c r="G83" i="14" s="1"/>
  <c r="C83" i="15" s="1"/>
  <c r="E191" i="14"/>
  <c r="G191" i="14" s="1"/>
  <c r="C191" i="15" s="1"/>
  <c r="E57" i="13"/>
  <c r="G57" i="13" s="1"/>
  <c r="C57" i="14" s="1"/>
  <c r="E193" i="14"/>
  <c r="G193" i="14" s="1"/>
  <c r="C193" i="15" s="1"/>
  <c r="E49" i="13"/>
  <c r="G49" i="13" s="1"/>
  <c r="C49" i="14" s="1"/>
  <c r="E185" i="14"/>
  <c r="G185" i="14" s="1"/>
  <c r="C185" i="15" s="1"/>
  <c r="E92" i="14"/>
  <c r="G92" i="14" s="1"/>
  <c r="C92" i="15" s="1"/>
  <c r="E29" i="13"/>
  <c r="G29" i="13" s="1"/>
  <c r="C29" i="14" s="1"/>
  <c r="E166" i="14"/>
  <c r="G166" i="14" s="1"/>
  <c r="C166" i="15" s="1"/>
  <c r="E97" i="14"/>
  <c r="G97" i="14" s="1"/>
  <c r="C97" i="15" s="1"/>
  <c r="E102" i="14"/>
  <c r="G102" i="14" s="1"/>
  <c r="C102" i="15" s="1"/>
  <c r="E109" i="14"/>
  <c r="G109" i="14" s="1"/>
  <c r="C109" i="15" s="1"/>
  <c r="E55" i="13"/>
  <c r="G55" i="13" s="1"/>
  <c r="C55" i="14" s="1"/>
  <c r="E121" i="14"/>
  <c r="G121" i="14" s="1"/>
  <c r="C121" i="15" s="1"/>
  <c r="E50" i="13"/>
  <c r="G50" i="13" s="1"/>
  <c r="C50" i="14" s="1"/>
  <c r="E76" i="17"/>
  <c r="G76" i="17" s="1"/>
  <c r="C76" i="18" s="1"/>
  <c r="E65" i="17"/>
  <c r="G65" i="17" s="1"/>
  <c r="C65" i="18" s="1"/>
  <c r="E87" i="17"/>
  <c r="G87" i="17" s="1"/>
  <c r="C87" i="18" s="1"/>
  <c r="E69" i="16"/>
  <c r="G69" i="16" s="1"/>
  <c r="C69" i="17" s="1"/>
  <c r="E66" i="16"/>
  <c r="G66" i="16" s="1"/>
  <c r="C66" i="17" s="1"/>
  <c r="E196" i="16"/>
  <c r="G196" i="16" s="1"/>
  <c r="C196" i="17" s="1"/>
  <c r="E78" i="14"/>
  <c r="G78" i="14" s="1"/>
  <c r="C78" i="15" s="1"/>
  <c r="E23" i="14"/>
  <c r="G23" i="14" s="1"/>
  <c r="C23" i="15" s="1"/>
  <c r="E86" i="14"/>
  <c r="G86" i="14" s="1"/>
  <c r="C86" i="15" s="1"/>
  <c r="E84" i="14"/>
  <c r="G84" i="14" s="1"/>
  <c r="C84" i="15" s="1"/>
  <c r="E45" i="13"/>
  <c r="G45" i="13" s="1"/>
  <c r="C45" i="14" s="1"/>
  <c r="E177" i="14"/>
  <c r="G177" i="14" s="1"/>
  <c r="C177" i="15" s="1"/>
  <c r="E175" i="14"/>
  <c r="G175" i="14" s="1"/>
  <c r="C175" i="15" s="1"/>
  <c r="E101" i="14"/>
  <c r="G101" i="14" s="1"/>
  <c r="C101" i="15" s="1"/>
  <c r="E162" i="14"/>
  <c r="G162" i="14" s="1"/>
  <c r="C162" i="15" s="1"/>
  <c r="E47" i="13"/>
  <c r="G47" i="13" s="1"/>
  <c r="C47" i="14" s="1"/>
  <c r="E38" i="13"/>
  <c r="G38" i="13" s="1"/>
  <c r="C38" i="14" s="1"/>
  <c r="E37" i="13"/>
  <c r="G37" i="13" s="1"/>
  <c r="C37" i="14" s="1"/>
  <c r="E36" i="13"/>
  <c r="G36" i="13" s="1"/>
  <c r="C36" i="14" s="1"/>
  <c r="E33" i="13"/>
  <c r="G33" i="13" s="1"/>
  <c r="C33" i="14" s="1"/>
  <c r="E28" i="13"/>
  <c r="G28" i="13" s="1"/>
  <c r="C28" i="14" s="1"/>
  <c r="E25" i="13"/>
  <c r="G25" i="13" s="1"/>
  <c r="C25" i="14" s="1"/>
  <c r="E22" i="13"/>
  <c r="G22" i="13" s="1"/>
  <c r="C22" i="14" s="1"/>
  <c r="E5" i="13"/>
  <c r="G5" i="13" s="1"/>
  <c r="C5" i="14" s="1"/>
  <c r="C167" i="15" l="1"/>
  <c r="E167" i="15" s="1"/>
  <c r="G167" i="15" s="1"/>
  <c r="E48" i="14"/>
  <c r="G48" i="14" s="1"/>
  <c r="G48" i="13"/>
  <c r="C48" i="14" s="1"/>
  <c r="G43" i="13"/>
  <c r="C43" i="14" s="1"/>
  <c r="E43" i="14" s="1"/>
  <c r="G43" i="14" s="1"/>
  <c r="G149" i="13"/>
  <c r="C149" i="14" s="1"/>
  <c r="E149" i="14" s="1"/>
  <c r="G149" i="14" s="1"/>
  <c r="C149" i="15" s="1"/>
  <c r="E149" i="15" s="1"/>
  <c r="G149" i="15" s="1"/>
  <c r="C149" i="16" s="1"/>
  <c r="E149" i="16" s="1"/>
  <c r="G149" i="16" s="1"/>
  <c r="C149" i="17" s="1"/>
  <c r="E149" i="17" s="1"/>
  <c r="G149" i="17" s="1"/>
  <c r="C149" i="18" s="1"/>
  <c r="E149" i="18" s="1"/>
  <c r="G149" i="18" s="1"/>
  <c r="C149" i="19" s="1"/>
  <c r="E149" i="19" s="1"/>
  <c r="G149" i="19" s="1"/>
  <c r="C149" i="20" s="1"/>
  <c r="E149" i="20" s="1"/>
  <c r="G149" i="20" s="1"/>
  <c r="C149" i="21" s="1"/>
  <c r="G105" i="13"/>
  <c r="C105" i="14" s="1"/>
  <c r="E105" i="14" s="1"/>
  <c r="G105" i="14" s="1"/>
  <c r="G85" i="13"/>
  <c r="C85" i="14" s="1"/>
  <c r="E85" i="14" s="1"/>
  <c r="G85" i="14" s="1"/>
  <c r="E121" i="15"/>
  <c r="G121" i="15" s="1"/>
  <c r="C121" i="16" s="1"/>
  <c r="E83" i="15"/>
  <c r="G83" i="15" s="1"/>
  <c r="C83" i="16" s="1"/>
  <c r="E180" i="15"/>
  <c r="G180" i="15" s="1"/>
  <c r="C180" i="16" s="1"/>
  <c r="E54" i="14"/>
  <c r="G54" i="14" s="1"/>
  <c r="C54" i="15" s="1"/>
  <c r="E19" i="14"/>
  <c r="G19" i="14" s="1"/>
  <c r="C19" i="15" s="1"/>
  <c r="E88" i="15"/>
  <c r="G88" i="15" s="1"/>
  <c r="C88" i="16" s="1"/>
  <c r="E159" i="15"/>
  <c r="G159" i="15" s="1"/>
  <c r="C159" i="16" s="1"/>
  <c r="E31" i="14"/>
  <c r="G31" i="14" s="1"/>
  <c r="C31" i="15" s="1"/>
  <c r="E136" i="15"/>
  <c r="G136" i="15" s="1"/>
  <c r="C136" i="16" s="1"/>
  <c r="E35" i="14"/>
  <c r="G35" i="14" s="1"/>
  <c r="C35" i="15" s="1"/>
  <c r="E194" i="15"/>
  <c r="G194" i="15" s="1"/>
  <c r="C194" i="16" s="1"/>
  <c r="E26" i="14"/>
  <c r="G26" i="14" s="1"/>
  <c r="C26" i="15" s="1"/>
  <c r="E165" i="15"/>
  <c r="G165" i="15" s="1"/>
  <c r="C165" i="16" s="1"/>
  <c r="E8" i="14"/>
  <c r="G8" i="14" s="1"/>
  <c r="C8" i="15" s="1"/>
  <c r="E119" i="15"/>
  <c r="G119" i="15" s="1"/>
  <c r="C119" i="16" s="1"/>
  <c r="E51" i="14"/>
  <c r="G51" i="14" s="1"/>
  <c r="C51" i="15" s="1"/>
  <c r="E110" i="15"/>
  <c r="G110" i="15" s="1"/>
  <c r="C110" i="16" s="1"/>
  <c r="E53" i="14"/>
  <c r="G53" i="14" s="1"/>
  <c r="C53" i="15" s="1"/>
  <c r="E98" i="15"/>
  <c r="G98" i="15" s="1"/>
  <c r="C98" i="16" s="1"/>
  <c r="E176" i="15"/>
  <c r="G176" i="15" s="1"/>
  <c r="C176" i="16" s="1"/>
  <c r="E21" i="14"/>
  <c r="G21" i="14" s="1"/>
  <c r="C21" i="15" s="1"/>
  <c r="E32" i="14"/>
  <c r="G32" i="14" s="1"/>
  <c r="C32" i="15" s="1"/>
  <c r="E164" i="15"/>
  <c r="G164" i="15" s="1"/>
  <c r="C164" i="16" s="1"/>
  <c r="E114" i="15"/>
  <c r="G114" i="15" s="1"/>
  <c r="C114" i="16" s="1"/>
  <c r="E156" i="15"/>
  <c r="G156" i="15" s="1"/>
  <c r="C156" i="16" s="1"/>
  <c r="E68" i="14"/>
  <c r="G68" i="14" s="1"/>
  <c r="C68" i="15" s="1"/>
  <c r="E10" i="14"/>
  <c r="G10" i="14" s="1"/>
  <c r="C10" i="15" s="1"/>
  <c r="E77" i="14"/>
  <c r="G77" i="14" s="1"/>
  <c r="C77" i="15" s="1"/>
  <c r="E181" i="15"/>
  <c r="G181" i="15" s="1"/>
  <c r="C181" i="16" s="1"/>
  <c r="E13" i="14"/>
  <c r="G13" i="14" s="1"/>
  <c r="C13" i="15" s="1"/>
  <c r="E109" i="15"/>
  <c r="G109" i="15" s="1"/>
  <c r="C109" i="16" s="1"/>
  <c r="E185" i="15"/>
  <c r="G185" i="15" s="1"/>
  <c r="C185" i="16" s="1"/>
  <c r="E41" i="14"/>
  <c r="G41" i="14" s="1"/>
  <c r="E144" i="15"/>
  <c r="G144" i="15" s="1"/>
  <c r="C144" i="16" s="1"/>
  <c r="E195" i="15"/>
  <c r="G195" i="15" s="1"/>
  <c r="C195" i="16" s="1"/>
  <c r="E62" i="14"/>
  <c r="G62" i="14" s="1"/>
  <c r="C62" i="15" s="1"/>
  <c r="E67" i="14"/>
  <c r="G67" i="14" s="1"/>
  <c r="C67" i="15" s="1"/>
  <c r="E6" i="14"/>
  <c r="G6" i="14" s="1"/>
  <c r="C6" i="15" s="1"/>
  <c r="E126" i="15"/>
  <c r="G126" i="15" s="1"/>
  <c r="C126" i="16" s="1"/>
  <c r="E183" i="15"/>
  <c r="G183" i="15" s="1"/>
  <c r="C183" i="16" s="1"/>
  <c r="E197" i="15"/>
  <c r="G197" i="15" s="1"/>
  <c r="C197" i="16" s="1"/>
  <c r="E73" i="14"/>
  <c r="G73" i="14" s="1"/>
  <c r="C73" i="15" s="1"/>
  <c r="E9" i="14"/>
  <c r="G9" i="14" s="1"/>
  <c r="C9" i="15" s="1"/>
  <c r="E64" i="14"/>
  <c r="G64" i="14" s="1"/>
  <c r="C64" i="15" s="1"/>
  <c r="E163" i="15"/>
  <c r="G163" i="15" s="1"/>
  <c r="C163" i="16" s="1"/>
  <c r="E52" i="14"/>
  <c r="G52" i="14" s="1"/>
  <c r="C52" i="15" s="1"/>
  <c r="E20" i="14"/>
  <c r="G20" i="14" s="1"/>
  <c r="C20" i="15" s="1"/>
  <c r="E49" i="14"/>
  <c r="G49" i="14" s="1"/>
  <c r="C49" i="15" s="1"/>
  <c r="E168" i="15"/>
  <c r="G168" i="15" s="1"/>
  <c r="C168" i="16" s="1"/>
  <c r="E140" i="15"/>
  <c r="G140" i="15" s="1"/>
  <c r="C140" i="16" s="1"/>
  <c r="E18" i="14"/>
  <c r="G18" i="14" s="1"/>
  <c r="C18" i="15" s="1"/>
  <c r="E15" i="14"/>
  <c r="G15" i="14" s="1"/>
  <c r="C15" i="15" s="1"/>
  <c r="E128" i="15"/>
  <c r="G128" i="15" s="1"/>
  <c r="C128" i="16" s="1"/>
  <c r="E75" i="14"/>
  <c r="G75" i="14" s="1"/>
  <c r="C75" i="15" s="1"/>
  <c r="E93" i="15"/>
  <c r="G93" i="15" s="1"/>
  <c r="C93" i="16" s="1"/>
  <c r="E27" i="14"/>
  <c r="G27" i="14" s="1"/>
  <c r="C27" i="15" s="1"/>
  <c r="E80" i="14"/>
  <c r="G80" i="14" s="1"/>
  <c r="C80" i="15" s="1"/>
  <c r="E44" i="14"/>
  <c r="G44" i="14" s="1"/>
  <c r="C44" i="15" s="1"/>
  <c r="E42" i="14"/>
  <c r="G42" i="14" s="1"/>
  <c r="C42" i="15" s="1"/>
  <c r="E113" i="15"/>
  <c r="G113" i="15" s="1"/>
  <c r="C113" i="16" s="1"/>
  <c r="E16" i="14"/>
  <c r="G16" i="14" s="1"/>
  <c r="C16" i="15" s="1"/>
  <c r="E173" i="15"/>
  <c r="G173" i="15" s="1"/>
  <c r="C173" i="16" s="1"/>
  <c r="E193" i="15"/>
  <c r="G193" i="15" s="1"/>
  <c r="C193" i="16" s="1"/>
  <c r="E63" i="14"/>
  <c r="G63" i="14" s="1"/>
  <c r="C63" i="15" s="1"/>
  <c r="E100" i="15"/>
  <c r="G100" i="15" s="1"/>
  <c r="C100" i="16" s="1"/>
  <c r="E70" i="14"/>
  <c r="G70" i="14" s="1"/>
  <c r="C70" i="15" s="1"/>
  <c r="E202" i="15"/>
  <c r="G202" i="15" s="1"/>
  <c r="C202" i="16" s="1"/>
  <c r="E74" i="14"/>
  <c r="G74" i="14" s="1"/>
  <c r="C74" i="15" s="1"/>
  <c r="E46" i="14"/>
  <c r="G46" i="14" s="1"/>
  <c r="C46" i="15" s="1"/>
  <c r="E160" i="15"/>
  <c r="G160" i="15" s="1"/>
  <c r="C160" i="16" s="1"/>
  <c r="E112" i="15"/>
  <c r="G112" i="15" s="1"/>
  <c r="C112" i="16" s="1"/>
  <c r="E124" i="15"/>
  <c r="G124" i="15" s="1"/>
  <c r="C124" i="16" s="1"/>
  <c r="E178" i="15"/>
  <c r="G178" i="15" s="1"/>
  <c r="C178" i="16" s="1"/>
  <c r="E171" i="15"/>
  <c r="G171" i="15" s="1"/>
  <c r="C171" i="16" s="1"/>
  <c r="E117" i="15"/>
  <c r="G117" i="15" s="1"/>
  <c r="C117" i="16" s="1"/>
  <c r="E139" i="15"/>
  <c r="G139" i="15" s="1"/>
  <c r="C139" i="16" s="1"/>
  <c r="E189" i="15"/>
  <c r="G189" i="15" s="1"/>
  <c r="C189" i="16" s="1"/>
  <c r="E97" i="15"/>
  <c r="G97" i="15" s="1"/>
  <c r="C97" i="16" s="1"/>
  <c r="E99" i="15"/>
  <c r="G99" i="15" s="1"/>
  <c r="C99" i="16" s="1"/>
  <c r="E155" i="15"/>
  <c r="G155" i="15" s="1"/>
  <c r="C155" i="16" s="1"/>
  <c r="E143" i="15"/>
  <c r="G143" i="15" s="1"/>
  <c r="C143" i="16" s="1"/>
  <c r="E174" i="15"/>
  <c r="G174" i="15" s="1"/>
  <c r="C174" i="16" s="1"/>
  <c r="E201" i="15"/>
  <c r="G201" i="15" s="1"/>
  <c r="C201" i="16" s="1"/>
  <c r="E137" i="15"/>
  <c r="G137" i="15" s="1"/>
  <c r="C137" i="16" s="1"/>
  <c r="E106" i="15"/>
  <c r="G106" i="15" s="1"/>
  <c r="C106" i="16" s="1"/>
  <c r="E151" i="15"/>
  <c r="G151" i="15" s="1"/>
  <c r="C151" i="16" s="1"/>
  <c r="E17" i="14"/>
  <c r="G17" i="14" s="1"/>
  <c r="C17" i="15" s="1"/>
  <c r="E199" i="15"/>
  <c r="G199" i="15" s="1"/>
  <c r="C199" i="16" s="1"/>
  <c r="E30" i="14"/>
  <c r="G30" i="14" s="1"/>
  <c r="C30" i="15" s="1"/>
  <c r="E103" i="15"/>
  <c r="G103" i="15" s="1"/>
  <c r="C103" i="16" s="1"/>
  <c r="E115" i="15"/>
  <c r="G115" i="15" s="1"/>
  <c r="C115" i="16" s="1"/>
  <c r="E133" i="15"/>
  <c r="G133" i="15" s="1"/>
  <c r="C133" i="16" s="1"/>
  <c r="E12" i="14"/>
  <c r="G12" i="14" s="1"/>
  <c r="C12" i="15" s="1"/>
  <c r="E55" i="14"/>
  <c r="G55" i="14" s="1"/>
  <c r="C55" i="15" s="1"/>
  <c r="E166" i="15"/>
  <c r="G166" i="15" s="1"/>
  <c r="C166" i="16" s="1"/>
  <c r="E198" i="15"/>
  <c r="G198" i="15" s="1"/>
  <c r="C198" i="16" s="1"/>
  <c r="E170" i="15"/>
  <c r="G170" i="15" s="1"/>
  <c r="C170" i="16" s="1"/>
  <c r="E186" i="15"/>
  <c r="G186" i="15" s="1"/>
  <c r="C186" i="16" s="1"/>
  <c r="E95" i="15"/>
  <c r="G95" i="15" s="1"/>
  <c r="C95" i="16" s="1"/>
  <c r="E188" i="15"/>
  <c r="G188" i="15" s="1"/>
  <c r="C188" i="16" s="1"/>
  <c r="E104" i="15"/>
  <c r="G104" i="15" s="1"/>
  <c r="C104" i="16" s="1"/>
  <c r="E131" i="15"/>
  <c r="G131" i="15" s="1"/>
  <c r="C131" i="16" s="1"/>
  <c r="E72" i="14"/>
  <c r="G72" i="14" s="1"/>
  <c r="C72" i="15" s="1"/>
  <c r="E184" i="15"/>
  <c r="G184" i="15" s="1"/>
  <c r="C184" i="16" s="1"/>
  <c r="E89" i="15"/>
  <c r="G89" i="15" s="1"/>
  <c r="C89" i="16" s="1"/>
  <c r="E192" i="15"/>
  <c r="G192" i="15" s="1"/>
  <c r="C192" i="16" s="1"/>
  <c r="E141" i="15"/>
  <c r="G141" i="15" s="1"/>
  <c r="C141" i="16" s="1"/>
  <c r="E91" i="15"/>
  <c r="G91" i="15" s="1"/>
  <c r="C91" i="16" s="1"/>
  <c r="E157" i="15"/>
  <c r="G157" i="15" s="1"/>
  <c r="C157" i="16" s="1"/>
  <c r="E11" i="14"/>
  <c r="G11" i="14" s="1"/>
  <c r="C11" i="15" s="1"/>
  <c r="E29" i="14"/>
  <c r="G29" i="14" s="1"/>
  <c r="C29" i="15" s="1"/>
  <c r="E191" i="15"/>
  <c r="G191" i="15" s="1"/>
  <c r="C191" i="16" s="1"/>
  <c r="E118" i="15"/>
  <c r="G118" i="15" s="1"/>
  <c r="C118" i="16" s="1"/>
  <c r="E34" i="14"/>
  <c r="G34" i="14" s="1"/>
  <c r="C34" i="15" s="1"/>
  <c r="E81" i="14"/>
  <c r="G81" i="14" s="1"/>
  <c r="C81" i="15" s="1"/>
  <c r="E14" i="14"/>
  <c r="G14" i="14" s="1"/>
  <c r="C14" i="15" s="1"/>
  <c r="E59" i="14"/>
  <c r="G59" i="14" s="1"/>
  <c r="C59" i="15" s="1"/>
  <c r="E172" i="15"/>
  <c r="G172" i="15" s="1"/>
  <c r="C172" i="16" s="1"/>
  <c r="E56" i="14"/>
  <c r="G56" i="14" s="1"/>
  <c r="E127" i="15"/>
  <c r="G127" i="15" s="1"/>
  <c r="C127" i="16" s="1"/>
  <c r="E150" i="15"/>
  <c r="G150" i="15" s="1"/>
  <c r="C150" i="16" s="1"/>
  <c r="E146" i="15"/>
  <c r="G146" i="15" s="1"/>
  <c r="C146" i="16" s="1"/>
  <c r="E125" i="15"/>
  <c r="G125" i="15" s="1"/>
  <c r="C125" i="16" s="1"/>
  <c r="E96" i="15"/>
  <c r="G96" i="15" s="1"/>
  <c r="C96" i="16" s="1"/>
  <c r="E111" i="15"/>
  <c r="G111" i="15" s="1"/>
  <c r="C111" i="16" s="1"/>
  <c r="E190" i="15"/>
  <c r="G190" i="15" s="1"/>
  <c r="C190" i="16" s="1"/>
  <c r="E200" i="15"/>
  <c r="G200" i="15" s="1"/>
  <c r="C200" i="16" s="1"/>
  <c r="E148" i="15"/>
  <c r="G148" i="15" s="1"/>
  <c r="C148" i="16" s="1"/>
  <c r="E158" i="15"/>
  <c r="G158" i="15" s="1"/>
  <c r="C158" i="16" s="1"/>
  <c r="E161" i="15"/>
  <c r="G161" i="15" s="1"/>
  <c r="C161" i="16" s="1"/>
  <c r="E60" i="14"/>
  <c r="G60" i="14" s="1"/>
  <c r="C60" i="15" s="1"/>
  <c r="E61" i="14"/>
  <c r="G61" i="14" s="1"/>
  <c r="C61" i="15" s="1"/>
  <c r="E122" i="15"/>
  <c r="G122" i="15" s="1"/>
  <c r="C122" i="16" s="1"/>
  <c r="E203" i="15"/>
  <c r="G203" i="15" s="1"/>
  <c r="C203" i="16" s="1"/>
  <c r="E40" i="14"/>
  <c r="G40" i="14" s="1"/>
  <c r="C40" i="15" s="1"/>
  <c r="E108" i="15"/>
  <c r="G108" i="15" s="1"/>
  <c r="C108" i="16" s="1"/>
  <c r="E116" i="15"/>
  <c r="G116" i="15" s="1"/>
  <c r="C116" i="16" s="1"/>
  <c r="E138" i="15"/>
  <c r="G138" i="15" s="1"/>
  <c r="C138" i="16" s="1"/>
  <c r="E169" i="15"/>
  <c r="G169" i="15" s="1"/>
  <c r="C169" i="16" s="1"/>
  <c r="E154" i="15"/>
  <c r="G154" i="15" s="1"/>
  <c r="C154" i="16" s="1"/>
  <c r="E132" i="15"/>
  <c r="G132" i="15" s="1"/>
  <c r="C132" i="16" s="1"/>
  <c r="E145" i="15"/>
  <c r="G145" i="15" s="1"/>
  <c r="C145" i="16" s="1"/>
  <c r="E82" i="14"/>
  <c r="G82" i="14" s="1"/>
  <c r="C82" i="15" s="1"/>
  <c r="E147" i="15"/>
  <c r="G147" i="15" s="1"/>
  <c r="C147" i="16" s="1"/>
  <c r="E24" i="14"/>
  <c r="G24" i="14" s="1"/>
  <c r="C24" i="15" s="1"/>
  <c r="E130" i="15"/>
  <c r="G130" i="15" s="1"/>
  <c r="C130" i="16" s="1"/>
  <c r="E135" i="15"/>
  <c r="G135" i="15" s="1"/>
  <c r="C135" i="16" s="1"/>
  <c r="E153" i="15"/>
  <c r="G153" i="15" s="1"/>
  <c r="C153" i="16" s="1"/>
  <c r="E182" i="15"/>
  <c r="G182" i="15" s="1"/>
  <c r="C182" i="16" s="1"/>
  <c r="E129" i="15"/>
  <c r="G129" i="15" s="1"/>
  <c r="C129" i="16" s="1"/>
  <c r="E179" i="15"/>
  <c r="G179" i="15" s="1"/>
  <c r="C179" i="16" s="1"/>
  <c r="E120" i="15"/>
  <c r="G120" i="15" s="1"/>
  <c r="E79" i="14"/>
  <c r="G79" i="14" s="1"/>
  <c r="C79" i="15" s="1"/>
  <c r="E142" i="15"/>
  <c r="G142" i="15" s="1"/>
  <c r="C142" i="16" s="1"/>
  <c r="E7" i="14"/>
  <c r="G7" i="14" s="1"/>
  <c r="C7" i="15" s="1"/>
  <c r="E71" i="14"/>
  <c r="G71" i="14" s="1"/>
  <c r="C71" i="15" s="1"/>
  <c r="E187" i="15"/>
  <c r="G187" i="15" s="1"/>
  <c r="C187" i="16" s="1"/>
  <c r="E58" i="14"/>
  <c r="G58" i="14" s="1"/>
  <c r="C58" i="15" s="1"/>
  <c r="E102" i="15"/>
  <c r="G102" i="15" s="1"/>
  <c r="C102" i="16" s="1"/>
  <c r="E94" i="15"/>
  <c r="G94" i="15" s="1"/>
  <c r="C94" i="16" s="1"/>
  <c r="E92" i="15"/>
  <c r="G92" i="15" s="1"/>
  <c r="C92" i="16" s="1"/>
  <c r="E107" i="15"/>
  <c r="G107" i="15" s="1"/>
  <c r="C107" i="16" s="1"/>
  <c r="E50" i="14"/>
  <c r="G50" i="14" s="1"/>
  <c r="C50" i="15" s="1"/>
  <c r="E152" i="15"/>
  <c r="G152" i="15" s="1"/>
  <c r="C152" i="16" s="1"/>
  <c r="E134" i="15"/>
  <c r="G134" i="15" s="1"/>
  <c r="C134" i="16" s="1"/>
  <c r="E90" i="15"/>
  <c r="G90" i="15" s="1"/>
  <c r="C90" i="16" s="1"/>
  <c r="E57" i="14"/>
  <c r="G57" i="14" s="1"/>
  <c r="C57" i="15" s="1"/>
  <c r="E123" i="15"/>
  <c r="G123" i="15" s="1"/>
  <c r="C123" i="16" s="1"/>
  <c r="E39" i="19"/>
  <c r="G39" i="19" s="1"/>
  <c r="C39" i="20" s="1"/>
  <c r="E76" i="18"/>
  <c r="G76" i="18" s="1"/>
  <c r="C76" i="19" s="1"/>
  <c r="E65" i="18"/>
  <c r="G65" i="18" s="1"/>
  <c r="C65" i="19" s="1"/>
  <c r="E87" i="18"/>
  <c r="G87" i="18" s="1"/>
  <c r="C87" i="19" s="1"/>
  <c r="E69" i="17"/>
  <c r="G69" i="17" s="1"/>
  <c r="C69" i="18" s="1"/>
  <c r="E66" i="17"/>
  <c r="G66" i="17" s="1"/>
  <c r="C66" i="18" s="1"/>
  <c r="E196" i="17"/>
  <c r="G196" i="17" s="1"/>
  <c r="C196" i="18" s="1"/>
  <c r="E78" i="15"/>
  <c r="G78" i="15" s="1"/>
  <c r="C78" i="16" s="1"/>
  <c r="E23" i="15"/>
  <c r="G23" i="15" s="1"/>
  <c r="C23" i="16" s="1"/>
  <c r="E86" i="15"/>
  <c r="G86" i="15" s="1"/>
  <c r="C86" i="16" s="1"/>
  <c r="E84" i="15"/>
  <c r="G84" i="15" s="1"/>
  <c r="C84" i="16" s="1"/>
  <c r="E45" i="14"/>
  <c r="G45" i="14" s="1"/>
  <c r="C45" i="15" s="1"/>
  <c r="E177" i="15"/>
  <c r="G177" i="15" s="1"/>
  <c r="C177" i="16" s="1"/>
  <c r="E175" i="15"/>
  <c r="G175" i="15" s="1"/>
  <c r="C175" i="16" s="1"/>
  <c r="E101" i="15"/>
  <c r="G101" i="15" s="1"/>
  <c r="C101" i="16" s="1"/>
  <c r="E162" i="15"/>
  <c r="G162" i="15" s="1"/>
  <c r="C162" i="16" s="1"/>
  <c r="E47" i="14"/>
  <c r="G47" i="14" s="1"/>
  <c r="C47" i="15" s="1"/>
  <c r="E38" i="14"/>
  <c r="G38" i="14" s="1"/>
  <c r="C38" i="15" s="1"/>
  <c r="E37" i="14"/>
  <c r="G37" i="14" s="1"/>
  <c r="C37" i="15" s="1"/>
  <c r="E36" i="14"/>
  <c r="G36" i="14" s="1"/>
  <c r="C36" i="15" s="1"/>
  <c r="E33" i="14"/>
  <c r="G33" i="14" s="1"/>
  <c r="C33" i="15" s="1"/>
  <c r="E28" i="14"/>
  <c r="G28" i="14" s="1"/>
  <c r="C28" i="15" s="1"/>
  <c r="E25" i="14"/>
  <c r="G25" i="14" s="1"/>
  <c r="C25" i="15" s="1"/>
  <c r="E22" i="14"/>
  <c r="G22" i="14" s="1"/>
  <c r="C22" i="15" s="1"/>
  <c r="E5" i="14"/>
  <c r="G5" i="14" s="1"/>
  <c r="C5" i="15" s="1"/>
  <c r="C85" i="15" l="1"/>
  <c r="E85" i="15" s="1"/>
  <c r="G85" i="15" s="1"/>
  <c r="C85" i="16" s="1"/>
  <c r="E85" i="16" s="1"/>
  <c r="G85" i="16" s="1"/>
  <c r="C85" i="17" s="1"/>
  <c r="E85" i="17" s="1"/>
  <c r="G85" i="17" s="1"/>
  <c r="C85" i="18" s="1"/>
  <c r="E85" i="18" s="1"/>
  <c r="G85" i="18" s="1"/>
  <c r="C85" i="19" s="1"/>
  <c r="E85" i="19" s="1"/>
  <c r="G85" i="19" s="1"/>
  <c r="C85" i="20" s="1"/>
  <c r="E85" i="20" s="1"/>
  <c r="G85" i="20" s="1"/>
  <c r="C85" i="21" s="1"/>
  <c r="E85" i="21" s="1"/>
  <c r="G85" i="21" s="1"/>
  <c r="C85" i="32" s="1"/>
  <c r="C105" i="15"/>
  <c r="E105" i="15" s="1"/>
  <c r="G105" i="15" s="1"/>
  <c r="C105" i="16" s="1"/>
  <c r="E105" i="16" s="1"/>
  <c r="G105" i="16" s="1"/>
  <c r="C105" i="17" s="1"/>
  <c r="E105" i="17" s="1"/>
  <c r="G105" i="17" s="1"/>
  <c r="C105" i="18" s="1"/>
  <c r="E105" i="18" s="1"/>
  <c r="G105" i="18" s="1"/>
  <c r="C105" i="19" s="1"/>
  <c r="E105" i="19" s="1"/>
  <c r="G105" i="19" s="1"/>
  <c r="C105" i="20" s="1"/>
  <c r="E105" i="20" s="1"/>
  <c r="G105" i="20" s="1"/>
  <c r="C105" i="21" s="1"/>
  <c r="E105" i="21" s="1"/>
  <c r="G105" i="21" s="1"/>
  <c r="C105" i="32" s="1"/>
  <c r="C43" i="15"/>
  <c r="E43" i="15" s="1"/>
  <c r="G43" i="15" s="1"/>
  <c r="C167" i="16"/>
  <c r="E167" i="16" s="1"/>
  <c r="G167" i="16" s="1"/>
  <c r="C120" i="16"/>
  <c r="E120" i="16" s="1"/>
  <c r="G120" i="16" s="1"/>
  <c r="C48" i="15"/>
  <c r="E48" i="15" s="1"/>
  <c r="G48" i="15" s="1"/>
  <c r="E57" i="15"/>
  <c r="G57" i="15" s="1"/>
  <c r="C57" i="16" s="1"/>
  <c r="E142" i="16"/>
  <c r="G142" i="16" s="1"/>
  <c r="C142" i="17" s="1"/>
  <c r="E132" i="16"/>
  <c r="G132" i="16" s="1"/>
  <c r="C132" i="17" s="1"/>
  <c r="E40" i="15"/>
  <c r="G40" i="15" s="1"/>
  <c r="C40" i="16" s="1"/>
  <c r="E146" i="16"/>
  <c r="G146" i="16" s="1"/>
  <c r="C146" i="17" s="1"/>
  <c r="E157" i="16"/>
  <c r="G157" i="16" s="1"/>
  <c r="C157" i="17" s="1"/>
  <c r="E72" i="15"/>
  <c r="G72" i="15" s="1"/>
  <c r="C72" i="16" s="1"/>
  <c r="E103" i="16"/>
  <c r="G103" i="16" s="1"/>
  <c r="C103" i="17" s="1"/>
  <c r="E189" i="16"/>
  <c r="G189" i="16" s="1"/>
  <c r="C189" i="17" s="1"/>
  <c r="E112" i="16"/>
  <c r="G112" i="16" s="1"/>
  <c r="C112" i="17" s="1"/>
  <c r="E44" i="15"/>
  <c r="G44" i="15" s="1"/>
  <c r="C44" i="16" s="1"/>
  <c r="E163" i="16"/>
  <c r="G163" i="16" s="1"/>
  <c r="C163" i="17" s="1"/>
  <c r="E126" i="16"/>
  <c r="G126" i="16" s="1"/>
  <c r="C126" i="17" s="1"/>
  <c r="E68" i="15"/>
  <c r="G68" i="15" s="1"/>
  <c r="C68" i="16" s="1"/>
  <c r="E165" i="16"/>
  <c r="G165" i="16" s="1"/>
  <c r="C165" i="17" s="1"/>
  <c r="E159" i="16"/>
  <c r="G159" i="16" s="1"/>
  <c r="C159" i="17" s="1"/>
  <c r="E79" i="15"/>
  <c r="G79" i="15" s="1"/>
  <c r="C79" i="16" s="1"/>
  <c r="E135" i="16"/>
  <c r="G135" i="16" s="1"/>
  <c r="C135" i="17" s="1"/>
  <c r="E203" i="16"/>
  <c r="G203" i="16" s="1"/>
  <c r="C203" i="17" s="1"/>
  <c r="E150" i="16"/>
  <c r="G150" i="16" s="1"/>
  <c r="C150" i="17" s="1"/>
  <c r="E81" i="15"/>
  <c r="G81" i="15" s="1"/>
  <c r="C81" i="16" s="1"/>
  <c r="E131" i="16"/>
  <c r="G131" i="16" s="1"/>
  <c r="C131" i="17" s="1"/>
  <c r="E30" i="15"/>
  <c r="G30" i="15" s="1"/>
  <c r="C30" i="16" s="1"/>
  <c r="E201" i="16"/>
  <c r="G201" i="16" s="1"/>
  <c r="C201" i="17" s="1"/>
  <c r="E160" i="16"/>
  <c r="G160" i="16" s="1"/>
  <c r="C160" i="17" s="1"/>
  <c r="E80" i="15"/>
  <c r="G80" i="15" s="1"/>
  <c r="C80" i="16" s="1"/>
  <c r="E18" i="15"/>
  <c r="G18" i="15" s="1"/>
  <c r="E6" i="15"/>
  <c r="G6" i="15" s="1"/>
  <c r="C6" i="16" s="1"/>
  <c r="E156" i="16"/>
  <c r="G156" i="16" s="1"/>
  <c r="C156" i="17" s="1"/>
  <c r="E98" i="16"/>
  <c r="G98" i="16" s="1"/>
  <c r="C98" i="17" s="1"/>
  <c r="E88" i="16"/>
  <c r="G88" i="16" s="1"/>
  <c r="C88" i="17" s="1"/>
  <c r="E102" i="16"/>
  <c r="G102" i="16" s="1"/>
  <c r="C102" i="17" s="1"/>
  <c r="E130" i="16"/>
  <c r="G130" i="16" s="1"/>
  <c r="C130" i="17" s="1"/>
  <c r="E122" i="16"/>
  <c r="G122" i="16" s="1"/>
  <c r="C122" i="17" s="1"/>
  <c r="E200" i="16"/>
  <c r="G200" i="16" s="1"/>
  <c r="C200" i="17" s="1"/>
  <c r="E34" i="15"/>
  <c r="G34" i="15" s="1"/>
  <c r="C34" i="16" s="1"/>
  <c r="E104" i="16"/>
  <c r="G104" i="16" s="1"/>
  <c r="C104" i="17" s="1"/>
  <c r="E166" i="16"/>
  <c r="G166" i="16" s="1"/>
  <c r="C166" i="17" s="1"/>
  <c r="E174" i="16"/>
  <c r="G174" i="16" s="1"/>
  <c r="C174" i="17" s="1"/>
  <c r="E46" i="15"/>
  <c r="G46" i="15" s="1"/>
  <c r="C46" i="16" s="1"/>
  <c r="E193" i="16"/>
  <c r="G193" i="16" s="1"/>
  <c r="C193" i="17" s="1"/>
  <c r="E140" i="16"/>
  <c r="G140" i="16" s="1"/>
  <c r="C140" i="17" s="1"/>
  <c r="E67" i="15"/>
  <c r="G67" i="15" s="1"/>
  <c r="C67" i="16" s="1"/>
  <c r="E109" i="16"/>
  <c r="G109" i="16" s="1"/>
  <c r="C109" i="17" s="1"/>
  <c r="E53" i="15"/>
  <c r="G53" i="15" s="1"/>
  <c r="C53" i="16" s="1"/>
  <c r="E19" i="15"/>
  <c r="G19" i="15" s="1"/>
  <c r="C19" i="16" s="1"/>
  <c r="E134" i="16"/>
  <c r="G134" i="16" s="1"/>
  <c r="C134" i="17" s="1"/>
  <c r="E58" i="15"/>
  <c r="G58" i="15" s="1"/>
  <c r="C58" i="16" s="1"/>
  <c r="E24" i="15"/>
  <c r="G24" i="15" s="1"/>
  <c r="C24" i="16" s="1"/>
  <c r="E169" i="16"/>
  <c r="G169" i="16" s="1"/>
  <c r="C169" i="17" s="1"/>
  <c r="E190" i="16"/>
  <c r="G190" i="16" s="1"/>
  <c r="C190" i="17" s="1"/>
  <c r="E118" i="16"/>
  <c r="G118" i="16" s="1"/>
  <c r="C118" i="17" s="1"/>
  <c r="E141" i="16"/>
  <c r="G141" i="16" s="1"/>
  <c r="C141" i="17" s="1"/>
  <c r="E55" i="15"/>
  <c r="G55" i="15" s="1"/>
  <c r="C55" i="16" s="1"/>
  <c r="E143" i="16"/>
  <c r="G143" i="16" s="1"/>
  <c r="C143" i="17" s="1"/>
  <c r="E117" i="16"/>
  <c r="G117" i="16" s="1"/>
  <c r="C117" i="17" s="1"/>
  <c r="E173" i="16"/>
  <c r="G173" i="16" s="1"/>
  <c r="C173" i="17" s="1"/>
  <c r="E168" i="16"/>
  <c r="G168" i="16" s="1"/>
  <c r="C168" i="17" s="1"/>
  <c r="E9" i="15"/>
  <c r="G9" i="15" s="1"/>
  <c r="C9" i="16" s="1"/>
  <c r="E13" i="15"/>
  <c r="G13" i="15" s="1"/>
  <c r="C13" i="16" s="1"/>
  <c r="E110" i="16"/>
  <c r="G110" i="16" s="1"/>
  <c r="C110" i="17" s="1"/>
  <c r="E194" i="16"/>
  <c r="G194" i="16" s="1"/>
  <c r="C194" i="17" s="1"/>
  <c r="E187" i="16"/>
  <c r="G187" i="16" s="1"/>
  <c r="C187" i="17" s="1"/>
  <c r="E179" i="16"/>
  <c r="G179" i="16" s="1"/>
  <c r="C179" i="17" s="1"/>
  <c r="E138" i="16"/>
  <c r="G138" i="16" s="1"/>
  <c r="C138" i="17" s="1"/>
  <c r="E111" i="16"/>
  <c r="G111" i="16" s="1"/>
  <c r="C111" i="17" s="1"/>
  <c r="E56" i="15"/>
  <c r="G56" i="15" s="1"/>
  <c r="C56" i="16" s="1"/>
  <c r="E192" i="16"/>
  <c r="G192" i="16" s="1"/>
  <c r="C192" i="17" s="1"/>
  <c r="E12" i="15"/>
  <c r="G12" i="15" s="1"/>
  <c r="C12" i="16" s="1"/>
  <c r="E17" i="15"/>
  <c r="G17" i="15" s="1"/>
  <c r="E171" i="16"/>
  <c r="G171" i="16" s="1"/>
  <c r="C171" i="17" s="1"/>
  <c r="E16" i="15"/>
  <c r="G16" i="15" s="1"/>
  <c r="C16" i="16" s="1"/>
  <c r="E93" i="16"/>
  <c r="G93" i="16" s="1"/>
  <c r="C93" i="17" s="1"/>
  <c r="E73" i="15"/>
  <c r="G73" i="15" s="1"/>
  <c r="C73" i="16" s="1"/>
  <c r="E181" i="16"/>
  <c r="G181" i="16" s="1"/>
  <c r="C181" i="17" s="1"/>
  <c r="E164" i="16"/>
  <c r="G164" i="16" s="1"/>
  <c r="C164" i="17" s="1"/>
  <c r="E35" i="15"/>
  <c r="G35" i="15" s="1"/>
  <c r="C35" i="16" s="1"/>
  <c r="E50" i="15"/>
  <c r="G50" i="15" s="1"/>
  <c r="C50" i="16" s="1"/>
  <c r="E129" i="16"/>
  <c r="G129" i="16" s="1"/>
  <c r="C129" i="17" s="1"/>
  <c r="E116" i="16"/>
  <c r="G116" i="16" s="1"/>
  <c r="C116" i="17" s="1"/>
  <c r="E60" i="15"/>
  <c r="G60" i="15" s="1"/>
  <c r="C60" i="16" s="1"/>
  <c r="E172" i="16"/>
  <c r="G172" i="16" s="1"/>
  <c r="C172" i="17" s="1"/>
  <c r="E89" i="16"/>
  <c r="G89" i="16" s="1"/>
  <c r="C89" i="17" s="1"/>
  <c r="E95" i="16"/>
  <c r="G95" i="16" s="1"/>
  <c r="C95" i="17" s="1"/>
  <c r="E151" i="16"/>
  <c r="G151" i="16" s="1"/>
  <c r="C151" i="17" s="1"/>
  <c r="E178" i="16"/>
  <c r="G178" i="16" s="1"/>
  <c r="C178" i="17" s="1"/>
  <c r="E202" i="16"/>
  <c r="G202" i="16" s="1"/>
  <c r="C202" i="17" s="1"/>
  <c r="E75" i="15"/>
  <c r="G75" i="15" s="1"/>
  <c r="C75" i="16" s="1"/>
  <c r="E197" i="16"/>
  <c r="G197" i="16" s="1"/>
  <c r="E195" i="16"/>
  <c r="G195" i="16" s="1"/>
  <c r="C195" i="17" s="1"/>
  <c r="E32" i="15"/>
  <c r="G32" i="15" s="1"/>
  <c r="C32" i="16" s="1"/>
  <c r="E136" i="16"/>
  <c r="G136" i="16" s="1"/>
  <c r="C136" i="17" s="1"/>
  <c r="E180" i="16"/>
  <c r="G180" i="16" s="1"/>
  <c r="C180" i="17" s="1"/>
  <c r="E90" i="16"/>
  <c r="G90" i="16" s="1"/>
  <c r="C90" i="17" s="1"/>
  <c r="E107" i="16"/>
  <c r="G107" i="16" s="1"/>
  <c r="C107" i="17" s="1"/>
  <c r="E182" i="16"/>
  <c r="G182" i="16" s="1"/>
  <c r="C182" i="17" s="1"/>
  <c r="E82" i="15"/>
  <c r="G82" i="15" s="1"/>
  <c r="C82" i="16" s="1"/>
  <c r="E161" i="16"/>
  <c r="G161" i="16" s="1"/>
  <c r="C161" i="17" s="1"/>
  <c r="E59" i="15"/>
  <c r="G59" i="15" s="1"/>
  <c r="C59" i="16" s="1"/>
  <c r="E29" i="15"/>
  <c r="G29" i="15" s="1"/>
  <c r="C29" i="16" s="1"/>
  <c r="E186" i="16"/>
  <c r="G186" i="16" s="1"/>
  <c r="C186" i="17" s="1"/>
  <c r="E106" i="16"/>
  <c r="G106" i="16" s="1"/>
  <c r="C106" i="17" s="1"/>
  <c r="E99" i="16"/>
  <c r="G99" i="16" s="1"/>
  <c r="C99" i="17" s="1"/>
  <c r="E70" i="15"/>
  <c r="G70" i="15" s="1"/>
  <c r="C70" i="16" s="1"/>
  <c r="E128" i="16"/>
  <c r="G128" i="16" s="1"/>
  <c r="C128" i="17" s="1"/>
  <c r="E20" i="15"/>
  <c r="G20" i="15" s="1"/>
  <c r="C20" i="16" s="1"/>
  <c r="E144" i="16"/>
  <c r="G144" i="16" s="1"/>
  <c r="C144" i="17" s="1"/>
  <c r="E21" i="15"/>
  <c r="G21" i="15" s="1"/>
  <c r="C21" i="16" s="1"/>
  <c r="E119" i="16"/>
  <c r="G119" i="16" s="1"/>
  <c r="C119" i="17" s="1"/>
  <c r="E83" i="16"/>
  <c r="G83" i="16" s="1"/>
  <c r="C83" i="17" s="1"/>
  <c r="E92" i="16"/>
  <c r="G92" i="16" s="1"/>
  <c r="C92" i="17" s="1"/>
  <c r="E7" i="15"/>
  <c r="G7" i="15" s="1"/>
  <c r="C7" i="16" s="1"/>
  <c r="E145" i="16"/>
  <c r="G145" i="16" s="1"/>
  <c r="C145" i="17" s="1"/>
  <c r="E158" i="16"/>
  <c r="G158" i="16" s="1"/>
  <c r="C158" i="17" s="1"/>
  <c r="E125" i="16"/>
  <c r="G125" i="16" s="1"/>
  <c r="C125" i="17" s="1"/>
  <c r="E11" i="15"/>
  <c r="G11" i="15" s="1"/>
  <c r="C11" i="16" s="1"/>
  <c r="E170" i="16"/>
  <c r="G170" i="16" s="1"/>
  <c r="C170" i="17" s="1"/>
  <c r="E115" i="16"/>
  <c r="G115" i="16" s="1"/>
  <c r="C115" i="17" s="1"/>
  <c r="E97" i="16"/>
  <c r="G97" i="16" s="1"/>
  <c r="C97" i="17" s="1"/>
  <c r="E100" i="16"/>
  <c r="G100" i="16" s="1"/>
  <c r="C100" i="17" s="1"/>
  <c r="E42" i="15"/>
  <c r="G42" i="15" s="1"/>
  <c r="C42" i="16" s="1"/>
  <c r="E52" i="15"/>
  <c r="G52" i="15" s="1"/>
  <c r="C52" i="16" s="1"/>
  <c r="E41" i="15"/>
  <c r="G41" i="15" s="1"/>
  <c r="C41" i="16" s="1"/>
  <c r="E10" i="15"/>
  <c r="G10" i="15" s="1"/>
  <c r="C10" i="16" s="1"/>
  <c r="E8" i="15"/>
  <c r="G8" i="15" s="1"/>
  <c r="C8" i="16" s="1"/>
  <c r="E121" i="16"/>
  <c r="G121" i="16" s="1"/>
  <c r="C121" i="17" s="1"/>
  <c r="E147" i="16"/>
  <c r="G147" i="16" s="1"/>
  <c r="C147" i="17" s="1"/>
  <c r="E96" i="16"/>
  <c r="G96" i="16" s="1"/>
  <c r="C96" i="17" s="1"/>
  <c r="E123" i="16"/>
  <c r="G123" i="16" s="1"/>
  <c r="C123" i="17" s="1"/>
  <c r="E108" i="16"/>
  <c r="G108" i="16" s="1"/>
  <c r="C108" i="17" s="1"/>
  <c r="E127" i="16"/>
  <c r="G127" i="16" s="1"/>
  <c r="C127" i="17" s="1"/>
  <c r="E188" i="16"/>
  <c r="G188" i="16" s="1"/>
  <c r="C188" i="17" s="1"/>
  <c r="E198" i="16"/>
  <c r="G198" i="16" s="1"/>
  <c r="E133" i="16"/>
  <c r="G133" i="16" s="1"/>
  <c r="C133" i="17" s="1"/>
  <c r="E199" i="16"/>
  <c r="G199" i="16" s="1"/>
  <c r="C199" i="17" s="1"/>
  <c r="E137" i="16"/>
  <c r="G137" i="16" s="1"/>
  <c r="C137" i="17" s="1"/>
  <c r="E155" i="16"/>
  <c r="G155" i="16" s="1"/>
  <c r="C155" i="17" s="1"/>
  <c r="E139" i="16"/>
  <c r="G139" i="16" s="1"/>
  <c r="C139" i="17" s="1"/>
  <c r="E124" i="16"/>
  <c r="G124" i="16" s="1"/>
  <c r="C124" i="17" s="1"/>
  <c r="E74" i="15"/>
  <c r="G74" i="15" s="1"/>
  <c r="C74" i="16" s="1"/>
  <c r="E63" i="15"/>
  <c r="G63" i="15" s="1"/>
  <c r="C63" i="16" s="1"/>
  <c r="E113" i="16"/>
  <c r="G113" i="16" s="1"/>
  <c r="C113" i="17" s="1"/>
  <c r="E27" i="15"/>
  <c r="G27" i="15" s="1"/>
  <c r="C27" i="16" s="1"/>
  <c r="E15" i="15"/>
  <c r="G15" i="15" s="1"/>
  <c r="E49" i="15"/>
  <c r="G49" i="15" s="1"/>
  <c r="C49" i="16" s="1"/>
  <c r="E64" i="15"/>
  <c r="G64" i="15" s="1"/>
  <c r="C64" i="16" s="1"/>
  <c r="E183" i="16"/>
  <c r="G183" i="16" s="1"/>
  <c r="C183" i="17" s="1"/>
  <c r="E62" i="15"/>
  <c r="G62" i="15" s="1"/>
  <c r="C62" i="16" s="1"/>
  <c r="E185" i="16"/>
  <c r="G185" i="16" s="1"/>
  <c r="C185" i="17" s="1"/>
  <c r="E77" i="15"/>
  <c r="G77" i="15" s="1"/>
  <c r="C77" i="16" s="1"/>
  <c r="E114" i="16"/>
  <c r="G114" i="16" s="1"/>
  <c r="C114" i="17" s="1"/>
  <c r="E176" i="16"/>
  <c r="G176" i="16" s="1"/>
  <c r="C176" i="17" s="1"/>
  <c r="E51" i="15"/>
  <c r="G51" i="15" s="1"/>
  <c r="C51" i="16" s="1"/>
  <c r="E26" i="15"/>
  <c r="G26" i="15" s="1"/>
  <c r="C26" i="16" s="1"/>
  <c r="E31" i="15"/>
  <c r="G31" i="15" s="1"/>
  <c r="C31" i="16" s="1"/>
  <c r="E54" i="15"/>
  <c r="G54" i="15" s="1"/>
  <c r="C54" i="16" s="1"/>
  <c r="E153" i="16"/>
  <c r="G153" i="16" s="1"/>
  <c r="C153" i="17" s="1"/>
  <c r="E191" i="16"/>
  <c r="G191" i="16" s="1"/>
  <c r="C191" i="17" s="1"/>
  <c r="E71" i="15"/>
  <c r="G71" i="15" s="1"/>
  <c r="C71" i="16" s="1"/>
  <c r="E184" i="16"/>
  <c r="G184" i="16" s="1"/>
  <c r="C184" i="17" s="1"/>
  <c r="E91" i="16"/>
  <c r="G91" i="16" s="1"/>
  <c r="C91" i="17" s="1"/>
  <c r="E152" i="16"/>
  <c r="G152" i="16" s="1"/>
  <c r="C152" i="17" s="1"/>
  <c r="E61" i="15"/>
  <c r="G61" i="15" s="1"/>
  <c r="C61" i="16" s="1"/>
  <c r="E14" i="15"/>
  <c r="G14" i="15" s="1"/>
  <c r="C14" i="16" s="1"/>
  <c r="E94" i="16"/>
  <c r="G94" i="16" s="1"/>
  <c r="E154" i="16"/>
  <c r="G154" i="16" s="1"/>
  <c r="C154" i="17" s="1"/>
  <c r="E148" i="16"/>
  <c r="G148" i="16" s="1"/>
  <c r="C148" i="17" s="1"/>
  <c r="E149" i="21"/>
  <c r="G149" i="21" s="1"/>
  <c r="C149" i="32" s="1"/>
  <c r="E39" i="20"/>
  <c r="G39" i="20" s="1"/>
  <c r="C39" i="21" s="1"/>
  <c r="E76" i="19"/>
  <c r="G76" i="19" s="1"/>
  <c r="C76" i="20" s="1"/>
  <c r="E65" i="19"/>
  <c r="G65" i="19" s="1"/>
  <c r="C65" i="20" s="1"/>
  <c r="E87" i="19"/>
  <c r="G87" i="19" s="1"/>
  <c r="C87" i="20" s="1"/>
  <c r="E69" i="18"/>
  <c r="G69" i="18" s="1"/>
  <c r="C69" i="19" s="1"/>
  <c r="E66" i="18"/>
  <c r="G66" i="18" s="1"/>
  <c r="C66" i="19" s="1"/>
  <c r="E196" i="18"/>
  <c r="G196" i="18" s="1"/>
  <c r="C196" i="19" s="1"/>
  <c r="E78" i="16"/>
  <c r="G78" i="16" s="1"/>
  <c r="C78" i="17" s="1"/>
  <c r="E23" i="16"/>
  <c r="G23" i="16" s="1"/>
  <c r="C23" i="17" s="1"/>
  <c r="E86" i="16"/>
  <c r="G86" i="16" s="1"/>
  <c r="E84" i="16"/>
  <c r="G84" i="16" s="1"/>
  <c r="C84" i="17" s="1"/>
  <c r="E45" i="15"/>
  <c r="G45" i="15" s="1"/>
  <c r="C45" i="16" s="1"/>
  <c r="E177" i="16"/>
  <c r="G177" i="16" s="1"/>
  <c r="C177" i="17" s="1"/>
  <c r="E175" i="16"/>
  <c r="G175" i="16" s="1"/>
  <c r="C175" i="17" s="1"/>
  <c r="E101" i="16"/>
  <c r="G101" i="16" s="1"/>
  <c r="C101" i="17" s="1"/>
  <c r="E162" i="16"/>
  <c r="G162" i="16" s="1"/>
  <c r="C162" i="17" s="1"/>
  <c r="E47" i="15"/>
  <c r="G47" i="15" s="1"/>
  <c r="C47" i="16" s="1"/>
  <c r="E38" i="15"/>
  <c r="G38" i="15" s="1"/>
  <c r="C38" i="16" s="1"/>
  <c r="E37" i="15"/>
  <c r="G37" i="15" s="1"/>
  <c r="C37" i="16" s="1"/>
  <c r="E36" i="15"/>
  <c r="G36" i="15" s="1"/>
  <c r="C36" i="16" s="1"/>
  <c r="E33" i="15"/>
  <c r="G33" i="15" s="1"/>
  <c r="C33" i="16" s="1"/>
  <c r="E28" i="15"/>
  <c r="G28" i="15" s="1"/>
  <c r="C28" i="16" s="1"/>
  <c r="E25" i="15"/>
  <c r="G25" i="15" s="1"/>
  <c r="C25" i="16" s="1"/>
  <c r="E22" i="15"/>
  <c r="G22" i="15" s="1"/>
  <c r="C22" i="16" s="1"/>
  <c r="E5" i="15"/>
  <c r="G5" i="15" s="1"/>
  <c r="C5" i="16" s="1"/>
  <c r="C43" i="16" l="1"/>
  <c r="E43" i="16" s="1"/>
  <c r="G43" i="16" s="1"/>
  <c r="C18" i="16"/>
  <c r="E18" i="16" s="1"/>
  <c r="G18" i="16" s="1"/>
  <c r="C15" i="16"/>
  <c r="E15" i="16" s="1"/>
  <c r="G15" i="16" s="1"/>
  <c r="C48" i="16"/>
  <c r="E48" i="16" s="1"/>
  <c r="G48" i="16" s="1"/>
  <c r="C17" i="16"/>
  <c r="E17" i="16" s="1"/>
  <c r="G17" i="16" s="1"/>
  <c r="C120" i="17"/>
  <c r="E120" i="17" s="1"/>
  <c r="G120" i="17" s="1"/>
  <c r="C167" i="17"/>
  <c r="E167" i="17" s="1"/>
  <c r="G167" i="17" s="1"/>
  <c r="E31" i="16"/>
  <c r="G31" i="16" s="1"/>
  <c r="C31" i="17" s="1"/>
  <c r="E41" i="16"/>
  <c r="G41" i="16" s="1"/>
  <c r="C41" i="17" s="1"/>
  <c r="E148" i="17"/>
  <c r="G148" i="17" s="1"/>
  <c r="C148" i="18" s="1"/>
  <c r="E26" i="16"/>
  <c r="G26" i="16" s="1"/>
  <c r="C26" i="17" s="1"/>
  <c r="E63" i="16"/>
  <c r="G63" i="16" s="1"/>
  <c r="C63" i="17" s="1"/>
  <c r="E199" i="17"/>
  <c r="G199" i="17" s="1"/>
  <c r="C199" i="18" s="1"/>
  <c r="E52" i="16"/>
  <c r="G52" i="16" s="1"/>
  <c r="C52" i="17" s="1"/>
  <c r="E119" i="17"/>
  <c r="G119" i="17" s="1"/>
  <c r="C119" i="18" s="1"/>
  <c r="E99" i="17"/>
  <c r="G99" i="17" s="1"/>
  <c r="C99" i="18" s="1"/>
  <c r="E195" i="17"/>
  <c r="G195" i="17" s="1"/>
  <c r="C195" i="18" s="1"/>
  <c r="E35" i="16"/>
  <c r="G35" i="16" s="1"/>
  <c r="C35" i="17" s="1"/>
  <c r="E171" i="17"/>
  <c r="G171" i="17" s="1"/>
  <c r="C171" i="18" s="1"/>
  <c r="E168" i="17"/>
  <c r="G168" i="17" s="1"/>
  <c r="C168" i="18" s="1"/>
  <c r="E53" i="16"/>
  <c r="G53" i="16" s="1"/>
  <c r="C53" i="17" s="1"/>
  <c r="E174" i="17"/>
  <c r="G174" i="17" s="1"/>
  <c r="C174" i="18" s="1"/>
  <c r="E80" i="16"/>
  <c r="G80" i="16" s="1"/>
  <c r="C80" i="17" s="1"/>
  <c r="E126" i="17"/>
  <c r="G126" i="17" s="1"/>
  <c r="C126" i="18" s="1"/>
  <c r="E72" i="16"/>
  <c r="G72" i="16" s="1"/>
  <c r="C72" i="17" s="1"/>
  <c r="E133" i="17"/>
  <c r="G133" i="17" s="1"/>
  <c r="C133" i="18" s="1"/>
  <c r="E173" i="17"/>
  <c r="G173" i="17" s="1"/>
  <c r="C173" i="18" s="1"/>
  <c r="E190" i="17"/>
  <c r="G190" i="17" s="1"/>
  <c r="C190" i="18" s="1"/>
  <c r="E166" i="17"/>
  <c r="G166" i="17" s="1"/>
  <c r="C166" i="18" s="1"/>
  <c r="E160" i="17"/>
  <c r="G160" i="17" s="1"/>
  <c r="C160" i="18" s="1"/>
  <c r="E203" i="17"/>
  <c r="G203" i="17" s="1"/>
  <c r="C203" i="18" s="1"/>
  <c r="E157" i="17"/>
  <c r="G157" i="17" s="1"/>
  <c r="C157" i="18" s="1"/>
  <c r="E42" i="16"/>
  <c r="G42" i="16" s="1"/>
  <c r="C42" i="17" s="1"/>
  <c r="E106" i="17"/>
  <c r="G106" i="17" s="1"/>
  <c r="C106" i="18" s="1"/>
  <c r="E94" i="17"/>
  <c r="G94" i="17" s="1"/>
  <c r="C94" i="18" s="1"/>
  <c r="E71" i="16"/>
  <c r="G71" i="16" s="1"/>
  <c r="C71" i="17" s="1"/>
  <c r="E64" i="16"/>
  <c r="G64" i="16" s="1"/>
  <c r="C64" i="17" s="1"/>
  <c r="E198" i="17"/>
  <c r="G198" i="17" s="1"/>
  <c r="C198" i="18" s="1"/>
  <c r="E147" i="17"/>
  <c r="G147" i="17" s="1"/>
  <c r="C147" i="18" s="1"/>
  <c r="E158" i="17"/>
  <c r="G158" i="17" s="1"/>
  <c r="C158" i="18" s="1"/>
  <c r="E186" i="17"/>
  <c r="G186" i="17" s="1"/>
  <c r="C186" i="18" s="1"/>
  <c r="E107" i="17"/>
  <c r="G107" i="17" s="1"/>
  <c r="C107" i="18" s="1"/>
  <c r="E172" i="17"/>
  <c r="G172" i="17" s="1"/>
  <c r="C172" i="18" s="1"/>
  <c r="E12" i="16"/>
  <c r="G12" i="16" s="1"/>
  <c r="C12" i="17" s="1"/>
  <c r="E187" i="17"/>
  <c r="G187" i="17" s="1"/>
  <c r="C187" i="18" s="1"/>
  <c r="E169" i="17"/>
  <c r="G169" i="17" s="1"/>
  <c r="C169" i="18" s="1"/>
  <c r="E104" i="17"/>
  <c r="G104" i="17" s="1"/>
  <c r="C104" i="18" s="1"/>
  <c r="E88" i="17"/>
  <c r="G88" i="17" s="1"/>
  <c r="C88" i="18" s="1"/>
  <c r="E135" i="17"/>
  <c r="G135" i="17" s="1"/>
  <c r="C135" i="18" s="1"/>
  <c r="E146" i="17"/>
  <c r="G146" i="17" s="1"/>
  <c r="C146" i="18" s="1"/>
  <c r="E154" i="17"/>
  <c r="G154" i="17" s="1"/>
  <c r="C154" i="18" s="1"/>
  <c r="E125" i="17"/>
  <c r="G125" i="17" s="1"/>
  <c r="C125" i="18" s="1"/>
  <c r="E191" i="17"/>
  <c r="G191" i="17" s="1"/>
  <c r="C191" i="18" s="1"/>
  <c r="E49" i="16"/>
  <c r="G49" i="16" s="1"/>
  <c r="C49" i="17" s="1"/>
  <c r="E124" i="17"/>
  <c r="G124" i="17" s="1"/>
  <c r="C124" i="18" s="1"/>
  <c r="E121" i="17"/>
  <c r="G121" i="17" s="1"/>
  <c r="C121" i="18" s="1"/>
  <c r="E145" i="17"/>
  <c r="G145" i="17" s="1"/>
  <c r="C145" i="18" s="1"/>
  <c r="E144" i="17"/>
  <c r="G144" i="17" s="1"/>
  <c r="C144" i="18" s="1"/>
  <c r="E90" i="17"/>
  <c r="G90" i="17" s="1"/>
  <c r="C90" i="18" s="1"/>
  <c r="E60" i="16"/>
  <c r="G60" i="16" s="1"/>
  <c r="C60" i="17" s="1"/>
  <c r="E181" i="17"/>
  <c r="G181" i="17" s="1"/>
  <c r="C181" i="18" s="1"/>
  <c r="E194" i="17"/>
  <c r="G194" i="17" s="1"/>
  <c r="C194" i="18" s="1"/>
  <c r="E24" i="16"/>
  <c r="G24" i="16" s="1"/>
  <c r="C24" i="17" s="1"/>
  <c r="E67" i="16"/>
  <c r="G67" i="16" s="1"/>
  <c r="C67" i="17" s="1"/>
  <c r="E98" i="17"/>
  <c r="G98" i="17" s="1"/>
  <c r="C98" i="18" s="1"/>
  <c r="E79" i="16"/>
  <c r="G79" i="16" s="1"/>
  <c r="C79" i="17" s="1"/>
  <c r="E44" i="16"/>
  <c r="G44" i="16" s="1"/>
  <c r="C44" i="17" s="1"/>
  <c r="E183" i="17"/>
  <c r="G183" i="17" s="1"/>
  <c r="C183" i="18" s="1"/>
  <c r="E89" i="17"/>
  <c r="G89" i="17" s="1"/>
  <c r="C89" i="18" s="1"/>
  <c r="E153" i="17"/>
  <c r="G153" i="17" s="1"/>
  <c r="C153" i="18" s="1"/>
  <c r="E114" i="17"/>
  <c r="G114" i="17" s="1"/>
  <c r="C114" i="18" s="1"/>
  <c r="E139" i="17"/>
  <c r="G139" i="17" s="1"/>
  <c r="C139" i="18" s="1"/>
  <c r="E8" i="16"/>
  <c r="G8" i="16" s="1"/>
  <c r="C8" i="17" s="1"/>
  <c r="E97" i="17"/>
  <c r="G97" i="17" s="1"/>
  <c r="C97" i="18" s="1"/>
  <c r="E20" i="16"/>
  <c r="G20" i="16" s="1"/>
  <c r="C20" i="17" s="1"/>
  <c r="E180" i="17"/>
  <c r="G180" i="17" s="1"/>
  <c r="C180" i="18" s="1"/>
  <c r="E202" i="17"/>
  <c r="G202" i="17" s="1"/>
  <c r="C202" i="18" s="1"/>
  <c r="E73" i="16"/>
  <c r="G73" i="16" s="1"/>
  <c r="C73" i="17" s="1"/>
  <c r="E110" i="17"/>
  <c r="G110" i="17" s="1"/>
  <c r="C110" i="18" s="1"/>
  <c r="E143" i="17"/>
  <c r="G143" i="17" s="1"/>
  <c r="C143" i="18" s="1"/>
  <c r="E140" i="17"/>
  <c r="G140" i="17" s="1"/>
  <c r="C140" i="18" s="1"/>
  <c r="E156" i="17"/>
  <c r="G156" i="17" s="1"/>
  <c r="C156" i="18" s="1"/>
  <c r="E30" i="16"/>
  <c r="G30" i="16" s="1"/>
  <c r="C30" i="17" s="1"/>
  <c r="E112" i="17"/>
  <c r="G112" i="17" s="1"/>
  <c r="C112" i="18" s="1"/>
  <c r="E91" i="17"/>
  <c r="G91" i="17" s="1"/>
  <c r="C91" i="18" s="1"/>
  <c r="E61" i="16"/>
  <c r="G61" i="16" s="1"/>
  <c r="C61" i="17" s="1"/>
  <c r="E77" i="16"/>
  <c r="G77" i="16" s="1"/>
  <c r="C77" i="17" s="1"/>
  <c r="E155" i="17"/>
  <c r="G155" i="17" s="1"/>
  <c r="C155" i="18" s="1"/>
  <c r="E127" i="17"/>
  <c r="G127" i="17" s="1"/>
  <c r="C127" i="18" s="1"/>
  <c r="E115" i="17"/>
  <c r="G115" i="17" s="1"/>
  <c r="C115" i="18" s="1"/>
  <c r="E128" i="17"/>
  <c r="G128" i="17" s="1"/>
  <c r="C128" i="18" s="1"/>
  <c r="E59" i="16"/>
  <c r="G59" i="16" s="1"/>
  <c r="C59" i="17" s="1"/>
  <c r="E178" i="17"/>
  <c r="G178" i="17" s="1"/>
  <c r="C178" i="18" s="1"/>
  <c r="E93" i="17"/>
  <c r="G93" i="17" s="1"/>
  <c r="C93" i="18" s="1"/>
  <c r="E56" i="16"/>
  <c r="G56" i="16" s="1"/>
  <c r="C56" i="17" s="1"/>
  <c r="E55" i="16"/>
  <c r="G55" i="16" s="1"/>
  <c r="C55" i="17" s="1"/>
  <c r="E193" i="17"/>
  <c r="G193" i="17" s="1"/>
  <c r="C193" i="18" s="1"/>
  <c r="E200" i="17"/>
  <c r="G200" i="17" s="1"/>
  <c r="C200" i="18" s="1"/>
  <c r="E131" i="17"/>
  <c r="G131" i="17" s="1"/>
  <c r="C131" i="18" s="1"/>
  <c r="E189" i="17"/>
  <c r="G189" i="17" s="1"/>
  <c r="C189" i="18" s="1"/>
  <c r="E132" i="17"/>
  <c r="G132" i="17" s="1"/>
  <c r="C132" i="18" s="1"/>
  <c r="E51" i="16"/>
  <c r="G51" i="16" s="1"/>
  <c r="C51" i="17" s="1"/>
  <c r="E197" i="17"/>
  <c r="G197" i="17" s="1"/>
  <c r="C197" i="18" s="1"/>
  <c r="E152" i="17"/>
  <c r="G152" i="17" s="1"/>
  <c r="C152" i="18" s="1"/>
  <c r="E185" i="17"/>
  <c r="G185" i="17" s="1"/>
  <c r="C185" i="18" s="1"/>
  <c r="E27" i="16"/>
  <c r="G27" i="16" s="1"/>
  <c r="C27" i="17" s="1"/>
  <c r="E108" i="17"/>
  <c r="G108" i="17" s="1"/>
  <c r="C108" i="18" s="1"/>
  <c r="E170" i="17"/>
  <c r="G170" i="17" s="1"/>
  <c r="C170" i="18" s="1"/>
  <c r="E92" i="17"/>
  <c r="G92" i="17" s="1"/>
  <c r="C92" i="18" s="1"/>
  <c r="E161" i="17"/>
  <c r="G161" i="17" s="1"/>
  <c r="C161" i="18" s="1"/>
  <c r="E151" i="17"/>
  <c r="G151" i="17" s="1"/>
  <c r="C151" i="18" s="1"/>
  <c r="E129" i="17"/>
  <c r="G129" i="17" s="1"/>
  <c r="C129" i="18" s="1"/>
  <c r="E111" i="17"/>
  <c r="G111" i="17" s="1"/>
  <c r="C111" i="18" s="1"/>
  <c r="E141" i="17"/>
  <c r="G141" i="17" s="1"/>
  <c r="C141" i="18" s="1"/>
  <c r="E134" i="17"/>
  <c r="G134" i="17" s="1"/>
  <c r="C134" i="18" s="1"/>
  <c r="E122" i="17"/>
  <c r="G122" i="17" s="1"/>
  <c r="C122" i="18" s="1"/>
  <c r="E81" i="16"/>
  <c r="G81" i="16" s="1"/>
  <c r="C81" i="17" s="1"/>
  <c r="E165" i="17"/>
  <c r="G165" i="17" s="1"/>
  <c r="C165" i="18" s="1"/>
  <c r="E142" i="17"/>
  <c r="G142" i="17" s="1"/>
  <c r="C142" i="18" s="1"/>
  <c r="E113" i="17"/>
  <c r="G113" i="17" s="1"/>
  <c r="C113" i="18" s="1"/>
  <c r="E123" i="17"/>
  <c r="G123" i="17" s="1"/>
  <c r="C123" i="18" s="1"/>
  <c r="E83" i="17"/>
  <c r="G83" i="17" s="1"/>
  <c r="C83" i="18" s="1"/>
  <c r="E82" i="16"/>
  <c r="G82" i="16" s="1"/>
  <c r="C82" i="17" s="1"/>
  <c r="E32" i="16"/>
  <c r="G32" i="16" s="1"/>
  <c r="C32" i="17" s="1"/>
  <c r="E50" i="16"/>
  <c r="G50" i="16" s="1"/>
  <c r="C50" i="17" s="1"/>
  <c r="E138" i="17"/>
  <c r="G138" i="17" s="1"/>
  <c r="C138" i="18" s="1"/>
  <c r="E9" i="16"/>
  <c r="G9" i="16" s="1"/>
  <c r="C9" i="17" s="1"/>
  <c r="E19" i="16"/>
  <c r="G19" i="16" s="1"/>
  <c r="C19" i="17" s="1"/>
  <c r="E130" i="17"/>
  <c r="G130" i="17" s="1"/>
  <c r="C130" i="18" s="1"/>
  <c r="E68" i="16"/>
  <c r="G68" i="16" s="1"/>
  <c r="C68" i="17" s="1"/>
  <c r="E57" i="16"/>
  <c r="G57" i="16" s="1"/>
  <c r="C57" i="17" s="1"/>
  <c r="E14" i="16"/>
  <c r="G14" i="16" s="1"/>
  <c r="C14" i="17" s="1"/>
  <c r="E11" i="16"/>
  <c r="G11" i="16" s="1"/>
  <c r="C11" i="17" s="1"/>
  <c r="E176" i="17"/>
  <c r="G176" i="17" s="1"/>
  <c r="C176" i="18" s="1"/>
  <c r="E10" i="16"/>
  <c r="G10" i="16" s="1"/>
  <c r="C10" i="17" s="1"/>
  <c r="E70" i="16"/>
  <c r="G70" i="16" s="1"/>
  <c r="C70" i="17" s="1"/>
  <c r="E116" i="17"/>
  <c r="G116" i="17" s="1"/>
  <c r="C116" i="18" s="1"/>
  <c r="E16" i="16"/>
  <c r="G16" i="16" s="1"/>
  <c r="C16" i="17" s="1"/>
  <c r="E192" i="17"/>
  <c r="G192" i="17" s="1"/>
  <c r="E179" i="17"/>
  <c r="G179" i="17" s="1"/>
  <c r="C179" i="18" s="1"/>
  <c r="E13" i="16"/>
  <c r="G13" i="16" s="1"/>
  <c r="C13" i="17" s="1"/>
  <c r="E117" i="17"/>
  <c r="G117" i="17" s="1"/>
  <c r="C117" i="18" s="1"/>
  <c r="E118" i="17"/>
  <c r="G118" i="17" s="1"/>
  <c r="C118" i="18" s="1"/>
  <c r="E58" i="16"/>
  <c r="G58" i="16" s="1"/>
  <c r="C58" i="17" s="1"/>
  <c r="E109" i="17"/>
  <c r="G109" i="17" s="1"/>
  <c r="C109" i="18" s="1"/>
  <c r="E46" i="16"/>
  <c r="G46" i="16" s="1"/>
  <c r="C46" i="17" s="1"/>
  <c r="E34" i="16"/>
  <c r="G34" i="16" s="1"/>
  <c r="C34" i="17" s="1"/>
  <c r="E102" i="17"/>
  <c r="G102" i="17" s="1"/>
  <c r="C102" i="18" s="1"/>
  <c r="E6" i="16"/>
  <c r="G6" i="16" s="1"/>
  <c r="C6" i="17" s="1"/>
  <c r="E201" i="17"/>
  <c r="G201" i="17" s="1"/>
  <c r="C201" i="18" s="1"/>
  <c r="E150" i="17"/>
  <c r="G150" i="17" s="1"/>
  <c r="C150" i="18" s="1"/>
  <c r="E159" i="17"/>
  <c r="G159" i="17" s="1"/>
  <c r="C159" i="18" s="1"/>
  <c r="E163" i="17"/>
  <c r="G163" i="17" s="1"/>
  <c r="C163" i="18" s="1"/>
  <c r="E103" i="17"/>
  <c r="G103" i="17" s="1"/>
  <c r="C103" i="18" s="1"/>
  <c r="E40" i="16"/>
  <c r="G40" i="16" s="1"/>
  <c r="C40" i="17" s="1"/>
  <c r="E184" i="17"/>
  <c r="G184" i="17" s="1"/>
  <c r="C184" i="18" s="1"/>
  <c r="E188" i="17"/>
  <c r="G188" i="17" s="1"/>
  <c r="C188" i="18" s="1"/>
  <c r="E21" i="16"/>
  <c r="G21" i="16" s="1"/>
  <c r="C21" i="17" s="1"/>
  <c r="E75" i="16"/>
  <c r="G75" i="16" s="1"/>
  <c r="C75" i="17" s="1"/>
  <c r="E62" i="16"/>
  <c r="G62" i="16" s="1"/>
  <c r="C62" i="17" s="1"/>
  <c r="E100" i="17"/>
  <c r="G100" i="17" s="1"/>
  <c r="C100" i="18" s="1"/>
  <c r="E136" i="17"/>
  <c r="G136" i="17" s="1"/>
  <c r="C136" i="18" s="1"/>
  <c r="E54" i="16"/>
  <c r="G54" i="16" s="1"/>
  <c r="C54" i="17" s="1"/>
  <c r="E96" i="17"/>
  <c r="G96" i="17" s="1"/>
  <c r="C96" i="18" s="1"/>
  <c r="E182" i="17"/>
  <c r="G182" i="17" s="1"/>
  <c r="C182" i="18" s="1"/>
  <c r="E137" i="17"/>
  <c r="G137" i="17" s="1"/>
  <c r="C137" i="18" s="1"/>
  <c r="E29" i="16"/>
  <c r="G29" i="16" s="1"/>
  <c r="C29" i="17" s="1"/>
  <c r="E7" i="16"/>
  <c r="G7" i="16" s="1"/>
  <c r="C7" i="17" s="1"/>
  <c r="E95" i="17"/>
  <c r="G95" i="17" s="1"/>
  <c r="C95" i="18" s="1"/>
  <c r="E74" i="16"/>
  <c r="G74" i="16" s="1"/>
  <c r="C74" i="17" s="1"/>
  <c r="E164" i="17"/>
  <c r="G164" i="17" s="1"/>
  <c r="C164" i="18" s="1"/>
  <c r="E85" i="32"/>
  <c r="G85" i="32" s="1"/>
  <c r="E149" i="32"/>
  <c r="G149" i="32" s="1"/>
  <c r="E105" i="32"/>
  <c r="G105" i="32" s="1"/>
  <c r="E39" i="21"/>
  <c r="G39" i="21" s="1"/>
  <c r="C39" i="32" s="1"/>
  <c r="E76" i="20"/>
  <c r="G76" i="20" s="1"/>
  <c r="C76" i="21" s="1"/>
  <c r="E65" i="20"/>
  <c r="G65" i="20" s="1"/>
  <c r="C65" i="21" s="1"/>
  <c r="E87" i="20"/>
  <c r="G87" i="20" s="1"/>
  <c r="C87" i="21" s="1"/>
  <c r="E69" i="19"/>
  <c r="G69" i="19" s="1"/>
  <c r="C69" i="20" s="1"/>
  <c r="E66" i="19"/>
  <c r="G66" i="19" s="1"/>
  <c r="C66" i="20" s="1"/>
  <c r="E196" i="19"/>
  <c r="G196" i="19" s="1"/>
  <c r="C196" i="20" s="1"/>
  <c r="E78" i="17"/>
  <c r="G78" i="17" s="1"/>
  <c r="C78" i="18" s="1"/>
  <c r="E23" i="17"/>
  <c r="G23" i="17" s="1"/>
  <c r="C23" i="18" s="1"/>
  <c r="E86" i="17"/>
  <c r="G86" i="17" s="1"/>
  <c r="C86" i="18" s="1"/>
  <c r="E84" i="17"/>
  <c r="G84" i="17" s="1"/>
  <c r="C84" i="18" s="1"/>
  <c r="E45" i="16"/>
  <c r="G45" i="16" s="1"/>
  <c r="C45" i="17" s="1"/>
  <c r="E177" i="17"/>
  <c r="G177" i="17" s="1"/>
  <c r="C177" i="18" s="1"/>
  <c r="E175" i="17"/>
  <c r="G175" i="17" s="1"/>
  <c r="C175" i="18" s="1"/>
  <c r="E101" i="17"/>
  <c r="G101" i="17" s="1"/>
  <c r="C101" i="18" s="1"/>
  <c r="E162" i="17"/>
  <c r="G162" i="17" s="1"/>
  <c r="C162" i="18" s="1"/>
  <c r="E47" i="16"/>
  <c r="G47" i="16" s="1"/>
  <c r="C47" i="17" s="1"/>
  <c r="E38" i="16"/>
  <c r="G38" i="16" s="1"/>
  <c r="C38" i="17" s="1"/>
  <c r="E37" i="16"/>
  <c r="G37" i="16" s="1"/>
  <c r="C37" i="17" s="1"/>
  <c r="E36" i="16"/>
  <c r="G36" i="16" s="1"/>
  <c r="C36" i="17" s="1"/>
  <c r="E33" i="16"/>
  <c r="G33" i="16" s="1"/>
  <c r="C33" i="17" s="1"/>
  <c r="E28" i="16"/>
  <c r="G28" i="16" s="1"/>
  <c r="C28" i="17" s="1"/>
  <c r="E25" i="16"/>
  <c r="G25" i="16" s="1"/>
  <c r="C25" i="17" s="1"/>
  <c r="E22" i="16"/>
  <c r="G22" i="16" s="1"/>
  <c r="C22" i="17" s="1"/>
  <c r="E5" i="16"/>
  <c r="G5" i="16" s="1"/>
  <c r="C5" i="17" s="1"/>
  <c r="C167" i="18" l="1"/>
  <c r="E167" i="18" s="1"/>
  <c r="G167" i="18" s="1"/>
  <c r="C15" i="17"/>
  <c r="E15" i="17" s="1"/>
  <c r="G15" i="17" s="1"/>
  <c r="C43" i="17"/>
  <c r="E43" i="17" s="1"/>
  <c r="G43" i="17" s="1"/>
  <c r="C120" i="18"/>
  <c r="E120" i="18" s="1"/>
  <c r="G120" i="18" s="1"/>
  <c r="C17" i="17"/>
  <c r="E17" i="17" s="1"/>
  <c r="G17" i="17" s="1"/>
  <c r="C48" i="17"/>
  <c r="E48" i="17" s="1"/>
  <c r="G48" i="17" s="1"/>
  <c r="C18" i="17"/>
  <c r="E18" i="17" s="1"/>
  <c r="G18" i="17" s="1"/>
  <c r="E192" i="18"/>
  <c r="G192" i="18" s="1"/>
  <c r="C192" i="18"/>
  <c r="E100" i="18"/>
  <c r="G100" i="18" s="1"/>
  <c r="C100" i="19" s="1"/>
  <c r="E102" i="18"/>
  <c r="G102" i="18" s="1"/>
  <c r="C102" i="19" s="1"/>
  <c r="E117" i="18"/>
  <c r="G117" i="18" s="1"/>
  <c r="C117" i="19" s="1"/>
  <c r="E130" i="18"/>
  <c r="G130" i="18" s="1"/>
  <c r="C130" i="19" s="1"/>
  <c r="E122" i="18"/>
  <c r="G122" i="18" s="1"/>
  <c r="C122" i="19" s="1"/>
  <c r="E161" i="18"/>
  <c r="G161" i="18" s="1"/>
  <c r="C161" i="19" s="1"/>
  <c r="E193" i="18"/>
  <c r="G193" i="18" s="1"/>
  <c r="C193" i="19" s="1"/>
  <c r="E112" i="18"/>
  <c r="G112" i="18" s="1"/>
  <c r="C112" i="19" s="1"/>
  <c r="E73" i="17"/>
  <c r="G73" i="17" s="1"/>
  <c r="C73" i="18" s="1"/>
  <c r="E98" i="18"/>
  <c r="G98" i="18" s="1"/>
  <c r="C98" i="19" s="1"/>
  <c r="E125" i="18"/>
  <c r="G125" i="18" s="1"/>
  <c r="C125" i="19" s="1"/>
  <c r="E169" i="18"/>
  <c r="G169" i="18" s="1"/>
  <c r="C169" i="19" s="1"/>
  <c r="E42" i="17"/>
  <c r="G42" i="17" s="1"/>
  <c r="C42" i="18" s="1"/>
  <c r="E168" i="18"/>
  <c r="G168" i="18" s="1"/>
  <c r="C168" i="19" s="1"/>
  <c r="E52" i="17"/>
  <c r="G52" i="17" s="1"/>
  <c r="C52" i="18" s="1"/>
  <c r="E62" i="17"/>
  <c r="G62" i="17" s="1"/>
  <c r="C62" i="18" s="1"/>
  <c r="E103" i="18"/>
  <c r="G103" i="18" s="1"/>
  <c r="C103" i="19" s="1"/>
  <c r="E13" i="17"/>
  <c r="G13" i="17" s="1"/>
  <c r="C13" i="18" s="1"/>
  <c r="E19" i="17"/>
  <c r="G19" i="17" s="1"/>
  <c r="C19" i="18" s="1"/>
  <c r="E83" i="18"/>
  <c r="G83" i="18" s="1"/>
  <c r="C83" i="19" s="1"/>
  <c r="E92" i="18"/>
  <c r="G92" i="18" s="1"/>
  <c r="C92" i="19" s="1"/>
  <c r="E55" i="17"/>
  <c r="G55" i="17" s="1"/>
  <c r="C55" i="18" s="1"/>
  <c r="E115" i="18"/>
  <c r="G115" i="18" s="1"/>
  <c r="C115" i="19" s="1"/>
  <c r="E202" i="18"/>
  <c r="G202" i="18" s="1"/>
  <c r="C202" i="19" s="1"/>
  <c r="E67" i="17"/>
  <c r="G67" i="17" s="1"/>
  <c r="C67" i="18" s="1"/>
  <c r="E144" i="18"/>
  <c r="G144" i="18" s="1"/>
  <c r="C144" i="19" s="1"/>
  <c r="E187" i="18"/>
  <c r="G187" i="18" s="1"/>
  <c r="C187" i="19" s="1"/>
  <c r="E157" i="18"/>
  <c r="G157" i="18" s="1"/>
  <c r="C157" i="19" s="1"/>
  <c r="E133" i="18"/>
  <c r="G133" i="18" s="1"/>
  <c r="C133" i="19" s="1"/>
  <c r="E199" i="18"/>
  <c r="G199" i="18" s="1"/>
  <c r="C199" i="19" s="1"/>
  <c r="E163" i="18"/>
  <c r="G163" i="18" s="1"/>
  <c r="C163" i="19" s="1"/>
  <c r="E123" i="18"/>
  <c r="G123" i="18" s="1"/>
  <c r="C123" i="19" s="1"/>
  <c r="E170" i="18"/>
  <c r="G170" i="18" s="1"/>
  <c r="C170" i="19" s="1"/>
  <c r="E51" i="17"/>
  <c r="G51" i="17" s="1"/>
  <c r="C51" i="18" s="1"/>
  <c r="E127" i="18"/>
  <c r="G127" i="18" s="1"/>
  <c r="C127" i="19" s="1"/>
  <c r="E180" i="18"/>
  <c r="G180" i="18" s="1"/>
  <c r="C180" i="19" s="1"/>
  <c r="E153" i="18"/>
  <c r="G153" i="18" s="1"/>
  <c r="C153" i="19" s="1"/>
  <c r="E145" i="18"/>
  <c r="G145" i="18" s="1"/>
  <c r="C145" i="19" s="1"/>
  <c r="E12" i="17"/>
  <c r="G12" i="17" s="1"/>
  <c r="C12" i="18" s="1"/>
  <c r="E198" i="18"/>
  <c r="G198" i="18" s="1"/>
  <c r="C198" i="19" s="1"/>
  <c r="E72" i="17"/>
  <c r="G72" i="17" s="1"/>
  <c r="C72" i="18" s="1"/>
  <c r="E63" i="17"/>
  <c r="G63" i="17" s="1"/>
  <c r="C63" i="18" s="1"/>
  <c r="E176" i="18"/>
  <c r="G176" i="18" s="1"/>
  <c r="C176" i="19" s="1"/>
  <c r="E74" i="17"/>
  <c r="G74" i="17" s="1"/>
  <c r="C74" i="18" s="1"/>
  <c r="E159" i="18"/>
  <c r="G159" i="18" s="1"/>
  <c r="C159" i="19" s="1"/>
  <c r="E46" i="17"/>
  <c r="G46" i="17" s="1"/>
  <c r="C46" i="18" s="1"/>
  <c r="E11" i="17"/>
  <c r="G11" i="17" s="1"/>
  <c r="C11" i="18" s="1"/>
  <c r="E113" i="18"/>
  <c r="G113" i="18" s="1"/>
  <c r="C113" i="19" s="1"/>
  <c r="E141" i="18"/>
  <c r="G141" i="18" s="1"/>
  <c r="C141" i="19" s="1"/>
  <c r="E132" i="18"/>
  <c r="G132" i="18" s="1"/>
  <c r="C132" i="19" s="1"/>
  <c r="E155" i="18"/>
  <c r="G155" i="18" s="1"/>
  <c r="C155" i="19" s="1"/>
  <c r="E156" i="18"/>
  <c r="G156" i="18" s="1"/>
  <c r="C156" i="19" s="1"/>
  <c r="E89" i="18"/>
  <c r="G89" i="18" s="1"/>
  <c r="C89" i="19" s="1"/>
  <c r="E121" i="18"/>
  <c r="G121" i="18" s="1"/>
  <c r="C121" i="19" s="1"/>
  <c r="E146" i="18"/>
  <c r="G146" i="18" s="1"/>
  <c r="C146" i="19" s="1"/>
  <c r="E64" i="17"/>
  <c r="G64" i="17" s="1"/>
  <c r="C64" i="18" s="1"/>
  <c r="E126" i="18"/>
  <c r="G126" i="18" s="1"/>
  <c r="C126" i="19" s="1"/>
  <c r="E35" i="17"/>
  <c r="G35" i="17" s="1"/>
  <c r="C35" i="18" s="1"/>
  <c r="E137" i="18"/>
  <c r="G137" i="18" s="1"/>
  <c r="C137" i="19" s="1"/>
  <c r="E96" i="18"/>
  <c r="G96" i="18" s="1"/>
  <c r="C96" i="19" s="1"/>
  <c r="E21" i="17"/>
  <c r="G21" i="17" s="1"/>
  <c r="C21" i="18" s="1"/>
  <c r="E109" i="18"/>
  <c r="G109" i="18" s="1"/>
  <c r="C109" i="19" s="1"/>
  <c r="E14" i="17"/>
  <c r="G14" i="17" s="1"/>
  <c r="C14" i="18" s="1"/>
  <c r="E138" i="18"/>
  <c r="G138" i="18" s="1"/>
  <c r="C138" i="19" s="1"/>
  <c r="E111" i="18"/>
  <c r="G111" i="18" s="1"/>
  <c r="C111" i="19" s="1"/>
  <c r="E189" i="18"/>
  <c r="G189" i="18" s="1"/>
  <c r="C189" i="19" s="1"/>
  <c r="E93" i="18"/>
  <c r="G93" i="18" s="1"/>
  <c r="C93" i="19" s="1"/>
  <c r="E140" i="18"/>
  <c r="G140" i="18" s="1"/>
  <c r="C140" i="19" s="1"/>
  <c r="E183" i="18"/>
  <c r="G183" i="18" s="1"/>
  <c r="C183" i="19" s="1"/>
  <c r="E194" i="18"/>
  <c r="G194" i="18" s="1"/>
  <c r="C194" i="19" s="1"/>
  <c r="E135" i="18"/>
  <c r="G135" i="18" s="1"/>
  <c r="C135" i="19" s="1"/>
  <c r="E71" i="17"/>
  <c r="G71" i="17" s="1"/>
  <c r="C71" i="18" s="1"/>
  <c r="E160" i="18"/>
  <c r="G160" i="18" s="1"/>
  <c r="C160" i="19" s="1"/>
  <c r="E195" i="18"/>
  <c r="G195" i="18" s="1"/>
  <c r="E188" i="18"/>
  <c r="G188" i="18" s="1"/>
  <c r="C188" i="19" s="1"/>
  <c r="E58" i="17"/>
  <c r="G58" i="17" s="1"/>
  <c r="C58" i="18" s="1"/>
  <c r="E16" i="17"/>
  <c r="G16" i="17" s="1"/>
  <c r="C16" i="18" s="1"/>
  <c r="E50" i="17"/>
  <c r="G50" i="17" s="1"/>
  <c r="C50" i="18" s="1"/>
  <c r="E129" i="18"/>
  <c r="G129" i="18" s="1"/>
  <c r="C129" i="19" s="1"/>
  <c r="E27" i="17"/>
  <c r="G27" i="17" s="1"/>
  <c r="C27" i="18" s="1"/>
  <c r="E178" i="18"/>
  <c r="G178" i="18" s="1"/>
  <c r="C178" i="19" s="1"/>
  <c r="E143" i="18"/>
  <c r="G143" i="18" s="1"/>
  <c r="C143" i="19" s="1"/>
  <c r="E97" i="18"/>
  <c r="G97" i="18" s="1"/>
  <c r="C97" i="19" s="1"/>
  <c r="E181" i="18"/>
  <c r="G181" i="18" s="1"/>
  <c r="C181" i="19" s="1"/>
  <c r="E88" i="18"/>
  <c r="G88" i="18" s="1"/>
  <c r="C88" i="19" s="1"/>
  <c r="E107" i="18"/>
  <c r="G107" i="18" s="1"/>
  <c r="C107" i="19" s="1"/>
  <c r="E166" i="18"/>
  <c r="G166" i="18" s="1"/>
  <c r="C166" i="19" s="1"/>
  <c r="E99" i="18"/>
  <c r="G99" i="18" s="1"/>
  <c r="C99" i="19" s="1"/>
  <c r="E148" i="18"/>
  <c r="G148" i="18" s="1"/>
  <c r="C148" i="19" s="1"/>
  <c r="E7" i="17"/>
  <c r="G7" i="17" s="1"/>
  <c r="C7" i="18" s="1"/>
  <c r="E184" i="18"/>
  <c r="G184" i="18" s="1"/>
  <c r="C184" i="19" s="1"/>
  <c r="E201" i="18"/>
  <c r="G201" i="18" s="1"/>
  <c r="C201" i="19" s="1"/>
  <c r="E116" i="18"/>
  <c r="G116" i="18" s="1"/>
  <c r="C116" i="19" s="1"/>
  <c r="E32" i="17"/>
  <c r="G32" i="17" s="1"/>
  <c r="C32" i="18" s="1"/>
  <c r="E165" i="18"/>
  <c r="G165" i="18" s="1"/>
  <c r="C165" i="19" s="1"/>
  <c r="E185" i="18"/>
  <c r="G185" i="18" s="1"/>
  <c r="C185" i="19" s="1"/>
  <c r="E59" i="17"/>
  <c r="G59" i="17" s="1"/>
  <c r="C59" i="18" s="1"/>
  <c r="E61" i="17"/>
  <c r="G61" i="17" s="1"/>
  <c r="C61" i="18" s="1"/>
  <c r="E8" i="17"/>
  <c r="G8" i="17" s="1"/>
  <c r="C8" i="18" s="1"/>
  <c r="E60" i="17"/>
  <c r="G60" i="17" s="1"/>
  <c r="C60" i="18" s="1"/>
  <c r="E49" i="17"/>
  <c r="G49" i="17" s="1"/>
  <c r="C49" i="18" s="1"/>
  <c r="E186" i="18"/>
  <c r="G186" i="18" s="1"/>
  <c r="C186" i="19" s="1"/>
  <c r="E190" i="18"/>
  <c r="G190" i="18" s="1"/>
  <c r="C190" i="19" s="1"/>
  <c r="E174" i="18"/>
  <c r="G174" i="18" s="1"/>
  <c r="C174" i="19" s="1"/>
  <c r="E41" i="17"/>
  <c r="G41" i="17" s="1"/>
  <c r="C41" i="18" s="1"/>
  <c r="E179" i="18"/>
  <c r="G179" i="18" s="1"/>
  <c r="C179" i="19" s="1"/>
  <c r="E136" i="18"/>
  <c r="G136" i="18" s="1"/>
  <c r="C136" i="19" s="1"/>
  <c r="E6" i="17"/>
  <c r="G6" i="17" s="1"/>
  <c r="C6" i="18" s="1"/>
  <c r="E70" i="17"/>
  <c r="G70" i="17" s="1"/>
  <c r="C70" i="18" s="1"/>
  <c r="E68" i="17"/>
  <c r="G68" i="17" s="1"/>
  <c r="C68" i="18" s="1"/>
  <c r="E81" i="17"/>
  <c r="G81" i="17" s="1"/>
  <c r="C81" i="18" s="1"/>
  <c r="E152" i="18"/>
  <c r="G152" i="18" s="1"/>
  <c r="C152" i="19" s="1"/>
  <c r="E200" i="18"/>
  <c r="G200" i="18" s="1"/>
  <c r="C200" i="19" s="1"/>
  <c r="E91" i="18"/>
  <c r="G91" i="18" s="1"/>
  <c r="C91" i="19" s="1"/>
  <c r="E139" i="18"/>
  <c r="G139" i="18" s="1"/>
  <c r="C139" i="19" s="1"/>
  <c r="E79" i="17"/>
  <c r="G79" i="17" s="1"/>
  <c r="C79" i="18" s="1"/>
  <c r="E191" i="18"/>
  <c r="G191" i="18" s="1"/>
  <c r="C191" i="19" s="1"/>
  <c r="E158" i="18"/>
  <c r="G158" i="18" s="1"/>
  <c r="C158" i="19" s="1"/>
  <c r="E106" i="18"/>
  <c r="G106" i="18" s="1"/>
  <c r="C106" i="19" s="1"/>
  <c r="E53" i="17"/>
  <c r="G53" i="17" s="1"/>
  <c r="C53" i="18" s="1"/>
  <c r="E31" i="17"/>
  <c r="G31" i="17" s="1"/>
  <c r="C31" i="18" s="1"/>
  <c r="E150" i="18"/>
  <c r="G150" i="18" s="1"/>
  <c r="C150" i="19" s="1"/>
  <c r="E142" i="18"/>
  <c r="G142" i="18" s="1"/>
  <c r="C142" i="19" s="1"/>
  <c r="E29" i="17"/>
  <c r="G29" i="17" s="1"/>
  <c r="C29" i="18" s="1"/>
  <c r="E10" i="17"/>
  <c r="G10" i="17" s="1"/>
  <c r="C10" i="18" s="1"/>
  <c r="E151" i="18"/>
  <c r="G151" i="18" s="1"/>
  <c r="C151" i="19" s="1"/>
  <c r="E131" i="18"/>
  <c r="G131" i="18" s="1"/>
  <c r="C131" i="19" s="1"/>
  <c r="E56" i="17"/>
  <c r="G56" i="17" s="1"/>
  <c r="C56" i="18" s="1"/>
  <c r="E128" i="18"/>
  <c r="G128" i="18" s="1"/>
  <c r="C128" i="19" s="1"/>
  <c r="E77" i="17"/>
  <c r="G77" i="17" s="1"/>
  <c r="C77" i="18" s="1"/>
  <c r="E30" i="17"/>
  <c r="G30" i="17" s="1"/>
  <c r="C30" i="18" s="1"/>
  <c r="E110" i="18"/>
  <c r="G110" i="18" s="1"/>
  <c r="C110" i="19" s="1"/>
  <c r="E20" i="17"/>
  <c r="G20" i="17" s="1"/>
  <c r="C20" i="18" s="1"/>
  <c r="E114" i="18"/>
  <c r="G114" i="18" s="1"/>
  <c r="C114" i="19" s="1"/>
  <c r="E44" i="17"/>
  <c r="G44" i="17" s="1"/>
  <c r="C44" i="18" s="1"/>
  <c r="E24" i="17"/>
  <c r="G24" i="17" s="1"/>
  <c r="C24" i="18" s="1"/>
  <c r="E90" i="18"/>
  <c r="G90" i="18" s="1"/>
  <c r="C90" i="19" s="1"/>
  <c r="E124" i="18"/>
  <c r="G124" i="18" s="1"/>
  <c r="C124" i="19" s="1"/>
  <c r="E154" i="18"/>
  <c r="G154" i="18" s="1"/>
  <c r="C154" i="19" s="1"/>
  <c r="E104" i="18"/>
  <c r="G104" i="18" s="1"/>
  <c r="C104" i="19" s="1"/>
  <c r="E172" i="18"/>
  <c r="G172" i="18" s="1"/>
  <c r="C172" i="19" s="1"/>
  <c r="E147" i="18"/>
  <c r="G147" i="18" s="1"/>
  <c r="C147" i="19" s="1"/>
  <c r="E94" i="18"/>
  <c r="G94" i="18" s="1"/>
  <c r="C94" i="19" s="1"/>
  <c r="E203" i="18"/>
  <c r="G203" i="18" s="1"/>
  <c r="C203" i="19" s="1"/>
  <c r="E173" i="18"/>
  <c r="G173" i="18" s="1"/>
  <c r="C173" i="19" s="1"/>
  <c r="E80" i="17"/>
  <c r="G80" i="17" s="1"/>
  <c r="C80" i="18" s="1"/>
  <c r="E171" i="18"/>
  <c r="G171" i="18" s="1"/>
  <c r="C171" i="19" s="1"/>
  <c r="E119" i="18"/>
  <c r="G119" i="18" s="1"/>
  <c r="C119" i="19" s="1"/>
  <c r="E26" i="17"/>
  <c r="G26" i="17" s="1"/>
  <c r="C26" i="18" s="1"/>
  <c r="E108" i="18"/>
  <c r="G108" i="18" s="1"/>
  <c r="C108" i="19" s="1"/>
  <c r="E164" i="18"/>
  <c r="G164" i="18" s="1"/>
  <c r="C164" i="19" s="1"/>
  <c r="E118" i="18"/>
  <c r="G118" i="18" s="1"/>
  <c r="C118" i="19" s="1"/>
  <c r="E82" i="17"/>
  <c r="G82" i="17" s="1"/>
  <c r="C82" i="18" s="1"/>
  <c r="E40" i="17"/>
  <c r="G40" i="17" s="1"/>
  <c r="C40" i="18" s="1"/>
  <c r="E134" i="18"/>
  <c r="G134" i="18" s="1"/>
  <c r="C134" i="19" s="1"/>
  <c r="E54" i="17"/>
  <c r="G54" i="17" s="1"/>
  <c r="C54" i="18" s="1"/>
  <c r="E57" i="17"/>
  <c r="G57" i="17" s="1"/>
  <c r="C57" i="18" s="1"/>
  <c r="E95" i="18"/>
  <c r="G95" i="18" s="1"/>
  <c r="C95" i="19" s="1"/>
  <c r="E182" i="18"/>
  <c r="G182" i="18" s="1"/>
  <c r="C182" i="19" s="1"/>
  <c r="E34" i="17"/>
  <c r="G34" i="17" s="1"/>
  <c r="C34" i="18" s="1"/>
  <c r="E9" i="17"/>
  <c r="G9" i="17" s="1"/>
  <c r="C9" i="18" s="1"/>
  <c r="E75" i="17"/>
  <c r="G75" i="17" s="1"/>
  <c r="C75" i="18" s="1"/>
  <c r="E197" i="18"/>
  <c r="G197" i="18" s="1"/>
  <c r="C197" i="19" s="1"/>
  <c r="C85" i="33"/>
  <c r="E85" i="33" s="1"/>
  <c r="G85" i="33" s="1"/>
  <c r="C149" i="33"/>
  <c r="E149" i="33" s="1"/>
  <c r="G149" i="33" s="1"/>
  <c r="C105" i="33"/>
  <c r="E105" i="33" s="1"/>
  <c r="G105" i="33" s="1"/>
  <c r="E39" i="32"/>
  <c r="G39" i="32" s="1"/>
  <c r="E76" i="21"/>
  <c r="G76" i="21" s="1"/>
  <c r="C76" i="32" s="1"/>
  <c r="E65" i="21"/>
  <c r="G65" i="21" s="1"/>
  <c r="C65" i="32" s="1"/>
  <c r="E87" i="21"/>
  <c r="G87" i="21" s="1"/>
  <c r="C87" i="32" s="1"/>
  <c r="E69" i="20"/>
  <c r="G69" i="20" s="1"/>
  <c r="C69" i="21" s="1"/>
  <c r="E66" i="20"/>
  <c r="G66" i="20" s="1"/>
  <c r="C66" i="21" s="1"/>
  <c r="E196" i="20"/>
  <c r="G196" i="20" s="1"/>
  <c r="C196" i="21" s="1"/>
  <c r="E78" i="18"/>
  <c r="G78" i="18" s="1"/>
  <c r="C78" i="19" s="1"/>
  <c r="E23" i="18"/>
  <c r="G23" i="18" s="1"/>
  <c r="C23" i="19" s="1"/>
  <c r="E86" i="18"/>
  <c r="G86" i="18" s="1"/>
  <c r="C86" i="19" s="1"/>
  <c r="E84" i="18"/>
  <c r="G84" i="18" s="1"/>
  <c r="C84" i="19" s="1"/>
  <c r="E45" i="17"/>
  <c r="G45" i="17" s="1"/>
  <c r="C45" i="18" s="1"/>
  <c r="E177" i="18"/>
  <c r="G177" i="18" s="1"/>
  <c r="C177" i="19" s="1"/>
  <c r="E175" i="18"/>
  <c r="G175" i="18" s="1"/>
  <c r="C175" i="19" s="1"/>
  <c r="E101" i="18"/>
  <c r="G101" i="18" s="1"/>
  <c r="C101" i="19" s="1"/>
  <c r="E162" i="18"/>
  <c r="G162" i="18" s="1"/>
  <c r="C162" i="19" s="1"/>
  <c r="E47" i="17"/>
  <c r="G47" i="17" s="1"/>
  <c r="C47" i="18" s="1"/>
  <c r="E38" i="17"/>
  <c r="G38" i="17" s="1"/>
  <c r="C38" i="18" s="1"/>
  <c r="E37" i="17"/>
  <c r="G37" i="17" s="1"/>
  <c r="C37" i="18" s="1"/>
  <c r="E36" i="17"/>
  <c r="G36" i="17" s="1"/>
  <c r="C36" i="18" s="1"/>
  <c r="E33" i="17"/>
  <c r="G33" i="17" s="1"/>
  <c r="C33" i="18" s="1"/>
  <c r="E28" i="17"/>
  <c r="G28" i="17" s="1"/>
  <c r="C28" i="18" s="1"/>
  <c r="E25" i="17"/>
  <c r="G25" i="17" s="1"/>
  <c r="C25" i="18" s="1"/>
  <c r="E22" i="17"/>
  <c r="G22" i="17" s="1"/>
  <c r="C22" i="18" s="1"/>
  <c r="E5" i="17"/>
  <c r="G5" i="17" s="1"/>
  <c r="C5" i="18" s="1"/>
  <c r="C18" i="18" l="1"/>
  <c r="E18" i="18" s="1"/>
  <c r="G18" i="18" s="1"/>
  <c r="C48" i="18"/>
  <c r="E48" i="18" s="1"/>
  <c r="G48" i="18" s="1"/>
  <c r="C120" i="19"/>
  <c r="E120" i="19" s="1"/>
  <c r="G120" i="19" s="1"/>
  <c r="C43" i="18"/>
  <c r="E43" i="18" s="1"/>
  <c r="G43" i="18" s="1"/>
  <c r="C15" i="18"/>
  <c r="E15" i="18" s="1"/>
  <c r="G15" i="18" s="1"/>
  <c r="C167" i="19"/>
  <c r="E167" i="19" s="1"/>
  <c r="G167" i="19" s="1"/>
  <c r="C17" i="18"/>
  <c r="E17" i="18" s="1"/>
  <c r="G17" i="18" s="1"/>
  <c r="C192" i="19"/>
  <c r="E192" i="19" s="1"/>
  <c r="G192" i="19" s="1"/>
  <c r="C195" i="19"/>
  <c r="E195" i="19" s="1"/>
  <c r="G195" i="19" s="1"/>
  <c r="E154" i="19"/>
  <c r="G154" i="19" s="1"/>
  <c r="C154" i="20" s="1"/>
  <c r="E124" i="19"/>
  <c r="G124" i="19" s="1"/>
  <c r="C124" i="20" s="1"/>
  <c r="E182" i="19"/>
  <c r="G182" i="19" s="1"/>
  <c r="C182" i="20" s="1"/>
  <c r="E94" i="19"/>
  <c r="G94" i="19" s="1"/>
  <c r="C94" i="20" s="1"/>
  <c r="E131" i="19"/>
  <c r="G131" i="19" s="1"/>
  <c r="C131" i="20" s="1"/>
  <c r="E81" i="18"/>
  <c r="G81" i="18" s="1"/>
  <c r="C81" i="19" s="1"/>
  <c r="E165" i="19"/>
  <c r="G165" i="19" s="1"/>
  <c r="C165" i="20" s="1"/>
  <c r="E129" i="19"/>
  <c r="G129" i="19" s="1"/>
  <c r="C129" i="20" s="1"/>
  <c r="E14" i="18"/>
  <c r="G14" i="18" s="1"/>
  <c r="C14" i="19" s="1"/>
  <c r="E159" i="19"/>
  <c r="G159" i="19" s="1"/>
  <c r="C159" i="20" s="1"/>
  <c r="E12" i="18"/>
  <c r="G12" i="18" s="1"/>
  <c r="C12" i="19" s="1"/>
  <c r="E144" i="19"/>
  <c r="G144" i="19" s="1"/>
  <c r="C144" i="20" s="1"/>
  <c r="E42" i="18"/>
  <c r="G42" i="18" s="1"/>
  <c r="C42" i="19" s="1"/>
  <c r="E193" i="19"/>
  <c r="G193" i="19" s="1"/>
  <c r="C193" i="20" s="1"/>
  <c r="E188" i="19"/>
  <c r="G188" i="19" s="1"/>
  <c r="C188" i="20" s="1"/>
  <c r="E95" i="19"/>
  <c r="G95" i="19" s="1"/>
  <c r="C95" i="20" s="1"/>
  <c r="E147" i="19"/>
  <c r="G147" i="19" s="1"/>
  <c r="C147" i="20" s="1"/>
  <c r="E151" i="19"/>
  <c r="G151" i="19" s="1"/>
  <c r="C151" i="20" s="1"/>
  <c r="E68" i="18"/>
  <c r="G68" i="18" s="1"/>
  <c r="C68" i="19" s="1"/>
  <c r="E32" i="18"/>
  <c r="G32" i="18" s="1"/>
  <c r="C32" i="19" s="1"/>
  <c r="E50" i="18"/>
  <c r="G50" i="18" s="1"/>
  <c r="C50" i="19" s="1"/>
  <c r="E109" i="19"/>
  <c r="G109" i="19" s="1"/>
  <c r="C109" i="20" s="1"/>
  <c r="E155" i="19"/>
  <c r="G155" i="19" s="1"/>
  <c r="C155" i="20" s="1"/>
  <c r="E145" i="19"/>
  <c r="G145" i="19" s="1"/>
  <c r="C145" i="20" s="1"/>
  <c r="E67" i="18"/>
  <c r="G67" i="18" s="1"/>
  <c r="C67" i="19" s="1"/>
  <c r="E19" i="18"/>
  <c r="G19" i="18" s="1"/>
  <c r="C19" i="19" s="1"/>
  <c r="E161" i="19"/>
  <c r="G161" i="19" s="1"/>
  <c r="C161" i="20" s="1"/>
  <c r="E134" i="19"/>
  <c r="G134" i="19" s="1"/>
  <c r="C134" i="20" s="1"/>
  <c r="E137" i="19"/>
  <c r="G137" i="19" s="1"/>
  <c r="C137" i="20" s="1"/>
  <c r="E197" i="19"/>
  <c r="G197" i="19" s="1"/>
  <c r="C197" i="20" s="1"/>
  <c r="E171" i="19"/>
  <c r="G171" i="19" s="1"/>
  <c r="C171" i="20" s="1"/>
  <c r="E30" i="18"/>
  <c r="G30" i="18" s="1"/>
  <c r="C30" i="19" s="1"/>
  <c r="E139" i="19"/>
  <c r="G139" i="19" s="1"/>
  <c r="C139" i="20" s="1"/>
  <c r="E8" i="18"/>
  <c r="G8" i="18" s="1"/>
  <c r="C8" i="19" s="1"/>
  <c r="E97" i="19"/>
  <c r="G97" i="19" s="1"/>
  <c r="C97" i="20" s="1"/>
  <c r="E93" i="19"/>
  <c r="G93" i="19" s="1"/>
  <c r="C93" i="20" s="1"/>
  <c r="E132" i="19"/>
  <c r="G132" i="19" s="1"/>
  <c r="C132" i="20" s="1"/>
  <c r="E153" i="19"/>
  <c r="G153" i="19" s="1"/>
  <c r="C153" i="20" s="1"/>
  <c r="E163" i="19"/>
  <c r="G163" i="19" s="1"/>
  <c r="C163" i="20" s="1"/>
  <c r="E13" i="18"/>
  <c r="G13" i="18" s="1"/>
  <c r="C13" i="19" s="1"/>
  <c r="E122" i="19"/>
  <c r="G122" i="19" s="1"/>
  <c r="C122" i="20" s="1"/>
  <c r="E184" i="19"/>
  <c r="G184" i="19" s="1"/>
  <c r="C184" i="20" s="1"/>
  <c r="E75" i="18"/>
  <c r="G75" i="18" s="1"/>
  <c r="C75" i="19" s="1"/>
  <c r="E80" i="18"/>
  <c r="G80" i="18" s="1"/>
  <c r="C80" i="19" s="1"/>
  <c r="E77" i="18"/>
  <c r="G77" i="18" s="1"/>
  <c r="C77" i="19" s="1"/>
  <c r="E91" i="19"/>
  <c r="G91" i="19" s="1"/>
  <c r="C91" i="20" s="1"/>
  <c r="E61" i="18"/>
  <c r="G61" i="18" s="1"/>
  <c r="C61" i="19" s="1"/>
  <c r="E143" i="19"/>
  <c r="G143" i="19" s="1"/>
  <c r="C143" i="20" s="1"/>
  <c r="E189" i="19"/>
  <c r="G189" i="19" s="1"/>
  <c r="C189" i="20" s="1"/>
  <c r="E141" i="19"/>
  <c r="G141" i="19" s="1"/>
  <c r="C141" i="20" s="1"/>
  <c r="E176" i="19"/>
  <c r="G176" i="19" s="1"/>
  <c r="C176" i="20" s="1"/>
  <c r="E199" i="19"/>
  <c r="G199" i="19" s="1"/>
  <c r="C199" i="20" s="1"/>
  <c r="E103" i="19"/>
  <c r="G103" i="19" s="1"/>
  <c r="C103" i="20" s="1"/>
  <c r="E125" i="19"/>
  <c r="G125" i="19" s="1"/>
  <c r="C125" i="20" s="1"/>
  <c r="E136" i="19"/>
  <c r="G136" i="19" s="1"/>
  <c r="C136" i="20" s="1"/>
  <c r="E40" i="18"/>
  <c r="G40" i="18" s="1"/>
  <c r="C40" i="19" s="1"/>
  <c r="E164" i="19"/>
  <c r="G164" i="19" s="1"/>
  <c r="C164" i="20" s="1"/>
  <c r="E44" i="18"/>
  <c r="G44" i="18" s="1"/>
  <c r="C44" i="19" s="1"/>
  <c r="E106" i="19"/>
  <c r="G106" i="19" s="1"/>
  <c r="C106" i="20" s="1"/>
  <c r="E190" i="19"/>
  <c r="G190" i="19" s="1"/>
  <c r="C190" i="20" s="1"/>
  <c r="E166" i="19"/>
  <c r="G166" i="19" s="1"/>
  <c r="C166" i="20" s="1"/>
  <c r="E135" i="19"/>
  <c r="G135" i="19" s="1"/>
  <c r="C135" i="20" s="1"/>
  <c r="E146" i="19"/>
  <c r="G146" i="19" s="1"/>
  <c r="C146" i="20" s="1"/>
  <c r="E63" i="18"/>
  <c r="G63" i="18" s="1"/>
  <c r="C63" i="19" s="1"/>
  <c r="E133" i="19"/>
  <c r="G133" i="19" s="1"/>
  <c r="C133" i="20" s="1"/>
  <c r="E115" i="19"/>
  <c r="G115" i="19" s="1"/>
  <c r="C115" i="20" s="1"/>
  <c r="E98" i="19"/>
  <c r="G98" i="19" s="1"/>
  <c r="C98" i="20" s="1"/>
  <c r="E89" i="19"/>
  <c r="G89" i="19" s="1"/>
  <c r="C89" i="20" s="1"/>
  <c r="E108" i="19"/>
  <c r="G108" i="19" s="1"/>
  <c r="C108" i="20" s="1"/>
  <c r="E114" i="19"/>
  <c r="G114" i="19" s="1"/>
  <c r="C114" i="20" s="1"/>
  <c r="E158" i="19"/>
  <c r="G158" i="19" s="1"/>
  <c r="C158" i="20" s="1"/>
  <c r="E186" i="19"/>
  <c r="G186" i="19" s="1"/>
  <c r="C186" i="20" s="1"/>
  <c r="E107" i="19"/>
  <c r="G107" i="19" s="1"/>
  <c r="C107" i="20" s="1"/>
  <c r="E194" i="19"/>
  <c r="G194" i="19" s="1"/>
  <c r="C194" i="20" s="1"/>
  <c r="E121" i="19"/>
  <c r="G121" i="19" s="1"/>
  <c r="C121" i="20" s="1"/>
  <c r="E72" i="18"/>
  <c r="G72" i="18" s="1"/>
  <c r="C72" i="19" s="1"/>
  <c r="E127" i="19"/>
  <c r="G127" i="19" s="1"/>
  <c r="C127" i="20" s="1"/>
  <c r="E55" i="18"/>
  <c r="G55" i="18" s="1"/>
  <c r="C55" i="19" s="1"/>
  <c r="E73" i="18"/>
  <c r="G73" i="18" s="1"/>
  <c r="C73" i="19" s="1"/>
  <c r="E117" i="19"/>
  <c r="G117" i="19" s="1"/>
  <c r="C117" i="20" s="1"/>
  <c r="E11" i="18"/>
  <c r="G11" i="18" s="1"/>
  <c r="C11" i="19" s="1"/>
  <c r="E51" i="18"/>
  <c r="G51" i="18" s="1"/>
  <c r="C51" i="19" s="1"/>
  <c r="E92" i="19"/>
  <c r="G92" i="19" s="1"/>
  <c r="C92" i="20" s="1"/>
  <c r="E52" i="18"/>
  <c r="G52" i="18" s="1"/>
  <c r="C52" i="19" s="1"/>
  <c r="E102" i="19"/>
  <c r="G102" i="19" s="1"/>
  <c r="C102" i="20" s="1"/>
  <c r="E142" i="19"/>
  <c r="G142" i="19" s="1"/>
  <c r="C142" i="20" s="1"/>
  <c r="E150" i="19"/>
  <c r="G150" i="19" s="1"/>
  <c r="C150" i="20" s="1"/>
  <c r="E179" i="19"/>
  <c r="G179" i="19" s="1"/>
  <c r="C179" i="20" s="1"/>
  <c r="E7" i="18"/>
  <c r="G7" i="18" s="1"/>
  <c r="C7" i="19" s="1"/>
  <c r="E35" i="18"/>
  <c r="G35" i="18" s="1"/>
  <c r="C35" i="19" s="1"/>
  <c r="E46" i="18"/>
  <c r="G46" i="18" s="1"/>
  <c r="C46" i="19" s="1"/>
  <c r="E170" i="19"/>
  <c r="G170" i="19" s="1"/>
  <c r="C170" i="20" s="1"/>
  <c r="E187" i="19"/>
  <c r="G187" i="19" s="1"/>
  <c r="C187" i="20" s="1"/>
  <c r="E168" i="19"/>
  <c r="G168" i="19" s="1"/>
  <c r="C168" i="20" s="1"/>
  <c r="E100" i="19"/>
  <c r="G100" i="19" s="1"/>
  <c r="C100" i="20" s="1"/>
  <c r="E57" i="18"/>
  <c r="G57" i="18" s="1"/>
  <c r="C57" i="19" s="1"/>
  <c r="E26" i="18"/>
  <c r="G26" i="18" s="1"/>
  <c r="C26" i="19" s="1"/>
  <c r="E172" i="19"/>
  <c r="G172" i="19" s="1"/>
  <c r="C172" i="20" s="1"/>
  <c r="E128" i="19"/>
  <c r="G128" i="19" s="1"/>
  <c r="C128" i="20" s="1"/>
  <c r="E34" i="18"/>
  <c r="G34" i="18" s="1"/>
  <c r="C34" i="19" s="1"/>
  <c r="E110" i="19"/>
  <c r="G110" i="19" s="1"/>
  <c r="C110" i="20" s="1"/>
  <c r="E53" i="18"/>
  <c r="G53" i="18" s="1"/>
  <c r="C53" i="19" s="1"/>
  <c r="E60" i="18"/>
  <c r="G60" i="18" s="1"/>
  <c r="C60" i="19" s="1"/>
  <c r="E185" i="19"/>
  <c r="G185" i="19" s="1"/>
  <c r="C185" i="20" s="1"/>
  <c r="E201" i="19"/>
  <c r="G201" i="19" s="1"/>
  <c r="C201" i="20" s="1"/>
  <c r="E99" i="19"/>
  <c r="G99" i="19" s="1"/>
  <c r="C99" i="20" s="1"/>
  <c r="E181" i="19"/>
  <c r="G181" i="19" s="1"/>
  <c r="C181" i="20" s="1"/>
  <c r="E27" i="18"/>
  <c r="G27" i="18" s="1"/>
  <c r="C27" i="19" s="1"/>
  <c r="E58" i="18"/>
  <c r="G58" i="18" s="1"/>
  <c r="C58" i="19" s="1"/>
  <c r="E71" i="18"/>
  <c r="G71" i="18" s="1"/>
  <c r="C71" i="19" s="1"/>
  <c r="E140" i="19"/>
  <c r="G140" i="19" s="1"/>
  <c r="C140" i="20" s="1"/>
  <c r="E138" i="19"/>
  <c r="G138" i="19" s="1"/>
  <c r="C138" i="20" s="1"/>
  <c r="E96" i="19"/>
  <c r="G96" i="19" s="1"/>
  <c r="C96" i="20" s="1"/>
  <c r="E64" i="18"/>
  <c r="G64" i="18" s="1"/>
  <c r="C64" i="19" s="1"/>
  <c r="E156" i="19"/>
  <c r="G156" i="19" s="1"/>
  <c r="C156" i="20" s="1"/>
  <c r="E113" i="19"/>
  <c r="G113" i="19" s="1"/>
  <c r="C113" i="20" s="1"/>
  <c r="E74" i="18"/>
  <c r="G74" i="18" s="1"/>
  <c r="C74" i="19" s="1"/>
  <c r="E198" i="19"/>
  <c r="G198" i="19" s="1"/>
  <c r="C198" i="20" s="1"/>
  <c r="E180" i="19"/>
  <c r="G180" i="19" s="1"/>
  <c r="C180" i="20" s="1"/>
  <c r="E123" i="19"/>
  <c r="G123" i="19" s="1"/>
  <c r="C123" i="20" s="1"/>
  <c r="E157" i="19"/>
  <c r="G157" i="19" s="1"/>
  <c r="C157" i="20" s="1"/>
  <c r="E202" i="19"/>
  <c r="G202" i="19" s="1"/>
  <c r="C202" i="20" s="1"/>
  <c r="E83" i="19"/>
  <c r="G83" i="19" s="1"/>
  <c r="C83" i="20" s="1"/>
  <c r="E62" i="18"/>
  <c r="G62" i="18" s="1"/>
  <c r="C62" i="19" s="1"/>
  <c r="E169" i="19"/>
  <c r="G169" i="19" s="1"/>
  <c r="C169" i="20" s="1"/>
  <c r="E112" i="19"/>
  <c r="G112" i="19" s="1"/>
  <c r="C112" i="20" s="1"/>
  <c r="E130" i="19"/>
  <c r="G130" i="19" s="1"/>
  <c r="C130" i="20" s="1"/>
  <c r="E119" i="19"/>
  <c r="G119" i="19" s="1"/>
  <c r="C119" i="20" s="1"/>
  <c r="E56" i="18"/>
  <c r="G56" i="18" s="1"/>
  <c r="C56" i="19" s="1"/>
  <c r="E174" i="19"/>
  <c r="G174" i="19" s="1"/>
  <c r="C174" i="20" s="1"/>
  <c r="E54" i="18"/>
  <c r="G54" i="18" s="1"/>
  <c r="C54" i="19" s="1"/>
  <c r="E203" i="19"/>
  <c r="G203" i="19" s="1"/>
  <c r="C203" i="20" s="1"/>
  <c r="E79" i="18"/>
  <c r="G79" i="18" s="1"/>
  <c r="C79" i="19" s="1"/>
  <c r="E118" i="19"/>
  <c r="G118" i="19" s="1"/>
  <c r="C118" i="20" s="1"/>
  <c r="E29" i="18"/>
  <c r="G29" i="18" s="1"/>
  <c r="C29" i="19" s="1"/>
  <c r="E152" i="19"/>
  <c r="G152" i="19" s="1"/>
  <c r="C152" i="20" s="1"/>
  <c r="E104" i="19"/>
  <c r="G104" i="19" s="1"/>
  <c r="C104" i="20" s="1"/>
  <c r="E6" i="18"/>
  <c r="G6" i="18" s="1"/>
  <c r="C6" i="19" s="1"/>
  <c r="E24" i="18"/>
  <c r="G24" i="18" s="1"/>
  <c r="C24" i="19" s="1"/>
  <c r="E9" i="18"/>
  <c r="G9" i="18" s="1"/>
  <c r="C9" i="19" s="1"/>
  <c r="E82" i="18"/>
  <c r="G82" i="18" s="1"/>
  <c r="C82" i="19" s="1"/>
  <c r="E173" i="19"/>
  <c r="G173" i="19" s="1"/>
  <c r="C173" i="20" s="1"/>
  <c r="E90" i="19"/>
  <c r="G90" i="19" s="1"/>
  <c r="C90" i="20" s="1"/>
  <c r="E20" i="18"/>
  <c r="G20" i="18" s="1"/>
  <c r="C20" i="19" s="1"/>
  <c r="E10" i="18"/>
  <c r="G10" i="18" s="1"/>
  <c r="C10" i="19" s="1"/>
  <c r="E31" i="18"/>
  <c r="G31" i="18" s="1"/>
  <c r="C31" i="19" s="1"/>
  <c r="E191" i="19"/>
  <c r="G191" i="19" s="1"/>
  <c r="C191" i="20" s="1"/>
  <c r="E200" i="19"/>
  <c r="G200" i="19" s="1"/>
  <c r="C200" i="20" s="1"/>
  <c r="E70" i="18"/>
  <c r="G70" i="18" s="1"/>
  <c r="C70" i="19" s="1"/>
  <c r="E41" i="18"/>
  <c r="G41" i="18" s="1"/>
  <c r="C41" i="19" s="1"/>
  <c r="E49" i="18"/>
  <c r="G49" i="18" s="1"/>
  <c r="C49" i="19" s="1"/>
  <c r="E59" i="18"/>
  <c r="G59" i="18" s="1"/>
  <c r="C59" i="19" s="1"/>
  <c r="E116" i="19"/>
  <c r="G116" i="19" s="1"/>
  <c r="C116" i="20" s="1"/>
  <c r="E148" i="19"/>
  <c r="G148" i="19" s="1"/>
  <c r="C148" i="20" s="1"/>
  <c r="E88" i="19"/>
  <c r="G88" i="19" s="1"/>
  <c r="E178" i="19"/>
  <c r="G178" i="19" s="1"/>
  <c r="C178" i="20" s="1"/>
  <c r="E16" i="18"/>
  <c r="G16" i="18" s="1"/>
  <c r="C16" i="19" s="1"/>
  <c r="E160" i="19"/>
  <c r="G160" i="19" s="1"/>
  <c r="C160" i="20" s="1"/>
  <c r="E183" i="19"/>
  <c r="G183" i="19" s="1"/>
  <c r="C183" i="20" s="1"/>
  <c r="E111" i="19"/>
  <c r="G111" i="19" s="1"/>
  <c r="C111" i="20" s="1"/>
  <c r="E21" i="18"/>
  <c r="G21" i="18" s="1"/>
  <c r="C21" i="19" s="1"/>
  <c r="E126" i="19"/>
  <c r="G126" i="19" s="1"/>
  <c r="C126" i="20" s="1"/>
  <c r="C39" i="33"/>
  <c r="E39" i="33" s="1"/>
  <c r="G39" i="33" s="1"/>
  <c r="E76" i="32"/>
  <c r="G76" i="32" s="1"/>
  <c r="E65" i="32"/>
  <c r="G65" i="32" s="1"/>
  <c r="E87" i="32"/>
  <c r="G87" i="32" s="1"/>
  <c r="E69" i="21"/>
  <c r="G69" i="21" s="1"/>
  <c r="C69" i="32" s="1"/>
  <c r="E66" i="21"/>
  <c r="G66" i="21" s="1"/>
  <c r="C66" i="32" s="1"/>
  <c r="E196" i="21"/>
  <c r="G196" i="21" s="1"/>
  <c r="C196" i="32" s="1"/>
  <c r="E78" i="19"/>
  <c r="G78" i="19" s="1"/>
  <c r="C78" i="20" s="1"/>
  <c r="E23" i="19"/>
  <c r="G23" i="19" s="1"/>
  <c r="C23" i="20" s="1"/>
  <c r="E86" i="19"/>
  <c r="G86" i="19" s="1"/>
  <c r="C86" i="20" s="1"/>
  <c r="E84" i="19"/>
  <c r="G84" i="19" s="1"/>
  <c r="C84" i="20" s="1"/>
  <c r="E45" i="18"/>
  <c r="G45" i="18" s="1"/>
  <c r="C45" i="19" s="1"/>
  <c r="E177" i="19"/>
  <c r="G177" i="19" s="1"/>
  <c r="C177" i="20" s="1"/>
  <c r="E175" i="19"/>
  <c r="G175" i="19" s="1"/>
  <c r="C175" i="20" s="1"/>
  <c r="E101" i="19"/>
  <c r="G101" i="19" s="1"/>
  <c r="C101" i="20" s="1"/>
  <c r="E162" i="19"/>
  <c r="G162" i="19" s="1"/>
  <c r="C162" i="20" s="1"/>
  <c r="E47" i="18"/>
  <c r="G47" i="18" s="1"/>
  <c r="C47" i="19" s="1"/>
  <c r="E38" i="18"/>
  <c r="G38" i="18" s="1"/>
  <c r="C38" i="19" s="1"/>
  <c r="E37" i="18"/>
  <c r="G37" i="18" s="1"/>
  <c r="C37" i="19" s="1"/>
  <c r="E36" i="18"/>
  <c r="G36" i="18" s="1"/>
  <c r="C36" i="19" s="1"/>
  <c r="E33" i="18"/>
  <c r="G33" i="18" s="1"/>
  <c r="C33" i="19" s="1"/>
  <c r="E28" i="18"/>
  <c r="G28" i="18" s="1"/>
  <c r="C28" i="19" s="1"/>
  <c r="E25" i="18"/>
  <c r="G25" i="18" s="1"/>
  <c r="C25" i="19" s="1"/>
  <c r="E22" i="18"/>
  <c r="G22" i="18" s="1"/>
  <c r="C22" i="19" s="1"/>
  <c r="E5" i="18"/>
  <c r="G5" i="18" s="1"/>
  <c r="C5" i="19" s="1"/>
  <c r="C120" i="20" l="1"/>
  <c r="E120" i="20" s="1"/>
  <c r="G120" i="20" s="1"/>
  <c r="C167" i="20"/>
  <c r="E167" i="20" s="1"/>
  <c r="G167" i="20" s="1"/>
  <c r="C15" i="19"/>
  <c r="E15" i="19" s="1"/>
  <c r="G15" i="19" s="1"/>
  <c r="C17" i="19"/>
  <c r="E17" i="19" s="1"/>
  <c r="G17" i="19" s="1"/>
  <c r="C18" i="19"/>
  <c r="E18" i="19" s="1"/>
  <c r="G18" i="19" s="1"/>
  <c r="C43" i="19"/>
  <c r="E43" i="19" s="1"/>
  <c r="G43" i="19" s="1"/>
  <c r="C43" i="20" s="1"/>
  <c r="E43" i="20" s="1"/>
  <c r="G43" i="20" s="1"/>
  <c r="C43" i="21" s="1"/>
  <c r="E43" i="21" s="1"/>
  <c r="G43" i="21" s="1"/>
  <c r="C43" i="32" s="1"/>
  <c r="E43" i="32" s="1"/>
  <c r="G43" i="32" s="1"/>
  <c r="C43" i="33" s="1"/>
  <c r="E43" i="33" s="1"/>
  <c r="G43" i="33" s="1"/>
  <c r="C192" i="20"/>
  <c r="E192" i="20" s="1"/>
  <c r="G192" i="20" s="1"/>
  <c r="C48" i="19"/>
  <c r="E48" i="19" s="1"/>
  <c r="G48" i="19" s="1"/>
  <c r="C48" i="20" s="1"/>
  <c r="E48" i="20" s="1"/>
  <c r="G48" i="20" s="1"/>
  <c r="C48" i="21" s="1"/>
  <c r="E48" i="21" s="1"/>
  <c r="G48" i="21" s="1"/>
  <c r="C48" i="32" s="1"/>
  <c r="E48" i="32" s="1"/>
  <c r="G48" i="32" s="1"/>
  <c r="C48" i="33" s="1"/>
  <c r="E48" i="33" s="1"/>
  <c r="G48" i="33" s="1"/>
  <c r="C195" i="20"/>
  <c r="E195" i="20" s="1"/>
  <c r="G195" i="20" s="1"/>
  <c r="C88" i="20"/>
  <c r="E88" i="20" s="1"/>
  <c r="G88" i="20" s="1"/>
  <c r="E20" i="19"/>
  <c r="G20" i="19" s="1"/>
  <c r="C20" i="20" s="1"/>
  <c r="E57" i="19"/>
  <c r="G57" i="19" s="1"/>
  <c r="C57" i="20" s="1"/>
  <c r="E143" i="20"/>
  <c r="G143" i="20" s="1"/>
  <c r="C143" i="21" s="1"/>
  <c r="E49" i="19"/>
  <c r="G49" i="19" s="1"/>
  <c r="C49" i="20" s="1"/>
  <c r="E90" i="20"/>
  <c r="G90" i="20" s="1"/>
  <c r="C90" i="21" s="1"/>
  <c r="E29" i="19"/>
  <c r="G29" i="19" s="1"/>
  <c r="C29" i="20" s="1"/>
  <c r="E130" i="20"/>
  <c r="G130" i="20" s="1"/>
  <c r="C130" i="21" s="1"/>
  <c r="E180" i="20"/>
  <c r="G180" i="20" s="1"/>
  <c r="C180" i="21" s="1"/>
  <c r="E140" i="20"/>
  <c r="G140" i="20" s="1"/>
  <c r="C140" i="21" s="1"/>
  <c r="E60" i="19"/>
  <c r="G60" i="19" s="1"/>
  <c r="C60" i="20" s="1"/>
  <c r="E100" i="20"/>
  <c r="G100" i="20" s="1"/>
  <c r="C100" i="21" s="1"/>
  <c r="E150" i="20"/>
  <c r="G150" i="20" s="1"/>
  <c r="C150" i="21" s="1"/>
  <c r="E73" i="19"/>
  <c r="G73" i="19" s="1"/>
  <c r="C73" i="20" s="1"/>
  <c r="E158" i="20"/>
  <c r="G158" i="20" s="1"/>
  <c r="C158" i="21" s="1"/>
  <c r="E146" i="20"/>
  <c r="G146" i="20" s="1"/>
  <c r="C146" i="21" s="1"/>
  <c r="E136" i="20"/>
  <c r="G136" i="20" s="1"/>
  <c r="C136" i="21" s="1"/>
  <c r="E61" i="19"/>
  <c r="G61" i="19" s="1"/>
  <c r="C61" i="20" s="1"/>
  <c r="E163" i="20"/>
  <c r="G163" i="20" s="1"/>
  <c r="C163" i="21" s="1"/>
  <c r="E171" i="20"/>
  <c r="G171" i="20" s="1"/>
  <c r="C171" i="21" s="1"/>
  <c r="E155" i="20"/>
  <c r="G155" i="20" s="1"/>
  <c r="C155" i="21" s="1"/>
  <c r="E188" i="20"/>
  <c r="G188" i="20" s="1"/>
  <c r="C188" i="21" s="1"/>
  <c r="E165" i="20"/>
  <c r="G165" i="20" s="1"/>
  <c r="C165" i="21" s="1"/>
  <c r="E119" i="20"/>
  <c r="G119" i="20" s="1"/>
  <c r="C119" i="21" s="1"/>
  <c r="E63" i="19"/>
  <c r="G63" i="19" s="1"/>
  <c r="C63" i="20" s="1"/>
  <c r="E95" i="20"/>
  <c r="G95" i="20" s="1"/>
  <c r="C95" i="21" s="1"/>
  <c r="E160" i="20"/>
  <c r="G160" i="20" s="1"/>
  <c r="C160" i="21" s="1"/>
  <c r="E41" i="19"/>
  <c r="G41" i="19" s="1"/>
  <c r="C41" i="20" s="1"/>
  <c r="E173" i="20"/>
  <c r="G173" i="20" s="1"/>
  <c r="C173" i="21" s="1"/>
  <c r="E118" i="20"/>
  <c r="G118" i="20" s="1"/>
  <c r="C118" i="21" s="1"/>
  <c r="E112" i="20"/>
  <c r="G112" i="20" s="1"/>
  <c r="C112" i="21" s="1"/>
  <c r="E198" i="20"/>
  <c r="G198" i="20" s="1"/>
  <c r="C198" i="21" s="1"/>
  <c r="E71" i="19"/>
  <c r="G71" i="19" s="1"/>
  <c r="C71" i="20" s="1"/>
  <c r="E53" i="19"/>
  <c r="G53" i="19" s="1"/>
  <c r="C53" i="20" s="1"/>
  <c r="E168" i="20"/>
  <c r="G168" i="20" s="1"/>
  <c r="C168" i="21" s="1"/>
  <c r="E142" i="20"/>
  <c r="G142" i="20" s="1"/>
  <c r="C142" i="21" s="1"/>
  <c r="E55" i="19"/>
  <c r="G55" i="19" s="1"/>
  <c r="C55" i="20" s="1"/>
  <c r="E114" i="20"/>
  <c r="G114" i="20" s="1"/>
  <c r="C114" i="21" s="1"/>
  <c r="E135" i="20"/>
  <c r="G135" i="20" s="1"/>
  <c r="C135" i="21" s="1"/>
  <c r="E125" i="20"/>
  <c r="G125" i="20" s="1"/>
  <c r="C125" i="21" s="1"/>
  <c r="E91" i="20"/>
  <c r="G91" i="20" s="1"/>
  <c r="C91" i="21" s="1"/>
  <c r="E153" i="20"/>
  <c r="G153" i="20" s="1"/>
  <c r="C153" i="21" s="1"/>
  <c r="E197" i="20"/>
  <c r="G197" i="20" s="1"/>
  <c r="C197" i="21" s="1"/>
  <c r="E109" i="20"/>
  <c r="G109" i="20" s="1"/>
  <c r="C109" i="21" s="1"/>
  <c r="E193" i="20"/>
  <c r="G193" i="20" s="1"/>
  <c r="C193" i="21" s="1"/>
  <c r="E81" i="19"/>
  <c r="G81" i="19" s="1"/>
  <c r="C81" i="20" s="1"/>
  <c r="E59" i="19"/>
  <c r="G59" i="19" s="1"/>
  <c r="C59" i="20" s="1"/>
  <c r="E185" i="20"/>
  <c r="G185" i="20" s="1"/>
  <c r="C185" i="21" s="1"/>
  <c r="E40" i="19"/>
  <c r="G40" i="19" s="1"/>
  <c r="C40" i="20" s="1"/>
  <c r="E13" i="19"/>
  <c r="G13" i="19" s="1"/>
  <c r="C13" i="20" s="1"/>
  <c r="E183" i="20"/>
  <c r="G183" i="20" s="1"/>
  <c r="C183" i="21" s="1"/>
  <c r="E16" i="19"/>
  <c r="G16" i="19" s="1"/>
  <c r="C16" i="20" s="1"/>
  <c r="E70" i="19"/>
  <c r="G70" i="19" s="1"/>
  <c r="C70" i="20" s="1"/>
  <c r="E82" i="19"/>
  <c r="G82" i="19" s="1"/>
  <c r="C82" i="20" s="1"/>
  <c r="E79" i="19"/>
  <c r="G79" i="19" s="1"/>
  <c r="C79" i="20" s="1"/>
  <c r="E169" i="20"/>
  <c r="G169" i="20" s="1"/>
  <c r="C169" i="21" s="1"/>
  <c r="E74" i="19"/>
  <c r="G74" i="19" s="1"/>
  <c r="C74" i="20" s="1"/>
  <c r="E58" i="19"/>
  <c r="G58" i="19" s="1"/>
  <c r="C58" i="20" s="1"/>
  <c r="E110" i="20"/>
  <c r="G110" i="20" s="1"/>
  <c r="C110" i="21" s="1"/>
  <c r="E187" i="20"/>
  <c r="G187" i="20" s="1"/>
  <c r="C187" i="21" s="1"/>
  <c r="E102" i="20"/>
  <c r="G102" i="20" s="1"/>
  <c r="C102" i="21" s="1"/>
  <c r="E127" i="20"/>
  <c r="G127" i="20" s="1"/>
  <c r="C127" i="21" s="1"/>
  <c r="E108" i="20"/>
  <c r="G108" i="20" s="1"/>
  <c r="C108" i="21" s="1"/>
  <c r="E166" i="20"/>
  <c r="G166" i="20" s="1"/>
  <c r="C166" i="21" s="1"/>
  <c r="E103" i="20"/>
  <c r="G103" i="20" s="1"/>
  <c r="C103" i="21" s="1"/>
  <c r="E77" i="19"/>
  <c r="G77" i="19" s="1"/>
  <c r="C77" i="20" s="1"/>
  <c r="E132" i="20"/>
  <c r="G132" i="20" s="1"/>
  <c r="C132" i="21" s="1"/>
  <c r="E137" i="20"/>
  <c r="G137" i="20" s="1"/>
  <c r="C137" i="21" s="1"/>
  <c r="E50" i="19"/>
  <c r="G50" i="19" s="1"/>
  <c r="C50" i="20" s="1"/>
  <c r="E42" i="19"/>
  <c r="G42" i="19" s="1"/>
  <c r="C42" i="20" s="1"/>
  <c r="E131" i="20"/>
  <c r="G131" i="20" s="1"/>
  <c r="C131" i="21" s="1"/>
  <c r="E138" i="20"/>
  <c r="G138" i="20" s="1"/>
  <c r="C138" i="21" s="1"/>
  <c r="E186" i="20"/>
  <c r="G186" i="20" s="1"/>
  <c r="C186" i="21" s="1"/>
  <c r="E30" i="19"/>
  <c r="G30" i="19" s="1"/>
  <c r="C30" i="20" s="1"/>
  <c r="E178" i="20"/>
  <c r="G178" i="20" s="1"/>
  <c r="C178" i="21" s="1"/>
  <c r="E200" i="20"/>
  <c r="G200" i="20" s="1"/>
  <c r="C200" i="21" s="1"/>
  <c r="E9" i="19"/>
  <c r="G9" i="19" s="1"/>
  <c r="C9" i="20" s="1"/>
  <c r="E203" i="20"/>
  <c r="G203" i="20" s="1"/>
  <c r="C203" i="21" s="1"/>
  <c r="E62" i="19"/>
  <c r="G62" i="19" s="1"/>
  <c r="C62" i="20" s="1"/>
  <c r="E113" i="20"/>
  <c r="G113" i="20" s="1"/>
  <c r="C113" i="21" s="1"/>
  <c r="E27" i="19"/>
  <c r="G27" i="19" s="1"/>
  <c r="C27" i="20" s="1"/>
  <c r="E34" i="19"/>
  <c r="G34" i="19" s="1"/>
  <c r="C34" i="20" s="1"/>
  <c r="E170" i="20"/>
  <c r="G170" i="20" s="1"/>
  <c r="C170" i="21" s="1"/>
  <c r="E52" i="19"/>
  <c r="G52" i="19" s="1"/>
  <c r="C52" i="20" s="1"/>
  <c r="E72" i="19"/>
  <c r="G72" i="19" s="1"/>
  <c r="C72" i="20" s="1"/>
  <c r="E89" i="20"/>
  <c r="G89" i="20" s="1"/>
  <c r="C89" i="21" s="1"/>
  <c r="E190" i="20"/>
  <c r="G190" i="20" s="1"/>
  <c r="C190" i="21" s="1"/>
  <c r="E199" i="20"/>
  <c r="G199" i="20" s="1"/>
  <c r="C199" i="21" s="1"/>
  <c r="E80" i="19"/>
  <c r="G80" i="19" s="1"/>
  <c r="C80" i="20" s="1"/>
  <c r="E93" i="20"/>
  <c r="G93" i="20" s="1"/>
  <c r="C93" i="21" s="1"/>
  <c r="E134" i="20"/>
  <c r="G134" i="20" s="1"/>
  <c r="C134" i="21" s="1"/>
  <c r="E32" i="19"/>
  <c r="G32" i="19" s="1"/>
  <c r="C32" i="20" s="1"/>
  <c r="E144" i="20"/>
  <c r="G144" i="20" s="1"/>
  <c r="C144" i="21" s="1"/>
  <c r="E94" i="20"/>
  <c r="G94" i="20" s="1"/>
  <c r="C94" i="21" s="1"/>
  <c r="E191" i="20"/>
  <c r="G191" i="20" s="1"/>
  <c r="C191" i="21" s="1"/>
  <c r="E24" i="19"/>
  <c r="G24" i="19" s="1"/>
  <c r="C24" i="20" s="1"/>
  <c r="E54" i="19"/>
  <c r="G54" i="19" s="1"/>
  <c r="C54" i="20" s="1"/>
  <c r="E83" i="20"/>
  <c r="G83" i="20" s="1"/>
  <c r="C83" i="21" s="1"/>
  <c r="E156" i="20"/>
  <c r="G156" i="20" s="1"/>
  <c r="C156" i="21" s="1"/>
  <c r="E181" i="20"/>
  <c r="G181" i="20" s="1"/>
  <c r="C181" i="21" s="1"/>
  <c r="E128" i="20"/>
  <c r="G128" i="20" s="1"/>
  <c r="C128" i="21" s="1"/>
  <c r="E46" i="19"/>
  <c r="G46" i="19" s="1"/>
  <c r="C46" i="20" s="1"/>
  <c r="E92" i="20"/>
  <c r="G92" i="20" s="1"/>
  <c r="C92" i="21" s="1"/>
  <c r="E121" i="20"/>
  <c r="G121" i="20" s="1"/>
  <c r="C121" i="21" s="1"/>
  <c r="E98" i="20"/>
  <c r="G98" i="20" s="1"/>
  <c r="C98" i="21" s="1"/>
  <c r="E106" i="20"/>
  <c r="G106" i="20" s="1"/>
  <c r="C106" i="21" s="1"/>
  <c r="E176" i="20"/>
  <c r="G176" i="20" s="1"/>
  <c r="C176" i="21" s="1"/>
  <c r="E75" i="19"/>
  <c r="G75" i="19" s="1"/>
  <c r="C75" i="20" s="1"/>
  <c r="E97" i="20"/>
  <c r="G97" i="20" s="1"/>
  <c r="C97" i="21" s="1"/>
  <c r="E161" i="20"/>
  <c r="G161" i="20" s="1"/>
  <c r="C161" i="21" s="1"/>
  <c r="E68" i="19"/>
  <c r="G68" i="19" s="1"/>
  <c r="C68" i="20" s="1"/>
  <c r="E12" i="19"/>
  <c r="G12" i="19" s="1"/>
  <c r="C12" i="20" s="1"/>
  <c r="E182" i="20"/>
  <c r="G182" i="20" s="1"/>
  <c r="C182" i="21" s="1"/>
  <c r="E111" i="20"/>
  <c r="G111" i="20" s="1"/>
  <c r="C111" i="21" s="1"/>
  <c r="E123" i="20"/>
  <c r="G123" i="20" s="1"/>
  <c r="C123" i="21" s="1"/>
  <c r="E117" i="20"/>
  <c r="G117" i="20" s="1"/>
  <c r="C117" i="21" s="1"/>
  <c r="E129" i="20"/>
  <c r="G129" i="20" s="1"/>
  <c r="C129" i="21" s="1"/>
  <c r="E126" i="20"/>
  <c r="G126" i="20" s="1"/>
  <c r="C126" i="21" s="1"/>
  <c r="E148" i="20"/>
  <c r="G148" i="20" s="1"/>
  <c r="C148" i="21" s="1"/>
  <c r="E31" i="19"/>
  <c r="G31" i="19" s="1"/>
  <c r="C31" i="20" s="1"/>
  <c r="E6" i="19"/>
  <c r="G6" i="19" s="1"/>
  <c r="C6" i="20" s="1"/>
  <c r="E174" i="20"/>
  <c r="G174" i="20" s="1"/>
  <c r="C174" i="21" s="1"/>
  <c r="E202" i="20"/>
  <c r="G202" i="20" s="1"/>
  <c r="C202" i="21" s="1"/>
  <c r="E64" i="19"/>
  <c r="G64" i="19" s="1"/>
  <c r="C64" i="20" s="1"/>
  <c r="E99" i="20"/>
  <c r="G99" i="20" s="1"/>
  <c r="C99" i="21" s="1"/>
  <c r="E172" i="20"/>
  <c r="G172" i="20" s="1"/>
  <c r="C172" i="21" s="1"/>
  <c r="E35" i="19"/>
  <c r="G35" i="19" s="1"/>
  <c r="C35" i="20" s="1"/>
  <c r="E51" i="19"/>
  <c r="G51" i="19" s="1"/>
  <c r="C51" i="20" s="1"/>
  <c r="E194" i="20"/>
  <c r="G194" i="20" s="1"/>
  <c r="C194" i="21" s="1"/>
  <c r="E115" i="20"/>
  <c r="G115" i="20" s="1"/>
  <c r="C115" i="21" s="1"/>
  <c r="E44" i="19"/>
  <c r="G44" i="19" s="1"/>
  <c r="C44" i="20" s="1"/>
  <c r="E141" i="20"/>
  <c r="G141" i="20" s="1"/>
  <c r="C141" i="21" s="1"/>
  <c r="E184" i="20"/>
  <c r="G184" i="20" s="1"/>
  <c r="C184" i="21" s="1"/>
  <c r="E8" i="19"/>
  <c r="G8" i="19" s="1"/>
  <c r="C8" i="20" s="1"/>
  <c r="E19" i="19"/>
  <c r="G19" i="19" s="1"/>
  <c r="C19" i="20" s="1"/>
  <c r="E151" i="20"/>
  <c r="G151" i="20" s="1"/>
  <c r="C151" i="21" s="1"/>
  <c r="E159" i="20"/>
  <c r="G159" i="20" s="1"/>
  <c r="C159" i="21" s="1"/>
  <c r="E124" i="20"/>
  <c r="G124" i="20" s="1"/>
  <c r="C124" i="21" s="1"/>
  <c r="E152" i="20"/>
  <c r="G152" i="20" s="1"/>
  <c r="C152" i="21" s="1"/>
  <c r="E179" i="20"/>
  <c r="G179" i="20" s="1"/>
  <c r="C179" i="21" s="1"/>
  <c r="E145" i="20"/>
  <c r="G145" i="20" s="1"/>
  <c r="C145" i="21" s="1"/>
  <c r="E21" i="19"/>
  <c r="G21" i="19" s="1"/>
  <c r="C21" i="20" s="1"/>
  <c r="E116" i="20"/>
  <c r="G116" i="20" s="1"/>
  <c r="C116" i="21" s="1"/>
  <c r="E10" i="19"/>
  <c r="G10" i="19" s="1"/>
  <c r="C10" i="20" s="1"/>
  <c r="E104" i="20"/>
  <c r="G104" i="20" s="1"/>
  <c r="C104" i="21" s="1"/>
  <c r="E56" i="19"/>
  <c r="G56" i="19" s="1"/>
  <c r="C56" i="20" s="1"/>
  <c r="E157" i="20"/>
  <c r="G157" i="20" s="1"/>
  <c r="C157" i="21" s="1"/>
  <c r="E96" i="20"/>
  <c r="G96" i="20" s="1"/>
  <c r="C96" i="21" s="1"/>
  <c r="E201" i="20"/>
  <c r="G201" i="20" s="1"/>
  <c r="C201" i="21" s="1"/>
  <c r="E26" i="19"/>
  <c r="G26" i="19" s="1"/>
  <c r="C26" i="20" s="1"/>
  <c r="E7" i="19"/>
  <c r="G7" i="19" s="1"/>
  <c r="C7" i="20" s="1"/>
  <c r="E11" i="19"/>
  <c r="G11" i="19" s="1"/>
  <c r="C11" i="20" s="1"/>
  <c r="E107" i="20"/>
  <c r="G107" i="20" s="1"/>
  <c r="C107" i="21" s="1"/>
  <c r="E133" i="20"/>
  <c r="G133" i="20" s="1"/>
  <c r="C133" i="21" s="1"/>
  <c r="E164" i="20"/>
  <c r="G164" i="20" s="1"/>
  <c r="C164" i="21" s="1"/>
  <c r="E189" i="20"/>
  <c r="G189" i="20" s="1"/>
  <c r="C189" i="21" s="1"/>
  <c r="E122" i="20"/>
  <c r="G122" i="20" s="1"/>
  <c r="C122" i="21" s="1"/>
  <c r="E139" i="20"/>
  <c r="G139" i="20" s="1"/>
  <c r="C139" i="21" s="1"/>
  <c r="E67" i="19"/>
  <c r="G67" i="19" s="1"/>
  <c r="C67" i="20" s="1"/>
  <c r="E147" i="20"/>
  <c r="G147" i="20" s="1"/>
  <c r="C147" i="21" s="1"/>
  <c r="E14" i="19"/>
  <c r="G14" i="19" s="1"/>
  <c r="C14" i="20" s="1"/>
  <c r="E154" i="20"/>
  <c r="G154" i="20" s="1"/>
  <c r="C154" i="21" s="1"/>
  <c r="C76" i="33"/>
  <c r="E76" i="33" s="1"/>
  <c r="G76" i="33" s="1"/>
  <c r="C65" i="33"/>
  <c r="E65" i="33" s="1"/>
  <c r="G65" i="33" s="1"/>
  <c r="C87" i="33"/>
  <c r="E87" i="33" s="1"/>
  <c r="G87" i="33" s="1"/>
  <c r="E69" i="32"/>
  <c r="G69" i="32" s="1"/>
  <c r="E66" i="32"/>
  <c r="G66" i="32" s="1"/>
  <c r="E196" i="32"/>
  <c r="G196" i="32" s="1"/>
  <c r="E78" i="20"/>
  <c r="G78" i="20" s="1"/>
  <c r="C78" i="21" s="1"/>
  <c r="E23" i="20"/>
  <c r="G23" i="20" s="1"/>
  <c r="C23" i="21" s="1"/>
  <c r="E86" i="20"/>
  <c r="G86" i="20" s="1"/>
  <c r="C86" i="21" s="1"/>
  <c r="E84" i="20"/>
  <c r="G84" i="20" s="1"/>
  <c r="C84" i="21" s="1"/>
  <c r="E45" i="19"/>
  <c r="G45" i="19" s="1"/>
  <c r="C45" i="20" s="1"/>
  <c r="E177" i="20"/>
  <c r="G177" i="20" s="1"/>
  <c r="C177" i="21" s="1"/>
  <c r="E175" i="20"/>
  <c r="G175" i="20" s="1"/>
  <c r="C175" i="21" s="1"/>
  <c r="E101" i="20"/>
  <c r="G101" i="20" s="1"/>
  <c r="C101" i="21" s="1"/>
  <c r="E162" i="20"/>
  <c r="G162" i="20" s="1"/>
  <c r="C162" i="21" s="1"/>
  <c r="E47" i="19"/>
  <c r="G47" i="19" s="1"/>
  <c r="C47" i="20" s="1"/>
  <c r="E38" i="19"/>
  <c r="G38" i="19" s="1"/>
  <c r="C38" i="20" s="1"/>
  <c r="E37" i="19"/>
  <c r="G37" i="19" s="1"/>
  <c r="C37" i="20" s="1"/>
  <c r="E36" i="19"/>
  <c r="G36" i="19" s="1"/>
  <c r="C36" i="20" s="1"/>
  <c r="E33" i="19"/>
  <c r="G33" i="19" s="1"/>
  <c r="C33" i="20" s="1"/>
  <c r="E28" i="19"/>
  <c r="G28" i="19" s="1"/>
  <c r="C28" i="20" s="1"/>
  <c r="E25" i="19"/>
  <c r="G25" i="19" s="1"/>
  <c r="C25" i="20" s="1"/>
  <c r="E22" i="19"/>
  <c r="G22" i="19" s="1"/>
  <c r="C22" i="20" s="1"/>
  <c r="E5" i="19"/>
  <c r="G5" i="19" s="1"/>
  <c r="C5" i="20" s="1"/>
  <c r="C192" i="21" l="1"/>
  <c r="E192" i="21" s="1"/>
  <c r="G192" i="21" s="1"/>
  <c r="C17" i="20"/>
  <c r="E17" i="20" s="1"/>
  <c r="G17" i="20" s="1"/>
  <c r="C15" i="20"/>
  <c r="E15" i="20" s="1"/>
  <c r="G15" i="20" s="1"/>
  <c r="C120" i="21"/>
  <c r="E120" i="21" s="1"/>
  <c r="G120" i="21" s="1"/>
  <c r="C18" i="20"/>
  <c r="E18" i="20" s="1"/>
  <c r="G18" i="20" s="1"/>
  <c r="C167" i="21"/>
  <c r="E167" i="21" s="1"/>
  <c r="G167" i="21" s="1"/>
  <c r="C167" i="32" s="1"/>
  <c r="E167" i="32" s="1"/>
  <c r="G167" i="32" s="1"/>
  <c r="C167" i="33" s="1"/>
  <c r="E167" i="33" s="1"/>
  <c r="G167" i="33" s="1"/>
  <c r="C195" i="21"/>
  <c r="E195" i="21" s="1"/>
  <c r="G195" i="21" s="1"/>
  <c r="C88" i="21"/>
  <c r="E88" i="21" s="1"/>
  <c r="G88" i="21" s="1"/>
  <c r="E164" i="21"/>
  <c r="G164" i="21" s="1"/>
  <c r="C164" i="32" s="1"/>
  <c r="E21" i="20"/>
  <c r="G21" i="20" s="1"/>
  <c r="C21" i="21" s="1"/>
  <c r="E151" i="21"/>
  <c r="G151" i="21" s="1"/>
  <c r="C151" i="32" s="1"/>
  <c r="E202" i="21"/>
  <c r="G202" i="21" s="1"/>
  <c r="C202" i="32" s="1"/>
  <c r="E161" i="21"/>
  <c r="G161" i="21" s="1"/>
  <c r="C161" i="32" s="1"/>
  <c r="E121" i="21"/>
  <c r="G121" i="21" s="1"/>
  <c r="C121" i="32" s="1"/>
  <c r="E134" i="21"/>
  <c r="G134" i="21" s="1"/>
  <c r="C134" i="32" s="1"/>
  <c r="E203" i="21"/>
  <c r="G203" i="21" s="1"/>
  <c r="C203" i="32" s="1"/>
  <c r="E138" i="21"/>
  <c r="G138" i="21" s="1"/>
  <c r="C138" i="32" s="1"/>
  <c r="E110" i="21"/>
  <c r="G110" i="21" s="1"/>
  <c r="C110" i="32" s="1"/>
  <c r="E81" i="20"/>
  <c r="G81" i="20" s="1"/>
  <c r="C81" i="21" s="1"/>
  <c r="E125" i="21"/>
  <c r="G125" i="21" s="1"/>
  <c r="C125" i="32" s="1"/>
  <c r="E160" i="21"/>
  <c r="G160" i="21" s="1"/>
  <c r="C160" i="32" s="1"/>
  <c r="E73" i="20"/>
  <c r="G73" i="20" s="1"/>
  <c r="C73" i="21" s="1"/>
  <c r="E130" i="21"/>
  <c r="G130" i="21" s="1"/>
  <c r="C130" i="32" s="1"/>
  <c r="E19" i="20"/>
  <c r="G19" i="20" s="1"/>
  <c r="E174" i="21"/>
  <c r="G174" i="21" s="1"/>
  <c r="C174" i="32" s="1"/>
  <c r="E117" i="21"/>
  <c r="G117" i="21" s="1"/>
  <c r="C117" i="32" s="1"/>
  <c r="E92" i="21"/>
  <c r="G92" i="21" s="1"/>
  <c r="C92" i="32" s="1"/>
  <c r="E93" i="21"/>
  <c r="G93" i="21" s="1"/>
  <c r="C93" i="32" s="1"/>
  <c r="E52" i="20"/>
  <c r="G52" i="20" s="1"/>
  <c r="C52" i="21" s="1"/>
  <c r="E131" i="21"/>
  <c r="G131" i="21" s="1"/>
  <c r="C131" i="32" s="1"/>
  <c r="E58" i="20"/>
  <c r="G58" i="20" s="1"/>
  <c r="C58" i="21" s="1"/>
  <c r="E16" i="20"/>
  <c r="G16" i="20" s="1"/>
  <c r="C16" i="21" s="1"/>
  <c r="E135" i="21"/>
  <c r="G135" i="21" s="1"/>
  <c r="C135" i="32" s="1"/>
  <c r="E95" i="21"/>
  <c r="G95" i="21" s="1"/>
  <c r="C95" i="32" s="1"/>
  <c r="E171" i="21"/>
  <c r="G171" i="21" s="1"/>
  <c r="C171" i="32" s="1"/>
  <c r="E29" i="20"/>
  <c r="G29" i="20" s="1"/>
  <c r="C29" i="21" s="1"/>
  <c r="E147" i="21"/>
  <c r="G147" i="21" s="1"/>
  <c r="C147" i="32" s="1"/>
  <c r="E157" i="21"/>
  <c r="G157" i="21" s="1"/>
  <c r="C157" i="32" s="1"/>
  <c r="E8" i="20"/>
  <c r="G8" i="20" s="1"/>
  <c r="C8" i="21" s="1"/>
  <c r="E51" i="20"/>
  <c r="G51" i="20" s="1"/>
  <c r="C51" i="21" s="1"/>
  <c r="E123" i="21"/>
  <c r="G123" i="21" s="1"/>
  <c r="C123" i="32" s="1"/>
  <c r="E46" i="20"/>
  <c r="G46" i="20" s="1"/>
  <c r="C46" i="21" s="1"/>
  <c r="E24" i="20"/>
  <c r="G24" i="20" s="1"/>
  <c r="C24" i="21" s="1"/>
  <c r="E170" i="21"/>
  <c r="G170" i="21" s="1"/>
  <c r="C170" i="32" s="1"/>
  <c r="E42" i="20"/>
  <c r="G42" i="20" s="1"/>
  <c r="C42" i="21" s="1"/>
  <c r="E166" i="21"/>
  <c r="G166" i="21" s="1"/>
  <c r="C166" i="32" s="1"/>
  <c r="E183" i="21"/>
  <c r="G183" i="21" s="1"/>
  <c r="C183" i="32" s="1"/>
  <c r="E114" i="21"/>
  <c r="G114" i="21" s="1"/>
  <c r="C114" i="32" s="1"/>
  <c r="E198" i="21"/>
  <c r="G198" i="21" s="1"/>
  <c r="C198" i="32" s="1"/>
  <c r="E163" i="21"/>
  <c r="G163" i="21" s="1"/>
  <c r="C163" i="32" s="1"/>
  <c r="E90" i="21"/>
  <c r="G90" i="21" s="1"/>
  <c r="C90" i="32" s="1"/>
  <c r="E67" i="20"/>
  <c r="G67" i="20" s="1"/>
  <c r="C67" i="21" s="1"/>
  <c r="E56" i="20"/>
  <c r="G56" i="20" s="1"/>
  <c r="C56" i="21" s="1"/>
  <c r="E179" i="21"/>
  <c r="G179" i="21" s="1"/>
  <c r="C179" i="32" s="1"/>
  <c r="E35" i="20"/>
  <c r="G35" i="20" s="1"/>
  <c r="C35" i="21" s="1"/>
  <c r="E111" i="21"/>
  <c r="G111" i="21" s="1"/>
  <c r="C111" i="32" s="1"/>
  <c r="E75" i="20"/>
  <c r="G75" i="20" s="1"/>
  <c r="C75" i="21" s="1"/>
  <c r="E191" i="21"/>
  <c r="G191" i="21" s="1"/>
  <c r="C191" i="32" s="1"/>
  <c r="E34" i="20"/>
  <c r="G34" i="20" s="1"/>
  <c r="C34" i="21" s="1"/>
  <c r="E200" i="21"/>
  <c r="G200" i="21" s="1"/>
  <c r="C200" i="32" s="1"/>
  <c r="E108" i="21"/>
  <c r="G108" i="21" s="1"/>
  <c r="C108" i="32" s="1"/>
  <c r="E13" i="20"/>
  <c r="G13" i="20" s="1"/>
  <c r="C13" i="21" s="1"/>
  <c r="E109" i="21"/>
  <c r="G109" i="21" s="1"/>
  <c r="C109" i="32" s="1"/>
  <c r="E112" i="21"/>
  <c r="G112" i="21" s="1"/>
  <c r="C112" i="32" s="1"/>
  <c r="E61" i="20"/>
  <c r="G61" i="20" s="1"/>
  <c r="C61" i="21" s="1"/>
  <c r="E100" i="21"/>
  <c r="G100" i="21" s="1"/>
  <c r="C100" i="32" s="1"/>
  <c r="E11" i="20"/>
  <c r="G11" i="20" s="1"/>
  <c r="C11" i="21" s="1"/>
  <c r="E152" i="21"/>
  <c r="G152" i="21" s="1"/>
  <c r="C152" i="32" s="1"/>
  <c r="E172" i="21"/>
  <c r="G172" i="21" s="1"/>
  <c r="C172" i="32" s="1"/>
  <c r="E31" i="20"/>
  <c r="G31" i="20" s="1"/>
  <c r="C31" i="21" s="1"/>
  <c r="E176" i="21"/>
  <c r="G176" i="21" s="1"/>
  <c r="C176" i="32" s="1"/>
  <c r="E94" i="21"/>
  <c r="G94" i="21" s="1"/>
  <c r="C94" i="32" s="1"/>
  <c r="E199" i="21"/>
  <c r="G199" i="21" s="1"/>
  <c r="C199" i="32" s="1"/>
  <c r="E178" i="21"/>
  <c r="G178" i="21" s="1"/>
  <c r="C178" i="32" s="1"/>
  <c r="E127" i="21"/>
  <c r="G127" i="21" s="1"/>
  <c r="C127" i="32" s="1"/>
  <c r="E169" i="21"/>
  <c r="G169" i="21" s="1"/>
  <c r="C169" i="32" s="1"/>
  <c r="E197" i="21"/>
  <c r="G197" i="21" s="1"/>
  <c r="C197" i="32" s="1"/>
  <c r="E118" i="21"/>
  <c r="G118" i="21" s="1"/>
  <c r="C118" i="32" s="1"/>
  <c r="E119" i="21"/>
  <c r="G119" i="21" s="1"/>
  <c r="C119" i="32" s="1"/>
  <c r="E60" i="20"/>
  <c r="G60" i="20" s="1"/>
  <c r="C60" i="21" s="1"/>
  <c r="E139" i="21"/>
  <c r="G139" i="21" s="1"/>
  <c r="C139" i="32" s="1"/>
  <c r="E7" i="20"/>
  <c r="G7" i="20" s="1"/>
  <c r="C7" i="21" s="1"/>
  <c r="E124" i="21"/>
  <c r="G124" i="21" s="1"/>
  <c r="C124" i="32" s="1"/>
  <c r="E141" i="21"/>
  <c r="G141" i="21" s="1"/>
  <c r="C141" i="32" s="1"/>
  <c r="E148" i="21"/>
  <c r="G148" i="21" s="1"/>
  <c r="C148" i="32" s="1"/>
  <c r="E106" i="21"/>
  <c r="G106" i="21" s="1"/>
  <c r="C106" i="32" s="1"/>
  <c r="E181" i="21"/>
  <c r="G181" i="21" s="1"/>
  <c r="C181" i="32" s="1"/>
  <c r="E190" i="21"/>
  <c r="G190" i="21" s="1"/>
  <c r="C190" i="32" s="1"/>
  <c r="E30" i="20"/>
  <c r="G30" i="20" s="1"/>
  <c r="C30" i="21" s="1"/>
  <c r="E137" i="21"/>
  <c r="G137" i="21" s="1"/>
  <c r="C137" i="32" s="1"/>
  <c r="E79" i="20"/>
  <c r="G79" i="20" s="1"/>
  <c r="C79" i="21" s="1"/>
  <c r="E153" i="21"/>
  <c r="G153" i="21" s="1"/>
  <c r="C153" i="32" s="1"/>
  <c r="E142" i="21"/>
  <c r="G142" i="21" s="1"/>
  <c r="C142" i="32" s="1"/>
  <c r="E165" i="21"/>
  <c r="G165" i="21" s="1"/>
  <c r="C165" i="32" s="1"/>
  <c r="E140" i="21"/>
  <c r="G140" i="21" s="1"/>
  <c r="C140" i="32" s="1"/>
  <c r="E143" i="21"/>
  <c r="G143" i="21" s="1"/>
  <c r="C143" i="32" s="1"/>
  <c r="E96" i="21"/>
  <c r="G96" i="21" s="1"/>
  <c r="C96" i="32" s="1"/>
  <c r="E26" i="20"/>
  <c r="G26" i="20" s="1"/>
  <c r="C26" i="21" s="1"/>
  <c r="E10" i="20"/>
  <c r="G10" i="20" s="1"/>
  <c r="C10" i="21" s="1"/>
  <c r="E44" i="20"/>
  <c r="G44" i="20" s="1"/>
  <c r="C44" i="21" s="1"/>
  <c r="E126" i="21"/>
  <c r="G126" i="21" s="1"/>
  <c r="C126" i="32" s="1"/>
  <c r="E12" i="20"/>
  <c r="G12" i="20" s="1"/>
  <c r="C12" i="21" s="1"/>
  <c r="E156" i="21"/>
  <c r="G156" i="21" s="1"/>
  <c r="C156" i="32" s="1"/>
  <c r="E89" i="21"/>
  <c r="G89" i="21" s="1"/>
  <c r="C89" i="32" s="1"/>
  <c r="E113" i="21"/>
  <c r="G113" i="21" s="1"/>
  <c r="C113" i="32" s="1"/>
  <c r="E132" i="21"/>
  <c r="G132" i="21" s="1"/>
  <c r="C132" i="32" s="1"/>
  <c r="E82" i="20"/>
  <c r="G82" i="20" s="1"/>
  <c r="C82" i="21" s="1"/>
  <c r="E185" i="21"/>
  <c r="G185" i="21" s="1"/>
  <c r="C185" i="32" s="1"/>
  <c r="E168" i="21"/>
  <c r="G168" i="21" s="1"/>
  <c r="C168" i="32" s="1"/>
  <c r="E188" i="21"/>
  <c r="G188" i="21" s="1"/>
  <c r="C188" i="32" s="1"/>
  <c r="E146" i="21"/>
  <c r="G146" i="21" s="1"/>
  <c r="C146" i="32" s="1"/>
  <c r="E57" i="20"/>
  <c r="G57" i="20" s="1"/>
  <c r="C57" i="21" s="1"/>
  <c r="E133" i="21"/>
  <c r="G133" i="21" s="1"/>
  <c r="C133" i="32" s="1"/>
  <c r="E154" i="21"/>
  <c r="G154" i="21" s="1"/>
  <c r="C154" i="32" s="1"/>
  <c r="E189" i="21"/>
  <c r="G189" i="21" s="1"/>
  <c r="C189" i="32" s="1"/>
  <c r="E116" i="21"/>
  <c r="G116" i="21" s="1"/>
  <c r="C116" i="32" s="1"/>
  <c r="E115" i="21"/>
  <c r="G115" i="21" s="1"/>
  <c r="C115" i="32" s="1"/>
  <c r="E64" i="20"/>
  <c r="G64" i="20" s="1"/>
  <c r="C64" i="21" s="1"/>
  <c r="E68" i="20"/>
  <c r="G68" i="20" s="1"/>
  <c r="C68" i="21" s="1"/>
  <c r="E83" i="21"/>
  <c r="G83" i="21" s="1"/>
  <c r="C83" i="32" s="1"/>
  <c r="E32" i="20"/>
  <c r="G32" i="20" s="1"/>
  <c r="C32" i="21" s="1"/>
  <c r="E62" i="20"/>
  <c r="G62" i="20" s="1"/>
  <c r="C62" i="21" s="1"/>
  <c r="E77" i="20"/>
  <c r="G77" i="20" s="1"/>
  <c r="C77" i="21" s="1"/>
  <c r="E187" i="21"/>
  <c r="G187" i="21" s="1"/>
  <c r="C187" i="32" s="1"/>
  <c r="E59" i="20"/>
  <c r="G59" i="20" s="1"/>
  <c r="C59" i="21" s="1"/>
  <c r="E53" i="20"/>
  <c r="G53" i="20" s="1"/>
  <c r="C53" i="21" s="1"/>
  <c r="E41" i="20"/>
  <c r="G41" i="20" s="1"/>
  <c r="C41" i="21" s="1"/>
  <c r="E158" i="21"/>
  <c r="G158" i="21" s="1"/>
  <c r="C158" i="32" s="1"/>
  <c r="E20" i="20"/>
  <c r="G20" i="20" s="1"/>
  <c r="C20" i="21" s="1"/>
  <c r="E194" i="21"/>
  <c r="G194" i="21" s="1"/>
  <c r="C194" i="32" s="1"/>
  <c r="E80" i="20"/>
  <c r="G80" i="20" s="1"/>
  <c r="C80" i="21" s="1"/>
  <c r="E122" i="21"/>
  <c r="G122" i="21" s="1"/>
  <c r="C122" i="32" s="1"/>
  <c r="E99" i="21"/>
  <c r="G99" i="21" s="1"/>
  <c r="C99" i="32" s="1"/>
  <c r="E98" i="21"/>
  <c r="G98" i="21" s="1"/>
  <c r="C98" i="32" s="1"/>
  <c r="E9" i="20"/>
  <c r="G9" i="20" s="1"/>
  <c r="C9" i="21" s="1"/>
  <c r="E186" i="21"/>
  <c r="G186" i="21" s="1"/>
  <c r="C186" i="32" s="1"/>
  <c r="E50" i="20"/>
  <c r="G50" i="20" s="1"/>
  <c r="C50" i="21" s="1"/>
  <c r="E103" i="21"/>
  <c r="G103" i="21" s="1"/>
  <c r="C103" i="32" s="1"/>
  <c r="E102" i="21"/>
  <c r="G102" i="21" s="1"/>
  <c r="C102" i="32" s="1"/>
  <c r="E74" i="20"/>
  <c r="G74" i="20" s="1"/>
  <c r="C74" i="21" s="1"/>
  <c r="E70" i="20"/>
  <c r="G70" i="20" s="1"/>
  <c r="C70" i="21" s="1"/>
  <c r="E40" i="20"/>
  <c r="G40" i="20" s="1"/>
  <c r="C40" i="21" s="1"/>
  <c r="E193" i="21"/>
  <c r="G193" i="21" s="1"/>
  <c r="C193" i="32" s="1"/>
  <c r="E91" i="21"/>
  <c r="G91" i="21" s="1"/>
  <c r="C91" i="32" s="1"/>
  <c r="E55" i="20"/>
  <c r="G55" i="20" s="1"/>
  <c r="C55" i="21" s="1"/>
  <c r="E71" i="20"/>
  <c r="G71" i="20" s="1"/>
  <c r="C71" i="21" s="1"/>
  <c r="E173" i="21"/>
  <c r="G173" i="21" s="1"/>
  <c r="C173" i="32" s="1"/>
  <c r="E63" i="20"/>
  <c r="G63" i="20" s="1"/>
  <c r="C63" i="21" s="1"/>
  <c r="E155" i="21"/>
  <c r="G155" i="21" s="1"/>
  <c r="C155" i="32" s="1"/>
  <c r="E136" i="21"/>
  <c r="G136" i="21" s="1"/>
  <c r="C136" i="32" s="1"/>
  <c r="E150" i="21"/>
  <c r="G150" i="21" s="1"/>
  <c r="C150" i="32" s="1"/>
  <c r="E180" i="21"/>
  <c r="G180" i="21" s="1"/>
  <c r="C180" i="32" s="1"/>
  <c r="E49" i="20"/>
  <c r="G49" i="20" s="1"/>
  <c r="C49" i="21" s="1"/>
  <c r="E107" i="21"/>
  <c r="G107" i="21" s="1"/>
  <c r="C107" i="32" s="1"/>
  <c r="E6" i="20"/>
  <c r="G6" i="20" s="1"/>
  <c r="C6" i="21" s="1"/>
  <c r="E144" i="21"/>
  <c r="G144" i="21" s="1"/>
  <c r="C144" i="32" s="1"/>
  <c r="E145" i="21"/>
  <c r="G145" i="21" s="1"/>
  <c r="C145" i="32" s="1"/>
  <c r="E129" i="21"/>
  <c r="G129" i="21" s="1"/>
  <c r="C129" i="32" s="1"/>
  <c r="E128" i="21"/>
  <c r="G128" i="21" s="1"/>
  <c r="C128" i="32" s="1"/>
  <c r="E14" i="20"/>
  <c r="G14" i="20" s="1"/>
  <c r="C14" i="21" s="1"/>
  <c r="E184" i="21"/>
  <c r="G184" i="21" s="1"/>
  <c r="C184" i="32" s="1"/>
  <c r="E72" i="20"/>
  <c r="G72" i="20" s="1"/>
  <c r="C72" i="21" s="1"/>
  <c r="E201" i="21"/>
  <c r="G201" i="21" s="1"/>
  <c r="C201" i="32" s="1"/>
  <c r="E97" i="21"/>
  <c r="G97" i="21" s="1"/>
  <c r="C97" i="32" s="1"/>
  <c r="E104" i="21"/>
  <c r="G104" i="21" s="1"/>
  <c r="C104" i="32" s="1"/>
  <c r="E182" i="21"/>
  <c r="G182" i="21" s="1"/>
  <c r="C182" i="32" s="1"/>
  <c r="E54" i="20"/>
  <c r="G54" i="20" s="1"/>
  <c r="C54" i="21" s="1"/>
  <c r="E159" i="21"/>
  <c r="G159" i="21" s="1"/>
  <c r="C159" i="32" s="1"/>
  <c r="E27" i="20"/>
  <c r="G27" i="20" s="1"/>
  <c r="C27" i="21" s="1"/>
  <c r="C69" i="33"/>
  <c r="E69" i="33" s="1"/>
  <c r="G69" i="33" s="1"/>
  <c r="C66" i="33"/>
  <c r="E66" i="33" s="1"/>
  <c r="G66" i="33" s="1"/>
  <c r="C196" i="33"/>
  <c r="E196" i="33" s="1"/>
  <c r="G196" i="33" s="1"/>
  <c r="E78" i="21"/>
  <c r="G78" i="21" s="1"/>
  <c r="C78" i="32" s="1"/>
  <c r="E23" i="21"/>
  <c r="G23" i="21" s="1"/>
  <c r="C23" i="32" s="1"/>
  <c r="E86" i="21"/>
  <c r="G86" i="21" s="1"/>
  <c r="C86" i="32" s="1"/>
  <c r="E84" i="21"/>
  <c r="G84" i="21" s="1"/>
  <c r="C84" i="32" s="1"/>
  <c r="E45" i="20"/>
  <c r="G45" i="20" s="1"/>
  <c r="C45" i="21" s="1"/>
  <c r="E177" i="21"/>
  <c r="G177" i="21" s="1"/>
  <c r="C177" i="32" s="1"/>
  <c r="E175" i="21"/>
  <c r="G175" i="21" s="1"/>
  <c r="C175" i="32" s="1"/>
  <c r="E101" i="21"/>
  <c r="G101" i="21" s="1"/>
  <c r="C101" i="32" s="1"/>
  <c r="E162" i="21"/>
  <c r="G162" i="21" s="1"/>
  <c r="C162" i="32" s="1"/>
  <c r="E47" i="20"/>
  <c r="G47" i="20" s="1"/>
  <c r="C47" i="21" s="1"/>
  <c r="E38" i="20"/>
  <c r="G38" i="20" s="1"/>
  <c r="C38" i="21" s="1"/>
  <c r="E37" i="20"/>
  <c r="G37" i="20" s="1"/>
  <c r="C37" i="21" s="1"/>
  <c r="E36" i="20"/>
  <c r="G36" i="20" s="1"/>
  <c r="C36" i="21" s="1"/>
  <c r="E33" i="20"/>
  <c r="G33" i="20" s="1"/>
  <c r="C33" i="21" s="1"/>
  <c r="E28" i="20"/>
  <c r="G28" i="20" s="1"/>
  <c r="C28" i="21" s="1"/>
  <c r="E25" i="20"/>
  <c r="G25" i="20" s="1"/>
  <c r="C25" i="21" s="1"/>
  <c r="E22" i="20"/>
  <c r="G22" i="20" s="1"/>
  <c r="C22" i="21" s="1"/>
  <c r="E5" i="20"/>
  <c r="G5" i="20" s="1"/>
  <c r="C5" i="21" s="1"/>
  <c r="C120" i="32" l="1"/>
  <c r="E120" i="32" s="1"/>
  <c r="G120" i="32" s="1"/>
  <c r="C120" i="33" s="1"/>
  <c r="E120" i="33" s="1"/>
  <c r="G120" i="33" s="1"/>
  <c r="C15" i="21"/>
  <c r="E15" i="21" s="1"/>
  <c r="G15" i="21" s="1"/>
  <c r="C17" i="21"/>
  <c r="E17" i="21" s="1"/>
  <c r="G17" i="21" s="1"/>
  <c r="C192" i="32"/>
  <c r="E192" i="32" s="1"/>
  <c r="G192" i="32" s="1"/>
  <c r="C192" i="33" s="1"/>
  <c r="E192" i="33" s="1"/>
  <c r="G192" i="33" s="1"/>
  <c r="C18" i="21"/>
  <c r="E18" i="21" s="1"/>
  <c r="G18" i="21" s="1"/>
  <c r="C19" i="21"/>
  <c r="E19" i="21" s="1"/>
  <c r="G19" i="21" s="1"/>
  <c r="C195" i="32"/>
  <c r="E195" i="32" s="1"/>
  <c r="G195" i="32" s="1"/>
  <c r="C195" i="33" s="1"/>
  <c r="E195" i="33" s="1"/>
  <c r="G195" i="33" s="1"/>
  <c r="C88" i="32"/>
  <c r="E88" i="32" s="1"/>
  <c r="G88" i="32" s="1"/>
  <c r="C88" i="33" s="1"/>
  <c r="E88" i="33" s="1"/>
  <c r="G88" i="33" s="1"/>
  <c r="E72" i="21"/>
  <c r="G72" i="21" s="1"/>
  <c r="C72" i="32" s="1"/>
  <c r="E155" i="32"/>
  <c r="G155" i="32" s="1"/>
  <c r="E193" i="32"/>
  <c r="G193" i="32" s="1"/>
  <c r="E194" i="32"/>
  <c r="G194" i="32" s="1"/>
  <c r="E115" i="32"/>
  <c r="G115" i="32" s="1"/>
  <c r="E146" i="32"/>
  <c r="G146" i="32" s="1"/>
  <c r="E26" i="21"/>
  <c r="G26" i="21" s="1"/>
  <c r="C26" i="32" s="1"/>
  <c r="E148" i="32"/>
  <c r="G148" i="32" s="1"/>
  <c r="E119" i="32"/>
  <c r="G119" i="32" s="1"/>
  <c r="E100" i="32"/>
  <c r="G100" i="32" s="1"/>
  <c r="E56" i="21"/>
  <c r="G56" i="21" s="1"/>
  <c r="C56" i="32" s="1"/>
  <c r="E183" i="32"/>
  <c r="G183" i="32" s="1"/>
  <c r="E95" i="32"/>
  <c r="G95" i="32" s="1"/>
  <c r="E160" i="32"/>
  <c r="G160" i="32" s="1"/>
  <c r="E134" i="32"/>
  <c r="G134" i="32" s="1"/>
  <c r="E6" i="21"/>
  <c r="G6" i="21" s="1"/>
  <c r="C6" i="32" s="1"/>
  <c r="E40" i="21"/>
  <c r="G40" i="21" s="1"/>
  <c r="C40" i="32" s="1"/>
  <c r="E20" i="21"/>
  <c r="G20" i="21" s="1"/>
  <c r="C20" i="32" s="1"/>
  <c r="E77" i="21"/>
  <c r="G77" i="21" s="1"/>
  <c r="C77" i="32" s="1"/>
  <c r="E188" i="32"/>
  <c r="G188" i="32" s="1"/>
  <c r="E96" i="32"/>
  <c r="G96" i="32" s="1"/>
  <c r="E79" i="21"/>
  <c r="G79" i="21" s="1"/>
  <c r="C79" i="32" s="1"/>
  <c r="E118" i="32"/>
  <c r="G118" i="32" s="1"/>
  <c r="E61" i="21"/>
  <c r="G61" i="21" s="1"/>
  <c r="C61" i="32" s="1"/>
  <c r="E34" i="21"/>
  <c r="G34" i="21" s="1"/>
  <c r="C34" i="32" s="1"/>
  <c r="E166" i="32"/>
  <c r="G166" i="32" s="1"/>
  <c r="E135" i="32"/>
  <c r="G135" i="32" s="1"/>
  <c r="E92" i="32"/>
  <c r="G92" i="32" s="1"/>
  <c r="E121" i="32"/>
  <c r="G121" i="32" s="1"/>
  <c r="E54" i="21"/>
  <c r="G54" i="21" s="1"/>
  <c r="C54" i="32" s="1"/>
  <c r="E107" i="32"/>
  <c r="G107" i="32" s="1"/>
  <c r="E70" i="21"/>
  <c r="G70" i="21" s="1"/>
  <c r="C70" i="32" s="1"/>
  <c r="E9" i="21"/>
  <c r="G9" i="21" s="1"/>
  <c r="C9" i="32" s="1"/>
  <c r="E62" i="21"/>
  <c r="G62" i="21" s="1"/>
  <c r="C62" i="32" s="1"/>
  <c r="E168" i="32"/>
  <c r="G168" i="32" s="1"/>
  <c r="E156" i="32"/>
  <c r="G156" i="32" s="1"/>
  <c r="E137" i="32"/>
  <c r="G137" i="32" s="1"/>
  <c r="E197" i="32"/>
  <c r="G197" i="32" s="1"/>
  <c r="E176" i="32"/>
  <c r="G176" i="32" s="1"/>
  <c r="E191" i="32"/>
  <c r="G191" i="32" s="1"/>
  <c r="E42" i="21"/>
  <c r="G42" i="21" s="1"/>
  <c r="C42" i="32" s="1"/>
  <c r="E8" i="21"/>
  <c r="G8" i="21" s="1"/>
  <c r="C8" i="32" s="1"/>
  <c r="E117" i="32"/>
  <c r="G117" i="32" s="1"/>
  <c r="E161" i="32"/>
  <c r="G161" i="32" s="1"/>
  <c r="E182" i="32"/>
  <c r="G182" i="32" s="1"/>
  <c r="E49" i="21"/>
  <c r="G49" i="21" s="1"/>
  <c r="C49" i="32" s="1"/>
  <c r="E173" i="32"/>
  <c r="G173" i="32" s="1"/>
  <c r="E98" i="32"/>
  <c r="G98" i="32" s="1"/>
  <c r="E32" i="21"/>
  <c r="G32" i="21" s="1"/>
  <c r="C32" i="32" s="1"/>
  <c r="E189" i="32"/>
  <c r="G189" i="32" s="1"/>
  <c r="E12" i="21"/>
  <c r="G12" i="21" s="1"/>
  <c r="C12" i="32" s="1"/>
  <c r="E30" i="21"/>
  <c r="G30" i="21" s="1"/>
  <c r="C30" i="32" s="1"/>
  <c r="E124" i="32"/>
  <c r="G124" i="32" s="1"/>
  <c r="E31" i="21"/>
  <c r="G31" i="21" s="1"/>
  <c r="C31" i="32" s="1"/>
  <c r="E75" i="21"/>
  <c r="G75" i="21" s="1"/>
  <c r="C75" i="32" s="1"/>
  <c r="E90" i="32"/>
  <c r="G90" i="32" s="1"/>
  <c r="E157" i="32"/>
  <c r="G157" i="32" s="1"/>
  <c r="E174" i="32"/>
  <c r="G174" i="32" s="1"/>
  <c r="E81" i="21"/>
  <c r="G81" i="21" s="1"/>
  <c r="C81" i="32" s="1"/>
  <c r="E104" i="32"/>
  <c r="G104" i="32" s="1"/>
  <c r="E128" i="32"/>
  <c r="G128" i="32" s="1"/>
  <c r="E71" i="21"/>
  <c r="G71" i="21" s="1"/>
  <c r="C71" i="32" s="1"/>
  <c r="E99" i="32"/>
  <c r="G99" i="32" s="1"/>
  <c r="E41" i="21"/>
  <c r="G41" i="21" s="1"/>
  <c r="C41" i="32" s="1"/>
  <c r="E154" i="32"/>
  <c r="G154" i="32" s="1"/>
  <c r="E126" i="32"/>
  <c r="G126" i="32" s="1"/>
  <c r="E140" i="32"/>
  <c r="G140" i="32" s="1"/>
  <c r="E7" i="21"/>
  <c r="G7" i="21" s="1"/>
  <c r="C7" i="32" s="1"/>
  <c r="E172" i="32"/>
  <c r="G172" i="32" s="1"/>
  <c r="E109" i="32"/>
  <c r="G109" i="32" s="1"/>
  <c r="E163" i="32"/>
  <c r="G163" i="32" s="1"/>
  <c r="E147" i="32"/>
  <c r="G147" i="32" s="1"/>
  <c r="E58" i="21"/>
  <c r="G58" i="21" s="1"/>
  <c r="C58" i="32" s="1"/>
  <c r="E110" i="32"/>
  <c r="G110" i="32" s="1"/>
  <c r="E129" i="32"/>
  <c r="G129" i="32" s="1"/>
  <c r="E55" i="21"/>
  <c r="G55" i="21" s="1"/>
  <c r="C55" i="32" s="1"/>
  <c r="E102" i="32"/>
  <c r="G102" i="32" s="1"/>
  <c r="E53" i="21"/>
  <c r="G53" i="21" s="1"/>
  <c r="C53" i="32" s="1"/>
  <c r="E133" i="32"/>
  <c r="G133" i="32" s="1"/>
  <c r="E82" i="21"/>
  <c r="G82" i="21" s="1"/>
  <c r="C82" i="32" s="1"/>
  <c r="E165" i="32"/>
  <c r="G165" i="32" s="1"/>
  <c r="E139" i="32"/>
  <c r="G139" i="32" s="1"/>
  <c r="E127" i="32"/>
  <c r="G127" i="32" s="1"/>
  <c r="E13" i="21"/>
  <c r="G13" i="21" s="1"/>
  <c r="C13" i="32" s="1"/>
  <c r="E198" i="32"/>
  <c r="G198" i="32" s="1"/>
  <c r="E24" i="21"/>
  <c r="G24" i="21" s="1"/>
  <c r="C24" i="32" s="1"/>
  <c r="E131" i="32"/>
  <c r="G131" i="32" s="1"/>
  <c r="E138" i="32"/>
  <c r="G138" i="32" s="1"/>
  <c r="E151" i="32"/>
  <c r="G151" i="32" s="1"/>
  <c r="E145" i="32"/>
  <c r="G145" i="32" s="1"/>
  <c r="E150" i="32"/>
  <c r="G150" i="32" s="1"/>
  <c r="E103" i="32"/>
  <c r="G103" i="32" s="1"/>
  <c r="E59" i="21"/>
  <c r="G59" i="21" s="1"/>
  <c r="C59" i="32" s="1"/>
  <c r="E68" i="21"/>
  <c r="G68" i="21" s="1"/>
  <c r="C68" i="32" s="1"/>
  <c r="E132" i="32"/>
  <c r="G132" i="32" s="1"/>
  <c r="E142" i="32"/>
  <c r="G142" i="32" s="1"/>
  <c r="E181" i="32"/>
  <c r="G181" i="32" s="1"/>
  <c r="E178" i="32"/>
  <c r="G178" i="32" s="1"/>
  <c r="E108" i="32"/>
  <c r="G108" i="32" s="1"/>
  <c r="E35" i="21"/>
  <c r="G35" i="21" s="1"/>
  <c r="C35" i="32" s="1"/>
  <c r="E46" i="21"/>
  <c r="G46" i="21" s="1"/>
  <c r="C46" i="32" s="1"/>
  <c r="E52" i="21"/>
  <c r="G52" i="21" s="1"/>
  <c r="C52" i="32" s="1"/>
  <c r="E130" i="32"/>
  <c r="G130" i="32" s="1"/>
  <c r="E21" i="21"/>
  <c r="G21" i="21" s="1"/>
  <c r="C21" i="32" s="1"/>
  <c r="E184" i="32"/>
  <c r="G184" i="32" s="1"/>
  <c r="E27" i="21"/>
  <c r="G27" i="21" s="1"/>
  <c r="C27" i="32" s="1"/>
  <c r="E201" i="32"/>
  <c r="G201" i="32" s="1"/>
  <c r="E136" i="32"/>
  <c r="G136" i="32" s="1"/>
  <c r="E50" i="21"/>
  <c r="G50" i="21" s="1"/>
  <c r="C50" i="32" s="1"/>
  <c r="E80" i="21"/>
  <c r="G80" i="21" s="1"/>
  <c r="C80" i="32" s="1"/>
  <c r="E64" i="21"/>
  <c r="G64" i="21" s="1"/>
  <c r="C64" i="32" s="1"/>
  <c r="E113" i="32"/>
  <c r="G113" i="32" s="1"/>
  <c r="E10" i="21"/>
  <c r="G10" i="21" s="1"/>
  <c r="C10" i="32" s="1"/>
  <c r="E106" i="32"/>
  <c r="G106" i="32" s="1"/>
  <c r="E199" i="32"/>
  <c r="G199" i="32" s="1"/>
  <c r="E11" i="21"/>
  <c r="G11" i="21" s="1"/>
  <c r="C11" i="32" s="1"/>
  <c r="E179" i="32"/>
  <c r="G179" i="32" s="1"/>
  <c r="E123" i="32"/>
  <c r="G123" i="32" s="1"/>
  <c r="E171" i="32"/>
  <c r="G171" i="32" s="1"/>
  <c r="E73" i="21"/>
  <c r="G73" i="21" s="1"/>
  <c r="C73" i="32" s="1"/>
  <c r="E164" i="32"/>
  <c r="G164" i="32" s="1"/>
  <c r="E144" i="32"/>
  <c r="G144" i="32" s="1"/>
  <c r="E158" i="32"/>
  <c r="G158" i="32" s="1"/>
  <c r="E185" i="32"/>
  <c r="G185" i="32" s="1"/>
  <c r="E91" i="32"/>
  <c r="G91" i="32" s="1"/>
  <c r="E57" i="21"/>
  <c r="G57" i="21" s="1"/>
  <c r="C57" i="32" s="1"/>
  <c r="E141" i="32"/>
  <c r="G141" i="32" s="1"/>
  <c r="E169" i="32"/>
  <c r="G169" i="32" s="1"/>
  <c r="E94" i="32"/>
  <c r="G94" i="32" s="1"/>
  <c r="E152" i="32"/>
  <c r="G152" i="32" s="1"/>
  <c r="E112" i="32"/>
  <c r="G112" i="32" s="1"/>
  <c r="E200" i="32"/>
  <c r="G200" i="32" s="1"/>
  <c r="E111" i="32"/>
  <c r="G111" i="32" s="1"/>
  <c r="E67" i="21"/>
  <c r="G67" i="21" s="1"/>
  <c r="C67" i="32" s="1"/>
  <c r="E114" i="32"/>
  <c r="G114" i="32" s="1"/>
  <c r="E170" i="32"/>
  <c r="G170" i="32" s="1"/>
  <c r="E51" i="21"/>
  <c r="G51" i="21" s="1"/>
  <c r="C51" i="32" s="1"/>
  <c r="E29" i="21"/>
  <c r="G29" i="21" s="1"/>
  <c r="C29" i="32" s="1"/>
  <c r="E16" i="21"/>
  <c r="G16" i="21" s="1"/>
  <c r="C16" i="32" s="1"/>
  <c r="E93" i="32"/>
  <c r="G93" i="32" s="1"/>
  <c r="E125" i="32"/>
  <c r="G125" i="32" s="1"/>
  <c r="E203" i="32"/>
  <c r="G203" i="32" s="1"/>
  <c r="E202" i="32"/>
  <c r="G202" i="32" s="1"/>
  <c r="E63" i="21"/>
  <c r="G63" i="21" s="1"/>
  <c r="C63" i="32" s="1"/>
  <c r="E116" i="32"/>
  <c r="G116" i="32" s="1"/>
  <c r="E60" i="21"/>
  <c r="G60" i="21" s="1"/>
  <c r="C60" i="32" s="1"/>
  <c r="E74" i="21"/>
  <c r="G74" i="21" s="1"/>
  <c r="C74" i="32" s="1"/>
  <c r="E44" i="21"/>
  <c r="G44" i="21" s="1"/>
  <c r="C44" i="32" s="1"/>
  <c r="E97" i="32"/>
  <c r="G97" i="32" s="1"/>
  <c r="E122" i="32"/>
  <c r="G122" i="32" s="1"/>
  <c r="E89" i="32"/>
  <c r="G89" i="32" s="1"/>
  <c r="E14" i="21"/>
  <c r="G14" i="21" s="1"/>
  <c r="C14" i="32" s="1"/>
  <c r="E187" i="32"/>
  <c r="G187" i="32" s="1"/>
  <c r="E153" i="32"/>
  <c r="G153" i="32" s="1"/>
  <c r="E180" i="32"/>
  <c r="G180" i="32" s="1"/>
  <c r="E83" i="32"/>
  <c r="G83" i="32" s="1"/>
  <c r="E190" i="32"/>
  <c r="G190" i="32" s="1"/>
  <c r="E159" i="32"/>
  <c r="G159" i="32" s="1"/>
  <c r="E186" i="32"/>
  <c r="G186" i="32" s="1"/>
  <c r="E143" i="32"/>
  <c r="G143" i="32" s="1"/>
  <c r="E78" i="32"/>
  <c r="G78" i="32" s="1"/>
  <c r="E23" i="32"/>
  <c r="G23" i="32" s="1"/>
  <c r="E86" i="32"/>
  <c r="G86" i="32" s="1"/>
  <c r="E84" i="32"/>
  <c r="G84" i="32" s="1"/>
  <c r="E45" i="21"/>
  <c r="G45" i="21" s="1"/>
  <c r="C45" i="32" s="1"/>
  <c r="E177" i="32"/>
  <c r="G177" i="32" s="1"/>
  <c r="E175" i="32"/>
  <c r="G175" i="32" s="1"/>
  <c r="E101" i="32"/>
  <c r="G101" i="32" s="1"/>
  <c r="E162" i="32"/>
  <c r="G162" i="32" s="1"/>
  <c r="E47" i="21"/>
  <c r="G47" i="21" s="1"/>
  <c r="C47" i="32" s="1"/>
  <c r="E38" i="21"/>
  <c r="G38" i="21" s="1"/>
  <c r="C38" i="32" s="1"/>
  <c r="E37" i="21"/>
  <c r="G37" i="21" s="1"/>
  <c r="C37" i="32" s="1"/>
  <c r="E36" i="21"/>
  <c r="G36" i="21" s="1"/>
  <c r="C36" i="32" s="1"/>
  <c r="E33" i="21"/>
  <c r="G33" i="21" s="1"/>
  <c r="C33" i="32" s="1"/>
  <c r="E28" i="21"/>
  <c r="G28" i="21" s="1"/>
  <c r="C28" i="32" s="1"/>
  <c r="E25" i="21"/>
  <c r="G25" i="21" s="1"/>
  <c r="C25" i="32" s="1"/>
  <c r="E22" i="21"/>
  <c r="G22" i="21" s="1"/>
  <c r="C22" i="32" s="1"/>
  <c r="E5" i="21"/>
  <c r="G5" i="21" s="1"/>
  <c r="C5" i="32" s="1"/>
  <c r="C17" i="32" l="1"/>
  <c r="E17" i="32" s="1"/>
  <c r="G17" i="32" s="1"/>
  <c r="C17" i="33" s="1"/>
  <c r="E17" i="33" s="1"/>
  <c r="G17" i="33" s="1"/>
  <c r="C18" i="32"/>
  <c r="E18" i="32" s="1"/>
  <c r="G18" i="32" s="1"/>
  <c r="C18" i="33" s="1"/>
  <c r="E18" i="33" s="1"/>
  <c r="G18" i="33" s="1"/>
  <c r="C19" i="32"/>
  <c r="E19" i="32" s="1"/>
  <c r="G19" i="32" s="1"/>
  <c r="C19" i="33" s="1"/>
  <c r="E19" i="33" s="1"/>
  <c r="G19" i="33" s="1"/>
  <c r="C15" i="32"/>
  <c r="E15" i="32" s="1"/>
  <c r="G15" i="32" s="1"/>
  <c r="C15" i="33" s="1"/>
  <c r="E15" i="33" s="1"/>
  <c r="G15" i="33" s="1"/>
  <c r="C153" i="33"/>
  <c r="E153" i="33" s="1"/>
  <c r="G153" i="33" s="1"/>
  <c r="C125" i="33"/>
  <c r="E125" i="33" s="1"/>
  <c r="G125" i="33" s="1"/>
  <c r="C114" i="33"/>
  <c r="E114" i="33" s="1"/>
  <c r="G114" i="33" s="1"/>
  <c r="C144" i="33"/>
  <c r="E144" i="33" s="1"/>
  <c r="G144" i="33" s="1"/>
  <c r="E50" i="32"/>
  <c r="G50" i="32" s="1"/>
  <c r="C130" i="33"/>
  <c r="E130" i="33" s="1"/>
  <c r="G130" i="33" s="1"/>
  <c r="C145" i="33"/>
  <c r="E145" i="33" s="1"/>
  <c r="G145" i="33" s="1"/>
  <c r="C102" i="33"/>
  <c r="E102" i="33" s="1"/>
  <c r="G102" i="33" s="1"/>
  <c r="C163" i="33"/>
  <c r="E163" i="33" s="1"/>
  <c r="G163" i="33" s="1"/>
  <c r="C174" i="33"/>
  <c r="E174" i="33" s="1"/>
  <c r="G174" i="33" s="1"/>
  <c r="C182" i="33"/>
  <c r="E182" i="33" s="1"/>
  <c r="G182" i="33" s="1"/>
  <c r="C176" i="33"/>
  <c r="E176" i="33" s="1"/>
  <c r="G176" i="33" s="1"/>
  <c r="C166" i="33"/>
  <c r="E166" i="33" s="1"/>
  <c r="G166" i="33" s="1"/>
  <c r="C95" i="33"/>
  <c r="E95" i="33" s="1"/>
  <c r="G95" i="33" s="1"/>
  <c r="E26" i="32"/>
  <c r="G26" i="32" s="1"/>
  <c r="E67" i="32"/>
  <c r="G67" i="32" s="1"/>
  <c r="C164" i="33"/>
  <c r="E164" i="33" s="1"/>
  <c r="G164" i="33" s="1"/>
  <c r="C199" i="33"/>
  <c r="E199" i="33" s="1"/>
  <c r="G199" i="33" s="1"/>
  <c r="E52" i="32"/>
  <c r="G52" i="32" s="1"/>
  <c r="C151" i="33"/>
  <c r="E151" i="33" s="1"/>
  <c r="G151" i="33" s="1"/>
  <c r="C127" i="33"/>
  <c r="E127" i="33" s="1"/>
  <c r="G127" i="33" s="1"/>
  <c r="C109" i="33"/>
  <c r="E109" i="33" s="1"/>
  <c r="G109" i="33" s="1"/>
  <c r="C157" i="33"/>
  <c r="E157" i="33" s="1"/>
  <c r="G157" i="33" s="1"/>
  <c r="E12" i="32"/>
  <c r="G12" i="32" s="1"/>
  <c r="C197" i="33"/>
  <c r="E197" i="33" s="1"/>
  <c r="G197" i="33" s="1"/>
  <c r="E34" i="32"/>
  <c r="G34" i="32" s="1"/>
  <c r="E77" i="32"/>
  <c r="G77" i="32" s="1"/>
  <c r="C146" i="33"/>
  <c r="E146" i="33" s="1"/>
  <c r="G146" i="33" s="1"/>
  <c r="E60" i="32"/>
  <c r="G60" i="32" s="1"/>
  <c r="C111" i="33"/>
  <c r="E111" i="33" s="1"/>
  <c r="G111" i="33" s="1"/>
  <c r="C141" i="33"/>
  <c r="E141" i="33" s="1"/>
  <c r="G141" i="33" s="1"/>
  <c r="C106" i="33"/>
  <c r="E106" i="33" s="1"/>
  <c r="G106" i="33" s="1"/>
  <c r="E46" i="32"/>
  <c r="G46" i="32" s="1"/>
  <c r="C132" i="33"/>
  <c r="E132" i="33" s="1"/>
  <c r="G132" i="33" s="1"/>
  <c r="C139" i="33"/>
  <c r="E139" i="33" s="1"/>
  <c r="G139" i="33" s="1"/>
  <c r="C172" i="33"/>
  <c r="E172" i="33" s="1"/>
  <c r="G172" i="33" s="1"/>
  <c r="C99" i="33"/>
  <c r="E99" i="33" s="1"/>
  <c r="G99" i="33" s="1"/>
  <c r="C189" i="33"/>
  <c r="E189" i="33" s="1"/>
  <c r="G189" i="33" s="1"/>
  <c r="C137" i="33"/>
  <c r="E137" i="33" s="1"/>
  <c r="G137" i="33" s="1"/>
  <c r="C107" i="33"/>
  <c r="E107" i="33" s="1"/>
  <c r="G107" i="33" s="1"/>
  <c r="E20" i="32"/>
  <c r="G20" i="32" s="1"/>
  <c r="C115" i="33"/>
  <c r="E115" i="33" s="1"/>
  <c r="G115" i="33" s="1"/>
  <c r="E74" i="32"/>
  <c r="G74" i="32" s="1"/>
  <c r="C159" i="33"/>
  <c r="E159" i="33" s="1"/>
  <c r="G159" i="33" s="1"/>
  <c r="C116" i="33"/>
  <c r="E116" i="33" s="1"/>
  <c r="G116" i="33" s="1"/>
  <c r="E16" i="32"/>
  <c r="G16" i="32" s="1"/>
  <c r="E57" i="32"/>
  <c r="G57" i="32" s="1"/>
  <c r="E10" i="32"/>
  <c r="G10" i="32" s="1"/>
  <c r="C201" i="33"/>
  <c r="E201" i="33" s="1"/>
  <c r="G201" i="33" s="1"/>
  <c r="E68" i="32"/>
  <c r="G68" i="32" s="1"/>
  <c r="C165" i="33"/>
  <c r="E165" i="33" s="1"/>
  <c r="G165" i="33" s="1"/>
  <c r="C129" i="33"/>
  <c r="E129" i="33" s="1"/>
  <c r="G129" i="33" s="1"/>
  <c r="E71" i="32"/>
  <c r="G71" i="32" s="1"/>
  <c r="E32" i="32"/>
  <c r="G32" i="32" s="1"/>
  <c r="C117" i="33"/>
  <c r="E117" i="33" s="1"/>
  <c r="G117" i="33" s="1"/>
  <c r="E54" i="32"/>
  <c r="G54" i="32" s="1"/>
  <c r="E40" i="32"/>
  <c r="G40" i="32" s="1"/>
  <c r="E56" i="32"/>
  <c r="G56" i="32" s="1"/>
  <c r="C89" i="33"/>
  <c r="E89" i="33" s="1"/>
  <c r="G89" i="33" s="1"/>
  <c r="E29" i="32"/>
  <c r="G29" i="32" s="1"/>
  <c r="C91" i="33"/>
  <c r="E91" i="33" s="1"/>
  <c r="G91" i="33" s="1"/>
  <c r="C171" i="33"/>
  <c r="E171" i="33" s="1"/>
  <c r="G171" i="33" s="1"/>
  <c r="E27" i="32"/>
  <c r="G27" i="32" s="1"/>
  <c r="E59" i="32"/>
  <c r="G59" i="32" s="1"/>
  <c r="C131" i="33"/>
  <c r="E131" i="33" s="1"/>
  <c r="G131" i="33" s="1"/>
  <c r="C110" i="33"/>
  <c r="E110" i="33" s="1"/>
  <c r="G110" i="33" s="1"/>
  <c r="C128" i="33"/>
  <c r="E128" i="33" s="1"/>
  <c r="G128" i="33" s="1"/>
  <c r="E75" i="32"/>
  <c r="G75" i="32" s="1"/>
  <c r="E8" i="32"/>
  <c r="G8" i="32" s="1"/>
  <c r="C121" i="33"/>
  <c r="E121" i="33" s="1"/>
  <c r="G121" i="33" s="1"/>
  <c r="C118" i="33"/>
  <c r="E118" i="33" s="1"/>
  <c r="G118" i="33" s="1"/>
  <c r="C100" i="33"/>
  <c r="E100" i="33" s="1"/>
  <c r="G100" i="33" s="1"/>
  <c r="C190" i="33"/>
  <c r="E190" i="33" s="1"/>
  <c r="G190" i="33" s="1"/>
  <c r="C122" i="33"/>
  <c r="E122" i="33" s="1"/>
  <c r="G122" i="33" s="1"/>
  <c r="E51" i="32"/>
  <c r="G51" i="32" s="1"/>
  <c r="C112" i="33"/>
  <c r="E112" i="33" s="1"/>
  <c r="G112" i="33" s="1"/>
  <c r="C123" i="33"/>
  <c r="E123" i="33" s="1"/>
  <c r="G123" i="33" s="1"/>
  <c r="C184" i="33"/>
  <c r="E184" i="33" s="1"/>
  <c r="G184" i="33" s="1"/>
  <c r="C108" i="33"/>
  <c r="E108" i="33" s="1"/>
  <c r="G108" i="33" s="1"/>
  <c r="E24" i="32"/>
  <c r="G24" i="32" s="1"/>
  <c r="E58" i="32"/>
  <c r="G58" i="32" s="1"/>
  <c r="C140" i="33"/>
  <c r="E140" i="33" s="1"/>
  <c r="G140" i="33" s="1"/>
  <c r="E31" i="32"/>
  <c r="G31" i="32" s="1"/>
  <c r="E42" i="32"/>
  <c r="G42" i="32" s="1"/>
  <c r="C168" i="33"/>
  <c r="E168" i="33" s="1"/>
  <c r="G168" i="33" s="1"/>
  <c r="E79" i="32"/>
  <c r="G79" i="32" s="1"/>
  <c r="C119" i="33"/>
  <c r="E119" i="33" s="1"/>
  <c r="G119" i="33" s="1"/>
  <c r="C193" i="33"/>
  <c r="E193" i="33" s="1"/>
  <c r="G193" i="33" s="1"/>
  <c r="C187" i="33"/>
  <c r="E187" i="33" s="1"/>
  <c r="G187" i="33" s="1"/>
  <c r="C97" i="33"/>
  <c r="E97" i="33" s="1"/>
  <c r="G97" i="33" s="1"/>
  <c r="C202" i="33"/>
  <c r="E202" i="33" s="1"/>
  <c r="G202" i="33" s="1"/>
  <c r="C152" i="33"/>
  <c r="E152" i="33" s="1"/>
  <c r="G152" i="33" s="1"/>
  <c r="C179" i="33"/>
  <c r="E179" i="33" s="1"/>
  <c r="G179" i="33" s="1"/>
  <c r="E64" i="32"/>
  <c r="G64" i="32" s="1"/>
  <c r="C178" i="33"/>
  <c r="E178" i="33" s="1"/>
  <c r="G178" i="33" s="1"/>
  <c r="C198" i="33"/>
  <c r="E198" i="33" s="1"/>
  <c r="G198" i="33" s="1"/>
  <c r="C133" i="33"/>
  <c r="E133" i="33" s="1"/>
  <c r="G133" i="33" s="1"/>
  <c r="C126" i="33"/>
  <c r="E126" i="33" s="1"/>
  <c r="G126" i="33" s="1"/>
  <c r="C124" i="33"/>
  <c r="E124" i="33" s="1"/>
  <c r="G124" i="33" s="1"/>
  <c r="C173" i="33"/>
  <c r="E173" i="33" s="1"/>
  <c r="G173" i="33" s="1"/>
  <c r="E62" i="32"/>
  <c r="G62" i="32" s="1"/>
  <c r="C96" i="33"/>
  <c r="E96" i="33" s="1"/>
  <c r="G96" i="33" s="1"/>
  <c r="C134" i="33"/>
  <c r="E134" i="33" s="1"/>
  <c r="G134" i="33" s="1"/>
  <c r="C155" i="33"/>
  <c r="E155" i="33" s="1"/>
  <c r="G155" i="33" s="1"/>
  <c r="C186" i="33"/>
  <c r="E186" i="33" s="1"/>
  <c r="G186" i="33" s="1"/>
  <c r="C180" i="33"/>
  <c r="E180" i="33" s="1"/>
  <c r="G180" i="33" s="1"/>
  <c r="C203" i="33"/>
  <c r="E203" i="33" s="1"/>
  <c r="G203" i="33" s="1"/>
  <c r="C94" i="33"/>
  <c r="E94" i="33" s="1"/>
  <c r="G94" i="33" s="1"/>
  <c r="C158" i="33"/>
  <c r="E158" i="33" s="1"/>
  <c r="G158" i="33" s="1"/>
  <c r="E80" i="32"/>
  <c r="G80" i="32" s="1"/>
  <c r="C181" i="33"/>
  <c r="E181" i="33" s="1"/>
  <c r="G181" i="33" s="1"/>
  <c r="C150" i="33"/>
  <c r="E150" i="33" s="1"/>
  <c r="G150" i="33" s="1"/>
  <c r="E53" i="32"/>
  <c r="G53" i="32" s="1"/>
  <c r="C154" i="33"/>
  <c r="E154" i="33" s="1"/>
  <c r="G154" i="33" s="1"/>
  <c r="E81" i="32"/>
  <c r="G81" i="32" s="1"/>
  <c r="E49" i="32"/>
  <c r="G49" i="32" s="1"/>
  <c r="E9" i="32"/>
  <c r="G9" i="32" s="1"/>
  <c r="C135" i="33"/>
  <c r="E135" i="33" s="1"/>
  <c r="G135" i="33" s="1"/>
  <c r="C160" i="33"/>
  <c r="E160" i="33" s="1"/>
  <c r="G160" i="33" s="1"/>
  <c r="E72" i="32"/>
  <c r="G72" i="32" s="1"/>
  <c r="C83" i="33"/>
  <c r="E83" i="33" s="1"/>
  <c r="G83" i="33" s="1"/>
  <c r="E11" i="32"/>
  <c r="G11" i="32" s="1"/>
  <c r="E44" i="32"/>
  <c r="G44" i="32" s="1"/>
  <c r="C185" i="33"/>
  <c r="E185" i="33" s="1"/>
  <c r="G185" i="33" s="1"/>
  <c r="C136" i="33"/>
  <c r="E136" i="33" s="1"/>
  <c r="G136" i="33" s="1"/>
  <c r="C103" i="33"/>
  <c r="E103" i="33" s="1"/>
  <c r="G103" i="33" s="1"/>
  <c r="E55" i="32"/>
  <c r="G55" i="32" s="1"/>
  <c r="C147" i="33"/>
  <c r="E147" i="33" s="1"/>
  <c r="G147" i="33" s="1"/>
  <c r="E7" i="32"/>
  <c r="G7" i="32" s="1"/>
  <c r="E41" i="32"/>
  <c r="G41" i="32" s="1"/>
  <c r="C104" i="33"/>
  <c r="E104" i="33" s="1"/>
  <c r="G104" i="33" s="1"/>
  <c r="C90" i="33"/>
  <c r="E90" i="33" s="1"/>
  <c r="G90" i="33" s="1"/>
  <c r="E30" i="32"/>
  <c r="G30" i="32" s="1"/>
  <c r="C98" i="33"/>
  <c r="E98" i="33" s="1"/>
  <c r="G98" i="33" s="1"/>
  <c r="C161" i="33"/>
  <c r="E161" i="33" s="1"/>
  <c r="G161" i="33" s="1"/>
  <c r="C191" i="33"/>
  <c r="E191" i="33" s="1"/>
  <c r="G191" i="33" s="1"/>
  <c r="C156" i="33"/>
  <c r="E156" i="33" s="1"/>
  <c r="G156" i="33" s="1"/>
  <c r="E70" i="32"/>
  <c r="G70" i="32" s="1"/>
  <c r="C92" i="33"/>
  <c r="E92" i="33" s="1"/>
  <c r="G92" i="33" s="1"/>
  <c r="E61" i="32"/>
  <c r="G61" i="32" s="1"/>
  <c r="C188" i="33"/>
  <c r="E188" i="33" s="1"/>
  <c r="G188" i="33" s="1"/>
  <c r="E6" i="32"/>
  <c r="G6" i="32" s="1"/>
  <c r="C183" i="33"/>
  <c r="E183" i="33" s="1"/>
  <c r="G183" i="33" s="1"/>
  <c r="C148" i="33"/>
  <c r="E148" i="33" s="1"/>
  <c r="G148" i="33" s="1"/>
  <c r="C194" i="33"/>
  <c r="E194" i="33" s="1"/>
  <c r="G194" i="33" s="1"/>
  <c r="C200" i="33"/>
  <c r="E200" i="33" s="1"/>
  <c r="G200" i="33" s="1"/>
  <c r="E82" i="32"/>
  <c r="G82" i="32" s="1"/>
  <c r="C169" i="33"/>
  <c r="E169" i="33" s="1"/>
  <c r="G169" i="33" s="1"/>
  <c r="E13" i="32"/>
  <c r="G13" i="32" s="1"/>
  <c r="C143" i="33"/>
  <c r="E143" i="33" s="1"/>
  <c r="G143" i="33" s="1"/>
  <c r="C170" i="33"/>
  <c r="E170" i="33" s="1"/>
  <c r="G170" i="33" s="1"/>
  <c r="E21" i="32"/>
  <c r="G21" i="32" s="1"/>
  <c r="C93" i="33"/>
  <c r="E93" i="33" s="1"/>
  <c r="G93" i="33" s="1"/>
  <c r="C142" i="33"/>
  <c r="E142" i="33" s="1"/>
  <c r="G142" i="33" s="1"/>
  <c r="E14" i="32"/>
  <c r="G14" i="32" s="1"/>
  <c r="E73" i="32"/>
  <c r="G73" i="32" s="1"/>
  <c r="C138" i="33"/>
  <c r="E138" i="33" s="1"/>
  <c r="G138" i="33" s="1"/>
  <c r="E63" i="32"/>
  <c r="G63" i="32" s="1"/>
  <c r="C113" i="33"/>
  <c r="E113" i="33" s="1"/>
  <c r="G113" i="33" s="1"/>
  <c r="E35" i="32"/>
  <c r="G35" i="32" s="1"/>
  <c r="C78" i="33"/>
  <c r="E78" i="33" s="1"/>
  <c r="G78" i="33" s="1"/>
  <c r="C23" i="33"/>
  <c r="E23" i="33" s="1"/>
  <c r="G23" i="33" s="1"/>
  <c r="C86" i="33"/>
  <c r="E86" i="33" s="1"/>
  <c r="G86" i="33" s="1"/>
  <c r="C84" i="33"/>
  <c r="E84" i="33" s="1"/>
  <c r="G84" i="33" s="1"/>
  <c r="E45" i="32"/>
  <c r="G45" i="32" s="1"/>
  <c r="C177" i="33"/>
  <c r="E177" i="33" s="1"/>
  <c r="G177" i="33" s="1"/>
  <c r="C175" i="33"/>
  <c r="E175" i="33" s="1"/>
  <c r="G175" i="33" s="1"/>
  <c r="C101" i="33"/>
  <c r="E101" i="33" s="1"/>
  <c r="G101" i="33" s="1"/>
  <c r="C162" i="33"/>
  <c r="E162" i="33" s="1"/>
  <c r="G162" i="33" s="1"/>
  <c r="E47" i="32"/>
  <c r="G47" i="32" s="1"/>
  <c r="E38" i="32"/>
  <c r="G38" i="32" s="1"/>
  <c r="E37" i="32"/>
  <c r="G37" i="32" s="1"/>
  <c r="E36" i="32"/>
  <c r="G36" i="32" s="1"/>
  <c r="E33" i="32"/>
  <c r="G33" i="32" s="1"/>
  <c r="E28" i="32"/>
  <c r="G28" i="32" s="1"/>
  <c r="E25" i="32"/>
  <c r="G25" i="32" s="1"/>
  <c r="E22" i="32"/>
  <c r="G22" i="32" s="1"/>
  <c r="E5" i="32"/>
  <c r="G5" i="32" s="1"/>
  <c r="C11" i="33" l="1"/>
  <c r="E11" i="33" s="1"/>
  <c r="G11" i="33" s="1"/>
  <c r="C56" i="33"/>
  <c r="E56" i="33" s="1"/>
  <c r="G56" i="33" s="1"/>
  <c r="C34" i="33"/>
  <c r="E34" i="33" s="1"/>
  <c r="G34" i="33" s="1"/>
  <c r="C81" i="33"/>
  <c r="E81" i="33" s="1"/>
  <c r="G81" i="33" s="1"/>
  <c r="C31" i="33"/>
  <c r="E31" i="33" s="1"/>
  <c r="G31" i="33" s="1"/>
  <c r="C40" i="33"/>
  <c r="E40" i="33" s="1"/>
  <c r="G40" i="33" s="1"/>
  <c r="C52" i="33"/>
  <c r="E52" i="33" s="1"/>
  <c r="G52" i="33" s="1"/>
  <c r="C30" i="33"/>
  <c r="E30" i="33" s="1"/>
  <c r="G30" i="33" s="1"/>
  <c r="C55" i="33"/>
  <c r="E55" i="33" s="1"/>
  <c r="G55" i="33" s="1"/>
  <c r="C62" i="33"/>
  <c r="E62" i="33" s="1"/>
  <c r="G62" i="33" s="1"/>
  <c r="C8" i="33"/>
  <c r="E8" i="33" s="1"/>
  <c r="G8" i="33" s="1"/>
  <c r="C27" i="33"/>
  <c r="E27" i="33" s="1"/>
  <c r="G27" i="33" s="1"/>
  <c r="C68" i="33"/>
  <c r="E68" i="33" s="1"/>
  <c r="G68" i="33" s="1"/>
  <c r="C50" i="33"/>
  <c r="E50" i="33" s="1"/>
  <c r="G50" i="33" s="1"/>
  <c r="C63" i="33"/>
  <c r="E63" i="33" s="1"/>
  <c r="G63" i="33" s="1"/>
  <c r="C53" i="33"/>
  <c r="E53" i="33" s="1"/>
  <c r="G53" i="33" s="1"/>
  <c r="C64" i="33"/>
  <c r="E64" i="33" s="1"/>
  <c r="G64" i="33" s="1"/>
  <c r="C58" i="33"/>
  <c r="E58" i="33" s="1"/>
  <c r="G58" i="33" s="1"/>
  <c r="C51" i="33"/>
  <c r="E51" i="33" s="1"/>
  <c r="G51" i="33" s="1"/>
  <c r="C74" i="33"/>
  <c r="E74" i="33" s="1"/>
  <c r="G74" i="33" s="1"/>
  <c r="C82" i="33"/>
  <c r="E82" i="33" s="1"/>
  <c r="G82" i="33" s="1"/>
  <c r="C70" i="33"/>
  <c r="E70" i="33" s="1"/>
  <c r="G70" i="33" s="1"/>
  <c r="C60" i="33"/>
  <c r="E60" i="33" s="1"/>
  <c r="G60" i="33" s="1"/>
  <c r="C79" i="33"/>
  <c r="E79" i="33" s="1"/>
  <c r="G79" i="33" s="1"/>
  <c r="C32" i="33"/>
  <c r="E32" i="33" s="1"/>
  <c r="G32" i="33" s="1"/>
  <c r="C20" i="33"/>
  <c r="E20" i="33" s="1"/>
  <c r="G20" i="33" s="1"/>
  <c r="C13" i="33"/>
  <c r="E13" i="33" s="1"/>
  <c r="G13" i="33" s="1"/>
  <c r="C41" i="33"/>
  <c r="E41" i="33" s="1"/>
  <c r="G41" i="33" s="1"/>
  <c r="C9" i="33"/>
  <c r="E9" i="33" s="1"/>
  <c r="G9" i="33" s="1"/>
  <c r="C71" i="33"/>
  <c r="E71" i="33" s="1"/>
  <c r="G71" i="33" s="1"/>
  <c r="C57" i="33"/>
  <c r="E57" i="33" s="1"/>
  <c r="G57" i="33" s="1"/>
  <c r="C26" i="33"/>
  <c r="E26" i="33" s="1"/>
  <c r="G26" i="33" s="1"/>
  <c r="C14" i="33"/>
  <c r="E14" i="33" s="1"/>
  <c r="G14" i="33" s="1"/>
  <c r="C6" i="33"/>
  <c r="E6" i="33" s="1"/>
  <c r="G6" i="33" s="1"/>
  <c r="C7" i="33"/>
  <c r="E7" i="33" s="1"/>
  <c r="G7" i="33" s="1"/>
  <c r="C44" i="33"/>
  <c r="E44" i="33" s="1"/>
  <c r="G44" i="33" s="1"/>
  <c r="C80" i="33"/>
  <c r="E80" i="33" s="1"/>
  <c r="G80" i="33" s="1"/>
  <c r="C16" i="33"/>
  <c r="E16" i="33" s="1"/>
  <c r="G16" i="33" s="1"/>
  <c r="C46" i="33"/>
  <c r="E46" i="33" s="1"/>
  <c r="G46" i="33" s="1"/>
  <c r="C77" i="33"/>
  <c r="E77" i="33" s="1"/>
  <c r="G77" i="33" s="1"/>
  <c r="C72" i="33"/>
  <c r="E72" i="33" s="1"/>
  <c r="G72" i="33" s="1"/>
  <c r="C61" i="33"/>
  <c r="E61" i="33" s="1"/>
  <c r="G61" i="33" s="1"/>
  <c r="C49" i="33"/>
  <c r="E49" i="33" s="1"/>
  <c r="G49" i="33" s="1"/>
  <c r="C42" i="33"/>
  <c r="E42" i="33" s="1"/>
  <c r="G42" i="33" s="1"/>
  <c r="C24" i="33"/>
  <c r="E24" i="33" s="1"/>
  <c r="G24" i="33" s="1"/>
  <c r="C75" i="33"/>
  <c r="E75" i="33" s="1"/>
  <c r="G75" i="33" s="1"/>
  <c r="C59" i="33"/>
  <c r="E59" i="33" s="1"/>
  <c r="G59" i="33" s="1"/>
  <c r="C29" i="33"/>
  <c r="E29" i="33" s="1"/>
  <c r="G29" i="33" s="1"/>
  <c r="C54" i="33"/>
  <c r="E54" i="33" s="1"/>
  <c r="G54" i="33" s="1"/>
  <c r="C10" i="33"/>
  <c r="E10" i="33" s="1"/>
  <c r="G10" i="33" s="1"/>
  <c r="C12" i="33"/>
  <c r="E12" i="33" s="1"/>
  <c r="G12" i="33" s="1"/>
  <c r="C67" i="33"/>
  <c r="E67" i="33" s="1"/>
  <c r="G67" i="33" s="1"/>
  <c r="C73" i="33"/>
  <c r="E73" i="33" s="1"/>
  <c r="G73" i="33" s="1"/>
  <c r="C21" i="33"/>
  <c r="E21" i="33" s="1"/>
  <c r="G21" i="33" s="1"/>
  <c r="C35" i="33"/>
  <c r="E35" i="33" s="1"/>
  <c r="G35" i="33" s="1"/>
  <c r="C45" i="33"/>
  <c r="E45" i="33" s="1"/>
  <c r="G45" i="33" s="1"/>
  <c r="C47" i="33"/>
  <c r="E47" i="33" s="1"/>
  <c r="G47" i="33" s="1"/>
  <c r="C38" i="33"/>
  <c r="E38" i="33" s="1"/>
  <c r="G38" i="33" s="1"/>
  <c r="C37" i="33"/>
  <c r="E37" i="33" s="1"/>
  <c r="G37" i="33" s="1"/>
  <c r="C36" i="33"/>
  <c r="E36" i="33" s="1"/>
  <c r="G36" i="33" s="1"/>
  <c r="C33" i="33"/>
  <c r="E33" i="33" s="1"/>
  <c r="G33" i="33" s="1"/>
  <c r="C28" i="33"/>
  <c r="E28" i="33" s="1"/>
  <c r="G28" i="33" s="1"/>
  <c r="C25" i="33"/>
  <c r="E25" i="33" s="1"/>
  <c r="G25" i="33" s="1"/>
  <c r="C22" i="33"/>
  <c r="E22" i="33" s="1"/>
  <c r="G22" i="33" s="1"/>
  <c r="C5" i="33"/>
  <c r="E5" i="33" s="1"/>
  <c r="G5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24BE3B5E-200E-4B9B-AC57-C56C6F8A14CC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1" authorId="0" shapeId="0" xr:uid="{653DBBCB-13DC-4398-80DD-63F8A3549434}">
      <text>
        <r>
          <rPr>
            <b/>
            <sz val="9"/>
            <color indexed="81"/>
            <rFont val="Tahoma"/>
            <charset val="222"/>
          </rPr>
          <t>สลับกับ 300 กรัม</t>
        </r>
      </text>
    </comment>
    <comment ref="K210" authorId="0" shapeId="0" xr:uid="{D0480C7F-75D9-4C46-93C6-4FA47C56FA2E}">
      <text>
        <r>
          <rPr>
            <b/>
            <sz val="9"/>
            <color indexed="81"/>
            <rFont val="Tahoma"/>
            <charset val="222"/>
          </rPr>
          <t>ยาฉีดมด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86" authorId="0" shapeId="0" xr:uid="{0D0B9528-04DC-4826-B1CE-60684E226EF6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94" authorId="0" shapeId="0" xr:uid="{031AB5CB-DD5F-46F4-89C6-67120F14AEB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97" authorId="0" shapeId="0" xr:uid="{590ECB89-627D-42E7-B7BB-CA4FA17CFE1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98" authorId="0" shapeId="0" xr:uid="{3585B06F-DED1-4B2F-B60B-54F663EDFA6B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<sst xmlns="http://schemas.openxmlformats.org/spreadsheetml/2006/main" count="17531" uniqueCount="268">
  <si>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</si>
  <si>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</si>
  <si>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</si>
  <si>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</si>
  <si>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</si>
  <si>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</si>
  <si>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</si>
  <si>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</si>
  <si>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</si>
  <si>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</si>
  <si>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</si>
  <si>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</si>
  <si>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</si>
  <si>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</si>
  <si>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</si>
  <si>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</si>
  <si>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</si>
  <si>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</si>
  <si>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</si>
  <si>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</si>
  <si>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</si>
  <si>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</si>
  <si>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</si>
  <si>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</si>
  <si>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</si>
  <si>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</si>
  <si>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</si>
  <si>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</si>
  <si>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</si>
  <si>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</si>
  <si>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</si>
  <si>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</si>
  <si>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</si>
  <si>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</si>
  <si>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</si>
  <si>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</si>
  <si>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</si>
  <si>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</si>
  <si>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</si>
  <si>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</si>
  <si>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</si>
  <si>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</si>
  <si>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</si>
  <si>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</si>
  <si>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</si>
  <si>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</si>
  <si>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</si>
  <si>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</si>
  <si>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</si>
  <si>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</si>
  <si>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</si>
  <si>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</si>
  <si>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</si>
  <si>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</si>
  <si>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</si>
  <si>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</si>
  <si>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</si>
  <si>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</si>
  <si>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</si>
  <si>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</si>
  <si>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</si>
  <si>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</si>
  <si>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</si>
  <si>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</si>
  <si>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</si>
  <si>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</si>
  <si>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</si>
  <si>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</si>
  <si>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</si>
  <si>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</si>
  <si>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</si>
  <si>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</si>
  <si>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</si>
  <si>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</si>
  <si>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</si>
  <si>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</si>
  <si>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</si>
  <si>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</si>
  <si>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</si>
  <si>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</si>
  <si>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</si>
  <si>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</si>
  <si>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</si>
  <si>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</si>
  <si>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</si>
  <si>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</si>
  <si>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</si>
  <si>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</si>
  <si>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</si>
  <si>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</si>
  <si>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</si>
  <si>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</si>
  <si>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</si>
  <si>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</si>
  <si>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</si>
  <si>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</si>
  <si>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</si>
  <si>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</si>
  <si>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</si>
  <si>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</si>
  <si>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</si>
  <si>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</si>
  <si>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</si>
  <si>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</si>
  <si>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</si>
  <si>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</si>
  <si>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</si>
  <si>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</si>
  <si>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</si>
  <si>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</si>
  <si>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</si>
  <si>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</si>
  <si>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</si>
  <si>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</si>
  <si>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</si>
  <si>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</si>
  <si>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</si>
  <si>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</si>
  <si>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</si>
  <si>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</si>
  <si>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</si>
  <si>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</si>
  <si>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</si>
  <si>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</si>
  <si>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</si>
  <si>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</si>
  <si>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</si>
  <si>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</si>
  <si>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</si>
  <si>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</si>
  <si>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</si>
  <si>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</si>
  <si>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</si>
  <si>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</si>
  <si>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</si>
  <si>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</si>
  <si>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</si>
  <si>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</si>
  <si>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</si>
  <si>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</si>
  <si>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</si>
  <si>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</si>
  <si>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</si>
  <si>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</si>
  <si>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</si>
  <si>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</si>
  <si>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</si>
  <si>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</si>
  <si>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</si>
  <si>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</si>
  <si>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</si>
  <si>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</si>
  <si>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</si>
  <si>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</si>
  <si>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</si>
  <si>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</si>
  <si>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</si>
  <si>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</si>
  <si>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</si>
  <si>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</si>
  <si>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</si>
  <si>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</si>
  <si>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</si>
  <si>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</si>
  <si>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</si>
  <si>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</si>
  <si>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</si>
  <si>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</si>
  <si>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</si>
  <si>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</si>
  <si>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</si>
  <si>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</si>
  <si>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</si>
  <si>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</si>
  <si>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</si>
  <si>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</si>
  <si>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</si>
  <si>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</si>
  <si>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</si>
  <si>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</si>
  <si>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</si>
  <si>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</si>
  <si>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</si>
  <si>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</si>
  <si>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</si>
  <si>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</si>
  <si>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</si>
  <si>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</si>
  <si>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</si>
  <si>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</si>
  <si>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</si>
  <si>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</si>
  <si>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</si>
  <si>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</si>
  <si>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</si>
  <si>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</si>
  <si>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</si>
  <si>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</si>
  <si>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</si>
  <si>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</si>
  <si>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</si>
  <si>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</si>
  <si>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</si>
  <si>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</si>
  <si>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</si>
  <si>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</si>
  <si>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</si>
  <si>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</si>
  <si>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</si>
  <si>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</si>
  <si>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</si>
  <si>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</si>
  <si>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</si>
  <si>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</si>
  <si>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</si>
  <si>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</si>
  <si>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</si>
  <si>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</si>
  <si>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</si>
  <si>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</si>
  <si>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เค้กวันเกิด 1/2 ปอนด์</t>
  </si>
  <si>
    <t>ฝอยทองกรอบ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</si>
  <si>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</si>
  <si>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</si>
  <si>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</si>
  <si>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</si>
  <si>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</si>
  <si>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</si>
  <si>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</si>
  <si>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</si>
  <si>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</si>
  <si>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</si>
  <si>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</si>
  <si>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</si>
  <si>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</si>
  <si>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</si>
  <si>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</si>
  <si>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</si>
  <si>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</si>
  <si>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</si>
  <si>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</si>
  <si>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</si>
  <si>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</si>
  <si>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</si>
  <si>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</si>
  <si>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</si>
  <si>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</si>
  <si>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ลด50%</t>
  </si>
  <si>
    <t>ครัฟฟินรูบี้ช็อคโกแลตสตรอเบอร์รี่</t>
  </si>
  <si>
    <t>ค่าคอมมิสชั่น ลาดหลุมแก้ว</t>
  </si>
  <si>
    <t>เบาหวิวมะพร้าว (แพค100g)</t>
  </si>
  <si>
    <t>บูธลาดหลุมแก้ว วันที่ 1-30/04/2567</t>
  </si>
  <si>
    <t>ชุดเซ็ทสงกรานต์</t>
  </si>
  <si>
    <t>ขนมเปี๊ยะ 450 กรัม</t>
  </si>
  <si>
    <t>ลด10%</t>
  </si>
  <si>
    <t>สรุป บูธ ลาดหลุมแก้ว  วันที่ 1-31/05/2567</t>
  </si>
  <si>
    <t>บูธลาดหลุมแก้ว วันที่ 1-31/05/2567</t>
  </si>
  <si>
    <t>เค้กลอดช่อง</t>
  </si>
  <si>
    <t>แถม1</t>
  </si>
  <si>
    <t>ลด50%=1</t>
  </si>
  <si>
    <t>ขนมเปี๊ยะ 450 กรัม ถั่ว</t>
  </si>
  <si>
    <t>ลด50%=2</t>
  </si>
  <si>
    <t>วุ้นกุหลาบ 4 ชิ้น</t>
  </si>
  <si>
    <t>เค้กแยมโรลวรรณวนัช</t>
  </si>
  <si>
    <t>ลด50%=5</t>
  </si>
  <si>
    <t>ลด50%=2 / แถม2</t>
  </si>
  <si>
    <t>แถม2</t>
  </si>
  <si>
    <t>ลด50%=1 / แถม1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</si>
</sst>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  <font>
      <sz val="8"/>
      <name val="Tahoma"/>
      <family val="2"/>
      <charset val="22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0" fontId="2" fillId="0" borderId="1" xfId="0" applyFont="1" applyBorder="1"/>
    <xf numFmtId="0" fontId="8" fillId="4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5" borderId="0" xfId="0" applyNumberFormat="1" applyFont="1" applyFill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7" borderId="16" xfId="1" applyFont="1" applyFill="1" applyBorder="1"/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43" fontId="2" fillId="7" borderId="14" xfId="1" applyFont="1" applyFill="1" applyBorder="1" applyAlignment="1">
      <alignment horizontal="center"/>
    </xf>
    <xf numFmtId="43" fontId="2" fillId="7" borderId="16" xfId="1" applyFont="1" applyFill="1" applyBorder="1" applyAlignment="1">
      <alignment vertical="center"/>
    </xf>
    <xf numFmtId="43" fontId="2" fillId="7" borderId="1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43" fontId="2" fillId="0" borderId="23" xfId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1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4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22" xfId="0" applyFont="1" applyFill="1" applyBorder="1"/>
    <xf numFmtId="43" fontId="2" fillId="0" borderId="14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17" borderId="1" xfId="1" applyFont="1" applyFill="1" applyBorder="1" applyAlignment="1">
      <alignment horizontal="center"/>
    </xf>
    <xf numFmtId="43" fontId="10" fillId="17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1" fontId="2" fillId="2" borderId="0" xfId="0" applyNumberFormat="1" applyFont="1" applyFill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43" fontId="9" fillId="5" borderId="0" xfId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621;&#3634;&#3604;&#3627;&#3621;&#3640;&#3617;&#3649;&#3585;&#3657;&#3623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0;&#3641;&#3608;&#3621;&#3634;&#3604;&#3627;&#3621;&#3640;&#3617;&#3649;&#3585;&#3657;&#3623;%20&#3648;&#3617;.&#361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G4">
            <v>32</v>
          </cell>
        </row>
        <row r="5">
          <cell r="G5">
            <v>34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2</v>
          </cell>
        </row>
        <row r="16">
          <cell r="G16">
            <v>0</v>
          </cell>
        </row>
        <row r="17">
          <cell r="G17">
            <v>3</v>
          </cell>
        </row>
        <row r="18">
          <cell r="G18">
            <v>0</v>
          </cell>
        </row>
        <row r="19">
          <cell r="G19">
            <v>-1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13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5</v>
          </cell>
        </row>
        <row r="37">
          <cell r="G37">
            <v>3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4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4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5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2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7</v>
          </cell>
        </row>
        <row r="85">
          <cell r="G85">
            <v>5</v>
          </cell>
        </row>
        <row r="86">
          <cell r="G86">
            <v>12</v>
          </cell>
        </row>
        <row r="87">
          <cell r="G87">
            <v>12</v>
          </cell>
        </row>
        <row r="88">
          <cell r="G88">
            <v>6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6</v>
          </cell>
        </row>
        <row r="101">
          <cell r="G101">
            <v>1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41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1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-1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5</v>
          </cell>
        </row>
        <row r="196">
          <cell r="G196">
            <v>9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</sheetData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1AC8-F49F-4F8B-925C-DD8098AF1C59}">
  <sheetPr>
    <tabColor rgb="FFFF0000"/>
    <pageSetUpPr fitToPage="1"/>
  </sheetPr>
  <dimension ref="A1:V237"/>
  <sheetViews>
    <sheetView tabSelected="1" zoomScale="85" zoomScaleNormal="85" workbookViewId="0">
      <pane ySplit="4" topLeftCell="A221" activePane="bottomLeft" state="frozen"/>
      <selection pane="bottomLeft" activeCell="G230" sqref="G230:I230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4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22" width="17.875" style="2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27" t="s">
        <v>255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54"/>
      <c r="O2" s="54"/>
      <c r="P2" s="54"/>
      <c r="Q2" s="54"/>
      <c r="R2" s="54"/>
      <c r="S2" s="54"/>
      <c r="T2" s="54"/>
    </row>
    <row r="3" spans="1:22" s="4" customFormat="1" x14ac:dyDescent="0.55000000000000004">
      <c r="A3" s="128" t="s">
        <v>1</v>
      </c>
      <c r="B3" s="128" t="s">
        <v>2</v>
      </c>
      <c r="C3" s="130" t="s">
        <v>3</v>
      </c>
      <c r="D3" s="130" t="s">
        <v>4</v>
      </c>
      <c r="E3" s="130" t="s">
        <v>5</v>
      </c>
      <c r="F3" s="55" t="s">
        <v>6</v>
      </c>
      <c r="G3" s="130" t="s">
        <v>7</v>
      </c>
      <c r="H3" s="131" t="s">
        <v>8</v>
      </c>
      <c r="I3" s="131"/>
      <c r="J3" s="131"/>
      <c r="K3" s="130" t="s">
        <v>9</v>
      </c>
      <c r="L3" s="114" t="s">
        <v>222</v>
      </c>
      <c r="M3" s="114" t="s">
        <v>223</v>
      </c>
      <c r="N3" s="114" t="s">
        <v>10</v>
      </c>
      <c r="O3" s="114" t="s">
        <v>224</v>
      </c>
      <c r="P3" s="114" t="s">
        <v>225</v>
      </c>
      <c r="Q3" s="112" t="s">
        <v>226</v>
      </c>
      <c r="R3" s="112" t="s">
        <v>227</v>
      </c>
      <c r="S3" s="112" t="s">
        <v>228</v>
      </c>
      <c r="T3" s="114" t="s">
        <v>229</v>
      </c>
      <c r="U3" s="115" t="s">
        <v>230</v>
      </c>
    </row>
    <row r="4" spans="1:22" s="4" customFormat="1" x14ac:dyDescent="0.55000000000000004">
      <c r="A4" s="129"/>
      <c r="B4" s="129"/>
      <c r="C4" s="130"/>
      <c r="D4" s="130"/>
      <c r="E4" s="130"/>
      <c r="F4" s="55" t="s">
        <v>11</v>
      </c>
      <c r="G4" s="130"/>
      <c r="H4" s="55" t="s">
        <v>12</v>
      </c>
      <c r="I4" s="56" t="s">
        <v>13</v>
      </c>
      <c r="J4" s="55" t="s">
        <v>14</v>
      </c>
      <c r="K4" s="130"/>
      <c r="L4" s="114"/>
      <c r="M4" s="114"/>
      <c r="N4" s="114"/>
      <c r="O4" s="114"/>
      <c r="P4" s="114"/>
      <c r="Q4" s="113"/>
      <c r="R4" s="113"/>
      <c r="S4" s="113"/>
      <c r="T4" s="114"/>
      <c r="U4" s="116"/>
    </row>
    <row r="5" spans="1:22" x14ac:dyDescent="0.55000000000000004">
      <c r="A5" s="5">
        <v>1</v>
      </c>
      <c r="B5" s="6" t="s">
        <v>15</v>
      </c>
      <c r="C5" s="57">
        <f>+ยกมา!G4</f>
        <v>28</v>
      </c>
      <c r="D5" s="58">
        <f>+'1'!D4+'2'!D4+'3'!D4+'4'!D4+'5'!D4+'6'!D4+'7'!D4+'8'!D4+'9'!D4+'10'!D4+'11'!D4+'12'!D4+'13'!D4+'14'!D4+'15'!D4+'16'!D4+'17'!D4+'18'!D4+'19'!D4+'20'!D4+'21'!D4+'22'!D4+'23'!D4+'24'!D4+'25'!D4+'26'!D4+'27'!D4+'28'!D4+'29'!D4+'30'!D4</f>
        <v>80</v>
      </c>
      <c r="E5" s="57">
        <f>+C5+D5</f>
        <v>108</v>
      </c>
      <c r="F5" s="58">
        <f>+'1'!F4+'2'!F4+'3'!F4+'4'!F4+'5'!F4+'6'!F4+'7'!F4+'8'!F4+'9'!F4+'10'!F4+'11'!F4+'12'!F4+'13'!F4+'14'!F4+'15'!F4+'16'!F4+'17'!F4+'18'!F4+'19'!F4+'20'!F4+'21'!F4+'22'!F4+'23'!F4+'24'!F4+'25'!F4+'26'!F4+'27'!F4+'28'!F4+'29'!F4+'30'!F174</f>
        <v>4</v>
      </c>
      <c r="G5" s="59">
        <f>C5+D5-F5-H5</f>
        <v>10</v>
      </c>
      <c r="H5" s="58">
        <f>+'1'!H4+'2'!H4+'3'!H4+'4'!H4+'5'!H4+'6'!H4+'7'!H4+'8'!H4+'9'!H4+'10'!H4+'11'!H4+'12'!H4+'13'!H4+'14'!H4+'15'!H4+'16'!H4+'17'!H4+'18'!H4+'19'!H4+'20'!H4+'21'!H4+'22'!H4+'23'!H4+'24'!H4+'25'!H4+'26'!H4+'27'!H4+'28'!H4+'29'!H4+'30'!H4</f>
        <v>94</v>
      </c>
      <c r="I5" s="8">
        <v>50</v>
      </c>
      <c r="J5" s="58">
        <f>+'1'!J4+'2'!J4+'3'!J4+'4'!J4+'5'!J4+'6'!J4+'7'!J4+'8'!J4+'9'!J4+'10'!J4+'11'!J4+'12'!J4+'13'!J4+'14'!J4+'15'!J4+'16'!J4+'17'!J4+'18'!J4+'19'!J4+'20'!J4+'21'!J4+'22'!J4+'23'!J4+'24'!J4+'25'!J4+'26'!J4+'27'!J4+'28'!J4+'29'!J4+'30'!J4+'31'!J4</f>
        <v>4700</v>
      </c>
      <c r="K5" s="8"/>
      <c r="L5" s="60">
        <v>1</v>
      </c>
      <c r="M5" s="61">
        <f>+'1'!K206</f>
        <v>950</v>
      </c>
      <c r="N5" s="61">
        <f>+'1'!K211</f>
        <v>90</v>
      </c>
      <c r="O5" s="61">
        <f>+'1'!K209</f>
        <v>0</v>
      </c>
      <c r="P5" s="61">
        <f>+'1'!K207</f>
        <v>0</v>
      </c>
      <c r="Q5" s="61">
        <f>+'1'!K210</f>
        <v>0</v>
      </c>
      <c r="R5" s="61">
        <f>+'1'!K208</f>
        <v>235</v>
      </c>
      <c r="S5" s="61">
        <f t="shared" ref="S5:S35" si="0">+M5-N5-P5-R5-Q5</f>
        <v>625</v>
      </c>
      <c r="T5" s="61">
        <f>+'1'!K213</f>
        <v>625</v>
      </c>
      <c r="U5" s="62">
        <f>+T5-S5</f>
        <v>0</v>
      </c>
      <c r="V5" s="4"/>
    </row>
    <row r="6" spans="1:22" x14ac:dyDescent="0.55000000000000004">
      <c r="A6" s="5">
        <v>2</v>
      </c>
      <c r="B6" s="6" t="s">
        <v>17</v>
      </c>
      <c r="C6" s="57">
        <f>+ยกมา!G5</f>
        <v>33</v>
      </c>
      <c r="D6" s="58">
        <f>+'1'!D5+'2'!D5+'3'!D5+'4'!D5+'5'!D5+'6'!D5+'7'!D5+'8'!D5+'9'!D5+'10'!D5+'11'!D5+'12'!D5+'13'!D5+'14'!D5+'15'!D5+'16'!D5+'17'!D5+'18'!D5+'19'!D5+'20'!D5+'21'!D5+'22'!D5+'23'!D5+'24'!D5+'25'!D5+'26'!D5+'27'!D5+'28'!D5+'29'!D5+'30'!D5</f>
        <v>100</v>
      </c>
      <c r="E6" s="57">
        <f t="shared" ref="E6:E69" si="1">+C6+D6</f>
        <v>133</v>
      </c>
      <c r="F6" s="58">
        <f>+'1'!F5+'2'!F5+'3'!F5+'4'!F5+'5'!F5+'6'!F5+'7'!F5+'8'!F5+'9'!F5+'10'!F5+'11'!F5+'12'!F5+'13'!F5+'14'!F5+'15'!F5+'16'!F5+'17'!F5+'18'!F5+'19'!F5+'20'!F5+'21'!F5+'22'!F5+'23'!F5+'24'!F5+'25'!F5+'26'!F5+'27'!F5+'28'!F5+'29'!F5+'30'!F175</f>
        <v>23</v>
      </c>
      <c r="G6" s="59">
        <f t="shared" ref="G6:G69" si="2">C6+D6-F6-H6</f>
        <v>44</v>
      </c>
      <c r="H6" s="58">
        <f>+'1'!H5+'2'!H5+'3'!H5+'4'!H5+'5'!H5+'6'!H5+'7'!H5+'8'!H5+'9'!H5+'10'!H5+'11'!H5+'12'!H5+'13'!H5+'14'!H5+'15'!H5+'16'!H5+'17'!H5+'18'!H5+'19'!H5+'20'!H5+'21'!H5+'22'!H5+'23'!H5+'24'!H5+'25'!H5+'26'!H5+'27'!H5+'28'!H5+'29'!H5+'30'!H5</f>
        <v>66</v>
      </c>
      <c r="I6" s="8">
        <v>100</v>
      </c>
      <c r="J6" s="58">
        <f>+'1'!J5+'2'!J5+'3'!J5+'4'!J5+'5'!J5+'6'!J5+'7'!J5+'8'!J5+'9'!J5+'10'!J5+'11'!J5+'12'!J5+'13'!J5+'14'!J5+'15'!J5+'16'!J5+'17'!J5+'18'!J5+'19'!J5+'20'!J5+'21'!J5+'22'!J5+'23'!J5+'24'!J5+'25'!J5+'26'!J5+'27'!J5+'28'!J5+'29'!J5+'30'!J5+'31'!J5</f>
        <v>6600</v>
      </c>
      <c r="K6" s="8"/>
      <c r="L6" s="60">
        <v>2</v>
      </c>
      <c r="M6" s="61">
        <f>+'2'!K206</f>
        <v>395</v>
      </c>
      <c r="N6" s="61">
        <f>+'2'!K211</f>
        <v>10</v>
      </c>
      <c r="O6" s="61">
        <f>+'2'!K209</f>
        <v>0</v>
      </c>
      <c r="P6" s="61">
        <f>+'2'!K207</f>
        <v>0</v>
      </c>
      <c r="Q6" s="61">
        <f>+'2'!K210</f>
        <v>0</v>
      </c>
      <c r="R6" s="61">
        <f>+'2'!K208</f>
        <v>200</v>
      </c>
      <c r="S6" s="61">
        <f t="shared" ref="S6:S14" si="3">+M6-N6-P6-R6-Q6</f>
        <v>185</v>
      </c>
      <c r="T6" s="61">
        <f>+'2'!K213</f>
        <v>185</v>
      </c>
      <c r="U6" s="62">
        <f t="shared" ref="U6:U14" si="4">+T6-S6</f>
        <v>0</v>
      </c>
      <c r="V6" s="4"/>
    </row>
    <row r="7" spans="1:22" x14ac:dyDescent="0.55000000000000004">
      <c r="A7" s="5">
        <v>3</v>
      </c>
      <c r="B7" s="6" t="s">
        <v>18</v>
      </c>
      <c r="C7" s="57">
        <f>+ยกมา!G6</f>
        <v>0</v>
      </c>
      <c r="D7" s="58">
        <f>+'1'!D6+'2'!D6+'3'!D6+'4'!D6+'5'!D6+'6'!D6+'7'!D6+'8'!D6+'9'!D6+'10'!D6+'11'!D6+'12'!D6+'13'!D6+'14'!D6+'15'!D6+'16'!D6+'17'!D6+'18'!D6+'19'!D6+'20'!D6+'21'!D6+'22'!D6+'23'!D6+'24'!D6+'25'!D6+'26'!D6+'27'!D6+'28'!D6+'29'!D6+'30'!D6</f>
        <v>0</v>
      </c>
      <c r="E7" s="57">
        <f t="shared" si="1"/>
        <v>0</v>
      </c>
      <c r="F7" s="58">
        <f>+'1'!F6+'2'!F6+'3'!F6+'4'!F6+'5'!F6+'6'!F6+'7'!F6+'8'!F6+'9'!F6+'10'!F6+'11'!F6+'12'!F6+'13'!F6+'14'!F6+'15'!F6+'16'!F6+'17'!F6+'18'!F6+'19'!F6+'20'!F6+'21'!F6+'22'!F6+'23'!F6+'24'!F6+'25'!F6+'26'!F6+'27'!F6+'28'!F6+'29'!F6+'30'!F176</f>
        <v>0</v>
      </c>
      <c r="G7" s="59">
        <f t="shared" si="2"/>
        <v>0</v>
      </c>
      <c r="H7" s="58">
        <f>+'1'!H6+'2'!H6+'3'!H6+'4'!H6+'5'!H6+'6'!H6+'7'!H6+'8'!H6+'9'!H6+'10'!H6+'11'!H6+'12'!H6+'13'!H6+'14'!H6+'15'!H6+'16'!H6+'17'!H6+'18'!H6+'19'!H6+'20'!H6+'21'!H6+'22'!H6+'23'!H6+'24'!H6+'25'!H6+'26'!H6+'27'!H6+'28'!H6+'29'!H6+'30'!H6</f>
        <v>0</v>
      </c>
      <c r="I7" s="8">
        <v>50</v>
      </c>
      <c r="J7" s="58">
        <f>+'1'!J6+'2'!J6+'3'!J6+'4'!J6+'5'!J6+'6'!J6+'7'!J6+'8'!J6+'9'!J6+'10'!J6+'11'!J6+'12'!J6+'13'!J6+'14'!J6+'15'!J6+'16'!J6+'17'!J6+'18'!J6+'19'!J6+'20'!J6+'21'!J6+'22'!J6+'23'!J6+'24'!J6+'25'!J6+'26'!J6+'27'!J6+'28'!J6+'29'!J6+'30'!J6+'31'!J6</f>
        <v>0</v>
      </c>
      <c r="K7" s="8"/>
      <c r="L7" s="60">
        <v>3</v>
      </c>
      <c r="M7" s="61">
        <f>+'3'!K206</f>
        <v>1290</v>
      </c>
      <c r="N7" s="61">
        <f>+'3'!K211</f>
        <v>50</v>
      </c>
      <c r="O7" s="61">
        <f>+'3'!K209</f>
        <v>0</v>
      </c>
      <c r="P7" s="61">
        <f>+'3'!K207</f>
        <v>0</v>
      </c>
      <c r="Q7" s="61">
        <f>+'3'!K210</f>
        <v>0</v>
      </c>
      <c r="R7" s="61">
        <f>+'3'!K208</f>
        <v>765</v>
      </c>
      <c r="S7" s="61">
        <f t="shared" si="3"/>
        <v>475</v>
      </c>
      <c r="T7" s="61">
        <f>+'3'!K213</f>
        <v>475</v>
      </c>
      <c r="U7" s="62">
        <f t="shared" si="4"/>
        <v>0</v>
      </c>
      <c r="V7" s="4"/>
    </row>
    <row r="8" spans="1:22" x14ac:dyDescent="0.55000000000000004">
      <c r="A8" s="5">
        <v>4</v>
      </c>
      <c r="B8" s="6" t="s">
        <v>19</v>
      </c>
      <c r="C8" s="57">
        <f>+ยกมา!G7</f>
        <v>0</v>
      </c>
      <c r="D8" s="58">
        <f>+'1'!D7+'2'!D7+'3'!D7+'4'!D7+'5'!D7+'6'!D7+'7'!D7+'8'!D7+'9'!D7+'10'!D7+'11'!D7+'12'!D7+'13'!D7+'14'!D7+'15'!D7+'16'!D7+'17'!D7+'18'!D7+'19'!D7+'20'!D7+'21'!D7+'22'!D7+'23'!D7+'24'!D7+'25'!D7+'26'!D7+'27'!D7+'28'!D7+'29'!D7+'30'!D7</f>
        <v>0</v>
      </c>
      <c r="E8" s="57">
        <f t="shared" si="1"/>
        <v>0</v>
      </c>
      <c r="F8" s="58">
        <f>+'1'!F7+'2'!F7+'3'!F7+'4'!F7+'5'!F7+'6'!F7+'7'!F7+'8'!F7+'9'!F7+'10'!F7+'11'!F7+'12'!F7+'13'!F7+'14'!F7+'15'!F7+'16'!F7+'17'!F7+'18'!F7+'19'!F7+'20'!F7+'21'!F7+'22'!F7+'23'!F7+'24'!F7+'25'!F7+'26'!F7+'27'!F7+'28'!F7+'29'!F7+'30'!F177</f>
        <v>0</v>
      </c>
      <c r="G8" s="59">
        <f t="shared" si="2"/>
        <v>0</v>
      </c>
      <c r="H8" s="58">
        <f>+'1'!H7+'2'!H7+'3'!H7+'4'!H7+'5'!H7+'6'!H7+'7'!H7+'8'!H7+'9'!H7+'10'!H7+'11'!H7+'12'!H7+'13'!H7+'14'!H7+'15'!H7+'16'!H7+'17'!H7+'18'!H7+'19'!H7+'20'!H7+'21'!H7+'22'!H7+'23'!H7+'24'!H7+'25'!H7+'26'!H7+'27'!H7+'28'!H7+'29'!H7+'30'!H7</f>
        <v>0</v>
      </c>
      <c r="I8" s="8">
        <v>100</v>
      </c>
      <c r="J8" s="5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8" s="8"/>
      <c r="L8" s="60">
        <v>4</v>
      </c>
      <c r="M8" s="61">
        <f>+'4'!K206</f>
        <v>660</v>
      </c>
      <c r="N8" s="61">
        <f>+'4'!K211</f>
        <v>0</v>
      </c>
      <c r="O8" s="61">
        <f>+'4'!K209</f>
        <v>0</v>
      </c>
      <c r="P8" s="61">
        <f>+'4'!K207</f>
        <v>0</v>
      </c>
      <c r="Q8" s="61">
        <f>+'4'!K210</f>
        <v>0</v>
      </c>
      <c r="R8" s="61">
        <f>+'4'!K208</f>
        <v>0</v>
      </c>
      <c r="S8" s="61">
        <f t="shared" si="3"/>
        <v>660</v>
      </c>
      <c r="T8" s="61">
        <f>+'4'!K213</f>
        <v>670</v>
      </c>
      <c r="U8" s="62">
        <f t="shared" si="4"/>
        <v>10</v>
      </c>
      <c r="V8" s="4"/>
    </row>
    <row r="9" spans="1:22" x14ac:dyDescent="0.55000000000000004">
      <c r="A9" s="5">
        <v>5</v>
      </c>
      <c r="B9" s="6" t="s">
        <v>20</v>
      </c>
      <c r="C9" s="57">
        <f>+ยกมา!G8</f>
        <v>0</v>
      </c>
      <c r="D9" s="58">
        <f>+'1'!D8+'2'!D8+'3'!D8+'4'!D8+'5'!D8+'6'!D8+'7'!D8+'8'!D8+'9'!D8+'10'!D8+'11'!D8+'12'!D8+'13'!D8+'14'!D8+'15'!D8+'16'!D8+'17'!D8+'18'!D8+'19'!D8+'20'!D8+'21'!D8+'22'!D8+'23'!D8+'24'!D8+'25'!D8+'26'!D8+'27'!D8+'28'!D8+'29'!D8+'30'!D8</f>
        <v>0</v>
      </c>
      <c r="E9" s="57">
        <f t="shared" si="1"/>
        <v>0</v>
      </c>
      <c r="F9" s="58">
        <f>+'1'!F8+'2'!F8+'3'!F8+'4'!F8+'5'!F8+'6'!F8+'7'!F8+'8'!F8+'9'!F8+'10'!F8+'11'!F8+'12'!F8+'13'!F8+'14'!F8+'15'!F8+'16'!F8+'17'!F8+'18'!F8+'19'!F8+'20'!F8+'21'!F8+'22'!F8+'23'!F8+'24'!F8+'25'!F8+'26'!F8+'27'!F8+'28'!F8+'29'!F8+'30'!F178</f>
        <v>0</v>
      </c>
      <c r="G9" s="59">
        <f t="shared" si="2"/>
        <v>0</v>
      </c>
      <c r="H9" s="58">
        <f>+'1'!H8+'2'!H8+'3'!H8+'4'!H8+'5'!H8+'6'!H8+'7'!H8+'8'!H8+'9'!H8+'10'!H8+'11'!H8+'12'!H8+'13'!H8+'14'!H8+'15'!H8+'16'!H8+'17'!H8+'18'!H8+'19'!H8+'20'!H8+'21'!H8+'22'!H8+'23'!H8+'24'!H8+'25'!H8+'26'!H8+'27'!H8+'28'!H8+'29'!H8+'30'!H8</f>
        <v>0</v>
      </c>
      <c r="I9" s="8">
        <v>10</v>
      </c>
      <c r="J9" s="5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9" s="8"/>
      <c r="L9" s="60">
        <v>5</v>
      </c>
      <c r="M9" s="61">
        <f>+'5'!K206</f>
        <v>1205</v>
      </c>
      <c r="N9" s="61">
        <f>+'5'!K211</f>
        <v>0</v>
      </c>
      <c r="O9" s="61">
        <f>+'5'!K209</f>
        <v>0</v>
      </c>
      <c r="P9" s="61">
        <f>+'5'!K207</f>
        <v>0</v>
      </c>
      <c r="Q9" s="61">
        <f>+'5'!K210</f>
        <v>0</v>
      </c>
      <c r="R9" s="61">
        <f>+'5'!K208</f>
        <v>170</v>
      </c>
      <c r="S9" s="61">
        <f t="shared" si="3"/>
        <v>1035</v>
      </c>
      <c r="T9" s="61">
        <f>+'5'!K213</f>
        <v>1035</v>
      </c>
      <c r="U9" s="62">
        <f t="shared" si="4"/>
        <v>0</v>
      </c>
      <c r="V9" s="4"/>
    </row>
    <row r="10" spans="1:22" x14ac:dyDescent="0.55000000000000004">
      <c r="A10" s="5">
        <v>6</v>
      </c>
      <c r="B10" s="6" t="s">
        <v>21</v>
      </c>
      <c r="C10" s="57">
        <f>+ยกมา!G9</f>
        <v>0</v>
      </c>
      <c r="D10" s="58">
        <f>+'1'!D9+'2'!D9+'3'!D9+'4'!D9+'5'!D9+'6'!D9+'7'!D9+'8'!D9+'9'!D9+'10'!D9+'11'!D9+'12'!D9+'13'!D9+'14'!D9+'15'!D9+'16'!D9+'17'!D9+'18'!D9+'19'!D9+'20'!D9+'21'!D9+'22'!D9+'23'!D9+'24'!D9+'25'!D9+'26'!D9+'27'!D9+'28'!D9+'29'!D9+'30'!D9</f>
        <v>0</v>
      </c>
      <c r="E10" s="57">
        <f t="shared" si="1"/>
        <v>0</v>
      </c>
      <c r="F10" s="58">
        <f>+'1'!F9+'2'!F9+'3'!F9+'4'!F9+'5'!F9+'6'!F9+'7'!F9+'8'!F9+'9'!F9+'10'!F9+'11'!F9+'12'!F9+'13'!F9+'14'!F9+'15'!F9+'16'!F9+'17'!F9+'18'!F9+'19'!F9+'20'!F9+'21'!F9+'22'!F9+'23'!F9+'24'!F9+'25'!F9+'26'!F9+'27'!F9+'28'!F9+'29'!F9+'30'!F179</f>
        <v>0</v>
      </c>
      <c r="G10" s="59">
        <f t="shared" si="2"/>
        <v>0</v>
      </c>
      <c r="H10" s="58">
        <f>+'1'!H9+'2'!H9+'3'!H9+'4'!H9+'5'!H9+'6'!H9+'7'!H9+'8'!H9+'9'!H9+'10'!H9+'11'!H9+'12'!H9+'13'!H9+'14'!H9+'15'!H9+'16'!H9+'17'!H9+'18'!H9+'19'!H9+'20'!H9+'21'!H9+'22'!H9+'23'!H9+'24'!H9+'25'!H9+'26'!H9+'27'!H9+'28'!H9+'29'!H9+'30'!H9</f>
        <v>0</v>
      </c>
      <c r="I10" s="8">
        <v>12</v>
      </c>
      <c r="J10" s="5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10" s="8"/>
      <c r="L10" s="60">
        <v>6</v>
      </c>
      <c r="M10" s="61">
        <f>+'6'!K206</f>
        <v>1110</v>
      </c>
      <c r="N10" s="61">
        <f>+'6'!K211</f>
        <v>15</v>
      </c>
      <c r="O10" s="61">
        <f>+'6'!K209</f>
        <v>0</v>
      </c>
      <c r="P10" s="61">
        <f>+'6'!K207</f>
        <v>0</v>
      </c>
      <c r="Q10" s="61">
        <f>+'6'!K210</f>
        <v>0</v>
      </c>
      <c r="R10" s="61">
        <f>+'6'!K208</f>
        <v>435</v>
      </c>
      <c r="S10" s="61">
        <f t="shared" si="3"/>
        <v>660</v>
      </c>
      <c r="T10" s="61">
        <f>+'6'!K213</f>
        <v>660</v>
      </c>
      <c r="U10" s="62">
        <f t="shared" si="4"/>
        <v>0</v>
      </c>
      <c r="V10" s="4"/>
    </row>
    <row r="11" spans="1:22" x14ac:dyDescent="0.55000000000000004">
      <c r="A11" s="5">
        <v>7</v>
      </c>
      <c r="B11" s="14" t="s">
        <v>22</v>
      </c>
      <c r="C11" s="57">
        <f>+ยกมา!G10</f>
        <v>0</v>
      </c>
      <c r="D11" s="58">
        <f>+'1'!D10+'2'!D10+'3'!D10+'4'!D10+'5'!D10+'6'!D10+'7'!D10+'8'!D10+'9'!D10+'10'!D10+'11'!D10+'12'!D10+'13'!D10+'14'!D10+'15'!D10+'16'!D10+'17'!D10+'18'!D10+'19'!D10+'20'!D10+'21'!D10+'22'!D10+'23'!D10+'24'!D10+'25'!D10+'26'!D10+'27'!D10+'28'!D10+'29'!D10+'30'!D10</f>
        <v>0</v>
      </c>
      <c r="E11" s="57">
        <f t="shared" si="1"/>
        <v>0</v>
      </c>
      <c r="F11" s="58">
        <f>+'1'!F10+'2'!F10+'3'!F10+'4'!F10+'5'!F10+'6'!F10+'7'!F10+'8'!F10+'9'!F10+'10'!F10+'11'!F10+'12'!F10+'13'!F10+'14'!F10+'15'!F10+'16'!F10+'17'!F10+'18'!F10+'19'!F10+'20'!F10+'21'!F10+'22'!F10+'23'!F10+'24'!F10+'25'!F10+'26'!F10+'27'!F10+'28'!F10+'29'!F10+'30'!F180</f>
        <v>0</v>
      </c>
      <c r="G11" s="59">
        <f t="shared" si="2"/>
        <v>0</v>
      </c>
      <c r="H11" s="58">
        <f>+'1'!H10+'2'!H10+'3'!H10+'4'!H10+'5'!H10+'6'!H10+'7'!H10+'8'!H10+'9'!H10+'10'!H10+'11'!H10+'12'!H10+'13'!H10+'14'!H10+'15'!H10+'16'!H10+'17'!H10+'18'!H10+'19'!H10+'20'!H10+'21'!H10+'22'!H10+'23'!H10+'24'!H10+'25'!H10+'26'!H10+'27'!H10+'28'!H10+'29'!H10+'30'!H10</f>
        <v>0</v>
      </c>
      <c r="I11" s="8">
        <v>40</v>
      </c>
      <c r="J11" s="5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1" s="8"/>
      <c r="L11" s="60">
        <v>7</v>
      </c>
      <c r="M11" s="96">
        <f>+'7'!K206</f>
        <v>0</v>
      </c>
      <c r="N11" s="96">
        <f>+'7'!K211</f>
        <v>0</v>
      </c>
      <c r="O11" s="96">
        <f>+'7'!K209</f>
        <v>0</v>
      </c>
      <c r="P11" s="96">
        <f>+'7'!K207</f>
        <v>0</v>
      </c>
      <c r="Q11" s="96">
        <f>+'7'!K210</f>
        <v>0</v>
      </c>
      <c r="R11" s="96">
        <f>+'7'!K208</f>
        <v>0</v>
      </c>
      <c r="S11" s="96">
        <f t="shared" si="3"/>
        <v>0</v>
      </c>
      <c r="T11" s="96">
        <f>+'7'!K213</f>
        <v>0</v>
      </c>
      <c r="U11" s="97">
        <f t="shared" si="4"/>
        <v>0</v>
      </c>
      <c r="V11" s="4"/>
    </row>
    <row r="12" spans="1:22" x14ac:dyDescent="0.55000000000000004">
      <c r="A12" s="5">
        <v>8</v>
      </c>
      <c r="B12" s="14" t="s">
        <v>23</v>
      </c>
      <c r="C12" s="57">
        <f>+ยกมา!G11</f>
        <v>0</v>
      </c>
      <c r="D12" s="58">
        <f>+'1'!D11+'2'!D11+'3'!D11+'4'!D11+'5'!D11+'6'!D11+'7'!D11+'8'!D11+'9'!D11+'10'!D11+'11'!D11+'12'!D11+'13'!D11+'14'!D11+'15'!D11+'16'!D11+'17'!D11+'18'!D11+'19'!D11+'20'!D11+'21'!D11+'22'!D11+'23'!D11+'24'!D11+'25'!D11+'26'!D11+'27'!D11+'28'!D11+'29'!D11+'30'!D11</f>
        <v>0</v>
      </c>
      <c r="E12" s="57">
        <f t="shared" si="1"/>
        <v>0</v>
      </c>
      <c r="F12" s="58">
        <f>+'1'!F11+'2'!F11+'3'!F11+'4'!F11+'5'!F11+'6'!F11+'7'!F11+'8'!F11+'9'!F11+'10'!F11+'11'!F11+'12'!F11+'13'!F11+'14'!F11+'15'!F11+'16'!F11+'17'!F11+'18'!F11+'19'!F11+'20'!F11+'21'!F11+'22'!F11+'23'!F11+'24'!F11+'25'!F11+'26'!F11+'27'!F11+'28'!F11+'29'!F11+'30'!F181</f>
        <v>0</v>
      </c>
      <c r="G12" s="59">
        <f t="shared" si="2"/>
        <v>0</v>
      </c>
      <c r="H12" s="58">
        <f>+'1'!H11+'2'!H11+'3'!H11+'4'!H11+'5'!H11+'6'!H11+'7'!H11+'8'!H11+'9'!H11+'10'!H11+'11'!H11+'12'!H11+'13'!H11+'14'!H11+'15'!H11+'16'!H11+'17'!H11+'18'!H11+'19'!H11+'20'!H11+'21'!H11+'22'!H11+'23'!H11+'24'!H11+'25'!H11+'26'!H11+'27'!H11+'28'!H11+'29'!H11+'30'!H11</f>
        <v>0</v>
      </c>
      <c r="I12" s="8">
        <v>50</v>
      </c>
      <c r="J12" s="5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2" s="8"/>
      <c r="L12" s="60">
        <v>8</v>
      </c>
      <c r="M12" s="61">
        <f>+'8'!K206</f>
        <v>1010</v>
      </c>
      <c r="N12" s="61">
        <f>+'8'!K211</f>
        <v>50</v>
      </c>
      <c r="O12" s="61">
        <f>+'8'!K209</f>
        <v>0</v>
      </c>
      <c r="P12" s="61">
        <f>+'8'!K207</f>
        <v>0</v>
      </c>
      <c r="Q12" s="61">
        <f>+'8'!K210</f>
        <v>0</v>
      </c>
      <c r="R12" s="61">
        <f>+'8'!K208</f>
        <v>100</v>
      </c>
      <c r="S12" s="61">
        <f t="shared" si="3"/>
        <v>860</v>
      </c>
      <c r="T12" s="61">
        <f>+'8'!K213</f>
        <v>860</v>
      </c>
      <c r="U12" s="62">
        <f t="shared" si="4"/>
        <v>0</v>
      </c>
      <c r="V12" s="4"/>
    </row>
    <row r="13" spans="1:22" x14ac:dyDescent="0.55000000000000004">
      <c r="A13" s="5">
        <v>9</v>
      </c>
      <c r="B13" s="14" t="s">
        <v>24</v>
      </c>
      <c r="C13" s="57">
        <f>+ยกมา!G12</f>
        <v>0</v>
      </c>
      <c r="D13" s="58">
        <f>+'1'!D12+'2'!D12+'3'!D12+'4'!D12+'5'!D12+'6'!D12+'7'!D12+'8'!D12+'9'!D12+'10'!D12+'11'!D12+'12'!D12+'13'!D12+'14'!D12+'15'!D12+'16'!D12+'17'!D12+'18'!D12+'19'!D12+'20'!D12+'21'!D12+'22'!D12+'23'!D12+'24'!D12+'25'!D12+'26'!D12+'27'!D12+'28'!D12+'29'!D12+'30'!D12</f>
        <v>0</v>
      </c>
      <c r="E13" s="57">
        <f t="shared" si="1"/>
        <v>0</v>
      </c>
      <c r="F13" s="58">
        <f>+'1'!F12+'2'!F12+'3'!F12+'4'!F12+'5'!F12+'6'!F12+'7'!F12+'8'!F12+'9'!F12+'10'!F12+'11'!F12+'12'!F12+'13'!F12+'14'!F12+'15'!F12+'16'!F12+'17'!F12+'18'!F12+'19'!F12+'20'!F12+'21'!F12+'22'!F12+'23'!F12+'24'!F12+'25'!F12+'26'!F12+'27'!F12+'28'!F12+'29'!F12+'30'!F182</f>
        <v>0</v>
      </c>
      <c r="G13" s="59">
        <f t="shared" si="2"/>
        <v>0</v>
      </c>
      <c r="H13" s="58">
        <f>+'1'!H12+'2'!H12+'3'!H12+'4'!H12+'5'!H12+'6'!H12+'7'!H12+'8'!H12+'9'!H12+'10'!H12+'11'!H12+'12'!H12+'13'!H12+'14'!H12+'15'!H12+'16'!H12+'17'!H12+'18'!H12+'19'!H12+'20'!H12+'21'!H12+'22'!H12+'23'!H12+'24'!H12+'25'!H12+'26'!H12+'27'!H12+'28'!H12+'29'!H12+'30'!H12</f>
        <v>0</v>
      </c>
      <c r="I13" s="8">
        <v>55</v>
      </c>
      <c r="J13" s="5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3" s="8"/>
      <c r="L13" s="60">
        <v>9</v>
      </c>
      <c r="M13" s="61">
        <f>+'9'!K206</f>
        <v>680</v>
      </c>
      <c r="N13" s="61">
        <f>+'9'!K211</f>
        <v>0</v>
      </c>
      <c r="O13" s="61">
        <f>+'9'!K209</f>
        <v>0</v>
      </c>
      <c r="P13" s="61">
        <f>+'9'!K207</f>
        <v>0</v>
      </c>
      <c r="Q13" s="61">
        <f>+'9'!K210</f>
        <v>0</v>
      </c>
      <c r="R13" s="61">
        <f>+'9'!K208</f>
        <v>150</v>
      </c>
      <c r="S13" s="61">
        <f t="shared" si="3"/>
        <v>530</v>
      </c>
      <c r="T13" s="61">
        <f>+'9'!K213</f>
        <v>530</v>
      </c>
      <c r="U13" s="62">
        <f t="shared" si="4"/>
        <v>0</v>
      </c>
      <c r="V13" s="4"/>
    </row>
    <row r="14" spans="1:22" x14ac:dyDescent="0.55000000000000004">
      <c r="A14" s="5">
        <v>10</v>
      </c>
      <c r="B14" s="14" t="s">
        <v>25</v>
      </c>
      <c r="C14" s="57">
        <f>+ยกมา!G13</f>
        <v>0</v>
      </c>
      <c r="D14" s="58">
        <f>+'1'!D13+'2'!D13+'3'!D13+'4'!D13+'5'!D13+'6'!D13+'7'!D13+'8'!D13+'9'!D13+'10'!D13+'11'!D13+'12'!D13+'13'!D13+'14'!D13+'15'!D13+'16'!D13+'17'!D13+'18'!D13+'19'!D13+'20'!D13+'21'!D13+'22'!D13+'23'!D13+'24'!D13+'25'!D13+'26'!D13+'27'!D13+'28'!D13+'29'!D13+'30'!D13</f>
        <v>0</v>
      </c>
      <c r="E14" s="57">
        <f t="shared" si="1"/>
        <v>0</v>
      </c>
      <c r="F14" s="58">
        <f>+'1'!F13+'2'!F13+'3'!F13+'4'!F13+'5'!F13+'6'!F13+'7'!F13+'8'!F13+'9'!F13+'10'!F13+'11'!F13+'12'!F13+'13'!F13+'14'!F13+'15'!F13+'16'!F13+'17'!F13+'18'!F13+'19'!F13+'20'!F13+'21'!F13+'22'!F13+'23'!F13+'24'!F13+'25'!F13+'26'!F13+'27'!F13+'28'!F13+'29'!F13+'30'!F183</f>
        <v>0</v>
      </c>
      <c r="G14" s="59">
        <f t="shared" si="2"/>
        <v>0</v>
      </c>
      <c r="H14" s="58">
        <f>+'1'!H13+'2'!H13+'3'!H13+'4'!H13+'5'!H13+'6'!H13+'7'!H13+'8'!H13+'9'!H13+'10'!H13+'11'!H13+'12'!H13+'13'!H13+'14'!H13+'15'!H13+'16'!H13+'17'!H13+'18'!H13+'19'!H13+'20'!H13+'21'!H13+'22'!H13+'23'!H13+'24'!H13+'25'!H13+'26'!H13+'27'!H13+'28'!H13+'29'!H13+'30'!H13</f>
        <v>0</v>
      </c>
      <c r="I14" s="8">
        <v>65</v>
      </c>
      <c r="J14" s="5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4" s="8"/>
      <c r="L14" s="60">
        <v>10</v>
      </c>
      <c r="M14" s="98">
        <f>+'10'!K206</f>
        <v>1400</v>
      </c>
      <c r="N14" s="98">
        <f>+'10'!K211</f>
        <v>15</v>
      </c>
      <c r="O14" s="98">
        <f>+'10'!K209</f>
        <v>0</v>
      </c>
      <c r="P14" s="98">
        <f>+'10'!K207</f>
        <v>0</v>
      </c>
      <c r="Q14" s="98">
        <f>+'10'!K210</f>
        <v>0</v>
      </c>
      <c r="R14" s="98">
        <f>+'10'!K208</f>
        <v>150</v>
      </c>
      <c r="S14" s="98">
        <f t="shared" si="3"/>
        <v>1235</v>
      </c>
      <c r="T14" s="98">
        <f>+'10'!K213</f>
        <v>1235</v>
      </c>
      <c r="U14" s="99">
        <f t="shared" si="4"/>
        <v>0</v>
      </c>
      <c r="V14" s="4"/>
    </row>
    <row r="15" spans="1:22" x14ac:dyDescent="0.55000000000000004">
      <c r="A15" s="16">
        <v>11</v>
      </c>
      <c r="B15" s="17" t="s">
        <v>26</v>
      </c>
      <c r="C15" s="57">
        <f>+ยกมา!G14</f>
        <v>0</v>
      </c>
      <c r="D15" s="58">
        <f>+'1'!D14+'2'!D14+'3'!D14+'4'!D14+'5'!D14+'6'!D14+'7'!D14+'8'!D14+'9'!D14+'10'!D14+'11'!D14+'12'!D14+'13'!D14+'14'!D14+'15'!D14+'16'!D14+'17'!D14+'18'!D14+'19'!D14+'20'!D14+'21'!D14+'22'!D14+'23'!D14+'24'!D14+'25'!D14+'26'!D14+'27'!D14+'28'!D14+'29'!D14+'30'!D14</f>
        <v>0</v>
      </c>
      <c r="E15" s="57">
        <f t="shared" si="1"/>
        <v>0</v>
      </c>
      <c r="F15" s="58">
        <f>+'1'!F14+'2'!F14+'3'!F14+'4'!F14+'5'!F14+'6'!F14+'7'!F14+'8'!F14+'9'!F14+'10'!F14+'11'!F14+'12'!F14+'13'!F14+'14'!F14+'15'!F14+'16'!F14+'17'!F14+'18'!F14+'19'!F14+'20'!F14+'21'!F14+'22'!F14+'23'!F14+'24'!F14+'25'!F14+'26'!F14+'27'!F14+'28'!F14+'29'!F14+'30'!F184</f>
        <v>0</v>
      </c>
      <c r="G15" s="59">
        <f t="shared" si="2"/>
        <v>0</v>
      </c>
      <c r="H15" s="58">
        <f>+'1'!H14+'2'!H14+'3'!H14+'4'!H14+'5'!H14+'6'!H14+'7'!H14+'8'!H14+'9'!H14+'10'!H14+'11'!H14+'12'!H14+'13'!H14+'14'!H14+'15'!H14+'16'!H14+'17'!H14+'18'!H14+'19'!H14+'20'!H14+'21'!H14+'22'!H14+'23'!H14+'24'!H14+'25'!H14+'26'!H14+'27'!H14+'28'!H14+'29'!H14+'30'!H14</f>
        <v>0</v>
      </c>
      <c r="I15" s="8">
        <v>50</v>
      </c>
      <c r="J15" s="5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5" s="8"/>
      <c r="L15" s="60">
        <v>11</v>
      </c>
      <c r="M15" s="61">
        <f>+'11'!K206</f>
        <v>150</v>
      </c>
      <c r="N15" s="61">
        <f>+'11'!K211</f>
        <v>0</v>
      </c>
      <c r="O15" s="61">
        <f>+'11'!K209</f>
        <v>0</v>
      </c>
      <c r="P15" s="61">
        <f>+'11'!K207</f>
        <v>0</v>
      </c>
      <c r="Q15" s="61">
        <f>+'11'!K210</f>
        <v>0</v>
      </c>
      <c r="R15" s="61">
        <f>+'11'!K208</f>
        <v>0</v>
      </c>
      <c r="S15" s="61">
        <f t="shared" si="0"/>
        <v>150</v>
      </c>
      <c r="T15" s="61">
        <f>+'11'!K213</f>
        <v>150</v>
      </c>
      <c r="U15" s="62">
        <f t="shared" ref="U15:U35" si="5">+T15-S15</f>
        <v>0</v>
      </c>
      <c r="V15" s="4"/>
    </row>
    <row r="16" spans="1:22" x14ac:dyDescent="0.55000000000000004">
      <c r="A16" s="5">
        <v>12</v>
      </c>
      <c r="B16" s="6" t="s">
        <v>27</v>
      </c>
      <c r="C16" s="57">
        <f>+ยกมา!G15</f>
        <v>2</v>
      </c>
      <c r="D16" s="58">
        <f>+'1'!D15+'2'!D15+'3'!D15+'4'!D15+'5'!D15+'6'!D15+'7'!D15+'8'!D15+'9'!D15+'10'!D15+'11'!D15+'12'!D15+'13'!D15+'14'!D15+'15'!D15+'16'!D15+'17'!D15+'18'!D15+'19'!D15+'20'!D15+'21'!D15+'22'!D15+'23'!D15+'24'!D15+'25'!D15+'26'!D15+'27'!D15+'28'!D15+'29'!D15+'30'!D15</f>
        <v>0</v>
      </c>
      <c r="E16" s="57">
        <f t="shared" si="1"/>
        <v>2</v>
      </c>
      <c r="F16" s="58">
        <f>+'1'!F15+'2'!F15+'3'!F15+'4'!F15+'5'!F15+'6'!F15+'7'!F15+'8'!F15+'9'!F15+'10'!F15+'11'!F15+'12'!F15+'13'!F15+'14'!F15+'15'!F15+'16'!F15+'17'!F15+'18'!F15+'19'!F15+'20'!F15+'21'!F15+'22'!F15+'23'!F15+'24'!F15+'25'!F15+'26'!F15+'27'!F15+'28'!F15+'29'!F15+'30'!F185</f>
        <v>0</v>
      </c>
      <c r="G16" s="59">
        <f t="shared" si="2"/>
        <v>0</v>
      </c>
      <c r="H16" s="58">
        <f>+'1'!H15+'2'!H15+'3'!H15+'4'!H15+'5'!H15+'6'!H15+'7'!H15+'8'!H15+'9'!H15+'10'!H15+'11'!H15+'12'!H15+'13'!H15+'14'!H15+'15'!H15+'16'!H15+'17'!H15+'18'!H15+'19'!H15+'20'!H15+'21'!H15+'22'!H15+'23'!H15+'24'!H15+'25'!H15+'26'!H15+'27'!H15+'28'!H15+'29'!H15+'30'!H15</f>
        <v>2</v>
      </c>
      <c r="I16" s="8">
        <v>50</v>
      </c>
      <c r="J16" s="5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100</v>
      </c>
      <c r="K16" s="8"/>
      <c r="L16" s="60">
        <v>12</v>
      </c>
      <c r="M16" s="61">
        <f>+'12'!K206</f>
        <v>2315</v>
      </c>
      <c r="N16" s="61">
        <f>+'12'!K211</f>
        <v>100</v>
      </c>
      <c r="O16" s="61">
        <f>+'12'!K209</f>
        <v>0</v>
      </c>
      <c r="P16" s="61">
        <f>+'12'!K207</f>
        <v>0</v>
      </c>
      <c r="Q16" s="61">
        <f>+'12'!K210</f>
        <v>0</v>
      </c>
      <c r="R16" s="61">
        <f>+'12'!K208</f>
        <v>420</v>
      </c>
      <c r="S16" s="61">
        <f t="shared" si="0"/>
        <v>1795</v>
      </c>
      <c r="T16" s="61">
        <f>+'12'!K213</f>
        <v>1795</v>
      </c>
      <c r="U16" s="62">
        <f t="shared" si="5"/>
        <v>0</v>
      </c>
      <c r="V16" s="4"/>
    </row>
    <row r="17" spans="1:22" x14ac:dyDescent="0.55000000000000004">
      <c r="A17" s="5">
        <v>13</v>
      </c>
      <c r="B17" s="6" t="s">
        <v>28</v>
      </c>
      <c r="C17" s="57">
        <f>+ยกมา!G16</f>
        <v>0</v>
      </c>
      <c r="D17" s="58">
        <f>+'1'!D16+'2'!D16+'3'!D16+'4'!D16+'5'!D16+'6'!D16+'7'!D16+'8'!D16+'9'!D16+'10'!D16+'11'!D16+'12'!D16+'13'!D16+'14'!D16+'15'!D16+'16'!D16+'17'!D16+'18'!D16+'19'!D16+'20'!D16+'21'!D16+'22'!D16+'23'!D16+'24'!D16+'25'!D16+'26'!D16+'27'!D16+'28'!D16+'29'!D16+'30'!D16</f>
        <v>0</v>
      </c>
      <c r="E17" s="57">
        <f t="shared" si="1"/>
        <v>0</v>
      </c>
      <c r="F17" s="58">
        <f>+'1'!F16+'2'!F16+'3'!F16+'4'!F16+'5'!F16+'6'!F16+'7'!F16+'8'!F16+'9'!F16+'10'!F16+'11'!F16+'12'!F16+'13'!F16+'14'!F16+'15'!F16+'16'!F16+'17'!F16+'18'!F16+'19'!F16+'20'!F16+'21'!F16+'22'!F16+'23'!F16+'24'!F16+'25'!F16+'26'!F16+'27'!F16+'28'!F16+'29'!F16+'30'!F186</f>
        <v>0</v>
      </c>
      <c r="G17" s="59">
        <f t="shared" si="2"/>
        <v>0</v>
      </c>
      <c r="H17" s="5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17" s="8">
        <v>50</v>
      </c>
      <c r="J17" s="5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7" s="8"/>
      <c r="L17" s="60">
        <v>13</v>
      </c>
      <c r="M17" s="61">
        <f>+'13'!K206</f>
        <v>1470</v>
      </c>
      <c r="N17" s="61">
        <f>+'13'!K211</f>
        <v>0</v>
      </c>
      <c r="O17" s="61">
        <f>+'13'!K209</f>
        <v>0</v>
      </c>
      <c r="P17" s="61">
        <f>+'13'!K207</f>
        <v>0</v>
      </c>
      <c r="Q17" s="61">
        <f>+'13'!K210</f>
        <v>0</v>
      </c>
      <c r="R17" s="61">
        <f>+'13'!K208</f>
        <v>300</v>
      </c>
      <c r="S17" s="61">
        <f t="shared" si="0"/>
        <v>1170</v>
      </c>
      <c r="T17" s="61">
        <f>+'13'!K213</f>
        <v>1170</v>
      </c>
      <c r="U17" s="62">
        <f t="shared" si="5"/>
        <v>0</v>
      </c>
      <c r="V17" s="4"/>
    </row>
    <row r="18" spans="1:22" x14ac:dyDescent="0.55000000000000004">
      <c r="A18" s="5">
        <v>14</v>
      </c>
      <c r="B18" s="14" t="s">
        <v>29</v>
      </c>
      <c r="C18" s="57">
        <f>+ยกมา!G17</f>
        <v>3</v>
      </c>
      <c r="D18" s="58">
        <f>+'1'!D17+'2'!D17+'3'!D17+'4'!D17+'5'!D17+'6'!D17+'7'!D17+'8'!D17+'9'!D17+'10'!D17+'11'!D17+'12'!D17+'13'!D17+'14'!D17+'15'!D17+'16'!D17+'17'!D17+'18'!D17+'19'!D17+'20'!D17+'21'!D17+'22'!D17+'23'!D17+'24'!D17+'25'!D17+'26'!D17+'27'!D17+'28'!D17+'29'!D17+'30'!D17</f>
        <v>0</v>
      </c>
      <c r="E18" s="57">
        <f t="shared" si="1"/>
        <v>3</v>
      </c>
      <c r="F18" s="58">
        <f>+'1'!F17+'2'!F17+'3'!F17+'4'!F17+'5'!F17+'6'!F17+'7'!F17+'8'!F17+'9'!F17+'10'!F17+'11'!F17+'12'!F17+'13'!F17+'14'!F17+'15'!F17+'16'!F17+'17'!F17+'18'!F17+'19'!F17+'20'!F17+'21'!F17+'22'!F17+'23'!F17+'24'!F17+'25'!F17+'26'!F17+'27'!F17+'28'!F17+'29'!F17+'30'!F187</f>
        <v>0</v>
      </c>
      <c r="G18" s="59">
        <f t="shared" si="2"/>
        <v>0</v>
      </c>
      <c r="H18" s="5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</v>
      </c>
      <c r="I18" s="8">
        <v>50</v>
      </c>
      <c r="J18" s="5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150</v>
      </c>
      <c r="K18" s="8"/>
      <c r="L18" s="60">
        <v>14</v>
      </c>
      <c r="M18" s="61">
        <f>+'14'!K206</f>
        <v>720</v>
      </c>
      <c r="N18" s="61">
        <f>+'14'!K211</f>
        <v>0</v>
      </c>
      <c r="O18" s="61">
        <f>+'14'!K209</f>
        <v>0</v>
      </c>
      <c r="P18" s="61">
        <f>+'14'!K207</f>
        <v>0</v>
      </c>
      <c r="Q18" s="61">
        <f>+'14'!K210</f>
        <v>0</v>
      </c>
      <c r="R18" s="61">
        <f>+'14'!K208</f>
        <v>400</v>
      </c>
      <c r="S18" s="61">
        <f t="shared" si="0"/>
        <v>320</v>
      </c>
      <c r="T18" s="61">
        <f>+'14'!K213</f>
        <v>320</v>
      </c>
      <c r="U18" s="62">
        <f t="shared" si="5"/>
        <v>0</v>
      </c>
      <c r="V18" s="4"/>
    </row>
    <row r="19" spans="1:22" x14ac:dyDescent="0.55000000000000004">
      <c r="A19" s="5">
        <v>15</v>
      </c>
      <c r="B19" s="6" t="s">
        <v>30</v>
      </c>
      <c r="C19" s="57">
        <f>+ยกมา!G18</f>
        <v>0</v>
      </c>
      <c r="D19" s="58">
        <f>+'1'!D18+'2'!D18+'3'!D18+'4'!D18+'5'!D18+'6'!D18+'7'!D18+'8'!D18+'9'!D18+'10'!D18+'11'!D18+'12'!D18+'13'!D18+'14'!D18+'15'!D18+'16'!D18+'17'!D18+'18'!D18+'19'!D18+'20'!D18+'21'!D18+'22'!D18+'23'!D18+'24'!D18+'25'!D18+'26'!D18+'27'!D18+'28'!D18+'29'!D18+'30'!D18</f>
        <v>0</v>
      </c>
      <c r="E19" s="57">
        <f t="shared" si="1"/>
        <v>0</v>
      </c>
      <c r="F19" s="58">
        <f>+'1'!F18+'2'!F18+'3'!F18+'4'!F18+'5'!F18+'6'!F18+'7'!F18+'8'!F18+'9'!F18+'10'!F18+'11'!F18+'12'!F18+'13'!F18+'14'!F18+'15'!F18+'16'!F18+'17'!F18+'18'!F18+'19'!F18+'20'!F18+'21'!F18+'22'!F18+'23'!F18+'24'!F18+'25'!F18+'26'!F18+'27'!F18+'28'!F18+'29'!F18+'30'!F188</f>
        <v>0</v>
      </c>
      <c r="G19" s="59">
        <f t="shared" si="2"/>
        <v>0</v>
      </c>
      <c r="H19" s="5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19" s="8">
        <v>50</v>
      </c>
      <c r="J19" s="5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9" s="8"/>
      <c r="L19" s="60">
        <v>15</v>
      </c>
      <c r="M19" s="61">
        <f>+'15'!K206</f>
        <v>230</v>
      </c>
      <c r="N19" s="61">
        <f>+'15'!K211</f>
        <v>0</v>
      </c>
      <c r="O19" s="61">
        <f>+'15'!K209</f>
        <v>0</v>
      </c>
      <c r="P19" s="61">
        <f>+'15'!K207</f>
        <v>0</v>
      </c>
      <c r="Q19" s="61">
        <f>+'15'!K210</f>
        <v>0</v>
      </c>
      <c r="R19" s="61">
        <f>+'15'!K208</f>
        <v>0</v>
      </c>
      <c r="S19" s="61">
        <f t="shared" si="0"/>
        <v>230</v>
      </c>
      <c r="T19" s="61">
        <f>+'15'!K213</f>
        <v>230</v>
      </c>
      <c r="U19" s="62">
        <f t="shared" si="5"/>
        <v>0</v>
      </c>
      <c r="V19" s="4"/>
    </row>
    <row r="20" spans="1:22" x14ac:dyDescent="0.55000000000000004">
      <c r="A20" s="5">
        <v>16</v>
      </c>
      <c r="B20" s="6" t="s">
        <v>31</v>
      </c>
      <c r="C20" s="57">
        <f>+ยกมา!G19</f>
        <v>-1</v>
      </c>
      <c r="D20" s="58">
        <f>+'1'!D19+'2'!D19+'3'!D19+'4'!D19+'5'!D19+'6'!D19+'7'!D19+'8'!D19+'9'!D19+'10'!D19+'11'!D19+'12'!D19+'13'!D19+'14'!D19+'15'!D19+'16'!D19+'17'!D19+'18'!D19+'19'!D19+'20'!D19+'21'!D19+'22'!D19+'23'!D19+'24'!D19+'25'!D19+'26'!D19+'27'!D19+'28'!D19+'29'!D19+'30'!D19</f>
        <v>0</v>
      </c>
      <c r="E20" s="57">
        <f t="shared" si="1"/>
        <v>-1</v>
      </c>
      <c r="F20" s="58">
        <f>+'1'!F19+'2'!F19+'3'!F19+'4'!F19+'5'!F19+'6'!F19+'7'!F19+'8'!F19+'9'!F19+'10'!F19+'11'!F19+'12'!F19+'13'!F19+'14'!F19+'15'!F19+'16'!F19+'17'!F19+'18'!F19+'19'!F19+'20'!F19+'21'!F19+'22'!F19+'23'!F19+'24'!F19+'25'!F19+'26'!F19+'27'!F19+'28'!F19+'29'!F19+'30'!F189</f>
        <v>0</v>
      </c>
      <c r="G20" s="59">
        <f t="shared" si="2"/>
        <v>-3</v>
      </c>
      <c r="H20" s="5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</v>
      </c>
      <c r="I20" s="8">
        <v>50</v>
      </c>
      <c r="J20" s="5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100</v>
      </c>
      <c r="K20" s="8"/>
      <c r="L20" s="60">
        <v>16</v>
      </c>
      <c r="M20" s="61">
        <f>+'16'!K206</f>
        <v>350</v>
      </c>
      <c r="N20" s="61">
        <f>+'16'!K211</f>
        <v>0</v>
      </c>
      <c r="O20" s="61">
        <f>+'16'!K209</f>
        <v>0</v>
      </c>
      <c r="P20" s="61">
        <f>+'16'!K207</f>
        <v>0</v>
      </c>
      <c r="Q20" s="61">
        <f>+'16'!K210</f>
        <v>0</v>
      </c>
      <c r="R20" s="61">
        <f>+'16'!K208</f>
        <v>0</v>
      </c>
      <c r="S20" s="61">
        <f t="shared" si="0"/>
        <v>350</v>
      </c>
      <c r="T20" s="61">
        <f>+'16'!K213</f>
        <v>350</v>
      </c>
      <c r="U20" s="62">
        <f t="shared" si="5"/>
        <v>0</v>
      </c>
      <c r="V20" s="4"/>
    </row>
    <row r="21" spans="1:22" x14ac:dyDescent="0.55000000000000004">
      <c r="A21" s="5">
        <v>17</v>
      </c>
      <c r="B21" s="6" t="s">
        <v>32</v>
      </c>
      <c r="C21" s="57">
        <f>+ยกมา!G20</f>
        <v>0</v>
      </c>
      <c r="D21" s="58">
        <f>+'1'!D20+'2'!D20+'3'!D20+'4'!D20+'5'!D20+'6'!D20+'7'!D20+'8'!D20+'9'!D20+'10'!D20+'11'!D20+'12'!D20+'13'!D20+'14'!D20+'15'!D20+'16'!D20+'17'!D20+'18'!D20+'19'!D20+'20'!D20+'21'!D20+'22'!D20+'23'!D20+'24'!D20+'25'!D20+'26'!D20+'27'!D20+'28'!D20+'29'!D20+'30'!D20</f>
        <v>0</v>
      </c>
      <c r="E21" s="57">
        <f t="shared" si="1"/>
        <v>0</v>
      </c>
      <c r="F21" s="58">
        <f>+'1'!F20+'2'!F20+'3'!F20+'4'!F20+'5'!F20+'6'!F20+'7'!F20+'8'!F20+'9'!F20+'10'!F20+'11'!F20+'12'!F20+'13'!F20+'14'!F20+'15'!F20+'16'!F20+'17'!F20+'18'!F20+'19'!F20+'20'!F20+'21'!F20+'22'!F20+'23'!F20+'24'!F20+'25'!F20+'26'!F20+'27'!F20+'28'!F20+'29'!F20+'30'!F190</f>
        <v>0</v>
      </c>
      <c r="G21" s="59">
        <f t="shared" si="2"/>
        <v>0</v>
      </c>
      <c r="H21" s="5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21" s="8">
        <v>50</v>
      </c>
      <c r="J21" s="5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8"/>
      <c r="L21" s="60">
        <v>17</v>
      </c>
      <c r="M21" s="61">
        <f>+'17'!K206</f>
        <v>1970</v>
      </c>
      <c r="N21" s="61">
        <f>+'17'!K211</f>
        <v>75</v>
      </c>
      <c r="O21" s="61">
        <f>+'17'!K209</f>
        <v>0</v>
      </c>
      <c r="P21" s="61">
        <f>+'17'!K207</f>
        <v>0</v>
      </c>
      <c r="Q21" s="61">
        <f>+'17'!K210</f>
        <v>0</v>
      </c>
      <c r="R21" s="61">
        <f>+'17'!K208</f>
        <v>380</v>
      </c>
      <c r="S21" s="61">
        <f t="shared" si="0"/>
        <v>1515</v>
      </c>
      <c r="T21" s="61">
        <f>+'17'!K213</f>
        <v>1515</v>
      </c>
      <c r="U21" s="62">
        <f t="shared" si="5"/>
        <v>0</v>
      </c>
      <c r="V21" s="4"/>
    </row>
    <row r="22" spans="1:22" x14ac:dyDescent="0.55000000000000004">
      <c r="A22" s="5">
        <v>18</v>
      </c>
      <c r="B22" s="6" t="s">
        <v>33</v>
      </c>
      <c r="C22" s="57">
        <f>+ยกมา!G21</f>
        <v>0</v>
      </c>
      <c r="D22" s="58">
        <f>+'1'!D21+'2'!D21+'3'!D21+'4'!D21+'5'!D21+'6'!D21+'7'!D21+'8'!D21+'9'!D21+'10'!D21+'11'!D21+'12'!D21+'13'!D21+'14'!D21+'15'!D21+'16'!D21+'17'!D21+'18'!D21+'19'!D21+'20'!D21+'21'!D21+'22'!D21+'23'!D21+'24'!D21+'25'!D21+'26'!D21+'27'!D21+'28'!D21+'29'!D21+'30'!D21</f>
        <v>0</v>
      </c>
      <c r="E22" s="57">
        <f t="shared" si="1"/>
        <v>0</v>
      </c>
      <c r="F22" s="58">
        <f>+'1'!F21+'2'!F21+'3'!F21+'4'!F21+'5'!F21+'6'!F21+'7'!F21+'8'!F21+'9'!F21+'10'!F21+'11'!F21+'12'!F21+'13'!F21+'14'!F21+'15'!F21+'16'!F21+'17'!F21+'18'!F21+'19'!F21+'20'!F21+'21'!F21+'22'!F21+'23'!F21+'24'!F21+'25'!F21+'26'!F21+'27'!F21+'28'!F21+'29'!F21+'30'!F191</f>
        <v>0</v>
      </c>
      <c r="G22" s="59">
        <f t="shared" si="2"/>
        <v>0</v>
      </c>
      <c r="H22" s="5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22" s="8">
        <v>85</v>
      </c>
      <c r="J22" s="5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2" s="8"/>
      <c r="L22" s="60">
        <v>18</v>
      </c>
      <c r="M22" s="61">
        <f>+'18'!K206</f>
        <v>480</v>
      </c>
      <c r="N22" s="61">
        <f>+'18'!K211</f>
        <v>0</v>
      </c>
      <c r="O22" s="61">
        <f>+'18'!K209</f>
        <v>0</v>
      </c>
      <c r="P22" s="61">
        <f>+'18'!K207</f>
        <v>0</v>
      </c>
      <c r="Q22" s="61">
        <f>+'18'!K210</f>
        <v>0</v>
      </c>
      <c r="R22" s="61">
        <f>+'18'!K208</f>
        <v>150</v>
      </c>
      <c r="S22" s="61">
        <f t="shared" si="0"/>
        <v>330</v>
      </c>
      <c r="T22" s="61">
        <f>+'18'!K213</f>
        <v>330</v>
      </c>
      <c r="U22" s="62">
        <f t="shared" si="5"/>
        <v>0</v>
      </c>
      <c r="V22" s="4"/>
    </row>
    <row r="23" spans="1:22" x14ac:dyDescent="0.55000000000000004">
      <c r="A23" s="5">
        <v>19</v>
      </c>
      <c r="B23" s="6" t="s">
        <v>34</v>
      </c>
      <c r="C23" s="57">
        <f>+ยกมา!G22</f>
        <v>11</v>
      </c>
      <c r="D23" s="58">
        <f>+'1'!D22+'2'!D22+'3'!D22+'4'!D22+'5'!D22+'6'!D22+'7'!D22+'8'!D22+'9'!D22+'10'!D22+'11'!D22+'12'!D22+'13'!D22+'14'!D22+'15'!D22+'16'!D22+'17'!D22+'18'!D22+'19'!D22+'20'!D22+'21'!D22+'22'!D22+'23'!D22+'24'!D22+'25'!D22+'26'!D22+'27'!D22+'28'!D22+'29'!D22+'30'!D22</f>
        <v>50</v>
      </c>
      <c r="E23" s="57">
        <f t="shared" si="1"/>
        <v>61</v>
      </c>
      <c r="F23" s="58">
        <f>+'1'!F22+'2'!F22+'3'!F22+'4'!F22+'5'!F22+'6'!F22+'7'!F22+'8'!F22+'9'!F22+'10'!F22+'11'!F22+'12'!F22+'13'!F22+'14'!F22+'15'!F22+'16'!F22+'17'!F22+'18'!F22+'19'!F22+'20'!F22+'21'!F22+'22'!F22+'23'!F22+'24'!F22+'25'!F22+'26'!F22+'27'!F22+'28'!F22+'29'!F22+'30'!F192</f>
        <v>9</v>
      </c>
      <c r="G23" s="59">
        <f t="shared" si="2"/>
        <v>22</v>
      </c>
      <c r="H23" s="5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30</v>
      </c>
      <c r="I23" s="8">
        <v>100</v>
      </c>
      <c r="J23" s="5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3000</v>
      </c>
      <c r="K23" s="8"/>
      <c r="L23" s="60">
        <v>19</v>
      </c>
      <c r="M23" s="61">
        <f>+'19'!K206</f>
        <v>2560</v>
      </c>
      <c r="N23" s="61">
        <f>+'19'!K211</f>
        <v>175</v>
      </c>
      <c r="O23" s="61">
        <v>0</v>
      </c>
      <c r="P23" s="61">
        <f>+'19'!K207</f>
        <v>0</v>
      </c>
      <c r="Q23" s="61">
        <f>+'19'!K210</f>
        <v>0</v>
      </c>
      <c r="R23" s="61">
        <f>+'19'!K208</f>
        <v>455</v>
      </c>
      <c r="S23" s="61">
        <f t="shared" si="0"/>
        <v>1930</v>
      </c>
      <c r="T23" s="61">
        <f>+'19'!K213</f>
        <v>1930</v>
      </c>
      <c r="U23" s="62">
        <f t="shared" si="5"/>
        <v>0</v>
      </c>
      <c r="V23" s="4"/>
    </row>
    <row r="24" spans="1:22" x14ac:dyDescent="0.55000000000000004">
      <c r="A24" s="5">
        <v>20</v>
      </c>
      <c r="B24" s="6" t="s">
        <v>35</v>
      </c>
      <c r="C24" s="57">
        <f>+ยกมา!G23</f>
        <v>0</v>
      </c>
      <c r="D24" s="58">
        <f>+'1'!D23+'2'!D23+'3'!D23+'4'!D23+'5'!D23+'6'!D23+'7'!D23+'8'!D23+'9'!D23+'10'!D23+'11'!D23+'12'!D23+'13'!D23+'14'!D23+'15'!D23+'16'!D23+'17'!D23+'18'!D23+'19'!D23+'20'!D23+'21'!D23+'22'!D23+'23'!D23+'24'!D23+'25'!D23+'26'!D23+'27'!D23+'28'!D23+'29'!D23+'30'!D23</f>
        <v>0</v>
      </c>
      <c r="E24" s="57">
        <f t="shared" si="1"/>
        <v>0</v>
      </c>
      <c r="F24" s="58">
        <f>+'1'!F23+'2'!F23+'3'!F23+'4'!F23+'5'!F23+'6'!F23+'7'!F23+'8'!F23+'9'!F23+'10'!F23+'11'!F23+'12'!F23+'13'!F23+'14'!F23+'15'!F23+'16'!F23+'17'!F23+'18'!F23+'19'!F23+'20'!F23+'21'!F23+'22'!F23+'23'!F23+'24'!F23+'25'!F23+'26'!F23+'27'!F23+'28'!F23+'29'!F23+'30'!F193</f>
        <v>0</v>
      </c>
      <c r="G24" s="59">
        <f t="shared" si="2"/>
        <v>0</v>
      </c>
      <c r="H24" s="5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24" s="8">
        <v>100</v>
      </c>
      <c r="J24" s="5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4" s="8"/>
      <c r="L24" s="60">
        <v>20</v>
      </c>
      <c r="M24" s="61">
        <f>+'20'!K206</f>
        <v>640</v>
      </c>
      <c r="N24" s="61">
        <f>+'20'!K211</f>
        <v>0</v>
      </c>
      <c r="O24" s="61">
        <v>0</v>
      </c>
      <c r="P24" s="61">
        <f>+'20'!K207</f>
        <v>0</v>
      </c>
      <c r="Q24" s="61">
        <f>+'20'!K210</f>
        <v>0</v>
      </c>
      <c r="R24" s="61">
        <f>+'20'!K208</f>
        <v>0</v>
      </c>
      <c r="S24" s="61">
        <f t="shared" si="0"/>
        <v>640</v>
      </c>
      <c r="T24" s="61">
        <f>+'20'!K213</f>
        <v>640</v>
      </c>
      <c r="U24" s="62">
        <f t="shared" si="5"/>
        <v>0</v>
      </c>
      <c r="V24" s="4"/>
    </row>
    <row r="25" spans="1:22" x14ac:dyDescent="0.55000000000000004">
      <c r="A25" s="5">
        <v>21</v>
      </c>
      <c r="B25" s="6" t="s">
        <v>36</v>
      </c>
      <c r="C25" s="57">
        <f>+ยกมา!G24</f>
        <v>0</v>
      </c>
      <c r="D25" s="58">
        <f>+'1'!D24+'2'!D24+'3'!D24+'4'!D24+'5'!D24+'6'!D24+'7'!D24+'8'!D24+'9'!D24+'10'!D24+'11'!D24+'12'!D24+'13'!D24+'14'!D24+'15'!D24+'16'!D24+'17'!D24+'18'!D24+'19'!D24+'20'!D24+'21'!D24+'22'!D24+'23'!D24+'24'!D24+'25'!D24+'26'!D24+'27'!D24+'28'!D24+'29'!D24+'30'!D24</f>
        <v>0</v>
      </c>
      <c r="E25" s="57">
        <f t="shared" si="1"/>
        <v>0</v>
      </c>
      <c r="F25" s="58">
        <f>+'1'!F24+'2'!F24+'3'!F24+'4'!F24+'5'!F24+'6'!F24+'7'!F24+'8'!F24+'9'!F24+'10'!F24+'11'!F24+'12'!F24+'13'!F24+'14'!F24+'15'!F24+'16'!F24+'17'!F24+'18'!F24+'19'!F24+'20'!F24+'21'!F24+'22'!F24+'23'!F24+'24'!F24+'25'!F24+'26'!F24+'27'!F24+'28'!F24+'29'!F24+'30'!F194</f>
        <v>0</v>
      </c>
      <c r="G25" s="59">
        <f t="shared" si="2"/>
        <v>0</v>
      </c>
      <c r="H25" s="5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25" s="8">
        <v>100</v>
      </c>
      <c r="J25" s="5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5" s="8"/>
      <c r="L25" s="60">
        <v>21</v>
      </c>
      <c r="M25" s="61">
        <f>+'21'!K206</f>
        <v>520</v>
      </c>
      <c r="N25" s="61">
        <f>+'21'!K211</f>
        <v>0</v>
      </c>
      <c r="O25" s="61">
        <v>0</v>
      </c>
      <c r="P25" s="61">
        <f>+'21'!K207</f>
        <v>0</v>
      </c>
      <c r="Q25" s="61">
        <f>+'21'!K210</f>
        <v>0</v>
      </c>
      <c r="R25" s="61">
        <f>+'21'!K208</f>
        <v>0</v>
      </c>
      <c r="S25" s="61">
        <f t="shared" si="0"/>
        <v>520</v>
      </c>
      <c r="T25" s="61">
        <f>+'21'!K213</f>
        <v>520</v>
      </c>
      <c r="U25" s="62">
        <f t="shared" si="5"/>
        <v>0</v>
      </c>
      <c r="V25" s="4"/>
    </row>
    <row r="26" spans="1:22" x14ac:dyDescent="0.55000000000000004">
      <c r="A26" s="5">
        <v>22</v>
      </c>
      <c r="B26" s="6" t="s">
        <v>37</v>
      </c>
      <c r="C26" s="57">
        <f>+ยกมา!G25</f>
        <v>0</v>
      </c>
      <c r="D26" s="58">
        <f>+'1'!D25+'2'!D25+'3'!D25+'4'!D25+'5'!D25+'6'!D25+'7'!D25+'8'!D25+'9'!D25+'10'!D25+'11'!D25+'12'!D25+'13'!D25+'14'!D25+'15'!D25+'16'!D25+'17'!D25+'18'!D25+'19'!D25+'20'!D25+'21'!D25+'22'!D25+'23'!D25+'24'!D25+'25'!D25+'26'!D25+'27'!D25+'28'!D25+'29'!D25+'30'!D25</f>
        <v>3</v>
      </c>
      <c r="E26" s="57">
        <f t="shared" si="1"/>
        <v>3</v>
      </c>
      <c r="F26" s="58">
        <f>+'1'!F25+'2'!F25+'3'!F25+'4'!F25+'5'!F25+'6'!F25+'7'!F25+'8'!F25+'9'!F25+'10'!F25+'11'!F25+'12'!F25+'13'!F25+'14'!F25+'15'!F25+'16'!F25+'17'!F25+'18'!F25+'19'!F25+'20'!F25+'21'!F25+'22'!F25+'23'!F25+'24'!F25+'25'!F25+'26'!F25+'27'!F25+'28'!F25+'29'!F25+'30'!F195</f>
        <v>0</v>
      </c>
      <c r="G26" s="59">
        <f t="shared" si="2"/>
        <v>1</v>
      </c>
      <c r="H26" s="58">
        <f>+'1'!H25+'2'!H25+'3'!H25+'4'!H25+'5'!H25+'6'!H25+'7'!H25+'8'!H25+'9'!H25+'10'!H25+'11'!H25+'12'!H25+'13'!H25+'14'!H25+'15'!H25+'16'!H25+'17'!H25+'18'!H25+'19'!H25+'20'!H25+'21'!H25+'22'!H25+'23'!H25+'24'!H25+'25'!H25+'26'!H25+'27'!H25+'28'!H25+'29'!H25+'30'!H25</f>
        <v>2</v>
      </c>
      <c r="I26" s="8">
        <v>100</v>
      </c>
      <c r="J26" s="5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200</v>
      </c>
      <c r="K26" s="8"/>
      <c r="L26" s="60">
        <v>22</v>
      </c>
      <c r="M26" s="61">
        <f>+'22'!K206</f>
        <v>1180</v>
      </c>
      <c r="N26" s="61">
        <f>+'22'!K211</f>
        <v>140</v>
      </c>
      <c r="O26" s="61">
        <v>0</v>
      </c>
      <c r="P26" s="61">
        <f>+'22'!K207</f>
        <v>0</v>
      </c>
      <c r="Q26" s="61">
        <f>+'22'!K210</f>
        <v>0</v>
      </c>
      <c r="R26" s="61">
        <f>+'22'!K208</f>
        <v>150</v>
      </c>
      <c r="S26" s="61">
        <f t="shared" si="0"/>
        <v>890</v>
      </c>
      <c r="T26" s="61">
        <f>+'22'!K212</f>
        <v>890</v>
      </c>
      <c r="U26" s="62">
        <f t="shared" si="5"/>
        <v>0</v>
      </c>
      <c r="V26" s="4"/>
    </row>
    <row r="27" spans="1:22" x14ac:dyDescent="0.55000000000000004">
      <c r="A27" s="5">
        <v>23</v>
      </c>
      <c r="B27" s="14" t="s">
        <v>38</v>
      </c>
      <c r="C27" s="57">
        <f>+ยกมา!G26</f>
        <v>0</v>
      </c>
      <c r="D27" s="58">
        <f>+'1'!D26+'2'!D26+'3'!D26+'4'!D26+'5'!D26+'6'!D26+'7'!D26+'8'!D26+'9'!D26+'10'!D26+'11'!D26+'12'!D26+'13'!D26+'14'!D26+'15'!D26+'16'!D26+'17'!D26+'18'!D26+'19'!D26+'20'!D26+'21'!D26+'22'!D26+'23'!D26+'24'!D26+'25'!D26+'26'!D26+'27'!D26+'28'!D26+'29'!D26+'30'!D26</f>
        <v>0</v>
      </c>
      <c r="E27" s="57">
        <f t="shared" si="1"/>
        <v>0</v>
      </c>
      <c r="F27" s="58">
        <f>+'1'!F26+'2'!F26+'3'!F26+'4'!F26+'5'!F26+'6'!F26+'7'!F26+'8'!F26+'9'!F26+'10'!F26+'11'!F26+'12'!F26+'13'!F26+'14'!F26+'15'!F26+'16'!F26+'17'!F26+'18'!F26+'19'!F26+'20'!F26+'21'!F26+'22'!F26+'23'!F26+'24'!F26+'25'!F26+'26'!F26+'27'!F26+'28'!F26+'29'!F26+'30'!F196</f>
        <v>0</v>
      </c>
      <c r="G27" s="59">
        <f t="shared" si="2"/>
        <v>0</v>
      </c>
      <c r="H27" s="58">
        <f>+'1'!H26+'2'!H26+'3'!H26+'4'!H26+'5'!H26+'6'!H26+'7'!H26+'8'!H26+'9'!H26+'10'!H26+'11'!H26+'12'!H26+'13'!H26+'14'!H26+'15'!H26+'16'!H26+'17'!H26+'18'!H26+'19'!H26+'20'!H26+'21'!H26+'22'!H26+'23'!H26+'24'!H26+'25'!H26+'26'!H26+'27'!H26+'28'!H26+'29'!H26+'30'!H26</f>
        <v>0</v>
      </c>
      <c r="I27" s="8">
        <v>100</v>
      </c>
      <c r="J27" s="5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7" s="8"/>
      <c r="L27" s="60">
        <v>23</v>
      </c>
      <c r="M27" s="61">
        <f>+'23'!K206</f>
        <v>2180</v>
      </c>
      <c r="N27" s="61">
        <f>+'23'!K211</f>
        <v>235</v>
      </c>
      <c r="O27" s="61">
        <v>0</v>
      </c>
      <c r="P27" s="61">
        <f>+'23'!K207</f>
        <v>0</v>
      </c>
      <c r="Q27" s="61">
        <f>+'23'!K210</f>
        <v>65</v>
      </c>
      <c r="R27" s="61">
        <f>+'23'!K208</f>
        <v>0</v>
      </c>
      <c r="S27" s="61">
        <f t="shared" si="0"/>
        <v>1880</v>
      </c>
      <c r="T27" s="61">
        <f>+'23'!K213</f>
        <v>1880</v>
      </c>
      <c r="U27" s="62">
        <f t="shared" si="5"/>
        <v>0</v>
      </c>
      <c r="V27" s="4"/>
    </row>
    <row r="28" spans="1:22" x14ac:dyDescent="0.55000000000000004">
      <c r="A28" s="5">
        <v>24</v>
      </c>
      <c r="B28" s="14" t="s">
        <v>39</v>
      </c>
      <c r="C28" s="57">
        <f>+ยกมา!G27</f>
        <v>0</v>
      </c>
      <c r="D28" s="58">
        <f>+'1'!D27+'2'!D27+'3'!D27+'4'!D27+'5'!D27+'6'!D27+'7'!D27+'8'!D27+'9'!D27+'10'!D27+'11'!D27+'12'!D27+'13'!D27+'14'!D27+'15'!D27+'16'!D27+'17'!D27+'18'!D27+'19'!D27+'20'!D27+'21'!D27+'22'!D27+'23'!D27+'24'!D27+'25'!D27+'26'!D27+'27'!D27+'28'!D27+'29'!D27+'30'!D27</f>
        <v>0</v>
      </c>
      <c r="E28" s="57">
        <f t="shared" si="1"/>
        <v>0</v>
      </c>
      <c r="F28" s="58">
        <f>+'1'!F27+'2'!F27+'3'!F27+'4'!F27+'5'!F27+'6'!F27+'7'!F27+'8'!F27+'9'!F27+'10'!F27+'11'!F27+'12'!F27+'13'!F27+'14'!F27+'15'!F27+'16'!F27+'17'!F27+'18'!F27+'19'!F27+'20'!F27+'21'!F27+'22'!F27+'23'!F27+'24'!F27+'25'!F27+'26'!F27+'27'!F27+'28'!F27+'29'!F27+'30'!F197</f>
        <v>0</v>
      </c>
      <c r="G28" s="59">
        <f t="shared" si="2"/>
        <v>0</v>
      </c>
      <c r="H28" s="58">
        <f>+'1'!H27+'2'!H27+'3'!H27+'4'!H27+'5'!H27+'6'!H27+'7'!H27+'8'!H27+'9'!H27+'10'!H27+'11'!H27+'12'!H27+'13'!H27+'14'!H27+'15'!H27+'16'!H27+'17'!H27+'18'!H27+'19'!H27+'20'!H27+'21'!H27+'22'!H27+'23'!H27+'24'!H27+'25'!H27+'26'!H27+'27'!H27+'28'!H27+'29'!H27+'30'!H27</f>
        <v>0</v>
      </c>
      <c r="I28" s="8">
        <v>100</v>
      </c>
      <c r="J28" s="5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8" s="8"/>
      <c r="L28" s="60">
        <v>24</v>
      </c>
      <c r="M28" s="61">
        <f>+'24'!K206</f>
        <v>1420</v>
      </c>
      <c r="N28" s="61">
        <f>+'24'!K211</f>
        <v>50</v>
      </c>
      <c r="O28" s="61">
        <v>0</v>
      </c>
      <c r="P28" s="61">
        <f>+'24'!K207</f>
        <v>0</v>
      </c>
      <c r="Q28" s="61">
        <f>+'24'!K210</f>
        <v>0</v>
      </c>
      <c r="R28" s="61">
        <f>+'24'!K208</f>
        <v>600</v>
      </c>
      <c r="S28" s="61">
        <f t="shared" si="0"/>
        <v>770</v>
      </c>
      <c r="T28" s="61">
        <f>+'24'!K213</f>
        <v>770</v>
      </c>
      <c r="U28" s="62">
        <f t="shared" si="5"/>
        <v>0</v>
      </c>
      <c r="V28" s="4"/>
    </row>
    <row r="29" spans="1:22" x14ac:dyDescent="0.55000000000000004">
      <c r="A29" s="5">
        <v>25</v>
      </c>
      <c r="B29" s="6" t="s">
        <v>40</v>
      </c>
      <c r="C29" s="57">
        <f>+ยกมา!G28</f>
        <v>0</v>
      </c>
      <c r="D29" s="58">
        <f>+'1'!D28+'2'!D28+'3'!D28+'4'!D28+'5'!D28+'6'!D28+'7'!D28+'8'!D28+'9'!D28+'10'!D28+'11'!D28+'12'!D28+'13'!D28+'14'!D28+'15'!D28+'16'!D28+'17'!D28+'18'!D28+'19'!D28+'20'!D28+'21'!D28+'22'!D28+'23'!D28+'24'!D28+'25'!D28+'26'!D28+'27'!D28+'28'!D28+'29'!D28+'30'!D28</f>
        <v>10</v>
      </c>
      <c r="E29" s="57">
        <f t="shared" si="1"/>
        <v>10</v>
      </c>
      <c r="F29" s="58">
        <f>+'1'!F28+'2'!F28+'3'!F28+'4'!F28+'5'!F28+'6'!F28+'7'!F28+'8'!F28+'9'!F28+'10'!F28+'11'!F28+'12'!F28+'13'!F28+'14'!F28+'15'!F28+'16'!F28+'17'!F28+'18'!F28+'19'!F28+'20'!F28+'21'!F28+'22'!F28+'23'!F28+'24'!F28+'25'!F28+'26'!F28+'27'!F28+'28'!F28+'29'!F28+'30'!F198</f>
        <v>0</v>
      </c>
      <c r="G29" s="59">
        <f t="shared" si="2"/>
        <v>2</v>
      </c>
      <c r="H29" s="58">
        <f>+'1'!H28+'2'!H28+'3'!H28+'4'!H28+'5'!H28+'6'!H28+'7'!H28+'8'!H28+'9'!H28+'10'!H28+'11'!H28+'12'!H28+'13'!H28+'14'!H28+'15'!H28+'16'!H28+'17'!H28+'18'!H28+'19'!H28+'20'!H28+'21'!H28+'22'!H28+'23'!H28+'24'!H28+'25'!H28+'26'!H28+'27'!H28+'28'!H28+'29'!H28+'30'!H28</f>
        <v>8</v>
      </c>
      <c r="I29" s="8">
        <v>100</v>
      </c>
      <c r="J29" s="5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800</v>
      </c>
      <c r="K29" s="8"/>
      <c r="L29" s="60">
        <v>25</v>
      </c>
      <c r="M29" s="61">
        <f>+'25'!K206</f>
        <v>1320</v>
      </c>
      <c r="N29" s="61">
        <f>+'25'!K211</f>
        <v>0</v>
      </c>
      <c r="O29" s="61">
        <v>0</v>
      </c>
      <c r="P29" s="61">
        <f>+'25'!K207</f>
        <v>0</v>
      </c>
      <c r="Q29" s="61">
        <f>+'25'!K210</f>
        <v>0</v>
      </c>
      <c r="R29" s="61">
        <f>+'25'!K208</f>
        <v>890</v>
      </c>
      <c r="S29" s="61">
        <f t="shared" si="0"/>
        <v>430</v>
      </c>
      <c r="T29" s="61">
        <f>+'25'!K213</f>
        <v>430</v>
      </c>
      <c r="U29" s="62">
        <f t="shared" si="5"/>
        <v>0</v>
      </c>
      <c r="V29" s="4"/>
    </row>
    <row r="30" spans="1:22" x14ac:dyDescent="0.55000000000000004">
      <c r="A30" s="5">
        <v>26</v>
      </c>
      <c r="B30" s="6" t="s">
        <v>41</v>
      </c>
      <c r="C30" s="57">
        <f>+ยกมา!G29</f>
        <v>0</v>
      </c>
      <c r="D30" s="58">
        <f>+'1'!D29+'2'!D29+'3'!D29+'4'!D29+'5'!D29+'6'!D29+'7'!D29+'8'!D29+'9'!D29+'10'!D29+'11'!D29+'12'!D29+'13'!D29+'14'!D29+'15'!D29+'16'!D29+'17'!D29+'18'!D29+'19'!D29+'20'!D29+'21'!D29+'22'!D29+'23'!D29+'24'!D29+'25'!D29+'26'!D29+'27'!D29+'28'!D29+'29'!D29+'30'!D29</f>
        <v>0</v>
      </c>
      <c r="E30" s="57">
        <f t="shared" si="1"/>
        <v>0</v>
      </c>
      <c r="F30" s="58">
        <f>+'1'!F29+'2'!F29+'3'!F29+'4'!F29+'5'!F29+'6'!F29+'7'!F29+'8'!F29+'9'!F29+'10'!F29+'11'!F29+'12'!F29+'13'!F29+'14'!F29+'15'!F29+'16'!F29+'17'!F29+'18'!F29+'19'!F29+'20'!F29+'21'!F29+'22'!F29+'23'!F29+'24'!F29+'25'!F29+'26'!F29+'27'!F29+'28'!F29+'29'!F29+'30'!F199</f>
        <v>0</v>
      </c>
      <c r="G30" s="59">
        <f t="shared" si="2"/>
        <v>0</v>
      </c>
      <c r="H30" s="58">
        <f>+'1'!H29+'2'!H29+'3'!H29+'4'!H29+'5'!H29+'6'!H29+'7'!H29+'8'!H29+'9'!H29+'10'!H29+'11'!H29+'12'!H29+'13'!H29+'14'!H29+'15'!H29+'16'!H29+'17'!H29+'18'!H29+'19'!H29+'20'!H29+'21'!H29+'22'!H29+'23'!H29+'24'!H29+'25'!H29+'26'!H29+'27'!H29+'28'!H29+'29'!H29+'30'!H29</f>
        <v>0</v>
      </c>
      <c r="I30" s="8">
        <v>100</v>
      </c>
      <c r="J30" s="5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8"/>
      <c r="L30" s="60">
        <v>26</v>
      </c>
      <c r="M30" s="61">
        <f>+'26'!K206</f>
        <v>5860</v>
      </c>
      <c r="N30" s="61">
        <f>+'26'!K211</f>
        <v>390</v>
      </c>
      <c r="O30" s="61">
        <v>0</v>
      </c>
      <c r="P30" s="61">
        <f>+'26'!K207</f>
        <v>0</v>
      </c>
      <c r="Q30" s="61">
        <f>+'26'!K210</f>
        <v>0</v>
      </c>
      <c r="R30" s="61">
        <f>+'26'!K208</f>
        <v>2460</v>
      </c>
      <c r="S30" s="61">
        <f t="shared" si="0"/>
        <v>3010</v>
      </c>
      <c r="T30" s="61">
        <f>+'26'!K213</f>
        <v>3010</v>
      </c>
      <c r="U30" s="62">
        <f t="shared" si="5"/>
        <v>0</v>
      </c>
      <c r="V30" s="4"/>
    </row>
    <row r="31" spans="1:22" x14ac:dyDescent="0.55000000000000004">
      <c r="A31" s="5">
        <v>27</v>
      </c>
      <c r="B31" s="6" t="s">
        <v>42</v>
      </c>
      <c r="C31" s="57">
        <f>+ยกมา!G30</f>
        <v>0</v>
      </c>
      <c r="D31" s="58">
        <f>+'1'!D30+'2'!D30+'3'!D30+'4'!D30+'5'!D30+'6'!D30+'7'!D30+'8'!D30+'9'!D30+'10'!D30+'11'!D30+'12'!D30+'13'!D30+'14'!D30+'15'!D30+'16'!D30+'17'!D30+'18'!D30+'19'!D30+'20'!D30+'21'!D30+'22'!D30+'23'!D30+'24'!D30+'25'!D30+'26'!D30+'27'!D30+'28'!D30+'29'!D30+'30'!D30</f>
        <v>0</v>
      </c>
      <c r="E31" s="57">
        <f t="shared" si="1"/>
        <v>0</v>
      </c>
      <c r="F31" s="58">
        <f>+'1'!F30+'2'!F30+'3'!F30+'4'!F30+'5'!F30+'6'!F30+'7'!F30+'8'!F30+'9'!F30+'10'!F30+'11'!F30+'12'!F30+'13'!F30+'14'!F30+'15'!F30+'16'!F30+'17'!F30+'18'!F30+'19'!F30+'20'!F30+'21'!F30+'22'!F30+'23'!F30+'24'!F30+'25'!F30+'26'!F30+'27'!F30+'28'!F30+'29'!F30+'30'!F200</f>
        <v>0</v>
      </c>
      <c r="G31" s="59">
        <f t="shared" si="2"/>
        <v>0</v>
      </c>
      <c r="H31" s="58">
        <f>+'1'!H30+'2'!H30+'3'!H30+'4'!H30+'5'!H30+'6'!H30+'7'!H30+'8'!H30+'9'!H30+'10'!H30+'11'!H30+'12'!H30+'13'!H30+'14'!H30+'15'!H30+'16'!H30+'17'!H30+'18'!H30+'19'!H30+'20'!H30+'21'!H30+'22'!H30+'23'!H30+'24'!H30+'25'!H30+'26'!H30+'27'!H30+'28'!H30+'29'!H30+'30'!H30</f>
        <v>0</v>
      </c>
      <c r="I31" s="8">
        <v>100</v>
      </c>
      <c r="J31" s="5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8"/>
      <c r="L31" s="60">
        <v>27</v>
      </c>
      <c r="M31" s="61">
        <f>+'27'!K206</f>
        <v>550</v>
      </c>
      <c r="N31" s="61">
        <f>+'27'!K211</f>
        <v>65</v>
      </c>
      <c r="O31" s="61">
        <v>0</v>
      </c>
      <c r="P31" s="61">
        <f>+'27'!K207</f>
        <v>0</v>
      </c>
      <c r="Q31" s="61">
        <f>+'27'!K210</f>
        <v>0</v>
      </c>
      <c r="R31" s="61">
        <f>+'27'!K208</f>
        <v>170</v>
      </c>
      <c r="S31" s="61">
        <f t="shared" si="0"/>
        <v>315</v>
      </c>
      <c r="T31" s="61">
        <f>+'27'!K213</f>
        <v>315</v>
      </c>
      <c r="U31" s="62">
        <f t="shared" si="5"/>
        <v>0</v>
      </c>
      <c r="V31" s="4"/>
    </row>
    <row r="32" spans="1:22" x14ac:dyDescent="0.55000000000000004">
      <c r="A32" s="5">
        <v>28</v>
      </c>
      <c r="B32" s="6" t="s">
        <v>43</v>
      </c>
      <c r="C32" s="57">
        <f>+ยกมา!G31</f>
        <v>0</v>
      </c>
      <c r="D32" s="58">
        <f>+'1'!D31+'2'!D31+'3'!D31+'4'!D31+'5'!D31+'6'!D31+'7'!D31+'8'!D31+'9'!D31+'10'!D31+'11'!D31+'12'!D31+'13'!D31+'14'!D31+'15'!D31+'16'!D31+'17'!D31+'18'!D31+'19'!D31+'20'!D31+'21'!D31+'22'!D31+'23'!D31+'24'!D31+'25'!D31+'26'!D31+'27'!D31+'28'!D31+'29'!D31+'30'!D31</f>
        <v>0</v>
      </c>
      <c r="E32" s="57">
        <f t="shared" si="1"/>
        <v>0</v>
      </c>
      <c r="F32" s="58">
        <f>+'1'!F31+'2'!F31+'3'!F31+'4'!F31+'5'!F31+'6'!F31+'7'!F31+'8'!F31+'9'!F31+'10'!F31+'11'!F31+'12'!F31+'13'!F31+'14'!F31+'15'!F31+'16'!F31+'17'!F31+'18'!F31+'19'!F31+'20'!F31+'21'!F31+'22'!F31+'23'!F31+'24'!F31+'25'!F31+'26'!F31+'27'!F31+'28'!F31+'29'!F31+'30'!F201</f>
        <v>0</v>
      </c>
      <c r="G32" s="59">
        <f t="shared" si="2"/>
        <v>0</v>
      </c>
      <c r="H32" s="58">
        <f>+'1'!H31+'2'!H31+'3'!H31+'4'!H31+'5'!H31+'6'!H31+'7'!H31+'8'!H31+'9'!H31+'10'!H31+'11'!H31+'12'!H31+'13'!H31+'14'!H31+'15'!H31+'16'!H31+'17'!H31+'18'!H31+'19'!H31+'20'!H31+'21'!H31+'22'!H31+'23'!H31+'24'!H31+'25'!H31+'26'!H31+'27'!H31+'28'!H31+'29'!H31+'30'!H31</f>
        <v>0</v>
      </c>
      <c r="I32" s="8">
        <v>130</v>
      </c>
      <c r="J32" s="5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8"/>
      <c r="L32" s="60">
        <v>28</v>
      </c>
      <c r="M32" s="61">
        <f>+'28'!K206</f>
        <v>2125</v>
      </c>
      <c r="N32" s="61">
        <f>+'28'!K211</f>
        <v>150</v>
      </c>
      <c r="O32" s="61">
        <v>0</v>
      </c>
      <c r="P32" s="61">
        <f>+'28'!K207</f>
        <v>0</v>
      </c>
      <c r="Q32" s="61">
        <f>+'28'!K210</f>
        <v>0</v>
      </c>
      <c r="R32" s="61">
        <f>+'28'!K208</f>
        <v>500</v>
      </c>
      <c r="S32" s="61">
        <f t="shared" si="0"/>
        <v>1475</v>
      </c>
      <c r="T32" s="61">
        <f>+'28'!K213</f>
        <v>1475</v>
      </c>
      <c r="U32" s="62">
        <f t="shared" si="5"/>
        <v>0</v>
      </c>
      <c r="V32" s="4"/>
    </row>
    <row r="33" spans="1:22" x14ac:dyDescent="0.55000000000000004">
      <c r="A33" s="5">
        <v>29</v>
      </c>
      <c r="B33" s="6" t="s">
        <v>44</v>
      </c>
      <c r="C33" s="57">
        <f>+ยกมา!G32</f>
        <v>0</v>
      </c>
      <c r="D33" s="58">
        <f>+'1'!D32+'2'!D32+'3'!D32+'4'!D32+'5'!D32+'6'!D32+'7'!D32+'8'!D32+'9'!D32+'10'!D32+'11'!D32+'12'!D32+'13'!D32+'14'!D32+'15'!D32+'16'!D32+'17'!D32+'18'!D32+'19'!D32+'20'!D32+'21'!D32+'22'!D32+'23'!D32+'24'!D32+'25'!D32+'26'!D32+'27'!D32+'28'!D32+'29'!D32+'30'!D32</f>
        <v>10</v>
      </c>
      <c r="E33" s="57">
        <f t="shared" si="1"/>
        <v>10</v>
      </c>
      <c r="F33" s="58">
        <f>+'1'!F32+'2'!F32+'3'!F32+'4'!F32+'5'!F32+'6'!F32+'7'!F32+'8'!F32+'9'!F32+'10'!F32+'11'!F32+'12'!F32+'13'!F32+'14'!F32+'15'!F32+'16'!F32+'17'!F32+'18'!F32+'19'!F32+'20'!F32+'21'!F32+'22'!F32+'23'!F32+'24'!F32+'25'!F32+'26'!F32+'27'!F32+'28'!F32+'29'!F32+'30'!F202</f>
        <v>0</v>
      </c>
      <c r="G33" s="59">
        <f t="shared" si="2"/>
        <v>0</v>
      </c>
      <c r="H33" s="58">
        <f>+'1'!H32+'2'!H32+'3'!H32+'4'!H32+'5'!H32+'6'!H32+'7'!H32+'8'!H32+'9'!H32+'10'!H32+'11'!H32+'12'!H32+'13'!H32+'14'!H32+'15'!H32+'16'!H32+'17'!H32+'18'!H32+'19'!H32+'20'!H32+'21'!H32+'22'!H32+'23'!H32+'24'!H32+'25'!H32+'26'!H32+'27'!H32+'28'!H32+'29'!H32+'30'!H32</f>
        <v>10</v>
      </c>
      <c r="I33" s="8">
        <v>130</v>
      </c>
      <c r="J33" s="5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1300</v>
      </c>
      <c r="K33" s="8"/>
      <c r="L33" s="60">
        <v>29</v>
      </c>
      <c r="M33" s="61">
        <f>+'29'!K206</f>
        <v>1280</v>
      </c>
      <c r="N33" s="61">
        <f>+'29'!K211</f>
        <v>85</v>
      </c>
      <c r="O33" s="61">
        <v>0</v>
      </c>
      <c r="P33" s="61">
        <f>+'29'!K207</f>
        <v>0</v>
      </c>
      <c r="Q33" s="61">
        <f>+'29'!K210</f>
        <v>0</v>
      </c>
      <c r="R33" s="61">
        <f>+'29'!K208</f>
        <v>660</v>
      </c>
      <c r="S33" s="61">
        <f t="shared" si="0"/>
        <v>535</v>
      </c>
      <c r="T33" s="61">
        <f>+'29'!K213</f>
        <v>535</v>
      </c>
      <c r="U33" s="62">
        <f t="shared" si="5"/>
        <v>0</v>
      </c>
      <c r="V33" s="4"/>
    </row>
    <row r="34" spans="1:22" x14ac:dyDescent="0.55000000000000004">
      <c r="A34" s="5">
        <v>30</v>
      </c>
      <c r="B34" s="6" t="s">
        <v>45</v>
      </c>
      <c r="C34" s="57">
        <f>+ยกมา!G33</f>
        <v>0</v>
      </c>
      <c r="D34" s="58">
        <f>+'1'!D33+'2'!D33+'3'!D33+'4'!D33+'5'!D33+'6'!D33+'7'!D33+'8'!D33+'9'!D33+'10'!D33+'11'!D33+'12'!D33+'13'!D33+'14'!D33+'15'!D33+'16'!D33+'17'!D33+'18'!D33+'19'!D33+'20'!D33+'21'!D33+'22'!D33+'23'!D33+'24'!D33+'25'!D33+'26'!D33+'27'!D33+'28'!D33+'29'!D33+'30'!D33</f>
        <v>0</v>
      </c>
      <c r="E34" s="57">
        <f t="shared" si="1"/>
        <v>0</v>
      </c>
      <c r="F34" s="58">
        <f>+'1'!F33+'2'!F33+'3'!F33+'4'!F33+'5'!F33+'6'!F33+'7'!F33+'8'!F33+'9'!F33+'10'!F33+'11'!F33+'12'!F33+'13'!F33+'14'!F33+'15'!F33+'16'!F33+'17'!F33+'18'!F33+'19'!F33+'20'!F33+'21'!F33+'22'!F33+'23'!F33+'24'!F33+'25'!F33+'26'!F33+'27'!F33+'28'!F33+'29'!F33+'30'!F203</f>
        <v>0</v>
      </c>
      <c r="G34" s="59">
        <f t="shared" si="2"/>
        <v>0</v>
      </c>
      <c r="H34" s="58">
        <f>+'1'!H33+'2'!H33+'3'!H33+'4'!H33+'5'!H33+'6'!H33+'7'!H33+'8'!H33+'9'!H33+'10'!H33+'11'!H33+'12'!H33+'13'!H33+'14'!H33+'15'!H33+'16'!H33+'17'!H33+'18'!H33+'19'!H33+'20'!H33+'21'!H33+'22'!H33+'23'!H33+'24'!H33+'25'!H33+'26'!H33+'27'!H33+'28'!H33+'29'!H33+'30'!H33</f>
        <v>0</v>
      </c>
      <c r="I34" s="8">
        <v>130</v>
      </c>
      <c r="J34" s="5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4" s="8"/>
      <c r="L34" s="60">
        <v>30</v>
      </c>
      <c r="M34" s="61">
        <f>+'30'!K206</f>
        <v>1310</v>
      </c>
      <c r="N34" s="61">
        <f>+'30'!K211</f>
        <v>160</v>
      </c>
      <c r="O34" s="61">
        <v>0</v>
      </c>
      <c r="P34" s="61">
        <f>+'30'!K207</f>
        <v>0</v>
      </c>
      <c r="Q34" s="61">
        <f>+'30'!K210</f>
        <v>0</v>
      </c>
      <c r="R34" s="61">
        <f>+'30'!K208</f>
        <v>0</v>
      </c>
      <c r="S34" s="61">
        <f t="shared" si="0"/>
        <v>1150</v>
      </c>
      <c r="T34" s="61">
        <f>+'30'!K213</f>
        <v>1150</v>
      </c>
      <c r="U34" s="62">
        <f t="shared" si="5"/>
        <v>0</v>
      </c>
      <c r="V34" s="4"/>
    </row>
    <row r="35" spans="1:22" x14ac:dyDescent="0.55000000000000004">
      <c r="A35" s="5">
        <v>31</v>
      </c>
      <c r="B35" s="6" t="s">
        <v>46</v>
      </c>
      <c r="C35" s="57">
        <f>+ยกมา!G34</f>
        <v>0</v>
      </c>
      <c r="D35" s="58">
        <f>+'1'!D34+'2'!D34+'3'!D34+'4'!D34+'5'!D34+'6'!D34+'7'!D34+'8'!D34+'9'!D34+'10'!D34+'11'!D34+'12'!D34+'13'!D34+'14'!D34+'15'!D34+'16'!D34+'17'!D34+'18'!D34+'19'!D34+'20'!D34+'21'!D34+'22'!D34+'23'!D34+'24'!D34+'25'!D34+'26'!D34+'27'!D34+'28'!D34+'29'!D34+'30'!D34</f>
        <v>0</v>
      </c>
      <c r="E35" s="57">
        <f t="shared" si="1"/>
        <v>0</v>
      </c>
      <c r="F35" s="58">
        <f>+'1'!F34+'2'!F34+'3'!F34+'4'!F34+'5'!F34+'6'!F34+'7'!F34+'8'!F34+'9'!F34+'10'!F34+'11'!F34+'12'!F34+'13'!F34+'14'!F34+'15'!F34+'16'!F34+'17'!F34+'18'!F34+'19'!F34+'20'!F34+'21'!F34+'22'!F34+'23'!F34+'24'!F34+'25'!F34+'26'!F34+'27'!F34+'28'!F34+'29'!F34+'30'!F204</f>
        <v>0</v>
      </c>
      <c r="G35" s="59">
        <f t="shared" si="2"/>
        <v>0</v>
      </c>
      <c r="H35" s="58">
        <f>+'1'!H34+'2'!H34+'3'!H34+'4'!H34+'5'!H34+'6'!H34+'7'!H34+'8'!H34+'9'!H34+'10'!H34+'11'!H34+'12'!H34+'13'!H34+'14'!H34+'15'!H34+'16'!H34+'17'!H34+'18'!H34+'19'!H34+'20'!H34+'21'!H34+'22'!H34+'23'!H34+'24'!H34+'25'!H34+'26'!H34+'27'!H34+'28'!H34+'29'!H34+'30'!H34</f>
        <v>0</v>
      </c>
      <c r="I35" s="8">
        <v>130</v>
      </c>
      <c r="J35" s="5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5" s="8"/>
      <c r="L35" s="60">
        <v>31</v>
      </c>
      <c r="M35" s="61">
        <f>+'31'!K206</f>
        <v>350</v>
      </c>
      <c r="N35" s="61">
        <f>+'31'!K211</f>
        <v>0</v>
      </c>
      <c r="O35" s="61">
        <v>0</v>
      </c>
      <c r="P35" s="61">
        <f>+'31'!K207</f>
        <v>0</v>
      </c>
      <c r="Q35" s="61">
        <f>+'31'!K211</f>
        <v>0</v>
      </c>
      <c r="R35" s="61">
        <f>+'31'!K208</f>
        <v>100</v>
      </c>
      <c r="S35" s="61">
        <f t="shared" si="0"/>
        <v>250</v>
      </c>
      <c r="T35" s="61">
        <f>+'31'!K213</f>
        <v>250</v>
      </c>
      <c r="U35" s="62">
        <f t="shared" si="5"/>
        <v>0</v>
      </c>
      <c r="V35" s="4"/>
    </row>
    <row r="36" spans="1:22" x14ac:dyDescent="0.55000000000000004">
      <c r="A36" s="5">
        <v>32</v>
      </c>
      <c r="B36" s="6" t="s">
        <v>47</v>
      </c>
      <c r="C36" s="57">
        <f>+ยกมา!G35</f>
        <v>0</v>
      </c>
      <c r="D36" s="58">
        <f>+'1'!D35+'2'!D35+'3'!D35+'4'!D35+'5'!D35+'6'!D35+'7'!D35+'8'!D35+'9'!D35+'10'!D35+'11'!D35+'12'!D35+'13'!D35+'14'!D35+'15'!D35+'16'!D35+'17'!D35+'18'!D35+'19'!D35+'20'!D35+'21'!D35+'22'!D35+'23'!D35+'24'!D35+'25'!D35+'26'!D35+'27'!D35+'28'!D35+'29'!D35+'30'!D35</f>
        <v>0</v>
      </c>
      <c r="E36" s="57">
        <f t="shared" si="1"/>
        <v>0</v>
      </c>
      <c r="F36" s="58">
        <f>+'1'!F35+'2'!F35+'3'!F35+'4'!F35+'5'!F35+'6'!F35+'7'!F35+'8'!F35+'9'!F35+'10'!F35+'11'!F35+'12'!F35+'13'!F35+'14'!F35+'15'!F35+'16'!F35+'17'!F35+'18'!F35+'19'!F35+'20'!F35+'21'!F35+'22'!F35+'23'!F35+'24'!F35+'25'!F35+'26'!F35+'27'!F35+'28'!F35+'29'!F35+'30'!F205</f>
        <v>0</v>
      </c>
      <c r="G36" s="59">
        <f t="shared" si="2"/>
        <v>0</v>
      </c>
      <c r="H36" s="58">
        <f>+'1'!H35+'2'!H35+'3'!H35+'4'!H35+'5'!H35+'6'!H35+'7'!H35+'8'!H35+'9'!H35+'10'!H35+'11'!H35+'12'!H35+'13'!H35+'14'!H35+'15'!H35+'16'!H35+'17'!H35+'18'!H35+'19'!H35+'20'!H35+'21'!H35+'22'!H35+'23'!H35+'24'!H35+'25'!H35+'26'!H35+'27'!H35+'28'!H35+'29'!H35+'30'!H35</f>
        <v>0</v>
      </c>
      <c r="I36" s="8">
        <v>100</v>
      </c>
      <c r="J36" s="5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8"/>
      <c r="L36" s="63" t="s">
        <v>5</v>
      </c>
      <c r="M36" s="64">
        <f t="shared" ref="M36:U36" si="6">SUM(M5:M35)</f>
        <v>37680</v>
      </c>
      <c r="N36" s="64">
        <f t="shared" si="6"/>
        <v>1855</v>
      </c>
      <c r="O36" s="64">
        <f t="shared" si="6"/>
        <v>0</v>
      </c>
      <c r="P36" s="64">
        <f t="shared" si="6"/>
        <v>0</v>
      </c>
      <c r="Q36" s="64">
        <f t="shared" si="6"/>
        <v>65</v>
      </c>
      <c r="R36" s="64">
        <f t="shared" si="6"/>
        <v>9840</v>
      </c>
      <c r="S36" s="64">
        <f t="shared" si="6"/>
        <v>25920</v>
      </c>
      <c r="T36" s="64">
        <f t="shared" si="6"/>
        <v>25930</v>
      </c>
      <c r="U36" s="64">
        <f t="shared" si="6"/>
        <v>10</v>
      </c>
      <c r="V36" s="4"/>
    </row>
    <row r="37" spans="1:22" x14ac:dyDescent="0.55000000000000004">
      <c r="A37" s="5">
        <v>33</v>
      </c>
      <c r="B37" s="6" t="s">
        <v>48</v>
      </c>
      <c r="C37" s="57">
        <f>+ยกมา!G36</f>
        <v>1</v>
      </c>
      <c r="D37" s="58">
        <f>+'1'!D36+'2'!D36+'3'!D36+'4'!D36+'5'!D36+'6'!D36+'7'!D36+'8'!D36+'9'!D36+'10'!D36+'11'!D36+'12'!D36+'13'!D36+'14'!D36+'15'!D36+'16'!D36+'17'!D36+'18'!D36+'19'!D36+'20'!D36+'21'!D36+'22'!D36+'23'!D36+'24'!D36+'25'!D36+'26'!D36+'27'!D36+'28'!D36+'29'!D36+'30'!D36</f>
        <v>55</v>
      </c>
      <c r="E37" s="57">
        <f t="shared" si="1"/>
        <v>56</v>
      </c>
      <c r="F37" s="58">
        <f>+'1'!F36+'2'!F36+'3'!F36+'4'!F36+'5'!F36+'6'!F36+'7'!F36+'8'!F36+'9'!F36+'10'!F36+'11'!F36+'12'!F36+'13'!F36+'14'!F36+'15'!F36+'16'!F36+'17'!F36+'18'!F36+'19'!F36+'20'!F36+'21'!F36+'22'!F36+'23'!F36+'24'!F36+'25'!F36+'26'!F36+'27'!F36+'28'!F36+'29'!F36+'30'!F206</f>
        <v>2</v>
      </c>
      <c r="G37" s="59">
        <f t="shared" si="2"/>
        <v>17</v>
      </c>
      <c r="H37" s="58">
        <f>+'1'!H36+'2'!H36+'3'!H36+'4'!H36+'5'!H36+'6'!H36+'7'!H36+'8'!H36+'9'!H36+'10'!H36+'11'!H36+'12'!H36+'13'!H36+'14'!H36+'15'!H36+'16'!H36+'17'!H36+'18'!H36+'19'!H36+'20'!H36+'21'!H36+'22'!H36+'23'!H36+'24'!H36+'25'!H36+'26'!H36+'27'!H36+'28'!H36+'29'!H36+'30'!H36</f>
        <v>37</v>
      </c>
      <c r="I37" s="8">
        <v>100</v>
      </c>
      <c r="J37" s="5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4000</v>
      </c>
      <c r="K37" s="8"/>
      <c r="P37" s="65"/>
      <c r="S37" s="65"/>
      <c r="U37" s="4"/>
    </row>
    <row r="38" spans="1:22" x14ac:dyDescent="0.55000000000000004">
      <c r="A38" s="5">
        <v>34</v>
      </c>
      <c r="B38" s="6" t="s">
        <v>49</v>
      </c>
      <c r="C38" s="57">
        <f>+ยกมา!G37</f>
        <v>3</v>
      </c>
      <c r="D38" s="58">
        <f>+'1'!D37+'2'!D37+'3'!D37+'4'!D37+'5'!D37+'6'!D37+'7'!D37+'8'!D37+'9'!D37+'10'!D37+'11'!D37+'12'!D37+'13'!D37+'14'!D37+'15'!D37+'16'!D37+'17'!D37+'18'!D37+'19'!D37+'20'!D37+'21'!D37+'22'!D37+'23'!D37+'24'!D37+'25'!D37+'26'!D37+'27'!D37+'28'!D37+'29'!D37+'30'!D37</f>
        <v>45</v>
      </c>
      <c r="E38" s="57">
        <f t="shared" si="1"/>
        <v>48</v>
      </c>
      <c r="F38" s="58">
        <f>+'1'!F37+'2'!F37+'3'!F37+'4'!F37+'5'!F37+'6'!F37+'7'!F37+'8'!F37+'9'!F37+'10'!F37+'11'!F37+'12'!F37+'13'!F37+'14'!F37+'15'!F37+'16'!F37+'17'!F37+'18'!F37+'19'!F37+'20'!F37+'21'!F37+'22'!F37+'23'!F37+'24'!F37+'25'!F37+'26'!F37+'27'!F37+'28'!F37+'29'!F37+'30'!F207</f>
        <v>0</v>
      </c>
      <c r="G38" s="59">
        <f t="shared" si="2"/>
        <v>8</v>
      </c>
      <c r="H38" s="58">
        <f>+'1'!H37+'2'!H37+'3'!H37+'4'!H37+'5'!H37+'6'!H37+'7'!H37+'8'!H37+'9'!H37+'10'!H37+'11'!H37+'12'!H37+'13'!H37+'14'!H37+'15'!H37+'16'!H37+'17'!H37+'18'!H37+'19'!H37+'20'!H37+'21'!H37+'22'!H37+'23'!H37+'24'!H37+'25'!H37+'26'!H37+'27'!H37+'28'!H37+'29'!H37+'30'!H37</f>
        <v>40</v>
      </c>
      <c r="I38" s="8">
        <v>50</v>
      </c>
      <c r="J38" s="5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2050</v>
      </c>
      <c r="K38" s="8"/>
      <c r="M38" s="66"/>
      <c r="N38" s="65"/>
      <c r="U38" s="4"/>
    </row>
    <row r="39" spans="1:22" x14ac:dyDescent="0.55000000000000004">
      <c r="A39" s="5">
        <v>35</v>
      </c>
      <c r="B39" s="6" t="s">
        <v>50</v>
      </c>
      <c r="C39" s="57">
        <f>+ยกมา!G38</f>
        <v>0</v>
      </c>
      <c r="D39" s="58">
        <f>+'1'!D38+'2'!D38+'3'!D38+'4'!D38+'5'!D38+'6'!D38+'7'!D38+'8'!D38+'9'!D38+'10'!D38+'11'!D38+'12'!D38+'13'!D38+'14'!D38+'15'!D38+'16'!D38+'17'!D38+'18'!D38+'19'!D38+'20'!D38+'21'!D38+'22'!D38+'23'!D38+'24'!D38+'25'!D38+'26'!D38+'27'!D38+'28'!D38+'29'!D38+'30'!D38</f>
        <v>15</v>
      </c>
      <c r="E39" s="57">
        <f t="shared" si="1"/>
        <v>15</v>
      </c>
      <c r="F39" s="58">
        <f>+'1'!F38+'2'!F38+'3'!F38+'4'!F38+'5'!F38+'6'!F38+'7'!F38+'8'!F38+'9'!F38+'10'!F38+'11'!F38+'12'!F38+'13'!F38+'14'!F38+'15'!F38+'16'!F38+'17'!F38+'18'!F38+'19'!F38+'20'!F38+'21'!F38+'22'!F38+'23'!F38+'24'!F38+'25'!F38+'26'!F38+'27'!F38+'28'!F38+'29'!F38+'30'!F208</f>
        <v>0</v>
      </c>
      <c r="G39" s="59">
        <f t="shared" si="2"/>
        <v>5</v>
      </c>
      <c r="H39" s="58">
        <f>+'1'!H38+'2'!H38+'3'!H38+'4'!H38+'5'!H38+'6'!H38+'7'!H38+'8'!H38+'9'!H38+'10'!H38+'11'!H38+'12'!H38+'13'!H38+'14'!H38+'15'!H38+'16'!H38+'17'!H38+'18'!H38+'19'!H38+'20'!H38+'21'!H38+'22'!H38+'23'!H38+'24'!H38+'25'!H38+'26'!H38+'27'!H38+'28'!H38+'29'!H38+'30'!H38</f>
        <v>10</v>
      </c>
      <c r="I39" s="8">
        <v>50</v>
      </c>
      <c r="J39" s="5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500</v>
      </c>
      <c r="K39" s="8"/>
      <c r="M39" s="67"/>
      <c r="O39" s="65"/>
      <c r="U39" s="4"/>
    </row>
    <row r="40" spans="1:22" x14ac:dyDescent="0.55000000000000004">
      <c r="A40" s="5">
        <v>36</v>
      </c>
      <c r="B40" s="6" t="s">
        <v>51</v>
      </c>
      <c r="C40" s="57">
        <f>+ยกมา!G39</f>
        <v>0</v>
      </c>
      <c r="D40" s="58">
        <f>+'1'!D39+'2'!D39+'3'!D39+'4'!D39+'5'!D39+'6'!D39+'7'!D39+'8'!D39+'9'!D39+'10'!D39+'11'!D39+'12'!D39+'13'!D39+'14'!D39+'15'!D39+'16'!D39+'17'!D39+'18'!D39+'19'!D39+'20'!D39+'21'!D39+'22'!D39+'23'!D39+'24'!D39+'25'!D39+'26'!D39+'27'!D39+'28'!D39+'29'!D39+'30'!D39</f>
        <v>20</v>
      </c>
      <c r="E40" s="57">
        <f t="shared" si="1"/>
        <v>20</v>
      </c>
      <c r="F40" s="58">
        <f>+'1'!F39+'2'!F39+'3'!F39+'4'!F39+'5'!F39+'6'!F39+'7'!F39+'8'!F39+'9'!F39+'10'!F39+'11'!F39+'12'!F39+'13'!F39+'14'!F39+'15'!F39+'16'!F39+'17'!F39+'18'!F39+'19'!F39+'20'!F39+'21'!F39+'22'!F39+'23'!F39+'24'!F39+'25'!F39+'26'!F39+'27'!F39+'28'!F39+'29'!F39+'30'!F209</f>
        <v>0</v>
      </c>
      <c r="G40" s="59">
        <f t="shared" si="2"/>
        <v>4</v>
      </c>
      <c r="H40" s="58">
        <f>+'1'!H39+'2'!H39+'3'!H39+'4'!H39+'5'!H39+'6'!H39+'7'!H39+'8'!H39+'9'!H39+'10'!H39+'11'!H39+'12'!H39+'13'!H39+'14'!H39+'15'!H39+'16'!H39+'17'!H39+'18'!H39+'19'!H39+'20'!H39+'21'!H39+'22'!H39+'23'!H39+'24'!H39+'25'!H39+'26'!H39+'27'!H39+'28'!H39+'29'!H39+'30'!H39</f>
        <v>16</v>
      </c>
      <c r="I40" s="8">
        <v>50</v>
      </c>
      <c r="J40" s="5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800</v>
      </c>
      <c r="K40" s="8"/>
      <c r="M40" s="67"/>
      <c r="U40" s="4"/>
    </row>
    <row r="41" spans="1:22" x14ac:dyDescent="0.55000000000000004">
      <c r="A41" s="5">
        <v>37</v>
      </c>
      <c r="B41" s="6" t="s">
        <v>52</v>
      </c>
      <c r="C41" s="57">
        <f>+ยกมา!G40</f>
        <v>0</v>
      </c>
      <c r="D41" s="58">
        <f>+'1'!D40+'2'!D40+'3'!D40+'4'!D40+'5'!D40+'6'!D40+'7'!D40+'8'!D40+'9'!D40+'10'!D40+'11'!D40+'12'!D40+'13'!D40+'14'!D40+'15'!D40+'16'!D40+'17'!D40+'18'!D40+'19'!D40+'20'!D40+'21'!D40+'22'!D40+'23'!D40+'24'!D40+'25'!D40+'26'!D40+'27'!D40+'28'!D40+'29'!D40+'30'!D40</f>
        <v>0</v>
      </c>
      <c r="E41" s="57">
        <f t="shared" si="1"/>
        <v>0</v>
      </c>
      <c r="F41" s="58">
        <f>+'1'!F40+'2'!F40+'3'!F40+'4'!F40+'5'!F40+'6'!F40+'7'!F40+'8'!F40+'9'!F40+'10'!F40+'11'!F40+'12'!F40+'13'!F40+'14'!F40+'15'!F40+'16'!F40+'17'!F40+'18'!F40+'19'!F40+'20'!F40+'21'!F40+'22'!F40+'23'!F40+'24'!F40+'25'!F40+'26'!F40+'27'!F40+'28'!F40+'29'!F40+'30'!F210</f>
        <v>0</v>
      </c>
      <c r="G41" s="59">
        <f t="shared" si="2"/>
        <v>0</v>
      </c>
      <c r="H41" s="58">
        <f>+'1'!H40+'2'!H40+'3'!H40+'4'!H40+'5'!H40+'6'!H40+'7'!H40+'8'!H40+'9'!H40+'10'!H40+'11'!H40+'12'!H40+'13'!H40+'14'!H40+'15'!H40+'16'!H40+'17'!H40+'18'!H40+'19'!H40+'20'!H40+'21'!H40+'22'!H40+'23'!H40+'24'!H40+'25'!H40+'26'!H40+'27'!H40+'28'!H40+'29'!H40+'30'!H40</f>
        <v>0</v>
      </c>
      <c r="I41" s="8">
        <v>50</v>
      </c>
      <c r="J41" s="5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1" s="8"/>
      <c r="M41" s="67"/>
      <c r="U41" s="4"/>
    </row>
    <row r="42" spans="1:22" x14ac:dyDescent="0.55000000000000004">
      <c r="A42" s="5">
        <v>38</v>
      </c>
      <c r="B42" s="6" t="s">
        <v>53</v>
      </c>
      <c r="C42" s="57">
        <f>+ยกมา!G41</f>
        <v>0</v>
      </c>
      <c r="D42" s="58">
        <f>+'1'!D41+'2'!D41+'3'!D41+'4'!D41+'5'!D41+'6'!D41+'7'!D41+'8'!D41+'9'!D41+'10'!D41+'11'!D41+'12'!D41+'13'!D41+'14'!D41+'15'!D41+'16'!D41+'17'!D41+'18'!D41+'19'!D41+'20'!D41+'21'!D41+'22'!D41+'23'!D41+'24'!D41+'25'!D41+'26'!D41+'27'!D41+'28'!D41+'29'!D41+'30'!D41</f>
        <v>0</v>
      </c>
      <c r="E42" s="57">
        <f t="shared" si="1"/>
        <v>0</v>
      </c>
      <c r="F42" s="58">
        <f>+'1'!F41+'2'!F41+'3'!F41+'4'!F41+'5'!F41+'6'!F41+'7'!F41+'8'!F41+'9'!F41+'10'!F41+'11'!F41+'12'!F41+'13'!F41+'14'!F41+'15'!F41+'16'!F41+'17'!F41+'18'!F41+'19'!F41+'20'!F41+'21'!F41+'22'!F41+'23'!F41+'24'!F41+'25'!F41+'26'!F41+'27'!F41+'28'!F41+'29'!F41+'30'!F211</f>
        <v>0</v>
      </c>
      <c r="G42" s="59">
        <f t="shared" si="2"/>
        <v>-3</v>
      </c>
      <c r="H42" s="58">
        <f>+'1'!H41+'2'!H41+'3'!H41+'4'!H41+'5'!H41+'6'!H41+'7'!H41+'8'!H41+'9'!H41+'10'!H41+'11'!H41+'12'!H41+'13'!H41+'14'!H41+'15'!H41+'16'!H41+'17'!H41+'18'!H41+'19'!H41+'20'!H41+'21'!H41+'22'!H41+'23'!H41+'24'!H41+'25'!H41+'26'!H41+'27'!H41+'28'!H41+'29'!H41+'30'!H41</f>
        <v>3</v>
      </c>
      <c r="I42" s="8">
        <v>50</v>
      </c>
      <c r="J42" s="5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150</v>
      </c>
      <c r="K42" s="8"/>
      <c r="M42" s="67"/>
      <c r="U42" s="4"/>
    </row>
    <row r="43" spans="1:22" x14ac:dyDescent="0.55000000000000004">
      <c r="A43" s="5">
        <v>39</v>
      </c>
      <c r="B43" s="6" t="s">
        <v>54</v>
      </c>
      <c r="C43" s="57">
        <f>+ยกมา!G42</f>
        <v>0</v>
      </c>
      <c r="D43" s="58">
        <f>+'1'!D42+'2'!D42+'3'!D42+'4'!D42+'5'!D42+'6'!D42+'7'!D42+'8'!D42+'9'!D42+'10'!D42+'11'!D42+'12'!D42+'13'!D42+'14'!D42+'15'!D42+'16'!D42+'17'!D42+'18'!D42+'19'!D42+'20'!D42+'21'!D42+'22'!D42+'23'!D42+'24'!D42+'25'!D42+'26'!D42+'27'!D42+'28'!D42+'29'!D42+'30'!D42</f>
        <v>0</v>
      </c>
      <c r="E43" s="57">
        <f t="shared" si="1"/>
        <v>0</v>
      </c>
      <c r="F43" s="58">
        <f>+'1'!F42+'2'!F42+'3'!F42+'4'!F42+'5'!F42+'6'!F42+'7'!F42+'8'!F42+'9'!F42+'10'!F42+'11'!F42+'12'!F42+'13'!F42+'14'!F42+'15'!F42+'16'!F42+'17'!F42+'18'!F42+'19'!F42+'20'!F42+'21'!F42+'22'!F42+'23'!F42+'24'!F42+'25'!F42+'26'!F42+'27'!F42+'28'!F42+'29'!F42+'30'!F212</f>
        <v>0</v>
      </c>
      <c r="G43" s="59">
        <f t="shared" si="2"/>
        <v>0</v>
      </c>
      <c r="H43" s="58">
        <f>+'1'!H42+'2'!H42+'3'!H42+'4'!H42+'5'!H42+'6'!H42+'7'!H42+'8'!H42+'9'!H42+'10'!H42+'11'!H42+'12'!H42+'13'!H42+'14'!H42+'15'!H42+'16'!H42+'17'!H42+'18'!H42+'19'!H42+'20'!H42+'21'!H42+'22'!H42+'23'!H42+'24'!H42+'25'!H42+'26'!H42+'27'!H42+'28'!H42+'29'!H42+'30'!H42</f>
        <v>0</v>
      </c>
      <c r="I43" s="8">
        <v>50</v>
      </c>
      <c r="J43" s="5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3" s="8"/>
      <c r="M43" s="67"/>
      <c r="U43" s="4"/>
    </row>
    <row r="44" spans="1:22" x14ac:dyDescent="0.55000000000000004">
      <c r="A44" s="5">
        <v>40</v>
      </c>
      <c r="B44" s="6" t="s">
        <v>55</v>
      </c>
      <c r="C44" s="57">
        <f>+ยกมา!G43</f>
        <v>0</v>
      </c>
      <c r="D44" s="58">
        <f>+'1'!D43+'2'!D43+'3'!D43+'4'!D43+'5'!D43+'6'!D43+'7'!D43+'8'!D43+'9'!D43+'10'!D43+'11'!D43+'12'!D43+'13'!D43+'14'!D43+'15'!D43+'16'!D43+'17'!D43+'18'!D43+'19'!D43+'20'!D43+'21'!D43+'22'!D43+'23'!D43+'24'!D43+'25'!D43+'26'!D43+'27'!D43+'28'!D43+'29'!D43+'30'!D43</f>
        <v>0</v>
      </c>
      <c r="E44" s="57">
        <f t="shared" si="1"/>
        <v>0</v>
      </c>
      <c r="F44" s="58">
        <f>+'1'!F43+'2'!F43+'3'!F43+'4'!F43+'5'!F43+'6'!F43+'7'!F43+'8'!F43+'9'!F43+'10'!F43+'11'!F43+'12'!F43+'13'!F43+'14'!F43+'15'!F43+'16'!F43+'17'!F43+'18'!F43+'19'!F43+'20'!F43+'21'!F43+'22'!F43+'23'!F43+'24'!F43+'25'!F43+'26'!F43+'27'!F43+'28'!F43+'29'!F43+'30'!F213</f>
        <v>0</v>
      </c>
      <c r="G44" s="59">
        <f t="shared" si="2"/>
        <v>0</v>
      </c>
      <c r="H44" s="58">
        <f>+'1'!H43+'2'!H43+'3'!H43+'4'!H43+'5'!H43+'6'!H43+'7'!H43+'8'!H43+'9'!H43+'10'!H43+'11'!H43+'12'!H43+'13'!H43+'14'!H43+'15'!H43+'16'!H43+'17'!H43+'18'!H43+'19'!H43+'20'!H43+'21'!H43+'22'!H43+'23'!H43+'24'!H43+'25'!H43+'26'!H43+'27'!H43+'28'!H43+'29'!H43+'30'!H43</f>
        <v>0</v>
      </c>
      <c r="I44" s="8">
        <v>50</v>
      </c>
      <c r="J44" s="5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4" s="8"/>
      <c r="M44" s="67"/>
      <c r="U44" s="4"/>
    </row>
    <row r="45" spans="1:22" x14ac:dyDescent="0.55000000000000004">
      <c r="A45" s="5">
        <v>41</v>
      </c>
      <c r="B45" s="6" t="s">
        <v>56</v>
      </c>
      <c r="C45" s="57">
        <f>+ยกมา!G44</f>
        <v>0</v>
      </c>
      <c r="D45" s="58">
        <f>+'1'!D44+'2'!D44+'3'!D44+'4'!D44+'5'!D44+'6'!D44+'7'!D44+'8'!D44+'9'!D44+'10'!D44+'11'!D44+'12'!D44+'13'!D44+'14'!D44+'15'!D44+'16'!D44+'17'!D44+'18'!D44+'19'!D44+'20'!D44+'21'!D44+'22'!D44+'23'!D44+'24'!D44+'25'!D44+'26'!D44+'27'!D44+'28'!D44+'29'!D44+'30'!D44</f>
        <v>0</v>
      </c>
      <c r="E45" s="57">
        <f t="shared" si="1"/>
        <v>0</v>
      </c>
      <c r="F45" s="58">
        <f>+'1'!F44+'2'!F44+'3'!F44+'4'!F44+'5'!F44+'6'!F44+'7'!F44+'8'!F44+'9'!F44+'10'!F44+'11'!F44+'12'!F44+'13'!F44+'14'!F44+'15'!F44+'16'!F44+'17'!F44+'18'!F44+'19'!F44+'20'!F44+'21'!F44+'22'!F44+'23'!F44+'24'!F44+'25'!F44+'26'!F44+'27'!F44+'28'!F44+'29'!F44+'30'!F214</f>
        <v>0</v>
      </c>
      <c r="G45" s="59">
        <f t="shared" si="2"/>
        <v>0</v>
      </c>
      <c r="H45" s="58">
        <f>+'1'!H44+'2'!H44+'3'!H44+'4'!H44+'5'!H44+'6'!H44+'7'!H44+'8'!H44+'9'!H44+'10'!H44+'11'!H44+'12'!H44+'13'!H44+'14'!H44+'15'!H44+'16'!H44+'17'!H44+'18'!H44+'19'!H44+'20'!H44+'21'!H44+'22'!H44+'23'!H44+'24'!H44+'25'!H44+'26'!H44+'27'!H44+'28'!H44+'29'!H44+'30'!H44</f>
        <v>0</v>
      </c>
      <c r="I45" s="8">
        <v>50</v>
      </c>
      <c r="J45" s="5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5" s="8"/>
      <c r="M45" s="67"/>
      <c r="O45" s="65"/>
      <c r="U45" s="4"/>
    </row>
    <row r="46" spans="1:22" x14ac:dyDescent="0.55000000000000004">
      <c r="A46" s="5">
        <v>42</v>
      </c>
      <c r="B46" s="6" t="s">
        <v>57</v>
      </c>
      <c r="C46" s="57">
        <f>+ยกมา!G45</f>
        <v>0</v>
      </c>
      <c r="D46" s="58">
        <f>+'1'!D45+'2'!D45+'3'!D45+'4'!D45+'5'!D45+'6'!D45+'7'!D45+'8'!D45+'9'!D45+'10'!D45+'11'!D45+'12'!D45+'13'!D45+'14'!D45+'15'!D45+'16'!D45+'17'!D45+'18'!D45+'19'!D45+'20'!D45+'21'!D45+'22'!D45+'23'!D45+'24'!D45+'25'!D45+'26'!D45+'27'!D45+'28'!D45+'29'!D45+'30'!D45</f>
        <v>0</v>
      </c>
      <c r="E46" s="57">
        <f t="shared" si="1"/>
        <v>0</v>
      </c>
      <c r="F46" s="58">
        <f>+'1'!F45+'2'!F45+'3'!F45+'4'!F45+'5'!F45+'6'!F45+'7'!F45+'8'!F45+'9'!F45+'10'!F45+'11'!F45+'12'!F45+'13'!F45+'14'!F45+'15'!F45+'16'!F45+'17'!F45+'18'!F45+'19'!F45+'20'!F45+'21'!F45+'22'!F45+'23'!F45+'24'!F45+'25'!F45+'26'!F45+'27'!F45+'28'!F45+'29'!F45+'30'!F215</f>
        <v>0</v>
      </c>
      <c r="G46" s="59">
        <f t="shared" si="2"/>
        <v>0</v>
      </c>
      <c r="H46" s="58">
        <f>+'1'!H45+'2'!H45+'3'!H45+'4'!H45+'5'!H45+'6'!H45+'7'!H45+'8'!H45+'9'!H45+'10'!H45+'11'!H45+'12'!H45+'13'!H45+'14'!H45+'15'!H45+'16'!H45+'17'!H45+'18'!H45+'19'!H45+'20'!H45+'21'!H45+'22'!H45+'23'!H45+'24'!H45+'25'!H45+'26'!H45+'27'!H45+'28'!H45+'29'!H45+'30'!H45</f>
        <v>0</v>
      </c>
      <c r="I46" s="8">
        <v>50</v>
      </c>
      <c r="J46" s="5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6" s="25"/>
      <c r="M46" s="67"/>
      <c r="U46" s="4"/>
    </row>
    <row r="47" spans="1:22" x14ac:dyDescent="0.55000000000000004">
      <c r="A47" s="5">
        <v>43</v>
      </c>
      <c r="B47" s="6" t="s">
        <v>58</v>
      </c>
      <c r="C47" s="57">
        <f>+ยกมา!G46</f>
        <v>0</v>
      </c>
      <c r="D47" s="58">
        <f>+'1'!D46+'2'!D46+'3'!D46+'4'!D46+'5'!D46+'6'!D46+'7'!D46+'8'!D46+'9'!D46+'10'!D46+'11'!D46+'12'!D46+'13'!D46+'14'!D46+'15'!D46+'16'!D46+'17'!D46+'18'!D46+'19'!D46+'20'!D46+'21'!D46+'22'!D46+'23'!D46+'24'!D46+'25'!D46+'26'!D46+'27'!D46+'28'!D46+'29'!D46+'30'!D46</f>
        <v>0</v>
      </c>
      <c r="E47" s="57">
        <f t="shared" si="1"/>
        <v>0</v>
      </c>
      <c r="F47" s="58">
        <f>+'1'!F46+'2'!F46+'3'!F46+'4'!F46+'5'!F46+'6'!F46+'7'!F46+'8'!F46+'9'!F46+'10'!F46+'11'!F46+'12'!F46+'13'!F46+'14'!F46+'15'!F46+'16'!F46+'17'!F46+'18'!F46+'19'!F46+'20'!F46+'21'!F46+'22'!F46+'23'!F46+'24'!F46+'25'!F46+'26'!F46+'27'!F46+'28'!F46+'29'!F46+'30'!F216</f>
        <v>0</v>
      </c>
      <c r="G47" s="59">
        <f t="shared" si="2"/>
        <v>0</v>
      </c>
      <c r="H47" s="58">
        <f>+'1'!H46+'2'!H46+'3'!H46+'4'!H46+'5'!H46+'6'!H46+'7'!H46+'8'!H46+'9'!H46+'10'!H46+'11'!H46+'12'!H46+'13'!H46+'14'!H46+'15'!H46+'16'!H46+'17'!H46+'18'!H46+'19'!H46+'20'!H46+'21'!H46+'22'!H46+'23'!H46+'24'!H46+'25'!H46+'26'!H46+'27'!H46+'28'!H46+'29'!H46+'30'!H46</f>
        <v>0</v>
      </c>
      <c r="I47" s="8">
        <v>50</v>
      </c>
      <c r="J47" s="5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7" s="25"/>
      <c r="M47" s="67"/>
      <c r="U47" s="4"/>
    </row>
    <row r="48" spans="1:22" x14ac:dyDescent="0.55000000000000004">
      <c r="A48" s="5">
        <v>44</v>
      </c>
      <c r="B48" s="6" t="s">
        <v>59</v>
      </c>
      <c r="C48" s="57">
        <f>+ยกมา!G47</f>
        <v>0</v>
      </c>
      <c r="D48" s="58">
        <f>+'1'!D47+'2'!D47+'3'!D47+'4'!D47+'5'!D47+'6'!D47+'7'!D47+'8'!D47+'9'!D47+'10'!D47+'11'!D47+'12'!D47+'13'!D47+'14'!D47+'15'!D47+'16'!D47+'17'!D47+'18'!D47+'19'!D47+'20'!D47+'21'!D47+'22'!D47+'23'!D47+'24'!D47+'25'!D47+'26'!D47+'27'!D47+'28'!D47+'29'!D47+'30'!D47</f>
        <v>0</v>
      </c>
      <c r="E48" s="57">
        <f t="shared" si="1"/>
        <v>0</v>
      </c>
      <c r="F48" s="58">
        <f>+'1'!F47+'2'!F47+'3'!F47+'4'!F47+'5'!F47+'6'!F47+'7'!F47+'8'!F47+'9'!F47+'10'!F47+'11'!F47+'12'!F47+'13'!F47+'14'!F47+'15'!F47+'16'!F47+'17'!F47+'18'!F47+'19'!F47+'20'!F47+'21'!F47+'22'!F47+'23'!F47+'24'!F47+'25'!F47+'26'!F47+'27'!F47+'28'!F47+'29'!F47+'30'!F217</f>
        <v>0</v>
      </c>
      <c r="G48" s="59">
        <f t="shared" si="2"/>
        <v>0</v>
      </c>
      <c r="H48" s="58">
        <f>+'1'!H47+'2'!H47+'3'!H47+'4'!H47+'5'!H47+'6'!H47+'7'!H47+'8'!H47+'9'!H47+'10'!H47+'11'!H47+'12'!H47+'13'!H47+'14'!H47+'15'!H47+'16'!H47+'17'!H47+'18'!H47+'19'!H47+'20'!H47+'21'!H47+'22'!H47+'23'!H47+'24'!H47+'25'!H47+'26'!H47+'27'!H47+'28'!H47+'29'!H47+'30'!H47</f>
        <v>0</v>
      </c>
      <c r="I48" s="8">
        <v>50</v>
      </c>
      <c r="J48" s="5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8" s="25"/>
      <c r="M48" s="67"/>
      <c r="U48" s="4"/>
    </row>
    <row r="49" spans="1:21" x14ac:dyDescent="0.55000000000000004">
      <c r="A49" s="5">
        <v>45</v>
      </c>
      <c r="B49" s="6" t="s">
        <v>60</v>
      </c>
      <c r="C49" s="57">
        <f>+ยกมา!G48</f>
        <v>0</v>
      </c>
      <c r="D49" s="58">
        <f>+'1'!D48+'2'!D48+'3'!D48+'4'!D48+'5'!D48+'6'!D48+'7'!D48+'8'!D48+'9'!D48+'10'!D48+'11'!D48+'12'!D48+'13'!D48+'14'!D48+'15'!D48+'16'!D48+'17'!D48+'18'!D48+'19'!D48+'20'!D48+'21'!D48+'22'!D48+'23'!D48+'24'!D48+'25'!D48+'26'!D48+'27'!D48+'28'!D48+'29'!D48+'30'!D48</f>
        <v>0</v>
      </c>
      <c r="E49" s="57">
        <f t="shared" si="1"/>
        <v>0</v>
      </c>
      <c r="F49" s="58">
        <f>+'1'!F48+'2'!F48+'3'!F48+'4'!F48+'5'!F48+'6'!F48+'7'!F48+'8'!F48+'9'!F48+'10'!F48+'11'!F48+'12'!F48+'13'!F48+'14'!F48+'15'!F48+'16'!F48+'17'!F48+'18'!F48+'19'!F48+'20'!F48+'21'!F48+'22'!F48+'23'!F48+'24'!F48+'25'!F48+'26'!F48+'27'!F48+'28'!F48+'29'!F48+'30'!F218</f>
        <v>0</v>
      </c>
      <c r="G49" s="59">
        <f t="shared" si="2"/>
        <v>0</v>
      </c>
      <c r="H49" s="58">
        <f>+'1'!H48+'2'!H48+'3'!H48+'4'!H48+'5'!H48+'6'!H48+'7'!H48+'8'!H48+'9'!H48+'10'!H48+'11'!H48+'12'!H48+'13'!H48+'14'!H48+'15'!H48+'16'!H48+'17'!H48+'18'!H48+'19'!H48+'20'!H48+'21'!H48+'22'!H48+'23'!H48+'24'!H48+'25'!H48+'26'!H48+'27'!H48+'28'!H48+'29'!H48+'30'!H48</f>
        <v>0</v>
      </c>
      <c r="I49" s="8">
        <v>50</v>
      </c>
      <c r="J49" s="5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9" s="25"/>
      <c r="M49" s="67"/>
      <c r="U49" s="4"/>
    </row>
    <row r="50" spans="1:21" x14ac:dyDescent="0.55000000000000004">
      <c r="A50" s="5">
        <v>46</v>
      </c>
      <c r="B50" s="6" t="s">
        <v>61</v>
      </c>
      <c r="C50" s="57">
        <f>+ยกมา!G49</f>
        <v>0</v>
      </c>
      <c r="D50" s="58">
        <f>+'1'!D49+'2'!D49+'3'!D49+'4'!D49+'5'!D49+'6'!D49+'7'!D49+'8'!D49+'9'!D49+'10'!D49+'11'!D49+'12'!D49+'13'!D49+'14'!D49+'15'!D49+'16'!D49+'17'!D49+'18'!D49+'19'!D49+'20'!D49+'21'!D49+'22'!D49+'23'!D49+'24'!D49+'25'!D49+'26'!D49+'27'!D49+'28'!D49+'29'!D49+'30'!D49</f>
        <v>0</v>
      </c>
      <c r="E50" s="57">
        <f t="shared" si="1"/>
        <v>0</v>
      </c>
      <c r="F50" s="58">
        <f>+'1'!F49+'2'!F49+'3'!F49+'4'!F49+'5'!F49+'6'!F49+'7'!F49+'8'!F49+'9'!F49+'10'!F49+'11'!F49+'12'!F49+'13'!F49+'14'!F49+'15'!F49+'16'!F49+'17'!F49+'18'!F49+'19'!F49+'20'!F49+'21'!F49+'22'!F49+'23'!F49+'24'!F49+'25'!F49+'26'!F49+'27'!F49+'28'!F49+'29'!F49+'30'!F219</f>
        <v>0</v>
      </c>
      <c r="G50" s="59">
        <f t="shared" si="2"/>
        <v>0</v>
      </c>
      <c r="H50" s="58">
        <f>+'1'!H49+'2'!H49+'3'!H49+'4'!H49+'5'!H49+'6'!H49+'7'!H49+'8'!H49+'9'!H49+'10'!H49+'11'!H49+'12'!H49+'13'!H49+'14'!H49+'15'!H49+'16'!H49+'17'!H49+'18'!H49+'19'!H49+'20'!H49+'21'!H49+'22'!H49+'23'!H49+'24'!H49+'25'!H49+'26'!H49+'27'!H49+'28'!H49+'29'!H49+'30'!H49</f>
        <v>0</v>
      </c>
      <c r="I50" s="8">
        <v>120</v>
      </c>
      <c r="J50" s="5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50" s="25"/>
      <c r="M50" s="67"/>
      <c r="U50" s="4"/>
    </row>
    <row r="51" spans="1:21" x14ac:dyDescent="0.55000000000000004">
      <c r="A51" s="5">
        <v>47</v>
      </c>
      <c r="B51" s="6" t="s">
        <v>62</v>
      </c>
      <c r="C51" s="57">
        <f>+ยกมา!G50</f>
        <v>0</v>
      </c>
      <c r="D51" s="58">
        <f>+'1'!D50+'2'!D50+'3'!D50+'4'!D50+'5'!D50+'6'!D50+'7'!D50+'8'!D50+'9'!D50+'10'!D50+'11'!D50+'12'!D50+'13'!D50+'14'!D50+'15'!D50+'16'!D50+'17'!D50+'18'!D50+'19'!D50+'20'!D50+'21'!D50+'22'!D50+'23'!D50+'24'!D50+'25'!D50+'26'!D50+'27'!D50+'28'!D50+'29'!D50+'30'!D50</f>
        <v>0</v>
      </c>
      <c r="E51" s="57">
        <f t="shared" si="1"/>
        <v>0</v>
      </c>
      <c r="F51" s="58">
        <f>+'1'!F50+'2'!F50+'3'!F50+'4'!F50+'5'!F50+'6'!F50+'7'!F50+'8'!F50+'9'!F50+'10'!F50+'11'!F50+'12'!F50+'13'!F50+'14'!F50+'15'!F50+'16'!F50+'17'!F50+'18'!F50+'19'!F50+'20'!F50+'21'!F50+'22'!F50+'23'!F50+'24'!F50+'25'!F50+'26'!F50+'27'!F50+'28'!F50+'29'!F50+'30'!F220</f>
        <v>0</v>
      </c>
      <c r="G51" s="59">
        <f t="shared" si="2"/>
        <v>0</v>
      </c>
      <c r="H51" s="58">
        <f>+'1'!H50+'2'!H50+'3'!H50+'4'!H50+'5'!H50+'6'!H50+'7'!H50+'8'!H50+'9'!H50+'10'!H50+'11'!H50+'12'!H50+'13'!H50+'14'!H50+'15'!H50+'16'!H50+'17'!H50+'18'!H50+'19'!H50+'20'!H50+'21'!H50+'22'!H50+'23'!H50+'24'!H50+'25'!H50+'26'!H50+'27'!H50+'28'!H50+'29'!H50+'30'!H50</f>
        <v>0</v>
      </c>
      <c r="I51" s="8">
        <v>120</v>
      </c>
      <c r="J51" s="5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1" s="25"/>
      <c r="M51" s="67"/>
      <c r="U51" s="4"/>
    </row>
    <row r="52" spans="1:21" x14ac:dyDescent="0.55000000000000004">
      <c r="A52" s="5">
        <v>48</v>
      </c>
      <c r="B52" s="6" t="s">
        <v>63</v>
      </c>
      <c r="C52" s="57">
        <f>+ยกมา!G51</f>
        <v>0</v>
      </c>
      <c r="D52" s="58">
        <f>+'1'!D51+'2'!D51+'3'!D51+'4'!D51+'5'!D51+'6'!D51+'7'!D51+'8'!D51+'9'!D51+'10'!D51+'11'!D51+'12'!D51+'13'!D51+'14'!D51+'15'!D51+'16'!D51+'17'!D51+'18'!D51+'19'!D51+'20'!D51+'21'!D51+'22'!D51+'23'!D51+'24'!D51+'25'!D51+'26'!D51+'27'!D51+'28'!D51+'29'!D51+'30'!D51</f>
        <v>0</v>
      </c>
      <c r="E52" s="57">
        <f t="shared" si="1"/>
        <v>0</v>
      </c>
      <c r="F52" s="58">
        <f>+'1'!F51+'2'!F51+'3'!F51+'4'!F51+'5'!F51+'6'!F51+'7'!F51+'8'!F51+'9'!F51+'10'!F51+'11'!F51+'12'!F51+'13'!F51+'14'!F51+'15'!F51+'16'!F51+'17'!F51+'18'!F51+'19'!F51+'20'!F51+'21'!F51+'22'!F51+'23'!F51+'24'!F51+'25'!F51+'26'!F51+'27'!F51+'28'!F51+'29'!F51+'30'!F221</f>
        <v>0</v>
      </c>
      <c r="G52" s="59">
        <f t="shared" si="2"/>
        <v>0</v>
      </c>
      <c r="H52" s="58">
        <f>+'1'!H51+'2'!H51+'3'!H51+'4'!H51+'5'!H51+'6'!H51+'7'!H51+'8'!H51+'9'!H51+'10'!H51+'11'!H51+'12'!H51+'13'!H51+'14'!H51+'15'!H51+'16'!H51+'17'!H51+'18'!H51+'19'!H51+'20'!H51+'21'!H51+'22'!H51+'23'!H51+'24'!H51+'25'!H51+'26'!H51+'27'!H51+'28'!H51+'29'!H51+'30'!H51</f>
        <v>0</v>
      </c>
      <c r="I52" s="8">
        <v>120</v>
      </c>
      <c r="J52" s="5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2" s="25"/>
      <c r="M52" s="67"/>
      <c r="U52" s="4"/>
    </row>
    <row r="53" spans="1:21" x14ac:dyDescent="0.55000000000000004">
      <c r="A53" s="5">
        <v>49</v>
      </c>
      <c r="B53" s="6" t="s">
        <v>64</v>
      </c>
      <c r="C53" s="57">
        <f>+ยกมา!G52</f>
        <v>0</v>
      </c>
      <c r="D53" s="58">
        <f>+'1'!D52+'2'!D52+'3'!D52+'4'!D52+'5'!D52+'6'!D52+'7'!D52+'8'!D52+'9'!D52+'10'!D52+'11'!D52+'12'!D52+'13'!D52+'14'!D52+'15'!D52+'16'!D52+'17'!D52+'18'!D52+'19'!D52+'20'!D52+'21'!D52+'22'!D52+'23'!D52+'24'!D52+'25'!D52+'26'!D52+'27'!D52+'28'!D52+'29'!D52+'30'!D52</f>
        <v>0</v>
      </c>
      <c r="E53" s="57">
        <f t="shared" si="1"/>
        <v>0</v>
      </c>
      <c r="F53" s="58">
        <f>+'1'!F52+'2'!F52+'3'!F52+'4'!F52+'5'!F52+'6'!F52+'7'!F52+'8'!F52+'9'!F52+'10'!F52+'11'!F52+'12'!F52+'13'!F52+'14'!F52+'15'!F52+'16'!F52+'17'!F52+'18'!F52+'19'!F52+'20'!F52+'21'!F52+'22'!F52+'23'!F52+'24'!F52+'25'!F52+'26'!F52+'27'!F52+'28'!F52+'29'!F52+'30'!F222</f>
        <v>0</v>
      </c>
      <c r="G53" s="59">
        <f t="shared" si="2"/>
        <v>0</v>
      </c>
      <c r="H53" s="58">
        <f>+'1'!H52+'2'!H52+'3'!H52+'4'!H52+'5'!H52+'6'!H52+'7'!H52+'8'!H52+'9'!H52+'10'!H52+'11'!H52+'12'!H52+'13'!H52+'14'!H52+'15'!H52+'16'!H52+'17'!H52+'18'!H52+'19'!H52+'20'!H52+'21'!H52+'22'!H52+'23'!H52+'24'!H52+'25'!H52+'26'!H52+'27'!H52+'28'!H52+'29'!H52+'30'!H52</f>
        <v>0</v>
      </c>
      <c r="I53" s="8">
        <v>120</v>
      </c>
      <c r="J53" s="5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3" s="25"/>
      <c r="M53" s="67"/>
      <c r="U53" s="4"/>
    </row>
    <row r="54" spans="1:21" x14ac:dyDescent="0.55000000000000004">
      <c r="A54" s="5">
        <v>50</v>
      </c>
      <c r="B54" s="6" t="s">
        <v>65</v>
      </c>
      <c r="C54" s="57">
        <f>+ยกมา!G53</f>
        <v>0</v>
      </c>
      <c r="D54" s="58">
        <f>+'1'!D53+'2'!D53+'3'!D53+'4'!D53+'5'!D53+'6'!D53+'7'!D53+'8'!D53+'9'!D53+'10'!D53+'11'!D53+'12'!D53+'13'!D53+'14'!D53+'15'!D53+'16'!D53+'17'!D53+'18'!D53+'19'!D53+'20'!D53+'21'!D53+'22'!D53+'23'!D53+'24'!D53+'25'!D53+'26'!D53+'27'!D53+'28'!D53+'29'!D53+'30'!D53</f>
        <v>0</v>
      </c>
      <c r="E54" s="57">
        <f t="shared" si="1"/>
        <v>0</v>
      </c>
      <c r="F54" s="58">
        <f>+'1'!F53+'2'!F53+'3'!F53+'4'!F53+'5'!F53+'6'!F53+'7'!F53+'8'!F53+'9'!F53+'10'!F53+'11'!F53+'12'!F53+'13'!F53+'14'!F53+'15'!F53+'16'!F53+'17'!F53+'18'!F53+'19'!F53+'20'!F53+'21'!F53+'22'!F53+'23'!F53+'24'!F53+'25'!F53+'26'!F53+'27'!F53+'28'!F53+'29'!F53+'30'!F223</f>
        <v>0</v>
      </c>
      <c r="G54" s="59">
        <f t="shared" si="2"/>
        <v>0</v>
      </c>
      <c r="H54" s="58">
        <f>+'1'!H53+'2'!H53+'3'!H53+'4'!H53+'5'!H53+'6'!H53+'7'!H53+'8'!H53+'9'!H53+'10'!H53+'11'!H53+'12'!H53+'13'!H53+'14'!H53+'15'!H53+'16'!H53+'17'!H53+'18'!H53+'19'!H53+'20'!H53+'21'!H53+'22'!H53+'23'!H53+'24'!H53+'25'!H53+'26'!H53+'27'!H53+'28'!H53+'29'!H53+'30'!H53</f>
        <v>0</v>
      </c>
      <c r="I54" s="8">
        <v>120</v>
      </c>
      <c r="J54" s="5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25"/>
      <c r="M54" s="67"/>
      <c r="U54" s="4"/>
    </row>
    <row r="55" spans="1:21" x14ac:dyDescent="0.55000000000000004">
      <c r="A55" s="5">
        <v>51</v>
      </c>
      <c r="B55" s="6" t="s">
        <v>66</v>
      </c>
      <c r="C55" s="57">
        <f>+ยกมา!G54</f>
        <v>0</v>
      </c>
      <c r="D55" s="58">
        <f>+'1'!D54+'2'!D54+'3'!D54+'4'!D54+'5'!D54+'6'!D54+'7'!D54+'8'!D54+'9'!D54+'10'!D54+'11'!D54+'12'!D54+'13'!D54+'14'!D54+'15'!D54+'16'!D54+'17'!D54+'18'!D54+'19'!D54+'20'!D54+'21'!D54+'22'!D54+'23'!D54+'24'!D54+'25'!D54+'26'!D54+'27'!D54+'28'!D54+'29'!D54+'30'!D54</f>
        <v>0</v>
      </c>
      <c r="E55" s="57">
        <f t="shared" si="1"/>
        <v>0</v>
      </c>
      <c r="F55" s="58">
        <f>+'1'!F54+'2'!F54+'3'!F54+'4'!F54+'5'!F54+'6'!F54+'7'!F54+'8'!F54+'9'!F54+'10'!F54+'11'!F54+'12'!F54+'13'!F54+'14'!F54+'15'!F54+'16'!F54+'17'!F54+'18'!F54+'19'!F54+'20'!F54+'21'!F54+'22'!F54+'23'!F54+'24'!F54+'25'!F54+'26'!F54+'27'!F54+'28'!F54+'29'!F54+'30'!F224</f>
        <v>0</v>
      </c>
      <c r="G55" s="59">
        <f t="shared" si="2"/>
        <v>0</v>
      </c>
      <c r="H55" s="58">
        <f>+'1'!H54+'2'!H54+'3'!H54+'4'!H54+'5'!H54+'6'!H54+'7'!H54+'8'!H54+'9'!H54+'10'!H54+'11'!H54+'12'!H54+'13'!H54+'14'!H54+'15'!H54+'16'!H54+'17'!H54+'18'!H54+'19'!H54+'20'!H54+'21'!H54+'22'!H54+'23'!H54+'24'!H54+'25'!H54+'26'!H54+'27'!H54+'28'!H54+'29'!H54+'30'!H54</f>
        <v>0</v>
      </c>
      <c r="I55" s="8">
        <v>120</v>
      </c>
      <c r="J55" s="5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5" s="24"/>
      <c r="M55" s="67"/>
      <c r="U55" s="4"/>
    </row>
    <row r="56" spans="1:21" x14ac:dyDescent="0.55000000000000004">
      <c r="A56" s="5">
        <v>52</v>
      </c>
      <c r="B56" s="6" t="s">
        <v>67</v>
      </c>
      <c r="C56" s="57">
        <f>+ยกมา!G55</f>
        <v>0</v>
      </c>
      <c r="D56" s="58">
        <f>+'1'!D55+'2'!D55+'3'!D55+'4'!D55+'5'!D55+'6'!D55+'7'!D55+'8'!D55+'9'!D55+'10'!D55+'11'!D55+'12'!D55+'13'!D55+'14'!D55+'15'!D55+'16'!D55+'17'!D55+'18'!D55+'19'!D55+'20'!D55+'21'!D55+'22'!D55+'23'!D55+'24'!D55+'25'!D55+'26'!D55+'27'!D55+'28'!D55+'29'!D55+'30'!D55</f>
        <v>0</v>
      </c>
      <c r="E56" s="57">
        <f t="shared" si="1"/>
        <v>0</v>
      </c>
      <c r="F56" s="58">
        <f>+'1'!F55+'2'!F55+'3'!F55+'4'!F55+'5'!F55+'6'!F55+'7'!F55+'8'!F55+'9'!F55+'10'!F55+'11'!F55+'12'!F55+'13'!F55+'14'!F55+'15'!F55+'16'!F55+'17'!F55+'18'!F55+'19'!F55+'20'!F55+'21'!F55+'22'!F55+'23'!F55+'24'!F55+'25'!F55+'26'!F55+'27'!F55+'28'!F55+'29'!F55+'30'!F225</f>
        <v>0</v>
      </c>
      <c r="G56" s="59">
        <f t="shared" si="2"/>
        <v>0</v>
      </c>
      <c r="H56" s="58">
        <f>+'1'!H55+'2'!H55+'3'!H55+'4'!H55+'5'!H55+'6'!H55+'7'!H55+'8'!H55+'9'!H55+'10'!H55+'11'!H55+'12'!H55+'13'!H55+'14'!H55+'15'!H55+'16'!H55+'17'!H55+'18'!H55+'19'!H55+'20'!H55+'21'!H55+'22'!H55+'23'!H55+'24'!H55+'25'!H55+'26'!H55+'27'!H55+'28'!H55+'29'!H55+'30'!H55</f>
        <v>0</v>
      </c>
      <c r="I56" s="8">
        <v>120</v>
      </c>
      <c r="J56" s="5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6" s="24"/>
      <c r="M56" s="67"/>
      <c r="U56" s="4"/>
    </row>
    <row r="57" spans="1:21" x14ac:dyDescent="0.55000000000000004">
      <c r="A57" s="5">
        <v>53</v>
      </c>
      <c r="B57" s="6" t="s">
        <v>68</v>
      </c>
      <c r="C57" s="57">
        <f>+ยกมา!G56</f>
        <v>0</v>
      </c>
      <c r="D57" s="58">
        <f>+'1'!D56+'2'!D56+'3'!D56+'4'!D56+'5'!D56+'6'!D56+'7'!D56+'8'!D56+'9'!D56+'10'!D56+'11'!D56+'12'!D56+'13'!D56+'14'!D56+'15'!D56+'16'!D56+'17'!D56+'18'!D56+'19'!D56+'20'!D56+'21'!D56+'22'!D56+'23'!D56+'24'!D56+'25'!D56+'26'!D56+'27'!D56+'28'!D56+'29'!D56+'30'!D56</f>
        <v>3</v>
      </c>
      <c r="E57" s="57">
        <f t="shared" si="1"/>
        <v>3</v>
      </c>
      <c r="F57" s="58">
        <f>+'1'!F56+'2'!F56+'3'!F56+'4'!F56+'5'!F56+'6'!F56+'7'!F56+'8'!F56+'9'!F56+'10'!F56+'11'!F56+'12'!F56+'13'!F56+'14'!F56+'15'!F56+'16'!F56+'17'!F56+'18'!F56+'19'!F56+'20'!F56+'21'!F56+'22'!F56+'23'!F56+'24'!F56+'25'!F56+'26'!F56+'27'!F56+'28'!F56+'29'!F56+'30'!F226</f>
        <v>0</v>
      </c>
      <c r="G57" s="59">
        <f t="shared" si="2"/>
        <v>3</v>
      </c>
      <c r="H57" s="58">
        <f>+'1'!H56+'2'!H56+'3'!H56+'4'!H56+'5'!H56+'6'!H56+'7'!H56+'8'!H56+'9'!H56+'10'!H56+'11'!H56+'12'!H56+'13'!H56+'14'!H56+'15'!H56+'16'!H56+'17'!H56+'18'!H56+'19'!H56+'20'!H56+'21'!H56+'22'!H56+'23'!H56+'24'!H56+'25'!H56+'26'!H56+'27'!H56+'28'!H56+'29'!H56+'30'!H56</f>
        <v>0</v>
      </c>
      <c r="I57" s="8">
        <v>120</v>
      </c>
      <c r="J57" s="5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7" s="24"/>
      <c r="M57" s="67"/>
      <c r="U57" s="4"/>
    </row>
    <row r="58" spans="1:21" x14ac:dyDescent="0.55000000000000004">
      <c r="A58" s="5">
        <v>54</v>
      </c>
      <c r="B58" s="6" t="s">
        <v>69</v>
      </c>
      <c r="C58" s="57">
        <f>+ยกมา!G57</f>
        <v>0</v>
      </c>
      <c r="D58" s="58">
        <f>+'1'!D57+'2'!D57+'3'!D57+'4'!D57+'5'!D57+'6'!D57+'7'!D57+'8'!D57+'9'!D57+'10'!D57+'11'!D57+'12'!D57+'13'!D57+'14'!D57+'15'!D57+'16'!D57+'17'!D57+'18'!D57+'19'!D57+'20'!D57+'21'!D57+'22'!D57+'23'!D57+'24'!D57+'25'!D57+'26'!D57+'27'!D57+'28'!D57+'29'!D57+'30'!D57</f>
        <v>0</v>
      </c>
      <c r="E58" s="57">
        <f t="shared" si="1"/>
        <v>0</v>
      </c>
      <c r="F58" s="58">
        <f>+'1'!F57+'2'!F57+'3'!F57+'4'!F57+'5'!F57+'6'!F57+'7'!F57+'8'!F57+'9'!F57+'10'!F57+'11'!F57+'12'!F57+'13'!F57+'14'!F57+'15'!F57+'16'!F57+'17'!F57+'18'!F57+'19'!F57+'20'!F57+'21'!F57+'22'!F57+'23'!F57+'24'!F57+'25'!F57+'26'!F57+'27'!F57+'28'!F57+'29'!F57+'30'!F227</f>
        <v>0</v>
      </c>
      <c r="G58" s="59">
        <f t="shared" si="2"/>
        <v>0</v>
      </c>
      <c r="H58" s="58">
        <f>+'1'!H57+'2'!H57+'3'!H57+'4'!H57+'5'!H57+'6'!H57+'7'!H57+'8'!H57+'9'!H57+'10'!H57+'11'!H57+'12'!H57+'13'!H57+'14'!H57+'15'!H57+'16'!H57+'17'!H57+'18'!H57+'19'!H57+'20'!H57+'21'!H57+'22'!H57+'23'!H57+'24'!H57+'25'!H57+'26'!H57+'27'!H57+'28'!H57+'29'!H57+'30'!H57</f>
        <v>0</v>
      </c>
      <c r="I58" s="8">
        <v>120</v>
      </c>
      <c r="J58" s="5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8" s="24"/>
      <c r="M58" s="67"/>
      <c r="U58" s="4"/>
    </row>
    <row r="59" spans="1:21" x14ac:dyDescent="0.55000000000000004">
      <c r="A59" s="5">
        <v>55</v>
      </c>
      <c r="B59" s="6" t="s">
        <v>70</v>
      </c>
      <c r="C59" s="57">
        <f>+ยกมา!G58</f>
        <v>0</v>
      </c>
      <c r="D59" s="58">
        <f>+'1'!D58+'2'!D58+'3'!D58+'4'!D58+'5'!D58+'6'!D58+'7'!D58+'8'!D58+'9'!D58+'10'!D58+'11'!D58+'12'!D58+'13'!D58+'14'!D58+'15'!D58+'16'!D58+'17'!D58+'18'!D58+'19'!D58+'20'!D58+'21'!D58+'22'!D58+'23'!D58+'24'!D58+'25'!D58+'26'!D58+'27'!D58+'28'!D58+'29'!D58+'30'!D58</f>
        <v>0</v>
      </c>
      <c r="E59" s="57">
        <f t="shared" si="1"/>
        <v>0</v>
      </c>
      <c r="F59" s="58">
        <f>+'1'!F58+'2'!F58+'3'!F58+'4'!F58+'5'!F58+'6'!F58+'7'!F58+'8'!F58+'9'!F58+'10'!F58+'11'!F58+'12'!F58+'13'!F58+'14'!F58+'15'!F58+'16'!F58+'17'!F58+'18'!F58+'19'!F58+'20'!F58+'21'!F58+'22'!F58+'23'!F58+'24'!F58+'25'!F58+'26'!F58+'27'!F58+'28'!F58+'29'!F58+'30'!F228</f>
        <v>0</v>
      </c>
      <c r="G59" s="59">
        <f t="shared" si="2"/>
        <v>0</v>
      </c>
      <c r="H59" s="58">
        <f>+'1'!H58+'2'!H58+'3'!H58+'4'!H58+'5'!H58+'6'!H58+'7'!H58+'8'!H58+'9'!H58+'10'!H58+'11'!H58+'12'!H58+'13'!H58+'14'!H58+'15'!H58+'16'!H58+'17'!H58+'18'!H58+'19'!H58+'20'!H58+'21'!H58+'22'!H58+'23'!H58+'24'!H58+'25'!H58+'26'!H58+'27'!H58+'28'!H58+'29'!H58+'30'!H58</f>
        <v>0</v>
      </c>
      <c r="I59" s="8">
        <v>70</v>
      </c>
      <c r="J59" s="5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9" s="14"/>
      <c r="M59" s="67"/>
      <c r="U59" s="4"/>
    </row>
    <row r="60" spans="1:21" x14ac:dyDescent="0.55000000000000004">
      <c r="A60" s="5">
        <v>56</v>
      </c>
      <c r="B60" s="6" t="s">
        <v>71</v>
      </c>
      <c r="C60" s="57">
        <f>+ยกมา!G59</f>
        <v>0</v>
      </c>
      <c r="D60" s="58">
        <f>+'1'!D59+'2'!D59+'3'!D59+'4'!D59+'5'!D59+'6'!D59+'7'!D59+'8'!D59+'9'!D59+'10'!D59+'11'!D59+'12'!D59+'13'!D59+'14'!D59+'15'!D59+'16'!D59+'17'!D59+'18'!D59+'19'!D59+'20'!D59+'21'!D59+'22'!D59+'23'!D59+'24'!D59+'25'!D59+'26'!D59+'27'!D59+'28'!D59+'29'!D59+'30'!D59</f>
        <v>0</v>
      </c>
      <c r="E60" s="57">
        <f t="shared" si="1"/>
        <v>0</v>
      </c>
      <c r="F60" s="58">
        <f>+'1'!F59+'2'!F59+'3'!F59+'4'!F59+'5'!F59+'6'!F59+'7'!F59+'8'!F59+'9'!F59+'10'!F59+'11'!F59+'12'!F59+'13'!F59+'14'!F59+'15'!F59+'16'!F59+'17'!F59+'18'!F59+'19'!F59+'20'!F59+'21'!F59+'22'!F59+'23'!F59+'24'!F59+'25'!F59+'26'!F59+'27'!F59+'28'!F59+'29'!F59+'30'!F229</f>
        <v>0</v>
      </c>
      <c r="G60" s="59">
        <f t="shared" si="2"/>
        <v>0</v>
      </c>
      <c r="H60" s="58">
        <f>+'1'!H59+'2'!H59+'3'!H59+'4'!H59+'5'!H59+'6'!H59+'7'!H59+'8'!H59+'9'!H59+'10'!H59+'11'!H59+'12'!H59+'13'!H59+'14'!H59+'15'!H59+'16'!H59+'17'!H59+'18'!H59+'19'!H59+'20'!H59+'21'!H59+'22'!H59+'23'!H59+'24'!H59+'25'!H59+'26'!H59+'27'!H59+'28'!H59+'29'!H59+'30'!H59</f>
        <v>0</v>
      </c>
      <c r="I60" s="8">
        <v>80</v>
      </c>
      <c r="J60" s="5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4"/>
      <c r="M60" s="67"/>
      <c r="U60" s="4"/>
    </row>
    <row r="61" spans="1:21" x14ac:dyDescent="0.55000000000000004">
      <c r="A61" s="5">
        <v>57</v>
      </c>
      <c r="B61" s="6" t="s">
        <v>72</v>
      </c>
      <c r="C61" s="57">
        <f>+ยกมา!G60</f>
        <v>0</v>
      </c>
      <c r="D61" s="58">
        <f>+'1'!D60+'2'!D60+'3'!D60+'4'!D60+'5'!D60+'6'!D60+'7'!D60+'8'!D60+'9'!D60+'10'!D60+'11'!D60+'12'!D60+'13'!D60+'14'!D60+'15'!D60+'16'!D60+'17'!D60+'18'!D60+'19'!D60+'20'!D60+'21'!D60+'22'!D60+'23'!D60+'24'!D60+'25'!D60+'26'!D60+'27'!D60+'28'!D60+'29'!D60+'30'!D60</f>
        <v>0</v>
      </c>
      <c r="E61" s="57">
        <f t="shared" si="1"/>
        <v>0</v>
      </c>
      <c r="F61" s="58">
        <f>+'1'!F60+'2'!F60+'3'!F60+'4'!F60+'5'!F60+'6'!F60+'7'!F60+'8'!F60+'9'!F60+'10'!F60+'11'!F60+'12'!F60+'13'!F60+'14'!F60+'15'!F60+'16'!F60+'17'!F60+'18'!F60+'19'!F60+'20'!F60+'21'!F60+'22'!F60+'23'!F60+'24'!F60+'25'!F60+'26'!F60+'27'!F60+'28'!F60+'29'!F60+'30'!F230</f>
        <v>0</v>
      </c>
      <c r="G61" s="59">
        <f t="shared" si="2"/>
        <v>0</v>
      </c>
      <c r="H61" s="58">
        <f>+'1'!H60+'2'!H60+'3'!H60+'4'!H60+'5'!H60+'6'!H60+'7'!H60+'8'!H60+'9'!H60+'10'!H60+'11'!H60+'12'!H60+'13'!H60+'14'!H60+'15'!H60+'16'!H60+'17'!H60+'18'!H60+'19'!H60+'20'!H60+'21'!H60+'22'!H60+'23'!H60+'24'!H60+'25'!H60+'26'!H60+'27'!H60+'28'!H60+'29'!H60+'30'!H60</f>
        <v>0</v>
      </c>
      <c r="I61" s="8">
        <v>50</v>
      </c>
      <c r="J61" s="5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1" s="14"/>
      <c r="M61" s="67"/>
      <c r="U61" s="4"/>
    </row>
    <row r="62" spans="1:21" x14ac:dyDescent="0.55000000000000004">
      <c r="A62" s="5">
        <v>58</v>
      </c>
      <c r="B62" s="14" t="s">
        <v>73</v>
      </c>
      <c r="C62" s="57">
        <f>+ยกมา!G61</f>
        <v>0</v>
      </c>
      <c r="D62" s="58">
        <f>+'1'!D61+'2'!D61+'3'!D61+'4'!D61+'5'!D61+'6'!D61+'7'!D61+'8'!D61+'9'!D61+'10'!D61+'11'!D61+'12'!D61+'13'!D61+'14'!D61+'15'!D61+'16'!D61+'17'!D61+'18'!D61+'19'!D61+'20'!D61+'21'!D61+'22'!D61+'23'!D61+'24'!D61+'25'!D61+'26'!D61+'27'!D61+'28'!D61+'29'!D61+'30'!D61</f>
        <v>0</v>
      </c>
      <c r="E62" s="57">
        <f t="shared" si="1"/>
        <v>0</v>
      </c>
      <c r="F62" s="58">
        <f>+'1'!F61+'2'!F61+'3'!F61+'4'!F61+'5'!F61+'6'!F61+'7'!F61+'8'!F61+'9'!F61+'10'!F61+'11'!F61+'12'!F61+'13'!F61+'14'!F61+'15'!F61+'16'!F61+'17'!F61+'18'!F61+'19'!F61+'20'!F61+'21'!F61+'22'!F61+'23'!F61+'24'!F61+'25'!F61+'26'!F61+'27'!F61+'28'!F61+'29'!F61+'30'!F231</f>
        <v>0</v>
      </c>
      <c r="G62" s="59">
        <f t="shared" si="2"/>
        <v>0</v>
      </c>
      <c r="H62" s="58">
        <f>+'1'!H61+'2'!H61+'3'!H61+'4'!H61+'5'!H61+'6'!H61+'7'!H61+'8'!H61+'9'!H61+'10'!H61+'11'!H61+'12'!H61+'13'!H61+'14'!H61+'15'!H61+'16'!H61+'17'!H61+'18'!H61+'19'!H61+'20'!H61+'21'!H61+'22'!H61+'23'!H61+'24'!H61+'25'!H61+'26'!H61+'27'!H61+'28'!H61+'29'!H61+'30'!H61</f>
        <v>0</v>
      </c>
      <c r="I62" s="8">
        <v>50</v>
      </c>
      <c r="J62" s="5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2" s="14"/>
      <c r="M62" s="67"/>
      <c r="U62" s="4"/>
    </row>
    <row r="63" spans="1:21" x14ac:dyDescent="0.55000000000000004">
      <c r="A63" s="5">
        <v>59</v>
      </c>
      <c r="B63" s="14" t="s">
        <v>74</v>
      </c>
      <c r="C63" s="57">
        <f>+ยกมา!G62</f>
        <v>0</v>
      </c>
      <c r="D63" s="58">
        <f>+'1'!D62+'2'!D62+'3'!D62+'4'!D62+'5'!D62+'6'!D62+'7'!D62+'8'!D62+'9'!D62+'10'!D62+'11'!D62+'12'!D62+'13'!D62+'14'!D62+'15'!D62+'16'!D62+'17'!D62+'18'!D62+'19'!D62+'20'!D62+'21'!D62+'22'!D62+'23'!D62+'24'!D62+'25'!D62+'26'!D62+'27'!D62+'28'!D62+'29'!D62+'30'!D62</f>
        <v>0</v>
      </c>
      <c r="E63" s="57">
        <f t="shared" si="1"/>
        <v>0</v>
      </c>
      <c r="F63" s="58">
        <f>+'1'!F62+'2'!F62+'3'!F62+'4'!F62+'5'!F62+'6'!F62+'7'!F62+'8'!F62+'9'!F62+'10'!F62+'11'!F62+'12'!F62+'13'!F62+'14'!F62+'15'!F62+'16'!F62+'17'!F62+'18'!F62+'19'!F62+'20'!F62+'21'!F62+'22'!F62+'23'!F62+'24'!F62+'25'!F62+'26'!F62+'27'!F62+'28'!F62+'29'!F62+'30'!F232</f>
        <v>0</v>
      </c>
      <c r="G63" s="59">
        <f t="shared" si="2"/>
        <v>0</v>
      </c>
      <c r="H63" s="58">
        <f>+'1'!H62+'2'!H62+'3'!H62+'4'!H62+'5'!H62+'6'!H62+'7'!H62+'8'!H62+'9'!H62+'10'!H62+'11'!H62+'12'!H62+'13'!H62+'14'!H62+'15'!H62+'16'!H62+'17'!H62+'18'!H62+'19'!H62+'20'!H62+'21'!H62+'22'!H62+'23'!H62+'24'!H62+'25'!H62+'26'!H62+'27'!H62+'28'!H62+'29'!H62+'30'!H62</f>
        <v>0</v>
      </c>
      <c r="I63" s="8">
        <v>50</v>
      </c>
      <c r="J63" s="5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3" s="14"/>
      <c r="M63" s="67"/>
      <c r="U63" s="4"/>
    </row>
    <row r="64" spans="1:21" x14ac:dyDescent="0.55000000000000004">
      <c r="A64" s="5">
        <v>60</v>
      </c>
      <c r="B64" s="6" t="s">
        <v>75</v>
      </c>
      <c r="C64" s="57">
        <f>+ยกมา!G63</f>
        <v>0</v>
      </c>
      <c r="D64" s="58">
        <f>+'1'!D63+'2'!D63+'3'!D63+'4'!D63+'5'!D63+'6'!D63+'7'!D63+'8'!D63+'9'!D63+'10'!D63+'11'!D63+'12'!D63+'13'!D63+'14'!D63+'15'!D63+'16'!D63+'17'!D63+'18'!D63+'19'!D63+'20'!D63+'21'!D63+'22'!D63+'23'!D63+'24'!D63+'25'!D63+'26'!D63+'27'!D63+'28'!D63+'29'!D63+'30'!D63</f>
        <v>0</v>
      </c>
      <c r="E64" s="57">
        <f t="shared" si="1"/>
        <v>0</v>
      </c>
      <c r="F64" s="58">
        <f>+'1'!F63+'2'!F63+'3'!F63+'4'!F63+'5'!F63+'6'!F63+'7'!F63+'8'!F63+'9'!F63+'10'!F63+'11'!F63+'12'!F63+'13'!F63+'14'!F63+'15'!F63+'16'!F63+'17'!F63+'18'!F63+'19'!F63+'20'!F63+'21'!F63+'22'!F63+'23'!F63+'24'!F63+'25'!F63+'26'!F63+'27'!F63+'28'!F63+'29'!F63+'30'!F233</f>
        <v>0</v>
      </c>
      <c r="G64" s="59">
        <f t="shared" si="2"/>
        <v>0</v>
      </c>
      <c r="H64" s="58">
        <f>+'1'!H63+'2'!H63+'3'!H63+'4'!H63+'5'!H63+'6'!H63+'7'!H63+'8'!H63+'9'!H63+'10'!H63+'11'!H63+'12'!H63+'13'!H63+'14'!H63+'15'!H63+'16'!H63+'17'!H63+'18'!H63+'19'!H63+'20'!H63+'21'!H63+'22'!H63+'23'!H63+'24'!H63+'25'!H63+'26'!H63+'27'!H63+'28'!H63+'29'!H63+'30'!H63</f>
        <v>0</v>
      </c>
      <c r="I64" s="8">
        <v>30</v>
      </c>
      <c r="J64" s="5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4"/>
      <c r="M64" s="67"/>
      <c r="U64" s="4"/>
    </row>
    <row r="65" spans="1:21" x14ac:dyDescent="0.55000000000000004">
      <c r="A65" s="5">
        <v>61</v>
      </c>
      <c r="B65" s="6" t="s">
        <v>76</v>
      </c>
      <c r="C65" s="57">
        <f>+ยกมา!G64</f>
        <v>0</v>
      </c>
      <c r="D65" s="58">
        <f>+'1'!D64+'2'!D64+'3'!D64+'4'!D64+'5'!D64+'6'!D64+'7'!D64+'8'!D64+'9'!D64+'10'!D64+'11'!D64+'12'!D64+'13'!D64+'14'!D64+'15'!D64+'16'!D64+'17'!D64+'18'!D64+'19'!D64+'20'!D64+'21'!D64+'22'!D64+'23'!D64+'24'!D64+'25'!D64+'26'!D64+'27'!D64+'28'!D64+'29'!D64+'30'!D64</f>
        <v>0</v>
      </c>
      <c r="E65" s="57">
        <f t="shared" si="1"/>
        <v>0</v>
      </c>
      <c r="F65" s="58">
        <f>+'1'!F64+'2'!F64+'3'!F64+'4'!F64+'5'!F64+'6'!F64+'7'!F64+'8'!F64+'9'!F64+'10'!F64+'11'!F64+'12'!F64+'13'!F64+'14'!F64+'15'!F64+'16'!F64+'17'!F64+'18'!F64+'19'!F64+'20'!F64+'21'!F64+'22'!F64+'23'!F64+'24'!F64+'25'!F64+'26'!F64+'27'!F64+'28'!F64+'29'!F64+'30'!F234</f>
        <v>0</v>
      </c>
      <c r="G65" s="59">
        <f t="shared" si="2"/>
        <v>0</v>
      </c>
      <c r="H65" s="58">
        <f>+'1'!H64+'2'!H64+'3'!H64+'4'!H64+'5'!H64+'6'!H64+'7'!H64+'8'!H64+'9'!H64+'10'!H64+'11'!H64+'12'!H64+'13'!H64+'14'!H64+'15'!H64+'16'!H64+'17'!H64+'18'!H64+'19'!H64+'20'!H64+'21'!H64+'22'!H64+'23'!H64+'24'!H64+'25'!H64+'26'!H64+'27'!H64+'28'!H64+'29'!H64+'30'!H64</f>
        <v>0</v>
      </c>
      <c r="I65" s="8">
        <v>30</v>
      </c>
      <c r="J65" s="5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4"/>
      <c r="M65" s="67"/>
      <c r="U65" s="4"/>
    </row>
    <row r="66" spans="1:21" x14ac:dyDescent="0.55000000000000004">
      <c r="A66" s="5">
        <v>62</v>
      </c>
      <c r="B66" s="6" t="s">
        <v>77</v>
      </c>
      <c r="C66" s="57">
        <f>+ยกมา!G65</f>
        <v>5</v>
      </c>
      <c r="D66" s="58">
        <f>+'1'!D65+'2'!D65+'3'!D65+'4'!D65+'5'!D65+'6'!D65+'7'!D65+'8'!D65+'9'!D65+'10'!D65+'11'!D65+'12'!D65+'13'!D65+'14'!D65+'15'!D65+'16'!D65+'17'!D65+'18'!D65+'19'!D65+'20'!D65+'21'!D65+'22'!D65+'23'!D65+'24'!D65+'25'!D65+'26'!D65+'27'!D65+'28'!D65+'29'!D65+'30'!D65</f>
        <v>10</v>
      </c>
      <c r="E66" s="57">
        <f t="shared" si="1"/>
        <v>15</v>
      </c>
      <c r="F66" s="58">
        <f>+'1'!F65+'2'!F65+'3'!F65+'4'!F65+'5'!F65+'6'!F65+'7'!F65+'8'!F65+'9'!F65+'10'!F65+'11'!F65+'12'!F65+'13'!F65+'14'!F65+'15'!F65+'16'!F65+'17'!F65+'18'!F65+'19'!F65+'20'!F65+'21'!F65+'22'!F65+'23'!F65+'24'!F65+'25'!F65+'26'!F65+'27'!F65+'28'!F65+'29'!F65+'30'!F235</f>
        <v>0</v>
      </c>
      <c r="G66" s="59">
        <f t="shared" si="2"/>
        <v>0</v>
      </c>
      <c r="H66" s="58">
        <f>+'1'!H65+'2'!H65+'3'!H65+'4'!H65+'5'!H65+'6'!H65+'7'!H65+'8'!H65+'9'!H65+'10'!H65+'11'!H65+'12'!H65+'13'!H65+'14'!H65+'15'!H65+'16'!H65+'17'!H65+'18'!H65+'19'!H65+'20'!H65+'21'!H65+'22'!H65+'23'!H65+'24'!H65+'25'!H65+'26'!H65+'27'!H65+'28'!H65+'29'!H65+'30'!H65</f>
        <v>15</v>
      </c>
      <c r="I66" s="8">
        <v>50</v>
      </c>
      <c r="J66" s="5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750</v>
      </c>
      <c r="K66" s="14"/>
      <c r="M66" s="67"/>
      <c r="U66" s="4"/>
    </row>
    <row r="67" spans="1:21" x14ac:dyDescent="0.55000000000000004">
      <c r="A67" s="5">
        <v>63</v>
      </c>
      <c r="B67" s="6" t="s">
        <v>78</v>
      </c>
      <c r="C67" s="57">
        <f>+ยกมา!G66</f>
        <v>0</v>
      </c>
      <c r="D67" s="58">
        <f>+'1'!D66+'2'!D66+'3'!D66+'4'!D66+'5'!D66+'6'!D66+'7'!D66+'8'!D66+'9'!D66+'10'!D66+'11'!D66+'12'!D66+'13'!D66+'14'!D66+'15'!D66+'16'!D66+'17'!D66+'18'!D66+'19'!D66+'20'!D66+'21'!D66+'22'!D66+'23'!D66+'24'!D66+'25'!D66+'26'!D66+'27'!D66+'28'!D66+'29'!D66+'30'!D66</f>
        <v>0</v>
      </c>
      <c r="E67" s="57">
        <f t="shared" si="1"/>
        <v>0</v>
      </c>
      <c r="F67" s="58">
        <f>+'1'!F66+'2'!F66+'3'!F66+'4'!F66+'5'!F66+'6'!F66+'7'!F66+'8'!F66+'9'!F66+'10'!F66+'11'!F66+'12'!F66+'13'!F66+'14'!F66+'15'!F66+'16'!F66+'17'!F66+'18'!F66+'19'!F66+'20'!F66+'21'!F66+'22'!F66+'23'!F66+'24'!F66+'25'!F66+'26'!F66+'27'!F66+'28'!F66+'29'!F66+'30'!F236</f>
        <v>0</v>
      </c>
      <c r="G67" s="59">
        <f t="shared" si="2"/>
        <v>0</v>
      </c>
      <c r="H67" s="58">
        <f>+'1'!H66+'2'!H66+'3'!H66+'4'!H66+'5'!H66+'6'!H66+'7'!H66+'8'!H66+'9'!H66+'10'!H66+'11'!H66+'12'!H66+'13'!H66+'14'!H66+'15'!H66+'16'!H66+'17'!H66+'18'!H66+'19'!H66+'20'!H66+'21'!H66+'22'!H66+'23'!H66+'24'!H66+'25'!H66+'26'!H66+'27'!H66+'28'!H66+'29'!H66+'30'!H66</f>
        <v>0</v>
      </c>
      <c r="I67" s="8">
        <v>50</v>
      </c>
      <c r="J67" s="5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7" s="14"/>
      <c r="M67" s="67"/>
      <c r="U67" s="4"/>
    </row>
    <row r="68" spans="1:21" x14ac:dyDescent="0.55000000000000004">
      <c r="A68" s="5">
        <v>64</v>
      </c>
      <c r="B68" s="14" t="s">
        <v>79</v>
      </c>
      <c r="C68" s="57">
        <f>+ยกมา!G67</f>
        <v>0</v>
      </c>
      <c r="D68" s="58">
        <f>+'1'!D67+'2'!D67+'3'!D67+'4'!D67+'5'!D67+'6'!D67+'7'!D67+'8'!D67+'9'!D67+'10'!D67+'11'!D67+'12'!D67+'13'!D67+'14'!D67+'15'!D67+'16'!D67+'17'!D67+'18'!D67+'19'!D67+'20'!D67+'21'!D67+'22'!D67+'23'!D67+'24'!D67+'25'!D67+'26'!D67+'27'!D67+'28'!D67+'29'!D67+'30'!D67</f>
        <v>0</v>
      </c>
      <c r="E68" s="57">
        <f t="shared" si="1"/>
        <v>0</v>
      </c>
      <c r="F68" s="58">
        <f>+'1'!F67+'2'!F67+'3'!F67+'4'!F67+'5'!F67+'6'!F67+'7'!F67+'8'!F67+'9'!F67+'10'!F67+'11'!F67+'12'!F67+'13'!F67+'14'!F67+'15'!F67+'16'!F67+'17'!F67+'18'!F67+'19'!F67+'20'!F67+'21'!F67+'22'!F67+'23'!F67+'24'!F67+'25'!F67+'26'!F67+'27'!F67+'28'!F67+'29'!F67+'30'!F237</f>
        <v>0</v>
      </c>
      <c r="G68" s="59">
        <f t="shared" si="2"/>
        <v>0</v>
      </c>
      <c r="H68" s="58">
        <f>+'1'!H67+'2'!H67+'3'!H67+'4'!H67+'5'!H67+'6'!H67+'7'!H67+'8'!H67+'9'!H67+'10'!H67+'11'!H67+'12'!H67+'13'!H67+'14'!H67+'15'!H67+'16'!H67+'17'!H67+'18'!H67+'19'!H67+'20'!H67+'21'!H67+'22'!H67+'23'!H67+'24'!H67+'25'!H67+'26'!H67+'27'!H67+'28'!H67+'29'!H67+'30'!H67</f>
        <v>0</v>
      </c>
      <c r="I68" s="8">
        <v>35</v>
      </c>
      <c r="J68" s="5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8" s="14"/>
      <c r="M68" s="67"/>
      <c r="U68" s="4"/>
    </row>
    <row r="69" spans="1:21" x14ac:dyDescent="0.55000000000000004">
      <c r="A69" s="5">
        <v>65</v>
      </c>
      <c r="B69" s="14" t="s">
        <v>80</v>
      </c>
      <c r="C69" s="57">
        <f>+ยกมา!G68</f>
        <v>0</v>
      </c>
      <c r="D69" s="58">
        <f>+'1'!D68+'2'!D68+'3'!D68+'4'!D68+'5'!D68+'6'!D68+'7'!D68+'8'!D68+'9'!D68+'10'!D68+'11'!D68+'12'!D68+'13'!D68+'14'!D68+'15'!D68+'16'!D68+'17'!D68+'18'!D68+'19'!D68+'20'!D68+'21'!D68+'22'!D68+'23'!D68+'24'!D68+'25'!D68+'26'!D68+'27'!D68+'28'!D68+'29'!D68+'30'!D68</f>
        <v>0</v>
      </c>
      <c r="E69" s="57">
        <f t="shared" si="1"/>
        <v>0</v>
      </c>
      <c r="F69" s="58">
        <f>+'1'!F68+'2'!F68+'3'!F68+'4'!F68+'5'!F68+'6'!F68+'7'!F68+'8'!F68+'9'!F68+'10'!F68+'11'!F68+'12'!F68+'13'!F68+'14'!F68+'15'!F68+'16'!F68+'17'!F68+'18'!F68+'19'!F68+'20'!F68+'21'!F68+'22'!F68+'23'!F68+'24'!F68+'25'!F68+'26'!F68+'27'!F68+'28'!F68+'29'!F68+'30'!F238</f>
        <v>0</v>
      </c>
      <c r="G69" s="59">
        <f t="shared" si="2"/>
        <v>0</v>
      </c>
      <c r="H69" s="58">
        <f>+'1'!H68+'2'!H68+'3'!H68+'4'!H68+'5'!H68+'6'!H68+'7'!H68+'8'!H68+'9'!H68+'10'!H68+'11'!H68+'12'!H68+'13'!H68+'14'!H68+'15'!H68+'16'!H68+'17'!H68+'18'!H68+'19'!H68+'20'!H68+'21'!H68+'22'!H68+'23'!H68+'24'!H68+'25'!H68+'26'!H68+'27'!H68+'28'!H68+'29'!H68+'30'!H68</f>
        <v>0</v>
      </c>
      <c r="I69" s="8">
        <v>25</v>
      </c>
      <c r="J69" s="5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9" s="14"/>
      <c r="M69" s="67"/>
      <c r="U69" s="4"/>
    </row>
    <row r="70" spans="1:21" x14ac:dyDescent="0.55000000000000004">
      <c r="A70" s="5">
        <v>66</v>
      </c>
      <c r="B70" s="14" t="s">
        <v>81</v>
      </c>
      <c r="C70" s="57">
        <f>+ยกมา!G69</f>
        <v>0</v>
      </c>
      <c r="D70" s="58">
        <f>+'1'!D69+'2'!D69+'3'!D69+'4'!D69+'5'!D69+'6'!D69+'7'!D69+'8'!D69+'9'!D69+'10'!D69+'11'!D69+'12'!D69+'13'!D69+'14'!D69+'15'!D69+'16'!D69+'17'!D69+'18'!D69+'19'!D69+'20'!D69+'21'!D69+'22'!D69+'23'!D69+'24'!D69+'25'!D69+'26'!D69+'27'!D69+'28'!D69+'29'!D69+'30'!D69</f>
        <v>20</v>
      </c>
      <c r="E70" s="57">
        <f t="shared" ref="E70:E202" si="7">+C70+D70</f>
        <v>20</v>
      </c>
      <c r="F70" s="58">
        <f>+'1'!F69+'2'!F69+'3'!F69+'4'!F69+'5'!F69+'6'!F69+'7'!F69+'8'!F69+'9'!F69+'10'!F69+'11'!F69+'12'!F69+'13'!F69+'14'!F69+'15'!F69+'16'!F69+'17'!F69+'18'!F69+'19'!F69+'20'!F69+'21'!F69+'22'!F69+'23'!F69+'24'!F69+'25'!F69+'26'!F69+'27'!F69+'28'!F69+'29'!F69+'30'!F239</f>
        <v>0</v>
      </c>
      <c r="G70" s="59">
        <f t="shared" ref="G70:G133" si="8">C70+D70-F70-H70</f>
        <v>0</v>
      </c>
      <c r="H70" s="58">
        <f>+'1'!H69+'2'!H69+'3'!H69+'4'!H69+'5'!H69+'6'!H69+'7'!H69+'8'!H69+'9'!H69+'10'!H69+'11'!H69+'12'!H69+'13'!H69+'14'!H69+'15'!H69+'16'!H69+'17'!H69+'18'!H69+'19'!H69+'20'!H69+'21'!H69+'22'!H69+'23'!H69+'24'!H69+'25'!H69+'26'!H69+'27'!H69+'28'!H69+'29'!H69+'30'!H69</f>
        <v>20</v>
      </c>
      <c r="I70" s="8">
        <v>50</v>
      </c>
      <c r="J70" s="5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1000</v>
      </c>
      <c r="K70" s="14"/>
      <c r="M70" s="67"/>
      <c r="U70" s="4"/>
    </row>
    <row r="71" spans="1:21" x14ac:dyDescent="0.55000000000000004">
      <c r="A71" s="5">
        <v>67</v>
      </c>
      <c r="B71" s="14" t="s">
        <v>82</v>
      </c>
      <c r="C71" s="57">
        <f>+ยกมา!G70</f>
        <v>0</v>
      </c>
      <c r="D71" s="58">
        <f>+'1'!D70+'2'!D70+'3'!D70+'4'!D70+'5'!D70+'6'!D70+'7'!D70+'8'!D70+'9'!D70+'10'!D70+'11'!D70+'12'!D70+'13'!D70+'14'!D70+'15'!D70+'16'!D70+'17'!D70+'18'!D70+'19'!D70+'20'!D70+'21'!D70+'22'!D70+'23'!D70+'24'!D70+'25'!D70+'26'!D70+'27'!D70+'28'!D70+'29'!D70+'30'!D70</f>
        <v>0</v>
      </c>
      <c r="E71" s="57">
        <f t="shared" si="7"/>
        <v>0</v>
      </c>
      <c r="F71" s="58">
        <f>+'1'!F70+'2'!F70+'3'!F70+'4'!F70+'5'!F70+'6'!F70+'7'!F70+'8'!F70+'9'!F70+'10'!F70+'11'!F70+'12'!F70+'13'!F70+'14'!F70+'15'!F70+'16'!F70+'17'!F70+'18'!F70+'19'!F70+'20'!F70+'21'!F70+'22'!F70+'23'!F70+'24'!F70+'25'!F70+'26'!F70+'27'!F70+'28'!F70+'29'!F70+'30'!F240</f>
        <v>0</v>
      </c>
      <c r="G71" s="59">
        <f t="shared" si="8"/>
        <v>0</v>
      </c>
      <c r="H71" s="58">
        <f>+'1'!H70+'2'!H70+'3'!H70+'4'!H70+'5'!H70+'6'!H70+'7'!H70+'8'!H70+'9'!H70+'10'!H70+'11'!H70+'12'!H70+'13'!H70+'14'!H70+'15'!H70+'16'!H70+'17'!H70+'18'!H70+'19'!H70+'20'!H70+'21'!H70+'22'!H70+'23'!H70+'24'!H70+'25'!H70+'26'!H70+'27'!H70+'28'!H70+'29'!H70+'30'!H70</f>
        <v>0</v>
      </c>
      <c r="I71" s="8">
        <v>60</v>
      </c>
      <c r="J71" s="5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1" s="14"/>
      <c r="M71" s="67"/>
      <c r="U71" s="4"/>
    </row>
    <row r="72" spans="1:21" x14ac:dyDescent="0.55000000000000004">
      <c r="A72" s="5">
        <v>68</v>
      </c>
      <c r="B72" s="14" t="s">
        <v>83</v>
      </c>
      <c r="C72" s="57">
        <f>+ยกมา!G71</f>
        <v>0</v>
      </c>
      <c r="D72" s="58">
        <f>+'1'!D71+'2'!D71+'3'!D71+'4'!D71+'5'!D71+'6'!D71+'7'!D71+'8'!D71+'9'!D71+'10'!D71+'11'!D71+'12'!D71+'13'!D71+'14'!D71+'15'!D71+'16'!D71+'17'!D71+'18'!D71+'19'!D71+'20'!D71+'21'!D71+'22'!D71+'23'!D71+'24'!D71+'25'!D71+'26'!D71+'27'!D71+'28'!D71+'29'!D71+'30'!D71</f>
        <v>0</v>
      </c>
      <c r="E72" s="57">
        <f t="shared" si="7"/>
        <v>0</v>
      </c>
      <c r="F72" s="58">
        <f>+'1'!F71+'2'!F71+'3'!F71+'4'!F71+'5'!F71+'6'!F71+'7'!F71+'8'!F71+'9'!F71+'10'!F71+'11'!F71+'12'!F71+'13'!F71+'14'!F71+'15'!F71+'16'!F71+'17'!F71+'18'!F71+'19'!F71+'20'!F71+'21'!F71+'22'!F71+'23'!F71+'24'!F71+'25'!F71+'26'!F71+'27'!F71+'28'!F71+'29'!F71+'30'!F241</f>
        <v>0</v>
      </c>
      <c r="G72" s="59">
        <f t="shared" si="8"/>
        <v>0</v>
      </c>
      <c r="H72" s="58">
        <f>+'1'!H71+'2'!H71+'3'!H71+'4'!H71+'5'!H71+'6'!H71+'7'!H71+'8'!H71+'9'!H71+'10'!H71+'11'!H71+'12'!H71+'13'!H71+'14'!H71+'15'!H71+'16'!H71+'17'!H71+'18'!H71+'19'!H71+'20'!H71+'21'!H71+'22'!H71+'23'!H71+'24'!H71+'25'!H71+'26'!H71+'27'!H71+'28'!H71+'29'!H71+'30'!H71</f>
        <v>0</v>
      </c>
      <c r="I72" s="8">
        <v>50</v>
      </c>
      <c r="J72" s="5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2" s="14"/>
      <c r="M72" s="67"/>
      <c r="U72" s="4"/>
    </row>
    <row r="73" spans="1:21" x14ac:dyDescent="0.55000000000000004">
      <c r="A73" s="5">
        <v>69</v>
      </c>
      <c r="B73" s="14" t="s">
        <v>84</v>
      </c>
      <c r="C73" s="57">
        <f>+ยกมา!G72</f>
        <v>0</v>
      </c>
      <c r="D73" s="58">
        <f>+'1'!D72+'2'!D72+'3'!D72+'4'!D72+'5'!D72+'6'!D72+'7'!D72+'8'!D72+'9'!D72+'10'!D72+'11'!D72+'12'!D72+'13'!D72+'14'!D72+'15'!D72+'16'!D72+'17'!D72+'18'!D72+'19'!D72+'20'!D72+'21'!D72+'22'!D72+'23'!D72+'24'!D72+'25'!D72+'26'!D72+'27'!D72+'28'!D72+'29'!D72+'30'!D72</f>
        <v>0</v>
      </c>
      <c r="E73" s="57">
        <f t="shared" si="7"/>
        <v>0</v>
      </c>
      <c r="F73" s="58">
        <f>+'1'!F72+'2'!F72+'3'!F72+'4'!F72+'5'!F72+'6'!F72+'7'!F72+'8'!F72+'9'!F72+'10'!F72+'11'!F72+'12'!F72+'13'!F72+'14'!F72+'15'!F72+'16'!F72+'17'!F72+'18'!F72+'19'!F72+'20'!F72+'21'!F72+'22'!F72+'23'!F72+'24'!F72+'25'!F72+'26'!F72+'27'!F72+'28'!F72+'29'!F72+'30'!F242</f>
        <v>0</v>
      </c>
      <c r="G73" s="59">
        <f t="shared" si="8"/>
        <v>0</v>
      </c>
      <c r="H73" s="58">
        <f>+'1'!H72+'2'!H72+'3'!H72+'4'!H72+'5'!H72+'6'!H72+'7'!H72+'8'!H72+'9'!H72+'10'!H72+'11'!H72+'12'!H72+'13'!H72+'14'!H72+'15'!H72+'16'!H72+'17'!H72+'18'!H72+'19'!H72+'20'!H72+'21'!H72+'22'!H72+'23'!H72+'24'!H72+'25'!H72+'26'!H72+'27'!H72+'28'!H72+'29'!H72+'30'!H72</f>
        <v>0</v>
      </c>
      <c r="I73" s="8">
        <v>60</v>
      </c>
      <c r="J73" s="5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3" s="14"/>
      <c r="M73" s="67"/>
      <c r="U73" s="4"/>
    </row>
    <row r="74" spans="1:21" x14ac:dyDescent="0.55000000000000004">
      <c r="A74" s="5">
        <v>70</v>
      </c>
      <c r="B74" s="14" t="s">
        <v>85</v>
      </c>
      <c r="C74" s="57">
        <f>+ยกมา!G73</f>
        <v>0</v>
      </c>
      <c r="D74" s="58">
        <f>+'1'!D73+'2'!D73+'3'!D73+'4'!D73+'5'!D73+'6'!D73+'7'!D73+'8'!D73+'9'!D73+'10'!D73+'11'!D73+'12'!D73+'13'!D73+'14'!D73+'15'!D73+'16'!D73+'17'!D73+'18'!D73+'19'!D73+'20'!D73+'21'!D73+'22'!D73+'23'!D73+'24'!D73+'25'!D73+'26'!D73+'27'!D73+'28'!D73+'29'!D73+'30'!D73</f>
        <v>0</v>
      </c>
      <c r="E74" s="57">
        <f t="shared" si="7"/>
        <v>0</v>
      </c>
      <c r="F74" s="58">
        <f>+'1'!F73+'2'!F73+'3'!F73+'4'!F73+'5'!F73+'6'!F73+'7'!F73+'8'!F73+'9'!F73+'10'!F73+'11'!F73+'12'!F73+'13'!F73+'14'!F73+'15'!F73+'16'!F73+'17'!F73+'18'!F73+'19'!F73+'20'!F73+'21'!F73+'22'!F73+'23'!F73+'24'!F73+'25'!F73+'26'!F73+'27'!F73+'28'!F73+'29'!F73+'30'!F243</f>
        <v>0</v>
      </c>
      <c r="G74" s="59">
        <f t="shared" si="8"/>
        <v>0</v>
      </c>
      <c r="H74" s="58">
        <f>+'1'!H73+'2'!H73+'3'!H73+'4'!H73+'5'!H73+'6'!H73+'7'!H73+'8'!H73+'9'!H73+'10'!H73+'11'!H73+'12'!H73+'13'!H73+'14'!H73+'15'!H73+'16'!H73+'17'!H73+'18'!H73+'19'!H73+'20'!H73+'21'!H73+'22'!H73+'23'!H73+'24'!H73+'25'!H73+'26'!H73+'27'!H73+'28'!H73+'29'!H73+'30'!H73</f>
        <v>0</v>
      </c>
      <c r="I74" s="8">
        <v>120</v>
      </c>
      <c r="J74" s="5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4" s="14"/>
      <c r="M74" s="67"/>
      <c r="U74" s="4"/>
    </row>
    <row r="75" spans="1:21" x14ac:dyDescent="0.55000000000000004">
      <c r="A75" s="5">
        <v>71</v>
      </c>
      <c r="B75" s="14" t="s">
        <v>86</v>
      </c>
      <c r="C75" s="57">
        <f>+ยกมา!G74</f>
        <v>0</v>
      </c>
      <c r="D75" s="58">
        <f>+'1'!D74+'2'!D74+'3'!D74+'4'!D74+'5'!D74+'6'!D74+'7'!D74+'8'!D74+'9'!D74+'10'!D74+'11'!D74+'12'!D74+'13'!D74+'14'!D74+'15'!D74+'16'!D74+'17'!D74+'18'!D74+'19'!D74+'20'!D74+'21'!D74+'22'!D74+'23'!D74+'24'!D74+'25'!D74+'26'!D74+'27'!D74+'28'!D74+'29'!D74+'30'!D74</f>
        <v>0</v>
      </c>
      <c r="E75" s="57">
        <f t="shared" si="7"/>
        <v>0</v>
      </c>
      <c r="F75" s="58">
        <f>+'1'!F74+'2'!F74+'3'!F74+'4'!F74+'5'!F74+'6'!F74+'7'!F74+'8'!F74+'9'!F74+'10'!F74+'11'!F74+'12'!F74+'13'!F74+'14'!F74+'15'!F74+'16'!F74+'17'!F74+'18'!F74+'19'!F74+'20'!F74+'21'!F74+'22'!F74+'23'!F74+'24'!F74+'25'!F74+'26'!F74+'27'!F74+'28'!F74+'29'!F74+'30'!F244</f>
        <v>0</v>
      </c>
      <c r="G75" s="59">
        <f t="shared" si="8"/>
        <v>0</v>
      </c>
      <c r="H75" s="58">
        <f>+'1'!H74+'2'!H74+'3'!H74+'4'!H74+'5'!H74+'6'!H74+'7'!H74+'8'!H74+'9'!H74+'10'!H74+'11'!H74+'12'!H74+'13'!H74+'14'!H74+'15'!H74+'16'!H74+'17'!H74+'18'!H74+'19'!H74+'20'!H74+'21'!H74+'22'!H74+'23'!H74+'24'!H74+'25'!H74+'26'!H74+'27'!H74+'28'!H74+'29'!H74+'30'!H74</f>
        <v>0</v>
      </c>
      <c r="I75" s="8">
        <v>60</v>
      </c>
      <c r="J75" s="5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5" s="14"/>
      <c r="M75" s="67"/>
      <c r="U75" s="4"/>
    </row>
    <row r="76" spans="1:21" x14ac:dyDescent="0.55000000000000004">
      <c r="A76" s="5">
        <v>72</v>
      </c>
      <c r="B76" s="14" t="s">
        <v>87</v>
      </c>
      <c r="C76" s="57">
        <f>+ยกมา!G75</f>
        <v>0</v>
      </c>
      <c r="D76" s="58">
        <f>+'1'!D75+'2'!D75+'3'!D75+'4'!D75+'5'!D75+'6'!D75+'7'!D75+'8'!D75+'9'!D75+'10'!D75+'11'!D75+'12'!D75+'13'!D75+'14'!D75+'15'!D75+'16'!D75+'17'!D75+'18'!D75+'19'!D75+'20'!D75+'21'!D75+'22'!D75+'23'!D75+'24'!D75+'25'!D75+'26'!D75+'27'!D75+'28'!D75+'29'!D75+'30'!D75</f>
        <v>0</v>
      </c>
      <c r="E76" s="57">
        <f t="shared" si="7"/>
        <v>0</v>
      </c>
      <c r="F76" s="58">
        <f>+'1'!F75+'2'!F75+'3'!F75+'4'!F75+'5'!F75+'6'!F75+'7'!F75+'8'!F75+'9'!F75+'10'!F75+'11'!F75+'12'!F75+'13'!F75+'14'!F75+'15'!F75+'16'!F75+'17'!F75+'18'!F75+'19'!F75+'20'!F75+'21'!F75+'22'!F75+'23'!F75+'24'!F75+'25'!F75+'26'!F75+'27'!F75+'28'!F75+'29'!F75+'30'!F245</f>
        <v>0</v>
      </c>
      <c r="G76" s="59">
        <f t="shared" si="8"/>
        <v>0</v>
      </c>
      <c r="H76" s="58">
        <f>+'1'!H75+'2'!H75+'3'!H75+'4'!H75+'5'!H75+'6'!H75+'7'!H75+'8'!H75+'9'!H75+'10'!H75+'11'!H75+'12'!H75+'13'!H75+'14'!H75+'15'!H75+'16'!H75+'17'!H75+'18'!H75+'19'!H75+'20'!H75+'21'!H75+'22'!H75+'23'!H75+'24'!H75+'25'!H75+'26'!H75+'27'!H75+'28'!H75+'29'!H75+'30'!H75</f>
        <v>0</v>
      </c>
      <c r="I76" s="8">
        <v>120</v>
      </c>
      <c r="J76" s="5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6" s="14"/>
      <c r="M76" s="67"/>
      <c r="U76" s="4"/>
    </row>
    <row r="77" spans="1:21" x14ac:dyDescent="0.55000000000000004">
      <c r="A77" s="5">
        <v>73</v>
      </c>
      <c r="B77" s="14" t="s">
        <v>88</v>
      </c>
      <c r="C77" s="57">
        <f>+ยกมา!G76</f>
        <v>0</v>
      </c>
      <c r="D77" s="58">
        <f>+'1'!D76+'2'!D76+'3'!D76+'4'!D76+'5'!D76+'6'!D76+'7'!D76+'8'!D76+'9'!D76+'10'!D76+'11'!D76+'12'!D76+'13'!D76+'14'!D76+'15'!D76+'16'!D76+'17'!D76+'18'!D76+'19'!D76+'20'!D76+'21'!D76+'22'!D76+'23'!D76+'24'!D76+'25'!D76+'26'!D76+'27'!D76+'28'!D76+'29'!D76+'30'!D76</f>
        <v>0</v>
      </c>
      <c r="E77" s="57">
        <f t="shared" si="7"/>
        <v>0</v>
      </c>
      <c r="F77" s="58">
        <f>+'1'!F76+'2'!F76+'3'!F76+'4'!F76+'5'!F76+'6'!F76+'7'!F76+'8'!F76+'9'!F76+'10'!F76+'11'!F76+'12'!F76+'13'!F76+'14'!F76+'15'!F76+'16'!F76+'17'!F76+'18'!F76+'19'!F76+'20'!F76+'21'!F76+'22'!F76+'23'!F76+'24'!F76+'25'!F76+'26'!F76+'27'!F76+'28'!F76+'29'!F76+'30'!F246</f>
        <v>0</v>
      </c>
      <c r="G77" s="59">
        <f t="shared" si="8"/>
        <v>0</v>
      </c>
      <c r="H77" s="58">
        <f>+'1'!H76+'2'!H76+'3'!H76+'4'!H76+'5'!H76+'6'!H76+'7'!H76+'8'!H76+'9'!H76+'10'!H76+'11'!H76+'12'!H76+'13'!H76+'14'!H76+'15'!H76+'16'!H76+'17'!H76+'18'!H76+'19'!H76+'20'!H76+'21'!H76+'22'!H76+'23'!H76+'24'!H76+'25'!H76+'26'!H76+'27'!H76+'28'!H76+'29'!H76+'30'!H76</f>
        <v>0</v>
      </c>
      <c r="I77" s="8">
        <v>50</v>
      </c>
      <c r="J77" s="5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7" s="14"/>
      <c r="M77" s="67"/>
      <c r="U77" s="4"/>
    </row>
    <row r="78" spans="1:21" x14ac:dyDescent="0.55000000000000004">
      <c r="A78" s="5">
        <v>74</v>
      </c>
      <c r="B78" s="14" t="s">
        <v>89</v>
      </c>
      <c r="C78" s="57">
        <f>+ยกมา!G77</f>
        <v>0</v>
      </c>
      <c r="D78" s="58">
        <f>+'1'!D77+'2'!D77+'3'!D77+'4'!D77+'5'!D77+'6'!D77+'7'!D77+'8'!D77+'9'!D77+'10'!D77+'11'!D77+'12'!D77+'13'!D77+'14'!D77+'15'!D77+'16'!D77+'17'!D77+'18'!D77+'19'!D77+'20'!D77+'21'!D77+'22'!D77+'23'!D77+'24'!D77+'25'!D77+'26'!D77+'27'!D77+'28'!D77+'29'!D77+'30'!D77</f>
        <v>0</v>
      </c>
      <c r="E78" s="57">
        <f t="shared" si="7"/>
        <v>0</v>
      </c>
      <c r="F78" s="58">
        <f>+'1'!F77+'2'!F77+'3'!F77+'4'!F77+'5'!F77+'6'!F77+'7'!F77+'8'!F77+'9'!F77+'10'!F77+'11'!F77+'12'!F77+'13'!F77+'14'!F77+'15'!F77+'16'!F77+'17'!F77+'18'!F77+'19'!F77+'20'!F77+'21'!F77+'22'!F77+'23'!F77+'24'!F77+'25'!F77+'26'!F77+'27'!F77+'28'!F77+'29'!F77+'30'!F247</f>
        <v>0</v>
      </c>
      <c r="G78" s="59">
        <f t="shared" si="8"/>
        <v>0</v>
      </c>
      <c r="H78" s="58">
        <f>+'1'!H77+'2'!H77+'3'!H77+'4'!H77+'5'!H77+'6'!H77+'7'!H77+'8'!H77+'9'!H77+'10'!H77+'11'!H77+'12'!H77+'13'!H77+'14'!H77+'15'!H77+'16'!H77+'17'!H77+'18'!H77+'19'!H77+'20'!H77+'21'!H77+'22'!H77+'23'!H77+'24'!H77+'25'!H77+'26'!H77+'27'!H77+'28'!H77+'29'!H77+'30'!H77</f>
        <v>0</v>
      </c>
      <c r="I78" s="8">
        <v>120</v>
      </c>
      <c r="J78" s="5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8" s="14"/>
      <c r="M78" s="67"/>
      <c r="T78" s="4"/>
    </row>
    <row r="79" spans="1:21" x14ac:dyDescent="0.55000000000000004">
      <c r="A79" s="5">
        <v>75</v>
      </c>
      <c r="B79" s="14" t="s">
        <v>90</v>
      </c>
      <c r="C79" s="57">
        <f>+ยกมา!G78</f>
        <v>0</v>
      </c>
      <c r="D79" s="58">
        <f>+'1'!D78+'2'!D78+'3'!D78+'4'!D78+'5'!D78+'6'!D78+'7'!D78+'8'!D78+'9'!D78+'10'!D78+'11'!D78+'12'!D78+'13'!D78+'14'!D78+'15'!D78+'16'!D78+'17'!D78+'18'!D78+'19'!D78+'20'!D78+'21'!D78+'22'!D78+'23'!D78+'24'!D78+'25'!D78+'26'!D78+'27'!D78+'28'!D78+'29'!D78+'30'!D78</f>
        <v>10</v>
      </c>
      <c r="E79" s="57">
        <f t="shared" si="7"/>
        <v>10</v>
      </c>
      <c r="F79" s="58">
        <f>+'1'!F78+'2'!F78+'3'!F78+'4'!F78+'5'!F78+'6'!F78+'7'!F78+'8'!F78+'9'!F78+'10'!F78+'11'!F78+'12'!F78+'13'!F78+'14'!F78+'15'!F78+'16'!F78+'17'!F78+'18'!F78+'19'!F78+'20'!F78+'21'!F78+'22'!F78+'23'!F78+'24'!F78+'25'!F78+'26'!F78+'27'!F78+'28'!F78+'29'!F78+'30'!F248</f>
        <v>0</v>
      </c>
      <c r="G79" s="59">
        <f t="shared" si="8"/>
        <v>0</v>
      </c>
      <c r="H79" s="58">
        <f>+'1'!H78+'2'!H78+'3'!H78+'4'!H78+'5'!H78+'6'!H78+'7'!H78+'8'!H78+'9'!H78+'10'!H78+'11'!H78+'12'!H78+'13'!H78+'14'!H78+'15'!H78+'16'!H78+'17'!H78+'18'!H78+'19'!H78+'20'!H78+'21'!H78+'22'!H78+'23'!H78+'24'!H78+'25'!H78+'26'!H78+'27'!H78+'28'!H78+'29'!H78+'30'!H78</f>
        <v>10</v>
      </c>
      <c r="I79" s="8">
        <v>50</v>
      </c>
      <c r="J79" s="5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500</v>
      </c>
      <c r="K79" s="14"/>
      <c r="M79" s="67"/>
      <c r="T79" s="4"/>
    </row>
    <row r="80" spans="1:21" x14ac:dyDescent="0.55000000000000004">
      <c r="A80" s="5">
        <v>76</v>
      </c>
      <c r="B80" s="14" t="s">
        <v>91</v>
      </c>
      <c r="C80" s="57">
        <f>+ยกมา!G79</f>
        <v>0</v>
      </c>
      <c r="D80" s="58">
        <f>+'1'!D79+'2'!D79+'3'!D79+'4'!D79+'5'!D79+'6'!D79+'7'!D79+'8'!D79+'9'!D79+'10'!D79+'11'!D79+'12'!D79+'13'!D79+'14'!D79+'15'!D79+'16'!D79+'17'!D79+'18'!D79+'19'!D79+'20'!D79+'21'!D79+'22'!D79+'23'!D79+'24'!D79+'25'!D79+'26'!D79+'27'!D79+'28'!D79+'29'!D79+'30'!D79</f>
        <v>0</v>
      </c>
      <c r="E80" s="57">
        <f t="shared" si="7"/>
        <v>0</v>
      </c>
      <c r="F80" s="58">
        <f>+'1'!F79+'2'!F79+'3'!F79+'4'!F79+'5'!F79+'6'!F79+'7'!F79+'8'!F79+'9'!F79+'10'!F79+'11'!F79+'12'!F79+'13'!F79+'14'!F79+'15'!F79+'16'!F79+'17'!F79+'18'!F79+'19'!F79+'20'!F79+'21'!F79+'22'!F79+'23'!F79+'24'!F79+'25'!F79+'26'!F79+'27'!F79+'28'!F79+'29'!F79+'30'!F249</f>
        <v>0</v>
      </c>
      <c r="G80" s="59">
        <f t="shared" si="8"/>
        <v>0</v>
      </c>
      <c r="H80" s="58">
        <f>+'1'!H79+'2'!H79+'3'!H79+'4'!H79+'5'!H79+'6'!H79+'7'!H79+'8'!H79+'9'!H79+'10'!H79+'11'!H79+'12'!H79+'13'!H79+'14'!H79+'15'!H79+'16'!H79+'17'!H79+'18'!H79+'19'!H79+'20'!H79+'21'!H79+'22'!H79+'23'!H79+'24'!H79+'25'!H79+'26'!H79+'27'!H79+'28'!H79+'29'!H79+'30'!H79</f>
        <v>0</v>
      </c>
      <c r="I80" s="8">
        <v>50</v>
      </c>
      <c r="J80" s="5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80" s="14"/>
      <c r="M80" s="67"/>
      <c r="T80" s="4"/>
    </row>
    <row r="81" spans="1:21" x14ac:dyDescent="0.55000000000000004">
      <c r="A81" s="5">
        <v>77</v>
      </c>
      <c r="B81" s="14" t="s">
        <v>92</v>
      </c>
      <c r="C81" s="57">
        <f>+ยกมา!G80</f>
        <v>0</v>
      </c>
      <c r="D81" s="58">
        <f>+'1'!D80+'2'!D80+'3'!D80+'4'!D80+'5'!D80+'6'!D80+'7'!D80+'8'!D80+'9'!D80+'10'!D80+'11'!D80+'12'!D80+'13'!D80+'14'!D80+'15'!D80+'16'!D80+'17'!D80+'18'!D80+'19'!D80+'20'!D80+'21'!D80+'22'!D80+'23'!D80+'24'!D80+'25'!D80+'26'!D80+'27'!D80+'28'!D80+'29'!D80+'30'!D80</f>
        <v>0</v>
      </c>
      <c r="E81" s="57">
        <f t="shared" si="7"/>
        <v>0</v>
      </c>
      <c r="F81" s="58">
        <f>+'1'!F80+'2'!F80+'3'!F80+'4'!F80+'5'!F80+'6'!F80+'7'!F80+'8'!F80+'9'!F80+'10'!F80+'11'!F80+'12'!F80+'13'!F80+'14'!F80+'15'!F80+'16'!F80+'17'!F80+'18'!F80+'19'!F80+'20'!F80+'21'!F80+'22'!F80+'23'!F80+'24'!F80+'25'!F80+'26'!F80+'27'!F80+'28'!F80+'29'!F80+'30'!F250</f>
        <v>0</v>
      </c>
      <c r="G81" s="59">
        <f t="shared" si="8"/>
        <v>0</v>
      </c>
      <c r="H81" s="58">
        <f>+'1'!H80+'2'!H80+'3'!H80+'4'!H80+'5'!H80+'6'!H80+'7'!H80+'8'!H80+'9'!H80+'10'!H80+'11'!H80+'12'!H80+'13'!H80+'14'!H80+'15'!H80+'16'!H80+'17'!H80+'18'!H80+'19'!H80+'20'!H80+'21'!H80+'22'!H80+'23'!H80+'24'!H80+'25'!H80+'26'!H80+'27'!H80+'28'!H80+'29'!H80+'30'!H80</f>
        <v>0</v>
      </c>
      <c r="I81" s="8">
        <v>55</v>
      </c>
      <c r="J81" s="5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1" s="14"/>
      <c r="M81" s="67"/>
      <c r="T81" s="4"/>
    </row>
    <row r="82" spans="1:21" x14ac:dyDescent="0.55000000000000004">
      <c r="A82" s="5">
        <v>78</v>
      </c>
      <c r="B82" s="14" t="s">
        <v>93</v>
      </c>
      <c r="C82" s="57">
        <f>+ยกมา!G81</f>
        <v>0</v>
      </c>
      <c r="D82" s="58">
        <f>+'1'!D81+'2'!D81+'3'!D81+'4'!D81+'5'!D81+'6'!D81+'7'!D81+'8'!D81+'9'!D81+'10'!D81+'11'!D81+'12'!D81+'13'!D81+'14'!D81+'15'!D81+'16'!D81+'17'!D81+'18'!D81+'19'!D81+'20'!D81+'21'!D81+'22'!D81+'23'!D81+'24'!D81+'25'!D81+'26'!D81+'27'!D81+'28'!D81+'29'!D81+'30'!D81</f>
        <v>0</v>
      </c>
      <c r="E82" s="57">
        <f t="shared" si="7"/>
        <v>0</v>
      </c>
      <c r="F82" s="58">
        <f>+'1'!F81+'2'!F81+'3'!F81+'4'!F81+'5'!F81+'6'!F81+'7'!F81+'8'!F81+'9'!F81+'10'!F81+'11'!F81+'12'!F81+'13'!F81+'14'!F81+'15'!F81+'16'!F81+'17'!F81+'18'!F81+'19'!F81+'20'!F81+'21'!F81+'22'!F81+'23'!F81+'24'!F81+'25'!F81+'26'!F81+'27'!F81+'28'!F81+'29'!F81+'30'!F251</f>
        <v>0</v>
      </c>
      <c r="G82" s="59">
        <f t="shared" si="8"/>
        <v>0</v>
      </c>
      <c r="H82" s="58">
        <f>+'1'!H81+'2'!H81+'3'!H81+'4'!H81+'5'!H81+'6'!H81+'7'!H81+'8'!H81+'9'!H81+'10'!H81+'11'!H81+'12'!H81+'13'!H81+'14'!H81+'15'!H81+'16'!H81+'17'!H81+'18'!H81+'19'!H81+'20'!H81+'21'!H81+'22'!H81+'23'!H81+'24'!H81+'25'!H81+'26'!H81+'27'!H81+'28'!H81+'29'!H81+'30'!H81</f>
        <v>0</v>
      </c>
      <c r="I82" s="8">
        <v>55</v>
      </c>
      <c r="J82" s="5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2" s="14"/>
      <c r="M82" s="67"/>
      <c r="U82" s="4"/>
    </row>
    <row r="83" spans="1:21" x14ac:dyDescent="0.55000000000000004">
      <c r="A83" s="5">
        <v>79</v>
      </c>
      <c r="B83" s="14" t="s">
        <v>94</v>
      </c>
      <c r="C83" s="57">
        <f>+ยกมา!G82</f>
        <v>0</v>
      </c>
      <c r="D83" s="58">
        <f>+'1'!D82+'2'!D82+'3'!D82+'4'!D82+'5'!D82+'6'!D82+'7'!D82+'8'!D82+'9'!D82+'10'!D82+'11'!D82+'12'!D82+'13'!D82+'14'!D82+'15'!D82+'16'!D82+'17'!D82+'18'!D82+'19'!D82+'20'!D82+'21'!D82+'22'!D82+'23'!D82+'24'!D82+'25'!D82+'26'!D82+'27'!D82+'28'!D82+'29'!D82+'30'!D82</f>
        <v>0</v>
      </c>
      <c r="E83" s="57">
        <f t="shared" si="7"/>
        <v>0</v>
      </c>
      <c r="F83" s="58">
        <f>+'1'!F82+'2'!F82+'3'!F82+'4'!F82+'5'!F82+'6'!F82+'7'!F82+'8'!F82+'9'!F82+'10'!F82+'11'!F82+'12'!F82+'13'!F82+'14'!F82+'15'!F82+'16'!F82+'17'!F82+'18'!F82+'19'!F82+'20'!F82+'21'!F82+'22'!F82+'23'!F82+'24'!F82+'25'!F82+'26'!F82+'27'!F82+'28'!F82+'29'!F82+'30'!F252</f>
        <v>0</v>
      </c>
      <c r="G83" s="59">
        <f t="shared" si="8"/>
        <v>0</v>
      </c>
      <c r="H83" s="58">
        <f>+'1'!H82+'2'!H82+'3'!H82+'4'!H82+'5'!H82+'6'!H82+'7'!H82+'8'!H82+'9'!H82+'10'!H82+'11'!H82+'12'!H82+'13'!H82+'14'!H82+'15'!H82+'16'!H82+'17'!H82+'18'!H82+'19'!H82+'20'!H82+'21'!H82+'22'!H82+'23'!H82+'24'!H82+'25'!H82+'26'!H82+'27'!H82+'28'!H82+'29'!H82+'30'!H82</f>
        <v>0</v>
      </c>
      <c r="I83" s="8">
        <v>55</v>
      </c>
      <c r="J83" s="5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3" s="14"/>
      <c r="M83" s="67"/>
      <c r="U83" s="4"/>
    </row>
    <row r="84" spans="1:21" x14ac:dyDescent="0.55000000000000004">
      <c r="A84" s="5">
        <v>80</v>
      </c>
      <c r="B84" s="14" t="s">
        <v>95</v>
      </c>
      <c r="C84" s="57">
        <f>+ยกมา!G83</f>
        <v>0</v>
      </c>
      <c r="D84" s="58">
        <f>+'1'!D83+'2'!D83+'3'!D83+'4'!D83+'5'!D83+'6'!D83+'7'!D83+'8'!D83+'9'!D83+'10'!D83+'11'!D83+'12'!D83+'13'!D83+'14'!D83+'15'!D83+'16'!D83+'17'!D83+'18'!D83+'19'!D83+'20'!D83+'21'!D83+'22'!D83+'23'!D83+'24'!D83+'25'!D83+'26'!D83+'27'!D83+'28'!D83+'29'!D83+'30'!D83</f>
        <v>0</v>
      </c>
      <c r="E84" s="57">
        <f t="shared" si="7"/>
        <v>0</v>
      </c>
      <c r="F84" s="58">
        <f>+'1'!F83+'2'!F83+'3'!F83+'4'!F83+'5'!F83+'6'!F83+'7'!F83+'8'!F83+'9'!F83+'10'!F83+'11'!F83+'12'!F83+'13'!F83+'14'!F83+'15'!F83+'16'!F83+'17'!F83+'18'!F83+'19'!F83+'20'!F83+'21'!F83+'22'!F83+'23'!F83+'24'!F83+'25'!F83+'26'!F83+'27'!F83+'28'!F83+'29'!F83+'30'!F253</f>
        <v>0</v>
      </c>
      <c r="G84" s="59">
        <f t="shared" si="8"/>
        <v>0</v>
      </c>
      <c r="H84" s="58">
        <f>+'1'!H83+'2'!H83+'3'!H83+'4'!H83+'5'!H83+'6'!H83+'7'!H83+'8'!H83+'9'!H83+'10'!H83+'11'!H83+'12'!H83+'13'!H83+'14'!H83+'15'!H83+'16'!H83+'17'!H83+'18'!H83+'19'!H83+'20'!H83+'21'!H83+'22'!H83+'23'!H83+'24'!H83+'25'!H83+'26'!H83+'27'!H83+'28'!H83+'29'!H83+'30'!H83</f>
        <v>0</v>
      </c>
      <c r="I84" s="8">
        <v>55</v>
      </c>
      <c r="J84" s="5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4" s="14"/>
      <c r="M84" s="67"/>
      <c r="U84" s="4"/>
    </row>
    <row r="85" spans="1:21" x14ac:dyDescent="0.55000000000000004">
      <c r="A85" s="5">
        <v>81</v>
      </c>
      <c r="B85" s="14" t="s">
        <v>96</v>
      </c>
      <c r="C85" s="57">
        <f>+ยกมา!G84</f>
        <v>7</v>
      </c>
      <c r="D85" s="58">
        <f>+'1'!D84+'2'!D84+'3'!D84+'4'!D84+'5'!D84+'6'!D84+'7'!D84+'8'!D84+'9'!D84+'10'!D84+'11'!D84+'12'!D84+'13'!D84+'14'!D84+'15'!D84+'16'!D84+'17'!D84+'18'!D84+'19'!D84+'20'!D84+'21'!D84+'22'!D84+'23'!D84+'24'!D84+'25'!D84+'26'!D84+'27'!D84+'28'!D84+'29'!D84+'30'!D84</f>
        <v>20</v>
      </c>
      <c r="E85" s="57">
        <f t="shared" si="7"/>
        <v>27</v>
      </c>
      <c r="F85" s="58">
        <f>+'1'!F84+'2'!F84+'3'!F84+'4'!F84+'5'!F84+'6'!F84+'7'!F84+'8'!F84+'9'!F84+'10'!F84+'11'!F84+'12'!F84+'13'!F84+'14'!F84+'15'!F84+'16'!F84+'17'!F84+'18'!F84+'19'!F84+'20'!F84+'21'!F84+'22'!F84+'23'!F84+'24'!F84+'25'!F84+'26'!F84+'27'!F84+'28'!F84+'29'!F84+'30'!F254</f>
        <v>1</v>
      </c>
      <c r="G85" s="59">
        <f t="shared" si="8"/>
        <v>5</v>
      </c>
      <c r="H85" s="58">
        <f>+'1'!H84+'2'!H84+'3'!H84+'4'!H84+'5'!H84+'6'!H84+'7'!H84+'8'!H84+'9'!H84+'10'!H84+'11'!H84+'12'!H84+'13'!H84+'14'!H84+'15'!H84+'16'!H84+'17'!H84+'18'!H84+'19'!H84+'20'!H84+'21'!H84+'22'!H84+'23'!H84+'24'!H84+'25'!H84+'26'!H84+'27'!H84+'28'!H84+'29'!H84+'30'!H84</f>
        <v>21</v>
      </c>
      <c r="I85" s="8">
        <v>100</v>
      </c>
      <c r="J85" s="5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2100</v>
      </c>
      <c r="K85" s="14"/>
      <c r="M85" s="67"/>
      <c r="U85" s="4"/>
    </row>
    <row r="86" spans="1:21" x14ac:dyDescent="0.55000000000000004">
      <c r="A86" s="5">
        <v>82</v>
      </c>
      <c r="B86" s="14" t="s">
        <v>97</v>
      </c>
      <c r="C86" s="57">
        <f>+ยกมา!G85</f>
        <v>5</v>
      </c>
      <c r="D86" s="58">
        <f>+'1'!D85+'2'!D85+'3'!D85+'4'!D85+'5'!D85+'6'!D85+'7'!D85+'8'!D85+'9'!D85+'10'!D85+'11'!D85+'12'!D85+'13'!D85+'14'!D85+'15'!D85+'16'!D85+'17'!D85+'18'!D85+'19'!D85+'20'!D85+'21'!D85+'22'!D85+'23'!D85+'24'!D85+'25'!D85+'26'!D85+'27'!D85+'28'!D85+'29'!D85+'30'!D85</f>
        <v>10</v>
      </c>
      <c r="E86" s="57">
        <f t="shared" si="7"/>
        <v>15</v>
      </c>
      <c r="F86" s="58">
        <f>+'1'!F85+'2'!F85+'3'!F85+'4'!F85+'5'!F85+'6'!F85+'7'!F85+'8'!F85+'9'!F85+'10'!F85+'11'!F85+'12'!F85+'13'!F85+'14'!F85+'15'!F85+'16'!F85+'17'!F85+'18'!F85+'19'!F85+'20'!F85+'21'!F85+'22'!F85+'23'!F85+'24'!F85+'25'!F85+'26'!F85+'27'!F85+'28'!F85+'29'!F85+'30'!F255</f>
        <v>0</v>
      </c>
      <c r="G86" s="59">
        <f t="shared" si="8"/>
        <v>11</v>
      </c>
      <c r="H86" s="58">
        <f>+'1'!H85+'2'!H85+'3'!H85+'4'!H85+'5'!H85+'6'!H85+'7'!H85+'8'!H85+'9'!H85+'10'!H85+'11'!H85+'12'!H85+'13'!H85+'14'!H85+'15'!H85+'16'!H85+'17'!H85+'18'!H85+'19'!H85+'20'!H85+'21'!H85+'22'!H85+'23'!H85+'24'!H85+'25'!H85+'26'!H85+'27'!H85+'28'!H85+'29'!H85+'30'!H85</f>
        <v>4</v>
      </c>
      <c r="I86" s="8">
        <v>55</v>
      </c>
      <c r="J86" s="5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220</v>
      </c>
      <c r="K86" s="14"/>
      <c r="M86" s="67"/>
      <c r="U86" s="4"/>
    </row>
    <row r="87" spans="1:21" x14ac:dyDescent="0.55000000000000004">
      <c r="A87" s="5">
        <v>83</v>
      </c>
      <c r="B87" s="14" t="s">
        <v>98</v>
      </c>
      <c r="C87" s="57">
        <f>+ยกมา!G86</f>
        <v>12</v>
      </c>
      <c r="D87" s="58">
        <f>+'1'!D86+'2'!D86+'3'!D86+'4'!D86+'5'!D86+'6'!D86+'7'!D86+'8'!D86+'9'!D86+'10'!D86+'11'!D86+'12'!D86+'13'!D86+'14'!D86+'15'!D86+'16'!D86+'17'!D86+'18'!D86+'19'!D86+'20'!D86+'21'!D86+'22'!D86+'23'!D86+'24'!D86+'25'!D86+'26'!D86+'27'!D86+'28'!D86+'29'!D86+'30'!D86</f>
        <v>10</v>
      </c>
      <c r="E87" s="57">
        <f t="shared" si="7"/>
        <v>22</v>
      </c>
      <c r="F87" s="58">
        <f>+'1'!F86+'2'!F86+'3'!F86+'4'!F86+'5'!F86+'6'!F86+'7'!F86+'8'!F86+'9'!F86+'10'!F86+'11'!F86+'12'!F86+'13'!F86+'14'!F86+'15'!F86+'16'!F86+'17'!F86+'18'!F86+'19'!F86+'20'!F86+'21'!F86+'22'!F86+'23'!F86+'24'!F86+'25'!F86+'26'!F86+'27'!F86+'28'!F86+'29'!F86+'30'!F256</f>
        <v>0</v>
      </c>
      <c r="G87" s="59">
        <f t="shared" si="8"/>
        <v>6</v>
      </c>
      <c r="H87" s="58">
        <f>+'1'!H86+'2'!H86+'3'!H86+'4'!H86+'5'!H86+'6'!H86+'7'!H86+'8'!H86+'9'!H86+'10'!H86+'11'!H86+'12'!H86+'13'!H86+'14'!H86+'15'!H86+'16'!H86+'17'!H86+'18'!H86+'19'!H86+'20'!H86+'21'!H86+'22'!H86+'23'!H86+'24'!H86+'25'!H86+'26'!H86+'27'!H86+'28'!H86+'29'!H86+'30'!H86</f>
        <v>16</v>
      </c>
      <c r="I87" s="8">
        <v>60</v>
      </c>
      <c r="J87" s="5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960</v>
      </c>
      <c r="K87" s="14"/>
      <c r="M87" s="67"/>
      <c r="U87" s="4"/>
    </row>
    <row r="88" spans="1:21" x14ac:dyDescent="0.55000000000000004">
      <c r="A88" s="5">
        <v>84</v>
      </c>
      <c r="B88" s="14" t="s">
        <v>99</v>
      </c>
      <c r="C88" s="57">
        <f>+ยกมา!G87</f>
        <v>11</v>
      </c>
      <c r="D88" s="58">
        <f>+'1'!D87+'2'!D87+'3'!D87+'4'!D87+'5'!D87+'6'!D87+'7'!D87+'8'!D87+'9'!D87+'10'!D87+'11'!D87+'12'!D87+'13'!D87+'14'!D87+'15'!D87+'16'!D87+'17'!D87+'18'!D87+'19'!D87+'20'!D87+'21'!D87+'22'!D87+'23'!D87+'24'!D87+'25'!D87+'26'!D87+'27'!D87+'28'!D87+'29'!D87+'30'!D87</f>
        <v>0</v>
      </c>
      <c r="E88" s="57">
        <f t="shared" si="7"/>
        <v>11</v>
      </c>
      <c r="F88" s="58">
        <f>+'1'!F87+'2'!F87+'3'!F87+'4'!F87+'5'!F87+'6'!F87+'7'!F87+'8'!F87+'9'!F87+'10'!F87+'11'!F87+'12'!F87+'13'!F87+'14'!F87+'15'!F87+'16'!F87+'17'!F87+'18'!F87+'19'!F87+'20'!F87+'21'!F87+'22'!F87+'23'!F87+'24'!F87+'25'!F87+'26'!F87+'27'!F87+'28'!F87+'29'!F87+'30'!F257</f>
        <v>1</v>
      </c>
      <c r="G88" s="59">
        <f t="shared" si="8"/>
        <v>1</v>
      </c>
      <c r="H88" s="58">
        <f>+'1'!H87+'2'!H87+'3'!H87+'4'!H87+'5'!H87+'6'!H87+'7'!H87+'8'!H87+'9'!H87+'10'!H87+'11'!H87+'12'!H87+'13'!H87+'14'!H87+'15'!H87+'16'!H87+'17'!H87+'18'!H87+'19'!H87+'20'!H87+'21'!H87+'22'!H87+'23'!H87+'24'!H87+'25'!H87+'26'!H87+'27'!H87+'28'!H87+'29'!H87+'30'!H87</f>
        <v>9</v>
      </c>
      <c r="I88" s="8">
        <v>100</v>
      </c>
      <c r="J88" s="5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900</v>
      </c>
      <c r="K88" s="14"/>
      <c r="M88" s="67"/>
      <c r="U88" s="4"/>
    </row>
    <row r="89" spans="1:21" x14ac:dyDescent="0.55000000000000004">
      <c r="A89" s="5">
        <v>85</v>
      </c>
      <c r="B89" s="14" t="s">
        <v>100</v>
      </c>
      <c r="C89" s="57">
        <f>+ยกมา!G88</f>
        <v>6</v>
      </c>
      <c r="D89" s="58">
        <f>+'1'!D88+'2'!D88+'3'!D88+'4'!D88+'5'!D88+'6'!D88+'7'!D88+'8'!D88+'9'!D88+'10'!D88+'11'!D88+'12'!D88+'13'!D88+'14'!D88+'15'!D88+'16'!D88+'17'!D88+'18'!D88+'19'!D88+'20'!D88+'21'!D88+'22'!D88+'23'!D88+'24'!D88+'25'!D88+'26'!D88+'27'!D88+'28'!D88+'29'!D88+'30'!D88</f>
        <v>5</v>
      </c>
      <c r="E89" s="57">
        <f t="shared" si="7"/>
        <v>11</v>
      </c>
      <c r="F89" s="58">
        <f>+'1'!F88+'2'!F88+'3'!F88+'4'!F88+'5'!F88+'6'!F88+'7'!F88+'8'!F88+'9'!F88+'10'!F88+'11'!F88+'12'!F88+'13'!F88+'14'!F88+'15'!F88+'16'!F88+'17'!F88+'18'!F88+'19'!F88+'20'!F88+'21'!F88+'22'!F88+'23'!F88+'24'!F88+'25'!F88+'26'!F88+'27'!F88+'28'!F88+'29'!F88+'30'!F258</f>
        <v>6</v>
      </c>
      <c r="G89" s="59">
        <f t="shared" si="8"/>
        <v>4</v>
      </c>
      <c r="H89" s="58">
        <f>+'1'!H88+'2'!H88+'3'!H88+'4'!H88+'5'!H88+'6'!H88+'7'!H88+'8'!H88+'9'!H88+'10'!H88+'11'!H88+'12'!H88+'13'!H88+'14'!H88+'15'!H88+'16'!H88+'17'!H88+'18'!H88+'19'!H88+'20'!H88+'21'!H88+'22'!H88+'23'!H88+'24'!H88+'25'!H88+'26'!H88+'27'!H88+'28'!H88+'29'!H88+'30'!H88</f>
        <v>1</v>
      </c>
      <c r="I89" s="8">
        <v>55</v>
      </c>
      <c r="J89" s="5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55</v>
      </c>
      <c r="K89" s="14"/>
      <c r="M89" s="67"/>
      <c r="U89" s="4"/>
    </row>
    <row r="90" spans="1:21" x14ac:dyDescent="0.55000000000000004">
      <c r="A90" s="5">
        <v>86</v>
      </c>
      <c r="B90" s="14" t="s">
        <v>101</v>
      </c>
      <c r="C90" s="57">
        <f>+ยกมา!G89</f>
        <v>0</v>
      </c>
      <c r="D90" s="58">
        <f>+'1'!D89+'2'!D89+'3'!D89+'4'!D89+'5'!D89+'6'!D89+'7'!D89+'8'!D89+'9'!D89+'10'!D89+'11'!D89+'12'!D89+'13'!D89+'14'!D89+'15'!D89+'16'!D89+'17'!D89+'18'!D89+'19'!D89+'20'!D89+'21'!D89+'22'!D89+'23'!D89+'24'!D89+'25'!D89+'26'!D89+'27'!D89+'28'!D89+'29'!D89+'30'!D89</f>
        <v>0</v>
      </c>
      <c r="E90" s="57">
        <f t="shared" si="7"/>
        <v>0</v>
      </c>
      <c r="F90" s="58">
        <f>+'1'!F89+'2'!F89+'3'!F89+'4'!F89+'5'!F89+'6'!F89+'7'!F89+'8'!F89+'9'!F89+'10'!F89+'11'!F89+'12'!F89+'13'!F89+'14'!F89+'15'!F89+'16'!F89+'17'!F89+'18'!F89+'19'!F89+'20'!F89+'21'!F89+'22'!F89+'23'!F89+'24'!F89+'25'!F89+'26'!F89+'27'!F89+'28'!F89+'29'!F89+'30'!F259</f>
        <v>0</v>
      </c>
      <c r="G90" s="59">
        <f t="shared" si="8"/>
        <v>0</v>
      </c>
      <c r="H90" s="58">
        <f>+'1'!H89+'2'!H89+'3'!H89+'4'!H89+'5'!H89+'6'!H89+'7'!H89+'8'!H89+'9'!H89+'10'!H89+'11'!H89+'12'!H89+'13'!H89+'14'!H89+'15'!H89+'16'!H89+'17'!H89+'18'!H89+'19'!H89+'20'!H89+'21'!H89+'22'!H89+'23'!H89+'24'!H89+'25'!H89+'26'!H89+'27'!H89+'28'!H89+'29'!H89+'30'!H89</f>
        <v>0</v>
      </c>
      <c r="I90" s="8">
        <v>50</v>
      </c>
      <c r="J90" s="5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90" s="14"/>
      <c r="M90" s="67"/>
      <c r="U90" s="4"/>
    </row>
    <row r="91" spans="1:21" x14ac:dyDescent="0.55000000000000004">
      <c r="A91" s="5">
        <v>87</v>
      </c>
      <c r="B91" s="14" t="s">
        <v>102</v>
      </c>
      <c r="C91" s="57">
        <f>+ยกมา!G90</f>
        <v>0</v>
      </c>
      <c r="D91" s="58">
        <f>+'1'!D90+'2'!D90+'3'!D90+'4'!D90+'5'!D90+'6'!D90+'7'!D90+'8'!D90+'9'!D90+'10'!D90+'11'!D90+'12'!D90+'13'!D90+'14'!D90+'15'!D90+'16'!D90+'17'!D90+'18'!D90+'19'!D90+'20'!D90+'21'!D90+'22'!D90+'23'!D90+'24'!D90+'25'!D90+'26'!D90+'27'!D90+'28'!D90+'29'!D90+'30'!D90</f>
        <v>0</v>
      </c>
      <c r="E91" s="57">
        <f t="shared" si="7"/>
        <v>0</v>
      </c>
      <c r="F91" s="58">
        <f>+'1'!F90+'2'!F90+'3'!F90+'4'!F90+'5'!F90+'6'!F90+'7'!F90+'8'!F90+'9'!F90+'10'!F90+'11'!F90+'12'!F90+'13'!F90+'14'!F90+'15'!F90+'16'!F90+'17'!F90+'18'!F90+'19'!F90+'20'!F90+'21'!F90+'22'!F90+'23'!F90+'24'!F90+'25'!F90+'26'!F90+'27'!F90+'28'!F90+'29'!F90+'30'!F260</f>
        <v>0</v>
      </c>
      <c r="G91" s="59">
        <f t="shared" si="8"/>
        <v>0</v>
      </c>
      <c r="H91" s="58">
        <f>+'1'!H90+'2'!H90+'3'!H90+'4'!H90+'5'!H90+'6'!H90+'7'!H90+'8'!H90+'9'!H90+'10'!H90+'11'!H90+'12'!H90+'13'!H90+'14'!H90+'15'!H90+'16'!H90+'17'!H90+'18'!H90+'19'!H90+'20'!H90+'21'!H90+'22'!H90+'23'!H90+'24'!H90+'25'!H90+'26'!H90+'27'!H90+'28'!H90+'29'!H90+'30'!H90</f>
        <v>0</v>
      </c>
      <c r="I91" s="8">
        <v>50</v>
      </c>
      <c r="J91" s="5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1" s="14"/>
      <c r="M91" s="67"/>
      <c r="U91" s="4"/>
    </row>
    <row r="92" spans="1:21" x14ac:dyDescent="0.55000000000000004">
      <c r="A92" s="5">
        <v>88</v>
      </c>
      <c r="B92" s="14" t="s">
        <v>103</v>
      </c>
      <c r="C92" s="57">
        <f>+ยกมา!G91</f>
        <v>0</v>
      </c>
      <c r="D92" s="58">
        <f>+'1'!D91+'2'!D91+'3'!D91+'4'!D91+'5'!D91+'6'!D91+'7'!D91+'8'!D91+'9'!D91+'10'!D91+'11'!D91+'12'!D91+'13'!D91+'14'!D91+'15'!D91+'16'!D91+'17'!D91+'18'!D91+'19'!D91+'20'!D91+'21'!D91+'22'!D91+'23'!D91+'24'!D91+'25'!D91+'26'!D91+'27'!D91+'28'!D91+'29'!D91+'30'!D91</f>
        <v>0</v>
      </c>
      <c r="E92" s="57">
        <f t="shared" si="7"/>
        <v>0</v>
      </c>
      <c r="F92" s="58">
        <f>+'1'!F91+'2'!F91+'3'!F91+'4'!F91+'5'!F91+'6'!F91+'7'!F91+'8'!F91+'9'!F91+'10'!F91+'11'!F91+'12'!F91+'13'!F91+'14'!F91+'15'!F91+'16'!F91+'17'!F91+'18'!F91+'19'!F91+'20'!F91+'21'!F91+'22'!F91+'23'!F91+'24'!F91+'25'!F91+'26'!F91+'27'!F91+'28'!F91+'29'!F91+'30'!F261</f>
        <v>0</v>
      </c>
      <c r="G92" s="59">
        <f t="shared" si="8"/>
        <v>0</v>
      </c>
      <c r="H92" s="58">
        <f>+'1'!H91+'2'!H91+'3'!H91+'4'!H91+'5'!H91+'6'!H91+'7'!H91+'8'!H91+'9'!H91+'10'!H91+'11'!H91+'12'!H91+'13'!H91+'14'!H91+'15'!H91+'16'!H91+'17'!H91+'18'!H91+'19'!H91+'20'!H91+'21'!H91+'22'!H91+'23'!H91+'24'!H91+'25'!H91+'26'!H91+'27'!H91+'28'!H91+'29'!H91+'30'!H91</f>
        <v>0</v>
      </c>
      <c r="I92" s="8">
        <v>120</v>
      </c>
      <c r="J92" s="5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2" s="14"/>
      <c r="M92" s="67"/>
      <c r="U92" s="4"/>
    </row>
    <row r="93" spans="1:21" x14ac:dyDescent="0.55000000000000004">
      <c r="A93" s="5">
        <v>89</v>
      </c>
      <c r="B93" s="14" t="s">
        <v>104</v>
      </c>
      <c r="C93" s="57">
        <f>+ยกมา!G92</f>
        <v>0</v>
      </c>
      <c r="D93" s="58">
        <f>+'1'!D92+'2'!D92+'3'!D92+'4'!D92+'5'!D92+'6'!D92+'7'!D92+'8'!D92+'9'!D92+'10'!D92+'11'!D92+'12'!D92+'13'!D92+'14'!D92+'15'!D92+'16'!D92+'17'!D92+'18'!D92+'19'!D92+'20'!D92+'21'!D92+'22'!D92+'23'!D92+'24'!D92+'25'!D92+'26'!D92+'27'!D92+'28'!D92+'29'!D92+'30'!D92</f>
        <v>0</v>
      </c>
      <c r="E93" s="57">
        <f t="shared" si="7"/>
        <v>0</v>
      </c>
      <c r="F93" s="58">
        <f>+'1'!F92+'2'!F92+'3'!F92+'4'!F92+'5'!F92+'6'!F92+'7'!F92+'8'!F92+'9'!F92+'10'!F92+'11'!F92+'12'!F92+'13'!F92+'14'!F92+'15'!F92+'16'!F92+'17'!F92+'18'!F92+'19'!F92+'20'!F92+'21'!F92+'22'!F92+'23'!F92+'24'!F92+'25'!F92+'26'!F92+'27'!F92+'28'!F92+'29'!F92+'30'!F262</f>
        <v>0</v>
      </c>
      <c r="G93" s="59">
        <f t="shared" si="8"/>
        <v>0</v>
      </c>
      <c r="H93" s="58">
        <f>+'1'!H92+'2'!H92+'3'!H92+'4'!H92+'5'!H92+'6'!H92+'7'!H92+'8'!H92+'9'!H92+'10'!H92+'11'!H92+'12'!H92+'13'!H92+'14'!H92+'15'!H92+'16'!H92+'17'!H92+'18'!H92+'19'!H92+'20'!H92+'21'!H92+'22'!H92+'23'!H92+'24'!H92+'25'!H92+'26'!H92+'27'!H92+'28'!H92+'29'!H92+'30'!H92</f>
        <v>0</v>
      </c>
      <c r="I93" s="8">
        <v>250</v>
      </c>
      <c r="J93" s="5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3" s="14"/>
      <c r="M93" s="67"/>
      <c r="U93" s="4"/>
    </row>
    <row r="94" spans="1:21" x14ac:dyDescent="0.55000000000000004">
      <c r="A94" s="5">
        <v>90</v>
      </c>
      <c r="B94" s="14" t="s">
        <v>105</v>
      </c>
      <c r="C94" s="57">
        <f>+ยกมา!G93</f>
        <v>0</v>
      </c>
      <c r="D94" s="58">
        <f>+'1'!D93+'2'!D93+'3'!D93+'4'!D93+'5'!D93+'6'!D93+'7'!D93+'8'!D93+'9'!D93+'10'!D93+'11'!D93+'12'!D93+'13'!D93+'14'!D93+'15'!D93+'16'!D93+'17'!D93+'18'!D93+'19'!D93+'20'!D93+'21'!D93+'22'!D93+'23'!D93+'24'!D93+'25'!D93+'26'!D93+'27'!D93+'28'!D93+'29'!D93+'30'!D93</f>
        <v>0</v>
      </c>
      <c r="E94" s="57">
        <f t="shared" si="7"/>
        <v>0</v>
      </c>
      <c r="F94" s="58">
        <f>+'1'!F93+'2'!F93+'3'!F93+'4'!F93+'5'!F93+'6'!F93+'7'!F93+'8'!F93+'9'!F93+'10'!F93+'11'!F93+'12'!F93+'13'!F93+'14'!F93+'15'!F93+'16'!F93+'17'!F93+'18'!F93+'19'!F93+'20'!F93+'21'!F93+'22'!F93+'23'!F93+'24'!F93+'25'!F93+'26'!F93+'27'!F93+'28'!F93+'29'!F93+'30'!F263</f>
        <v>0</v>
      </c>
      <c r="G94" s="59">
        <f t="shared" si="8"/>
        <v>0</v>
      </c>
      <c r="H94" s="58">
        <f>+'1'!H93+'2'!H93+'3'!H93+'4'!H93+'5'!H93+'6'!H93+'7'!H93+'8'!H93+'9'!H93+'10'!H93+'11'!H93+'12'!H93+'13'!H93+'14'!H93+'15'!H93+'16'!H93+'17'!H93+'18'!H93+'19'!H93+'20'!H93+'21'!H93+'22'!H93+'23'!H93+'24'!H93+'25'!H93+'26'!H93+'27'!H93+'28'!H93+'29'!H93+'30'!H93</f>
        <v>0</v>
      </c>
      <c r="I94" s="8">
        <v>120</v>
      </c>
      <c r="J94" s="5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4" s="14"/>
      <c r="M94" s="67"/>
      <c r="U94" s="4"/>
    </row>
    <row r="95" spans="1:21" x14ac:dyDescent="0.55000000000000004">
      <c r="A95" s="5">
        <v>91</v>
      </c>
      <c r="B95" s="14" t="s">
        <v>106</v>
      </c>
      <c r="C95" s="57">
        <f>+ยกมา!G94</f>
        <v>0</v>
      </c>
      <c r="D95" s="58">
        <f>+'1'!D94+'2'!D94+'3'!D94+'4'!D94+'5'!D94+'6'!D94+'7'!D94+'8'!D94+'9'!D94+'10'!D94+'11'!D94+'12'!D94+'13'!D94+'14'!D94+'15'!D94+'16'!D94+'17'!D94+'18'!D94+'19'!D94+'20'!D94+'21'!D94+'22'!D94+'23'!D94+'24'!D94+'25'!D94+'26'!D94+'27'!D94+'28'!D94+'29'!D94+'30'!D94</f>
        <v>0</v>
      </c>
      <c r="E95" s="57">
        <f t="shared" si="7"/>
        <v>0</v>
      </c>
      <c r="F95" s="58">
        <f>+'1'!F94+'2'!F94+'3'!F94+'4'!F94+'5'!F94+'6'!F94+'7'!F94+'8'!F94+'9'!F94+'10'!F94+'11'!F94+'12'!F94+'13'!F94+'14'!F94+'15'!F94+'16'!F94+'17'!F94+'18'!F94+'19'!F94+'20'!F94+'21'!F94+'22'!F94+'23'!F94+'24'!F94+'25'!F94+'26'!F94+'27'!F94+'28'!F94+'29'!F94+'30'!F264</f>
        <v>0</v>
      </c>
      <c r="G95" s="59">
        <f t="shared" si="8"/>
        <v>-1</v>
      </c>
      <c r="H95" s="58">
        <f>+'1'!H94+'2'!H94+'3'!H94+'4'!H94+'5'!H94+'6'!H94+'7'!H94+'8'!H94+'9'!H94+'10'!H94+'11'!H94+'12'!H94+'13'!H94+'14'!H94+'15'!H94+'16'!H94+'17'!H94+'18'!H94+'19'!H94+'20'!H94+'21'!H94+'22'!H94+'23'!H94+'24'!H94+'25'!H94+'26'!H94+'27'!H94+'28'!H94+'29'!H94+'30'!H94</f>
        <v>1</v>
      </c>
      <c r="I95" s="8">
        <v>120</v>
      </c>
      <c r="J95" s="5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120</v>
      </c>
      <c r="K95" s="14"/>
      <c r="M95" s="67"/>
      <c r="U95" s="4"/>
    </row>
    <row r="96" spans="1:21" x14ac:dyDescent="0.55000000000000004">
      <c r="A96" s="5">
        <v>92</v>
      </c>
      <c r="B96" s="14" t="s">
        <v>107</v>
      </c>
      <c r="C96" s="57">
        <f>+ยกมา!G95</f>
        <v>0</v>
      </c>
      <c r="D96" s="58">
        <f>+'1'!D95+'2'!D95+'3'!D95+'4'!D95+'5'!D95+'6'!D95+'7'!D95+'8'!D95+'9'!D95+'10'!D95+'11'!D95+'12'!D95+'13'!D95+'14'!D95+'15'!D95+'16'!D95+'17'!D95+'18'!D95+'19'!D95+'20'!D95+'21'!D95+'22'!D95+'23'!D95+'24'!D95+'25'!D95+'26'!D95+'27'!D95+'28'!D95+'29'!D95+'30'!D95</f>
        <v>0</v>
      </c>
      <c r="E96" s="57">
        <f t="shared" si="7"/>
        <v>0</v>
      </c>
      <c r="F96" s="58">
        <f>+'1'!F95+'2'!F95+'3'!F95+'4'!F95+'5'!F95+'6'!F95+'7'!F95+'8'!F95+'9'!F95+'10'!F95+'11'!F95+'12'!F95+'13'!F95+'14'!F95+'15'!F95+'16'!F95+'17'!F95+'18'!F95+'19'!F95+'20'!F95+'21'!F95+'22'!F95+'23'!F95+'24'!F95+'25'!F95+'26'!F95+'27'!F95+'28'!F95+'29'!F95+'30'!F265</f>
        <v>0</v>
      </c>
      <c r="G96" s="59">
        <f t="shared" si="8"/>
        <v>0</v>
      </c>
      <c r="H96" s="58">
        <f>+'1'!H95+'2'!H95+'3'!H95+'4'!H95+'5'!H95+'6'!H95+'7'!H95+'8'!H95+'9'!H95+'10'!H95+'11'!H95+'12'!H95+'13'!H95+'14'!H95+'15'!H95+'16'!H95+'17'!H95+'18'!H95+'19'!H95+'20'!H95+'21'!H95+'22'!H95+'23'!H95+'24'!H95+'25'!H95+'26'!H95+'27'!H95+'28'!H95+'29'!H95+'30'!H95</f>
        <v>0</v>
      </c>
      <c r="I96" s="8">
        <v>120</v>
      </c>
      <c r="J96" s="5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6" s="14"/>
      <c r="M96" s="67"/>
      <c r="U96" s="4"/>
    </row>
    <row r="97" spans="1:21" x14ac:dyDescent="0.55000000000000004">
      <c r="A97" s="5">
        <v>93</v>
      </c>
      <c r="B97" s="14" t="s">
        <v>108</v>
      </c>
      <c r="C97" s="57">
        <f>+ยกมา!G96</f>
        <v>0</v>
      </c>
      <c r="D97" s="58">
        <f>+'1'!D96+'2'!D96+'3'!D96+'4'!D96+'5'!D96+'6'!D96+'7'!D96+'8'!D96+'9'!D96+'10'!D96+'11'!D96+'12'!D96+'13'!D96+'14'!D96+'15'!D96+'16'!D96+'17'!D96+'18'!D96+'19'!D96+'20'!D96+'21'!D96+'22'!D96+'23'!D96+'24'!D96+'25'!D96+'26'!D96+'27'!D96+'28'!D96+'29'!D96+'30'!D96</f>
        <v>0</v>
      </c>
      <c r="E97" s="57">
        <f t="shared" si="7"/>
        <v>0</v>
      </c>
      <c r="F97" s="58">
        <f>+'1'!F96+'2'!F96+'3'!F96+'4'!F96+'5'!F96+'6'!F96+'7'!F96+'8'!F96+'9'!F96+'10'!F96+'11'!F96+'12'!F96+'13'!F96+'14'!F96+'15'!F96+'16'!F96+'17'!F96+'18'!F96+'19'!F96+'20'!F96+'21'!F96+'22'!F96+'23'!F96+'24'!F96+'25'!F96+'26'!F96+'27'!F96+'28'!F96+'29'!F96+'30'!F266</f>
        <v>0</v>
      </c>
      <c r="G97" s="59">
        <f t="shared" si="8"/>
        <v>0</v>
      </c>
      <c r="H97" s="58">
        <f>+'1'!H96+'2'!H96+'3'!H96+'4'!H96+'5'!H96+'6'!H96+'7'!H96+'8'!H96+'9'!H96+'10'!H96+'11'!H96+'12'!H96+'13'!H96+'14'!H96+'15'!H96+'16'!H96+'17'!H96+'18'!H96+'19'!H96+'20'!H96+'21'!H96+'22'!H96+'23'!H96+'24'!H96+'25'!H96+'26'!H96+'27'!H96+'28'!H96+'29'!H96+'30'!H96</f>
        <v>0</v>
      </c>
      <c r="I97" s="8">
        <v>45</v>
      </c>
      <c r="J97" s="5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7" s="14"/>
      <c r="M97" s="67"/>
      <c r="U97" s="4"/>
    </row>
    <row r="98" spans="1:21" x14ac:dyDescent="0.55000000000000004">
      <c r="A98" s="5">
        <v>94</v>
      </c>
      <c r="B98" s="14" t="s">
        <v>109</v>
      </c>
      <c r="C98" s="57">
        <f>+ยกมา!G97</f>
        <v>0</v>
      </c>
      <c r="D98" s="58">
        <f>+'1'!D97+'2'!D97+'3'!D97+'4'!D97+'5'!D97+'6'!D97+'7'!D97+'8'!D97+'9'!D97+'10'!D97+'11'!D97+'12'!D97+'13'!D97+'14'!D97+'15'!D97+'16'!D97+'17'!D97+'18'!D97+'19'!D97+'20'!D97+'21'!D97+'22'!D97+'23'!D97+'24'!D97+'25'!D97+'26'!D97+'27'!D97+'28'!D97+'29'!D97+'30'!D97</f>
        <v>0</v>
      </c>
      <c r="E98" s="57">
        <f t="shared" si="7"/>
        <v>0</v>
      </c>
      <c r="F98" s="58">
        <f>+'1'!F97+'2'!F97+'3'!F97+'4'!F97+'5'!F97+'6'!F97+'7'!F97+'8'!F97+'9'!F97+'10'!F97+'11'!F97+'12'!F97+'13'!F97+'14'!F97+'15'!F97+'16'!F97+'17'!F97+'18'!F97+'19'!F97+'20'!F97+'21'!F97+'22'!F97+'23'!F97+'24'!F97+'25'!F97+'26'!F97+'27'!F97+'28'!F97+'29'!F97+'30'!F267</f>
        <v>0</v>
      </c>
      <c r="G98" s="59">
        <f t="shared" si="8"/>
        <v>0</v>
      </c>
      <c r="H98" s="58">
        <f>+'1'!H97+'2'!H97+'3'!H97+'4'!H97+'5'!H97+'6'!H97+'7'!H97+'8'!H97+'9'!H97+'10'!H97+'11'!H97+'12'!H97+'13'!H97+'14'!H97+'15'!H97+'16'!H97+'17'!H97+'18'!H97+'19'!H97+'20'!H97+'21'!H97+'22'!H97+'23'!H97+'24'!H97+'25'!H97+'26'!H97+'27'!H97+'28'!H97+'29'!H97+'30'!H97</f>
        <v>0</v>
      </c>
      <c r="I98" s="8">
        <v>50</v>
      </c>
      <c r="J98" s="5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8" s="14"/>
      <c r="M98" s="67"/>
      <c r="U98" s="4"/>
    </row>
    <row r="99" spans="1:21" x14ac:dyDescent="0.55000000000000004">
      <c r="A99" s="5">
        <v>95</v>
      </c>
      <c r="B99" s="14" t="s">
        <v>110</v>
      </c>
      <c r="C99" s="57">
        <f>+ยกมา!G98</f>
        <v>0</v>
      </c>
      <c r="D99" s="58">
        <f>+'1'!D98+'2'!D98+'3'!D98+'4'!D98+'5'!D98+'6'!D98+'7'!D98+'8'!D98+'9'!D98+'10'!D98+'11'!D98+'12'!D98+'13'!D98+'14'!D98+'15'!D98+'16'!D98+'17'!D98+'18'!D98+'19'!D98+'20'!D98+'21'!D98+'22'!D98+'23'!D98+'24'!D98+'25'!D98+'26'!D98+'27'!D98+'28'!D98+'29'!D98+'30'!D98</f>
        <v>0</v>
      </c>
      <c r="E99" s="57">
        <f t="shared" si="7"/>
        <v>0</v>
      </c>
      <c r="F99" s="58">
        <f>+'1'!F98+'2'!F98+'3'!F98+'4'!F98+'5'!F98+'6'!F98+'7'!F98+'8'!F98+'9'!F98+'10'!F98+'11'!F98+'12'!F98+'13'!F98+'14'!F98+'15'!F98+'16'!F98+'17'!F98+'18'!F98+'19'!F98+'20'!F98+'21'!F98+'22'!F98+'23'!F98+'24'!F98+'25'!F98+'26'!F98+'27'!F98+'28'!F98+'29'!F98+'30'!F268</f>
        <v>0</v>
      </c>
      <c r="G99" s="59">
        <f t="shared" si="8"/>
        <v>0</v>
      </c>
      <c r="H99" s="58">
        <f>+'1'!H98+'2'!H98+'3'!H98+'4'!H98+'5'!H98+'6'!H98+'7'!H98+'8'!H98+'9'!H98+'10'!H98+'11'!H98+'12'!H98+'13'!H98+'14'!H98+'15'!H98+'16'!H98+'17'!H98+'18'!H98+'19'!H98+'20'!H98+'21'!H98+'22'!H98+'23'!H98+'24'!H98+'25'!H98+'26'!H98+'27'!H98+'28'!H98+'29'!H98+'30'!H98</f>
        <v>0</v>
      </c>
      <c r="I99" s="8">
        <v>50</v>
      </c>
      <c r="J99" s="5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9" s="14"/>
      <c r="M99" s="67"/>
      <c r="U99" s="4"/>
    </row>
    <row r="100" spans="1:21" x14ac:dyDescent="0.55000000000000004">
      <c r="A100" s="5">
        <v>96</v>
      </c>
      <c r="B100" s="14" t="s">
        <v>111</v>
      </c>
      <c r="C100" s="57">
        <f>+ยกมา!G99</f>
        <v>0</v>
      </c>
      <c r="D100" s="58">
        <f>+'1'!D99+'2'!D99+'3'!D99+'4'!D99+'5'!D99+'6'!D99+'7'!D99+'8'!D99+'9'!D99+'10'!D99+'11'!D99+'12'!D99+'13'!D99+'14'!D99+'15'!D99+'16'!D99+'17'!D99+'18'!D99+'19'!D99+'20'!D99+'21'!D99+'22'!D99+'23'!D99+'24'!D99+'25'!D99+'26'!D99+'27'!D99+'28'!D99+'29'!D99+'30'!D99</f>
        <v>0</v>
      </c>
      <c r="E100" s="57">
        <f t="shared" si="7"/>
        <v>0</v>
      </c>
      <c r="F100" s="58">
        <f>+'1'!F99+'2'!F99+'3'!F99+'4'!F99+'5'!F99+'6'!F99+'7'!F99+'8'!F99+'9'!F99+'10'!F99+'11'!F99+'12'!F99+'13'!F99+'14'!F99+'15'!F99+'16'!F99+'17'!F99+'18'!F99+'19'!F99+'20'!F99+'21'!F99+'22'!F99+'23'!F99+'24'!F99+'25'!F99+'26'!F99+'27'!F99+'28'!F99+'29'!F99+'30'!F269</f>
        <v>0</v>
      </c>
      <c r="G100" s="59">
        <f t="shared" si="8"/>
        <v>0</v>
      </c>
      <c r="H100" s="58">
        <f>+'1'!H99+'2'!H99+'3'!H99+'4'!H99+'5'!H99+'6'!H99+'7'!H99+'8'!H99+'9'!H99+'10'!H99+'11'!H99+'12'!H99+'13'!H99+'14'!H99+'15'!H99+'16'!H99+'17'!H99+'18'!H99+'19'!H99+'20'!H99+'21'!H99+'22'!H99+'23'!H99+'24'!H99+'25'!H99+'26'!H99+'27'!H99+'28'!H99+'29'!H99+'30'!H99</f>
        <v>0</v>
      </c>
      <c r="I100" s="8">
        <v>60</v>
      </c>
      <c r="J100" s="5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100" s="14"/>
      <c r="M100" s="67"/>
      <c r="U100" s="4"/>
    </row>
    <row r="101" spans="1:21" x14ac:dyDescent="0.55000000000000004">
      <c r="A101" s="5">
        <v>97</v>
      </c>
      <c r="B101" s="14" t="s">
        <v>112</v>
      </c>
      <c r="C101" s="57">
        <f>+ยกมา!G100</f>
        <v>6</v>
      </c>
      <c r="D101" s="5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</f>
        <v>0</v>
      </c>
      <c r="E101" s="57">
        <f t="shared" si="7"/>
        <v>6</v>
      </c>
      <c r="F101" s="5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270</f>
        <v>0</v>
      </c>
      <c r="G101" s="59">
        <f t="shared" si="8"/>
        <v>4</v>
      </c>
      <c r="H101" s="5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</f>
        <v>2</v>
      </c>
      <c r="I101" s="8">
        <v>55</v>
      </c>
      <c r="J101" s="5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110</v>
      </c>
      <c r="K101" s="14"/>
      <c r="M101" s="67"/>
      <c r="U101" s="4"/>
    </row>
    <row r="102" spans="1:21" x14ac:dyDescent="0.55000000000000004">
      <c r="A102" s="5">
        <v>98</v>
      </c>
      <c r="B102" s="14" t="s">
        <v>113</v>
      </c>
      <c r="C102" s="57">
        <f>+ยกมา!G101</f>
        <v>1</v>
      </c>
      <c r="D102" s="5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</f>
        <v>0</v>
      </c>
      <c r="E102" s="57">
        <f t="shared" si="7"/>
        <v>1</v>
      </c>
      <c r="F102" s="5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271</f>
        <v>0</v>
      </c>
      <c r="G102" s="59">
        <f t="shared" si="8"/>
        <v>0</v>
      </c>
      <c r="H102" s="5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</f>
        <v>1</v>
      </c>
      <c r="I102" s="8">
        <v>50</v>
      </c>
      <c r="J102" s="5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50</v>
      </c>
      <c r="K102" s="14"/>
      <c r="M102" s="67"/>
      <c r="U102" s="4"/>
    </row>
    <row r="103" spans="1:21" x14ac:dyDescent="0.55000000000000004">
      <c r="A103" s="5">
        <v>99</v>
      </c>
      <c r="B103" s="14" t="s">
        <v>114</v>
      </c>
      <c r="C103" s="57">
        <f>+ยกมา!G102</f>
        <v>0</v>
      </c>
      <c r="D103" s="5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</f>
        <v>0</v>
      </c>
      <c r="E103" s="57">
        <f t="shared" si="7"/>
        <v>0</v>
      </c>
      <c r="F103" s="5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272</f>
        <v>0</v>
      </c>
      <c r="G103" s="59">
        <f t="shared" si="8"/>
        <v>0</v>
      </c>
      <c r="H103" s="5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</f>
        <v>0</v>
      </c>
      <c r="I103" s="8">
        <v>100</v>
      </c>
      <c r="J103" s="5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3" s="14"/>
      <c r="M103" s="67"/>
      <c r="U103" s="4"/>
    </row>
    <row r="104" spans="1:21" x14ac:dyDescent="0.55000000000000004">
      <c r="A104" s="5">
        <v>100</v>
      </c>
      <c r="B104" s="14" t="s">
        <v>115</v>
      </c>
      <c r="C104" s="57">
        <f>+ยกมา!G103</f>
        <v>0</v>
      </c>
      <c r="D104" s="5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</f>
        <v>0</v>
      </c>
      <c r="E104" s="57">
        <f t="shared" si="7"/>
        <v>0</v>
      </c>
      <c r="F104" s="5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273</f>
        <v>0</v>
      </c>
      <c r="G104" s="59">
        <f t="shared" si="8"/>
        <v>0</v>
      </c>
      <c r="H104" s="5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</f>
        <v>0</v>
      </c>
      <c r="I104" s="8">
        <v>100</v>
      </c>
      <c r="J104" s="5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4" s="14"/>
      <c r="M104" s="67"/>
      <c r="U104" s="4"/>
    </row>
    <row r="105" spans="1:21" x14ac:dyDescent="0.55000000000000004">
      <c r="A105" s="5">
        <v>101</v>
      </c>
      <c r="B105" s="14" t="s">
        <v>116</v>
      </c>
      <c r="C105" s="57">
        <f>+ยกมา!G104</f>
        <v>0</v>
      </c>
      <c r="D105" s="5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</f>
        <v>0</v>
      </c>
      <c r="E105" s="57">
        <f t="shared" si="7"/>
        <v>0</v>
      </c>
      <c r="F105" s="5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274</f>
        <v>0</v>
      </c>
      <c r="G105" s="59">
        <f t="shared" si="8"/>
        <v>0</v>
      </c>
      <c r="H105" s="5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</f>
        <v>0</v>
      </c>
      <c r="I105" s="8">
        <v>30</v>
      </c>
      <c r="J105" s="5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5" s="14"/>
      <c r="M105" s="67"/>
      <c r="U105" s="4"/>
    </row>
    <row r="106" spans="1:21" x14ac:dyDescent="0.55000000000000004">
      <c r="A106" s="5">
        <v>102</v>
      </c>
      <c r="B106" s="14" t="s">
        <v>117</v>
      </c>
      <c r="C106" s="57">
        <f>+ยกมา!G105</f>
        <v>0</v>
      </c>
      <c r="D106" s="5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</f>
        <v>0</v>
      </c>
      <c r="E106" s="57">
        <f t="shared" si="7"/>
        <v>0</v>
      </c>
      <c r="F106" s="5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275</f>
        <v>0</v>
      </c>
      <c r="G106" s="59">
        <f t="shared" si="8"/>
        <v>0</v>
      </c>
      <c r="H106" s="5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</f>
        <v>0</v>
      </c>
      <c r="I106" s="8">
        <v>20</v>
      </c>
      <c r="J106" s="5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6" s="14"/>
      <c r="M106" s="67"/>
      <c r="U106" s="4"/>
    </row>
    <row r="107" spans="1:21" x14ac:dyDescent="0.55000000000000004">
      <c r="A107" s="5">
        <v>103</v>
      </c>
      <c r="B107" s="14" t="s">
        <v>118</v>
      </c>
      <c r="C107" s="57">
        <f>+ยกมา!G106</f>
        <v>0</v>
      </c>
      <c r="D107" s="5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</f>
        <v>0</v>
      </c>
      <c r="E107" s="57">
        <f t="shared" si="7"/>
        <v>0</v>
      </c>
      <c r="F107" s="5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276</f>
        <v>0</v>
      </c>
      <c r="G107" s="59">
        <f t="shared" si="8"/>
        <v>0</v>
      </c>
      <c r="H107" s="5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</f>
        <v>0</v>
      </c>
      <c r="I107" s="8">
        <v>100</v>
      </c>
      <c r="J107" s="5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7" s="14"/>
      <c r="M107" s="67"/>
      <c r="U107" s="4"/>
    </row>
    <row r="108" spans="1:21" x14ac:dyDescent="0.55000000000000004">
      <c r="A108" s="5">
        <v>104</v>
      </c>
      <c r="B108" s="14" t="s">
        <v>120</v>
      </c>
      <c r="C108" s="57">
        <f>+ยกมา!G107</f>
        <v>0</v>
      </c>
      <c r="D108" s="5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</f>
        <v>0</v>
      </c>
      <c r="E108" s="57">
        <f t="shared" si="7"/>
        <v>0</v>
      </c>
      <c r="F108" s="5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277</f>
        <v>0</v>
      </c>
      <c r="G108" s="59">
        <f t="shared" si="8"/>
        <v>0</v>
      </c>
      <c r="H108" s="5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</f>
        <v>0</v>
      </c>
      <c r="I108" s="8">
        <v>80</v>
      </c>
      <c r="J108" s="5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8" s="14"/>
      <c r="M108" s="67"/>
      <c r="U108" s="4"/>
    </row>
    <row r="109" spans="1:21" x14ac:dyDescent="0.55000000000000004">
      <c r="A109" s="5">
        <v>105</v>
      </c>
      <c r="B109" s="14" t="s">
        <v>121</v>
      </c>
      <c r="C109" s="57">
        <f>+ยกมา!G108</f>
        <v>0</v>
      </c>
      <c r="D109" s="5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</f>
        <v>0</v>
      </c>
      <c r="E109" s="57">
        <f t="shared" si="7"/>
        <v>0</v>
      </c>
      <c r="F109" s="5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278</f>
        <v>0</v>
      </c>
      <c r="G109" s="59">
        <f t="shared" si="8"/>
        <v>0</v>
      </c>
      <c r="H109" s="5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</f>
        <v>0</v>
      </c>
      <c r="I109" s="8">
        <v>60</v>
      </c>
      <c r="J109" s="5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9" s="14"/>
      <c r="M109" s="67"/>
      <c r="U109" s="4"/>
    </row>
    <row r="110" spans="1:21" x14ac:dyDescent="0.55000000000000004">
      <c r="A110" s="5">
        <v>106</v>
      </c>
      <c r="B110" s="14" t="s">
        <v>122</v>
      </c>
      <c r="C110" s="57">
        <f>+ยกมา!G109</f>
        <v>0</v>
      </c>
      <c r="D110" s="5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</f>
        <v>0</v>
      </c>
      <c r="E110" s="57">
        <f t="shared" si="7"/>
        <v>0</v>
      </c>
      <c r="F110" s="5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279</f>
        <v>0</v>
      </c>
      <c r="G110" s="59">
        <f t="shared" si="8"/>
        <v>0</v>
      </c>
      <c r="H110" s="5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</f>
        <v>0</v>
      </c>
      <c r="I110" s="8">
        <v>35</v>
      </c>
      <c r="J110" s="5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10" s="14"/>
      <c r="M110" s="67"/>
      <c r="U110" s="4"/>
    </row>
    <row r="111" spans="1:21" x14ac:dyDescent="0.55000000000000004">
      <c r="A111" s="5">
        <v>107</v>
      </c>
      <c r="B111" s="14" t="s">
        <v>123</v>
      </c>
      <c r="C111" s="57">
        <f>+ยกมา!G110</f>
        <v>0</v>
      </c>
      <c r="D111" s="5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</f>
        <v>0</v>
      </c>
      <c r="E111" s="57">
        <f t="shared" si="7"/>
        <v>0</v>
      </c>
      <c r="F111" s="5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280</f>
        <v>0</v>
      </c>
      <c r="G111" s="59">
        <f t="shared" si="8"/>
        <v>0</v>
      </c>
      <c r="H111" s="5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</f>
        <v>0</v>
      </c>
      <c r="I111" s="8">
        <v>35</v>
      </c>
      <c r="J111" s="5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1" s="14"/>
      <c r="M111" s="67"/>
      <c r="U111" s="4"/>
    </row>
    <row r="112" spans="1:21" x14ac:dyDescent="0.55000000000000004">
      <c r="A112" s="5">
        <v>108</v>
      </c>
      <c r="B112" s="14" t="s">
        <v>124</v>
      </c>
      <c r="C112" s="57">
        <f>+ยกมา!G111</f>
        <v>0</v>
      </c>
      <c r="D112" s="5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</f>
        <v>0</v>
      </c>
      <c r="E112" s="57">
        <f t="shared" si="7"/>
        <v>0</v>
      </c>
      <c r="F112" s="5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281</f>
        <v>0</v>
      </c>
      <c r="G112" s="59">
        <f t="shared" si="8"/>
        <v>0</v>
      </c>
      <c r="H112" s="5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</f>
        <v>0</v>
      </c>
      <c r="I112" s="8">
        <v>35</v>
      </c>
      <c r="J112" s="5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2" s="14"/>
      <c r="M112" s="67"/>
      <c r="U112" s="4"/>
    </row>
    <row r="113" spans="1:21" x14ac:dyDescent="0.55000000000000004">
      <c r="A113" s="5">
        <v>109</v>
      </c>
      <c r="B113" s="14" t="s">
        <v>125</v>
      </c>
      <c r="C113" s="57">
        <f>+ยกมา!G112</f>
        <v>0</v>
      </c>
      <c r="D113" s="5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</f>
        <v>0</v>
      </c>
      <c r="E113" s="57">
        <f t="shared" si="7"/>
        <v>0</v>
      </c>
      <c r="F113" s="5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282</f>
        <v>0</v>
      </c>
      <c r="G113" s="59">
        <f t="shared" si="8"/>
        <v>0</v>
      </c>
      <c r="H113" s="5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</f>
        <v>0</v>
      </c>
      <c r="I113" s="8">
        <v>35</v>
      </c>
      <c r="J113" s="5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3" s="14"/>
      <c r="M113" s="67"/>
      <c r="U113" s="4"/>
    </row>
    <row r="114" spans="1:21" x14ac:dyDescent="0.55000000000000004">
      <c r="A114" s="5">
        <v>110</v>
      </c>
      <c r="B114" s="14" t="s">
        <v>126</v>
      </c>
      <c r="C114" s="57">
        <f>+ยกมา!G113</f>
        <v>0</v>
      </c>
      <c r="D114" s="5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</f>
        <v>0</v>
      </c>
      <c r="E114" s="57">
        <f t="shared" si="7"/>
        <v>0</v>
      </c>
      <c r="F114" s="5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283</f>
        <v>0</v>
      </c>
      <c r="G114" s="59">
        <f t="shared" si="8"/>
        <v>0</v>
      </c>
      <c r="H114" s="5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</f>
        <v>0</v>
      </c>
      <c r="I114" s="8">
        <v>35</v>
      </c>
      <c r="J114" s="5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4" s="14"/>
      <c r="M114" s="67"/>
      <c r="U114" s="4"/>
    </row>
    <row r="115" spans="1:21" x14ac:dyDescent="0.55000000000000004">
      <c r="A115" s="5">
        <v>111</v>
      </c>
      <c r="B115" s="14" t="s">
        <v>127</v>
      </c>
      <c r="C115" s="57">
        <f>+ยกมา!G114</f>
        <v>0</v>
      </c>
      <c r="D115" s="5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</f>
        <v>0</v>
      </c>
      <c r="E115" s="57">
        <f t="shared" si="7"/>
        <v>0</v>
      </c>
      <c r="F115" s="5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284</f>
        <v>0</v>
      </c>
      <c r="G115" s="59">
        <f t="shared" si="8"/>
        <v>0</v>
      </c>
      <c r="H115" s="5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</f>
        <v>0</v>
      </c>
      <c r="I115" s="8">
        <v>50</v>
      </c>
      <c r="J115" s="5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5" s="14"/>
      <c r="M115" s="67"/>
      <c r="U115" s="4"/>
    </row>
    <row r="116" spans="1:21" x14ac:dyDescent="0.55000000000000004">
      <c r="A116" s="5">
        <v>112</v>
      </c>
      <c r="B116" s="14" t="s">
        <v>128</v>
      </c>
      <c r="C116" s="57">
        <f>+ยกมา!G115</f>
        <v>0</v>
      </c>
      <c r="D116" s="5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</f>
        <v>0</v>
      </c>
      <c r="E116" s="57">
        <f t="shared" si="7"/>
        <v>0</v>
      </c>
      <c r="F116" s="5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285</f>
        <v>0</v>
      </c>
      <c r="G116" s="59">
        <f t="shared" si="8"/>
        <v>0</v>
      </c>
      <c r="H116" s="5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</f>
        <v>0</v>
      </c>
      <c r="I116" s="8">
        <v>50</v>
      </c>
      <c r="J116" s="5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6" s="14"/>
      <c r="M116" s="67"/>
      <c r="U116" s="4"/>
    </row>
    <row r="117" spans="1:21" x14ac:dyDescent="0.55000000000000004">
      <c r="A117" s="5">
        <v>113</v>
      </c>
      <c r="B117" s="14" t="s">
        <v>129</v>
      </c>
      <c r="C117" s="57">
        <f>+ยกมา!G116</f>
        <v>0</v>
      </c>
      <c r="D117" s="5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</f>
        <v>0</v>
      </c>
      <c r="E117" s="57">
        <f t="shared" si="7"/>
        <v>0</v>
      </c>
      <c r="F117" s="5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286</f>
        <v>0</v>
      </c>
      <c r="G117" s="59">
        <f t="shared" si="8"/>
        <v>0</v>
      </c>
      <c r="H117" s="5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</f>
        <v>0</v>
      </c>
      <c r="I117" s="8">
        <v>50</v>
      </c>
      <c r="J117" s="5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7" s="14"/>
      <c r="M117" s="67"/>
      <c r="U117" s="4"/>
    </row>
    <row r="118" spans="1:21" x14ac:dyDescent="0.55000000000000004">
      <c r="A118" s="5">
        <v>114</v>
      </c>
      <c r="B118" s="14" t="s">
        <v>130</v>
      </c>
      <c r="C118" s="57">
        <f>+ยกมา!G117</f>
        <v>0</v>
      </c>
      <c r="D118" s="5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</f>
        <v>0</v>
      </c>
      <c r="E118" s="57">
        <f t="shared" si="7"/>
        <v>0</v>
      </c>
      <c r="F118" s="5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287</f>
        <v>0</v>
      </c>
      <c r="G118" s="59">
        <f t="shared" si="8"/>
        <v>0</v>
      </c>
      <c r="H118" s="5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</f>
        <v>0</v>
      </c>
      <c r="I118" s="8">
        <v>50</v>
      </c>
      <c r="J118" s="5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8" s="14"/>
      <c r="M118" s="67"/>
      <c r="U118" s="4"/>
    </row>
    <row r="119" spans="1:21" x14ac:dyDescent="0.55000000000000004">
      <c r="A119" s="5">
        <v>115</v>
      </c>
      <c r="B119" s="14" t="s">
        <v>131</v>
      </c>
      <c r="C119" s="57">
        <f>+ยกมา!G118</f>
        <v>0</v>
      </c>
      <c r="D119" s="5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</f>
        <v>0</v>
      </c>
      <c r="E119" s="57">
        <f t="shared" si="7"/>
        <v>0</v>
      </c>
      <c r="F119" s="5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288</f>
        <v>0</v>
      </c>
      <c r="G119" s="59">
        <f t="shared" si="8"/>
        <v>0</v>
      </c>
      <c r="H119" s="5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</f>
        <v>0</v>
      </c>
      <c r="I119" s="8">
        <v>50</v>
      </c>
      <c r="J119" s="5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9" s="14"/>
      <c r="M119" s="67"/>
      <c r="U119" s="4"/>
    </row>
    <row r="120" spans="1:21" x14ac:dyDescent="0.55000000000000004">
      <c r="A120" s="5">
        <v>116</v>
      </c>
      <c r="B120" s="14" t="s">
        <v>132</v>
      </c>
      <c r="C120" s="57">
        <f>+ยกมา!G119</f>
        <v>0</v>
      </c>
      <c r="D120" s="5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</f>
        <v>0</v>
      </c>
      <c r="E120" s="57">
        <f t="shared" si="7"/>
        <v>0</v>
      </c>
      <c r="F120" s="5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289</f>
        <v>0</v>
      </c>
      <c r="G120" s="59">
        <f t="shared" si="8"/>
        <v>0</v>
      </c>
      <c r="H120" s="5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</f>
        <v>0</v>
      </c>
      <c r="I120" s="8">
        <v>50</v>
      </c>
      <c r="J120" s="5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20" s="14"/>
      <c r="M120" s="67"/>
      <c r="U120" s="4"/>
    </row>
    <row r="121" spans="1:21" x14ac:dyDescent="0.55000000000000004">
      <c r="A121" s="5">
        <v>117</v>
      </c>
      <c r="B121" s="14" t="s">
        <v>133</v>
      </c>
      <c r="C121" s="57">
        <f>+ยกมา!G120</f>
        <v>0</v>
      </c>
      <c r="D121" s="5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</f>
        <v>0</v>
      </c>
      <c r="E121" s="57">
        <f t="shared" si="7"/>
        <v>0</v>
      </c>
      <c r="F121" s="5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290</f>
        <v>0</v>
      </c>
      <c r="G121" s="59">
        <f t="shared" si="8"/>
        <v>0</v>
      </c>
      <c r="H121" s="5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</f>
        <v>0</v>
      </c>
      <c r="I121" s="8">
        <v>40</v>
      </c>
      <c r="J121" s="5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1" s="14"/>
      <c r="M121" s="67"/>
      <c r="U121" s="4"/>
    </row>
    <row r="122" spans="1:21" x14ac:dyDescent="0.55000000000000004">
      <c r="A122" s="5">
        <v>118</v>
      </c>
      <c r="B122" s="14" t="s">
        <v>134</v>
      </c>
      <c r="C122" s="57">
        <f>+ยกมา!G121</f>
        <v>0</v>
      </c>
      <c r="D122" s="5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</f>
        <v>0</v>
      </c>
      <c r="E122" s="57">
        <f t="shared" si="7"/>
        <v>0</v>
      </c>
      <c r="F122" s="5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291</f>
        <v>0</v>
      </c>
      <c r="G122" s="59">
        <f t="shared" si="8"/>
        <v>0</v>
      </c>
      <c r="H122" s="5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</f>
        <v>0</v>
      </c>
      <c r="I122" s="8">
        <v>35</v>
      </c>
      <c r="J122" s="5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2" s="14"/>
      <c r="M122" s="67"/>
      <c r="U122" s="4"/>
    </row>
    <row r="123" spans="1:21" x14ac:dyDescent="0.55000000000000004">
      <c r="A123" s="5">
        <v>119</v>
      </c>
      <c r="B123" s="14" t="s">
        <v>135</v>
      </c>
      <c r="C123" s="57">
        <f>+ยกมา!G122</f>
        <v>0</v>
      </c>
      <c r="D123" s="5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</f>
        <v>0</v>
      </c>
      <c r="E123" s="57">
        <f t="shared" si="7"/>
        <v>0</v>
      </c>
      <c r="F123" s="5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292</f>
        <v>0</v>
      </c>
      <c r="G123" s="59">
        <f t="shared" si="8"/>
        <v>0</v>
      </c>
      <c r="H123" s="5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</f>
        <v>0</v>
      </c>
      <c r="I123" s="8">
        <v>40</v>
      </c>
      <c r="J123" s="5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3" s="14"/>
      <c r="M123" s="67"/>
      <c r="U123" s="4"/>
    </row>
    <row r="124" spans="1:21" x14ac:dyDescent="0.55000000000000004">
      <c r="A124" s="5">
        <v>120</v>
      </c>
      <c r="B124" s="14" t="s">
        <v>136</v>
      </c>
      <c r="C124" s="57">
        <f>+ยกมา!G123</f>
        <v>0</v>
      </c>
      <c r="D124" s="5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</f>
        <v>0</v>
      </c>
      <c r="E124" s="57">
        <f t="shared" si="7"/>
        <v>0</v>
      </c>
      <c r="F124" s="5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293</f>
        <v>0</v>
      </c>
      <c r="G124" s="59">
        <f t="shared" si="8"/>
        <v>0</v>
      </c>
      <c r="H124" s="5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</f>
        <v>0</v>
      </c>
      <c r="I124" s="8">
        <v>40</v>
      </c>
      <c r="J124" s="5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4" s="14"/>
      <c r="M124" s="67"/>
      <c r="U124" s="4"/>
    </row>
    <row r="125" spans="1:21" x14ac:dyDescent="0.55000000000000004">
      <c r="A125" s="5">
        <v>121</v>
      </c>
      <c r="B125" s="14" t="s">
        <v>137</v>
      </c>
      <c r="C125" s="57">
        <f>+ยกมา!G124</f>
        <v>0</v>
      </c>
      <c r="D125" s="5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</f>
        <v>0</v>
      </c>
      <c r="E125" s="57">
        <f t="shared" si="7"/>
        <v>0</v>
      </c>
      <c r="F125" s="5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294</f>
        <v>0</v>
      </c>
      <c r="G125" s="59">
        <f t="shared" si="8"/>
        <v>0</v>
      </c>
      <c r="H125" s="5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</f>
        <v>0</v>
      </c>
      <c r="I125" s="8">
        <v>30</v>
      </c>
      <c r="J125" s="5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5" s="14"/>
      <c r="M125" s="67"/>
      <c r="U125" s="4"/>
    </row>
    <row r="126" spans="1:21" x14ac:dyDescent="0.55000000000000004">
      <c r="A126" s="5">
        <v>122</v>
      </c>
      <c r="B126" s="14" t="s">
        <v>138</v>
      </c>
      <c r="C126" s="57">
        <f>+ยกมา!G125</f>
        <v>0</v>
      </c>
      <c r="D126" s="5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</f>
        <v>0</v>
      </c>
      <c r="E126" s="57">
        <f t="shared" si="7"/>
        <v>0</v>
      </c>
      <c r="F126" s="5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295</f>
        <v>0</v>
      </c>
      <c r="G126" s="59">
        <f t="shared" si="8"/>
        <v>0</v>
      </c>
      <c r="H126" s="5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</f>
        <v>0</v>
      </c>
      <c r="I126" s="8">
        <v>40</v>
      </c>
      <c r="J126" s="5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6" s="14"/>
      <c r="M126" s="67"/>
      <c r="U126" s="4"/>
    </row>
    <row r="127" spans="1:21" x14ac:dyDescent="0.55000000000000004">
      <c r="A127" s="5">
        <v>123</v>
      </c>
      <c r="B127" s="14" t="s">
        <v>139</v>
      </c>
      <c r="C127" s="57">
        <f>+ยกมา!G126</f>
        <v>0</v>
      </c>
      <c r="D127" s="5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</f>
        <v>0</v>
      </c>
      <c r="E127" s="57">
        <f t="shared" si="7"/>
        <v>0</v>
      </c>
      <c r="F127" s="5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296</f>
        <v>0</v>
      </c>
      <c r="G127" s="59">
        <f t="shared" si="8"/>
        <v>0</v>
      </c>
      <c r="H127" s="5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</f>
        <v>0</v>
      </c>
      <c r="I127" s="8">
        <v>20</v>
      </c>
      <c r="J127" s="5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7" s="14"/>
      <c r="M127" s="67"/>
      <c r="U127" s="4"/>
    </row>
    <row r="128" spans="1:21" x14ac:dyDescent="0.55000000000000004">
      <c r="A128" s="5">
        <v>124</v>
      </c>
      <c r="B128" s="14" t="s">
        <v>140</v>
      </c>
      <c r="C128" s="57">
        <f>+ยกมา!G127</f>
        <v>0</v>
      </c>
      <c r="D128" s="5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</f>
        <v>0</v>
      </c>
      <c r="E128" s="57">
        <f t="shared" si="7"/>
        <v>0</v>
      </c>
      <c r="F128" s="5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297</f>
        <v>0</v>
      </c>
      <c r="G128" s="59">
        <f t="shared" si="8"/>
        <v>0</v>
      </c>
      <c r="H128" s="5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</f>
        <v>0</v>
      </c>
      <c r="I128" s="8">
        <v>35</v>
      </c>
      <c r="J128" s="5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8" s="14"/>
      <c r="M128" s="67"/>
      <c r="U128" s="4"/>
    </row>
    <row r="129" spans="1:21" x14ac:dyDescent="0.55000000000000004">
      <c r="A129" s="5">
        <v>125</v>
      </c>
      <c r="B129" s="14" t="s">
        <v>141</v>
      </c>
      <c r="C129" s="57">
        <f>+ยกมา!G128</f>
        <v>0</v>
      </c>
      <c r="D129" s="5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</f>
        <v>0</v>
      </c>
      <c r="E129" s="57">
        <f t="shared" si="7"/>
        <v>0</v>
      </c>
      <c r="F129" s="5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298</f>
        <v>0</v>
      </c>
      <c r="G129" s="59">
        <f t="shared" si="8"/>
        <v>0</v>
      </c>
      <c r="H129" s="5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</f>
        <v>0</v>
      </c>
      <c r="I129" s="8">
        <v>40</v>
      </c>
      <c r="J129" s="5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9" s="14"/>
      <c r="M129" s="67"/>
      <c r="U129" s="4"/>
    </row>
    <row r="130" spans="1:21" x14ac:dyDescent="0.55000000000000004">
      <c r="A130" s="5">
        <v>126</v>
      </c>
      <c r="B130" s="14" t="s">
        <v>142</v>
      </c>
      <c r="C130" s="57">
        <f>+ยกมา!G129</f>
        <v>0</v>
      </c>
      <c r="D130" s="5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</f>
        <v>0</v>
      </c>
      <c r="E130" s="57">
        <f t="shared" si="7"/>
        <v>0</v>
      </c>
      <c r="F130" s="5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299</f>
        <v>0</v>
      </c>
      <c r="G130" s="59">
        <f t="shared" si="8"/>
        <v>0</v>
      </c>
      <c r="H130" s="5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</f>
        <v>0</v>
      </c>
      <c r="I130" s="8">
        <v>50</v>
      </c>
      <c r="J130" s="5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30" s="14"/>
      <c r="M130" s="67"/>
      <c r="U130" s="4"/>
    </row>
    <row r="131" spans="1:21" x14ac:dyDescent="0.55000000000000004">
      <c r="A131" s="5">
        <v>127</v>
      </c>
      <c r="B131" s="14" t="s">
        <v>143</v>
      </c>
      <c r="C131" s="57">
        <f>+ยกมา!G130</f>
        <v>0</v>
      </c>
      <c r="D131" s="5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</f>
        <v>0</v>
      </c>
      <c r="E131" s="57">
        <f t="shared" si="7"/>
        <v>0</v>
      </c>
      <c r="F131" s="5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300</f>
        <v>0</v>
      </c>
      <c r="G131" s="59">
        <f t="shared" si="8"/>
        <v>0</v>
      </c>
      <c r="H131" s="5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</f>
        <v>0</v>
      </c>
      <c r="I131" s="8">
        <v>55</v>
      </c>
      <c r="J131" s="5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1" s="14"/>
      <c r="M131" s="67"/>
      <c r="U131" s="4"/>
    </row>
    <row r="132" spans="1:21" x14ac:dyDescent="0.55000000000000004">
      <c r="A132" s="5">
        <v>128</v>
      </c>
      <c r="B132" s="14" t="s">
        <v>144</v>
      </c>
      <c r="C132" s="57">
        <f>+ยกมา!G131</f>
        <v>0</v>
      </c>
      <c r="D132" s="5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</f>
        <v>0</v>
      </c>
      <c r="E132" s="57">
        <f t="shared" si="7"/>
        <v>0</v>
      </c>
      <c r="F132" s="5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301</f>
        <v>0</v>
      </c>
      <c r="G132" s="59">
        <f t="shared" si="8"/>
        <v>0</v>
      </c>
      <c r="H132" s="5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</f>
        <v>0</v>
      </c>
      <c r="I132" s="8">
        <v>55</v>
      </c>
      <c r="J132" s="5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2" s="14"/>
      <c r="M132" s="67"/>
      <c r="U132" s="4"/>
    </row>
    <row r="133" spans="1:21" x14ac:dyDescent="0.55000000000000004">
      <c r="A133" s="5">
        <v>129</v>
      </c>
      <c r="B133" s="14" t="s">
        <v>145</v>
      </c>
      <c r="C133" s="57">
        <f>+ยกมา!G132</f>
        <v>0</v>
      </c>
      <c r="D133" s="5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</f>
        <v>0</v>
      </c>
      <c r="E133" s="57">
        <f t="shared" si="7"/>
        <v>0</v>
      </c>
      <c r="F133" s="5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302</f>
        <v>0</v>
      </c>
      <c r="G133" s="59">
        <f t="shared" si="8"/>
        <v>0</v>
      </c>
      <c r="H133" s="5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</f>
        <v>0</v>
      </c>
      <c r="I133" s="8">
        <v>45</v>
      </c>
      <c r="J133" s="5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3" s="14"/>
      <c r="M133" s="67"/>
      <c r="U133" s="4"/>
    </row>
    <row r="134" spans="1:21" x14ac:dyDescent="0.55000000000000004">
      <c r="A134" s="5">
        <v>130</v>
      </c>
      <c r="B134" s="14" t="s">
        <v>146</v>
      </c>
      <c r="C134" s="57">
        <f>+ยกมา!G133</f>
        <v>0</v>
      </c>
      <c r="D134" s="5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</f>
        <v>0</v>
      </c>
      <c r="E134" s="57">
        <f t="shared" si="7"/>
        <v>0</v>
      </c>
      <c r="F134" s="5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303</f>
        <v>0</v>
      </c>
      <c r="G134" s="59">
        <f t="shared" ref="G134:G197" si="9">C134+D134-F134-H134</f>
        <v>0</v>
      </c>
      <c r="H134" s="5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</f>
        <v>0</v>
      </c>
      <c r="I134" s="8">
        <v>45</v>
      </c>
      <c r="J134" s="5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4" s="14"/>
      <c r="M134" s="67"/>
      <c r="U134" s="4"/>
    </row>
    <row r="135" spans="1:21" x14ac:dyDescent="0.55000000000000004">
      <c r="A135" s="5">
        <v>131</v>
      </c>
      <c r="B135" s="14" t="s">
        <v>147</v>
      </c>
      <c r="C135" s="57">
        <f>+ยกมา!G134</f>
        <v>0</v>
      </c>
      <c r="D135" s="5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</f>
        <v>0</v>
      </c>
      <c r="E135" s="57">
        <f t="shared" si="7"/>
        <v>0</v>
      </c>
      <c r="F135" s="5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304</f>
        <v>0</v>
      </c>
      <c r="G135" s="59">
        <f t="shared" si="9"/>
        <v>0</v>
      </c>
      <c r="H135" s="5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</f>
        <v>0</v>
      </c>
      <c r="I135" s="8">
        <v>55</v>
      </c>
      <c r="J135" s="5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5" s="14"/>
      <c r="M135" s="67"/>
      <c r="U135" s="4"/>
    </row>
    <row r="136" spans="1:21" x14ac:dyDescent="0.55000000000000004">
      <c r="A136" s="5">
        <v>132</v>
      </c>
      <c r="B136" s="14" t="s">
        <v>148</v>
      </c>
      <c r="C136" s="57">
        <f>+ยกมา!G135</f>
        <v>0</v>
      </c>
      <c r="D136" s="5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</f>
        <v>0</v>
      </c>
      <c r="E136" s="57">
        <f t="shared" si="7"/>
        <v>0</v>
      </c>
      <c r="F136" s="5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305</f>
        <v>0</v>
      </c>
      <c r="G136" s="59">
        <f t="shared" si="9"/>
        <v>0</v>
      </c>
      <c r="H136" s="5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</f>
        <v>0</v>
      </c>
      <c r="I136" s="8">
        <v>45</v>
      </c>
      <c r="J136" s="5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6" s="14"/>
      <c r="M136" s="67"/>
      <c r="U136" s="4"/>
    </row>
    <row r="137" spans="1:21" x14ac:dyDescent="0.55000000000000004">
      <c r="A137" s="5">
        <v>133</v>
      </c>
      <c r="B137" s="14" t="s">
        <v>149</v>
      </c>
      <c r="C137" s="57">
        <f>+ยกมา!G136</f>
        <v>0</v>
      </c>
      <c r="D137" s="5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</f>
        <v>0</v>
      </c>
      <c r="E137" s="57">
        <f t="shared" si="7"/>
        <v>0</v>
      </c>
      <c r="F137" s="5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306</f>
        <v>0</v>
      </c>
      <c r="G137" s="59">
        <f t="shared" si="9"/>
        <v>0</v>
      </c>
      <c r="H137" s="5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</f>
        <v>0</v>
      </c>
      <c r="I137" s="8">
        <v>45</v>
      </c>
      <c r="J137" s="5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7" s="14"/>
      <c r="M137" s="67"/>
      <c r="U137" s="4"/>
    </row>
    <row r="138" spans="1:21" x14ac:dyDescent="0.55000000000000004">
      <c r="A138" s="5">
        <v>134</v>
      </c>
      <c r="B138" s="14" t="s">
        <v>150</v>
      </c>
      <c r="C138" s="57">
        <f>+ยกมา!G137</f>
        <v>0</v>
      </c>
      <c r="D138" s="5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</f>
        <v>0</v>
      </c>
      <c r="E138" s="57">
        <f t="shared" si="7"/>
        <v>0</v>
      </c>
      <c r="F138" s="5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307</f>
        <v>0</v>
      </c>
      <c r="G138" s="59">
        <f t="shared" si="9"/>
        <v>0</v>
      </c>
      <c r="H138" s="5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</f>
        <v>0</v>
      </c>
      <c r="I138" s="8">
        <v>45</v>
      </c>
      <c r="J138" s="5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8" s="14"/>
      <c r="M138" s="67"/>
      <c r="U138" s="4"/>
    </row>
    <row r="139" spans="1:21" x14ac:dyDescent="0.55000000000000004">
      <c r="A139" s="5">
        <v>135</v>
      </c>
      <c r="B139" s="14" t="s">
        <v>151</v>
      </c>
      <c r="C139" s="57">
        <f>+ยกมา!G138</f>
        <v>0</v>
      </c>
      <c r="D139" s="5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</f>
        <v>0</v>
      </c>
      <c r="E139" s="57">
        <f t="shared" si="7"/>
        <v>0</v>
      </c>
      <c r="F139" s="5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308</f>
        <v>0</v>
      </c>
      <c r="G139" s="59">
        <f t="shared" si="9"/>
        <v>0</v>
      </c>
      <c r="H139" s="5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</f>
        <v>0</v>
      </c>
      <c r="I139" s="8">
        <v>45</v>
      </c>
      <c r="J139" s="5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9" s="14"/>
      <c r="M139" s="67"/>
      <c r="U139" s="4"/>
    </row>
    <row r="140" spans="1:21" x14ac:dyDescent="0.55000000000000004">
      <c r="A140" s="5">
        <v>136</v>
      </c>
      <c r="B140" s="14" t="s">
        <v>152</v>
      </c>
      <c r="C140" s="57">
        <f>+ยกมา!G139</f>
        <v>0</v>
      </c>
      <c r="D140" s="5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</f>
        <v>0</v>
      </c>
      <c r="E140" s="57">
        <f t="shared" si="7"/>
        <v>0</v>
      </c>
      <c r="F140" s="5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309</f>
        <v>0</v>
      </c>
      <c r="G140" s="59">
        <f t="shared" si="9"/>
        <v>0</v>
      </c>
      <c r="H140" s="5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</f>
        <v>0</v>
      </c>
      <c r="I140" s="8">
        <v>45</v>
      </c>
      <c r="J140" s="5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40" s="14"/>
      <c r="M140" s="67"/>
      <c r="U140" s="4"/>
    </row>
    <row r="141" spans="1:21" x14ac:dyDescent="0.55000000000000004">
      <c r="A141" s="5">
        <v>137</v>
      </c>
      <c r="B141" s="14" t="s">
        <v>153</v>
      </c>
      <c r="C141" s="57">
        <f>+ยกมา!G140</f>
        <v>0</v>
      </c>
      <c r="D141" s="5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</f>
        <v>0</v>
      </c>
      <c r="E141" s="57">
        <f t="shared" si="7"/>
        <v>0</v>
      </c>
      <c r="F141" s="5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310</f>
        <v>0</v>
      </c>
      <c r="G141" s="59">
        <f t="shared" si="9"/>
        <v>0</v>
      </c>
      <c r="H141" s="5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</f>
        <v>0</v>
      </c>
      <c r="I141" s="8">
        <v>45</v>
      </c>
      <c r="J141" s="5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1" s="14"/>
      <c r="M141" s="67"/>
      <c r="U141" s="4"/>
    </row>
    <row r="142" spans="1:21" x14ac:dyDescent="0.55000000000000004">
      <c r="A142" s="5">
        <v>138</v>
      </c>
      <c r="B142" s="14" t="s">
        <v>154</v>
      </c>
      <c r="C142" s="57">
        <f>+ยกมา!G141</f>
        <v>0</v>
      </c>
      <c r="D142" s="5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</f>
        <v>0</v>
      </c>
      <c r="E142" s="57">
        <f t="shared" si="7"/>
        <v>0</v>
      </c>
      <c r="F142" s="5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311</f>
        <v>0</v>
      </c>
      <c r="G142" s="59">
        <f t="shared" si="9"/>
        <v>0</v>
      </c>
      <c r="H142" s="5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</f>
        <v>0</v>
      </c>
      <c r="I142" s="8">
        <v>120</v>
      </c>
      <c r="J142" s="5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2" s="14"/>
      <c r="M142" s="67"/>
      <c r="U142" s="4"/>
    </row>
    <row r="143" spans="1:21" x14ac:dyDescent="0.55000000000000004">
      <c r="A143" s="5">
        <v>139</v>
      </c>
      <c r="B143" s="14" t="s">
        <v>155</v>
      </c>
      <c r="C143" s="57">
        <f>+ยกมา!G142</f>
        <v>0</v>
      </c>
      <c r="D143" s="5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</f>
        <v>0</v>
      </c>
      <c r="E143" s="57">
        <f t="shared" si="7"/>
        <v>0</v>
      </c>
      <c r="F143" s="5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312</f>
        <v>0</v>
      </c>
      <c r="G143" s="59">
        <f t="shared" si="9"/>
        <v>0</v>
      </c>
      <c r="H143" s="5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</f>
        <v>0</v>
      </c>
      <c r="I143" s="8">
        <v>120</v>
      </c>
      <c r="J143" s="5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3" s="14"/>
      <c r="M143" s="67"/>
      <c r="U143" s="4"/>
    </row>
    <row r="144" spans="1:21" x14ac:dyDescent="0.55000000000000004">
      <c r="A144" s="5">
        <v>140</v>
      </c>
      <c r="B144" s="14" t="s">
        <v>156</v>
      </c>
      <c r="C144" s="57">
        <f>+ยกมา!G143</f>
        <v>0</v>
      </c>
      <c r="D144" s="5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</f>
        <v>0</v>
      </c>
      <c r="E144" s="57">
        <f t="shared" si="7"/>
        <v>0</v>
      </c>
      <c r="F144" s="5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313</f>
        <v>0</v>
      </c>
      <c r="G144" s="59">
        <f t="shared" si="9"/>
        <v>0</v>
      </c>
      <c r="H144" s="5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</f>
        <v>0</v>
      </c>
      <c r="I144" s="8">
        <v>120</v>
      </c>
      <c r="J144" s="5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4" s="14"/>
      <c r="M144" s="67"/>
      <c r="U144" s="4"/>
    </row>
    <row r="145" spans="1:21" x14ac:dyDescent="0.55000000000000004">
      <c r="A145" s="5">
        <v>141</v>
      </c>
      <c r="B145" s="14" t="s">
        <v>157</v>
      </c>
      <c r="C145" s="57">
        <f>+ยกมา!G144</f>
        <v>0</v>
      </c>
      <c r="D145" s="5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</f>
        <v>0</v>
      </c>
      <c r="E145" s="57">
        <f t="shared" si="7"/>
        <v>0</v>
      </c>
      <c r="F145" s="5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314</f>
        <v>0</v>
      </c>
      <c r="G145" s="59">
        <f t="shared" si="9"/>
        <v>0</v>
      </c>
      <c r="H145" s="5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</f>
        <v>0</v>
      </c>
      <c r="I145" s="8">
        <v>120</v>
      </c>
      <c r="J145" s="5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5" s="14"/>
      <c r="M145" s="67"/>
      <c r="U145" s="4"/>
    </row>
    <row r="146" spans="1:21" x14ac:dyDescent="0.55000000000000004">
      <c r="A146" s="5">
        <v>142</v>
      </c>
      <c r="B146" s="14" t="s">
        <v>158</v>
      </c>
      <c r="C146" s="57">
        <f>+ยกมา!G145</f>
        <v>0</v>
      </c>
      <c r="D146" s="5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</f>
        <v>0</v>
      </c>
      <c r="E146" s="57">
        <f t="shared" si="7"/>
        <v>0</v>
      </c>
      <c r="F146" s="5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315</f>
        <v>0</v>
      </c>
      <c r="G146" s="59">
        <f t="shared" si="9"/>
        <v>0</v>
      </c>
      <c r="H146" s="5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</f>
        <v>0</v>
      </c>
      <c r="I146" s="8">
        <v>185</v>
      </c>
      <c r="J146" s="5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6" s="14"/>
      <c r="M146" s="67"/>
      <c r="U146" s="4"/>
    </row>
    <row r="147" spans="1:21" x14ac:dyDescent="0.55000000000000004">
      <c r="A147" s="5">
        <v>143</v>
      </c>
      <c r="B147" s="14" t="s">
        <v>159</v>
      </c>
      <c r="C147" s="57">
        <f>+ยกมา!G146</f>
        <v>0</v>
      </c>
      <c r="D147" s="5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</f>
        <v>0</v>
      </c>
      <c r="E147" s="57">
        <f t="shared" si="7"/>
        <v>0</v>
      </c>
      <c r="F147" s="5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316</f>
        <v>0</v>
      </c>
      <c r="G147" s="59">
        <f t="shared" si="9"/>
        <v>0</v>
      </c>
      <c r="H147" s="5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</f>
        <v>0</v>
      </c>
      <c r="I147" s="8">
        <v>185</v>
      </c>
      <c r="J147" s="5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7" s="14"/>
      <c r="M147" s="67"/>
      <c r="U147" s="4"/>
    </row>
    <row r="148" spans="1:21" x14ac:dyDescent="0.55000000000000004">
      <c r="A148" s="5">
        <v>144</v>
      </c>
      <c r="B148" s="14" t="s">
        <v>160</v>
      </c>
      <c r="C148" s="57">
        <f>+ยกมา!G147</f>
        <v>0</v>
      </c>
      <c r="D148" s="5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</f>
        <v>0</v>
      </c>
      <c r="E148" s="57">
        <f t="shared" si="7"/>
        <v>0</v>
      </c>
      <c r="F148" s="5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317</f>
        <v>0</v>
      </c>
      <c r="G148" s="59">
        <f t="shared" si="9"/>
        <v>0</v>
      </c>
      <c r="H148" s="5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</f>
        <v>0</v>
      </c>
      <c r="I148" s="8">
        <v>185</v>
      </c>
      <c r="J148" s="5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8" s="14"/>
      <c r="M148" s="67"/>
      <c r="U148" s="4"/>
    </row>
    <row r="149" spans="1:21" x14ac:dyDescent="0.55000000000000004">
      <c r="A149" s="5">
        <v>145</v>
      </c>
      <c r="B149" s="14" t="s">
        <v>161</v>
      </c>
      <c r="C149" s="57">
        <f>+ยกมา!G148</f>
        <v>0</v>
      </c>
      <c r="D149" s="5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</f>
        <v>0</v>
      </c>
      <c r="E149" s="57">
        <f t="shared" si="7"/>
        <v>0</v>
      </c>
      <c r="F149" s="5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318</f>
        <v>0</v>
      </c>
      <c r="G149" s="59">
        <f t="shared" si="9"/>
        <v>0</v>
      </c>
      <c r="H149" s="5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</f>
        <v>0</v>
      </c>
      <c r="I149" s="8">
        <v>185</v>
      </c>
      <c r="J149" s="5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9" s="14"/>
      <c r="M149" s="67"/>
      <c r="U149" s="4"/>
    </row>
    <row r="150" spans="1:21" x14ac:dyDescent="0.55000000000000004">
      <c r="A150" s="5">
        <v>146</v>
      </c>
      <c r="B150" s="14" t="s">
        <v>253</v>
      </c>
      <c r="C150" s="57">
        <f>+ยกมา!G149</f>
        <v>41</v>
      </c>
      <c r="D150" s="5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</f>
        <v>12</v>
      </c>
      <c r="E150" s="57">
        <f t="shared" si="7"/>
        <v>53</v>
      </c>
      <c r="F150" s="5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319</f>
        <v>38</v>
      </c>
      <c r="G150" s="59">
        <f t="shared" si="9"/>
        <v>9</v>
      </c>
      <c r="H150" s="5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</f>
        <v>6</v>
      </c>
      <c r="I150" s="8">
        <v>150</v>
      </c>
      <c r="J150" s="5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900</v>
      </c>
      <c r="K150" s="14"/>
      <c r="M150" s="67"/>
      <c r="U150" s="4"/>
    </row>
    <row r="151" spans="1:21" x14ac:dyDescent="0.55000000000000004">
      <c r="A151" s="5">
        <v>147</v>
      </c>
      <c r="B151" s="14" t="s">
        <v>163</v>
      </c>
      <c r="C151" s="57">
        <f>+ยกมา!G150</f>
        <v>0</v>
      </c>
      <c r="D151" s="5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</f>
        <v>0</v>
      </c>
      <c r="E151" s="57">
        <f t="shared" si="7"/>
        <v>0</v>
      </c>
      <c r="F151" s="5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320</f>
        <v>0</v>
      </c>
      <c r="G151" s="59">
        <f t="shared" si="9"/>
        <v>0</v>
      </c>
      <c r="H151" s="5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</f>
        <v>0</v>
      </c>
      <c r="I151" s="8">
        <v>120</v>
      </c>
      <c r="J151" s="5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1" s="14"/>
      <c r="M151" s="67"/>
      <c r="U151" s="4"/>
    </row>
    <row r="152" spans="1:21" x14ac:dyDescent="0.55000000000000004">
      <c r="A152" s="5">
        <v>148</v>
      </c>
      <c r="B152" s="14" t="s">
        <v>164</v>
      </c>
      <c r="C152" s="57">
        <f>+ยกมา!G151</f>
        <v>0</v>
      </c>
      <c r="D152" s="5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</f>
        <v>0</v>
      </c>
      <c r="E152" s="57">
        <f t="shared" si="7"/>
        <v>0</v>
      </c>
      <c r="F152" s="5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321</f>
        <v>0</v>
      </c>
      <c r="G152" s="59">
        <f t="shared" si="9"/>
        <v>0</v>
      </c>
      <c r="H152" s="5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</f>
        <v>0</v>
      </c>
      <c r="I152" s="8">
        <v>120</v>
      </c>
      <c r="J152" s="5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2" s="14"/>
      <c r="M152" s="67"/>
      <c r="U152" s="4"/>
    </row>
    <row r="153" spans="1:21" x14ac:dyDescent="0.55000000000000004">
      <c r="A153" s="5">
        <v>149</v>
      </c>
      <c r="B153" s="14" t="s">
        <v>165</v>
      </c>
      <c r="C153" s="57">
        <f>+ยกมา!G152</f>
        <v>0</v>
      </c>
      <c r="D153" s="5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</f>
        <v>0</v>
      </c>
      <c r="E153" s="57">
        <f t="shared" si="7"/>
        <v>0</v>
      </c>
      <c r="F153" s="5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322</f>
        <v>0</v>
      </c>
      <c r="G153" s="59">
        <f t="shared" si="9"/>
        <v>0</v>
      </c>
      <c r="H153" s="5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</f>
        <v>0</v>
      </c>
      <c r="I153" s="8">
        <v>120</v>
      </c>
      <c r="J153" s="5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3" s="14"/>
      <c r="M153" s="67"/>
      <c r="U153" s="4"/>
    </row>
    <row r="154" spans="1:21" x14ac:dyDescent="0.55000000000000004">
      <c r="A154" s="5">
        <v>150</v>
      </c>
      <c r="B154" s="14" t="s">
        <v>166</v>
      </c>
      <c r="C154" s="57">
        <f>+ยกมา!G153</f>
        <v>0</v>
      </c>
      <c r="D154" s="5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</f>
        <v>0</v>
      </c>
      <c r="E154" s="57">
        <f t="shared" si="7"/>
        <v>0</v>
      </c>
      <c r="F154" s="5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323</f>
        <v>0</v>
      </c>
      <c r="G154" s="59">
        <f t="shared" si="9"/>
        <v>0</v>
      </c>
      <c r="H154" s="5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</f>
        <v>0</v>
      </c>
      <c r="I154" s="8">
        <v>185</v>
      </c>
      <c r="J154" s="5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4" s="14"/>
      <c r="M154" s="67"/>
      <c r="U154" s="4"/>
    </row>
    <row r="155" spans="1:21" x14ac:dyDescent="0.55000000000000004">
      <c r="A155" s="5">
        <v>151</v>
      </c>
      <c r="B155" s="14" t="s">
        <v>167</v>
      </c>
      <c r="C155" s="57">
        <f>+ยกมา!G154</f>
        <v>0</v>
      </c>
      <c r="D155" s="5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</f>
        <v>0</v>
      </c>
      <c r="E155" s="57">
        <f t="shared" si="7"/>
        <v>0</v>
      </c>
      <c r="F155" s="5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324</f>
        <v>0</v>
      </c>
      <c r="G155" s="59">
        <f t="shared" si="9"/>
        <v>0</v>
      </c>
      <c r="H155" s="5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</f>
        <v>0</v>
      </c>
      <c r="I155" s="8">
        <v>185</v>
      </c>
      <c r="J155" s="5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5" s="14"/>
      <c r="M155" s="67"/>
      <c r="U155" s="4"/>
    </row>
    <row r="156" spans="1:21" x14ac:dyDescent="0.55000000000000004">
      <c r="A156" s="5">
        <v>152</v>
      </c>
      <c r="B156" s="14" t="s">
        <v>168</v>
      </c>
      <c r="C156" s="57">
        <f>+ยกมา!G155</f>
        <v>0</v>
      </c>
      <c r="D156" s="5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</f>
        <v>0</v>
      </c>
      <c r="E156" s="57">
        <f t="shared" si="7"/>
        <v>0</v>
      </c>
      <c r="F156" s="5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325</f>
        <v>0</v>
      </c>
      <c r="G156" s="59">
        <f t="shared" si="9"/>
        <v>0</v>
      </c>
      <c r="H156" s="5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</f>
        <v>0</v>
      </c>
      <c r="I156" s="8">
        <v>185</v>
      </c>
      <c r="J156" s="5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6" s="14"/>
      <c r="M156" s="67"/>
      <c r="U156" s="4"/>
    </row>
    <row r="157" spans="1:21" x14ac:dyDescent="0.55000000000000004">
      <c r="A157" s="5">
        <v>153</v>
      </c>
      <c r="B157" s="14" t="s">
        <v>169</v>
      </c>
      <c r="C157" s="57">
        <f>+ยกมา!G156</f>
        <v>0</v>
      </c>
      <c r="D157" s="5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</f>
        <v>0</v>
      </c>
      <c r="E157" s="57">
        <f t="shared" si="7"/>
        <v>0</v>
      </c>
      <c r="F157" s="5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326</f>
        <v>0</v>
      </c>
      <c r="G157" s="59">
        <f t="shared" si="9"/>
        <v>0</v>
      </c>
      <c r="H157" s="5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</f>
        <v>0</v>
      </c>
      <c r="I157" s="8">
        <v>185</v>
      </c>
      <c r="J157" s="5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7" s="14"/>
      <c r="M157" s="67"/>
      <c r="U157" s="4"/>
    </row>
    <row r="158" spans="1:21" x14ac:dyDescent="0.55000000000000004">
      <c r="A158" s="5">
        <v>154</v>
      </c>
      <c r="B158" s="14" t="s">
        <v>170</v>
      </c>
      <c r="C158" s="57">
        <f>+ยกมา!G157</f>
        <v>0</v>
      </c>
      <c r="D158" s="5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</f>
        <v>0</v>
      </c>
      <c r="E158" s="57">
        <f t="shared" si="7"/>
        <v>0</v>
      </c>
      <c r="F158" s="5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327</f>
        <v>0</v>
      </c>
      <c r="G158" s="59">
        <f t="shared" si="9"/>
        <v>0</v>
      </c>
      <c r="H158" s="5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</f>
        <v>0</v>
      </c>
      <c r="I158" s="8">
        <v>135</v>
      </c>
      <c r="J158" s="5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8" s="14"/>
      <c r="M158" s="67"/>
      <c r="U158" s="4"/>
    </row>
    <row r="159" spans="1:21" x14ac:dyDescent="0.55000000000000004">
      <c r="A159" s="5">
        <v>155</v>
      </c>
      <c r="B159" s="14" t="s">
        <v>171</v>
      </c>
      <c r="C159" s="57">
        <f>+ยกมา!G158</f>
        <v>0</v>
      </c>
      <c r="D159" s="5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</f>
        <v>0</v>
      </c>
      <c r="E159" s="57">
        <f t="shared" si="7"/>
        <v>0</v>
      </c>
      <c r="F159" s="5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328</f>
        <v>0</v>
      </c>
      <c r="G159" s="59">
        <f t="shared" si="9"/>
        <v>0</v>
      </c>
      <c r="H159" s="5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</f>
        <v>0</v>
      </c>
      <c r="I159" s="8">
        <v>90</v>
      </c>
      <c r="J159" s="5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9" s="14"/>
      <c r="M159" s="67"/>
      <c r="U159" s="4"/>
    </row>
    <row r="160" spans="1:21" x14ac:dyDescent="0.55000000000000004">
      <c r="A160" s="5">
        <v>156</v>
      </c>
      <c r="B160" s="14" t="s">
        <v>172</v>
      </c>
      <c r="C160" s="57">
        <f>+ยกมา!G159</f>
        <v>0</v>
      </c>
      <c r="D160" s="5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</f>
        <v>0</v>
      </c>
      <c r="E160" s="57">
        <f t="shared" si="7"/>
        <v>0</v>
      </c>
      <c r="F160" s="5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329</f>
        <v>0</v>
      </c>
      <c r="G160" s="59">
        <f t="shared" si="9"/>
        <v>0</v>
      </c>
      <c r="H160" s="5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</f>
        <v>0</v>
      </c>
      <c r="I160" s="8">
        <v>90</v>
      </c>
      <c r="J160" s="5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60" s="14"/>
      <c r="M160" s="67"/>
      <c r="U160" s="4"/>
    </row>
    <row r="161" spans="1:21" x14ac:dyDescent="0.55000000000000004">
      <c r="A161" s="5">
        <v>157</v>
      </c>
      <c r="B161" s="14" t="s">
        <v>173</v>
      </c>
      <c r="C161" s="57">
        <f>+ยกมา!G160</f>
        <v>0</v>
      </c>
      <c r="D161" s="5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</f>
        <v>0</v>
      </c>
      <c r="E161" s="57">
        <f t="shared" si="7"/>
        <v>0</v>
      </c>
      <c r="F161" s="5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330</f>
        <v>0</v>
      </c>
      <c r="G161" s="59">
        <f t="shared" si="9"/>
        <v>0</v>
      </c>
      <c r="H161" s="5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</f>
        <v>0</v>
      </c>
      <c r="I161" s="8">
        <v>90</v>
      </c>
      <c r="J161" s="5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1" s="14"/>
      <c r="M161" s="67"/>
      <c r="U161" s="4"/>
    </row>
    <row r="162" spans="1:21" x14ac:dyDescent="0.55000000000000004">
      <c r="A162" s="5">
        <v>158</v>
      </c>
      <c r="B162" s="14" t="s">
        <v>174</v>
      </c>
      <c r="C162" s="57">
        <f>+ยกมา!G161</f>
        <v>0</v>
      </c>
      <c r="D162" s="5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</f>
        <v>0</v>
      </c>
      <c r="E162" s="57">
        <f t="shared" si="7"/>
        <v>0</v>
      </c>
      <c r="F162" s="5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331</f>
        <v>0</v>
      </c>
      <c r="G162" s="59">
        <f t="shared" si="9"/>
        <v>0</v>
      </c>
      <c r="H162" s="5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</f>
        <v>0</v>
      </c>
      <c r="I162" s="8">
        <v>90</v>
      </c>
      <c r="J162" s="5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2" s="14"/>
      <c r="M162" s="67"/>
      <c r="U162" s="4"/>
    </row>
    <row r="163" spans="1:21" x14ac:dyDescent="0.55000000000000004">
      <c r="A163" s="5">
        <v>159</v>
      </c>
      <c r="B163" s="14" t="s">
        <v>175</v>
      </c>
      <c r="C163" s="57">
        <f>+ยกมา!G162</f>
        <v>0</v>
      </c>
      <c r="D163" s="5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</f>
        <v>0</v>
      </c>
      <c r="E163" s="57">
        <f t="shared" si="7"/>
        <v>0</v>
      </c>
      <c r="F163" s="5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332</f>
        <v>0</v>
      </c>
      <c r="G163" s="59">
        <f t="shared" si="9"/>
        <v>0</v>
      </c>
      <c r="H163" s="5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</f>
        <v>0</v>
      </c>
      <c r="I163" s="8">
        <v>25</v>
      </c>
      <c r="J163" s="5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3" s="14"/>
      <c r="M163" s="67"/>
      <c r="U163" s="4"/>
    </row>
    <row r="164" spans="1:21" x14ac:dyDescent="0.55000000000000004">
      <c r="A164" s="5">
        <v>160</v>
      </c>
      <c r="B164" s="14" t="s">
        <v>176</v>
      </c>
      <c r="C164" s="57">
        <f>+ยกมา!G163</f>
        <v>0</v>
      </c>
      <c r="D164" s="5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</f>
        <v>0</v>
      </c>
      <c r="E164" s="57">
        <f t="shared" si="7"/>
        <v>0</v>
      </c>
      <c r="F164" s="5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333</f>
        <v>0</v>
      </c>
      <c r="G164" s="59">
        <f t="shared" si="9"/>
        <v>0</v>
      </c>
      <c r="H164" s="5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</f>
        <v>0</v>
      </c>
      <c r="I164" s="8">
        <v>50</v>
      </c>
      <c r="J164" s="5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4" s="14"/>
      <c r="M164" s="67"/>
      <c r="U164" s="4"/>
    </row>
    <row r="165" spans="1:21" x14ac:dyDescent="0.55000000000000004">
      <c r="A165" s="5">
        <v>161</v>
      </c>
      <c r="B165" s="14" t="s">
        <v>177</v>
      </c>
      <c r="C165" s="57">
        <f>+ยกมา!G164</f>
        <v>0</v>
      </c>
      <c r="D165" s="5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</f>
        <v>0</v>
      </c>
      <c r="E165" s="57">
        <f t="shared" si="7"/>
        <v>0</v>
      </c>
      <c r="F165" s="5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334</f>
        <v>0</v>
      </c>
      <c r="G165" s="59">
        <f t="shared" si="9"/>
        <v>0</v>
      </c>
      <c r="H165" s="5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</f>
        <v>0</v>
      </c>
      <c r="I165" s="8">
        <v>50</v>
      </c>
      <c r="J165" s="5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5" s="14"/>
      <c r="M165" s="67"/>
      <c r="U165" s="4"/>
    </row>
    <row r="166" spans="1:21" x14ac:dyDescent="0.55000000000000004">
      <c r="A166" s="5">
        <v>162</v>
      </c>
      <c r="B166" s="14" t="s">
        <v>178</v>
      </c>
      <c r="C166" s="57">
        <f>+ยกมา!G165</f>
        <v>0</v>
      </c>
      <c r="D166" s="5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</f>
        <v>0</v>
      </c>
      <c r="E166" s="57">
        <f t="shared" si="7"/>
        <v>0</v>
      </c>
      <c r="F166" s="5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335</f>
        <v>0</v>
      </c>
      <c r="G166" s="59">
        <f t="shared" si="9"/>
        <v>0</v>
      </c>
      <c r="H166" s="5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</f>
        <v>0</v>
      </c>
      <c r="I166" s="8">
        <v>50</v>
      </c>
      <c r="J166" s="5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6" s="14"/>
      <c r="M166" s="67"/>
      <c r="U166" s="4"/>
    </row>
    <row r="167" spans="1:21" x14ac:dyDescent="0.55000000000000004">
      <c r="A167" s="5">
        <v>163</v>
      </c>
      <c r="B167" s="14" t="s">
        <v>179</v>
      </c>
      <c r="C167" s="57">
        <f>+ยกมา!G166</f>
        <v>0</v>
      </c>
      <c r="D167" s="5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</f>
        <v>0</v>
      </c>
      <c r="E167" s="57">
        <f t="shared" si="7"/>
        <v>0</v>
      </c>
      <c r="F167" s="5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336</f>
        <v>0</v>
      </c>
      <c r="G167" s="59">
        <f t="shared" si="9"/>
        <v>0</v>
      </c>
      <c r="H167" s="5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</f>
        <v>0</v>
      </c>
      <c r="I167" s="8">
        <v>50</v>
      </c>
      <c r="J167" s="5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7" s="14"/>
      <c r="M167" s="67"/>
      <c r="U167" s="4"/>
    </row>
    <row r="168" spans="1:21" x14ac:dyDescent="0.55000000000000004">
      <c r="A168" s="5">
        <v>164</v>
      </c>
      <c r="B168" s="14" t="s">
        <v>180</v>
      </c>
      <c r="C168" s="57">
        <f>+ยกมา!G167</f>
        <v>0</v>
      </c>
      <c r="D168" s="5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</f>
        <v>0</v>
      </c>
      <c r="E168" s="57">
        <f t="shared" si="7"/>
        <v>0</v>
      </c>
      <c r="F168" s="5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337</f>
        <v>0</v>
      </c>
      <c r="G168" s="59">
        <f t="shared" si="9"/>
        <v>0</v>
      </c>
      <c r="H168" s="5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</f>
        <v>0</v>
      </c>
      <c r="I168" s="8">
        <v>55</v>
      </c>
      <c r="J168" s="5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8" s="14"/>
      <c r="M168" s="67"/>
      <c r="U168" s="4"/>
    </row>
    <row r="169" spans="1:21" x14ac:dyDescent="0.55000000000000004">
      <c r="A169" s="5">
        <v>165</v>
      </c>
      <c r="B169" s="14" t="s">
        <v>181</v>
      </c>
      <c r="C169" s="57">
        <f>+ยกมา!G168</f>
        <v>0</v>
      </c>
      <c r="D169" s="5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</f>
        <v>0</v>
      </c>
      <c r="E169" s="57">
        <f t="shared" si="7"/>
        <v>0</v>
      </c>
      <c r="F169" s="5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338</f>
        <v>0</v>
      </c>
      <c r="G169" s="59">
        <f t="shared" si="9"/>
        <v>0</v>
      </c>
      <c r="H169" s="5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</f>
        <v>0</v>
      </c>
      <c r="I169" s="8">
        <v>85</v>
      </c>
      <c r="J169" s="5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9" s="14"/>
      <c r="M169" s="67"/>
      <c r="U169" s="4"/>
    </row>
    <row r="170" spans="1:21" x14ac:dyDescent="0.55000000000000004">
      <c r="A170" s="5">
        <v>166</v>
      </c>
      <c r="B170" s="14" t="s">
        <v>182</v>
      </c>
      <c r="C170" s="57">
        <f>+ยกมา!G169</f>
        <v>0</v>
      </c>
      <c r="D170" s="5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</f>
        <v>0</v>
      </c>
      <c r="E170" s="57">
        <f t="shared" si="7"/>
        <v>0</v>
      </c>
      <c r="F170" s="5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339</f>
        <v>0</v>
      </c>
      <c r="G170" s="59">
        <f t="shared" si="9"/>
        <v>0</v>
      </c>
      <c r="H170" s="5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</f>
        <v>0</v>
      </c>
      <c r="I170" s="8">
        <v>80</v>
      </c>
      <c r="J170" s="5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70" s="14"/>
      <c r="M170" s="67"/>
      <c r="U170" s="4"/>
    </row>
    <row r="171" spans="1:21" x14ac:dyDescent="0.55000000000000004">
      <c r="A171" s="5">
        <v>167</v>
      </c>
      <c r="B171" s="14" t="s">
        <v>183</v>
      </c>
      <c r="C171" s="57">
        <f>+ยกมา!G170</f>
        <v>0</v>
      </c>
      <c r="D171" s="5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</f>
        <v>0</v>
      </c>
      <c r="E171" s="57">
        <f t="shared" si="7"/>
        <v>0</v>
      </c>
      <c r="F171" s="5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340</f>
        <v>0</v>
      </c>
      <c r="G171" s="59">
        <f t="shared" si="9"/>
        <v>0</v>
      </c>
      <c r="H171" s="5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</f>
        <v>0</v>
      </c>
      <c r="I171" s="8">
        <v>40</v>
      </c>
      <c r="J171" s="5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1" s="14"/>
      <c r="M171" s="67"/>
      <c r="U171" s="4"/>
    </row>
    <row r="172" spans="1:21" x14ac:dyDescent="0.55000000000000004">
      <c r="A172" s="5">
        <v>168</v>
      </c>
      <c r="B172" s="14" t="s">
        <v>184</v>
      </c>
      <c r="C172" s="57">
        <f>+ยกมา!G171</f>
        <v>0</v>
      </c>
      <c r="D172" s="5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</f>
        <v>0</v>
      </c>
      <c r="E172" s="57">
        <f t="shared" si="7"/>
        <v>0</v>
      </c>
      <c r="F172" s="5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341</f>
        <v>0</v>
      </c>
      <c r="G172" s="59">
        <f t="shared" si="9"/>
        <v>0</v>
      </c>
      <c r="H172" s="5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</f>
        <v>0</v>
      </c>
      <c r="I172" s="8">
        <v>120</v>
      </c>
      <c r="J172" s="5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2" s="14"/>
      <c r="M172" s="67"/>
      <c r="U172" s="4"/>
    </row>
    <row r="173" spans="1:21" x14ac:dyDescent="0.55000000000000004">
      <c r="A173" s="5">
        <v>169</v>
      </c>
      <c r="B173" s="14" t="s">
        <v>185</v>
      </c>
      <c r="C173" s="57">
        <f>+ยกมา!G172</f>
        <v>0</v>
      </c>
      <c r="D173" s="5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</f>
        <v>0</v>
      </c>
      <c r="E173" s="57">
        <f t="shared" si="7"/>
        <v>0</v>
      </c>
      <c r="F173" s="5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342</f>
        <v>0</v>
      </c>
      <c r="G173" s="59">
        <f t="shared" si="9"/>
        <v>0</v>
      </c>
      <c r="H173" s="5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</f>
        <v>0</v>
      </c>
      <c r="I173" s="8">
        <v>120</v>
      </c>
      <c r="J173" s="5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3" s="14"/>
      <c r="M173" s="67"/>
      <c r="U173" s="4"/>
    </row>
    <row r="174" spans="1:21" x14ac:dyDescent="0.55000000000000004">
      <c r="A174" s="5">
        <v>170</v>
      </c>
      <c r="B174" s="14" t="s">
        <v>186</v>
      </c>
      <c r="C174" s="57">
        <f>+ยกมา!G173</f>
        <v>0</v>
      </c>
      <c r="D174" s="5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</f>
        <v>0</v>
      </c>
      <c r="E174" s="57">
        <f t="shared" si="7"/>
        <v>0</v>
      </c>
      <c r="F174" s="5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343</f>
        <v>0</v>
      </c>
      <c r="G174" s="59">
        <f t="shared" si="9"/>
        <v>0</v>
      </c>
      <c r="H174" s="5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</f>
        <v>0</v>
      </c>
      <c r="I174" s="8">
        <v>55</v>
      </c>
      <c r="J174" s="5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4" s="14"/>
      <c r="M174" s="67"/>
      <c r="U174" s="4"/>
    </row>
    <row r="175" spans="1:21" x14ac:dyDescent="0.55000000000000004">
      <c r="A175" s="5">
        <v>171</v>
      </c>
      <c r="B175" s="14" t="s">
        <v>187</v>
      </c>
      <c r="C175" s="57">
        <f>+ยกมา!G174</f>
        <v>0</v>
      </c>
      <c r="D175" s="5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</f>
        <v>0</v>
      </c>
      <c r="E175" s="57">
        <f t="shared" si="7"/>
        <v>0</v>
      </c>
      <c r="F175" s="5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344</f>
        <v>0</v>
      </c>
      <c r="G175" s="59">
        <f t="shared" si="9"/>
        <v>0</v>
      </c>
      <c r="H175" s="5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</f>
        <v>0</v>
      </c>
      <c r="I175" s="8">
        <v>50</v>
      </c>
      <c r="J175" s="5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5" s="14"/>
      <c r="M175" s="67"/>
      <c r="U175" s="4"/>
    </row>
    <row r="176" spans="1:21" x14ac:dyDescent="0.55000000000000004">
      <c r="A176" s="5">
        <v>172</v>
      </c>
      <c r="B176" s="14" t="s">
        <v>188</v>
      </c>
      <c r="C176" s="57">
        <f>+ยกมา!G175</f>
        <v>1</v>
      </c>
      <c r="D176" s="5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</f>
        <v>0</v>
      </c>
      <c r="E176" s="57">
        <f t="shared" si="7"/>
        <v>1</v>
      </c>
      <c r="F176" s="5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345</f>
        <v>0</v>
      </c>
      <c r="G176" s="59">
        <f t="shared" si="9"/>
        <v>1</v>
      </c>
      <c r="H176" s="5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</f>
        <v>0</v>
      </c>
      <c r="I176" s="8">
        <v>50</v>
      </c>
      <c r="J176" s="5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6" s="14"/>
      <c r="M176" s="67"/>
      <c r="U176" s="4"/>
    </row>
    <row r="177" spans="1:21" x14ac:dyDescent="0.55000000000000004">
      <c r="A177" s="5">
        <v>173</v>
      </c>
      <c r="B177" s="14" t="s">
        <v>189</v>
      </c>
      <c r="C177" s="57">
        <f>+ยกมา!G176</f>
        <v>0</v>
      </c>
      <c r="D177" s="5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</f>
        <v>0</v>
      </c>
      <c r="E177" s="57">
        <f t="shared" si="7"/>
        <v>0</v>
      </c>
      <c r="F177" s="5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346</f>
        <v>0</v>
      </c>
      <c r="G177" s="59">
        <f t="shared" si="9"/>
        <v>0</v>
      </c>
      <c r="H177" s="5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</f>
        <v>0</v>
      </c>
      <c r="I177" s="8">
        <v>120</v>
      </c>
      <c r="J177" s="5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7" s="14"/>
      <c r="M177" s="67"/>
      <c r="U177" s="4"/>
    </row>
    <row r="178" spans="1:21" x14ac:dyDescent="0.55000000000000004">
      <c r="A178" s="5">
        <v>174</v>
      </c>
      <c r="B178" s="14" t="s">
        <v>190</v>
      </c>
      <c r="C178" s="57">
        <f>+ยกมา!G177</f>
        <v>0</v>
      </c>
      <c r="D178" s="5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</f>
        <v>20</v>
      </c>
      <c r="E178" s="57">
        <f t="shared" si="7"/>
        <v>20</v>
      </c>
      <c r="F178" s="5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347</f>
        <v>0</v>
      </c>
      <c r="G178" s="59">
        <f t="shared" si="9"/>
        <v>0</v>
      </c>
      <c r="H178" s="5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</f>
        <v>20</v>
      </c>
      <c r="I178" s="8">
        <v>120</v>
      </c>
      <c r="J178" s="5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2400</v>
      </c>
      <c r="K178" s="14"/>
      <c r="M178" s="67"/>
      <c r="U178" s="4"/>
    </row>
    <row r="179" spans="1:21" x14ac:dyDescent="0.55000000000000004">
      <c r="A179" s="5">
        <v>175</v>
      </c>
      <c r="B179" s="14" t="s">
        <v>191</v>
      </c>
      <c r="C179" s="57">
        <f>+ยกมา!G178</f>
        <v>0</v>
      </c>
      <c r="D179" s="5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</f>
        <v>0</v>
      </c>
      <c r="E179" s="57">
        <f t="shared" si="7"/>
        <v>0</v>
      </c>
      <c r="F179" s="5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348</f>
        <v>0</v>
      </c>
      <c r="G179" s="59">
        <f t="shared" si="9"/>
        <v>0</v>
      </c>
      <c r="H179" s="5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</f>
        <v>0</v>
      </c>
      <c r="I179" s="8">
        <v>10</v>
      </c>
      <c r="J179" s="5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9" s="14"/>
      <c r="M179" s="67"/>
      <c r="U179" s="4"/>
    </row>
    <row r="180" spans="1:21" x14ac:dyDescent="0.55000000000000004">
      <c r="A180" s="5">
        <v>176</v>
      </c>
      <c r="B180" s="14" t="s">
        <v>192</v>
      </c>
      <c r="C180" s="57">
        <f>+ยกมา!G179</f>
        <v>0</v>
      </c>
      <c r="D180" s="5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</f>
        <v>0</v>
      </c>
      <c r="E180" s="57">
        <f t="shared" si="7"/>
        <v>0</v>
      </c>
      <c r="F180" s="5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349</f>
        <v>0</v>
      </c>
      <c r="G180" s="59">
        <f t="shared" si="9"/>
        <v>0</v>
      </c>
      <c r="H180" s="5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</f>
        <v>0</v>
      </c>
      <c r="I180" s="8">
        <v>35</v>
      </c>
      <c r="J180" s="5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80" s="14"/>
      <c r="M180" s="67"/>
      <c r="U180" s="4"/>
    </row>
    <row r="181" spans="1:21" x14ac:dyDescent="0.55000000000000004">
      <c r="A181" s="5">
        <v>177</v>
      </c>
      <c r="B181" s="14" t="s">
        <v>193</v>
      </c>
      <c r="C181" s="57">
        <f>+ยกมา!G180</f>
        <v>0</v>
      </c>
      <c r="D181" s="5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</f>
        <v>0</v>
      </c>
      <c r="E181" s="57">
        <f t="shared" si="7"/>
        <v>0</v>
      </c>
      <c r="F181" s="5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350</f>
        <v>0</v>
      </c>
      <c r="G181" s="59">
        <f t="shared" si="9"/>
        <v>0</v>
      </c>
      <c r="H181" s="5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</f>
        <v>0</v>
      </c>
      <c r="I181" s="8">
        <v>10</v>
      </c>
      <c r="J181" s="5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1" s="14"/>
      <c r="M181" s="67"/>
      <c r="U181" s="4"/>
    </row>
    <row r="182" spans="1:21" x14ac:dyDescent="0.55000000000000004">
      <c r="A182" s="5">
        <v>178</v>
      </c>
      <c r="B182" s="14" t="s">
        <v>194</v>
      </c>
      <c r="C182" s="57">
        <f>+ยกมา!G181</f>
        <v>0</v>
      </c>
      <c r="D182" s="5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</f>
        <v>0</v>
      </c>
      <c r="E182" s="57">
        <f t="shared" si="7"/>
        <v>0</v>
      </c>
      <c r="F182" s="5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351</f>
        <v>0</v>
      </c>
      <c r="G182" s="59">
        <f t="shared" si="9"/>
        <v>0</v>
      </c>
      <c r="H182" s="5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</f>
        <v>0</v>
      </c>
      <c r="I182" s="8">
        <v>10</v>
      </c>
      <c r="J182" s="5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2" s="14"/>
      <c r="M182" s="67"/>
      <c r="U182" s="4"/>
    </row>
    <row r="183" spans="1:21" x14ac:dyDescent="0.55000000000000004">
      <c r="A183" s="5">
        <v>179</v>
      </c>
      <c r="B183" s="14" t="s">
        <v>195</v>
      </c>
      <c r="C183" s="57">
        <f>+ยกมา!G182</f>
        <v>0</v>
      </c>
      <c r="D183" s="5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</f>
        <v>0</v>
      </c>
      <c r="E183" s="57">
        <f t="shared" si="7"/>
        <v>0</v>
      </c>
      <c r="F183" s="5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352</f>
        <v>0</v>
      </c>
      <c r="G183" s="59">
        <f t="shared" si="9"/>
        <v>0</v>
      </c>
      <c r="H183" s="5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</f>
        <v>0</v>
      </c>
      <c r="I183" s="8">
        <v>10</v>
      </c>
      <c r="J183" s="5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3" s="14"/>
      <c r="M183" s="67"/>
      <c r="U183" s="4"/>
    </row>
    <row r="184" spans="1:21" x14ac:dyDescent="0.55000000000000004">
      <c r="A184" s="5">
        <v>180</v>
      </c>
      <c r="B184" s="14" t="s">
        <v>196</v>
      </c>
      <c r="C184" s="57">
        <f>+ยกมา!G183</f>
        <v>0</v>
      </c>
      <c r="D184" s="5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</f>
        <v>0</v>
      </c>
      <c r="E184" s="57">
        <f t="shared" si="7"/>
        <v>0</v>
      </c>
      <c r="F184" s="5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353</f>
        <v>0</v>
      </c>
      <c r="G184" s="59">
        <f t="shared" si="9"/>
        <v>0</v>
      </c>
      <c r="H184" s="5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</f>
        <v>0</v>
      </c>
      <c r="I184" s="8">
        <v>10</v>
      </c>
      <c r="J184" s="5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4" s="14"/>
      <c r="M184" s="67"/>
      <c r="U184" s="4"/>
    </row>
    <row r="185" spans="1:21" x14ac:dyDescent="0.55000000000000004">
      <c r="A185" s="5">
        <v>181</v>
      </c>
      <c r="B185" s="14" t="s">
        <v>197</v>
      </c>
      <c r="C185" s="57">
        <f>+ยกมา!G184</f>
        <v>0</v>
      </c>
      <c r="D185" s="5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</f>
        <v>0</v>
      </c>
      <c r="E185" s="57">
        <f t="shared" si="7"/>
        <v>0</v>
      </c>
      <c r="F185" s="5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354</f>
        <v>0</v>
      </c>
      <c r="G185" s="59">
        <f t="shared" si="9"/>
        <v>0</v>
      </c>
      <c r="H185" s="5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</f>
        <v>0</v>
      </c>
      <c r="I185" s="8">
        <v>10</v>
      </c>
      <c r="J185" s="5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5" s="14"/>
      <c r="M185" s="67"/>
      <c r="U185" s="4"/>
    </row>
    <row r="186" spans="1:21" x14ac:dyDescent="0.55000000000000004">
      <c r="A186" s="5">
        <v>182</v>
      </c>
      <c r="B186" s="14" t="s">
        <v>198</v>
      </c>
      <c r="C186" s="57">
        <f>+ยกมา!G185</f>
        <v>0</v>
      </c>
      <c r="D186" s="5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</f>
        <v>0</v>
      </c>
      <c r="E186" s="57">
        <f t="shared" si="7"/>
        <v>0</v>
      </c>
      <c r="F186" s="5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355</f>
        <v>0</v>
      </c>
      <c r="G186" s="59">
        <f t="shared" si="9"/>
        <v>0</v>
      </c>
      <c r="H186" s="5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</f>
        <v>0</v>
      </c>
      <c r="I186" s="8">
        <v>25</v>
      </c>
      <c r="J186" s="5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6" s="14"/>
      <c r="M186" s="67"/>
      <c r="U186" s="4"/>
    </row>
    <row r="187" spans="1:21" x14ac:dyDescent="0.55000000000000004">
      <c r="A187" s="5">
        <v>183</v>
      </c>
      <c r="B187" s="14" t="s">
        <v>199</v>
      </c>
      <c r="C187" s="57">
        <f>+ยกมา!G186</f>
        <v>0</v>
      </c>
      <c r="D187" s="5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</f>
        <v>0</v>
      </c>
      <c r="E187" s="57">
        <f t="shared" si="7"/>
        <v>0</v>
      </c>
      <c r="F187" s="5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356</f>
        <v>0</v>
      </c>
      <c r="G187" s="59">
        <f t="shared" si="9"/>
        <v>0</v>
      </c>
      <c r="H187" s="5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</f>
        <v>0</v>
      </c>
      <c r="I187" s="8">
        <v>15</v>
      </c>
      <c r="J187" s="5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7" s="14"/>
      <c r="M187" s="67"/>
      <c r="U187" s="4"/>
    </row>
    <row r="188" spans="1:21" x14ac:dyDescent="0.55000000000000004">
      <c r="A188" s="5">
        <v>184</v>
      </c>
      <c r="B188" s="14" t="s">
        <v>200</v>
      </c>
      <c r="C188" s="57">
        <f>+ยกมา!G187</f>
        <v>0</v>
      </c>
      <c r="D188" s="5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</f>
        <v>0</v>
      </c>
      <c r="E188" s="57">
        <f t="shared" si="7"/>
        <v>0</v>
      </c>
      <c r="F188" s="5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357</f>
        <v>0</v>
      </c>
      <c r="G188" s="59">
        <f t="shared" si="9"/>
        <v>0</v>
      </c>
      <c r="H188" s="5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</f>
        <v>0</v>
      </c>
      <c r="I188" s="8">
        <v>25</v>
      </c>
      <c r="J188" s="5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8" s="14"/>
      <c r="M188" s="67"/>
      <c r="U188" s="4"/>
    </row>
    <row r="189" spans="1:21" x14ac:dyDescent="0.55000000000000004">
      <c r="A189" s="5">
        <v>185</v>
      </c>
      <c r="B189" s="14" t="s">
        <v>201</v>
      </c>
      <c r="C189" s="57">
        <f>+ยกมา!G188</f>
        <v>0</v>
      </c>
      <c r="D189" s="5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</f>
        <v>0</v>
      </c>
      <c r="E189" s="57">
        <f t="shared" si="7"/>
        <v>0</v>
      </c>
      <c r="F189" s="5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358</f>
        <v>0</v>
      </c>
      <c r="G189" s="59">
        <f t="shared" si="9"/>
        <v>0</v>
      </c>
      <c r="H189" s="5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</f>
        <v>0</v>
      </c>
      <c r="I189" s="8">
        <v>45</v>
      </c>
      <c r="J189" s="5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9" s="14"/>
      <c r="M189" s="67"/>
      <c r="U189" s="4"/>
    </row>
    <row r="190" spans="1:21" x14ac:dyDescent="0.55000000000000004">
      <c r="A190" s="5">
        <v>186</v>
      </c>
      <c r="B190" s="14" t="s">
        <v>202</v>
      </c>
      <c r="C190" s="57">
        <f>+ยกมา!G189</f>
        <v>0</v>
      </c>
      <c r="D190" s="5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</f>
        <v>0</v>
      </c>
      <c r="E190" s="57">
        <f t="shared" si="7"/>
        <v>0</v>
      </c>
      <c r="F190" s="5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359</f>
        <v>0</v>
      </c>
      <c r="G190" s="59">
        <f t="shared" si="9"/>
        <v>0</v>
      </c>
      <c r="H190" s="5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</f>
        <v>0</v>
      </c>
      <c r="I190" s="8">
        <v>150</v>
      </c>
      <c r="J190" s="5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90" s="14"/>
      <c r="M190" s="67"/>
      <c r="U190" s="4"/>
    </row>
    <row r="191" spans="1:21" x14ac:dyDescent="0.55000000000000004">
      <c r="A191" s="5">
        <v>187</v>
      </c>
      <c r="B191" s="14" t="s">
        <v>203</v>
      </c>
      <c r="C191" s="57">
        <f>+ยกมา!G190</f>
        <v>0</v>
      </c>
      <c r="D191" s="5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</f>
        <v>0</v>
      </c>
      <c r="E191" s="57">
        <f t="shared" si="7"/>
        <v>0</v>
      </c>
      <c r="F191" s="5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360</f>
        <v>0</v>
      </c>
      <c r="G191" s="59">
        <f t="shared" si="9"/>
        <v>0</v>
      </c>
      <c r="H191" s="5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</f>
        <v>0</v>
      </c>
      <c r="I191" s="8">
        <v>150</v>
      </c>
      <c r="J191" s="5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1" s="14"/>
      <c r="M191" s="67"/>
      <c r="U191" s="4"/>
    </row>
    <row r="192" spans="1:21" x14ac:dyDescent="0.55000000000000004">
      <c r="A192" s="5">
        <v>188</v>
      </c>
      <c r="B192" s="14" t="s">
        <v>204</v>
      </c>
      <c r="C192" s="57">
        <f>+ยกมา!G191</f>
        <v>0</v>
      </c>
      <c r="D192" s="5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</f>
        <v>0</v>
      </c>
      <c r="E192" s="57">
        <f t="shared" si="7"/>
        <v>0</v>
      </c>
      <c r="F192" s="5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361</f>
        <v>0</v>
      </c>
      <c r="G192" s="59">
        <f t="shared" si="9"/>
        <v>0</v>
      </c>
      <c r="H192" s="5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</f>
        <v>0</v>
      </c>
      <c r="I192" s="8">
        <v>150</v>
      </c>
      <c r="J192" s="5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2" s="14"/>
      <c r="M192" s="67"/>
      <c r="U192" s="4"/>
    </row>
    <row r="193" spans="1:21" x14ac:dyDescent="0.55000000000000004">
      <c r="A193" s="5">
        <v>189</v>
      </c>
      <c r="B193" s="14" t="s">
        <v>220</v>
      </c>
      <c r="C193" s="57">
        <f>+ยกมา!G192</f>
        <v>-1</v>
      </c>
      <c r="D193" s="5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</f>
        <v>0</v>
      </c>
      <c r="E193" s="57">
        <f t="shared" si="7"/>
        <v>-1</v>
      </c>
      <c r="F193" s="5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362</f>
        <v>0</v>
      </c>
      <c r="G193" s="59">
        <f t="shared" si="9"/>
        <v>-1</v>
      </c>
      <c r="H193" s="5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</f>
        <v>0</v>
      </c>
      <c r="I193" s="8">
        <v>120</v>
      </c>
      <c r="J193" s="5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3" s="14"/>
      <c r="M193" s="67"/>
      <c r="U193" s="4"/>
    </row>
    <row r="194" spans="1:21" x14ac:dyDescent="0.55000000000000004">
      <c r="A194" s="5">
        <v>190</v>
      </c>
      <c r="B194" s="14" t="s">
        <v>221</v>
      </c>
      <c r="C194" s="57">
        <f>+ยกมา!G193</f>
        <v>0</v>
      </c>
      <c r="D194" s="5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</f>
        <v>0</v>
      </c>
      <c r="E194" s="57">
        <f t="shared" si="7"/>
        <v>0</v>
      </c>
      <c r="F194" s="5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363</f>
        <v>0</v>
      </c>
      <c r="G194" s="59">
        <f t="shared" si="9"/>
        <v>0</v>
      </c>
      <c r="H194" s="5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</f>
        <v>0</v>
      </c>
      <c r="I194" s="8">
        <v>65</v>
      </c>
      <c r="J194" s="5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4" s="14"/>
      <c r="M194" s="67"/>
      <c r="U194" s="4"/>
    </row>
    <row r="195" spans="1:21" x14ac:dyDescent="0.55000000000000004">
      <c r="A195" s="5">
        <v>191</v>
      </c>
      <c r="B195" s="14" t="s">
        <v>248</v>
      </c>
      <c r="C195" s="57">
        <f>+ยกมา!G194</f>
        <v>0</v>
      </c>
      <c r="D195" s="5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</f>
        <v>0</v>
      </c>
      <c r="E195" s="57">
        <f t="shared" si="7"/>
        <v>0</v>
      </c>
      <c r="F195" s="5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364</f>
        <v>0</v>
      </c>
      <c r="G195" s="59">
        <f t="shared" si="9"/>
        <v>0</v>
      </c>
      <c r="H195" s="5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</f>
        <v>0</v>
      </c>
      <c r="I195" s="8">
        <v>0</v>
      </c>
      <c r="J195" s="5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5" s="14"/>
      <c r="M195" s="67"/>
      <c r="U195" s="4"/>
    </row>
    <row r="196" spans="1:21" x14ac:dyDescent="0.55000000000000004">
      <c r="A196" s="5">
        <v>192</v>
      </c>
      <c r="B196" s="6" t="s">
        <v>250</v>
      </c>
      <c r="C196" s="57">
        <f>+ยกมา!G195</f>
        <v>5</v>
      </c>
      <c r="D196" s="5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</f>
        <v>0</v>
      </c>
      <c r="E196" s="57">
        <f t="shared" si="7"/>
        <v>5</v>
      </c>
      <c r="F196" s="5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365</f>
        <v>2</v>
      </c>
      <c r="G196" s="59">
        <f t="shared" si="9"/>
        <v>0</v>
      </c>
      <c r="H196" s="5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</f>
        <v>3</v>
      </c>
      <c r="I196" s="8">
        <v>35</v>
      </c>
      <c r="J196" s="5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85</v>
      </c>
      <c r="K196" s="14"/>
      <c r="M196" s="67"/>
      <c r="U196" s="4"/>
    </row>
    <row r="197" spans="1:21" x14ac:dyDescent="0.55000000000000004">
      <c r="A197" s="5">
        <v>193</v>
      </c>
      <c r="B197" s="14" t="s">
        <v>252</v>
      </c>
      <c r="C197" s="57">
        <f>+ยกมา!G196</f>
        <v>9</v>
      </c>
      <c r="D197" s="5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</f>
        <v>0</v>
      </c>
      <c r="E197" s="57">
        <f t="shared" si="7"/>
        <v>9</v>
      </c>
      <c r="F197" s="5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366</f>
        <v>0</v>
      </c>
      <c r="G197" s="59">
        <f t="shared" si="9"/>
        <v>9</v>
      </c>
      <c r="H197" s="5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</f>
        <v>0</v>
      </c>
      <c r="I197" s="8">
        <v>199</v>
      </c>
      <c r="J197" s="5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7" s="14"/>
      <c r="M197" s="67"/>
      <c r="U197" s="4"/>
    </row>
    <row r="198" spans="1:21" x14ac:dyDescent="0.55000000000000004">
      <c r="A198" s="5">
        <v>194</v>
      </c>
      <c r="B198" s="14" t="s">
        <v>257</v>
      </c>
      <c r="C198" s="57">
        <f>+ยกมา!G197</f>
        <v>0</v>
      </c>
      <c r="D198" s="5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</f>
        <v>45</v>
      </c>
      <c r="E198" s="57">
        <f t="shared" si="7"/>
        <v>45</v>
      </c>
      <c r="F198" s="5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367</f>
        <v>0</v>
      </c>
      <c r="G198" s="59">
        <f t="shared" ref="G198:G200" si="10">C198+D198-F198-H198</f>
        <v>2</v>
      </c>
      <c r="H198" s="5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</f>
        <v>43</v>
      </c>
      <c r="I198" s="8">
        <v>40</v>
      </c>
      <c r="J198" s="5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1720</v>
      </c>
      <c r="K198" s="14"/>
      <c r="M198" s="67"/>
      <c r="U198" s="4"/>
    </row>
    <row r="199" spans="1:21" x14ac:dyDescent="0.55000000000000004">
      <c r="A199" s="5">
        <v>195</v>
      </c>
      <c r="B199" s="14" t="s">
        <v>262</v>
      </c>
      <c r="C199" s="57">
        <f>+ยกมา!G198</f>
        <v>0</v>
      </c>
      <c r="D199" s="5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</f>
        <v>10</v>
      </c>
      <c r="E199" s="57">
        <f t="shared" si="7"/>
        <v>10</v>
      </c>
      <c r="F199" s="5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368</f>
        <v>0</v>
      </c>
      <c r="G199" s="59">
        <f t="shared" si="10"/>
        <v>-14</v>
      </c>
      <c r="H199" s="5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</f>
        <v>24</v>
      </c>
      <c r="I199" s="8">
        <v>40</v>
      </c>
      <c r="J199" s="5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960</v>
      </c>
      <c r="K199" s="14"/>
      <c r="M199" s="67"/>
      <c r="U199" s="4"/>
    </row>
    <row r="200" spans="1:21" x14ac:dyDescent="0.55000000000000004">
      <c r="A200" s="5">
        <v>196</v>
      </c>
      <c r="B200" s="14" t="s">
        <v>263</v>
      </c>
      <c r="C200" s="57">
        <f>+ยกมา!G199</f>
        <v>0</v>
      </c>
      <c r="D200" s="5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</f>
        <v>10</v>
      </c>
      <c r="E200" s="57">
        <f t="shared" si="7"/>
        <v>10</v>
      </c>
      <c r="F200" s="5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369</f>
        <v>0</v>
      </c>
      <c r="G200" s="59">
        <f t="shared" si="10"/>
        <v>0</v>
      </c>
      <c r="H200" s="5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</f>
        <v>10</v>
      </c>
      <c r="I200" s="8">
        <v>40</v>
      </c>
      <c r="J200" s="5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400</v>
      </c>
      <c r="K200" s="14"/>
      <c r="M200" s="67"/>
      <c r="U200" s="4"/>
    </row>
    <row r="201" spans="1:21" x14ac:dyDescent="0.55000000000000004">
      <c r="A201" s="5">
        <v>197</v>
      </c>
      <c r="B201" s="14"/>
      <c r="C201" s="57">
        <f>+ยกมา!G200</f>
        <v>0</v>
      </c>
      <c r="D201" s="5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</f>
        <v>0</v>
      </c>
      <c r="E201" s="57">
        <f t="shared" si="7"/>
        <v>0</v>
      </c>
      <c r="F201" s="5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370</f>
        <v>0</v>
      </c>
      <c r="G201" s="59">
        <f t="shared" ref="G198:G225" si="11">C201+D201-F201-H201</f>
        <v>0</v>
      </c>
      <c r="H201" s="5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</f>
        <v>0</v>
      </c>
      <c r="I201" s="68">
        <v>0</v>
      </c>
      <c r="J201" s="5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1" s="14"/>
      <c r="M201" s="67"/>
      <c r="U201" s="4"/>
    </row>
    <row r="202" spans="1:21" x14ac:dyDescent="0.55000000000000004">
      <c r="A202" s="5">
        <v>198</v>
      </c>
      <c r="B202" s="6"/>
      <c r="C202" s="57">
        <f>+ยกมา!G201</f>
        <v>0</v>
      </c>
      <c r="D202" s="5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</f>
        <v>0</v>
      </c>
      <c r="E202" s="57">
        <f t="shared" si="7"/>
        <v>0</v>
      </c>
      <c r="F202" s="5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371</f>
        <v>0</v>
      </c>
      <c r="G202" s="59">
        <f t="shared" si="11"/>
        <v>0</v>
      </c>
      <c r="H202" s="5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</f>
        <v>0</v>
      </c>
      <c r="I202" s="68">
        <v>0</v>
      </c>
      <c r="J202" s="5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2" s="14"/>
      <c r="M202" s="67"/>
      <c r="U202" s="4"/>
    </row>
    <row r="203" spans="1:21" x14ac:dyDescent="0.55000000000000004">
      <c r="A203" s="5">
        <v>199</v>
      </c>
      <c r="B203" s="6"/>
      <c r="C203" s="57">
        <f>+ยกมา!G202</f>
        <v>0</v>
      </c>
      <c r="D203" s="5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</f>
        <v>0</v>
      </c>
      <c r="E203" s="57">
        <f t="shared" ref="E203:E225" si="12">+C203+D203</f>
        <v>0</v>
      </c>
      <c r="F203" s="5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372</f>
        <v>0</v>
      </c>
      <c r="G203" s="59">
        <f t="shared" si="11"/>
        <v>0</v>
      </c>
      <c r="H203" s="5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</f>
        <v>0</v>
      </c>
      <c r="I203" s="68">
        <v>0</v>
      </c>
      <c r="J203" s="5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3" s="14"/>
      <c r="M203" s="67"/>
      <c r="U203" s="4"/>
    </row>
    <row r="204" spans="1:21" x14ac:dyDescent="0.55000000000000004">
      <c r="A204" s="5">
        <v>200</v>
      </c>
      <c r="B204" s="6"/>
      <c r="C204" s="57">
        <f>+ยกมา!G203</f>
        <v>0</v>
      </c>
      <c r="D204" s="5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</f>
        <v>0</v>
      </c>
      <c r="E204" s="57">
        <f t="shared" si="12"/>
        <v>0</v>
      </c>
      <c r="F204" s="5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373</f>
        <v>0</v>
      </c>
      <c r="G204" s="59">
        <f t="shared" si="11"/>
        <v>0</v>
      </c>
      <c r="H204" s="5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</f>
        <v>0</v>
      </c>
      <c r="I204" s="68">
        <v>0</v>
      </c>
      <c r="J204" s="5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4" s="14"/>
      <c r="M204" s="67"/>
      <c r="U204" s="4"/>
    </row>
    <row r="205" spans="1:21" x14ac:dyDescent="0.55000000000000004">
      <c r="A205" s="5">
        <v>201</v>
      </c>
      <c r="B205" s="6"/>
      <c r="C205" s="57">
        <f>+ยกมา!G204</f>
        <v>0</v>
      </c>
      <c r="D205" s="5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</f>
        <v>0</v>
      </c>
      <c r="E205" s="57">
        <f t="shared" si="12"/>
        <v>0</v>
      </c>
      <c r="F205" s="5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374</f>
        <v>0</v>
      </c>
      <c r="G205" s="59">
        <f t="shared" si="11"/>
        <v>0</v>
      </c>
      <c r="H205" s="58">
        <v>0</v>
      </c>
      <c r="I205" s="68">
        <v>0</v>
      </c>
      <c r="J205" s="5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5" s="14"/>
      <c r="M205" s="67"/>
      <c r="U205" s="4"/>
    </row>
    <row r="206" spans="1:21" x14ac:dyDescent="0.55000000000000004">
      <c r="A206" s="5">
        <v>202</v>
      </c>
      <c r="B206" s="6"/>
      <c r="C206" s="57">
        <f>+ยกมา!G205</f>
        <v>0</v>
      </c>
      <c r="D206" s="5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</f>
        <v>0</v>
      </c>
      <c r="E206" s="57">
        <f t="shared" si="12"/>
        <v>0</v>
      </c>
      <c r="F206" s="5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375</f>
        <v>0</v>
      </c>
      <c r="G206" s="59">
        <f t="shared" si="11"/>
        <v>0</v>
      </c>
      <c r="H206" s="58">
        <v>0</v>
      </c>
      <c r="I206" s="68">
        <v>0</v>
      </c>
      <c r="J206" s="5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6" s="14"/>
      <c r="M206" s="67"/>
      <c r="U206" s="4"/>
    </row>
    <row r="207" spans="1:21" x14ac:dyDescent="0.55000000000000004">
      <c r="A207" s="5">
        <v>203</v>
      </c>
      <c r="B207" s="6"/>
      <c r="C207" s="57">
        <f>+ยกมา!G206</f>
        <v>0</v>
      </c>
      <c r="D207" s="5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</f>
        <v>0</v>
      </c>
      <c r="E207" s="57">
        <f t="shared" si="12"/>
        <v>0</v>
      </c>
      <c r="F207" s="5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376</f>
        <v>0</v>
      </c>
      <c r="G207" s="59">
        <f t="shared" si="11"/>
        <v>0</v>
      </c>
      <c r="H207" s="5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</f>
        <v>0</v>
      </c>
      <c r="I207" s="68">
        <v>0</v>
      </c>
      <c r="J207" s="5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7" s="14"/>
      <c r="M207" s="67"/>
      <c r="U207" s="4"/>
    </row>
    <row r="208" spans="1:21" x14ac:dyDescent="0.55000000000000004">
      <c r="A208" s="5">
        <v>204</v>
      </c>
      <c r="B208" s="6"/>
      <c r="C208" s="57">
        <f>+ยกมา!G207</f>
        <v>0</v>
      </c>
      <c r="D208" s="5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</f>
        <v>0</v>
      </c>
      <c r="E208" s="57">
        <f t="shared" si="12"/>
        <v>0</v>
      </c>
      <c r="F208" s="5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377</f>
        <v>0</v>
      </c>
      <c r="G208" s="59">
        <f t="shared" si="11"/>
        <v>0</v>
      </c>
      <c r="H208" s="5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</f>
        <v>0</v>
      </c>
      <c r="I208" s="68">
        <v>0</v>
      </c>
      <c r="J208" s="5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8" s="14"/>
      <c r="M208" s="67"/>
      <c r="U208" s="4"/>
    </row>
    <row r="209" spans="1:21" x14ac:dyDescent="0.55000000000000004">
      <c r="A209" s="5">
        <v>205</v>
      </c>
      <c r="B209" s="6"/>
      <c r="C209" s="57">
        <f>+ยกมา!G208</f>
        <v>0</v>
      </c>
      <c r="D209" s="5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</f>
        <v>0</v>
      </c>
      <c r="E209" s="57">
        <f t="shared" si="12"/>
        <v>0</v>
      </c>
      <c r="F209" s="5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378</f>
        <v>0</v>
      </c>
      <c r="G209" s="59">
        <f t="shared" si="11"/>
        <v>0</v>
      </c>
      <c r="H209" s="5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</f>
        <v>0</v>
      </c>
      <c r="I209" s="68">
        <v>0</v>
      </c>
      <c r="J209" s="5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9" s="14"/>
      <c r="M209" s="67"/>
      <c r="U209" s="4"/>
    </row>
    <row r="210" spans="1:21" x14ac:dyDescent="0.55000000000000004">
      <c r="A210" s="5">
        <v>206</v>
      </c>
      <c r="B210" s="6"/>
      <c r="C210" s="57">
        <f>+ยกมา!G209</f>
        <v>0</v>
      </c>
      <c r="D210" s="5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</f>
        <v>0</v>
      </c>
      <c r="E210" s="57">
        <f t="shared" si="12"/>
        <v>0</v>
      </c>
      <c r="F210" s="5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379</f>
        <v>0</v>
      </c>
      <c r="G210" s="59">
        <f t="shared" si="11"/>
        <v>0</v>
      </c>
      <c r="H210" s="5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</f>
        <v>0</v>
      </c>
      <c r="I210" s="68">
        <v>0</v>
      </c>
      <c r="J210" s="5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10" s="14"/>
      <c r="M210" s="67"/>
      <c r="U210" s="4"/>
    </row>
    <row r="211" spans="1:21" x14ac:dyDescent="0.55000000000000004">
      <c r="A211" s="5">
        <v>207</v>
      </c>
      <c r="B211" s="6"/>
      <c r="C211" s="57">
        <f>+ยกมา!G210</f>
        <v>0</v>
      </c>
      <c r="D211" s="5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</f>
        <v>0</v>
      </c>
      <c r="E211" s="57">
        <f t="shared" si="12"/>
        <v>0</v>
      </c>
      <c r="F211" s="5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380</f>
        <v>0</v>
      </c>
      <c r="G211" s="59">
        <f t="shared" si="11"/>
        <v>0</v>
      </c>
      <c r="H211" s="5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</f>
        <v>0</v>
      </c>
      <c r="I211" s="68">
        <v>0</v>
      </c>
      <c r="J211" s="5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1" s="14"/>
      <c r="M211" s="67"/>
      <c r="U211" s="4"/>
    </row>
    <row r="212" spans="1:21" x14ac:dyDescent="0.55000000000000004">
      <c r="A212" s="5">
        <v>208</v>
      </c>
      <c r="B212" s="6"/>
      <c r="C212" s="57">
        <f>+ยกมา!G211</f>
        <v>0</v>
      </c>
      <c r="D212" s="5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</f>
        <v>0</v>
      </c>
      <c r="E212" s="57">
        <f t="shared" si="12"/>
        <v>0</v>
      </c>
      <c r="F212" s="5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381</f>
        <v>0</v>
      </c>
      <c r="G212" s="59">
        <f t="shared" si="11"/>
        <v>0</v>
      </c>
      <c r="H212" s="5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</f>
        <v>0</v>
      </c>
      <c r="I212" s="68">
        <v>0</v>
      </c>
      <c r="J212" s="5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2" s="14"/>
      <c r="M212" s="67"/>
      <c r="U212" s="4"/>
    </row>
    <row r="213" spans="1:21" x14ac:dyDescent="0.55000000000000004">
      <c r="A213" s="5">
        <v>209</v>
      </c>
      <c r="B213" s="6"/>
      <c r="C213" s="57">
        <f>+ยกมา!G212</f>
        <v>0</v>
      </c>
      <c r="D213" s="5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</f>
        <v>0</v>
      </c>
      <c r="E213" s="57">
        <f t="shared" si="12"/>
        <v>0</v>
      </c>
      <c r="F213" s="5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382</f>
        <v>0</v>
      </c>
      <c r="G213" s="59">
        <f t="shared" si="11"/>
        <v>0</v>
      </c>
      <c r="H213" s="5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</f>
        <v>0</v>
      </c>
      <c r="I213" s="68">
        <v>0</v>
      </c>
      <c r="J213" s="5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3" s="14"/>
      <c r="M213" s="67"/>
      <c r="U213" s="4"/>
    </row>
    <row r="214" spans="1:21" x14ac:dyDescent="0.55000000000000004">
      <c r="A214" s="5">
        <v>210</v>
      </c>
      <c r="B214" s="6"/>
      <c r="C214" s="57">
        <f>+ยกมา!G213</f>
        <v>0</v>
      </c>
      <c r="D214" s="5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</f>
        <v>0</v>
      </c>
      <c r="E214" s="57">
        <f t="shared" si="12"/>
        <v>0</v>
      </c>
      <c r="F214" s="5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383</f>
        <v>0</v>
      </c>
      <c r="G214" s="59">
        <f t="shared" si="11"/>
        <v>0</v>
      </c>
      <c r="H214" s="5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</f>
        <v>0</v>
      </c>
      <c r="I214" s="68">
        <v>0</v>
      </c>
      <c r="J214" s="5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4" s="14"/>
      <c r="M214" s="67"/>
      <c r="U214" s="4"/>
    </row>
    <row r="215" spans="1:21" x14ac:dyDescent="0.55000000000000004">
      <c r="A215" s="5">
        <v>211</v>
      </c>
      <c r="B215" s="6"/>
      <c r="C215" s="57">
        <f>+ยกมา!G214</f>
        <v>0</v>
      </c>
      <c r="D215" s="5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</f>
        <v>0</v>
      </c>
      <c r="E215" s="57">
        <f t="shared" si="12"/>
        <v>0</v>
      </c>
      <c r="F215" s="5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384</f>
        <v>0</v>
      </c>
      <c r="G215" s="59">
        <f t="shared" si="11"/>
        <v>0</v>
      </c>
      <c r="H215" s="5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</f>
        <v>0</v>
      </c>
      <c r="I215" s="68">
        <v>0</v>
      </c>
      <c r="J215" s="5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5" s="14"/>
      <c r="M215" s="67"/>
      <c r="U215" s="4"/>
    </row>
    <row r="216" spans="1:21" x14ac:dyDescent="0.55000000000000004">
      <c r="A216" s="5">
        <v>212</v>
      </c>
      <c r="B216" s="6"/>
      <c r="C216" s="57">
        <f>+ยกมา!G215</f>
        <v>0</v>
      </c>
      <c r="D216" s="5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</f>
        <v>0</v>
      </c>
      <c r="E216" s="57">
        <f t="shared" si="12"/>
        <v>0</v>
      </c>
      <c r="F216" s="5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385</f>
        <v>0</v>
      </c>
      <c r="G216" s="59">
        <f t="shared" si="11"/>
        <v>0</v>
      </c>
      <c r="H216" s="5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</f>
        <v>0</v>
      </c>
      <c r="I216" s="68">
        <v>0</v>
      </c>
      <c r="J216" s="5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6" s="14"/>
      <c r="M216" s="67"/>
      <c r="U216" s="4"/>
    </row>
    <row r="217" spans="1:21" x14ac:dyDescent="0.55000000000000004">
      <c r="A217" s="5">
        <v>213</v>
      </c>
      <c r="B217" s="6"/>
      <c r="C217" s="57">
        <f>+ยกมา!G216</f>
        <v>0</v>
      </c>
      <c r="D217" s="5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</f>
        <v>0</v>
      </c>
      <c r="E217" s="57">
        <f t="shared" si="12"/>
        <v>0</v>
      </c>
      <c r="F217" s="5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386</f>
        <v>0</v>
      </c>
      <c r="G217" s="59">
        <f t="shared" si="11"/>
        <v>0</v>
      </c>
      <c r="H217" s="5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</f>
        <v>0</v>
      </c>
      <c r="I217" s="68">
        <v>0</v>
      </c>
      <c r="J217" s="5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7" s="14"/>
      <c r="M217" s="67"/>
      <c r="U217" s="4"/>
    </row>
    <row r="218" spans="1:21" x14ac:dyDescent="0.55000000000000004">
      <c r="A218" s="5">
        <v>214</v>
      </c>
      <c r="B218" s="6"/>
      <c r="C218" s="57">
        <f>+ยกมา!G217</f>
        <v>0</v>
      </c>
      <c r="D218" s="5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</f>
        <v>0</v>
      </c>
      <c r="E218" s="57">
        <f t="shared" si="12"/>
        <v>0</v>
      </c>
      <c r="F218" s="5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387</f>
        <v>0</v>
      </c>
      <c r="G218" s="59">
        <f t="shared" si="11"/>
        <v>0</v>
      </c>
      <c r="H218" s="5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</f>
        <v>0</v>
      </c>
      <c r="I218" s="68">
        <v>0</v>
      </c>
      <c r="J218" s="58">
        <v>0</v>
      </c>
      <c r="K218" s="14"/>
      <c r="M218" s="67"/>
      <c r="U218" s="4"/>
    </row>
    <row r="219" spans="1:21" x14ac:dyDescent="0.55000000000000004">
      <c r="A219" s="5">
        <v>215</v>
      </c>
      <c r="B219" s="6"/>
      <c r="C219" s="57">
        <f>+ยกมา!G218</f>
        <v>0</v>
      </c>
      <c r="D219" s="58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</f>
        <v>0</v>
      </c>
      <c r="E219" s="57">
        <f t="shared" si="12"/>
        <v>0</v>
      </c>
      <c r="F219" s="58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388</f>
        <v>0</v>
      </c>
      <c r="G219" s="59">
        <f t="shared" si="11"/>
        <v>0</v>
      </c>
      <c r="H219" s="5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</f>
        <v>0</v>
      </c>
      <c r="I219" s="68">
        <v>0</v>
      </c>
      <c r="J219" s="58">
        <v>0</v>
      </c>
      <c r="K219" s="14"/>
      <c r="M219" s="67"/>
      <c r="U219" s="4"/>
    </row>
    <row r="220" spans="1:21" x14ac:dyDescent="0.55000000000000004">
      <c r="A220" s="5">
        <v>216</v>
      </c>
      <c r="B220" s="6"/>
      <c r="C220" s="57">
        <f>+ยกมา!G219</f>
        <v>0</v>
      </c>
      <c r="D220" s="58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</f>
        <v>0</v>
      </c>
      <c r="E220" s="57">
        <f t="shared" si="12"/>
        <v>0</v>
      </c>
      <c r="F220" s="58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389</f>
        <v>0</v>
      </c>
      <c r="G220" s="59">
        <f t="shared" si="11"/>
        <v>0</v>
      </c>
      <c r="H220" s="5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</f>
        <v>0</v>
      </c>
      <c r="I220" s="68">
        <v>0</v>
      </c>
      <c r="J220" s="58">
        <v>0</v>
      </c>
      <c r="K220" s="14"/>
      <c r="M220" s="67"/>
      <c r="U220" s="4"/>
    </row>
    <row r="221" spans="1:21" x14ac:dyDescent="0.55000000000000004">
      <c r="A221" s="5">
        <v>217</v>
      </c>
      <c r="B221" s="6"/>
      <c r="C221" s="57">
        <f>+ยกมา!G220</f>
        <v>0</v>
      </c>
      <c r="D221" s="58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</f>
        <v>0</v>
      </c>
      <c r="E221" s="57">
        <f t="shared" si="12"/>
        <v>0</v>
      </c>
      <c r="F221" s="58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390</f>
        <v>0</v>
      </c>
      <c r="G221" s="59">
        <f t="shared" si="11"/>
        <v>0</v>
      </c>
      <c r="H221" s="5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</f>
        <v>0</v>
      </c>
      <c r="I221" s="68">
        <v>0</v>
      </c>
      <c r="J221" s="5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1" s="14"/>
      <c r="M221" s="67"/>
      <c r="U221" s="4"/>
    </row>
    <row r="222" spans="1:21" x14ac:dyDescent="0.55000000000000004">
      <c r="A222" s="5">
        <v>218</v>
      </c>
      <c r="B222" s="6"/>
      <c r="C222" s="57">
        <f>+ยกมา!G221</f>
        <v>0</v>
      </c>
      <c r="D222" s="58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</f>
        <v>0</v>
      </c>
      <c r="E222" s="57">
        <f t="shared" si="12"/>
        <v>0</v>
      </c>
      <c r="F222" s="58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391</f>
        <v>0</v>
      </c>
      <c r="G222" s="59">
        <f t="shared" si="11"/>
        <v>0</v>
      </c>
      <c r="H222" s="5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</f>
        <v>0</v>
      </c>
      <c r="I222" s="68">
        <v>0</v>
      </c>
      <c r="J222" s="58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2" s="14"/>
      <c r="M222" s="67"/>
      <c r="U222" s="4"/>
    </row>
    <row r="223" spans="1:21" x14ac:dyDescent="0.55000000000000004">
      <c r="A223" s="5">
        <v>219</v>
      </c>
      <c r="B223" s="6"/>
      <c r="C223" s="57">
        <f>+ยกมา!G222</f>
        <v>0</v>
      </c>
      <c r="D223" s="58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</f>
        <v>0</v>
      </c>
      <c r="E223" s="57">
        <f t="shared" si="12"/>
        <v>0</v>
      </c>
      <c r="F223" s="58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392</f>
        <v>0</v>
      </c>
      <c r="G223" s="59">
        <f t="shared" si="11"/>
        <v>0</v>
      </c>
      <c r="H223" s="5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</f>
        <v>0</v>
      </c>
      <c r="I223" s="68">
        <v>0</v>
      </c>
      <c r="J223" s="58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3" s="14"/>
      <c r="M223" s="67"/>
      <c r="U223" s="4"/>
    </row>
    <row r="224" spans="1:21" x14ac:dyDescent="0.55000000000000004">
      <c r="A224" s="5">
        <v>220</v>
      </c>
      <c r="B224" s="6"/>
      <c r="C224" s="57">
        <f>+ยกมา!G223</f>
        <v>0</v>
      </c>
      <c r="D224" s="58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</f>
        <v>0</v>
      </c>
      <c r="E224" s="57">
        <f t="shared" si="12"/>
        <v>0</v>
      </c>
      <c r="F224" s="58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393</f>
        <v>0</v>
      </c>
      <c r="G224" s="59">
        <f t="shared" si="11"/>
        <v>0</v>
      </c>
      <c r="H224" s="5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</f>
        <v>0</v>
      </c>
      <c r="I224" s="68">
        <v>0</v>
      </c>
      <c r="J224" s="58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4" s="14"/>
      <c r="M224" s="67"/>
      <c r="U224" s="4"/>
    </row>
    <row r="225" spans="1:22" ht="29.25" x14ac:dyDescent="0.6">
      <c r="A225" s="5">
        <v>233</v>
      </c>
      <c r="B225" s="14"/>
      <c r="C225" s="57">
        <f>+ยกมา!G224</f>
        <v>0</v>
      </c>
      <c r="D225" s="58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</f>
        <v>0</v>
      </c>
      <c r="E225" s="57">
        <f t="shared" si="12"/>
        <v>0</v>
      </c>
      <c r="F225" s="58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394</f>
        <v>0</v>
      </c>
      <c r="G225" s="59">
        <f t="shared" si="11"/>
        <v>0</v>
      </c>
      <c r="H225" s="5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</f>
        <v>0</v>
      </c>
      <c r="I225" s="68">
        <v>0</v>
      </c>
      <c r="J225" s="58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5" s="14"/>
      <c r="M225" s="67"/>
      <c r="U225" s="4"/>
      <c r="V225" s="69"/>
    </row>
    <row r="226" spans="1:22" s="69" customFormat="1" ht="27.75" customHeight="1" x14ac:dyDescent="0.6">
      <c r="A226" s="117" t="s">
        <v>231</v>
      </c>
      <c r="B226" s="118"/>
      <c r="C226" s="118"/>
      <c r="D226" s="118"/>
      <c r="E226" s="118"/>
      <c r="F226" s="118"/>
      <c r="G226" s="118"/>
      <c r="H226" s="118"/>
      <c r="I226" s="118"/>
      <c r="J226" s="118"/>
      <c r="K226" s="119"/>
      <c r="M226" s="70"/>
      <c r="N226" s="70"/>
      <c r="O226" s="70"/>
      <c r="P226" s="71"/>
      <c r="Q226" s="71"/>
      <c r="R226" s="71"/>
      <c r="S226" s="71"/>
      <c r="T226" s="71"/>
      <c r="U226" s="4"/>
      <c r="V226" s="72"/>
    </row>
    <row r="227" spans="1:22" s="72" customFormat="1" ht="25.5" customHeight="1" x14ac:dyDescent="0.55000000000000004">
      <c r="A227" s="120" t="s">
        <v>232</v>
      </c>
      <c r="B227" s="121"/>
      <c r="C227" s="122" t="s">
        <v>249</v>
      </c>
      <c r="D227" s="123"/>
      <c r="E227" s="124" t="s">
        <v>233</v>
      </c>
      <c r="F227" s="125"/>
      <c r="G227" s="126" t="s">
        <v>234</v>
      </c>
      <c r="H227" s="126"/>
      <c r="I227" s="126"/>
      <c r="J227" s="73">
        <f>SUM(J5:J225)</f>
        <v>37680</v>
      </c>
      <c r="K227" s="74" t="s">
        <v>227</v>
      </c>
      <c r="M227" s="75"/>
      <c r="N227" s="75"/>
      <c r="O227" s="75"/>
      <c r="P227" s="75"/>
      <c r="Q227" s="75"/>
      <c r="R227" s="75"/>
      <c r="S227" s="75"/>
      <c r="T227" s="75"/>
      <c r="U227" s="4"/>
      <c r="V227" s="76"/>
    </row>
    <row r="228" spans="1:22" s="76" customFormat="1" ht="24.75" customHeight="1" x14ac:dyDescent="0.55000000000000004">
      <c r="A228" s="77" t="s">
        <v>235</v>
      </c>
      <c r="B228" s="78">
        <f>+J230</f>
        <v>37680</v>
      </c>
      <c r="C228" s="79" t="s">
        <v>236</v>
      </c>
      <c r="D228" s="80">
        <f>+J227</f>
        <v>37680</v>
      </c>
      <c r="E228" s="81" t="s">
        <v>225</v>
      </c>
      <c r="F228" s="82">
        <f>SUM(P36)</f>
        <v>0</v>
      </c>
      <c r="G228" s="108"/>
      <c r="H228" s="108"/>
      <c r="I228" s="108"/>
      <c r="J228" s="84"/>
      <c r="K228" s="84">
        <f>+R36</f>
        <v>9840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76" customFormat="1" ht="24.75" customHeight="1" x14ac:dyDescent="0.55000000000000004">
      <c r="A229" s="77"/>
      <c r="B229" s="78"/>
      <c r="C229" s="79" t="s">
        <v>237</v>
      </c>
      <c r="D229" s="80">
        <f>K230</f>
        <v>1855</v>
      </c>
      <c r="E229" s="81"/>
      <c r="F229" s="85">
        <v>0</v>
      </c>
      <c r="G229" s="108" t="s">
        <v>238</v>
      </c>
      <c r="H229" s="108"/>
      <c r="I229" s="108"/>
      <c r="J229" s="84">
        <f>-O36</f>
        <v>0</v>
      </c>
      <c r="K229" s="84" t="s">
        <v>237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76" customFormat="1" ht="24.75" customHeight="1" x14ac:dyDescent="0.55000000000000004">
      <c r="A230" s="86" t="s">
        <v>10</v>
      </c>
      <c r="B230" s="78">
        <f>+D229</f>
        <v>1855</v>
      </c>
      <c r="C230" s="79"/>
      <c r="D230" s="80"/>
      <c r="E230" s="81" t="s">
        <v>239</v>
      </c>
      <c r="F230" s="85">
        <f>+Q36</f>
        <v>65</v>
      </c>
      <c r="G230" s="109" t="s">
        <v>240</v>
      </c>
      <c r="H230" s="110"/>
      <c r="I230" s="111"/>
      <c r="J230" s="84">
        <f>+J227-J228</f>
        <v>37680</v>
      </c>
      <c r="K230" s="87">
        <f>+N36</f>
        <v>1855</v>
      </c>
      <c r="M230" s="88"/>
      <c r="N230" s="4"/>
      <c r="O230" s="4"/>
      <c r="P230" s="4"/>
      <c r="Q230" s="4"/>
      <c r="R230" s="4"/>
      <c r="S230" s="4"/>
      <c r="T230" s="4"/>
      <c r="U230" s="4"/>
    </row>
    <row r="231" spans="1:22" s="76" customFormat="1" ht="24.75" customHeight="1" thickBot="1" x14ac:dyDescent="0.6">
      <c r="A231" s="89" t="s">
        <v>241</v>
      </c>
      <c r="B231" s="78">
        <f>B228-B230</f>
        <v>35825</v>
      </c>
      <c r="C231" s="79" t="s">
        <v>241</v>
      </c>
      <c r="D231" s="80">
        <f>+D228-D229</f>
        <v>35825</v>
      </c>
      <c r="E231" s="81" t="s">
        <v>242</v>
      </c>
      <c r="F231" s="85">
        <f>SUM(F228:F230)</f>
        <v>65</v>
      </c>
      <c r="G231" s="108" t="s">
        <v>211</v>
      </c>
      <c r="H231" s="108"/>
      <c r="I231" s="108"/>
      <c r="J231" s="84">
        <f>F231</f>
        <v>65</v>
      </c>
      <c r="K231" s="8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76" customFormat="1" ht="24.75" customHeight="1" thickTop="1" x14ac:dyDescent="0.55000000000000004">
      <c r="A232" s="90"/>
      <c r="B232" s="90"/>
      <c r="C232" s="79" t="s">
        <v>243</v>
      </c>
      <c r="D232" s="80">
        <v>100000</v>
      </c>
      <c r="G232" s="101" t="s">
        <v>213</v>
      </c>
      <c r="H232" s="102"/>
      <c r="I232" s="103"/>
      <c r="J232" s="84">
        <f>J230-J231-K228-K230</f>
        <v>25920</v>
      </c>
      <c r="K232" s="83"/>
      <c r="M232" s="88"/>
      <c r="N232" s="88"/>
      <c r="O232" s="4"/>
      <c r="P232" s="4"/>
      <c r="Q232" s="4"/>
      <c r="R232" s="4"/>
      <c r="S232" s="4"/>
      <c r="T232" s="4"/>
    </row>
    <row r="233" spans="1:22" s="76" customFormat="1" ht="24.75" customHeight="1" x14ac:dyDescent="0.55000000000000004">
      <c r="A233" s="90"/>
      <c r="B233" s="90"/>
      <c r="C233" s="79" t="s">
        <v>244</v>
      </c>
      <c r="D233" s="80">
        <f>D231-D232</f>
        <v>-64175</v>
      </c>
      <c r="G233" s="101" t="s">
        <v>214</v>
      </c>
      <c r="H233" s="102"/>
      <c r="I233" s="103"/>
      <c r="J233" s="84">
        <f>+T36</f>
        <v>25930</v>
      </c>
      <c r="K233" s="83"/>
      <c r="M233" s="88"/>
      <c r="N233" s="4"/>
      <c r="O233" s="4"/>
      <c r="P233" s="4"/>
      <c r="Q233" s="4"/>
      <c r="R233" s="4"/>
      <c r="S233" s="4"/>
      <c r="T233" s="4"/>
    </row>
    <row r="234" spans="1:22" s="76" customFormat="1" ht="24.75" customHeight="1" x14ac:dyDescent="0.55000000000000004">
      <c r="A234" s="90"/>
      <c r="B234" s="90"/>
      <c r="C234" s="79" t="s">
        <v>245</v>
      </c>
      <c r="D234" s="80">
        <v>0</v>
      </c>
      <c r="G234" s="101" t="s">
        <v>215</v>
      </c>
      <c r="H234" s="102"/>
      <c r="I234" s="103"/>
      <c r="J234" s="84">
        <v>0</v>
      </c>
      <c r="K234" s="83"/>
      <c r="M234" s="8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 x14ac:dyDescent="0.6">
      <c r="A235" s="90"/>
      <c r="B235" s="90"/>
      <c r="G235" s="104" t="s">
        <v>216</v>
      </c>
      <c r="H235" s="104"/>
      <c r="I235" s="104"/>
      <c r="J235" s="91">
        <f>+J233-J232</f>
        <v>10</v>
      </c>
      <c r="K235" s="92"/>
    </row>
    <row r="236" spans="1:22" ht="24.75" customHeight="1" thickBot="1" x14ac:dyDescent="0.6">
      <c r="F236" s="105" t="s">
        <v>246</v>
      </c>
      <c r="G236" s="106"/>
      <c r="H236" s="106"/>
      <c r="I236" s="106"/>
      <c r="J236" s="106"/>
      <c r="K236" s="107"/>
    </row>
    <row r="237" spans="1:22" x14ac:dyDescent="0.55000000000000004">
      <c r="D237" s="41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C7F-18F5-42E8-B76E-B412BE94A457}">
  <sheetPr>
    <tabColor theme="5" tint="0.79998168889431442"/>
  </sheetPr>
  <dimension ref="A1:Z290"/>
  <sheetViews>
    <sheetView zoomScale="90" zoomScaleNormal="90" workbookViewId="0">
      <pane ySplit="3" topLeftCell="A187" activePane="bottomLeft" state="frozen"/>
      <selection pane="bottomLeft" activeCell="B196" sqref="B196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5" style="2" customWidth="1"/>
    <col min="12" max="12" width="9" style="2"/>
    <col min="13" max="13" width="8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+'[1]29'!G4</f>
        <v>32</v>
      </c>
      <c r="D4" s="45">
        <v>0</v>
      </c>
      <c r="E4" s="7">
        <f t="shared" ref="E4:E93" si="0">C4+D4</f>
        <v>32</v>
      </c>
      <c r="F4" s="45">
        <v>0</v>
      </c>
      <c r="G4" s="93">
        <f t="shared" ref="G4:G93" si="1">E4-F4-H4</f>
        <v>28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+'[1]29'!G5</f>
        <v>34</v>
      </c>
      <c r="D5" s="45">
        <v>0</v>
      </c>
      <c r="E5" s="7">
        <f t="shared" si="0"/>
        <v>34</v>
      </c>
      <c r="F5" s="45">
        <v>0</v>
      </c>
      <c r="G5" s="93">
        <f t="shared" si="1"/>
        <v>33</v>
      </c>
      <c r="H5" s="51">
        <v>1</v>
      </c>
      <c r="I5" s="8">
        <v>100</v>
      </c>
      <c r="J5" s="9">
        <f t="shared" si="2"/>
        <v>100</v>
      </c>
      <c r="K5" s="10" t="s">
        <v>247</v>
      </c>
      <c r="L5" s="11">
        <v>50</v>
      </c>
      <c r="M5" s="12">
        <f>+J5-L5</f>
        <v>50</v>
      </c>
      <c r="O5" s="5">
        <v>2</v>
      </c>
      <c r="P5" s="6"/>
      <c r="Q5" s="7">
        <v>0</v>
      </c>
      <c r="R5" s="45">
        <v>0</v>
      </c>
      <c r="S5" s="7">
        <f t="shared" ref="S5:S68" si="4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5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+'[1]29'!G6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ref="M6:M69" si="6">+J6-L6</f>
        <v>0</v>
      </c>
      <c r="O6" s="5">
        <v>3</v>
      </c>
      <c r="P6" s="6"/>
      <c r="Q6" s="7">
        <v>0</v>
      </c>
      <c r="R6" s="45">
        <v>0</v>
      </c>
      <c r="S6" s="7">
        <f t="shared" si="4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5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+'[1]29'!G7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6"/>
        <v>0</v>
      </c>
      <c r="O7" s="5">
        <v>4</v>
      </c>
      <c r="P7" s="6"/>
      <c r="Q7" s="7">
        <v>0</v>
      </c>
      <c r="R7" s="45">
        <v>0</v>
      </c>
      <c r="S7" s="7">
        <f t="shared" si="4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5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+'[1]29'!G8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6"/>
        <v>0</v>
      </c>
      <c r="O8" s="5">
        <v>5</v>
      </c>
      <c r="P8" s="6"/>
      <c r="Q8" s="7">
        <v>0</v>
      </c>
      <c r="R8" s="45">
        <v>0</v>
      </c>
      <c r="S8" s="7">
        <f t="shared" si="4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5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+'[1]29'!G9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6"/>
        <v>0</v>
      </c>
      <c r="O9" s="5">
        <v>6</v>
      </c>
      <c r="P9" s="6"/>
      <c r="Q9" s="7">
        <v>0</v>
      </c>
      <c r="R9" s="45">
        <v>0</v>
      </c>
      <c r="S9" s="7">
        <f t="shared" si="4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5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+'[1]29'!G10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6"/>
        <v>0</v>
      </c>
      <c r="O10" s="5">
        <v>7</v>
      </c>
      <c r="P10" s="6"/>
      <c r="Q10" s="7">
        <v>0</v>
      </c>
      <c r="R10" s="45">
        <v>0</v>
      </c>
      <c r="S10" s="7">
        <f t="shared" si="4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5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+'[1]29'!G11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6"/>
        <v>0</v>
      </c>
      <c r="O11" s="5">
        <v>8</v>
      </c>
      <c r="P11" s="6"/>
      <c r="Q11" s="7">
        <v>0</v>
      </c>
      <c r="R11" s="45">
        <v>0</v>
      </c>
      <c r="S11" s="7">
        <f t="shared" si="4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5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+'[1]29'!G12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6"/>
        <v>0</v>
      </c>
      <c r="O12" s="5">
        <v>9</v>
      </c>
      <c r="P12" s="6"/>
      <c r="Q12" s="7">
        <v>0</v>
      </c>
      <c r="R12" s="45">
        <v>0</v>
      </c>
      <c r="S12" s="7">
        <f t="shared" si="4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5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+'[1]29'!G13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6"/>
        <v>0</v>
      </c>
      <c r="O13" s="5">
        <v>10</v>
      </c>
      <c r="P13" s="6"/>
      <c r="Q13" s="7">
        <v>0</v>
      </c>
      <c r="R13" s="45">
        <v>0</v>
      </c>
      <c r="S13" s="7">
        <f t="shared" si="4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5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+'[1]29'!G14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6"/>
        <v>0</v>
      </c>
      <c r="O14" s="16">
        <v>11</v>
      </c>
      <c r="P14" s="17"/>
      <c r="Q14" s="18">
        <v>0</v>
      </c>
      <c r="R14" s="52">
        <v>0</v>
      </c>
      <c r="S14" s="18">
        <f t="shared" si="4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5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+'[1]29'!G15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6"/>
        <v>0</v>
      </c>
      <c r="O15" s="5">
        <v>12</v>
      </c>
      <c r="P15" s="6"/>
      <c r="Q15" s="7">
        <v>0</v>
      </c>
      <c r="R15" s="45">
        <v>0</v>
      </c>
      <c r="S15" s="7">
        <f t="shared" si="4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5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+'[1]29'!G16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6"/>
        <v>0</v>
      </c>
      <c r="O16" s="5">
        <v>13</v>
      </c>
      <c r="P16" s="6"/>
      <c r="Q16" s="7">
        <v>0</v>
      </c>
      <c r="R16" s="45">
        <v>0</v>
      </c>
      <c r="S16" s="7">
        <f t="shared" si="4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5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+'[1]29'!G17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6"/>
        <v>0</v>
      </c>
      <c r="O17" s="5">
        <v>14</v>
      </c>
      <c r="P17" s="6"/>
      <c r="Q17" s="7">
        <v>0</v>
      </c>
      <c r="R17" s="45">
        <v>0</v>
      </c>
      <c r="S17" s="7">
        <f t="shared" si="4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5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+'[1]29'!G18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6"/>
        <v>0</v>
      </c>
      <c r="O18" s="5">
        <v>15</v>
      </c>
      <c r="P18" s="6"/>
      <c r="Q18" s="7">
        <v>0</v>
      </c>
      <c r="R18" s="45">
        <v>0</v>
      </c>
      <c r="S18" s="7">
        <f t="shared" si="4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5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+'[1]29'!G19</f>
        <v>-1</v>
      </c>
      <c r="D19" s="45">
        <v>0</v>
      </c>
      <c r="E19" s="7">
        <f t="shared" si="0"/>
        <v>-1</v>
      </c>
      <c r="F19" s="45">
        <v>0</v>
      </c>
      <c r="G19" s="93">
        <f t="shared" si="1"/>
        <v>-1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6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5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+'[1]29'!G20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6"/>
        <v>0</v>
      </c>
      <c r="O20" s="5">
        <v>17</v>
      </c>
      <c r="P20" s="6"/>
      <c r="Q20" s="7">
        <v>0</v>
      </c>
      <c r="R20" s="45">
        <v>0</v>
      </c>
      <c r="S20" s="7">
        <f t="shared" si="4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5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+'[1]29'!G21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6"/>
        <v>0</v>
      </c>
      <c r="O21" s="5">
        <v>18</v>
      </c>
      <c r="P21" s="14"/>
      <c r="Q21" s="7">
        <v>0</v>
      </c>
      <c r="R21" s="45">
        <v>0</v>
      </c>
      <c r="S21" s="7">
        <f t="shared" si="4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5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+'[1]29'!G22</f>
        <v>13</v>
      </c>
      <c r="D22" s="45">
        <v>0</v>
      </c>
      <c r="E22" s="7">
        <f t="shared" si="0"/>
        <v>13</v>
      </c>
      <c r="F22" s="45">
        <v>0</v>
      </c>
      <c r="G22" s="93">
        <f t="shared" si="1"/>
        <v>11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6"/>
        <v>200</v>
      </c>
      <c r="O22" s="5">
        <v>19</v>
      </c>
      <c r="P22" s="14"/>
      <c r="Q22" s="7">
        <v>0</v>
      </c>
      <c r="R22" s="45">
        <v>0</v>
      </c>
      <c r="S22" s="7">
        <f t="shared" si="4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5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+'[1]29'!G23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6"/>
        <v>0</v>
      </c>
      <c r="O23" s="5">
        <v>20</v>
      </c>
      <c r="P23" s="14"/>
      <c r="Q23" s="7">
        <v>0</v>
      </c>
      <c r="R23" s="45">
        <v>0</v>
      </c>
      <c r="S23" s="7">
        <f t="shared" si="4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5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+'[1]29'!G24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6"/>
        <v>0</v>
      </c>
      <c r="O24" s="5">
        <v>21</v>
      </c>
      <c r="P24" s="14"/>
      <c r="Q24" s="7">
        <v>0</v>
      </c>
      <c r="R24" s="45">
        <v>0</v>
      </c>
      <c r="S24" s="7">
        <f t="shared" si="4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5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+'[1]29'!G25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6"/>
        <v>0</v>
      </c>
      <c r="O25" s="5">
        <v>22</v>
      </c>
      <c r="P25" s="14"/>
      <c r="Q25" s="7">
        <v>0</v>
      </c>
      <c r="R25" s="45">
        <v>0</v>
      </c>
      <c r="S25" s="7">
        <f t="shared" si="4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5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+'[1]29'!G26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6"/>
        <v>0</v>
      </c>
      <c r="O26" s="5">
        <v>23</v>
      </c>
      <c r="P26" s="14"/>
      <c r="Q26" s="7">
        <v>0</v>
      </c>
      <c r="R26" s="45">
        <v>0</v>
      </c>
      <c r="S26" s="7">
        <f t="shared" si="4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5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+'[1]29'!G27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6"/>
        <v>0</v>
      </c>
      <c r="O27" s="5">
        <v>24</v>
      </c>
      <c r="P27" s="14"/>
      <c r="Q27" s="7">
        <v>0</v>
      </c>
      <c r="R27" s="45">
        <v>0</v>
      </c>
      <c r="S27" s="7">
        <f t="shared" si="4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5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+'[1]29'!G28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6"/>
        <v>0</v>
      </c>
      <c r="O28" s="5">
        <v>25</v>
      </c>
      <c r="P28" s="14"/>
      <c r="Q28" s="7">
        <v>0</v>
      </c>
      <c r="R28" s="45">
        <v>0</v>
      </c>
      <c r="S28" s="7">
        <f t="shared" si="4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5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+'[1]29'!G29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6"/>
        <v>0</v>
      </c>
      <c r="O29" s="5">
        <v>26</v>
      </c>
      <c r="P29" s="14"/>
      <c r="Q29" s="7">
        <v>0</v>
      </c>
      <c r="R29" s="45">
        <v>0</v>
      </c>
      <c r="S29" s="7">
        <f t="shared" si="4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5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+'[1]29'!G30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6"/>
        <v>0</v>
      </c>
      <c r="O30" s="5">
        <v>27</v>
      </c>
      <c r="P30" s="14"/>
      <c r="Q30" s="7">
        <v>0</v>
      </c>
      <c r="R30" s="45">
        <v>0</v>
      </c>
      <c r="S30" s="7">
        <f t="shared" si="4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5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+'[1]29'!G31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6"/>
        <v>0</v>
      </c>
      <c r="O31" s="5">
        <v>28</v>
      </c>
      <c r="P31" s="14"/>
      <c r="Q31" s="7">
        <v>0</v>
      </c>
      <c r="R31" s="45">
        <v>0</v>
      </c>
      <c r="S31" s="7">
        <f t="shared" si="4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5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+'[1]29'!G32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6"/>
        <v>0</v>
      </c>
      <c r="O32" s="5">
        <v>29</v>
      </c>
      <c r="P32" s="14"/>
      <c r="Q32" s="7">
        <v>0</v>
      </c>
      <c r="R32" s="45">
        <v>0</v>
      </c>
      <c r="S32" s="7">
        <f t="shared" si="4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5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+'[1]29'!G33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6"/>
        <v>0</v>
      </c>
      <c r="O33" s="5">
        <v>30</v>
      </c>
      <c r="P33" s="14"/>
      <c r="Q33" s="7">
        <v>0</v>
      </c>
      <c r="R33" s="45">
        <v>0</v>
      </c>
      <c r="S33" s="7">
        <f t="shared" si="4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5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+'[1]29'!G34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6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5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+'[1]29'!G35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6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5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+'[1]29'!G36</f>
        <v>5</v>
      </c>
      <c r="D36" s="45">
        <v>0</v>
      </c>
      <c r="E36" s="7">
        <f t="shared" si="0"/>
        <v>5</v>
      </c>
      <c r="F36" s="45">
        <v>0</v>
      </c>
      <c r="G36" s="93">
        <f t="shared" si="1"/>
        <v>1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6"/>
        <v>400</v>
      </c>
      <c r="O36" s="5">
        <v>33</v>
      </c>
      <c r="P36" s="14"/>
      <c r="Q36" s="7">
        <v>0</v>
      </c>
      <c r="R36" s="45">
        <v>0</v>
      </c>
      <c r="S36" s="7">
        <f t="shared" si="4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5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+'[1]29'!G37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3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6"/>
        <v>0</v>
      </c>
      <c r="O37" s="5">
        <v>34</v>
      </c>
      <c r="P37" s="14"/>
      <c r="Q37" s="7">
        <v>0</v>
      </c>
      <c r="R37" s="45">
        <v>0</v>
      </c>
      <c r="S37" s="7">
        <f t="shared" si="4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5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+'[1]29'!G38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6"/>
        <v>0</v>
      </c>
      <c r="O38" s="5">
        <v>35</v>
      </c>
      <c r="P38" s="14"/>
      <c r="Q38" s="7">
        <v>0</v>
      </c>
      <c r="R38" s="45">
        <v>0</v>
      </c>
      <c r="S38" s="7">
        <f t="shared" si="4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5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+'[1]29'!G39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6"/>
        <v>0</v>
      </c>
      <c r="O39" s="5">
        <v>36</v>
      </c>
      <c r="P39" s="14"/>
      <c r="Q39" s="7">
        <v>0</v>
      </c>
      <c r="R39" s="45">
        <v>0</v>
      </c>
      <c r="S39" s="7">
        <f t="shared" si="4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5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+'[1]29'!G40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6"/>
        <v>0</v>
      </c>
      <c r="O40" s="5">
        <v>37</v>
      </c>
      <c r="P40" s="14"/>
      <c r="Q40" s="7">
        <v>0</v>
      </c>
      <c r="R40" s="45">
        <v>0</v>
      </c>
      <c r="S40" s="7">
        <f t="shared" si="4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5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+'[1]29'!G41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6"/>
        <v>0</v>
      </c>
      <c r="O41" s="5">
        <v>38</v>
      </c>
      <c r="P41" s="14"/>
      <c r="Q41" s="7">
        <v>0</v>
      </c>
      <c r="R41" s="45">
        <v>0</v>
      </c>
      <c r="S41" s="7">
        <f t="shared" si="4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5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+'[1]29'!G42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6"/>
        <v>0</v>
      </c>
      <c r="O42" s="5">
        <v>39</v>
      </c>
      <c r="P42" s="14"/>
      <c r="Q42" s="7">
        <v>0</v>
      </c>
      <c r="R42" s="45">
        <v>0</v>
      </c>
      <c r="S42" s="7">
        <f t="shared" si="4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5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+'[1]29'!G43</f>
        <v>4</v>
      </c>
      <c r="D43" s="45">
        <v>0</v>
      </c>
      <c r="E43" s="7">
        <f t="shared" si="0"/>
        <v>4</v>
      </c>
      <c r="F43" s="45">
        <v>0</v>
      </c>
      <c r="G43" s="93">
        <f t="shared" si="1"/>
        <v>0</v>
      </c>
      <c r="H43" s="51">
        <v>4</v>
      </c>
      <c r="I43" s="8">
        <v>50</v>
      </c>
      <c r="J43" s="9">
        <f t="shared" si="2"/>
        <v>200</v>
      </c>
      <c r="K43" s="10" t="s">
        <v>16</v>
      </c>
      <c r="L43" s="11">
        <v>0</v>
      </c>
      <c r="M43" s="12">
        <f t="shared" si="6"/>
        <v>200</v>
      </c>
      <c r="O43" s="5">
        <v>40</v>
      </c>
      <c r="P43" s="14"/>
      <c r="Q43" s="7">
        <v>0</v>
      </c>
      <c r="R43" s="45">
        <v>0</v>
      </c>
      <c r="S43" s="7">
        <f t="shared" si="4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5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+'[1]29'!G44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6"/>
        <v>0</v>
      </c>
      <c r="O44" s="5">
        <v>41</v>
      </c>
      <c r="P44" s="14"/>
      <c r="Q44" s="7">
        <v>0</v>
      </c>
      <c r="R44" s="45">
        <v>0</v>
      </c>
      <c r="S44" s="7">
        <f t="shared" si="4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5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+'[1]29'!G45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6"/>
        <v>0</v>
      </c>
      <c r="O45" s="5">
        <v>42</v>
      </c>
      <c r="P45" s="14"/>
      <c r="Q45" s="7">
        <v>0</v>
      </c>
      <c r="R45" s="45">
        <v>0</v>
      </c>
      <c r="S45" s="7">
        <f t="shared" si="4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5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+'[1]29'!G46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6"/>
        <v>0</v>
      </c>
      <c r="O46" s="5">
        <v>43</v>
      </c>
      <c r="P46" s="14"/>
      <c r="Q46" s="7">
        <v>0</v>
      </c>
      <c r="R46" s="45">
        <v>0</v>
      </c>
      <c r="S46" s="7">
        <f t="shared" si="4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5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+'[1]29'!G47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6"/>
        <v>0</v>
      </c>
      <c r="O47" s="5">
        <v>44</v>
      </c>
      <c r="P47" s="14"/>
      <c r="Q47" s="7">
        <v>0</v>
      </c>
      <c r="R47" s="45">
        <v>0</v>
      </c>
      <c r="S47" s="7">
        <f t="shared" si="4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5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+'[1]29'!G48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0</v>
      </c>
      <c r="H48" s="51">
        <v>4</v>
      </c>
      <c r="I48" s="8">
        <v>50</v>
      </c>
      <c r="J48" s="9">
        <f t="shared" si="2"/>
        <v>200</v>
      </c>
      <c r="K48" s="10" t="s">
        <v>16</v>
      </c>
      <c r="L48" s="11">
        <v>0</v>
      </c>
      <c r="M48" s="12">
        <f t="shared" si="6"/>
        <v>200</v>
      </c>
      <c r="O48" s="5">
        <v>45</v>
      </c>
      <c r="P48" s="14"/>
      <c r="Q48" s="7">
        <v>0</v>
      </c>
      <c r="R48" s="45">
        <v>0</v>
      </c>
      <c r="S48" s="7">
        <f t="shared" si="4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5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+'[1]29'!G49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6"/>
        <v>0</v>
      </c>
      <c r="O49" s="5">
        <v>46</v>
      </c>
      <c r="P49" s="14"/>
      <c r="Q49" s="7">
        <v>0</v>
      </c>
      <c r="R49" s="45">
        <v>0</v>
      </c>
      <c r="S49" s="7">
        <f t="shared" si="4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5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+'[1]29'!G50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6"/>
        <v>0</v>
      </c>
      <c r="O50" s="5">
        <v>47</v>
      </c>
      <c r="P50" s="14"/>
      <c r="Q50" s="7">
        <v>0</v>
      </c>
      <c r="R50" s="45">
        <v>0</v>
      </c>
      <c r="S50" s="7">
        <f t="shared" si="4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5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+'[1]29'!G51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6"/>
        <v>0</v>
      </c>
      <c r="O51" s="5">
        <v>48</v>
      </c>
      <c r="P51" s="14"/>
      <c r="Q51" s="7">
        <v>0</v>
      </c>
      <c r="R51" s="45">
        <v>0</v>
      </c>
      <c r="S51" s="7">
        <f t="shared" si="4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5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+'[1]29'!G52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6"/>
        <v>0</v>
      </c>
      <c r="O52" s="5">
        <v>49</v>
      </c>
      <c r="P52" s="14"/>
      <c r="Q52" s="7">
        <v>0</v>
      </c>
      <c r="R52" s="45">
        <v>0</v>
      </c>
      <c r="S52" s="7">
        <f t="shared" si="4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5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+'[1]29'!G53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6"/>
        <v>0</v>
      </c>
      <c r="O53" s="5">
        <v>50</v>
      </c>
      <c r="P53" s="14"/>
      <c r="Q53" s="7">
        <v>0</v>
      </c>
      <c r="R53" s="45">
        <v>0</v>
      </c>
      <c r="S53" s="7">
        <f t="shared" si="4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5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+'[1]29'!G54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6"/>
        <v>0</v>
      </c>
      <c r="O54" s="5">
        <v>51</v>
      </c>
      <c r="P54" s="14"/>
      <c r="Q54" s="7">
        <v>0</v>
      </c>
      <c r="R54" s="45">
        <v>0</v>
      </c>
      <c r="S54" s="7">
        <f t="shared" si="4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5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+'[1]29'!G55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6"/>
        <v>0</v>
      </c>
      <c r="O55" s="5">
        <v>52</v>
      </c>
      <c r="P55" s="14"/>
      <c r="Q55" s="7">
        <v>0</v>
      </c>
      <c r="R55" s="45">
        <v>0</v>
      </c>
      <c r="S55" s="7">
        <f t="shared" si="4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5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+'[1]29'!G56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6"/>
        <v>0</v>
      </c>
      <c r="O56" s="5">
        <v>53</v>
      </c>
      <c r="P56" s="14"/>
      <c r="Q56" s="7">
        <v>0</v>
      </c>
      <c r="R56" s="45">
        <v>0</v>
      </c>
      <c r="S56" s="7">
        <f t="shared" si="4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5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+'[1]29'!G57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6"/>
        <v>0</v>
      </c>
      <c r="O57" s="5">
        <v>54</v>
      </c>
      <c r="P57" s="14"/>
      <c r="Q57" s="7">
        <v>0</v>
      </c>
      <c r="R57" s="45">
        <v>0</v>
      </c>
      <c r="S57" s="7">
        <f t="shared" si="4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5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+'[1]29'!G58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6"/>
        <v>0</v>
      </c>
      <c r="O58" s="5">
        <v>55</v>
      </c>
      <c r="P58" s="14"/>
      <c r="Q58" s="7">
        <v>0</v>
      </c>
      <c r="R58" s="45">
        <v>0</v>
      </c>
      <c r="S58" s="7">
        <f t="shared" si="4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5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+'[1]29'!G59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6"/>
        <v>0</v>
      </c>
      <c r="O59" s="5">
        <v>56</v>
      </c>
      <c r="P59" s="14"/>
      <c r="Q59" s="7">
        <v>0</v>
      </c>
      <c r="R59" s="45">
        <v>0</v>
      </c>
      <c r="S59" s="7">
        <f t="shared" si="4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5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+'[1]29'!G60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6"/>
        <v>0</v>
      </c>
      <c r="O60" s="5">
        <v>57</v>
      </c>
      <c r="P60" s="14"/>
      <c r="Q60" s="7">
        <v>0</v>
      </c>
      <c r="R60" s="45">
        <v>0</v>
      </c>
      <c r="S60" s="7">
        <f t="shared" si="4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5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+'[1]29'!G61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6"/>
        <v>0</v>
      </c>
      <c r="O61" s="5">
        <v>58</v>
      </c>
      <c r="P61" s="14"/>
      <c r="Q61" s="7">
        <v>0</v>
      </c>
      <c r="R61" s="45">
        <v>0</v>
      </c>
      <c r="S61" s="7">
        <f t="shared" si="4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5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+'[1]29'!G62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6"/>
        <v>0</v>
      </c>
      <c r="O62" s="5">
        <v>59</v>
      </c>
      <c r="P62" s="14"/>
      <c r="Q62" s="7">
        <v>0</v>
      </c>
      <c r="R62" s="45">
        <v>0</v>
      </c>
      <c r="S62" s="7">
        <f t="shared" si="4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5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+'[1]29'!G63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6"/>
        <v>0</v>
      </c>
      <c r="O63" s="5">
        <v>60</v>
      </c>
      <c r="P63" s="14"/>
      <c r="Q63" s="7">
        <v>0</v>
      </c>
      <c r="R63" s="45">
        <v>0</v>
      </c>
      <c r="S63" s="7">
        <f t="shared" si="4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5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+'[1]29'!G64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6"/>
        <v>0</v>
      </c>
      <c r="O64" s="5">
        <v>61</v>
      </c>
      <c r="P64" s="14"/>
      <c r="Q64" s="7">
        <v>0</v>
      </c>
      <c r="R64" s="45">
        <v>0</v>
      </c>
      <c r="S64" s="7">
        <f t="shared" si="4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5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+'[1]29'!G65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5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6"/>
        <v>0</v>
      </c>
      <c r="O65" s="5">
        <v>62</v>
      </c>
      <c r="P65" s="14"/>
      <c r="Q65" s="7">
        <v>0</v>
      </c>
      <c r="R65" s="45">
        <v>0</v>
      </c>
      <c r="S65" s="7">
        <f t="shared" si="4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5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+'[1]29'!G66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6"/>
        <v>0</v>
      </c>
      <c r="O66" s="5">
        <v>63</v>
      </c>
      <c r="P66" s="14"/>
      <c r="Q66" s="7">
        <v>0</v>
      </c>
      <c r="R66" s="45">
        <v>0</v>
      </c>
      <c r="S66" s="7">
        <f t="shared" si="4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5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+'[1]29'!G67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6"/>
        <v>0</v>
      </c>
      <c r="O67" s="5">
        <v>64</v>
      </c>
      <c r="P67" s="14"/>
      <c r="Q67" s="7">
        <v>0</v>
      </c>
      <c r="R67" s="45">
        <v>0</v>
      </c>
      <c r="S67" s="7">
        <f t="shared" si="4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5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+'[1]29'!G68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6"/>
        <v>0</v>
      </c>
      <c r="O68" s="5">
        <v>65</v>
      </c>
      <c r="P68" s="14"/>
      <c r="Q68" s="7">
        <v>0</v>
      </c>
      <c r="R68" s="45">
        <v>0</v>
      </c>
      <c r="S68" s="7">
        <f t="shared" si="4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5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+'[1]29'!G69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si="6"/>
        <v>0</v>
      </c>
      <c r="O69" s="5">
        <v>66</v>
      </c>
      <c r="P69" s="14"/>
      <c r="Q69" s="7">
        <v>0</v>
      </c>
      <c r="R69" s="45">
        <v>0</v>
      </c>
      <c r="S69" s="7">
        <f t="shared" ref="S69:S103" si="9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0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+'[1]29'!G70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ref="M70:M133" si="11">+J70-L70</f>
        <v>0</v>
      </c>
      <c r="O70" s="5">
        <v>67</v>
      </c>
      <c r="P70" s="14"/>
      <c r="Q70" s="7">
        <v>0</v>
      </c>
      <c r="R70" s="45">
        <v>0</v>
      </c>
      <c r="S70" s="7">
        <f t="shared" si="9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0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+'[1]29'!G71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11"/>
        <v>0</v>
      </c>
      <c r="O71" s="5">
        <v>68</v>
      </c>
      <c r="P71" s="14"/>
      <c r="Q71" s="7">
        <v>0</v>
      </c>
      <c r="R71" s="45">
        <v>0</v>
      </c>
      <c r="S71" s="7">
        <f t="shared" si="9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0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+'[1]29'!G72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11"/>
        <v>0</v>
      </c>
      <c r="O72" s="5">
        <v>69</v>
      </c>
      <c r="P72" s="14"/>
      <c r="Q72" s="7">
        <v>0</v>
      </c>
      <c r="R72" s="45">
        <v>0</v>
      </c>
      <c r="S72" s="7">
        <f t="shared" si="9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0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+'[1]29'!G73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11"/>
        <v>0</v>
      </c>
      <c r="O73" s="5">
        <v>70</v>
      </c>
      <c r="P73" s="14"/>
      <c r="Q73" s="7">
        <v>0</v>
      </c>
      <c r="R73" s="45">
        <v>0</v>
      </c>
      <c r="S73" s="7">
        <f t="shared" si="9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0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+'[1]29'!G74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11"/>
        <v>0</v>
      </c>
      <c r="O74" s="5">
        <v>71</v>
      </c>
      <c r="P74" s="14"/>
      <c r="Q74" s="7">
        <v>0</v>
      </c>
      <c r="R74" s="45">
        <v>0</v>
      </c>
      <c r="S74" s="7">
        <f t="shared" si="9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0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+'[1]29'!G75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11"/>
        <v>0</v>
      </c>
      <c r="O75" s="5">
        <v>72</v>
      </c>
      <c r="P75" s="14"/>
      <c r="Q75" s="7">
        <v>0</v>
      </c>
      <c r="R75" s="45">
        <v>0</v>
      </c>
      <c r="S75" s="7">
        <f t="shared" si="9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0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+'[1]29'!G76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11"/>
        <v>0</v>
      </c>
      <c r="O76" s="5">
        <v>73</v>
      </c>
      <c r="P76" s="14"/>
      <c r="Q76" s="7">
        <v>0</v>
      </c>
      <c r="R76" s="45">
        <v>0</v>
      </c>
      <c r="S76" s="7">
        <f t="shared" si="9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0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+'[1]29'!G77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11"/>
        <v>0</v>
      </c>
      <c r="O77" s="5">
        <v>74</v>
      </c>
      <c r="P77" s="14"/>
      <c r="Q77" s="7">
        <v>0</v>
      </c>
      <c r="R77" s="45">
        <v>0</v>
      </c>
      <c r="S77" s="7">
        <f t="shared" si="9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0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+'[1]29'!G78</f>
        <v>2</v>
      </c>
      <c r="D78" s="45">
        <v>0</v>
      </c>
      <c r="E78" s="7">
        <f t="shared" si="0"/>
        <v>2</v>
      </c>
      <c r="F78" s="45">
        <v>0</v>
      </c>
      <c r="G78" s="93">
        <f t="shared" si="1"/>
        <v>0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11"/>
        <v>100</v>
      </c>
      <c r="O78" s="5">
        <v>75</v>
      </c>
      <c r="P78" s="14"/>
      <c r="Q78" s="7">
        <v>0</v>
      </c>
      <c r="R78" s="45">
        <v>0</v>
      </c>
      <c r="S78" s="7">
        <f t="shared" si="9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0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+'[1]29'!G79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11"/>
        <v>0</v>
      </c>
      <c r="O79" s="5">
        <v>76</v>
      </c>
      <c r="P79" s="14"/>
      <c r="Q79" s="7">
        <v>0</v>
      </c>
      <c r="R79" s="45">
        <v>0</v>
      </c>
      <c r="S79" s="7">
        <f t="shared" si="9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0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+'[1]29'!G80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11"/>
        <v>0</v>
      </c>
      <c r="O80" s="5">
        <v>77</v>
      </c>
      <c r="P80" s="14"/>
      <c r="Q80" s="7">
        <v>0</v>
      </c>
      <c r="R80" s="45">
        <v>0</v>
      </c>
      <c r="S80" s="7">
        <f t="shared" si="9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0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+'[1]29'!G81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11"/>
        <v>0</v>
      </c>
      <c r="O81" s="5">
        <v>78</v>
      </c>
      <c r="P81" s="14"/>
      <c r="Q81" s="7">
        <v>0</v>
      </c>
      <c r="R81" s="45">
        <v>0</v>
      </c>
      <c r="S81" s="7">
        <f t="shared" si="9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0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+'[1]29'!G82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11"/>
        <v>0</v>
      </c>
      <c r="O82" s="5">
        <v>79</v>
      </c>
      <c r="P82" s="14"/>
      <c r="Q82" s="7">
        <v>0</v>
      </c>
      <c r="R82" s="45">
        <v>0</v>
      </c>
      <c r="S82" s="7">
        <f t="shared" si="9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0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+'[1]29'!G83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11"/>
        <v>0</v>
      </c>
      <c r="O83" s="5">
        <v>80</v>
      </c>
      <c r="P83" s="14"/>
      <c r="Q83" s="7">
        <v>0</v>
      </c>
      <c r="R83" s="45">
        <v>0</v>
      </c>
      <c r="S83" s="7">
        <f t="shared" si="9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0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+'[1]29'!G84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11"/>
        <v>0</v>
      </c>
      <c r="O84" s="5">
        <v>81</v>
      </c>
      <c r="P84" s="14"/>
      <c r="Q84" s="7">
        <v>0</v>
      </c>
      <c r="R84" s="45">
        <v>0</v>
      </c>
      <c r="S84" s="7">
        <f t="shared" si="9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0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+'[1]29'!G85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11"/>
        <v>0</v>
      </c>
      <c r="O85" s="5">
        <v>82</v>
      </c>
      <c r="P85" s="14"/>
      <c r="Q85" s="7">
        <v>0</v>
      </c>
      <c r="R85" s="45">
        <v>0</v>
      </c>
      <c r="S85" s="7">
        <f t="shared" si="9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0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+'[1]29'!G86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11"/>
        <v>0</v>
      </c>
      <c r="O86" s="5">
        <v>83</v>
      </c>
      <c r="P86" s="14"/>
      <c r="Q86" s="7">
        <v>0</v>
      </c>
      <c r="R86" s="45">
        <v>0</v>
      </c>
      <c r="S86" s="7">
        <f t="shared" si="9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0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+'[1]29'!G87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11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11"/>
        <v>100</v>
      </c>
      <c r="O87" s="5">
        <v>84</v>
      </c>
      <c r="P87" s="14"/>
      <c r="Q87" s="7">
        <v>0</v>
      </c>
      <c r="R87" s="45">
        <v>0</v>
      </c>
      <c r="S87" s="7">
        <f t="shared" si="9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0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5">
        <f>+'[1]29'!G88</f>
        <v>6</v>
      </c>
      <c r="D88" s="45">
        <v>0</v>
      </c>
      <c r="E88" s="7">
        <f t="shared" si="0"/>
        <v>6</v>
      </c>
      <c r="F88" s="45">
        <v>0</v>
      </c>
      <c r="G88" s="93">
        <f t="shared" si="1"/>
        <v>6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11"/>
        <v>0</v>
      </c>
      <c r="O88" s="5">
        <v>85</v>
      </c>
      <c r="P88" s="14"/>
      <c r="Q88" s="7">
        <v>0</v>
      </c>
      <c r="R88" s="45">
        <v>0</v>
      </c>
      <c r="S88" s="7">
        <f t="shared" si="9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0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+'[1]29'!G89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11"/>
        <v>0</v>
      </c>
      <c r="O89" s="5">
        <v>86</v>
      </c>
      <c r="P89" s="14"/>
      <c r="Q89" s="7">
        <v>0</v>
      </c>
      <c r="R89" s="45">
        <v>0</v>
      </c>
      <c r="S89" s="7">
        <f t="shared" si="9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0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+'[1]29'!G90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11"/>
        <v>0</v>
      </c>
      <c r="O90" s="5">
        <v>87</v>
      </c>
      <c r="P90" s="14"/>
      <c r="Q90" s="7">
        <v>0</v>
      </c>
      <c r="R90" s="45">
        <v>0</v>
      </c>
      <c r="S90" s="7">
        <f t="shared" si="9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0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+'[1]29'!G91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11"/>
        <v>0</v>
      </c>
      <c r="O91" s="5">
        <v>88</v>
      </c>
      <c r="P91" s="14"/>
      <c r="Q91" s="7">
        <v>0</v>
      </c>
      <c r="R91" s="45">
        <v>0</v>
      </c>
      <c r="S91" s="7">
        <f t="shared" si="9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0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+'[1]29'!G92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11"/>
        <v>0</v>
      </c>
      <c r="O92" s="5">
        <v>89</v>
      </c>
      <c r="P92" s="14"/>
      <c r="Q92" s="7">
        <v>0</v>
      </c>
      <c r="R92" s="45">
        <v>0</v>
      </c>
      <c r="S92" s="7">
        <f t="shared" si="9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0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+'[1]29'!G93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11"/>
        <v>0</v>
      </c>
      <c r="O93" s="5">
        <v>90</v>
      </c>
      <c r="P93" s="14"/>
      <c r="Q93" s="7">
        <v>0</v>
      </c>
      <c r="R93" s="45">
        <v>0</v>
      </c>
      <c r="S93" s="7">
        <f t="shared" si="9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0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+'[1]29'!G94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11"/>
        <v>0</v>
      </c>
      <c r="O94" s="5">
        <v>91</v>
      </c>
      <c r="P94" s="14"/>
      <c r="Q94" s="7">
        <v>0</v>
      </c>
      <c r="R94" s="45">
        <v>0</v>
      </c>
      <c r="S94" s="7">
        <f t="shared" si="9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0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+'[1]29'!G95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11"/>
        <v>0</v>
      </c>
      <c r="O95" s="5">
        <v>92</v>
      </c>
      <c r="P95" s="14"/>
      <c r="Q95" s="7">
        <v>0</v>
      </c>
      <c r="R95" s="45">
        <v>0</v>
      </c>
      <c r="S95" s="7">
        <f t="shared" si="9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0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+'[1]29'!G96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11"/>
        <v>0</v>
      </c>
      <c r="O96" s="5">
        <v>93</v>
      </c>
      <c r="P96" s="14"/>
      <c r="Q96" s="7">
        <v>0</v>
      </c>
      <c r="R96" s="45">
        <v>0</v>
      </c>
      <c r="S96" s="7">
        <f t="shared" si="9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0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+'[1]29'!G97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11"/>
        <v>0</v>
      </c>
      <c r="O97" s="5">
        <v>94</v>
      </c>
      <c r="P97" s="14"/>
      <c r="Q97" s="7">
        <v>0</v>
      </c>
      <c r="R97" s="45">
        <v>0</v>
      </c>
      <c r="S97" s="7">
        <f t="shared" si="9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0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+'[1]29'!G98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11"/>
        <v>0</v>
      </c>
      <c r="O98" s="5">
        <v>95</v>
      </c>
      <c r="P98" s="14"/>
      <c r="Q98" s="7">
        <v>0</v>
      </c>
      <c r="R98" s="45">
        <v>0</v>
      </c>
      <c r="S98" s="7">
        <f t="shared" si="9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0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+'[1]29'!G99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11"/>
        <v>0</v>
      </c>
      <c r="O99" s="5">
        <v>96</v>
      </c>
      <c r="P99" s="14"/>
      <c r="Q99" s="7">
        <v>0</v>
      </c>
      <c r="R99" s="45">
        <v>0</v>
      </c>
      <c r="S99" s="7">
        <f t="shared" si="9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0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+'[1]29'!G100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11"/>
        <v>0</v>
      </c>
      <c r="O100" s="5">
        <v>97</v>
      </c>
      <c r="P100" s="14"/>
      <c r="Q100" s="7">
        <v>0</v>
      </c>
      <c r="R100" s="45">
        <v>0</v>
      </c>
      <c r="S100" s="7">
        <f t="shared" si="9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0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+'[1]29'!G101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11"/>
        <v>0</v>
      </c>
      <c r="O101" s="5">
        <v>98</v>
      </c>
      <c r="P101" s="14"/>
      <c r="Q101" s="7">
        <v>0</v>
      </c>
      <c r="R101" s="45">
        <v>0</v>
      </c>
      <c r="S101" s="7">
        <f t="shared" si="9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0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+'[1]29'!G102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11"/>
        <v>0</v>
      </c>
      <c r="O102" s="5">
        <v>99</v>
      </c>
      <c r="P102" s="14"/>
      <c r="Q102" s="7">
        <v>0</v>
      </c>
      <c r="R102" s="45">
        <v>0</v>
      </c>
      <c r="S102" s="7">
        <f t="shared" si="9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0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+'[1]29'!G103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11"/>
        <v>0</v>
      </c>
      <c r="O103" s="5">
        <v>100</v>
      </c>
      <c r="P103" s="14"/>
      <c r="Q103" s="7">
        <v>0</v>
      </c>
      <c r="R103" s="45">
        <v>0</v>
      </c>
      <c r="S103" s="7">
        <f t="shared" si="9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0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+'[1]29'!G104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11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+'[1]29'!G105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11"/>
        <v>0</v>
      </c>
    </row>
    <row r="106" spans="1:26" ht="25.5" x14ac:dyDescent="0.55000000000000004">
      <c r="A106" s="5">
        <v>103</v>
      </c>
      <c r="B106" s="14" t="s">
        <v>118</v>
      </c>
      <c r="C106" s="7">
        <f>+'[1]29'!G106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11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+'[1]29'!G107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11"/>
        <v>0</v>
      </c>
    </row>
    <row r="108" spans="1:26" ht="25.5" x14ac:dyDescent="0.55000000000000004">
      <c r="A108" s="5">
        <v>105</v>
      </c>
      <c r="B108" s="14" t="s">
        <v>121</v>
      </c>
      <c r="C108" s="7">
        <f>+'[1]29'!G108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11"/>
        <v>0</v>
      </c>
    </row>
    <row r="109" spans="1:26" ht="25.5" x14ac:dyDescent="0.55000000000000004">
      <c r="A109" s="5">
        <v>106</v>
      </c>
      <c r="B109" s="14" t="s">
        <v>122</v>
      </c>
      <c r="C109" s="7">
        <f>+'[1]29'!G109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11"/>
        <v>0</v>
      </c>
    </row>
    <row r="110" spans="1:26" ht="25.5" x14ac:dyDescent="0.55000000000000004">
      <c r="A110" s="5">
        <v>107</v>
      </c>
      <c r="B110" s="14" t="s">
        <v>123</v>
      </c>
      <c r="C110" s="7">
        <f>+'[1]29'!G110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11"/>
        <v>0</v>
      </c>
    </row>
    <row r="111" spans="1:26" ht="25.5" x14ac:dyDescent="0.55000000000000004">
      <c r="A111" s="5">
        <v>108</v>
      </c>
      <c r="B111" s="14" t="s">
        <v>124</v>
      </c>
      <c r="C111" s="7">
        <f>+'[1]29'!G111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11"/>
        <v>0</v>
      </c>
    </row>
    <row r="112" spans="1:26" ht="25.5" x14ac:dyDescent="0.55000000000000004">
      <c r="A112" s="5">
        <v>109</v>
      </c>
      <c r="B112" s="14" t="s">
        <v>125</v>
      </c>
      <c r="C112" s="7">
        <f>+'[1]29'!G112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11"/>
        <v>0</v>
      </c>
    </row>
    <row r="113" spans="1:13" ht="25.5" x14ac:dyDescent="0.55000000000000004">
      <c r="A113" s="5">
        <v>110</v>
      </c>
      <c r="B113" s="14" t="s">
        <v>126</v>
      </c>
      <c r="C113" s="7">
        <f>+'[1]29'!G113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11"/>
        <v>0</v>
      </c>
    </row>
    <row r="114" spans="1:13" ht="25.5" x14ac:dyDescent="0.55000000000000004">
      <c r="A114" s="5">
        <v>111</v>
      </c>
      <c r="B114" s="14" t="s">
        <v>127</v>
      </c>
      <c r="C114" s="7">
        <f>+'[1]29'!G114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11"/>
        <v>0</v>
      </c>
    </row>
    <row r="115" spans="1:13" ht="25.5" x14ac:dyDescent="0.55000000000000004">
      <c r="A115" s="5">
        <v>112</v>
      </c>
      <c r="B115" s="14" t="s">
        <v>128</v>
      </c>
      <c r="C115" s="7">
        <f>+'[1]29'!G115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11"/>
        <v>0</v>
      </c>
    </row>
    <row r="116" spans="1:13" ht="25.5" x14ac:dyDescent="0.55000000000000004">
      <c r="A116" s="5">
        <v>113</v>
      </c>
      <c r="B116" s="14" t="s">
        <v>129</v>
      </c>
      <c r="C116" s="7">
        <f>+'[1]29'!G116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11"/>
        <v>0</v>
      </c>
    </row>
    <row r="117" spans="1:13" ht="25.5" x14ac:dyDescent="0.55000000000000004">
      <c r="A117" s="5">
        <v>114</v>
      </c>
      <c r="B117" s="14" t="s">
        <v>130</v>
      </c>
      <c r="C117" s="7">
        <f>+'[1]29'!G117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11"/>
        <v>0</v>
      </c>
    </row>
    <row r="118" spans="1:13" ht="25.5" x14ac:dyDescent="0.55000000000000004">
      <c r="A118" s="5">
        <v>115</v>
      </c>
      <c r="B118" s="14" t="s">
        <v>131</v>
      </c>
      <c r="C118" s="7">
        <f>+'[1]29'!G118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11"/>
        <v>0</v>
      </c>
    </row>
    <row r="119" spans="1:13" ht="25.5" x14ac:dyDescent="0.55000000000000004">
      <c r="A119" s="5">
        <v>116</v>
      </c>
      <c r="B119" s="14" t="s">
        <v>132</v>
      </c>
      <c r="C119" s="7">
        <f>+'[1]29'!G119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11"/>
        <v>0</v>
      </c>
    </row>
    <row r="120" spans="1:13" ht="25.5" x14ac:dyDescent="0.55000000000000004">
      <c r="A120" s="5">
        <v>117</v>
      </c>
      <c r="B120" s="14" t="s">
        <v>133</v>
      </c>
      <c r="C120" s="7">
        <f>+'[1]29'!G120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11"/>
        <v>0</v>
      </c>
    </row>
    <row r="121" spans="1:13" ht="25.5" x14ac:dyDescent="0.55000000000000004">
      <c r="A121" s="5">
        <v>118</v>
      </c>
      <c r="B121" s="14" t="s">
        <v>134</v>
      </c>
      <c r="C121" s="7">
        <f>+'[1]29'!G121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11"/>
        <v>0</v>
      </c>
    </row>
    <row r="122" spans="1:13" ht="25.5" x14ac:dyDescent="0.55000000000000004">
      <c r="A122" s="5">
        <v>119</v>
      </c>
      <c r="B122" s="14" t="s">
        <v>135</v>
      </c>
      <c r="C122" s="7">
        <f>+'[1]29'!G122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11"/>
        <v>0</v>
      </c>
    </row>
    <row r="123" spans="1:13" ht="25.5" x14ac:dyDescent="0.55000000000000004">
      <c r="A123" s="5">
        <v>120</v>
      </c>
      <c r="B123" s="14" t="s">
        <v>136</v>
      </c>
      <c r="C123" s="7">
        <f>+'[1]29'!G123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11"/>
        <v>0</v>
      </c>
    </row>
    <row r="124" spans="1:13" ht="25.5" x14ac:dyDescent="0.55000000000000004">
      <c r="A124" s="5">
        <v>121</v>
      </c>
      <c r="B124" s="14" t="s">
        <v>137</v>
      </c>
      <c r="C124" s="7">
        <f>+'[1]29'!G124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11"/>
        <v>0</v>
      </c>
    </row>
    <row r="125" spans="1:13" ht="25.5" x14ac:dyDescent="0.55000000000000004">
      <c r="A125" s="5">
        <v>122</v>
      </c>
      <c r="B125" s="14" t="s">
        <v>138</v>
      </c>
      <c r="C125" s="7">
        <f>+'[1]29'!G125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11"/>
        <v>0</v>
      </c>
    </row>
    <row r="126" spans="1:13" ht="25.5" x14ac:dyDescent="0.55000000000000004">
      <c r="A126" s="5">
        <v>123</v>
      </c>
      <c r="B126" s="14" t="s">
        <v>139</v>
      </c>
      <c r="C126" s="7">
        <f>+'[1]29'!G126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11"/>
        <v>0</v>
      </c>
    </row>
    <row r="127" spans="1:13" ht="25.5" x14ac:dyDescent="0.55000000000000004">
      <c r="A127" s="5">
        <v>124</v>
      </c>
      <c r="B127" s="14" t="s">
        <v>140</v>
      </c>
      <c r="C127" s="7">
        <f>+'[1]29'!G127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11"/>
        <v>0</v>
      </c>
    </row>
    <row r="128" spans="1:13" ht="25.5" x14ac:dyDescent="0.55000000000000004">
      <c r="A128" s="5">
        <v>125</v>
      </c>
      <c r="B128" s="14" t="s">
        <v>141</v>
      </c>
      <c r="C128" s="7">
        <f>+'[1]29'!G128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11"/>
        <v>0</v>
      </c>
    </row>
    <row r="129" spans="1:13" ht="25.5" x14ac:dyDescent="0.55000000000000004">
      <c r="A129" s="5">
        <v>126</v>
      </c>
      <c r="B129" s="14" t="s">
        <v>142</v>
      </c>
      <c r="C129" s="7">
        <f>+'[1]29'!G129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11"/>
        <v>0</v>
      </c>
    </row>
    <row r="130" spans="1:13" ht="25.5" x14ac:dyDescent="0.55000000000000004">
      <c r="A130" s="5">
        <v>127</v>
      </c>
      <c r="B130" s="14" t="s">
        <v>143</v>
      </c>
      <c r="C130" s="7">
        <f>+'[1]29'!G130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11"/>
        <v>0</v>
      </c>
    </row>
    <row r="131" spans="1:13" ht="25.5" x14ac:dyDescent="0.55000000000000004">
      <c r="A131" s="5">
        <v>128</v>
      </c>
      <c r="B131" s="14" t="s">
        <v>144</v>
      </c>
      <c r="C131" s="7">
        <f>+'[1]29'!G131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11"/>
        <v>0</v>
      </c>
    </row>
    <row r="132" spans="1:13" ht="25.5" x14ac:dyDescent="0.55000000000000004">
      <c r="A132" s="5">
        <v>129</v>
      </c>
      <c r="B132" s="14" t="s">
        <v>145</v>
      </c>
      <c r="C132" s="7">
        <f>+'[1]29'!G132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11"/>
        <v>0</v>
      </c>
    </row>
    <row r="133" spans="1:13" ht="25.5" x14ac:dyDescent="0.55000000000000004">
      <c r="A133" s="5">
        <v>130</v>
      </c>
      <c r="B133" s="14" t="s">
        <v>146</v>
      </c>
      <c r="C133" s="7">
        <f>+'[1]29'!G133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si="11"/>
        <v>0</v>
      </c>
    </row>
    <row r="134" spans="1:13" ht="25.5" x14ac:dyDescent="0.55000000000000004">
      <c r="A134" s="5">
        <v>131</v>
      </c>
      <c r="B134" s="14" t="s">
        <v>147</v>
      </c>
      <c r="C134" s="7">
        <f>+'[1]29'!G134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ref="M134:M197" si="15">+J134-L134</f>
        <v>0</v>
      </c>
    </row>
    <row r="135" spans="1:13" ht="25.5" x14ac:dyDescent="0.55000000000000004">
      <c r="A135" s="5">
        <v>132</v>
      </c>
      <c r="B135" s="14" t="s">
        <v>148</v>
      </c>
      <c r="C135" s="7">
        <f>+'[1]29'!G135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+'[1]29'!G136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+'[1]29'!G137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+'[1]29'!G138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+'[1]29'!G139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+'[1]29'!G140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+'[1]29'!G141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+'[1]29'!G142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+'[1]29'!G143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+'[1]29'!G144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+'[1]29'!G145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+'[1]29'!G146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+'[1]29'!G147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+'[1]29'!G148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+'[1]29'!G149</f>
        <v>41</v>
      </c>
      <c r="D149" s="45">
        <v>0</v>
      </c>
      <c r="E149" s="7">
        <f t="shared" si="12"/>
        <v>41</v>
      </c>
      <c r="F149" s="45">
        <v>0</v>
      </c>
      <c r="G149" s="93">
        <f t="shared" si="13"/>
        <v>41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+'[1]29'!G150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+'[1]29'!G151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+'[1]29'!G152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+'[1]29'!G153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+'[1]29'!G154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+'[1]29'!G155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+'[1]29'!G156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+'[1]29'!G157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+'[1]29'!G158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+'[1]29'!G159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+'[1]29'!G160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+'[1]29'!G161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+'[1]29'!G162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+'[1]29'!G163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+'[1]29'!G164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+'[1]29'!G165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+'[1]29'!G166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+'[1]29'!G167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+'[1]29'!G168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+'[1]29'!G169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+'[1]29'!G170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+'[1]29'!G171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+'[1]29'!G172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+'[1]29'!G173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+'[1]29'!G174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+'[1]29'!G175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+'[1]29'!G176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+'[1]29'!G177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+'[1]29'!G178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+'[1]29'!G179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+'[1]29'!G180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+'[1]29'!G181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+'[1]29'!G182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+'[1]29'!G183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+'[1]29'!G184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+'[1]29'!G185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+'[1]29'!G186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+'[1]29'!G187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+'[1]29'!G188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+'[1]29'!G189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+'[1]29'!G190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+'[1]29'!G191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+'[1]29'!G192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+'[1]29'!G193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+'[1]29'!G194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+'[1]29'!G195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+'[1]29'!G196</f>
        <v>9</v>
      </c>
      <c r="D196" s="45">
        <v>0</v>
      </c>
      <c r="E196" s="7">
        <f t="shared" si="16"/>
        <v>9</v>
      </c>
      <c r="F196" s="45">
        <v>0</v>
      </c>
      <c r="G196" s="7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+'[1]29'!G197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si="15"/>
        <v>0</v>
      </c>
    </row>
    <row r="198" spans="1:26" ht="25.5" x14ac:dyDescent="0.55000000000000004">
      <c r="A198" s="5">
        <v>195</v>
      </c>
      <c r="B198" s="14"/>
      <c r="C198" s="7">
        <f>+'[1]29'!G198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ref="M198:M203" si="19">+J198-L198</f>
        <v>0</v>
      </c>
    </row>
    <row r="199" spans="1:26" ht="25.5" x14ac:dyDescent="0.55000000000000004">
      <c r="A199" s="5">
        <v>196</v>
      </c>
      <c r="B199" s="14"/>
      <c r="C199" s="7">
        <f>+'[1]29'!G199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+'[1]29'!G200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+'[1]29'!G201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+'[1]29'!G202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+'[1]29'!G203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1500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400</v>
      </c>
      <c r="L208" s="2">
        <v>100</v>
      </c>
      <c r="M208" s="2">
        <v>300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1050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1050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1450</v>
      </c>
    </row>
    <row r="218" spans="1:13" x14ac:dyDescent="0.5">
      <c r="G218" s="2"/>
      <c r="I218" s="2"/>
      <c r="J218" s="2" t="s">
        <v>218</v>
      </c>
      <c r="K218" s="41">
        <f>SUM(K207:K210)</f>
        <v>400</v>
      </c>
    </row>
    <row r="219" spans="1:13" x14ac:dyDescent="0.5">
      <c r="G219" s="2"/>
      <c r="I219" s="2"/>
      <c r="J219" s="2" t="s">
        <v>219</v>
      </c>
      <c r="K219" s="41">
        <f>+K213</f>
        <v>1050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1D49-22C1-467C-82E0-7DF8A9D65C3F}">
  <sheetPr>
    <tabColor theme="7" tint="0.79998168889431442"/>
  </sheetPr>
  <dimension ref="A1:Z290"/>
  <sheetViews>
    <sheetView zoomScale="90" zoomScaleNormal="90" workbookViewId="0">
      <pane ySplit="3" topLeftCell="A189" activePane="bottomLeft" state="frozen"/>
      <selection pane="bottomLeft" activeCell="B196" sqref="B196:B197"/>
    </sheetView>
  </sheetViews>
  <sheetFormatPr defaultColWidth="9" defaultRowHeight="24.75" x14ac:dyDescent="0.5"/>
  <cols>
    <col min="1" max="1" width="6.625" style="2" customWidth="1"/>
    <col min="2" max="2" width="33.3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95">
        <f>+ยกมา!G4</f>
        <v>28</v>
      </c>
      <c r="D4" s="45">
        <v>0</v>
      </c>
      <c r="E4" s="7">
        <f t="shared" ref="E4:E93" si="0">C4+D4</f>
        <v>28</v>
      </c>
      <c r="F4" s="45">
        <v>0</v>
      </c>
      <c r="G4" s="93">
        <f t="shared" ref="G4:G93" si="1">E4-F4-H4</f>
        <v>28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5">
        <f>+ยกมา!G5</f>
        <v>33</v>
      </c>
      <c r="D5" s="45">
        <v>0</v>
      </c>
      <c r="E5" s="7">
        <f t="shared" si="0"/>
        <v>33</v>
      </c>
      <c r="F5" s="45">
        <v>0</v>
      </c>
      <c r="G5" s="93">
        <f t="shared" si="1"/>
        <v>31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93">
        <f>+ยกมา!G6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93">
        <f>+ยกมา!G7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93">
        <f>+ยกมา!G8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93">
        <f>+ยกมา!G9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93">
        <f>+ยกมา!G10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93">
        <f>+ยกมา!G11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93">
        <f>+ยกมา!G12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93">
        <f>+ยกมา!G13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93">
        <f>+ยกมา!G14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93">
        <f>+ยกมา!G15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1</v>
      </c>
      <c r="H15" s="51">
        <v>1</v>
      </c>
      <c r="I15" s="8">
        <v>50</v>
      </c>
      <c r="J15" s="9">
        <f t="shared" si="2"/>
        <v>50</v>
      </c>
      <c r="K15" s="10" t="s">
        <v>16</v>
      </c>
      <c r="L15" s="11">
        <v>0</v>
      </c>
      <c r="M15" s="12">
        <f t="shared" si="4"/>
        <v>50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93">
        <f>+ยกมา!G16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93">
        <f>+ยกมา!G17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2</v>
      </c>
      <c r="H17" s="51">
        <v>1</v>
      </c>
      <c r="I17" s="8">
        <v>50</v>
      </c>
      <c r="J17" s="9">
        <f t="shared" si="2"/>
        <v>50</v>
      </c>
      <c r="K17" s="10" t="s">
        <v>16</v>
      </c>
      <c r="L17" s="11">
        <v>0</v>
      </c>
      <c r="M17" s="12">
        <f t="shared" si="4"/>
        <v>50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93">
        <f>+ยกมา!G18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+ยกมา!G19</f>
        <v>-1</v>
      </c>
      <c r="D19" s="45">
        <v>0</v>
      </c>
      <c r="E19" s="7">
        <f t="shared" si="0"/>
        <v>-1</v>
      </c>
      <c r="F19" s="45">
        <v>0</v>
      </c>
      <c r="G19" s="93">
        <f t="shared" si="1"/>
        <v>-2</v>
      </c>
      <c r="H19" s="51">
        <v>1</v>
      </c>
      <c r="I19" s="8">
        <v>50</v>
      </c>
      <c r="J19" s="9">
        <f t="shared" si="2"/>
        <v>50</v>
      </c>
      <c r="K19" s="10" t="s">
        <v>16</v>
      </c>
      <c r="L19" s="11">
        <v>0</v>
      </c>
      <c r="M19" s="12">
        <f t="shared" si="4"/>
        <v>50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93">
        <f>+ยกมา!G20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93">
        <f>+ยกมา!G21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3">
        <f>+ยกมา!G22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10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93">
        <f>+ยกมา!G23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93">
        <f>+ยกมา!G24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93">
        <f>+ยกมา!G25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93">
        <f>+ยกมา!G26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93">
        <f>+ยกมา!G27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3">
        <f>+ยกมา!G28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93">
        <f>+ยกมา!G29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93">
        <f>+ยกมา!G30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93">
        <f>+ยกมา!G31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93">
        <f>+ยกมา!G32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93">
        <f>+ยกมา!G33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93">
        <f>+ยกมา!G34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93">
        <f>+ยกมา!G35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+ยกมา!G36</f>
        <v>1</v>
      </c>
      <c r="D36" s="45">
        <v>0</v>
      </c>
      <c r="E36" s="7">
        <f t="shared" si="0"/>
        <v>1</v>
      </c>
      <c r="F36" s="45">
        <v>0</v>
      </c>
      <c r="G36" s="93">
        <f t="shared" si="1"/>
        <v>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93">
        <f>+ยกมา!G37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0</v>
      </c>
      <c r="H37" s="51">
        <v>3</v>
      </c>
      <c r="I37" s="8">
        <v>50</v>
      </c>
      <c r="J37" s="9">
        <f t="shared" si="2"/>
        <v>150</v>
      </c>
      <c r="K37" s="10" t="s">
        <v>247</v>
      </c>
      <c r="L37" s="11">
        <v>75</v>
      </c>
      <c r="M37" s="12">
        <f t="shared" si="4"/>
        <v>75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93">
        <f>+ยกมา!G38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93">
        <f>+ยกมา!G39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93">
        <f>+ยกมา!G40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93">
        <f>+ยกมา!G41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93">
        <f>+ยกมา!G42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93">
        <f>+ยกมา!G43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93">
        <f>+ยกมา!G44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93">
        <f>+ยกมา!G45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93">
        <f>+ยกมา!G46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93">
        <f>+ยกมา!G47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93">
        <f>+ยกมา!G48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93">
        <f>+ยกมา!G49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93">
        <f>+ยกมา!G50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93">
        <f>+ยกมา!G51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93">
        <f>+ยกมา!G52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93">
        <f>+ยกมา!G53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93">
        <f>+ยกมา!G54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93">
        <f>+ยกมา!G55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93">
        <f>+ยกมา!G56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93">
        <f>+ยกมา!G57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93">
        <f>+ยกมา!G58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93">
        <f>+ยกมา!G59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93">
        <f>+ยกมา!G60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93">
        <f>+ยกมา!G61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93">
        <f>+ยกมา!G62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93">
        <f>+ยกมา!G63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93">
        <f>+ยกมา!G64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3">
        <f>+ยกมา!G65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3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93">
        <f>+ยกมา!G66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93">
        <f>+ยกมา!G67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93">
        <f>+ยกมา!G68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93">
        <f>+ยกมา!G69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93">
        <f>+ยกมา!G70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93">
        <f>+ยกมา!G71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93">
        <f>+ยกมา!G72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93">
        <f>+ยกมา!G73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93">
        <f>+ยกมา!G74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93">
        <f>+ยกมา!G75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93">
        <f>+ยกมา!G76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93">
        <f>+ยกมา!G77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93">
        <f>+ยกมา!G78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93">
        <f>+ยกมา!G79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93">
        <f>+ยกมา!G80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93">
        <f>+ยกมา!G81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93">
        <f>+ยกมา!G82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93">
        <f>+ยกมา!G83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3">
        <f>+ยกมา!G84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3">
        <f>+ยกมา!G85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3">
        <f>+ยกมา!G86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3">
        <f>+ยกมา!G87</f>
        <v>11</v>
      </c>
      <c r="D87" s="45">
        <v>0</v>
      </c>
      <c r="E87" s="7">
        <f t="shared" si="0"/>
        <v>11</v>
      </c>
      <c r="F87" s="45">
        <v>0</v>
      </c>
      <c r="G87" s="93">
        <f t="shared" si="1"/>
        <v>10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5">
        <f>+ยกมา!G88</f>
        <v>6</v>
      </c>
      <c r="D88" s="45">
        <v>0</v>
      </c>
      <c r="E88" s="7">
        <f t="shared" si="0"/>
        <v>6</v>
      </c>
      <c r="F88" s="45">
        <v>0</v>
      </c>
      <c r="G88" s="93">
        <f t="shared" si="1"/>
        <v>6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93">
        <f>+ยกมา!G89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93">
        <f>+ยกมา!G90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93">
        <f>+ยกมา!G91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93">
        <f>+ยกมา!G92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93">
        <f>+ยกมา!G93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3">
        <f>+ยกมา!G94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93">
        <f>+ยกมา!G95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93">
        <f>+ยกมา!G96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93">
        <f>+ยกมา!G97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93">
        <f>+ยกมา!G98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93">
        <f>+ยกมา!G99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93">
        <f>+ยกมา!G100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93">
        <f>+ยกมา!G101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93">
        <f>+ยกมา!G102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93">
        <f>+ยกมา!G103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93">
        <f>+ยกมา!G104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93">
        <f>+ยกมา!G105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93">
        <f>+ยกมา!G106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93">
        <f>+ยกมา!G107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93">
        <f>+ยกมา!G108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93">
        <f>+ยกมา!G109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93">
        <f>+ยกมา!G110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93">
        <f>+ยกมา!G111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93">
        <f>+ยกมา!G112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93">
        <f>+ยกมา!G113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93">
        <f>+ยกมา!G114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93">
        <f>+ยกมา!G115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93">
        <f>+ยกมา!G116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93">
        <f>+ยกมา!G117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93">
        <f>+ยกมา!G118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93">
        <f>+ยกมา!G119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3">
        <f>+ยกมา!G120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93">
        <f>+ยกมา!G121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93">
        <f>+ยกมา!G122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93">
        <f>+ยกมา!G123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93">
        <f>+ยกมา!G124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93">
        <f>+ยกมา!G125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93">
        <f>+ยกมา!G126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93">
        <f>+ยกมา!G127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93">
        <f>+ยกมา!G128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93">
        <f>+ยกมา!G129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93">
        <f>+ยกมา!G130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93">
        <f>+ยกมา!G131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93">
        <f>+ยกมา!G132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93">
        <f>+ยกมา!G133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93">
        <f>+ยกมา!G134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93">
        <f>+ยกมา!G135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93">
        <f>+ยกมา!G136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93">
        <f>+ยกมา!G137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93">
        <f>+ยกมา!G138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93">
        <f>+ยกมา!G139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93">
        <f>+ยกมา!G140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93">
        <f>+ยกมา!G141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93">
        <f>+ยกมา!G142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93">
        <f>+ยกมา!G143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93">
        <f>+ยกมา!G144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93">
        <f>+ยกมา!G145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93">
        <f>+ยกมา!G146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93">
        <f>+ยกมา!G147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93">
        <f>+ยกมา!G148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93">
        <f>+ยกมา!G149</f>
        <v>41</v>
      </c>
      <c r="D149" s="45">
        <v>0</v>
      </c>
      <c r="E149" s="7">
        <f t="shared" si="12"/>
        <v>41</v>
      </c>
      <c r="F149" s="45">
        <v>0</v>
      </c>
      <c r="G149" s="93">
        <f t="shared" si="13"/>
        <v>40</v>
      </c>
      <c r="H149" s="51">
        <v>1</v>
      </c>
      <c r="I149" s="8">
        <v>150</v>
      </c>
      <c r="J149" s="9">
        <f t="shared" si="14"/>
        <v>150</v>
      </c>
      <c r="K149" s="10" t="s">
        <v>254</v>
      </c>
      <c r="L149" s="11">
        <v>15</v>
      </c>
      <c r="M149" s="12">
        <f t="shared" si="15"/>
        <v>135</v>
      </c>
    </row>
    <row r="150" spans="1:13" ht="25.5" x14ac:dyDescent="0.55000000000000004">
      <c r="A150" s="5">
        <v>147</v>
      </c>
      <c r="B150" s="14" t="s">
        <v>163</v>
      </c>
      <c r="C150" s="93">
        <f>+ยกมา!G150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93">
        <f>+ยกมา!G151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93">
        <f>+ยกมา!G152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93">
        <f>+ยกมา!G153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93">
        <f>+ยกมา!G154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93">
        <f>+ยกมา!G155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93">
        <f>+ยกมา!G156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93">
        <f>+ยกมา!G157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93">
        <f>+ยกมา!G158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93">
        <f>+ยกมา!G159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93">
        <f>+ยกมา!G160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93">
        <f>+ยกมา!G161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3">
        <f>+ยกมา!G162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93">
        <f>+ยกมา!G163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93">
        <f>+ยกมา!G164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93">
        <f>+ยกมา!G165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93">
        <f>+ยกมา!G166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93">
        <f>+ยกมา!G167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93">
        <f>+ยกมา!G168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93">
        <f>+ยกมา!G169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93">
        <f>+ยกมา!G170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93">
        <f>+ยกมา!G171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93">
        <f>+ยกมา!G172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93">
        <f>+ยกมา!G173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93">
        <f>+ยกมา!G174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+ยกมา!G175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93">
        <f>+ยกมา!G176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93">
        <f>+ยกมา!G177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93">
        <f>+ยกมา!G178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93">
        <f>+ยกมา!G179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93">
        <f>+ยกมา!G180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93">
        <f>+ยกมา!G181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93">
        <f>+ยกมา!G182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93">
        <f>+ยกมา!G183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93">
        <f>+ยกมา!G184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93">
        <f>+ยกมา!G185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93">
        <f>+ยกมา!G186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93">
        <f>+ยกมา!G187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93">
        <f>+ยกมา!G188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93">
        <f>+ยกมา!G189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93">
        <f>+ยกมา!G190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93">
        <f>+ยกมา!G191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+ยกมา!G192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93">
        <f>+ยกมา!G193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93">
        <f>+ยกมา!G194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93">
        <f>+ยกมา!G195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93">
        <f>+ยกมา!G196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3">
        <f>+ยกมา!G197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93">
        <f>+ยกมา!G198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93">
        <f>+ยกมา!G199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93">
        <f>+ยกมา!G200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93">
        <f>+ยกมา!G201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93">
        <f>+ยกมา!G202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93">
        <f>+ยกมา!G203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950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235</v>
      </c>
      <c r="L208" s="2">
        <v>235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90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625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625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860</v>
      </c>
    </row>
    <row r="218" spans="1:13" x14ac:dyDescent="0.5">
      <c r="G218" s="2"/>
      <c r="I218" s="2"/>
      <c r="J218" s="2" t="s">
        <v>218</v>
      </c>
      <c r="K218" s="41">
        <f>SUM(K207:K210)</f>
        <v>235</v>
      </c>
    </row>
    <row r="219" spans="1:13" x14ac:dyDescent="0.5">
      <c r="G219" s="2"/>
      <c r="I219" s="2"/>
      <c r="J219" s="2" t="s">
        <v>219</v>
      </c>
      <c r="K219" s="41">
        <f>+K213</f>
        <v>625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F961-EC77-4019-B1AD-5534B17394EE}">
  <sheetPr>
    <tabColor theme="7" tint="0.79998168889431442"/>
  </sheetPr>
  <dimension ref="A1:Z290"/>
  <sheetViews>
    <sheetView zoomScale="90" zoomScaleNormal="90" workbookViewId="0">
      <pane ySplit="3" topLeftCell="A199" activePane="bottomLeft" state="frozen"/>
      <selection pane="bottomLeft" activeCell="L213" sqref="L213"/>
    </sheetView>
  </sheetViews>
  <sheetFormatPr defaultColWidth="9" defaultRowHeight="24.75" x14ac:dyDescent="0.5"/>
  <cols>
    <col min="1" max="1" width="6.625" style="2" customWidth="1"/>
    <col min="2" max="2" width="33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8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95">
        <f>+'1'!G4</f>
        <v>28</v>
      </c>
      <c r="D4" s="45">
        <v>0</v>
      </c>
      <c r="E4" s="7">
        <f t="shared" ref="E4:E93" si="0">C4+D4</f>
        <v>28</v>
      </c>
      <c r="F4" s="45">
        <v>0</v>
      </c>
      <c r="G4" s="93">
        <f t="shared" ref="G4:G93" si="1">E4-F4-H4</f>
        <v>27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5">
        <f>+'1'!G5</f>
        <v>31</v>
      </c>
      <c r="D5" s="45">
        <v>0</v>
      </c>
      <c r="E5" s="7">
        <f t="shared" si="0"/>
        <v>31</v>
      </c>
      <c r="F5" s="45">
        <v>0</v>
      </c>
      <c r="G5" s="93">
        <f t="shared" si="1"/>
        <v>30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+'1'!G15</f>
        <v>1</v>
      </c>
      <c r="D15" s="45">
        <v>0</v>
      </c>
      <c r="E15" s="7">
        <f t="shared" si="0"/>
        <v>1</v>
      </c>
      <c r="F15" s="45">
        <v>0</v>
      </c>
      <c r="G15" s="93">
        <f t="shared" si="1"/>
        <v>1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+'1'!G17</f>
        <v>2</v>
      </c>
      <c r="D17" s="45">
        <v>0</v>
      </c>
      <c r="E17" s="7">
        <f t="shared" si="0"/>
        <v>2</v>
      </c>
      <c r="F17" s="45">
        <v>0</v>
      </c>
      <c r="G17" s="93">
        <f t="shared" si="1"/>
        <v>2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+'1'!G19</f>
        <v>-2</v>
      </c>
      <c r="D19" s="45">
        <v>0</v>
      </c>
      <c r="E19" s="7">
        <f t="shared" si="0"/>
        <v>-2</v>
      </c>
      <c r="F19" s="45">
        <v>0</v>
      </c>
      <c r="G19" s="93">
        <f t="shared" si="1"/>
        <v>-2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+'1'!G22</f>
        <v>10</v>
      </c>
      <c r="D22" s="45">
        <v>0</v>
      </c>
      <c r="E22" s="7">
        <f t="shared" si="0"/>
        <v>10</v>
      </c>
      <c r="F22" s="45">
        <v>0</v>
      </c>
      <c r="G22" s="93">
        <f t="shared" si="1"/>
        <v>9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+'1'!G36</f>
        <v>1</v>
      </c>
      <c r="D36" s="45">
        <v>0</v>
      </c>
      <c r="E36" s="7">
        <f t="shared" si="0"/>
        <v>1</v>
      </c>
      <c r="F36" s="45">
        <v>2</v>
      </c>
      <c r="G36" s="93">
        <f t="shared" si="1"/>
        <v>-1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11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+'1'!G87</f>
        <v>10</v>
      </c>
      <c r="D87" s="45">
        <v>0</v>
      </c>
      <c r="E87" s="7">
        <f t="shared" si="0"/>
        <v>10</v>
      </c>
      <c r="F87" s="45">
        <v>0</v>
      </c>
      <c r="G87" s="93">
        <f t="shared" si="1"/>
        <v>10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+'1'!G88</f>
        <v>6</v>
      </c>
      <c r="D88" s="45">
        <v>0</v>
      </c>
      <c r="E88" s="7">
        <f t="shared" si="0"/>
        <v>6</v>
      </c>
      <c r="F88" s="45">
        <v>5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0</v>
      </c>
      <c r="H101" s="51">
        <v>1</v>
      </c>
      <c r="I101" s="8">
        <v>50</v>
      </c>
      <c r="J101" s="9">
        <f t="shared" si="8"/>
        <v>50</v>
      </c>
      <c r="K101" s="10" t="s">
        <v>16</v>
      </c>
      <c r="L101" s="11">
        <v>0</v>
      </c>
      <c r="M101" s="12">
        <f t="shared" si="9"/>
        <v>50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+'1'!G149</f>
        <v>40</v>
      </c>
      <c r="D149" s="45">
        <v>0</v>
      </c>
      <c r="E149" s="7">
        <f t="shared" si="12"/>
        <v>40</v>
      </c>
      <c r="F149" s="45">
        <v>0</v>
      </c>
      <c r="G149" s="93">
        <f t="shared" si="13"/>
        <v>40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95">
        <f>+'1'!G195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4</v>
      </c>
      <c r="H195" s="51">
        <v>1</v>
      </c>
      <c r="I195" s="8">
        <v>35</v>
      </c>
      <c r="J195" s="9">
        <f t="shared" si="14"/>
        <v>35</v>
      </c>
      <c r="K195" s="10" t="s">
        <v>16</v>
      </c>
      <c r="L195" s="11">
        <v>10</v>
      </c>
      <c r="M195" s="12">
        <f t="shared" si="15"/>
        <v>25</v>
      </c>
    </row>
    <row r="196" spans="1:26" ht="25.5" x14ac:dyDescent="0.55000000000000004">
      <c r="A196" s="5">
        <v>193</v>
      </c>
      <c r="B196" s="14" t="s">
        <v>252</v>
      </c>
      <c r="C196" s="7">
        <f>+'1'!G196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+'1'!G197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395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200</v>
      </c>
      <c r="L208" s="2">
        <v>200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185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185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385</v>
      </c>
    </row>
    <row r="218" spans="1:13" x14ac:dyDescent="0.5">
      <c r="G218" s="2"/>
      <c r="I218" s="2"/>
      <c r="J218" s="2" t="s">
        <v>218</v>
      </c>
      <c r="K218" s="41">
        <f>SUM(K207:K210)</f>
        <v>200</v>
      </c>
    </row>
    <row r="219" spans="1:13" x14ac:dyDescent="0.5">
      <c r="G219" s="2"/>
      <c r="I219" s="2"/>
      <c r="J219" s="2" t="s">
        <v>219</v>
      </c>
      <c r="K219" s="41">
        <f>+K213</f>
        <v>185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8B4A-BDD8-4B03-AFAF-BE065E7CC91E}">
  <sheetPr>
    <tabColor theme="7" tint="0.79998168889431442"/>
  </sheetPr>
  <dimension ref="A1:Z290"/>
  <sheetViews>
    <sheetView zoomScale="90" zoomScaleNormal="90" workbookViewId="0">
      <pane ySplit="3" topLeftCell="A201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+'2'!G4</f>
        <v>27</v>
      </c>
      <c r="D4" s="45">
        <v>20</v>
      </c>
      <c r="E4" s="7">
        <f t="shared" ref="E4:E93" si="0">C4+D4</f>
        <v>47</v>
      </c>
      <c r="F4" s="45">
        <v>0</v>
      </c>
      <c r="G4" s="93">
        <f t="shared" ref="G4:G93" si="1">E4-F4-H4</f>
        <v>45</v>
      </c>
      <c r="H4" s="51">
        <v>2</v>
      </c>
      <c r="I4" s="8">
        <v>50</v>
      </c>
      <c r="J4" s="9">
        <f t="shared" ref="J4:J68" si="2">+I4*H4</f>
        <v>100</v>
      </c>
      <c r="K4" s="10" t="s">
        <v>258</v>
      </c>
      <c r="L4" s="11">
        <v>50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5">
        <f>+'2'!G5</f>
        <v>30</v>
      </c>
      <c r="D5" s="45">
        <v>20</v>
      </c>
      <c r="E5" s="7">
        <f t="shared" si="0"/>
        <v>50</v>
      </c>
      <c r="F5" s="45">
        <v>0</v>
      </c>
      <c r="G5" s="93">
        <f t="shared" si="1"/>
        <v>48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+'2'!G15</f>
        <v>1</v>
      </c>
      <c r="D15" s="45">
        <v>0</v>
      </c>
      <c r="E15" s="7">
        <f t="shared" si="0"/>
        <v>1</v>
      </c>
      <c r="F15" s="45">
        <v>0</v>
      </c>
      <c r="G15" s="93">
        <f t="shared" si="1"/>
        <v>1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+'2'!G17</f>
        <v>2</v>
      </c>
      <c r="D17" s="45">
        <v>0</v>
      </c>
      <c r="E17" s="7">
        <f t="shared" si="0"/>
        <v>2</v>
      </c>
      <c r="F17" s="45">
        <v>0</v>
      </c>
      <c r="G17" s="93">
        <f t="shared" si="1"/>
        <v>1</v>
      </c>
      <c r="H17" s="51">
        <v>1</v>
      </c>
      <c r="I17" s="8">
        <v>50</v>
      </c>
      <c r="J17" s="9">
        <f t="shared" si="2"/>
        <v>50</v>
      </c>
      <c r="K17" s="10" t="s">
        <v>16</v>
      </c>
      <c r="L17" s="11">
        <v>0</v>
      </c>
      <c r="M17" s="12">
        <f t="shared" si="4"/>
        <v>50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+'2'!G19</f>
        <v>-2</v>
      </c>
      <c r="D19" s="45">
        <v>0</v>
      </c>
      <c r="E19" s="7">
        <f t="shared" si="0"/>
        <v>-2</v>
      </c>
      <c r="F19" s="45">
        <v>0</v>
      </c>
      <c r="G19" s="93">
        <f t="shared" si="1"/>
        <v>-3</v>
      </c>
      <c r="H19" s="51">
        <v>1</v>
      </c>
      <c r="I19" s="8">
        <v>50</v>
      </c>
      <c r="J19" s="9">
        <f t="shared" si="2"/>
        <v>50</v>
      </c>
      <c r="K19" s="10" t="s">
        <v>16</v>
      </c>
      <c r="L19" s="11">
        <v>0</v>
      </c>
      <c r="M19" s="12">
        <f t="shared" si="4"/>
        <v>50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+'2'!G22</f>
        <v>9</v>
      </c>
      <c r="D22" s="45">
        <v>0</v>
      </c>
      <c r="E22" s="7">
        <f t="shared" si="0"/>
        <v>9</v>
      </c>
      <c r="F22" s="45">
        <v>0</v>
      </c>
      <c r="G22" s="93">
        <f t="shared" si="1"/>
        <v>9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+'2'!G36</f>
        <v>-1</v>
      </c>
      <c r="D36" s="45">
        <v>5</v>
      </c>
      <c r="E36" s="7">
        <f t="shared" si="0"/>
        <v>4</v>
      </c>
      <c r="F36" s="45">
        <v>0</v>
      </c>
      <c r="G36" s="93">
        <f t="shared" si="1"/>
        <v>0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+'2'!G37</f>
        <v>0</v>
      </c>
      <c r="D37" s="45">
        <v>5</v>
      </c>
      <c r="E37" s="7">
        <f t="shared" si="0"/>
        <v>5</v>
      </c>
      <c r="F37" s="45">
        <v>0</v>
      </c>
      <c r="G37" s="93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+'2'!G39</f>
        <v>0</v>
      </c>
      <c r="D39" s="45">
        <v>5</v>
      </c>
      <c r="E39" s="7">
        <f t="shared" si="0"/>
        <v>5</v>
      </c>
      <c r="F39" s="45">
        <v>0</v>
      </c>
      <c r="G39" s="93">
        <f t="shared" si="1"/>
        <v>4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+'2'!G69</f>
        <v>0</v>
      </c>
      <c r="D69" s="45">
        <v>5</v>
      </c>
      <c r="E69" s="7">
        <f t="shared" si="0"/>
        <v>5</v>
      </c>
      <c r="F69" s="45">
        <v>0</v>
      </c>
      <c r="G69" s="93">
        <f t="shared" si="1"/>
        <v>3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6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4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+'2'!G86</f>
        <v>11</v>
      </c>
      <c r="D86" s="45">
        <v>0</v>
      </c>
      <c r="E86" s="7">
        <f t="shared" si="0"/>
        <v>11</v>
      </c>
      <c r="F86" s="45">
        <v>0</v>
      </c>
      <c r="G86" s="93">
        <f t="shared" si="1"/>
        <v>10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+'2'!G87</f>
        <v>10</v>
      </c>
      <c r="D87" s="45">
        <v>0</v>
      </c>
      <c r="E87" s="7">
        <f t="shared" si="0"/>
        <v>10</v>
      </c>
      <c r="F87" s="45">
        <v>0</v>
      </c>
      <c r="G87" s="93">
        <f t="shared" si="1"/>
        <v>9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+'2'!G149</f>
        <v>40</v>
      </c>
      <c r="D149" s="45">
        <v>0</v>
      </c>
      <c r="E149" s="7">
        <f t="shared" si="12"/>
        <v>40</v>
      </c>
      <c r="F149" s="45">
        <v>0</v>
      </c>
      <c r="G149" s="93">
        <f t="shared" si="13"/>
        <v>40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+'2'!G177</f>
        <v>0</v>
      </c>
      <c r="D177" s="45">
        <v>5</v>
      </c>
      <c r="E177" s="7">
        <f t="shared" si="16"/>
        <v>5</v>
      </c>
      <c r="F177" s="45">
        <v>0</v>
      </c>
      <c r="G177" s="93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+'2'!G192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95">
        <f>+'2'!G195</f>
        <v>4</v>
      </c>
      <c r="D195" s="45">
        <v>0</v>
      </c>
      <c r="E195" s="7">
        <f t="shared" si="16"/>
        <v>4</v>
      </c>
      <c r="F195" s="45">
        <v>0</v>
      </c>
      <c r="G195" s="93">
        <f t="shared" si="17"/>
        <v>3</v>
      </c>
      <c r="H195" s="51">
        <v>1</v>
      </c>
      <c r="I195" s="8">
        <v>25</v>
      </c>
      <c r="J195" s="9">
        <f t="shared" si="14"/>
        <v>25</v>
      </c>
      <c r="K195" s="10" t="s">
        <v>16</v>
      </c>
      <c r="L195" s="11">
        <v>0</v>
      </c>
      <c r="M195" s="12">
        <f t="shared" si="15"/>
        <v>25</v>
      </c>
    </row>
    <row r="196" spans="1:26" ht="25.5" x14ac:dyDescent="0.55000000000000004">
      <c r="A196" s="5">
        <v>193</v>
      </c>
      <c r="B196" s="14" t="s">
        <v>252</v>
      </c>
      <c r="C196" s="95">
        <f>+'2'!G196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+'2'!G197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1290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765</v>
      </c>
      <c r="L208" s="2">
        <v>500</v>
      </c>
      <c r="M208" s="2">
        <v>215</v>
      </c>
      <c r="N208" s="2">
        <v>50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475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475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1240</v>
      </c>
    </row>
    <row r="218" spans="1:13" x14ac:dyDescent="0.5">
      <c r="G218" s="2"/>
      <c r="I218" s="2"/>
      <c r="J218" s="2" t="s">
        <v>218</v>
      </c>
      <c r="K218" s="41">
        <f>SUM(K207:K210)</f>
        <v>765</v>
      </c>
    </row>
    <row r="219" spans="1:13" x14ac:dyDescent="0.5">
      <c r="G219" s="2"/>
      <c r="I219" s="2"/>
      <c r="J219" s="2" t="s">
        <v>219</v>
      </c>
      <c r="K219" s="41">
        <f>+K213</f>
        <v>475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3EB9-7EC7-4F9D-BB21-F207E0C6B920}">
  <sheetPr>
    <tabColor theme="7" tint="0.79998168889431442"/>
  </sheetPr>
  <dimension ref="A1:Z290"/>
  <sheetViews>
    <sheetView zoomScale="90" zoomScaleNormal="90" workbookViewId="0">
      <pane ySplit="3" topLeftCell="A193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+'3'!G4</f>
        <v>45</v>
      </c>
      <c r="D4" s="45">
        <v>0</v>
      </c>
      <c r="E4" s="7">
        <f t="shared" ref="E4:E93" si="0">C4+D4</f>
        <v>45</v>
      </c>
      <c r="F4" s="45">
        <v>0</v>
      </c>
      <c r="G4" s="93">
        <f t="shared" ref="G4:G93" si="1">E4-F4-H4</f>
        <v>45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+'3'!G5</f>
        <v>48</v>
      </c>
      <c r="D5" s="45">
        <v>0</v>
      </c>
      <c r="E5" s="7">
        <f t="shared" si="0"/>
        <v>48</v>
      </c>
      <c r="F5" s="45">
        <v>0</v>
      </c>
      <c r="G5" s="93">
        <f t="shared" si="1"/>
        <v>46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+'3'!G7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+'3'!G8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+'3'!G9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+'3'!G15</f>
        <v>1</v>
      </c>
      <c r="D15" s="45">
        <v>0</v>
      </c>
      <c r="E15" s="7">
        <f t="shared" si="0"/>
        <v>1</v>
      </c>
      <c r="F15" s="45">
        <v>0</v>
      </c>
      <c r="G15" s="93">
        <f t="shared" si="1"/>
        <v>1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+'3'!G17</f>
        <v>1</v>
      </c>
      <c r="D17" s="45">
        <v>0</v>
      </c>
      <c r="E17" s="7">
        <f t="shared" si="0"/>
        <v>1</v>
      </c>
      <c r="F17" s="45">
        <v>0</v>
      </c>
      <c r="G17" s="93">
        <f t="shared" si="1"/>
        <v>1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+'3'!G19</f>
        <v>-3</v>
      </c>
      <c r="D19" s="45">
        <v>0</v>
      </c>
      <c r="E19" s="7">
        <f t="shared" si="0"/>
        <v>-3</v>
      </c>
      <c r="F19" s="45">
        <v>0</v>
      </c>
      <c r="G19" s="93">
        <f t="shared" si="1"/>
        <v>-3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+'3'!G22</f>
        <v>9</v>
      </c>
      <c r="D22" s="45">
        <v>0</v>
      </c>
      <c r="E22" s="7">
        <f t="shared" si="0"/>
        <v>9</v>
      </c>
      <c r="F22" s="45">
        <v>0</v>
      </c>
      <c r="G22" s="93">
        <f t="shared" si="1"/>
        <v>9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+'3'!G25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+'3'!G26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+'3'!G27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+'3'!G28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+'3'!G29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+'3'!G30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+'3'!G31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+'3'!G32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+'3'!G33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+'3'!G34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+'3'!G36</f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-1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+'3'!G37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+'3'!G38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+'3'!G39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3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+'3'!G41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+'3'!G42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+'3'!G43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+'3'!G47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+'3'!G48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+'3'!G49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+'3'!G50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+'3'!G51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+'3'!G52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+'3'!G53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+'3'!G55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+'3'!G56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+'3'!G57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+'3'!G58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+'3'!G59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+'3'!G60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+'3'!G61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+'3'!G62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+'3'!G63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+'3'!G64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+'3'!G65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+'3'!G66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+'3'!G67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+'3'!G69</f>
        <v>3</v>
      </c>
      <c r="D69" s="45">
        <v>0</v>
      </c>
      <c r="E69" s="7">
        <f t="shared" si="0"/>
        <v>3</v>
      </c>
      <c r="F69" s="45">
        <v>0</v>
      </c>
      <c r="G69" s="93">
        <f t="shared" si="1"/>
        <v>1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+'3'!G78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+'3'!G79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+'3'!G80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+'3'!G81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+'3'!G82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+'3'!G83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5">
        <f>+'3'!G84</f>
        <v>6</v>
      </c>
      <c r="D84" s="45">
        <v>0</v>
      </c>
      <c r="E84" s="7">
        <f t="shared" si="0"/>
        <v>6</v>
      </c>
      <c r="F84" s="45">
        <v>0</v>
      </c>
      <c r="G84" s="93">
        <f t="shared" si="1"/>
        <v>5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5">
        <f>+'3'!G85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+'3'!G86</f>
        <v>10</v>
      </c>
      <c r="D86" s="45">
        <v>0</v>
      </c>
      <c r="E86" s="7">
        <f t="shared" si="0"/>
        <v>10</v>
      </c>
      <c r="F86" s="45">
        <v>0</v>
      </c>
      <c r="G86" s="93">
        <f t="shared" si="1"/>
        <v>9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5">
        <f>+'3'!G87</f>
        <v>9</v>
      </c>
      <c r="D87" s="45">
        <v>0</v>
      </c>
      <c r="E87" s="7">
        <f t="shared" si="0"/>
        <v>9</v>
      </c>
      <c r="F87" s="45">
        <v>0</v>
      </c>
      <c r="G87" s="93">
        <f t="shared" si="1"/>
        <v>9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+'3'!G88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+'3'!G92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+'3'!G93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+'3'!G94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+'3'!G95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+'3'!G96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+'3'!G97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+'3'!G98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+'3'!G99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+'3'!G100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+'3'!G101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+'3'!G102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+'3'!G103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+'3'!G104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+'3'!G105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+'3'!G106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+'3'!G107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+'3'!G108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+'3'!G109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+'3'!G110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+'3'!G111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+'3'!G112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+'3'!G113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+'3'!G114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+'3'!G115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+'3'!G116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+'3'!G117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+'3'!G118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+'3'!G119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+'3'!G120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+'3'!G121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+'3'!G122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+'3'!G123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+'3'!G124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+'3'!G125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+'3'!G126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+'3'!G127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+'3'!G128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+'3'!G129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+'3'!G130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+'3'!G131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+'3'!G132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+'3'!G133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+'3'!G134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+'3'!G135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+'3'!G136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+'3'!G137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+'3'!G138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+'3'!G139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+'3'!G140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+'3'!G141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+'3'!G142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+'3'!G143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+'3'!G144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+'3'!G145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+'3'!G146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+'3'!G147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+'3'!G148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+'3'!G149</f>
        <v>40</v>
      </c>
      <c r="D149" s="45">
        <v>0</v>
      </c>
      <c r="E149" s="7">
        <f t="shared" si="12"/>
        <v>40</v>
      </c>
      <c r="F149" s="45">
        <v>0</v>
      </c>
      <c r="G149" s="93">
        <f t="shared" si="13"/>
        <v>40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+'3'!G150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+'3'!G151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+'3'!G152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+'3'!G153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+'3'!G154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+'3'!G155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+'3'!G156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+'3'!G157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+'3'!G159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+'3'!G160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+'3'!G161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+'3'!G162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+'3'!G163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+'3'!G164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+'3'!G165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+'3'!G166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+'3'!G167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+'3'!G168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+'3'!G169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+'3'!G170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+'3'!G171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+'3'!G172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+'3'!G173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+'3'!G174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+'3'!G175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+'3'!G176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+'3'!G177</f>
        <v>5</v>
      </c>
      <c r="D177" s="45">
        <v>0</v>
      </c>
      <c r="E177" s="7">
        <f t="shared" si="16"/>
        <v>5</v>
      </c>
      <c r="F177" s="45">
        <v>0</v>
      </c>
      <c r="G177" s="93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+'3'!G178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+'3'!G179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+'3'!G180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+'3'!G181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+'3'!G182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+'3'!G183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+'3'!G184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+'3'!G185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+'3'!G186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+'3'!G187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+'3'!G188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+'3'!G189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+'3'!G190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+'3'!G192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+'3'!G195</f>
        <v>3</v>
      </c>
      <c r="D195" s="45">
        <v>0</v>
      </c>
      <c r="E195" s="7">
        <f t="shared" si="16"/>
        <v>3</v>
      </c>
      <c r="F195" s="45">
        <v>0</v>
      </c>
      <c r="G195" s="93">
        <f t="shared" si="17"/>
        <v>3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95">
        <f>+'3'!G196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+'3'!G197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+'3'!G198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+'3'!G199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+'3'!G200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+'3'!G201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+'3'!G202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+'3'!G203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660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660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670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10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10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670</v>
      </c>
    </row>
    <row r="218" spans="1:13" x14ac:dyDescent="0.5">
      <c r="G218" s="2"/>
      <c r="I218" s="2"/>
      <c r="J218" s="2" t="s">
        <v>218</v>
      </c>
      <c r="K218" s="41">
        <f>SUM(K207:K210)</f>
        <v>0</v>
      </c>
    </row>
    <row r="219" spans="1:13" x14ac:dyDescent="0.5">
      <c r="G219" s="2"/>
      <c r="I219" s="2"/>
      <c r="J219" s="2" t="s">
        <v>219</v>
      </c>
      <c r="K219" s="41">
        <f>+K213</f>
        <v>670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2418-06BB-420E-8C2F-59685CA7EEA1}">
  <sheetPr>
    <tabColor theme="7" tint="0.79998168889431442"/>
  </sheetPr>
  <dimension ref="A1:Z290"/>
  <sheetViews>
    <sheetView zoomScale="90" zoomScaleNormal="90" workbookViewId="0">
      <pane ySplit="3" topLeftCell="A184" activePane="bottomLeft" state="frozen"/>
      <selection pane="bottomLeft" activeCell="B195" sqref="B195:B197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+'4'!G4</f>
        <v>45</v>
      </c>
      <c r="D4" s="45">
        <v>0</v>
      </c>
      <c r="E4" s="7">
        <f t="shared" ref="E4:E93" si="0">C4+D4</f>
        <v>45</v>
      </c>
      <c r="F4" s="45">
        <v>0</v>
      </c>
      <c r="G4" s="93">
        <f t="shared" ref="G4:G93" si="1">E4-F4-H4</f>
        <v>39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+'4'!G5</f>
        <v>46</v>
      </c>
      <c r="D5" s="45">
        <v>0</v>
      </c>
      <c r="E5" s="7">
        <f t="shared" si="0"/>
        <v>46</v>
      </c>
      <c r="F5" s="45">
        <v>0</v>
      </c>
      <c r="G5" s="93">
        <f t="shared" si="1"/>
        <v>45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+'4'!G15</f>
        <v>1</v>
      </c>
      <c r="D15" s="45">
        <v>0</v>
      </c>
      <c r="E15" s="7">
        <f t="shared" si="0"/>
        <v>1</v>
      </c>
      <c r="F15" s="45">
        <v>0</v>
      </c>
      <c r="G15" s="93">
        <f t="shared" si="1"/>
        <v>0</v>
      </c>
      <c r="H15" s="51">
        <v>1</v>
      </c>
      <c r="I15" s="8">
        <v>50</v>
      </c>
      <c r="J15" s="9">
        <f t="shared" si="2"/>
        <v>50</v>
      </c>
      <c r="K15" s="10" t="s">
        <v>16</v>
      </c>
      <c r="L15" s="11">
        <v>0</v>
      </c>
      <c r="M15" s="12">
        <f t="shared" si="4"/>
        <v>50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+'4'!G17</f>
        <v>1</v>
      </c>
      <c r="D17" s="45">
        <v>0</v>
      </c>
      <c r="E17" s="7">
        <f t="shared" si="0"/>
        <v>1</v>
      </c>
      <c r="F17" s="45">
        <v>0</v>
      </c>
      <c r="G17" s="93">
        <f t="shared" si="1"/>
        <v>0</v>
      </c>
      <c r="H17" s="51">
        <v>1</v>
      </c>
      <c r="I17" s="8">
        <v>50</v>
      </c>
      <c r="J17" s="9">
        <f t="shared" si="2"/>
        <v>50</v>
      </c>
      <c r="K17" s="10" t="s">
        <v>16</v>
      </c>
      <c r="L17" s="11">
        <v>0</v>
      </c>
      <c r="M17" s="12">
        <f t="shared" si="4"/>
        <v>50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+'4'!G19</f>
        <v>-3</v>
      </c>
      <c r="D19" s="45">
        <v>0</v>
      </c>
      <c r="E19" s="7">
        <f t="shared" si="0"/>
        <v>-3</v>
      </c>
      <c r="F19" s="45">
        <v>0</v>
      </c>
      <c r="G19" s="93">
        <f t="shared" si="1"/>
        <v>-3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+'4'!G22</f>
        <v>9</v>
      </c>
      <c r="D22" s="45">
        <v>0</v>
      </c>
      <c r="E22" s="7">
        <f t="shared" si="0"/>
        <v>9</v>
      </c>
      <c r="F22" s="45">
        <v>9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+'4'!G25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+'4'!G28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+'4'!G32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+'4'!G34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+'4'!G36</f>
        <v>-1</v>
      </c>
      <c r="D36" s="45">
        <v>0</v>
      </c>
      <c r="E36" s="7">
        <f t="shared" si="0"/>
        <v>-1</v>
      </c>
      <c r="F36" s="45">
        <v>0</v>
      </c>
      <c r="G36" s="93">
        <f t="shared" si="1"/>
        <v>-1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+'4'!G37</f>
        <v>4</v>
      </c>
      <c r="D37" s="45">
        <v>0</v>
      </c>
      <c r="E37" s="7">
        <f t="shared" si="0"/>
        <v>4</v>
      </c>
      <c r="F37" s="45">
        <v>0</v>
      </c>
      <c r="G37" s="93">
        <f t="shared" si="1"/>
        <v>2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+'4'!G38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+'4'!G39</f>
        <v>3</v>
      </c>
      <c r="D39" s="45">
        <v>0</v>
      </c>
      <c r="E39" s="7">
        <f t="shared" si="0"/>
        <v>3</v>
      </c>
      <c r="F39" s="45">
        <v>0</v>
      </c>
      <c r="G39" s="93">
        <f t="shared" si="1"/>
        <v>2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+'4'!G41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+'4'!G42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+'4'!G43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+'4'!G45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+'4'!G48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+'4'!G65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+'4'!G69</f>
        <v>1</v>
      </c>
      <c r="D69" s="45">
        <v>0</v>
      </c>
      <c r="E69" s="7">
        <f t="shared" si="0"/>
        <v>1</v>
      </c>
      <c r="F69" s="45">
        <v>0</v>
      </c>
      <c r="G69" s="93">
        <f t="shared" si="1"/>
        <v>0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+'4'!G78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+'4'!G84</f>
        <v>5</v>
      </c>
      <c r="D84" s="45">
        <v>0</v>
      </c>
      <c r="E84" s="7">
        <f t="shared" si="0"/>
        <v>5</v>
      </c>
      <c r="F84" s="45">
        <v>0</v>
      </c>
      <c r="G84" s="93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+'4'!G85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+'4'!G86</f>
        <v>9</v>
      </c>
      <c r="D86" s="45">
        <v>0</v>
      </c>
      <c r="E86" s="7">
        <f t="shared" si="0"/>
        <v>9</v>
      </c>
      <c r="F86" s="45">
        <v>0</v>
      </c>
      <c r="G86" s="93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5">
        <f>+'4'!G87</f>
        <v>9</v>
      </c>
      <c r="D87" s="45">
        <v>0</v>
      </c>
      <c r="E87" s="7">
        <f t="shared" si="0"/>
        <v>9</v>
      </c>
      <c r="F87" s="45">
        <v>0</v>
      </c>
      <c r="G87" s="93">
        <f t="shared" si="1"/>
        <v>9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+'4'!G88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+'4'!G100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+'4'!G105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+'4'!G149</f>
        <v>40</v>
      </c>
      <c r="D149" s="45">
        <v>0</v>
      </c>
      <c r="E149" s="7">
        <f t="shared" si="12"/>
        <v>40</v>
      </c>
      <c r="F149" s="45">
        <v>0</v>
      </c>
      <c r="G149" s="93">
        <f t="shared" si="13"/>
        <v>40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+'4'!G167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+'4'!G175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+'4'!G177</f>
        <v>5</v>
      </c>
      <c r="D177" s="45">
        <v>0</v>
      </c>
      <c r="E177" s="7">
        <f t="shared" si="16"/>
        <v>5</v>
      </c>
      <c r="F177" s="45">
        <v>0</v>
      </c>
      <c r="G177" s="93">
        <f t="shared" si="17"/>
        <v>1</v>
      </c>
      <c r="H177" s="51">
        <v>4</v>
      </c>
      <c r="I177" s="8">
        <v>120</v>
      </c>
      <c r="J177" s="9">
        <f t="shared" si="14"/>
        <v>480</v>
      </c>
      <c r="K177" s="10" t="s">
        <v>16</v>
      </c>
      <c r="L177" s="11">
        <v>0</v>
      </c>
      <c r="M177" s="12">
        <f t="shared" si="15"/>
        <v>480</v>
      </c>
    </row>
    <row r="178" spans="1:13" ht="25.5" x14ac:dyDescent="0.55000000000000004">
      <c r="A178" s="5">
        <v>175</v>
      </c>
      <c r="B178" s="14" t="s">
        <v>191</v>
      </c>
      <c r="C178" s="7">
        <f>+'4'!G178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+'4'!G192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+'4'!G195</f>
        <v>3</v>
      </c>
      <c r="D195" s="45">
        <v>0</v>
      </c>
      <c r="E195" s="7">
        <f t="shared" si="16"/>
        <v>3</v>
      </c>
      <c r="F195" s="45">
        <v>0</v>
      </c>
      <c r="G195" s="93">
        <f t="shared" si="17"/>
        <v>2</v>
      </c>
      <c r="H195" s="51">
        <v>1</v>
      </c>
      <c r="I195" s="8">
        <v>25</v>
      </c>
      <c r="J195" s="9">
        <f t="shared" si="14"/>
        <v>25</v>
      </c>
      <c r="K195" s="10" t="s">
        <v>16</v>
      </c>
      <c r="L195" s="11">
        <v>0</v>
      </c>
      <c r="M195" s="12">
        <f t="shared" si="15"/>
        <v>25</v>
      </c>
    </row>
    <row r="196" spans="1:26" ht="25.5" x14ac:dyDescent="0.55000000000000004">
      <c r="A196" s="5">
        <v>193</v>
      </c>
      <c r="B196" s="14" t="s">
        <v>252</v>
      </c>
      <c r="C196" s="7">
        <f>+'4'!G196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+'4'!G197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+'4'!G198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+'4'!G202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+'4'!G203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1205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170</v>
      </c>
      <c r="L208" s="2">
        <v>50</v>
      </c>
      <c r="M208" s="2">
        <v>120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1035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1035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1205</v>
      </c>
    </row>
    <row r="218" spans="1:13" x14ac:dyDescent="0.5">
      <c r="G218" s="2"/>
      <c r="I218" s="2"/>
      <c r="J218" s="2" t="s">
        <v>218</v>
      </c>
      <c r="K218" s="41">
        <f>SUM(K207:K210)</f>
        <v>170</v>
      </c>
    </row>
    <row r="219" spans="1:13" x14ac:dyDescent="0.5">
      <c r="G219" s="2"/>
      <c r="I219" s="2"/>
      <c r="J219" s="2" t="s">
        <v>219</v>
      </c>
      <c r="K219" s="41">
        <f>+K213</f>
        <v>1035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C3F7-9C2B-49CF-A4F7-79BDCFDDC513}">
  <sheetPr>
    <tabColor theme="7" tint="0.79998168889431442"/>
  </sheetPr>
  <dimension ref="A1:Z290"/>
  <sheetViews>
    <sheetView zoomScale="90" zoomScaleNormal="90" workbookViewId="0">
      <pane ySplit="3" topLeftCell="A199" activePane="bottomLeft" state="frozen"/>
      <selection pane="bottomLeft" activeCell="L150" sqref="L150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+'5'!G4</f>
        <v>39</v>
      </c>
      <c r="D4" s="45">
        <v>0</v>
      </c>
      <c r="E4" s="7">
        <f t="shared" ref="E4:E93" si="0">C4+D4</f>
        <v>39</v>
      </c>
      <c r="F4" s="45">
        <v>0</v>
      </c>
      <c r="G4" s="93">
        <f t="shared" ref="G4:G93" si="1">E4-F4-H4</f>
        <v>31</v>
      </c>
      <c r="H4" s="51">
        <v>8</v>
      </c>
      <c r="I4" s="8">
        <v>50</v>
      </c>
      <c r="J4" s="9">
        <f t="shared" ref="J4:J68" si="2">+I4*H4</f>
        <v>400</v>
      </c>
      <c r="K4" s="10" t="s">
        <v>16</v>
      </c>
      <c r="L4" s="11">
        <v>0</v>
      </c>
      <c r="M4" s="12">
        <f>+J4-L4</f>
        <v>400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+'5'!G5</f>
        <v>45</v>
      </c>
      <c r="D5" s="45">
        <v>0</v>
      </c>
      <c r="E5" s="7">
        <f t="shared" si="0"/>
        <v>45</v>
      </c>
      <c r="F5" s="45">
        <v>0</v>
      </c>
      <c r="G5" s="93">
        <f t="shared" si="1"/>
        <v>42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+'5'!G19</f>
        <v>-3</v>
      </c>
      <c r="D19" s="45">
        <v>0</v>
      </c>
      <c r="E19" s="7">
        <f t="shared" si="0"/>
        <v>-3</v>
      </c>
      <c r="F19" s="45">
        <v>0</v>
      </c>
      <c r="G19" s="93">
        <f t="shared" si="1"/>
        <v>-3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+'5'!G22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+'5'!G24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+'5'!G25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+'5'!G26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+'5'!G27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+'5'!G28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+'5'!G29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+'5'!G30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+'5'!G31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+'5'!G32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+'5'!G33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+'5'!G34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+'5'!G36</f>
        <v>-1</v>
      </c>
      <c r="D36" s="45">
        <v>0</v>
      </c>
      <c r="E36" s="7">
        <f t="shared" si="0"/>
        <v>-1</v>
      </c>
      <c r="F36" s="45">
        <v>0</v>
      </c>
      <c r="G36" s="93">
        <f t="shared" si="1"/>
        <v>-1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+'5'!G37</f>
        <v>2</v>
      </c>
      <c r="D37" s="45">
        <v>0</v>
      </c>
      <c r="E37" s="7">
        <f t="shared" si="0"/>
        <v>2</v>
      </c>
      <c r="F37" s="45">
        <v>0</v>
      </c>
      <c r="G37" s="93">
        <f t="shared" si="1"/>
        <v>0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+'5'!G38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+'5'!G39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1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+'5'!G41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+'5'!G42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+'5'!G43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+'5'!G45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+'5'!G46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+'5'!G47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+'5'!G48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+'5'!G49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+'5'!G50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+'5'!G51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+'5'!G52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+'5'!G53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+'5'!G54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+'5'!G55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+'5'!G56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+'5'!G57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+'5'!G58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+'5'!G59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+'5'!G60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+'5'!G61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+'5'!G62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+'5'!G63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+'5'!G64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+'5'!G65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2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+'5'!G66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+'5'!G69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+'5'!G78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+'5'!G79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+'5'!G80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+'5'!G81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+'5'!G82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+'5'!G83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5">
        <f>+'5'!G84</f>
        <v>5</v>
      </c>
      <c r="D84" s="45">
        <v>0</v>
      </c>
      <c r="E84" s="7">
        <f t="shared" si="0"/>
        <v>5</v>
      </c>
      <c r="F84" s="45">
        <v>0</v>
      </c>
      <c r="G84" s="93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5">
        <f>+'5'!G85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+'5'!G86</f>
        <v>9</v>
      </c>
      <c r="D86" s="45">
        <v>0</v>
      </c>
      <c r="E86" s="7">
        <f t="shared" si="0"/>
        <v>9</v>
      </c>
      <c r="F86" s="45">
        <v>0</v>
      </c>
      <c r="G86" s="93">
        <f t="shared" si="1"/>
        <v>8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5">
        <f>+'5'!G87</f>
        <v>9</v>
      </c>
      <c r="D87" s="45">
        <v>0</v>
      </c>
      <c r="E87" s="7">
        <f t="shared" si="0"/>
        <v>9</v>
      </c>
      <c r="F87" s="45">
        <v>0</v>
      </c>
      <c r="G87" s="93">
        <f t="shared" si="1"/>
        <v>9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+'5'!G88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+'5'!G93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+'5'!G94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+'5'!G95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+'5'!G96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+'5'!G97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+'5'!G98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+'5'!G99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+'5'!G100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+'5'!G101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+'5'!G102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+'5'!G103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+'5'!G104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+'5'!G105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+'5'!G106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+'5'!G107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+'5'!G108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+'5'!G109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+'5'!G110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+'5'!G111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+'5'!G112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+'5'!G113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+'5'!G114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+'5'!G115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+'5'!G116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+'5'!G117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+'5'!G118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+'5'!G119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+'5'!G120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+'5'!G121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+'5'!G122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+'5'!G123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+'5'!G124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+'5'!G125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+'5'!G126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+'5'!G127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+'5'!G128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+'5'!G129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+'5'!G130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+'5'!G131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+'5'!G132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+'5'!G133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+'5'!G134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+'5'!G135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+'5'!G136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+'5'!G137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+'5'!G138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+'5'!G139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+'5'!G140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+'5'!G141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+'5'!G142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+'5'!G143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+'5'!G144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+'5'!G145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+'5'!G146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+'5'!G147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+'5'!G148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+'5'!G149</f>
        <v>40</v>
      </c>
      <c r="D149" s="45">
        <v>0</v>
      </c>
      <c r="E149" s="7">
        <f t="shared" si="12"/>
        <v>40</v>
      </c>
      <c r="F149" s="45">
        <v>0</v>
      </c>
      <c r="G149" s="93">
        <f t="shared" si="13"/>
        <v>39</v>
      </c>
      <c r="H149" s="51">
        <v>1</v>
      </c>
      <c r="I149" s="8">
        <v>150</v>
      </c>
      <c r="J149" s="9">
        <f t="shared" si="14"/>
        <v>150</v>
      </c>
      <c r="K149" s="10" t="s">
        <v>254</v>
      </c>
      <c r="L149" s="11">
        <v>15</v>
      </c>
      <c r="M149" s="12">
        <f t="shared" si="15"/>
        <v>135</v>
      </c>
    </row>
    <row r="150" spans="1:13" ht="25.5" x14ac:dyDescent="0.55000000000000004">
      <c r="A150" s="5">
        <v>147</v>
      </c>
      <c r="B150" s="14" t="s">
        <v>163</v>
      </c>
      <c r="C150" s="7">
        <f>+'5'!G150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+'5'!G151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+'5'!G152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+'5'!G153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+'5'!G154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+'5'!G155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+'5'!G156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+'5'!G157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+'5'!G159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+'5'!G160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+'5'!G161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+'5'!G162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+'5'!G163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+'5'!G164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+'5'!G165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+'5'!G166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+'5'!G167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+'5'!G168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+'5'!G169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+'5'!G170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+'5'!G171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+'5'!G172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+'5'!G173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+'5'!G174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+'5'!G175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+'5'!G176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+'5'!G177</f>
        <v>1</v>
      </c>
      <c r="D177" s="45">
        <v>0</v>
      </c>
      <c r="E177" s="7">
        <f t="shared" si="16"/>
        <v>1</v>
      </c>
      <c r="F177" s="45">
        <v>0</v>
      </c>
      <c r="G177" s="93">
        <f t="shared" si="17"/>
        <v>1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+'5'!G178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+'5'!G179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+'5'!G180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+'5'!G181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+'5'!G182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+'5'!G183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+'5'!G184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+'5'!G185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+'5'!G186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+'5'!G187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+'5'!G188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+'5'!G189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+'5'!G190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+'5'!G192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+'5'!G195</f>
        <v>2</v>
      </c>
      <c r="D195" s="45">
        <v>0</v>
      </c>
      <c r="E195" s="7">
        <f t="shared" si="16"/>
        <v>2</v>
      </c>
      <c r="F195" s="45">
        <v>0</v>
      </c>
      <c r="G195" s="93">
        <f t="shared" si="17"/>
        <v>2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+'5'!G196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+'5'!G197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+'5'!G198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+'5'!G199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+'5'!G200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+'5'!G201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+'5'!G202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+'5'!G203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1110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435</v>
      </c>
      <c r="L208" s="2">
        <v>200</v>
      </c>
      <c r="M208" s="2">
        <v>235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660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660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1095</v>
      </c>
    </row>
    <row r="218" spans="1:13" x14ac:dyDescent="0.5">
      <c r="G218" s="2"/>
      <c r="I218" s="2"/>
      <c r="J218" s="2" t="s">
        <v>218</v>
      </c>
      <c r="K218" s="41">
        <f>SUM(K207:K210)</f>
        <v>435</v>
      </c>
    </row>
    <row r="219" spans="1:13" x14ac:dyDescent="0.5">
      <c r="G219" s="2"/>
      <c r="I219" s="2"/>
      <c r="J219" s="2" t="s">
        <v>219</v>
      </c>
      <c r="K219" s="41">
        <f>+K213</f>
        <v>660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F646-E195-4015-ACD5-22646932E9CC}">
  <sheetPr>
    <tabColor rgb="FFFF0000"/>
  </sheetPr>
  <dimension ref="A1:Z290"/>
  <sheetViews>
    <sheetView zoomScale="90" zoomScaleNormal="90" workbookViewId="0">
      <pane ySplit="3" topLeftCell="A187" activePane="bottomLeft" state="frozen"/>
      <selection pane="bottomLeft" activeCell="B195" sqref="B195:B197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+'6'!G4</f>
        <v>31</v>
      </c>
      <c r="D4" s="45">
        <v>0</v>
      </c>
      <c r="E4" s="7">
        <f t="shared" ref="E4:E93" si="0">C4+D4</f>
        <v>31</v>
      </c>
      <c r="F4" s="45">
        <v>0</v>
      </c>
      <c r="G4" s="93">
        <f t="shared" ref="G4:G93" si="1">E4-F4-H4</f>
        <v>31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+'6'!G5</f>
        <v>42</v>
      </c>
      <c r="D5" s="45">
        <v>0</v>
      </c>
      <c r="E5" s="7">
        <f t="shared" si="0"/>
        <v>42</v>
      </c>
      <c r="F5" s="45">
        <v>0</v>
      </c>
      <c r="G5" s="93">
        <f t="shared" si="1"/>
        <v>42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+'6'!G19</f>
        <v>-3</v>
      </c>
      <c r="D19" s="45">
        <v>0</v>
      </c>
      <c r="E19" s="7">
        <f t="shared" si="0"/>
        <v>-3</v>
      </c>
      <c r="F19" s="45">
        <v>0</v>
      </c>
      <c r="G19" s="93">
        <f t="shared" si="1"/>
        <v>-3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+'6'!G22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+'6'!G25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+'6'!G28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+'6'!G32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+'6'!G36</f>
        <v>-1</v>
      </c>
      <c r="D36" s="45">
        <v>0</v>
      </c>
      <c r="E36" s="7">
        <f t="shared" si="0"/>
        <v>-1</v>
      </c>
      <c r="F36" s="45">
        <v>0</v>
      </c>
      <c r="G36" s="93">
        <f t="shared" si="1"/>
        <v>-1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+'6'!G37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+'6'!G38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+'6'!G39</f>
        <v>1</v>
      </c>
      <c r="D39" s="45">
        <v>0</v>
      </c>
      <c r="E39" s="7">
        <f t="shared" si="0"/>
        <v>1</v>
      </c>
      <c r="F39" s="45">
        <v>0</v>
      </c>
      <c r="G39" s="93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+'6'!G41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+'6'!G42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+'6'!G43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+'6'!G45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+'6'!G46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+'6'!G48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+'6'!G50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+'6'!G51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+'6'!G52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+'6'!G54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+'6'!G56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+'6'!G65</f>
        <v>2</v>
      </c>
      <c r="D65" s="45">
        <v>0</v>
      </c>
      <c r="E65" s="7">
        <f t="shared" si="0"/>
        <v>2</v>
      </c>
      <c r="F65" s="45">
        <v>0</v>
      </c>
      <c r="G65" s="93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+'6'!G69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+'6'!G78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+'6'!G84</f>
        <v>5</v>
      </c>
      <c r="D84" s="45">
        <v>0</v>
      </c>
      <c r="E84" s="7">
        <f t="shared" si="0"/>
        <v>5</v>
      </c>
      <c r="F84" s="45">
        <v>0</v>
      </c>
      <c r="G84" s="93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+'6'!G85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+'6'!G86</f>
        <v>8</v>
      </c>
      <c r="D86" s="45">
        <v>0</v>
      </c>
      <c r="E86" s="7">
        <f t="shared" si="0"/>
        <v>8</v>
      </c>
      <c r="F86" s="45">
        <v>0</v>
      </c>
      <c r="G86" s="93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+'6'!G87</f>
        <v>9</v>
      </c>
      <c r="D87" s="45">
        <v>0</v>
      </c>
      <c r="E87" s="7">
        <f t="shared" si="0"/>
        <v>9</v>
      </c>
      <c r="F87" s="45">
        <v>0</v>
      </c>
      <c r="G87" s="93">
        <f t="shared" si="1"/>
        <v>9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+'6'!G88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+'6'!G100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+'6'!G149</f>
        <v>39</v>
      </c>
      <c r="D149" s="45">
        <v>0</v>
      </c>
      <c r="E149" s="7">
        <f t="shared" si="12"/>
        <v>39</v>
      </c>
      <c r="F149" s="45">
        <v>0</v>
      </c>
      <c r="G149" s="93">
        <f t="shared" si="13"/>
        <v>39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+'6'!G167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+'6'!G175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+'6'!G177</f>
        <v>1</v>
      </c>
      <c r="D177" s="45">
        <v>0</v>
      </c>
      <c r="E177" s="7">
        <f t="shared" si="16"/>
        <v>1</v>
      </c>
      <c r="F177" s="45">
        <v>0</v>
      </c>
      <c r="G177" s="93">
        <f t="shared" si="17"/>
        <v>1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+'6'!G192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+'6'!G195</f>
        <v>2</v>
      </c>
      <c r="D195" s="45">
        <v>0</v>
      </c>
      <c r="E195" s="7">
        <f t="shared" si="16"/>
        <v>2</v>
      </c>
      <c r="F195" s="45">
        <v>0</v>
      </c>
      <c r="G195" s="93">
        <f t="shared" si="17"/>
        <v>2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+'6'!G196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+'6'!G197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+'6'!G198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+'6'!G199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+'6'!G200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+'6'!G201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+'6'!G202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+'6'!G203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0</v>
      </c>
    </row>
    <row r="218" spans="1:13" x14ac:dyDescent="0.5">
      <c r="G218" s="2"/>
      <c r="I218" s="2"/>
      <c r="J218" s="2" t="s">
        <v>218</v>
      </c>
      <c r="K218" s="41">
        <f>SUM(K207:K210)</f>
        <v>0</v>
      </c>
    </row>
    <row r="219" spans="1:13" x14ac:dyDescent="0.5">
      <c r="G219" s="2"/>
      <c r="I219" s="2"/>
      <c r="J219" s="2" t="s">
        <v>219</v>
      </c>
      <c r="K219" s="41">
        <f>+K213</f>
        <v>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B47-1FFC-49B3-B864-AA7350DA292A}">
  <sheetPr>
    <tabColor theme="7" tint="0.79998168889431442"/>
  </sheetPr>
  <dimension ref="A1:Z290"/>
  <sheetViews>
    <sheetView zoomScale="90" zoomScaleNormal="90" workbookViewId="0">
      <pane ySplit="3" topLeftCell="A190" activePane="bottomLeft" state="frozen"/>
      <selection pane="bottomLeft" activeCell="F196" sqref="F196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7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+'7'!G4</f>
        <v>31</v>
      </c>
      <c r="D4" s="45">
        <v>0</v>
      </c>
      <c r="E4" s="7">
        <f t="shared" ref="E4:E93" si="0">C4+D4</f>
        <v>31</v>
      </c>
      <c r="F4" s="45">
        <v>1</v>
      </c>
      <c r="G4" s="93">
        <f t="shared" ref="G4:G93" si="1">E4-F4-H4</f>
        <v>22</v>
      </c>
      <c r="H4" s="51">
        <v>8</v>
      </c>
      <c r="I4" s="8">
        <v>50</v>
      </c>
      <c r="J4" s="9">
        <f t="shared" ref="J4:J68" si="2">+I4*H4</f>
        <v>400</v>
      </c>
      <c r="K4" s="10" t="s">
        <v>16</v>
      </c>
      <c r="L4" s="11">
        <v>0</v>
      </c>
      <c r="M4" s="12">
        <f>+J4-L4</f>
        <v>400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+'7'!G5</f>
        <v>42</v>
      </c>
      <c r="D5" s="45">
        <v>0</v>
      </c>
      <c r="E5" s="7">
        <f t="shared" si="0"/>
        <v>42</v>
      </c>
      <c r="F5" s="45">
        <v>9</v>
      </c>
      <c r="G5" s="93">
        <f t="shared" si="1"/>
        <v>28</v>
      </c>
      <c r="H5" s="51">
        <v>5</v>
      </c>
      <c r="I5" s="8">
        <v>100</v>
      </c>
      <c r="J5" s="9">
        <f t="shared" si="2"/>
        <v>500</v>
      </c>
      <c r="K5" s="10" t="s">
        <v>259</v>
      </c>
      <c r="L5" s="11">
        <v>50</v>
      </c>
      <c r="M5" s="12">
        <f t="shared" ref="M5:M68" si="4">+J5-L5</f>
        <v>450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+'7'!G19</f>
        <v>-3</v>
      </c>
      <c r="D19" s="45">
        <v>0</v>
      </c>
      <c r="E19" s="7">
        <f t="shared" si="0"/>
        <v>-3</v>
      </c>
      <c r="F19" s="45">
        <v>0</v>
      </c>
      <c r="G19" s="93">
        <f t="shared" si="1"/>
        <v>-3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+'7'!G22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+'7'!G25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+'7'!G28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+'7'!G36</f>
        <v>-1</v>
      </c>
      <c r="D36" s="45">
        <v>0</v>
      </c>
      <c r="E36" s="7">
        <f t="shared" si="0"/>
        <v>-1</v>
      </c>
      <c r="F36" s="45">
        <v>0</v>
      </c>
      <c r="G36" s="93">
        <f t="shared" si="1"/>
        <v>-1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+'7'!G37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+'7'!G38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+'7'!G39</f>
        <v>1</v>
      </c>
      <c r="D39" s="45">
        <v>0</v>
      </c>
      <c r="E39" s="7">
        <f t="shared" si="0"/>
        <v>1</v>
      </c>
      <c r="F39" s="45">
        <v>0</v>
      </c>
      <c r="G39" s="93">
        <f t="shared" si="1"/>
        <v>0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+'7'!G41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+'7'!G42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+'7'!G43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+'7'!G45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+'7'!G46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+'7'!G47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+'7'!G48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+'7'!G50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+'7'!G51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+'7'!G52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+'7'!G54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+'7'!G56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+'7'!G65</f>
        <v>2</v>
      </c>
      <c r="D65" s="45">
        <v>0</v>
      </c>
      <c r="E65" s="7">
        <f t="shared" si="0"/>
        <v>2</v>
      </c>
      <c r="F65" s="45">
        <v>0</v>
      </c>
      <c r="G65" s="93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+'7'!G69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+'7'!G78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5">
        <f>+'7'!G84</f>
        <v>5</v>
      </c>
      <c r="D84" s="45">
        <v>0</v>
      </c>
      <c r="E84" s="7">
        <f t="shared" si="0"/>
        <v>5</v>
      </c>
      <c r="F84" s="45">
        <v>0</v>
      </c>
      <c r="G84" s="93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5">
        <f>+'7'!G85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+'7'!G86</f>
        <v>8</v>
      </c>
      <c r="D86" s="45">
        <v>0</v>
      </c>
      <c r="E86" s="7">
        <f t="shared" si="0"/>
        <v>8</v>
      </c>
      <c r="F86" s="45">
        <v>0</v>
      </c>
      <c r="G86" s="93">
        <f t="shared" si="1"/>
        <v>7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5">
        <f>+'7'!G87</f>
        <v>9</v>
      </c>
      <c r="D87" s="45">
        <v>0</v>
      </c>
      <c r="E87" s="7">
        <f t="shared" si="0"/>
        <v>9</v>
      </c>
      <c r="F87" s="45">
        <v>0</v>
      </c>
      <c r="G87" s="93">
        <f t="shared" si="1"/>
        <v>9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+'7'!G88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+'7'!G100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+'7'!G149</f>
        <v>39</v>
      </c>
      <c r="D149" s="45">
        <v>0</v>
      </c>
      <c r="E149" s="7">
        <f t="shared" si="12"/>
        <v>39</v>
      </c>
      <c r="F149" s="45">
        <v>0</v>
      </c>
      <c r="G149" s="93">
        <f t="shared" si="13"/>
        <v>39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+'7'!G167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+'7'!G175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+'7'!G177</f>
        <v>1</v>
      </c>
      <c r="D177" s="45">
        <v>0</v>
      </c>
      <c r="E177" s="7">
        <f t="shared" si="16"/>
        <v>1</v>
      </c>
      <c r="F177" s="45">
        <v>0</v>
      </c>
      <c r="G177" s="93">
        <f t="shared" si="17"/>
        <v>1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+'7'!G192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+'7'!G195</f>
        <v>2</v>
      </c>
      <c r="D195" s="45">
        <v>0</v>
      </c>
      <c r="E195" s="7">
        <f t="shared" si="16"/>
        <v>2</v>
      </c>
      <c r="F195" s="45">
        <v>2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+'7'!G196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+'7'!G197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+'7'!G198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+'7'!G199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+'7'!G200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+'7'!G201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+'7'!G202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+'7'!G203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1010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860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860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960</v>
      </c>
    </row>
    <row r="218" spans="1:13" x14ac:dyDescent="0.5">
      <c r="G218" s="2"/>
      <c r="I218" s="2"/>
      <c r="J218" s="2" t="s">
        <v>218</v>
      </c>
      <c r="K218" s="41">
        <f>SUM(K207:K210)</f>
        <v>100</v>
      </c>
    </row>
    <row r="219" spans="1:13" x14ac:dyDescent="0.5">
      <c r="G219" s="2"/>
      <c r="I219" s="2"/>
      <c r="J219" s="2" t="s">
        <v>219</v>
      </c>
      <c r="K219" s="41">
        <f>+K213</f>
        <v>860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7B-C53B-4E88-9DB8-5A25EB1EDA2C}">
  <sheetPr>
    <tabColor theme="7" tint="0.79998168889431442"/>
  </sheetPr>
  <dimension ref="A1:Z290"/>
  <sheetViews>
    <sheetView zoomScale="90" zoomScaleNormal="90" workbookViewId="0">
      <pane ySplit="3" topLeftCell="A205" activePane="bottomLeft" state="frozen"/>
      <selection pane="bottomLeft" activeCell="C197" sqref="C197"/>
    </sheetView>
  </sheetViews>
  <sheetFormatPr defaultColWidth="9" defaultRowHeight="24.75" x14ac:dyDescent="0.5"/>
  <cols>
    <col min="1" max="1" width="6.625" style="2" customWidth="1"/>
    <col min="2" max="2" width="33.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7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+'8'!G4</f>
        <v>22</v>
      </c>
      <c r="D4" s="45">
        <v>0</v>
      </c>
      <c r="E4" s="7">
        <f t="shared" ref="E4:E93" si="0">C4+D4</f>
        <v>22</v>
      </c>
      <c r="F4" s="45">
        <v>0</v>
      </c>
      <c r="G4" s="93">
        <f t="shared" ref="G4:G93" si="1">E4-F4-H4</f>
        <v>20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+'8'!G5</f>
        <v>28</v>
      </c>
      <c r="D5" s="45">
        <v>0</v>
      </c>
      <c r="E5" s="7">
        <f t="shared" si="0"/>
        <v>28</v>
      </c>
      <c r="F5" s="45">
        <v>0</v>
      </c>
      <c r="G5" s="93">
        <f t="shared" si="1"/>
        <v>25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+'8'!G22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+'8'!G25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+'8'!G28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+'8'!G33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+'8'!G37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+'8'!G38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+'8'!G39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+'8'!G41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+'8'!G42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+'8'!G43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+'8'!G45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+'8'!G46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+'8'!G47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+'8'!G48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+'8'!G50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+'8'!G51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+'8'!G52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+'8'!G56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+'8'!G65</f>
        <v>2</v>
      </c>
      <c r="D65" s="45">
        <v>0</v>
      </c>
      <c r="E65" s="7">
        <f t="shared" si="0"/>
        <v>2</v>
      </c>
      <c r="F65" s="45">
        <v>0</v>
      </c>
      <c r="G65" s="93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+'8'!G69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+'8'!G78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v>4</v>
      </c>
      <c r="D84" s="45">
        <v>0</v>
      </c>
      <c r="E84" s="7">
        <f t="shared" si="0"/>
        <v>4</v>
      </c>
      <c r="F84" s="45">
        <v>0</v>
      </c>
      <c r="G84" s="93">
        <f t="shared" si="1"/>
        <v>3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+'8'!G86</f>
        <v>7</v>
      </c>
      <c r="D86" s="45">
        <v>0</v>
      </c>
      <c r="E86" s="7">
        <f t="shared" si="0"/>
        <v>7</v>
      </c>
      <c r="F86" s="45">
        <v>0</v>
      </c>
      <c r="G86" s="93">
        <f t="shared" si="1"/>
        <v>6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v>8</v>
      </c>
      <c r="D87" s="45">
        <v>0</v>
      </c>
      <c r="E87" s="7">
        <f t="shared" si="0"/>
        <v>8</v>
      </c>
      <c r="F87" s="45">
        <v>0</v>
      </c>
      <c r="G87" s="93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+'8'!G88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+'8'!G100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+'8'!G101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+'8'!G149</f>
        <v>39</v>
      </c>
      <c r="D149" s="45">
        <v>0</v>
      </c>
      <c r="E149" s="7">
        <f t="shared" si="12"/>
        <v>39</v>
      </c>
      <c r="F149" s="45">
        <v>0</v>
      </c>
      <c r="G149" s="93">
        <f t="shared" si="13"/>
        <v>39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+'8'!G167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+'8'!G177</f>
        <v>1</v>
      </c>
      <c r="D177" s="45">
        <v>0</v>
      </c>
      <c r="E177" s="7">
        <f t="shared" si="16"/>
        <v>1</v>
      </c>
      <c r="F177" s="45">
        <v>0</v>
      </c>
      <c r="G177" s="93">
        <f t="shared" si="17"/>
        <v>0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+'8'!G197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+'8'!G198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+'8'!G199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+'8'!G200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+'8'!G201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+'8'!G202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+'8'!G203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680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150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530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530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680</v>
      </c>
    </row>
    <row r="218" spans="1:13" x14ac:dyDescent="0.5">
      <c r="G218" s="2"/>
      <c r="I218" s="2"/>
      <c r="J218" s="2" t="s">
        <v>218</v>
      </c>
      <c r="K218" s="41">
        <f>SUM(K207:K210)</f>
        <v>150</v>
      </c>
    </row>
    <row r="219" spans="1:13" x14ac:dyDescent="0.5">
      <c r="G219" s="2"/>
      <c r="I219" s="2"/>
      <c r="J219" s="2" t="s">
        <v>219</v>
      </c>
      <c r="K219" s="41">
        <f>+K213</f>
        <v>530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8A9F-D53B-444B-8431-B9EC3E22F819}">
  <sheetPr>
    <tabColor theme="7" tint="0.79998168889431442"/>
  </sheetPr>
  <dimension ref="A1:Z290"/>
  <sheetViews>
    <sheetView zoomScale="90" zoomScaleNormal="90" workbookViewId="0">
      <pane ySplit="3" topLeftCell="A204" activePane="bottomLeft" state="frozen"/>
      <selection pane="bottomLeft" activeCell="L150" sqref="L150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+'9'!G4</f>
        <v>20</v>
      </c>
      <c r="D4" s="45">
        <v>20</v>
      </c>
      <c r="E4" s="7">
        <f t="shared" ref="E4:E93" si="0">C4+D4</f>
        <v>40</v>
      </c>
      <c r="F4" s="45">
        <v>0</v>
      </c>
      <c r="G4" s="93">
        <f t="shared" ref="G4:G93" si="1">E4-F4-H4</f>
        <v>34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+'9'!G5</f>
        <v>25</v>
      </c>
      <c r="D5" s="45">
        <v>20</v>
      </c>
      <c r="E5" s="7">
        <f t="shared" si="0"/>
        <v>45</v>
      </c>
      <c r="F5" s="45">
        <v>14</v>
      </c>
      <c r="G5" s="93">
        <f t="shared" si="1"/>
        <v>25</v>
      </c>
      <c r="H5" s="51">
        <v>6</v>
      </c>
      <c r="I5" s="8">
        <v>100</v>
      </c>
      <c r="J5" s="9">
        <f t="shared" si="2"/>
        <v>600</v>
      </c>
      <c r="K5" s="10" t="s">
        <v>16</v>
      </c>
      <c r="L5" s="11">
        <v>0</v>
      </c>
      <c r="M5" s="12">
        <f t="shared" ref="M5:M68" si="4">+J5-L5</f>
        <v>600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+'9'!G22</f>
        <v>0</v>
      </c>
      <c r="D22" s="45">
        <v>10</v>
      </c>
      <c r="E22" s="7">
        <f t="shared" si="0"/>
        <v>10</v>
      </c>
      <c r="F22" s="45">
        <v>0</v>
      </c>
      <c r="G22" s="93">
        <f t="shared" si="1"/>
        <v>10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+'9'!G25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+'9'!G28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+'9'!G36</f>
        <v>0</v>
      </c>
      <c r="D36" s="45">
        <v>10</v>
      </c>
      <c r="E36" s="7">
        <f t="shared" si="0"/>
        <v>10</v>
      </c>
      <c r="F36" s="45">
        <v>0</v>
      </c>
      <c r="G36" s="93">
        <f t="shared" si="1"/>
        <v>10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+'9'!G37</f>
        <v>0</v>
      </c>
      <c r="D37" s="45">
        <v>5</v>
      </c>
      <c r="E37" s="7">
        <f t="shared" si="0"/>
        <v>5</v>
      </c>
      <c r="F37" s="45">
        <v>0</v>
      </c>
      <c r="G37" s="93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+'9'!G38</f>
        <v>0</v>
      </c>
      <c r="D38" s="45">
        <v>5</v>
      </c>
      <c r="E38" s="7">
        <f t="shared" si="0"/>
        <v>5</v>
      </c>
      <c r="F38" s="45">
        <v>0</v>
      </c>
      <c r="G38" s="93">
        <f t="shared" si="1"/>
        <v>4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+'9'!G39</f>
        <v>0</v>
      </c>
      <c r="D39" s="45">
        <v>5</v>
      </c>
      <c r="E39" s="7">
        <f t="shared" si="0"/>
        <v>5</v>
      </c>
      <c r="F39" s="45">
        <v>0</v>
      </c>
      <c r="G39" s="93">
        <f t="shared" si="1"/>
        <v>3</v>
      </c>
      <c r="H39" s="51">
        <v>2</v>
      </c>
      <c r="I39" s="8">
        <v>50</v>
      </c>
      <c r="J39" s="9">
        <f t="shared" si="2"/>
        <v>100</v>
      </c>
      <c r="K39" s="10" t="s">
        <v>16</v>
      </c>
      <c r="L39" s="11">
        <v>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+'9'!G43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+'9'!G45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+'9'!G47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+'9'!G48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+'9'!G65</f>
        <v>2</v>
      </c>
      <c r="D65" s="45">
        <v>10</v>
      </c>
      <c r="E65" s="7">
        <f t="shared" si="0"/>
        <v>12</v>
      </c>
      <c r="F65" s="45">
        <v>0</v>
      </c>
      <c r="G65" s="93">
        <f t="shared" si="1"/>
        <v>10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+'9'!G69</f>
        <v>0</v>
      </c>
      <c r="D69" s="45">
        <v>5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+'9'!G78</f>
        <v>0</v>
      </c>
      <c r="D78" s="45">
        <v>5</v>
      </c>
      <c r="E78" s="7">
        <f t="shared" si="0"/>
        <v>5</v>
      </c>
      <c r="F78" s="45">
        <v>0</v>
      </c>
      <c r="G78" s="93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+'9'!G84</f>
        <v>3</v>
      </c>
      <c r="D84" s="45">
        <v>10</v>
      </c>
      <c r="E84" s="7">
        <f t="shared" si="0"/>
        <v>13</v>
      </c>
      <c r="F84" s="45">
        <v>0</v>
      </c>
      <c r="G84" s="93">
        <f t="shared" si="1"/>
        <v>13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+'9'!G85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+'9'!G86</f>
        <v>6</v>
      </c>
      <c r="D86" s="45">
        <v>0</v>
      </c>
      <c r="E86" s="7">
        <f t="shared" si="0"/>
        <v>6</v>
      </c>
      <c r="F86" s="45">
        <v>0</v>
      </c>
      <c r="G86" s="93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+'9'!G87</f>
        <v>8</v>
      </c>
      <c r="D87" s="45">
        <v>0</v>
      </c>
      <c r="E87" s="7">
        <f t="shared" si="0"/>
        <v>8</v>
      </c>
      <c r="F87" s="45">
        <v>0</v>
      </c>
      <c r="G87" s="93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+'9'!G88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+'9'!G100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+'9'!G101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260</v>
      </c>
      <c r="C149" s="7">
        <f>+'9'!G149</f>
        <v>39</v>
      </c>
      <c r="D149" s="45">
        <v>0</v>
      </c>
      <c r="E149" s="7">
        <f t="shared" si="12"/>
        <v>39</v>
      </c>
      <c r="F149" s="45">
        <v>0</v>
      </c>
      <c r="G149" s="93">
        <f t="shared" si="13"/>
        <v>38</v>
      </c>
      <c r="H149" s="51">
        <v>1</v>
      </c>
      <c r="I149" s="8">
        <v>150</v>
      </c>
      <c r="J149" s="9">
        <f t="shared" si="14"/>
        <v>150</v>
      </c>
      <c r="K149" s="10" t="s">
        <v>254</v>
      </c>
      <c r="L149" s="11">
        <v>15</v>
      </c>
      <c r="M149" s="12">
        <f t="shared" si="15"/>
        <v>135</v>
      </c>
    </row>
    <row r="150" spans="1:13" ht="25.5" x14ac:dyDescent="0.55000000000000004">
      <c r="A150" s="5">
        <v>147</v>
      </c>
      <c r="B150" s="14" t="s">
        <v>163</v>
      </c>
      <c r="C150" s="7">
        <f>+'9'!G150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+'9'!G175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+'9'!G177</f>
        <v>0</v>
      </c>
      <c r="D177" s="45">
        <v>5</v>
      </c>
      <c r="E177" s="7">
        <f t="shared" si="16"/>
        <v>5</v>
      </c>
      <c r="F177" s="45">
        <v>0</v>
      </c>
      <c r="G177" s="93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+'9'!G196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+'9'!G197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+'9'!G198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+'9'!G199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+'9'!G200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+'9'!G201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+'9'!G202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+'9'!G203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1400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50</v>
      </c>
      <c r="M208" s="2">
        <v>100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1235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1235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1385</v>
      </c>
    </row>
    <row r="218" spans="1:13" x14ac:dyDescent="0.5">
      <c r="G218" s="2"/>
      <c r="I218" s="2"/>
      <c r="J218" s="2" t="s">
        <v>218</v>
      </c>
      <c r="K218" s="41">
        <f>SUM(K207:K210)</f>
        <v>150</v>
      </c>
    </row>
    <row r="219" spans="1:13" x14ac:dyDescent="0.5">
      <c r="G219" s="2"/>
      <c r="I219" s="2"/>
      <c r="J219" s="2" t="s">
        <v>219</v>
      </c>
      <c r="K219" s="41">
        <f>+K213</f>
        <v>1235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6C-8E0C-4CA2-95B6-BEE1E0440667}">
  <sheetPr>
    <tabColor theme="7" tint="0.79998168889431442"/>
  </sheetPr>
  <dimension ref="A1:Z290"/>
  <sheetViews>
    <sheetView zoomScale="90" zoomScaleNormal="90" workbookViewId="0">
      <pane ySplit="3" topLeftCell="A205" activePane="bottomLeft" state="frozen"/>
      <selection pane="bottomLeft" activeCell="K214" sqref="K214"/>
    </sheetView>
  </sheetViews>
  <sheetFormatPr defaultColWidth="9" defaultRowHeight="24.75" x14ac:dyDescent="0.5"/>
  <cols>
    <col min="1" max="1" width="4.37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19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+'10'!G4</f>
        <v>34</v>
      </c>
      <c r="D4" s="45">
        <v>0</v>
      </c>
      <c r="E4" s="7">
        <f t="shared" ref="E4:E93" si="0">C4+D4</f>
        <v>34</v>
      </c>
      <c r="F4" s="45">
        <v>0</v>
      </c>
      <c r="G4" s="7">
        <f t="shared" ref="G4:G93" si="1">E4-F4-H4</f>
        <v>34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+'10'!G5</f>
        <v>25</v>
      </c>
      <c r="D5" s="45">
        <v>0</v>
      </c>
      <c r="E5" s="7">
        <f t="shared" si="0"/>
        <v>25</v>
      </c>
      <c r="F5" s="45">
        <v>0</v>
      </c>
      <c r="G5" s="7">
        <f t="shared" si="1"/>
        <v>25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+'10'!G6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+'10'!G7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+'10'!G8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+'10'!G9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+'10'!G10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+'10'!G11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+'10'!G12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+'10'!G13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+'10'!G14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+'10'!G15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+'10'!G16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+'10'!G17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+'10'!G18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+'10'!G19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+'10'!G20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+'10'!G21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+'10'!G22</f>
        <v>10</v>
      </c>
      <c r="D22" s="45">
        <v>0</v>
      </c>
      <c r="E22" s="7">
        <f t="shared" si="0"/>
        <v>10</v>
      </c>
      <c r="F22" s="45">
        <v>0</v>
      </c>
      <c r="G22" s="7">
        <f t="shared" si="1"/>
        <v>10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+'10'!G23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+'10'!G25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+'10'!G26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+'10'!G28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+'10'!G30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+'10'!G33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+'10'!G34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+'10'!G36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9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+'10'!G37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+'10'!G38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+'10'!G39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+'10'!G41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+'10'!G42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+'10'!G43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+'10'!G45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+'10'!G46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+'10'!G47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+'10'!G48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+'10'!G54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+'10'!G56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+'10'!G60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+'10'!G65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+'10'!G66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+'10'!G69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+'10'!G73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+'10'!G76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+'10'!G78</f>
        <v>4</v>
      </c>
      <c r="D78" s="45">
        <v>0</v>
      </c>
      <c r="E78" s="7">
        <f t="shared" si="0"/>
        <v>4</v>
      </c>
      <c r="F78" s="45">
        <v>0</v>
      </c>
      <c r="G78" s="7">
        <f t="shared" si="1"/>
        <v>3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+'10'!G80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+'10'!G81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+'10'!G84</f>
        <v>13</v>
      </c>
      <c r="D84" s="45">
        <v>0</v>
      </c>
      <c r="E84" s="7">
        <f t="shared" si="0"/>
        <v>13</v>
      </c>
      <c r="F84" s="45">
        <v>0</v>
      </c>
      <c r="G84" s="7">
        <f t="shared" si="1"/>
        <v>13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+'10'!G85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+'10'!G86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+'10'!G87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+'10'!G88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+'10'!G89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+'10'!G100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+'10'!G101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+'10'!G105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+'10'!G120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+'10'!G149</f>
        <v>38</v>
      </c>
      <c r="D149" s="45">
        <v>0</v>
      </c>
      <c r="E149" s="7">
        <f t="shared" si="12"/>
        <v>38</v>
      </c>
      <c r="F149" s="45">
        <v>0</v>
      </c>
      <c r="G149" s="7">
        <f t="shared" si="13"/>
        <v>38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+'10'!G167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+'10'!G175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+'10'!G177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+'10'!G192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+'10'!G193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+'10'!G194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+'10'!G197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150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150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150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150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150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7E-D801-40B9-9574-73306978962F}">
  <sheetPr>
    <tabColor theme="7" tint="0.79998168889431442"/>
  </sheetPr>
  <dimension ref="A1:Z290"/>
  <sheetViews>
    <sheetView zoomScale="90" zoomScaleNormal="90" workbookViewId="0">
      <pane ySplit="3" topLeftCell="A202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4.3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+'11'!G4</f>
        <v>34</v>
      </c>
      <c r="D4" s="45">
        <v>0</v>
      </c>
      <c r="E4" s="7">
        <f t="shared" ref="E4:E93" si="0">C4+D4</f>
        <v>34</v>
      </c>
      <c r="F4" s="45">
        <v>0</v>
      </c>
      <c r="G4" s="7">
        <f t="shared" ref="G4:G93" si="1">E4-F4-H4</f>
        <v>27</v>
      </c>
      <c r="H4" s="51">
        <v>7</v>
      </c>
      <c r="I4" s="8">
        <v>50</v>
      </c>
      <c r="J4" s="9">
        <f t="shared" ref="J4:J68" si="2">+I4*H4</f>
        <v>350</v>
      </c>
      <c r="K4" s="10" t="s">
        <v>261</v>
      </c>
      <c r="L4" s="11">
        <v>50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+'11'!G5</f>
        <v>25</v>
      </c>
      <c r="D5" s="45">
        <v>0</v>
      </c>
      <c r="E5" s="7">
        <f t="shared" si="0"/>
        <v>25</v>
      </c>
      <c r="F5" s="45">
        <v>0</v>
      </c>
      <c r="G5" s="7">
        <f t="shared" si="1"/>
        <v>22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+'11'!G6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+'11'!G11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+'11'!G16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+'11'!G18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+'11'!G22</f>
        <v>10</v>
      </c>
      <c r="D22" s="45">
        <v>0</v>
      </c>
      <c r="E22" s="7">
        <f t="shared" si="0"/>
        <v>10</v>
      </c>
      <c r="F22" s="45">
        <v>0</v>
      </c>
      <c r="G22" s="7">
        <f t="shared" si="1"/>
        <v>4</v>
      </c>
      <c r="H22" s="51">
        <v>6</v>
      </c>
      <c r="I22" s="8">
        <v>100</v>
      </c>
      <c r="J22" s="9">
        <f t="shared" si="2"/>
        <v>600</v>
      </c>
      <c r="K22" s="10" t="s">
        <v>16</v>
      </c>
      <c r="L22" s="11">
        <v>0</v>
      </c>
      <c r="M22" s="12">
        <f t="shared" si="4"/>
        <v>600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+'11'!G23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+'11'!G25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+'11'!G28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+'11'!G34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+'11'!G36</f>
        <v>9</v>
      </c>
      <c r="D36" s="45">
        <v>0</v>
      </c>
      <c r="E36" s="7">
        <f t="shared" si="0"/>
        <v>9</v>
      </c>
      <c r="F36" s="45">
        <v>0</v>
      </c>
      <c r="G36" s="7">
        <f t="shared" si="1"/>
        <v>5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+'11'!G37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1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+'11'!G38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+'11'!G39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+'11'!G41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+'11'!G42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+'11'!G43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+'11'!G45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+'11'!G46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+'11'!G47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+'11'!G54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+'11'!G65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+'11'!G69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4</v>
      </c>
      <c r="H69" s="51">
        <v>1</v>
      </c>
      <c r="I69" s="8">
        <v>50</v>
      </c>
      <c r="J69" s="9">
        <f t="shared" ref="J69:J132" si="8">+I69*H69</f>
        <v>50</v>
      </c>
      <c r="K69" s="10" t="s">
        <v>258</v>
      </c>
      <c r="L69" s="11">
        <v>50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+'11'!G76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+'11'!G78</f>
        <v>3</v>
      </c>
      <c r="D78" s="45">
        <v>0</v>
      </c>
      <c r="E78" s="7">
        <f t="shared" si="0"/>
        <v>3</v>
      </c>
      <c r="F78" s="45">
        <v>0</v>
      </c>
      <c r="G78" s="7">
        <f t="shared" si="1"/>
        <v>3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+'11'!G80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+'11'!G81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+'11'!G84</f>
        <v>13</v>
      </c>
      <c r="D84" s="45">
        <v>0</v>
      </c>
      <c r="E84" s="7">
        <f t="shared" si="0"/>
        <v>13</v>
      </c>
      <c r="F84" s="45">
        <v>0</v>
      </c>
      <c r="G84" s="7">
        <f t="shared" si="1"/>
        <v>13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+'11'!G85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4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+'11'!G86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+'11'!G87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+'11'!G88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+'11'!G89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+'11'!G100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+'11'!G149</f>
        <v>38</v>
      </c>
      <c r="D149" s="45">
        <v>0</v>
      </c>
      <c r="E149" s="7">
        <f t="shared" si="12"/>
        <v>38</v>
      </c>
      <c r="F149" s="45">
        <v>0</v>
      </c>
      <c r="G149" s="7">
        <f t="shared" si="13"/>
        <v>38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+'11'!G175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+'11'!G177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2</v>
      </c>
      <c r="H177" s="51">
        <v>3</v>
      </c>
      <c r="I177" s="8">
        <v>120</v>
      </c>
      <c r="J177" s="9">
        <f t="shared" si="14"/>
        <v>360</v>
      </c>
      <c r="K177" s="10" t="s">
        <v>16</v>
      </c>
      <c r="L177" s="11">
        <v>0</v>
      </c>
      <c r="M177" s="12">
        <f t="shared" si="15"/>
        <v>360</v>
      </c>
    </row>
    <row r="178" spans="1:13" ht="25.5" x14ac:dyDescent="0.55000000000000004">
      <c r="A178" s="5">
        <v>175</v>
      </c>
      <c r="B178" s="14" t="s">
        <v>191</v>
      </c>
      <c r="C178" s="7">
        <f>+'11'!G178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+'11'!G192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+'11'!G193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+'11'!G194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+'11'!G197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2315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420</v>
      </c>
      <c r="L208" s="2">
        <v>50</v>
      </c>
      <c r="M208" s="2">
        <v>170</v>
      </c>
      <c r="N208" s="2">
        <v>200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100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1795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1795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2215</v>
      </c>
    </row>
    <row r="218" spans="1:13" x14ac:dyDescent="0.5">
      <c r="G218" s="2"/>
      <c r="I218" s="2"/>
      <c r="J218" s="2" t="s">
        <v>218</v>
      </c>
      <c r="K218" s="41">
        <f>SUM(K207:K208)</f>
        <v>420</v>
      </c>
    </row>
    <row r="219" spans="1:13" x14ac:dyDescent="0.5">
      <c r="G219" s="2"/>
      <c r="I219" s="2"/>
      <c r="J219" s="2" t="s">
        <v>219</v>
      </c>
      <c r="K219" s="41">
        <f>+K213</f>
        <v>1795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31B-171D-4726-BA91-41F2B209B222}">
  <sheetPr>
    <tabColor theme="7" tint="0.79998168889431442"/>
  </sheetPr>
  <dimension ref="A1:Z290"/>
  <sheetViews>
    <sheetView zoomScale="90" zoomScaleNormal="90" workbookViewId="0">
      <pane ySplit="3" topLeftCell="A196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6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3.125" style="2" customWidth="1"/>
    <col min="12" max="12" width="9" style="2"/>
    <col min="13" max="13" width="7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+'12'!G4</f>
        <v>27</v>
      </c>
      <c r="D4" s="45">
        <v>0</v>
      </c>
      <c r="E4" s="7">
        <f t="shared" ref="E4:E93" si="0">C4+D4</f>
        <v>27</v>
      </c>
      <c r="F4" s="45">
        <v>0</v>
      </c>
      <c r="G4" s="7">
        <f t="shared" ref="G4:G93" si="1">E4-F4-H4</f>
        <v>22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+'12'!G5</f>
        <v>22</v>
      </c>
      <c r="D5" s="45">
        <v>0</v>
      </c>
      <c r="E5" s="7">
        <f t="shared" si="0"/>
        <v>22</v>
      </c>
      <c r="F5" s="45">
        <v>0</v>
      </c>
      <c r="G5" s="7">
        <f t="shared" si="1"/>
        <v>21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+'12'!G6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+'12'!G11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+'12'!G14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+'12'!G15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+'12'!G16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+'12'!G18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+'12'!G19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+'12'!G22</f>
        <v>4</v>
      </c>
      <c r="D22" s="45">
        <v>0</v>
      </c>
      <c r="E22" s="7">
        <f t="shared" si="0"/>
        <v>4</v>
      </c>
      <c r="F22" s="45">
        <v>0</v>
      </c>
      <c r="G22" s="7">
        <f t="shared" si="1"/>
        <v>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+'12'!G23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+'12'!G28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+'12'!G36</f>
        <v>5</v>
      </c>
      <c r="D36" s="45">
        <v>0</v>
      </c>
      <c r="E36" s="7">
        <f t="shared" si="0"/>
        <v>5</v>
      </c>
      <c r="F36" s="45">
        <v>0</v>
      </c>
      <c r="G36" s="7">
        <f t="shared" si="1"/>
        <v>1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+'12'!G37</f>
        <v>1</v>
      </c>
      <c r="D37" s="45">
        <v>0</v>
      </c>
      <c r="E37" s="7">
        <f t="shared" si="0"/>
        <v>1</v>
      </c>
      <c r="F37" s="45">
        <v>0</v>
      </c>
      <c r="G37" s="7">
        <f t="shared" si="1"/>
        <v>0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+'12'!G38</f>
        <v>3</v>
      </c>
      <c r="D38" s="45">
        <v>0</v>
      </c>
      <c r="E38" s="7">
        <f t="shared" si="0"/>
        <v>3</v>
      </c>
      <c r="F38" s="45">
        <v>0</v>
      </c>
      <c r="G38" s="7">
        <f t="shared" si="1"/>
        <v>1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+'12'!G39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2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+'12'!G41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+'12'!G42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+'12'!G43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+'12'!G45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+'12'!G46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+'12'!G47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+'12'!G54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+'12'!G65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+'12'!G69</f>
        <v>4</v>
      </c>
      <c r="D69" s="45">
        <v>0</v>
      </c>
      <c r="E69" s="7">
        <f t="shared" si="0"/>
        <v>4</v>
      </c>
      <c r="F69" s="45">
        <v>0</v>
      </c>
      <c r="G69" s="7">
        <f t="shared" si="1"/>
        <v>0</v>
      </c>
      <c r="H69" s="51">
        <v>4</v>
      </c>
      <c r="I69" s="8">
        <v>50</v>
      </c>
      <c r="J69" s="9">
        <f t="shared" ref="J69:J132" si="8">+I69*H69</f>
        <v>200</v>
      </c>
      <c r="K69" s="10" t="s">
        <v>16</v>
      </c>
      <c r="L69" s="11">
        <v>0</v>
      </c>
      <c r="M69" s="12">
        <f t="shared" ref="M69:M132" si="9">+J69-L69</f>
        <v>200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+'12'!G73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+'12'!G76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+'12'!G78</f>
        <v>3</v>
      </c>
      <c r="D78" s="45">
        <v>0</v>
      </c>
      <c r="E78" s="7">
        <f t="shared" si="0"/>
        <v>3</v>
      </c>
      <c r="F78" s="45">
        <v>0</v>
      </c>
      <c r="G78" s="7">
        <f t="shared" si="1"/>
        <v>3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+'12'!G84</f>
        <v>13</v>
      </c>
      <c r="D84" s="45">
        <v>0</v>
      </c>
      <c r="E84" s="7">
        <f t="shared" si="0"/>
        <v>13</v>
      </c>
      <c r="F84" s="45">
        <v>0</v>
      </c>
      <c r="G84" s="7">
        <f t="shared" si="1"/>
        <v>12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+'12'!G85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+'12'!G86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+'12'!G87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7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+'12'!G88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+'12'!G89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+'12'!G100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+'12'!G149</f>
        <v>38</v>
      </c>
      <c r="D149" s="45">
        <v>0</v>
      </c>
      <c r="E149" s="7">
        <f t="shared" si="12"/>
        <v>38</v>
      </c>
      <c r="F149" s="45">
        <v>0</v>
      </c>
      <c r="G149" s="7">
        <f t="shared" si="13"/>
        <v>38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+'12'!G175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+'12'!G177</f>
        <v>2</v>
      </c>
      <c r="D177" s="45">
        <v>0</v>
      </c>
      <c r="E177" s="7">
        <f t="shared" si="16"/>
        <v>2</v>
      </c>
      <c r="F177" s="45">
        <v>0</v>
      </c>
      <c r="G177" s="7">
        <f t="shared" si="17"/>
        <v>1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+'12'!G192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+'12'!G193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+'12'!G194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+'12'!G197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1470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300</v>
      </c>
      <c r="L208" s="2">
        <v>100</v>
      </c>
      <c r="M208" s="2">
        <v>100</v>
      </c>
      <c r="N208" s="2">
        <v>100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1170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1170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1470</v>
      </c>
    </row>
    <row r="218" spans="1:13" x14ac:dyDescent="0.5">
      <c r="G218" s="2"/>
      <c r="I218" s="2"/>
      <c r="J218" s="2" t="s">
        <v>218</v>
      </c>
      <c r="K218" s="41">
        <f>SUM(K207:K208)</f>
        <v>300</v>
      </c>
    </row>
    <row r="219" spans="1:13" x14ac:dyDescent="0.5">
      <c r="G219" s="2"/>
      <c r="I219" s="2"/>
      <c r="J219" s="2" t="s">
        <v>219</v>
      </c>
      <c r="K219" s="41">
        <f>+K213</f>
        <v>1170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D4D-9689-40D0-975C-FBDA007BE3FF}">
  <sheetPr>
    <tabColor theme="7" tint="0.79998168889431442"/>
  </sheetPr>
  <dimension ref="A1:Z290"/>
  <sheetViews>
    <sheetView zoomScale="90" zoomScaleNormal="90" workbookViewId="0">
      <pane ySplit="3" topLeftCell="A200" activePane="bottomLeft" state="frozen"/>
      <selection pane="bottomLeft" activeCell="B198" sqref="B198:B199"/>
    </sheetView>
  </sheetViews>
  <sheetFormatPr defaultColWidth="9" defaultRowHeight="24.75" x14ac:dyDescent="0.5"/>
  <cols>
    <col min="1" max="1" width="5.375" style="2" customWidth="1"/>
    <col min="2" max="2" width="36.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1.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+'13'!G4</f>
        <v>22</v>
      </c>
      <c r="D4" s="45">
        <v>0</v>
      </c>
      <c r="E4" s="7">
        <f t="shared" ref="E4:E93" si="0">C4+D4</f>
        <v>22</v>
      </c>
      <c r="F4" s="45">
        <v>0</v>
      </c>
      <c r="G4" s="7">
        <f t="shared" ref="G4:G93" si="1">E4-F4-H4</f>
        <v>19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+'13'!G5</f>
        <v>21</v>
      </c>
      <c r="D5" s="45">
        <v>0</v>
      </c>
      <c r="E5" s="7">
        <f t="shared" si="0"/>
        <v>21</v>
      </c>
      <c r="F5" s="45">
        <v>0</v>
      </c>
      <c r="G5" s="7">
        <f t="shared" si="1"/>
        <v>20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+'13'!G6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+'13'!G11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+'13'!G14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+'13'!G15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+'13'!G16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+'13'!G18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+'13'!G19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+'13'!G22</f>
        <v>4</v>
      </c>
      <c r="D22" s="45">
        <v>0</v>
      </c>
      <c r="E22" s="7">
        <f t="shared" si="0"/>
        <v>4</v>
      </c>
      <c r="F22" s="45">
        <v>0</v>
      </c>
      <c r="G22" s="7">
        <f t="shared" si="1"/>
        <v>3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+'13'!G23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6.25" customHeight="1" x14ac:dyDescent="0.55000000000000004">
      <c r="A27" s="5">
        <v>24</v>
      </c>
      <c r="B27" s="14" t="s">
        <v>39</v>
      </c>
      <c r="C27" s="7">
        <f>+'13'!G27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+'13'!G28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+'13'!G34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+'13'!G36</f>
        <v>1</v>
      </c>
      <c r="D36" s="45">
        <v>0</v>
      </c>
      <c r="E36" s="7">
        <f t="shared" si="0"/>
        <v>1</v>
      </c>
      <c r="F36" s="45">
        <v>0</v>
      </c>
      <c r="G36" s="7">
        <f t="shared" si="1"/>
        <v>0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+'13'!G37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+'13'!G38</f>
        <v>1</v>
      </c>
      <c r="D38" s="45">
        <v>0</v>
      </c>
      <c r="E38" s="7">
        <f t="shared" si="0"/>
        <v>1</v>
      </c>
      <c r="F38" s="45">
        <v>0</v>
      </c>
      <c r="G38" s="7">
        <f t="shared" si="1"/>
        <v>0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+'13'!G39</f>
        <v>2</v>
      </c>
      <c r="D39" s="45">
        <v>0</v>
      </c>
      <c r="E39" s="7">
        <f t="shared" si="0"/>
        <v>2</v>
      </c>
      <c r="F39" s="45">
        <v>0</v>
      </c>
      <c r="G39" s="7">
        <f t="shared" si="1"/>
        <v>1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+'13'!G41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+'13'!G42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+'13'!G43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+'13'!G45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+'13'!G46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+'13'!G47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+'13'!G54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+'13'!G65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+'13'!G69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+'13'!G73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+'13'!G76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+'13'!G78</f>
        <v>3</v>
      </c>
      <c r="D78" s="45">
        <v>0</v>
      </c>
      <c r="E78" s="7">
        <f t="shared" si="0"/>
        <v>3</v>
      </c>
      <c r="F78" s="45">
        <v>0</v>
      </c>
      <c r="G78" s="7">
        <f t="shared" si="1"/>
        <v>2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+'13'!G84</f>
        <v>12</v>
      </c>
      <c r="D84" s="45">
        <v>0</v>
      </c>
      <c r="E84" s="7">
        <f t="shared" si="0"/>
        <v>12</v>
      </c>
      <c r="F84" s="45">
        <v>0</v>
      </c>
      <c r="G84" s="7">
        <f t="shared" si="1"/>
        <v>12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+'13'!G85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+'13'!G86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+'13'!G87</f>
        <v>7</v>
      </c>
      <c r="D87" s="45">
        <v>0</v>
      </c>
      <c r="E87" s="7">
        <f t="shared" si="0"/>
        <v>7</v>
      </c>
      <c r="F87" s="45">
        <v>0</v>
      </c>
      <c r="G87" s="7">
        <f t="shared" si="1"/>
        <v>7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+'13'!G88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+'13'!G89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+'13'!G91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+'13'!G100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+'13'!G149</f>
        <v>38</v>
      </c>
      <c r="D149" s="45">
        <v>0</v>
      </c>
      <c r="E149" s="7">
        <f t="shared" si="12"/>
        <v>38</v>
      </c>
      <c r="F149" s="45">
        <v>0</v>
      </c>
      <c r="G149" s="7">
        <f t="shared" si="13"/>
        <v>38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+'13'!G175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+'13'!G177</f>
        <v>1</v>
      </c>
      <c r="D177" s="45">
        <v>0</v>
      </c>
      <c r="E177" s="7">
        <f t="shared" si="16"/>
        <v>1</v>
      </c>
      <c r="F177" s="45">
        <v>0</v>
      </c>
      <c r="G177" s="7">
        <f t="shared" si="17"/>
        <v>0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+'13'!G192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+'13'!G193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+'13'!G194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+'13'!G196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+'13'!G197</f>
        <v>0</v>
      </c>
      <c r="D197" s="45">
        <v>15</v>
      </c>
      <c r="E197" s="7">
        <f t="shared" si="16"/>
        <v>15</v>
      </c>
      <c r="F197" s="45">
        <v>0</v>
      </c>
      <c r="G197" s="7">
        <f t="shared" si="17"/>
        <v>15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+'13'!G198</f>
        <v>0</v>
      </c>
      <c r="D198" s="45">
        <v>10</v>
      </c>
      <c r="E198" s="7">
        <f t="shared" si="16"/>
        <v>10</v>
      </c>
      <c r="F198" s="45">
        <v>0</v>
      </c>
      <c r="G198" s="7">
        <f t="shared" si="17"/>
        <v>10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+'13'!G199</f>
        <v>0</v>
      </c>
      <c r="D199" s="45">
        <v>10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720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400</v>
      </c>
      <c r="L208" s="2">
        <v>150</v>
      </c>
      <c r="M208" s="2">
        <v>250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320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320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720</v>
      </c>
    </row>
    <row r="218" spans="1:13" x14ac:dyDescent="0.5">
      <c r="G218" s="2"/>
      <c r="I218" s="2"/>
      <c r="J218" s="2" t="s">
        <v>218</v>
      </c>
      <c r="K218" s="41">
        <f>SUM(K207:K208)</f>
        <v>400</v>
      </c>
    </row>
    <row r="219" spans="1:13" x14ac:dyDescent="0.5">
      <c r="G219" s="2"/>
      <c r="I219" s="2"/>
      <c r="J219" s="2" t="s">
        <v>219</v>
      </c>
      <c r="K219" s="41">
        <f>+K213</f>
        <v>320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C4F0-9736-46F0-A5E5-7BEB4E104771}">
  <sheetPr>
    <tabColor theme="7" tint="0.79998168889431442"/>
  </sheetPr>
  <dimension ref="A1:Z290"/>
  <sheetViews>
    <sheetView zoomScale="90" zoomScaleNormal="90" workbookViewId="0">
      <pane ySplit="3" topLeftCell="A201" activePane="bottomLeft" state="frozen"/>
      <selection pane="bottomLeft" activeCell="C197" sqref="C197"/>
    </sheetView>
  </sheetViews>
  <sheetFormatPr defaultColWidth="9" defaultRowHeight="24.75" x14ac:dyDescent="0.5"/>
  <cols>
    <col min="1" max="1" width="5.375" style="2" customWidth="1"/>
    <col min="2" max="2" width="32.6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+'14'!G4</f>
        <v>19</v>
      </c>
      <c r="D4" s="45">
        <v>0</v>
      </c>
      <c r="E4" s="7">
        <f t="shared" ref="E4:E93" si="0">C4+D4</f>
        <v>19</v>
      </c>
      <c r="F4" s="45">
        <v>0</v>
      </c>
      <c r="G4" s="7">
        <f t="shared" ref="G4:G93" si="1">E4-F4-H4</f>
        <v>19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+'14'!G5</f>
        <v>20</v>
      </c>
      <c r="D5" s="45">
        <v>0</v>
      </c>
      <c r="E5" s="7">
        <f t="shared" si="0"/>
        <v>20</v>
      </c>
      <c r="F5" s="45">
        <v>0</v>
      </c>
      <c r="G5" s="7">
        <f t="shared" si="1"/>
        <v>19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+'14'!G6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+'14'!G11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+'14'!G14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+'14'!G15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+'14'!G16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+'14'!G18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+'14'!G19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+'14'!G22</f>
        <v>3</v>
      </c>
      <c r="D22" s="45">
        <v>0</v>
      </c>
      <c r="E22" s="7">
        <f t="shared" si="0"/>
        <v>3</v>
      </c>
      <c r="F22" s="45">
        <v>0</v>
      </c>
      <c r="G22" s="7">
        <f t="shared" si="1"/>
        <v>3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+'14'!G23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+'14'!G25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+'14'!G26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+'14'!G28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+'14'!G29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+'14'!G30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+'14'!G33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+'14'!G34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+'14'!G36</f>
        <v>0</v>
      </c>
      <c r="D36" s="45">
        <v>0</v>
      </c>
      <c r="E36" s="7">
        <f t="shared" si="0"/>
        <v>0</v>
      </c>
      <c r="F36" s="45">
        <v>0</v>
      </c>
      <c r="G36" s="7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+'14'!G37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+'14'!G38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+'14'!G39</f>
        <v>1</v>
      </c>
      <c r="D39" s="45">
        <v>0</v>
      </c>
      <c r="E39" s="7">
        <f t="shared" si="0"/>
        <v>1</v>
      </c>
      <c r="F39" s="45">
        <v>0</v>
      </c>
      <c r="G39" s="7">
        <f t="shared" si="1"/>
        <v>0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+'14'!G41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+'14'!G42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+'14'!G43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+'14'!G45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+'14'!G46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+'14'!G47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+'14'!G48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+'14'!G49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+'14'!G50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+'14'!G51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+'14'!G52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+'14'!G54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+'14'!G55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+'14'!G56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+'14'!G57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+'14'!G60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+'14'!G65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+'14'!G66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+'14'!G69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+'14'!G76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+'14'!G78</f>
        <v>2</v>
      </c>
      <c r="D78" s="45">
        <v>0</v>
      </c>
      <c r="E78" s="7">
        <f t="shared" si="0"/>
        <v>2</v>
      </c>
      <c r="F78" s="45">
        <v>0</v>
      </c>
      <c r="G78" s="7">
        <f t="shared" si="1"/>
        <v>2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+'14'!G80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+'14'!G81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+'14'!G84</f>
        <v>12</v>
      </c>
      <c r="D84" s="45">
        <v>0</v>
      </c>
      <c r="E84" s="7">
        <f t="shared" si="0"/>
        <v>12</v>
      </c>
      <c r="F84" s="45">
        <v>0</v>
      </c>
      <c r="G84" s="7">
        <f t="shared" si="1"/>
        <v>12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+'14'!G85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+'14'!G86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+'14'!G87</f>
        <v>7</v>
      </c>
      <c r="D87" s="45">
        <v>0</v>
      </c>
      <c r="E87" s="7">
        <f t="shared" si="0"/>
        <v>7</v>
      </c>
      <c r="F87" s="45">
        <v>0</v>
      </c>
      <c r="G87" s="7">
        <f t="shared" si="1"/>
        <v>7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+'14'!G88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+'14'!G89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+'14'!G91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+'14'!G94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+'14'!G100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+'14'!G101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+'14'!G105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+'14'!G120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95">
        <f>+'14'!G149</f>
        <v>38</v>
      </c>
      <c r="D149" s="45">
        <v>0</v>
      </c>
      <c r="E149" s="7">
        <f t="shared" si="12"/>
        <v>38</v>
      </c>
      <c r="F149" s="45">
        <v>0</v>
      </c>
      <c r="G149" s="7">
        <f t="shared" si="13"/>
        <v>38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+'14'!G151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+'14'!G162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+'14'!G166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+'14'!G167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+'14'!G175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+'14'!G177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+'14'!G192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+'14'!G193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+'14'!G194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+'14'!G196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+'14'!G197</f>
        <v>15</v>
      </c>
      <c r="D197" s="45">
        <v>0</v>
      </c>
      <c r="E197" s="7">
        <f t="shared" si="16"/>
        <v>15</v>
      </c>
      <c r="F197" s="45">
        <v>0</v>
      </c>
      <c r="G197" s="7">
        <f t="shared" si="17"/>
        <v>13</v>
      </c>
      <c r="H197" s="51">
        <v>2</v>
      </c>
      <c r="I197" s="8">
        <v>40</v>
      </c>
      <c r="J197" s="9">
        <f t="shared" ref="J197:J203" si="18">+I197*H197</f>
        <v>80</v>
      </c>
      <c r="K197" s="10" t="s">
        <v>16</v>
      </c>
      <c r="L197" s="11">
        <v>0</v>
      </c>
      <c r="M197" s="12">
        <f t="shared" ref="M197:M203" si="19">+J197-L197</f>
        <v>80</v>
      </c>
    </row>
    <row r="198" spans="1:26" ht="25.5" x14ac:dyDescent="0.55000000000000004">
      <c r="A198" s="5">
        <v>195</v>
      </c>
      <c r="B198" s="14" t="s">
        <v>262</v>
      </c>
      <c r="C198" s="7">
        <f>+'14'!G198</f>
        <v>10</v>
      </c>
      <c r="D198" s="45">
        <v>0</v>
      </c>
      <c r="E198" s="7">
        <f t="shared" si="16"/>
        <v>10</v>
      </c>
      <c r="F198" s="45">
        <v>0</v>
      </c>
      <c r="G198" s="7">
        <f t="shared" si="17"/>
        <v>10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+'14'!G199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+'14'!G200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230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230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230</v>
      </c>
    </row>
    <row r="214" spans="1:13" ht="25.5" x14ac:dyDescent="0.55000000000000004">
      <c r="A214" s="1"/>
      <c r="C214" s="154"/>
      <c r="D214" s="154"/>
      <c r="E214" s="154"/>
      <c r="F214" s="15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230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230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3">
    <mergeCell ref="C214:F214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EA1-C9AE-4F55-8C21-79012A2B26B6}">
  <sheetPr>
    <tabColor theme="7" tint="0.79998168889431442"/>
  </sheetPr>
  <dimension ref="A1:Z290"/>
  <sheetViews>
    <sheetView zoomScale="90" zoomScaleNormal="90" workbookViewId="0">
      <pane ySplit="3" topLeftCell="A187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4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125" style="2" customWidth="1"/>
    <col min="12" max="12" width="9" style="2"/>
    <col min="13" max="13" width="8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+'15'!G4</f>
        <v>19</v>
      </c>
      <c r="D4" s="45">
        <v>0</v>
      </c>
      <c r="E4" s="7">
        <f t="shared" ref="E4:E93" si="0">C4+D4</f>
        <v>19</v>
      </c>
      <c r="F4" s="45">
        <v>3</v>
      </c>
      <c r="G4" s="7">
        <f t="shared" ref="G4:G93" si="1">E4-F4-H4</f>
        <v>14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+'15'!G5</f>
        <v>19</v>
      </c>
      <c r="D5" s="45">
        <v>0</v>
      </c>
      <c r="E5" s="7">
        <f t="shared" si="0"/>
        <v>19</v>
      </c>
      <c r="F5" s="45">
        <v>0</v>
      </c>
      <c r="G5" s="7">
        <f t="shared" si="1"/>
        <v>18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+'15'!G6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+'15'!G11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+'15'!G14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+'15'!G15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+'15'!G16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+'15'!G18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+'15'!G19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+'15'!G22</f>
        <v>3</v>
      </c>
      <c r="D22" s="45">
        <v>0</v>
      </c>
      <c r="E22" s="7">
        <f t="shared" si="0"/>
        <v>3</v>
      </c>
      <c r="F22" s="45">
        <v>0</v>
      </c>
      <c r="G22" s="7">
        <f t="shared" si="1"/>
        <v>3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+'15'!G23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+'15'!G25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+'15'!G28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+'15'!G34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+'15'!G36</f>
        <v>0</v>
      </c>
      <c r="D36" s="45">
        <v>0</v>
      </c>
      <c r="E36" s="7">
        <f t="shared" si="0"/>
        <v>0</v>
      </c>
      <c r="F36" s="45">
        <v>0</v>
      </c>
      <c r="G36" s="7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+'15'!G37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+'15'!G38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+'15'!G39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+'15'!G41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+'15'!G42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+'15'!G43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+'15'!G45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+'15'!G46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+'15'!G47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+'15'!G54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+'15'!G56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+'15'!G65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+'15'!G69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+'15'!G70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+'15'!G73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+'15'!G76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+'15'!G78</f>
        <v>2</v>
      </c>
      <c r="D78" s="45">
        <v>0</v>
      </c>
      <c r="E78" s="7">
        <f t="shared" si="0"/>
        <v>2</v>
      </c>
      <c r="F78" s="45">
        <v>0</v>
      </c>
      <c r="G78" s="7">
        <f t="shared" si="1"/>
        <v>1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+'15'!G84</f>
        <v>12</v>
      </c>
      <c r="D84" s="45">
        <v>0</v>
      </c>
      <c r="E84" s="7">
        <f t="shared" si="0"/>
        <v>12</v>
      </c>
      <c r="F84" s="45">
        <v>1</v>
      </c>
      <c r="G84" s="7">
        <f t="shared" si="1"/>
        <v>10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+'15'!G85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+'15'!G86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+'15'!G87</f>
        <v>7</v>
      </c>
      <c r="D87" s="45">
        <v>0</v>
      </c>
      <c r="E87" s="7">
        <f t="shared" si="0"/>
        <v>7</v>
      </c>
      <c r="F87" s="45">
        <v>1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+'15'!G88</f>
        <v>1</v>
      </c>
      <c r="D88" s="45">
        <v>0</v>
      </c>
      <c r="E88" s="7">
        <f t="shared" si="0"/>
        <v>1</v>
      </c>
      <c r="F88" s="45">
        <v>1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+'15'!G89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+'15'!G91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+'15'!G100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+'15'!G149</f>
        <v>38</v>
      </c>
      <c r="D149" s="45">
        <v>0</v>
      </c>
      <c r="E149" s="7">
        <f t="shared" si="12"/>
        <v>38</v>
      </c>
      <c r="F149" s="45">
        <v>38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+'15'!G175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+'15'!G177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+'15'!G192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+'15'!G193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+'15'!G194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+'15'!G196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+'15'!G197</f>
        <v>13</v>
      </c>
      <c r="D197" s="45">
        <v>0</v>
      </c>
      <c r="E197" s="7">
        <f t="shared" si="16"/>
        <v>13</v>
      </c>
      <c r="F197" s="45">
        <v>0</v>
      </c>
      <c r="G197" s="7">
        <f t="shared" si="17"/>
        <v>13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+'15'!G198</f>
        <v>10</v>
      </c>
      <c r="D198" s="45">
        <v>0</v>
      </c>
      <c r="E198" s="7">
        <f t="shared" si="16"/>
        <v>10</v>
      </c>
      <c r="F198" s="45">
        <v>0</v>
      </c>
      <c r="G198" s="7">
        <f t="shared" si="17"/>
        <v>10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+'15'!G199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350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350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350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350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350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989-3572-46DA-9FAA-2E1D24AB71F3}">
  <sheetPr>
    <tabColor theme="7" tint="0.79998168889431442"/>
  </sheetPr>
  <dimension ref="A1:Z290"/>
  <sheetViews>
    <sheetView zoomScale="90" zoomScaleNormal="90" workbookViewId="0">
      <pane ySplit="3" topLeftCell="A189" activePane="bottomLeft" state="frozen"/>
      <selection pane="bottomLeft" activeCell="I197" sqref="I197:I199"/>
    </sheetView>
  </sheetViews>
  <sheetFormatPr defaultColWidth="9" defaultRowHeight="24.75" x14ac:dyDescent="0.5"/>
  <cols>
    <col min="1" max="1" width="6.625" style="2" customWidth="1"/>
    <col min="2" max="2" width="33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9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+'16'!G4</f>
        <v>14</v>
      </c>
      <c r="D4" s="45">
        <v>20</v>
      </c>
      <c r="E4" s="7">
        <f t="shared" ref="E4:E93" si="0">C4+D4</f>
        <v>34</v>
      </c>
      <c r="F4" s="45">
        <v>0</v>
      </c>
      <c r="G4" s="7">
        <f t="shared" ref="G4:G93" si="1">E4-F4-H4</f>
        <v>32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+'16'!G5</f>
        <v>18</v>
      </c>
      <c r="D5" s="45">
        <v>20</v>
      </c>
      <c r="E5" s="7">
        <f t="shared" si="0"/>
        <v>38</v>
      </c>
      <c r="F5" s="45">
        <v>0</v>
      </c>
      <c r="G5" s="7">
        <f t="shared" si="1"/>
        <v>34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+'16'!G6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+'16'!G11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+'16'!G14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+'16'!G15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+'16'!G16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+'16'!G18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+'16'!G19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+'16'!G22</f>
        <v>3</v>
      </c>
      <c r="D22" s="45">
        <v>10</v>
      </c>
      <c r="E22" s="7">
        <f t="shared" si="0"/>
        <v>13</v>
      </c>
      <c r="F22" s="45">
        <v>0</v>
      </c>
      <c r="G22" s="7">
        <f t="shared" si="1"/>
        <v>11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+'16'!G23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+'16'!G25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+'16'!G26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+'16'!G28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+'16'!G29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+'16'!G30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+'16'!G33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+'16'!G34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+'16'!G36</f>
        <v>0</v>
      </c>
      <c r="D36" s="45">
        <v>10</v>
      </c>
      <c r="E36" s="7">
        <f t="shared" si="0"/>
        <v>10</v>
      </c>
      <c r="F36" s="45">
        <v>0</v>
      </c>
      <c r="G36" s="7">
        <f t="shared" si="1"/>
        <v>10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+'16'!G37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2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+'16'!G38</f>
        <v>0</v>
      </c>
      <c r="D38" s="45">
        <v>5</v>
      </c>
      <c r="E38" s="7">
        <f t="shared" si="0"/>
        <v>5</v>
      </c>
      <c r="F38" s="45">
        <v>0</v>
      </c>
      <c r="G38" s="7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+'16'!G39</f>
        <v>0</v>
      </c>
      <c r="D39" s="45">
        <v>5</v>
      </c>
      <c r="E39" s="7">
        <f t="shared" si="0"/>
        <v>5</v>
      </c>
      <c r="F39" s="45">
        <v>0</v>
      </c>
      <c r="G39" s="7">
        <f t="shared" si="1"/>
        <v>3</v>
      </c>
      <c r="H39" s="51">
        <v>2</v>
      </c>
      <c r="I39" s="8">
        <v>50</v>
      </c>
      <c r="J39" s="9">
        <f t="shared" si="2"/>
        <v>100</v>
      </c>
      <c r="K39" s="10" t="s">
        <v>16</v>
      </c>
      <c r="L39" s="11">
        <v>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+'16'!G40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+'16'!G41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+'16'!G42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+'16'!G43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+'16'!G44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+'16'!G45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+'16'!G46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+'16'!G47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+'16'!G48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+'16'!G49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+'16'!G50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+'16'!G51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+'16'!G52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+'16'!G53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+'16'!G54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+'16'!G55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+'16'!G56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+'16'!G57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+'16'!G60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+'16'!G65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9</v>
      </c>
      <c r="H65" s="51">
        <v>1</v>
      </c>
      <c r="I65" s="8">
        <v>50</v>
      </c>
      <c r="J65" s="9">
        <f t="shared" si="2"/>
        <v>50</v>
      </c>
      <c r="K65" s="10" t="s">
        <v>258</v>
      </c>
      <c r="L65" s="11">
        <v>50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+'16'!G66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+'16'!G69</f>
        <v>0</v>
      </c>
      <c r="D69" s="45">
        <v>5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+'16'!G70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+'16'!G73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+'16'!G76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+'16'!G78</f>
        <v>1</v>
      </c>
      <c r="D78" s="45">
        <v>5</v>
      </c>
      <c r="E78" s="7">
        <f t="shared" si="0"/>
        <v>6</v>
      </c>
      <c r="F78" s="45">
        <v>0</v>
      </c>
      <c r="G78" s="7">
        <f t="shared" si="1"/>
        <v>5</v>
      </c>
      <c r="H78" s="51">
        <v>1</v>
      </c>
      <c r="I78" s="8">
        <v>50</v>
      </c>
      <c r="J78" s="9">
        <f t="shared" si="8"/>
        <v>50</v>
      </c>
      <c r="K78" s="10" t="s">
        <v>247</v>
      </c>
      <c r="L78" s="11">
        <v>25</v>
      </c>
      <c r="M78" s="12">
        <f t="shared" si="9"/>
        <v>25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+'16'!G80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+'16'!G81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+'16'!G84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8</v>
      </c>
      <c r="H84" s="51">
        <v>2</v>
      </c>
      <c r="I84" s="8">
        <v>100</v>
      </c>
      <c r="J84" s="9">
        <f t="shared" si="8"/>
        <v>200</v>
      </c>
      <c r="K84" s="10" t="s">
        <v>16</v>
      </c>
      <c r="L84" s="11">
        <v>0</v>
      </c>
      <c r="M84" s="12">
        <f t="shared" si="9"/>
        <v>200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+'16'!G85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+'16'!G86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4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+'16'!G87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+'16'!G88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+'16'!G89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+'16'!G91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+'16'!G94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+'16'!G100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+'16'!G101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+'16'!G105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+'16'!G120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+'16'!G149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+'16'!G162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+'16'!G166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+'16'!G167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+'16'!G175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+'16'!G177</f>
        <v>0</v>
      </c>
      <c r="D177" s="45">
        <v>5</v>
      </c>
      <c r="E177" s="7">
        <f t="shared" si="16"/>
        <v>5</v>
      </c>
      <c r="F177" s="45">
        <v>0</v>
      </c>
      <c r="G177" s="7">
        <f t="shared" si="17"/>
        <v>4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+'16'!G192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+'16'!G193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+'16'!G194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+'16'!G196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+'16'!G197</f>
        <v>13</v>
      </c>
      <c r="D197" s="45">
        <v>0</v>
      </c>
      <c r="E197" s="7">
        <f t="shared" si="16"/>
        <v>13</v>
      </c>
      <c r="F197" s="45">
        <v>0</v>
      </c>
      <c r="G197" s="7">
        <f t="shared" si="17"/>
        <v>1</v>
      </c>
      <c r="H197" s="51">
        <v>12</v>
      </c>
      <c r="I197" s="8">
        <v>40</v>
      </c>
      <c r="J197" s="9">
        <f t="shared" ref="J197:J203" si="18">+I197*H197</f>
        <v>480</v>
      </c>
      <c r="K197" s="10" t="s">
        <v>16</v>
      </c>
      <c r="L197" s="11">
        <v>0</v>
      </c>
      <c r="M197" s="12">
        <f t="shared" ref="M197:M203" si="19">+J197-L197</f>
        <v>480</v>
      </c>
    </row>
    <row r="198" spans="1:26" ht="25.5" x14ac:dyDescent="0.55000000000000004">
      <c r="A198" s="5">
        <v>195</v>
      </c>
      <c r="B198" s="14" t="s">
        <v>262</v>
      </c>
      <c r="C198" s="7">
        <f>+'16'!G198</f>
        <v>10</v>
      </c>
      <c r="D198" s="45">
        <v>0</v>
      </c>
      <c r="E198" s="7">
        <f t="shared" si="16"/>
        <v>10</v>
      </c>
      <c r="F198" s="45">
        <v>0</v>
      </c>
      <c r="G198" s="7">
        <f t="shared" si="17"/>
        <v>10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+'16'!G199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1970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380</v>
      </c>
      <c r="L208" s="2">
        <v>100</v>
      </c>
      <c r="M208" s="2">
        <v>280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75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1515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1515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1895</v>
      </c>
    </row>
    <row r="218" spans="1:13" x14ac:dyDescent="0.5">
      <c r="G218" s="2"/>
      <c r="I218" s="2"/>
      <c r="J218" s="2" t="s">
        <v>218</v>
      </c>
      <c r="K218" s="41">
        <f>SUM(K207:K208)</f>
        <v>380</v>
      </c>
    </row>
    <row r="219" spans="1:13" x14ac:dyDescent="0.5">
      <c r="G219" s="2"/>
      <c r="I219" s="2"/>
      <c r="J219" s="2" t="s">
        <v>219</v>
      </c>
      <c r="K219" s="41">
        <f>+K213</f>
        <v>1515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C86-01AD-4958-85C2-47B215807400}">
  <sheetPr>
    <tabColor theme="7" tint="0.79998168889431442"/>
  </sheetPr>
  <dimension ref="A1:Z290"/>
  <sheetViews>
    <sheetView zoomScale="90" zoomScaleNormal="90" workbookViewId="0">
      <pane ySplit="3" topLeftCell="A193" activePane="bottomLeft" state="frozen"/>
      <selection pane="bottomLeft" activeCell="I197" sqref="I197:I199"/>
    </sheetView>
  </sheetViews>
  <sheetFormatPr defaultColWidth="9" defaultRowHeight="24.75" x14ac:dyDescent="0.5"/>
  <cols>
    <col min="1" max="1" width="6.625" style="2" customWidth="1"/>
    <col min="2" max="2" width="34" style="2" customWidth="1"/>
    <col min="3" max="6" width="9.625" style="2" customWidth="1"/>
    <col min="7" max="7" width="9.625" style="43" customWidth="1"/>
    <col min="8" max="8" width="9.625" style="2" customWidth="1"/>
    <col min="9" max="9" width="7.375" style="44" customWidth="1"/>
    <col min="10" max="10" width="10.625" style="2" customWidth="1"/>
    <col min="11" max="11" width="25.875" style="2" customWidth="1"/>
    <col min="12" max="12" width="9" style="2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+'17'!G4</f>
        <v>32</v>
      </c>
      <c r="D4" s="45">
        <v>0</v>
      </c>
      <c r="E4" s="7">
        <f t="shared" ref="E4:E93" si="0">C4+D4</f>
        <v>32</v>
      </c>
      <c r="F4" s="45">
        <v>0</v>
      </c>
      <c r="G4" s="7">
        <f t="shared" ref="G4:G93" si="1">E4-F4-H4</f>
        <v>30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+'17'!G5</f>
        <v>34</v>
      </c>
      <c r="D5" s="45">
        <v>0</v>
      </c>
      <c r="E5" s="7">
        <f t="shared" si="0"/>
        <v>34</v>
      </c>
      <c r="F5" s="45">
        <v>0</v>
      </c>
      <c r="G5" s="7">
        <f t="shared" si="1"/>
        <v>32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+'17'!G6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+'17'!G11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+'17'!G14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+'17'!G15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+'17'!G16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+'17'!G18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+'17'!G19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+'17'!G22</f>
        <v>11</v>
      </c>
      <c r="D22" s="45">
        <v>0</v>
      </c>
      <c r="E22" s="7">
        <f t="shared" si="0"/>
        <v>11</v>
      </c>
      <c r="F22" s="45">
        <v>0</v>
      </c>
      <c r="G22" s="7">
        <f t="shared" si="1"/>
        <v>11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+'17'!G23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+'17'!G25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+'17'!G26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+'17'!G28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+'17'!G29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+'17'!G30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+'17'!G33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+'17'!G34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+'17'!G36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10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+'17'!G37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0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+'17'!G38</f>
        <v>5</v>
      </c>
      <c r="D38" s="45">
        <v>0</v>
      </c>
      <c r="E38" s="7">
        <f t="shared" si="0"/>
        <v>5</v>
      </c>
      <c r="F38" s="45">
        <v>0</v>
      </c>
      <c r="G38" s="7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+'17'!G39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+'17'!G40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+'17'!G41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+'17'!G42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+'17'!G43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+'17'!G44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+'17'!G45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+'17'!G46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+'17'!G47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+'17'!G48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+'17'!G49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+'17'!G50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+'17'!G51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+'17'!G52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+'17'!G53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+'17'!G54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+'17'!G55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+'17'!G56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+'17'!G57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+'17'!G60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+'17'!G65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+'17'!G66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+'17'!G69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+'17'!G70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+'17'!G73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+'17'!G76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+'17'!G78</f>
        <v>5</v>
      </c>
      <c r="D78" s="45">
        <v>0</v>
      </c>
      <c r="E78" s="7">
        <f t="shared" si="0"/>
        <v>5</v>
      </c>
      <c r="F78" s="45">
        <v>0</v>
      </c>
      <c r="G78" s="7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+'17'!G80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+'17'!G81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+'17'!G84</f>
        <v>8</v>
      </c>
      <c r="D84" s="45">
        <v>0</v>
      </c>
      <c r="E84" s="7">
        <f t="shared" si="0"/>
        <v>8</v>
      </c>
      <c r="F84" s="45">
        <v>0</v>
      </c>
      <c r="G84" s="7">
        <f t="shared" si="1"/>
        <v>8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+'17'!G85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+'17'!G86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+'17'!G87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+'17'!G88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+'17'!G89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+'17'!G91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+'17'!G94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+'17'!G100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+'17'!G105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+'17'!G120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5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+'17'!G149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+'17'!G162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+'17'!G167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+'17'!G175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+'17'!G177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4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+'17'!G192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+'17'!G193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+'17'!G194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+'17'!G196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ref="M196" si="18">+J196-L196</f>
        <v>0</v>
      </c>
    </row>
    <row r="197" spans="1:26" ht="25.5" x14ac:dyDescent="0.55000000000000004">
      <c r="A197" s="5">
        <v>194</v>
      </c>
      <c r="B197" s="14" t="s">
        <v>257</v>
      </c>
      <c r="C197" s="7">
        <f>+'17'!G197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9">+I197*H197</f>
        <v>0</v>
      </c>
      <c r="K197" s="10" t="s">
        <v>16</v>
      </c>
      <c r="L197" s="11">
        <v>0</v>
      </c>
      <c r="M197" s="12">
        <f t="shared" ref="M197:M203" si="20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+'17'!G198</f>
        <v>10</v>
      </c>
      <c r="D198" s="45">
        <v>0</v>
      </c>
      <c r="E198" s="7">
        <f t="shared" si="16"/>
        <v>10</v>
      </c>
      <c r="F198" s="45">
        <v>0</v>
      </c>
      <c r="G198" s="7">
        <f t="shared" si="17"/>
        <v>8</v>
      </c>
      <c r="H198" s="51">
        <v>2</v>
      </c>
      <c r="I198" s="8">
        <v>40</v>
      </c>
      <c r="J198" s="9">
        <f t="shared" si="19"/>
        <v>80</v>
      </c>
      <c r="K198" s="10" t="s">
        <v>16</v>
      </c>
      <c r="L198" s="11">
        <v>0</v>
      </c>
      <c r="M198" s="12">
        <f t="shared" si="20"/>
        <v>80</v>
      </c>
    </row>
    <row r="199" spans="1:26" ht="25.5" x14ac:dyDescent="0.55000000000000004">
      <c r="A199" s="5">
        <v>196</v>
      </c>
      <c r="B199" s="14" t="s">
        <v>263</v>
      </c>
      <c r="C199" s="7">
        <f>+'17'!G199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9"/>
        <v>0</v>
      </c>
      <c r="K199" s="10" t="s">
        <v>16</v>
      </c>
      <c r="L199" s="11">
        <v>0</v>
      </c>
      <c r="M199" s="12">
        <f t="shared" si="20"/>
        <v>0</v>
      </c>
    </row>
    <row r="200" spans="1:26" ht="25.5" x14ac:dyDescent="0.55000000000000004">
      <c r="A200" s="5">
        <v>197</v>
      </c>
      <c r="B200" s="14"/>
      <c r="C200" s="7">
        <f>+'17'!G200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9"/>
        <v>0</v>
      </c>
      <c r="K200" s="10" t="s">
        <v>16</v>
      </c>
      <c r="L200" s="11">
        <v>0</v>
      </c>
      <c r="M200" s="12">
        <f t="shared" si="20"/>
        <v>0</v>
      </c>
    </row>
    <row r="201" spans="1:26" ht="25.5" x14ac:dyDescent="0.55000000000000004">
      <c r="A201" s="5">
        <v>198</v>
      </c>
      <c r="B201" s="14"/>
      <c r="C201" s="7">
        <f>+'17'!G201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9"/>
        <v>0</v>
      </c>
      <c r="K201" s="10" t="s">
        <v>16</v>
      </c>
      <c r="L201" s="11">
        <v>0</v>
      </c>
      <c r="M201" s="12">
        <f t="shared" si="20"/>
        <v>0</v>
      </c>
    </row>
    <row r="202" spans="1:26" ht="25.5" x14ac:dyDescent="0.55000000000000004">
      <c r="A202" s="5">
        <v>199</v>
      </c>
      <c r="B202" s="14"/>
      <c r="C202" s="7">
        <f>+'17'!G202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9"/>
        <v>0</v>
      </c>
      <c r="K202" s="10" t="s">
        <v>16</v>
      </c>
      <c r="L202" s="11">
        <v>0</v>
      </c>
      <c r="M202" s="12">
        <f t="shared" si="20"/>
        <v>0</v>
      </c>
    </row>
    <row r="203" spans="1:26" ht="25.5" x14ac:dyDescent="0.55000000000000004">
      <c r="A203" s="5">
        <v>200</v>
      </c>
      <c r="B203" s="14"/>
      <c r="C203" s="7">
        <f>+'17'!G203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9"/>
        <v>0</v>
      </c>
      <c r="K203" s="10" t="s">
        <v>16</v>
      </c>
      <c r="L203" s="11">
        <v>0</v>
      </c>
      <c r="M203" s="12">
        <f t="shared" si="20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480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50</v>
      </c>
      <c r="M208" s="2">
        <v>100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330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330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480</v>
      </c>
    </row>
    <row r="218" spans="1:13" x14ac:dyDescent="0.5">
      <c r="G218" s="2"/>
      <c r="I218" s="2"/>
      <c r="J218" s="2" t="s">
        <v>218</v>
      </c>
      <c r="K218" s="41">
        <f>SUM(K207:K208)</f>
        <v>150</v>
      </c>
    </row>
    <row r="219" spans="1:13" x14ac:dyDescent="0.5">
      <c r="G219" s="2"/>
      <c r="I219" s="2"/>
      <c r="J219" s="2" t="s">
        <v>219</v>
      </c>
      <c r="K219" s="41">
        <f>+K213</f>
        <v>330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48E-E064-441D-93CF-B236C10FD76F}">
  <sheetPr>
    <tabColor theme="7" tint="0.79998168889431442"/>
  </sheetPr>
  <dimension ref="A1:Z290"/>
  <sheetViews>
    <sheetView zoomScale="90" zoomScaleNormal="90" workbookViewId="0">
      <pane ySplit="3" topLeftCell="A195" activePane="bottomLeft" state="frozen"/>
      <selection pane="bottomLeft" activeCell="I197" sqref="I197:I199"/>
    </sheetView>
  </sheetViews>
  <sheetFormatPr defaultColWidth="9" defaultRowHeight="24.75" x14ac:dyDescent="0.5"/>
  <cols>
    <col min="1" max="1" width="6.625" style="2" customWidth="1"/>
    <col min="2" max="2" width="34.3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+'18'!G4</f>
        <v>30</v>
      </c>
      <c r="D4" s="45">
        <v>0</v>
      </c>
      <c r="E4" s="7">
        <f t="shared" ref="E4:E93" si="0">C4+D4</f>
        <v>30</v>
      </c>
      <c r="F4" s="45">
        <v>0</v>
      </c>
      <c r="G4" s="93">
        <f t="shared" ref="G4:G93" si="1">E4-F4-H4</f>
        <v>24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+'18'!G5</f>
        <v>32</v>
      </c>
      <c r="D5" s="45">
        <v>0</v>
      </c>
      <c r="E5" s="7">
        <f t="shared" si="0"/>
        <v>32</v>
      </c>
      <c r="F5" s="45">
        <v>0</v>
      </c>
      <c r="G5" s="93">
        <f t="shared" si="1"/>
        <v>25</v>
      </c>
      <c r="H5" s="51">
        <v>7</v>
      </c>
      <c r="I5" s="8">
        <v>100</v>
      </c>
      <c r="J5" s="9">
        <f t="shared" si="2"/>
        <v>700</v>
      </c>
      <c r="K5" s="10" t="s">
        <v>16</v>
      </c>
      <c r="L5" s="11">
        <v>0</v>
      </c>
      <c r="M5" s="12">
        <f t="shared" ref="M5:M68" si="4">+J5-L5</f>
        <v>700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+'18'!G11</f>
        <v>0</v>
      </c>
      <c r="D11" s="45">
        <v>0</v>
      </c>
      <c r="E11" s="7">
        <f t="shared" si="0"/>
        <v>0</v>
      </c>
      <c r="F11" s="45">
        <v>0</v>
      </c>
      <c r="G11" s="93">
        <f>E11-F11-H11</f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+'18'!G14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+'18'!G15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+'18'!G16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+'18'!G18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+'18'!G19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+'18'!G22</f>
        <v>11</v>
      </c>
      <c r="D22" s="45">
        <v>0</v>
      </c>
      <c r="E22" s="7">
        <f t="shared" si="0"/>
        <v>11</v>
      </c>
      <c r="F22" s="45">
        <v>0</v>
      </c>
      <c r="G22" s="7">
        <f t="shared" si="1"/>
        <v>8</v>
      </c>
      <c r="H22" s="51">
        <v>3</v>
      </c>
      <c r="I22" s="8">
        <v>100</v>
      </c>
      <c r="J22" s="9">
        <f t="shared" si="2"/>
        <v>300</v>
      </c>
      <c r="K22" s="10" t="s">
        <v>16</v>
      </c>
      <c r="L22" s="11">
        <v>0</v>
      </c>
      <c r="M22" s="12">
        <f t="shared" si="4"/>
        <v>300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+'18'!G23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+'18'!G25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+'18'!G26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+'18'!G28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+'18'!G29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+'18'!G30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+'18'!G33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+'18'!G34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+'18'!G36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7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+'18'!G37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+'18'!G38</f>
        <v>5</v>
      </c>
      <c r="D38" s="45">
        <v>0</v>
      </c>
      <c r="E38" s="7">
        <f t="shared" si="0"/>
        <v>5</v>
      </c>
      <c r="F38" s="45">
        <v>0</v>
      </c>
      <c r="G38" s="7">
        <f t="shared" si="1"/>
        <v>4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+'18'!G39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+'18'!G40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+'18'!G41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+'18'!G42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+'18'!G43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+'18'!G44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+'18'!G45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+'18'!G46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+'18'!G47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+'18'!G48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+'18'!G49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+'18'!G50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+'18'!G51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+'18'!G52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+'18'!G53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+'18'!G54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+'18'!G55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+'18'!G56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+'18'!G57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+'18'!G60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+'18'!G65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+'18'!G66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+'18'!G69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1</v>
      </c>
      <c r="H69" s="51">
        <v>4</v>
      </c>
      <c r="I69" s="8">
        <v>50</v>
      </c>
      <c r="J69" s="9">
        <f t="shared" ref="J69:J132" si="8">+I69*H69</f>
        <v>200</v>
      </c>
      <c r="K69" s="10" t="s">
        <v>258</v>
      </c>
      <c r="L69" s="11">
        <v>50</v>
      </c>
      <c r="M69" s="12">
        <f t="shared" ref="M69:M132" si="9">+J69-L69</f>
        <v>150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+'18'!G73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+'18'!G76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+'18'!G78</f>
        <v>5</v>
      </c>
      <c r="D78" s="45">
        <v>0</v>
      </c>
      <c r="E78" s="7">
        <f t="shared" si="0"/>
        <v>5</v>
      </c>
      <c r="F78" s="45">
        <v>0</v>
      </c>
      <c r="G78" s="7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+'18'!G80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+'18'!G81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+'18'!G84</f>
        <v>8</v>
      </c>
      <c r="D84" s="45">
        <v>0</v>
      </c>
      <c r="E84" s="7">
        <f t="shared" si="0"/>
        <v>8</v>
      </c>
      <c r="F84" s="45">
        <v>0</v>
      </c>
      <c r="G84" s="7">
        <f t="shared" si="1"/>
        <v>6</v>
      </c>
      <c r="H84" s="51">
        <v>2</v>
      </c>
      <c r="I84" s="8">
        <v>100</v>
      </c>
      <c r="J84" s="9">
        <f t="shared" si="8"/>
        <v>200</v>
      </c>
      <c r="K84" s="10" t="s">
        <v>16</v>
      </c>
      <c r="L84" s="11">
        <v>0</v>
      </c>
      <c r="M84" s="12">
        <f t="shared" si="9"/>
        <v>200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+'18'!G85</f>
        <v>4</v>
      </c>
      <c r="D85" s="45">
        <v>0</v>
      </c>
      <c r="E85" s="7">
        <f t="shared" si="0"/>
        <v>4</v>
      </c>
      <c r="F85" s="45">
        <v>0</v>
      </c>
      <c r="G85" s="7">
        <f t="shared" si="1"/>
        <v>3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+'18'!G86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+'18'!G87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+'18'!G88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+'18'!G89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+'18'!G91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+'18'!G94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+'18'!G100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5</v>
      </c>
      <c r="H100" s="51">
        <v>1</v>
      </c>
      <c r="I100" s="8">
        <v>55</v>
      </c>
      <c r="J100" s="9">
        <f t="shared" si="8"/>
        <v>55</v>
      </c>
      <c r="K100" s="10" t="s">
        <v>16</v>
      </c>
      <c r="L100" s="11">
        <v>25</v>
      </c>
      <c r="M100" s="12">
        <f t="shared" si="9"/>
        <v>30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+'18'!G101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+'18'!G105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+'18'!G120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+'18'!G149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+'18'!G162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+'18'!G167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+'18'!G175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+'18'!G177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3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+'18'!G192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+'18'!G193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+'18'!G194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+'18'!G197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+'18'!G198</f>
        <v>8</v>
      </c>
      <c r="D198" s="45">
        <v>0</v>
      </c>
      <c r="E198" s="7">
        <f t="shared" si="16"/>
        <v>8</v>
      </c>
      <c r="F198" s="45">
        <v>0</v>
      </c>
      <c r="G198" s="7">
        <f t="shared" si="17"/>
        <v>1</v>
      </c>
      <c r="H198" s="51">
        <v>7</v>
      </c>
      <c r="I198" s="8">
        <v>40</v>
      </c>
      <c r="J198" s="9">
        <f t="shared" si="18"/>
        <v>280</v>
      </c>
      <c r="K198" s="10" t="s">
        <v>264</v>
      </c>
      <c r="L198" s="11">
        <v>100</v>
      </c>
      <c r="M198" s="12">
        <f t="shared" si="19"/>
        <v>180</v>
      </c>
    </row>
    <row r="199" spans="1:26" ht="25.5" x14ac:dyDescent="0.55000000000000004">
      <c r="A199" s="5">
        <v>196</v>
      </c>
      <c r="B199" s="14" t="s">
        <v>263</v>
      </c>
      <c r="C199" s="7">
        <f>+'18'!G199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2560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455</v>
      </c>
      <c r="L208" s="2">
        <v>50</v>
      </c>
      <c r="M208" s="2">
        <v>100</v>
      </c>
      <c r="N208" s="2">
        <v>105</v>
      </c>
      <c r="O208" s="2">
        <v>100</v>
      </c>
      <c r="P208" s="2">
        <v>100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175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1930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1930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2385</v>
      </c>
    </row>
    <row r="218" spans="1:13" x14ac:dyDescent="0.5">
      <c r="G218" s="2"/>
      <c r="I218" s="2"/>
      <c r="J218" s="2" t="s">
        <v>218</v>
      </c>
      <c r="K218" s="41">
        <f>SUM(K207:K208)</f>
        <v>455</v>
      </c>
    </row>
    <row r="219" spans="1:13" x14ac:dyDescent="0.5">
      <c r="G219" s="2"/>
      <c r="I219" s="2"/>
      <c r="J219" s="2" t="s">
        <v>219</v>
      </c>
      <c r="K219" s="41">
        <f>+K213</f>
        <v>1930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28-0842-4640-B040-131C2FEC9E50}">
  <sheetPr>
    <tabColor theme="7" tint="0.79998168889431442"/>
  </sheetPr>
  <dimension ref="A1:Z290"/>
  <sheetViews>
    <sheetView zoomScale="90" zoomScaleNormal="90" workbookViewId="0">
      <pane ySplit="3" topLeftCell="A187" activePane="bottomLeft" state="frozen"/>
      <selection pane="bottomLeft" activeCell="I196" sqref="I196:I199"/>
    </sheetView>
  </sheetViews>
  <sheetFormatPr defaultColWidth="9" defaultRowHeight="24.75" x14ac:dyDescent="0.5"/>
  <cols>
    <col min="1" max="1" width="6.625" style="2" customWidth="1"/>
    <col min="2" max="2" width="33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+'19'!G4</f>
        <v>24</v>
      </c>
      <c r="D4" s="45">
        <v>0</v>
      </c>
      <c r="E4" s="7">
        <f t="shared" ref="E4:E93" si="0">C4+D4</f>
        <v>24</v>
      </c>
      <c r="F4" s="45">
        <v>0</v>
      </c>
      <c r="G4" s="7">
        <f t="shared" ref="G4:G93" si="1">E4-F4-H4</f>
        <v>22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+'19'!G5</f>
        <v>25</v>
      </c>
      <c r="D5" s="45">
        <v>0</v>
      </c>
      <c r="E5" s="7">
        <f t="shared" si="0"/>
        <v>25</v>
      </c>
      <c r="F5" s="45">
        <v>0</v>
      </c>
      <c r="G5" s="7">
        <f t="shared" si="1"/>
        <v>24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+'19'!G6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+'19'!G7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+'19'!G8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+'19'!G9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+'19'!G10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+'19'!G11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+'19'!G12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+'19'!G13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+'19'!G14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+'19'!G15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+'19'!G16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+'19'!G17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+'19'!G18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+'19'!G19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+'19'!G20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+'19'!G21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+'19'!G22</f>
        <v>8</v>
      </c>
      <c r="D22" s="45">
        <v>0</v>
      </c>
      <c r="E22" s="7">
        <f t="shared" si="0"/>
        <v>8</v>
      </c>
      <c r="F22" s="45">
        <v>0</v>
      </c>
      <c r="G22" s="7">
        <f t="shared" si="1"/>
        <v>7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+'19'!G23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+'19'!G24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+'19'!G25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+'19'!G26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+'19'!G27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+'19'!G28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+'19'!G29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+'19'!G30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+'19'!G31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+'19'!G32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+'19'!G33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+'19'!G34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+'19'!G35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+'19'!G36</f>
        <v>7</v>
      </c>
      <c r="D36" s="45">
        <v>0</v>
      </c>
      <c r="E36" s="7">
        <f t="shared" si="0"/>
        <v>7</v>
      </c>
      <c r="F36" s="45">
        <v>0</v>
      </c>
      <c r="G36" s="7">
        <f t="shared" si="1"/>
        <v>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>+J36-L36</f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+'19'!G37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+'19'!G38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95">
        <f>+'19'!G39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+'19'!G40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+'19'!G41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+'19'!G42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+'19'!G43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+'19'!G44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+'19'!G45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+'19'!G46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+'19'!G47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+'19'!G48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+'19'!G49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+'19'!G50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+'19'!G51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+'19'!G52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+'19'!G53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+'19'!G54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+'19'!G55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+'19'!G56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+'19'!G57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+'19'!G58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+'19'!G59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+'19'!G60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+'19'!G61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+'19'!G62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+'19'!G63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+'19'!G64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+'19'!G65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+'19'!G66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+'19'!G67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+'19'!G68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+'19'!G69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0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+'19'!G70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+'19'!G71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+'19'!G72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+'19'!G73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+'19'!G74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+'19'!G75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+'19'!G76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+'19'!G77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+'19'!G78</f>
        <v>5</v>
      </c>
      <c r="D78" s="45">
        <v>0</v>
      </c>
      <c r="E78" s="7">
        <f t="shared" si="0"/>
        <v>5</v>
      </c>
      <c r="F78" s="45">
        <v>0</v>
      </c>
      <c r="G78" s="7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+'19'!G79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+'19'!G80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+'19'!G81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+'19'!G82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+'19'!G83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+'19'!G84</f>
        <v>6</v>
      </c>
      <c r="D84" s="45">
        <v>0</v>
      </c>
      <c r="E84" s="7">
        <f t="shared" si="0"/>
        <v>6</v>
      </c>
      <c r="F84" s="45">
        <v>0</v>
      </c>
      <c r="G84" s="7">
        <f t="shared" si="1"/>
        <v>6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+'19'!G85</f>
        <v>3</v>
      </c>
      <c r="D85" s="45">
        <v>0</v>
      </c>
      <c r="E85" s="7">
        <f t="shared" si="0"/>
        <v>3</v>
      </c>
      <c r="F85" s="45">
        <v>0</v>
      </c>
      <c r="G85" s="7">
        <f t="shared" si="1"/>
        <v>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+'19'!G86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+'19'!G87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+'19'!G88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+'19'!G89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+'19'!G90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+'19'!G91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+'19'!G92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+'19'!G93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+'19'!G94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+'19'!G95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+'19'!G96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+'19'!G97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+'19'!G98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+'19'!G99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+'19'!G100</f>
        <v>5</v>
      </c>
      <c r="D100" s="45">
        <v>0</v>
      </c>
      <c r="E100" s="7">
        <f t="shared" si="12"/>
        <v>5</v>
      </c>
      <c r="F100" s="45">
        <v>0</v>
      </c>
      <c r="G100" s="7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+'19'!G101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+'19'!G102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+'19'!G103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+'19'!G104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+'19'!G105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+'19'!G106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+'19'!G107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+'19'!G108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+'19'!G109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+'19'!G110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+'19'!G111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+'19'!G112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+'19'!G113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+'19'!G114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+'19'!G115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+'19'!G116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+'19'!G117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+'19'!G118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+'19'!G119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+'19'!G120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+'19'!G121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+'19'!G122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+'19'!G123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+'19'!G124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+'19'!G125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+'19'!G126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+'19'!G127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+'19'!G128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+'19'!G129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+'19'!G130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+'19'!G131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+'19'!G132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+'19'!G133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+'19'!G134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+'19'!G135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+'19'!G136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+'19'!G137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+'19'!G138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+'19'!G139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+'19'!G140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+'19'!G141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+'19'!G142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+'19'!G143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+'19'!G144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+'19'!G145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+'19'!G146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+'19'!G147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+'19'!G148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+'19'!G149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+'19'!G150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+'19'!G151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+'19'!G152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+'19'!G153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+'19'!G154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+'19'!G155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+'19'!G156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+'19'!G157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+'19'!G159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+'19'!G160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+'19'!G161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+'19'!G162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+'19'!G163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+'19'!G164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+'19'!G165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+'19'!G166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+'19'!G167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+'19'!G168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+'19'!G169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+'19'!G170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+'19'!G171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+'19'!G172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+'19'!G173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+'19'!G174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+'19'!G175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+'19'!G176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+'19'!G177</f>
        <v>3</v>
      </c>
      <c r="D177" s="45">
        <v>0</v>
      </c>
      <c r="E177" s="7">
        <f t="shared" si="16"/>
        <v>3</v>
      </c>
      <c r="F177" s="45">
        <v>0</v>
      </c>
      <c r="G177" s="7">
        <f t="shared" si="17"/>
        <v>1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 x14ac:dyDescent="0.55000000000000004">
      <c r="A178" s="5">
        <v>175</v>
      </c>
      <c r="B178" s="14" t="s">
        <v>191</v>
      </c>
      <c r="C178" s="7">
        <f>+'19'!G178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+'19'!G179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+'19'!G180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+'19'!G181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+'19'!G182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+'19'!G183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+'19'!G184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+'19'!G185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+'19'!G186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+'19'!G187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+'19'!G188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+'19'!G189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+'19'!G190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+'19'!G191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+'19'!G192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+'19'!G193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+'19'!G194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+'19'!G195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+'19'!G196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+'19'!G197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95">
        <f>+'19'!G198</f>
        <v>1</v>
      </c>
      <c r="D198" s="45">
        <v>0</v>
      </c>
      <c r="E198" s="7">
        <f t="shared" si="16"/>
        <v>1</v>
      </c>
      <c r="F198" s="45">
        <v>0</v>
      </c>
      <c r="G198" s="7">
        <f t="shared" si="17"/>
        <v>1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+'19'!G199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640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640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640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640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640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A2-7776-45DC-A0A7-40825FFF9480}">
  <sheetPr>
    <tabColor theme="7" tint="0.79998168889431442"/>
  </sheetPr>
  <dimension ref="A1:Z290"/>
  <sheetViews>
    <sheetView zoomScale="90" zoomScaleNormal="90" workbookViewId="0">
      <pane ySplit="3" topLeftCell="A202" activePane="bottomLeft" state="frozen"/>
      <selection pane="bottomLeft" activeCell="H22" sqref="H22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3.62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+'20'!G4</f>
        <v>22</v>
      </c>
      <c r="D4" s="45">
        <v>0</v>
      </c>
      <c r="E4" s="7">
        <f t="shared" ref="E4:E93" si="0">C4+D4</f>
        <v>22</v>
      </c>
      <c r="F4" s="45">
        <v>0</v>
      </c>
      <c r="G4" s="95">
        <f t="shared" ref="G4:G93" si="1">E4-F4-H4</f>
        <v>22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+'20'!G5</f>
        <v>24</v>
      </c>
      <c r="D5" s="45">
        <v>0</v>
      </c>
      <c r="E5" s="7">
        <f t="shared" si="0"/>
        <v>24</v>
      </c>
      <c r="F5" s="45">
        <v>0</v>
      </c>
      <c r="G5" s="93">
        <f t="shared" si="1"/>
        <v>21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+'20'!G22</f>
        <v>7</v>
      </c>
      <c r="D22" s="45">
        <v>10</v>
      </c>
      <c r="E22" s="7">
        <f t="shared" si="0"/>
        <v>17</v>
      </c>
      <c r="F22" s="45">
        <v>0</v>
      </c>
      <c r="G22" s="93">
        <f t="shared" si="1"/>
        <v>17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+'20'!G25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+'20'!G26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+'20'!G28</f>
        <v>0</v>
      </c>
      <c r="D28" s="45">
        <v>10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+'20'!G30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+'20'!G32</f>
        <v>0</v>
      </c>
      <c r="D32" s="45">
        <v>5</v>
      </c>
      <c r="E32" s="7">
        <f t="shared" si="0"/>
        <v>5</v>
      </c>
      <c r="F32" s="45">
        <v>0</v>
      </c>
      <c r="G32" s="7">
        <f t="shared" si="1"/>
        <v>5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+'20'!G33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+'20'!G34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+'20'!G36</f>
        <v>7</v>
      </c>
      <c r="D36" s="45">
        <v>10</v>
      </c>
      <c r="E36" s="7">
        <f t="shared" si="0"/>
        <v>17</v>
      </c>
      <c r="F36" s="45">
        <v>0</v>
      </c>
      <c r="G36" s="7">
        <f t="shared" si="1"/>
        <v>17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+'20'!G37</f>
        <v>0</v>
      </c>
      <c r="D37" s="45">
        <v>10</v>
      </c>
      <c r="E37" s="7">
        <f t="shared" si="0"/>
        <v>10</v>
      </c>
      <c r="F37" s="45">
        <v>0</v>
      </c>
      <c r="G37" s="7">
        <f t="shared" si="1"/>
        <v>10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+'20'!G38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+'20'!G39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2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+'20'!G41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+'20'!G42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+'20'!G43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+'20'!G45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+'20'!G46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+'20'!G47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+'20'!G48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+'20'!G54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+'20'!G56</f>
        <v>0</v>
      </c>
      <c r="D56" s="45">
        <v>3</v>
      </c>
      <c r="E56" s="7">
        <f t="shared" si="0"/>
        <v>3</v>
      </c>
      <c r="F56" s="45">
        <v>0</v>
      </c>
      <c r="G56" s="7">
        <f t="shared" si="1"/>
        <v>3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+'20'!G60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+'20'!G65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8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+'20'!G66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+'20'!G69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+'20'!G73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+'20'!G76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+'20'!G78</f>
        <v>4</v>
      </c>
      <c r="D78" s="45">
        <v>0</v>
      </c>
      <c r="E78" s="7">
        <f t="shared" si="0"/>
        <v>4</v>
      </c>
      <c r="F78" s="45">
        <v>0</v>
      </c>
      <c r="G78" s="7">
        <f t="shared" si="1"/>
        <v>4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+'20'!G80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+'20'!G81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+'20'!G84</f>
        <v>6</v>
      </c>
      <c r="D84" s="45">
        <v>10</v>
      </c>
      <c r="E84" s="7">
        <f t="shared" si="0"/>
        <v>16</v>
      </c>
      <c r="F84" s="45">
        <v>0</v>
      </c>
      <c r="G84" s="7">
        <f t="shared" si="1"/>
        <v>16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+'20'!G85</f>
        <v>3</v>
      </c>
      <c r="D85" s="45">
        <v>10</v>
      </c>
      <c r="E85" s="7">
        <f t="shared" si="0"/>
        <v>13</v>
      </c>
      <c r="F85" s="45">
        <v>0</v>
      </c>
      <c r="G85" s="7">
        <f t="shared" si="1"/>
        <v>13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+'20'!G86</f>
        <v>4</v>
      </c>
      <c r="D86" s="45">
        <v>10</v>
      </c>
      <c r="E86" s="7">
        <f t="shared" si="0"/>
        <v>14</v>
      </c>
      <c r="F86" s="45">
        <v>0</v>
      </c>
      <c r="G86" s="7">
        <f t="shared" si="1"/>
        <v>14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+'20'!G87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+'20'!G88</f>
        <v>0</v>
      </c>
      <c r="D88" s="45">
        <v>5</v>
      </c>
      <c r="E88" s="7">
        <f t="shared" si="0"/>
        <v>5</v>
      </c>
      <c r="F88" s="45">
        <v>0</v>
      </c>
      <c r="G88" s="7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+'20'!G89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+'20'!G100</f>
        <v>5</v>
      </c>
      <c r="D100" s="45">
        <v>0</v>
      </c>
      <c r="E100" s="7">
        <f t="shared" si="12"/>
        <v>5</v>
      </c>
      <c r="F100" s="45">
        <v>0</v>
      </c>
      <c r="G100" s="7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+'20'!G101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+'20'!G105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+'20'!G120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+'20'!G149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+'20'!G167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+'20'!G175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+'20'!G177</f>
        <v>1</v>
      </c>
      <c r="D177" s="45">
        <v>0</v>
      </c>
      <c r="E177" s="7">
        <f t="shared" si="16"/>
        <v>1</v>
      </c>
      <c r="F177" s="45">
        <v>0</v>
      </c>
      <c r="G177" s="7">
        <f t="shared" si="17"/>
        <v>0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+'20'!G178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+'20'!G192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+'20'!G193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+'20'!G194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+'20'!G197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+'20'!G198</f>
        <v>1</v>
      </c>
      <c r="D198" s="45">
        <v>0</v>
      </c>
      <c r="E198" s="7">
        <f t="shared" si="16"/>
        <v>1</v>
      </c>
      <c r="F198" s="45">
        <v>0</v>
      </c>
      <c r="G198" s="7">
        <f t="shared" si="17"/>
        <v>1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+'20'!G199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10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520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520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520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520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520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B3BD-1E4D-438B-B2CA-BBCFAAF65463}">
  <sheetPr>
    <tabColor theme="7" tint="0.79998168889431442"/>
  </sheetPr>
  <dimension ref="A1:Z290"/>
  <sheetViews>
    <sheetView zoomScale="90" zoomScaleNormal="90" workbookViewId="0">
      <pane ySplit="3" topLeftCell="A203" activePane="bottomLeft" state="frozen"/>
      <selection pane="bottomLeft" activeCell="K219" sqref="K219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12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+'21'!G4</f>
        <v>22</v>
      </c>
      <c r="D4" s="45">
        <v>0</v>
      </c>
      <c r="E4" s="7">
        <f t="shared" ref="E4:E93" si="0">C4+D4</f>
        <v>22</v>
      </c>
      <c r="F4" s="45">
        <v>0</v>
      </c>
      <c r="G4" s="93">
        <f t="shared" ref="G4:G93" si="1">E4-F4-H4</f>
        <v>18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5">
        <f>+'21'!G5</f>
        <v>21</v>
      </c>
      <c r="D5" s="45">
        <v>0</v>
      </c>
      <c r="E5" s="7">
        <f t="shared" si="0"/>
        <v>21</v>
      </c>
      <c r="F5" s="45">
        <v>0</v>
      </c>
      <c r="G5" s="93">
        <f t="shared" si="1"/>
        <v>20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+'21'!G22</f>
        <v>17</v>
      </c>
      <c r="D22" s="45">
        <v>0</v>
      </c>
      <c r="E22" s="7">
        <f t="shared" si="0"/>
        <v>17</v>
      </c>
      <c r="F22" s="45">
        <v>0</v>
      </c>
      <c r="G22" s="93">
        <f t="shared" si="1"/>
        <v>15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+'21'!G25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+'21'!G28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+'21'!G32</f>
        <v>5</v>
      </c>
      <c r="D32" s="45">
        <v>0</v>
      </c>
      <c r="E32" s="7">
        <f t="shared" si="0"/>
        <v>5</v>
      </c>
      <c r="F32" s="45">
        <v>0</v>
      </c>
      <c r="G32" s="7">
        <f t="shared" si="1"/>
        <v>5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+'21'!G36</f>
        <v>17</v>
      </c>
      <c r="D36" s="45">
        <v>0</v>
      </c>
      <c r="E36" s="7">
        <f t="shared" si="0"/>
        <v>17</v>
      </c>
      <c r="F36" s="45">
        <v>0</v>
      </c>
      <c r="G36" s="93">
        <f t="shared" si="1"/>
        <v>16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+'21'!G37</f>
        <v>10</v>
      </c>
      <c r="D37" s="45">
        <v>0</v>
      </c>
      <c r="E37" s="7">
        <f t="shared" si="0"/>
        <v>10</v>
      </c>
      <c r="F37" s="45">
        <v>0</v>
      </c>
      <c r="G37" s="93">
        <f t="shared" si="1"/>
        <v>5</v>
      </c>
      <c r="H37" s="51">
        <v>5</v>
      </c>
      <c r="I37" s="8">
        <v>50</v>
      </c>
      <c r="J37" s="9">
        <f t="shared" si="2"/>
        <v>250</v>
      </c>
      <c r="K37" s="10" t="s">
        <v>16</v>
      </c>
      <c r="L37" s="11">
        <v>0</v>
      </c>
      <c r="M37" s="12">
        <f t="shared" si="4"/>
        <v>250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+'21'!G38</f>
        <v>4</v>
      </c>
      <c r="D38" s="45">
        <v>0</v>
      </c>
      <c r="E38" s="7">
        <f t="shared" si="0"/>
        <v>4</v>
      </c>
      <c r="F38" s="45">
        <v>0</v>
      </c>
      <c r="G38" s="93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+'21'!G39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2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+'21'!G42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+'21'!G43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+'21'!G47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+'21'!G56</f>
        <v>3</v>
      </c>
      <c r="D56" s="45">
        <v>0</v>
      </c>
      <c r="E56" s="7">
        <f t="shared" si="0"/>
        <v>3</v>
      </c>
      <c r="F56" s="45">
        <v>0</v>
      </c>
      <c r="G56" s="7">
        <f t="shared" si="1"/>
        <v>3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+'21'!G65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+'21'!G69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+'21'!G78</f>
        <v>4</v>
      </c>
      <c r="D78" s="45">
        <v>0</v>
      </c>
      <c r="E78" s="7">
        <f t="shared" si="0"/>
        <v>4</v>
      </c>
      <c r="F78" s="45">
        <v>0</v>
      </c>
      <c r="G78" s="93">
        <f t="shared" si="1"/>
        <v>3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+'21'!G84</f>
        <v>16</v>
      </c>
      <c r="D84" s="45">
        <v>0</v>
      </c>
      <c r="E84" s="7">
        <f t="shared" si="0"/>
        <v>16</v>
      </c>
      <c r="F84" s="45">
        <v>0</v>
      </c>
      <c r="G84" s="93">
        <f t="shared" si="1"/>
        <v>16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+'21'!G85</f>
        <v>13</v>
      </c>
      <c r="D85" s="45">
        <v>0</v>
      </c>
      <c r="E85" s="7">
        <f t="shared" si="0"/>
        <v>13</v>
      </c>
      <c r="F85" s="45">
        <v>0</v>
      </c>
      <c r="G85" s="93">
        <f t="shared" si="1"/>
        <v>13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+'21'!G86</f>
        <v>14</v>
      </c>
      <c r="D86" s="45">
        <v>0</v>
      </c>
      <c r="E86" s="7">
        <f t="shared" si="0"/>
        <v>14</v>
      </c>
      <c r="F86" s="45">
        <v>0</v>
      </c>
      <c r="G86" s="93">
        <f t="shared" si="1"/>
        <v>14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+'21'!G87</f>
        <v>6</v>
      </c>
      <c r="D87" s="45">
        <v>0</v>
      </c>
      <c r="E87" s="7">
        <f t="shared" si="0"/>
        <v>6</v>
      </c>
      <c r="F87" s="45">
        <v>0</v>
      </c>
      <c r="G87" s="93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+'21'!G88</f>
        <v>5</v>
      </c>
      <c r="D88" s="45">
        <v>0</v>
      </c>
      <c r="E88" s="7">
        <f t="shared" si="0"/>
        <v>5</v>
      </c>
      <c r="F88" s="45">
        <v>0</v>
      </c>
      <c r="G88" s="93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+'21'!G100</f>
        <v>5</v>
      </c>
      <c r="D100" s="45">
        <v>0</v>
      </c>
      <c r="E100" s="7">
        <f t="shared" si="12"/>
        <v>5</v>
      </c>
      <c r="F100" s="45">
        <v>0</v>
      </c>
      <c r="G100" s="7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+'21'!G149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+'21'!G175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+'21'!G177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+'21'!G195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+'21'!G196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+'21'!G197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+'21'!G198</f>
        <v>1</v>
      </c>
      <c r="D198" s="45">
        <v>0</v>
      </c>
      <c r="E198" s="7">
        <f t="shared" si="16"/>
        <v>1</v>
      </c>
      <c r="F198" s="45">
        <v>0</v>
      </c>
      <c r="G198" s="7">
        <f t="shared" si="17"/>
        <v>1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+'21'!G199</f>
        <v>10</v>
      </c>
      <c r="D199" s="45">
        <v>0</v>
      </c>
      <c r="E199" s="7">
        <f t="shared" si="16"/>
        <v>10</v>
      </c>
      <c r="F199" s="45">
        <v>0</v>
      </c>
      <c r="G199" s="7">
        <f t="shared" si="17"/>
        <v>3</v>
      </c>
      <c r="H199" s="51">
        <v>7</v>
      </c>
      <c r="I199" s="8">
        <v>40</v>
      </c>
      <c r="J199" s="9">
        <f t="shared" si="18"/>
        <v>280</v>
      </c>
      <c r="K199" s="10" t="s">
        <v>247</v>
      </c>
      <c r="L199" s="11">
        <v>140</v>
      </c>
      <c r="M199" s="12">
        <f t="shared" si="19"/>
        <v>140</v>
      </c>
    </row>
    <row r="200" spans="1:26" ht="25.5" x14ac:dyDescent="0.55000000000000004">
      <c r="A200" s="5">
        <v>197</v>
      </c>
      <c r="B200" s="14"/>
      <c r="C200" s="7">
        <f>+'21'!G200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1180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50</v>
      </c>
      <c r="M208" s="2">
        <v>50</v>
      </c>
      <c r="N208" s="2">
        <v>50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140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890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890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1040</v>
      </c>
    </row>
    <row r="218" spans="1:13" x14ac:dyDescent="0.5">
      <c r="G218" s="2"/>
      <c r="I218" s="2"/>
      <c r="J218" s="2" t="s">
        <v>218</v>
      </c>
      <c r="K218" s="41">
        <f>SUM(K207:K208)</f>
        <v>150</v>
      </c>
    </row>
    <row r="219" spans="1:13" x14ac:dyDescent="0.5">
      <c r="G219" s="2"/>
      <c r="I219" s="2"/>
      <c r="J219" s="2" t="s">
        <v>219</v>
      </c>
      <c r="K219" s="41">
        <f>+K213</f>
        <v>890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3B5F-1CD2-4D88-9BE5-7A8322C76A48}">
  <sheetPr>
    <tabColor theme="7" tint="0.79998168889431442"/>
  </sheetPr>
  <dimension ref="A1:Z290"/>
  <sheetViews>
    <sheetView zoomScale="90" zoomScaleNormal="90" workbookViewId="0">
      <pane ySplit="3" topLeftCell="A194" activePane="bottomLeft" state="frozen"/>
      <selection pane="bottomLeft" activeCell="I197" sqref="I197:I199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25" style="2" customWidth="1"/>
    <col min="11" max="11" width="24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+'22'!G4</f>
        <v>18</v>
      </c>
      <c r="D4" s="45">
        <v>0</v>
      </c>
      <c r="E4" s="7">
        <f t="shared" ref="E4:E93" si="0">C4+D4</f>
        <v>18</v>
      </c>
      <c r="F4" s="45">
        <v>0</v>
      </c>
      <c r="G4" s="93">
        <f t="shared" ref="G4:G93" si="1">E4-F4-H4</f>
        <v>16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+'22'!G5</f>
        <v>20</v>
      </c>
      <c r="D5" s="45">
        <v>0</v>
      </c>
      <c r="E5" s="7">
        <f t="shared" si="0"/>
        <v>20</v>
      </c>
      <c r="F5" s="45">
        <v>0</v>
      </c>
      <c r="G5" s="7">
        <f t="shared" si="1"/>
        <v>17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+'22'!G15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+'22'!G17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+'22'!G22</f>
        <v>15</v>
      </c>
      <c r="D22" s="45">
        <v>0</v>
      </c>
      <c r="E22" s="7">
        <f t="shared" si="0"/>
        <v>15</v>
      </c>
      <c r="F22" s="45">
        <v>0</v>
      </c>
      <c r="G22" s="93">
        <f t="shared" si="1"/>
        <v>13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+'22'!G28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+'22'!G32</f>
        <v>5</v>
      </c>
      <c r="D32" s="45">
        <v>0</v>
      </c>
      <c r="E32" s="7">
        <f t="shared" si="0"/>
        <v>5</v>
      </c>
      <c r="F32" s="45">
        <v>0</v>
      </c>
      <c r="G32" s="7">
        <f t="shared" si="1"/>
        <v>2</v>
      </c>
      <c r="H32" s="51">
        <v>3</v>
      </c>
      <c r="I32" s="8">
        <v>130</v>
      </c>
      <c r="J32" s="9">
        <f t="shared" si="2"/>
        <v>390</v>
      </c>
      <c r="K32" s="10" t="s">
        <v>16</v>
      </c>
      <c r="L32" s="11">
        <v>0</v>
      </c>
      <c r="M32" s="12">
        <f t="shared" si="4"/>
        <v>390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+'22'!G36</f>
        <v>16</v>
      </c>
      <c r="D36" s="45">
        <v>0</v>
      </c>
      <c r="E36" s="7">
        <f t="shared" si="0"/>
        <v>16</v>
      </c>
      <c r="F36" s="45">
        <v>0</v>
      </c>
      <c r="G36" s="93">
        <f t="shared" si="1"/>
        <v>15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+'22'!G37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2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+'22'!G38</f>
        <v>4</v>
      </c>
      <c r="D38" s="45">
        <v>0</v>
      </c>
      <c r="E38" s="7">
        <f t="shared" si="0"/>
        <v>4</v>
      </c>
      <c r="F38" s="45">
        <v>0</v>
      </c>
      <c r="G38" s="93">
        <f t="shared" si="1"/>
        <v>1</v>
      </c>
      <c r="H38" s="51">
        <v>3</v>
      </c>
      <c r="I38" s="8">
        <v>50</v>
      </c>
      <c r="J38" s="9">
        <f t="shared" si="2"/>
        <v>150</v>
      </c>
      <c r="K38" s="10" t="s">
        <v>247</v>
      </c>
      <c r="L38" s="11">
        <v>75</v>
      </c>
      <c r="M38" s="12">
        <f t="shared" si="4"/>
        <v>75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+'22'!G39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0</v>
      </c>
      <c r="H39" s="51">
        <v>2</v>
      </c>
      <c r="I39" s="8">
        <v>50</v>
      </c>
      <c r="J39" s="9">
        <f t="shared" si="2"/>
        <v>100</v>
      </c>
      <c r="K39" s="10" t="s">
        <v>247</v>
      </c>
      <c r="L39" s="11">
        <v>50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2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+'22'!G42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+'22'!G43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+'22'!G47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+'22'!G65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2</v>
      </c>
      <c r="H65" s="51">
        <v>6</v>
      </c>
      <c r="I65" s="8">
        <v>50</v>
      </c>
      <c r="J65" s="9">
        <f t="shared" si="2"/>
        <v>300</v>
      </c>
      <c r="K65" s="10" t="s">
        <v>16</v>
      </c>
      <c r="L65" s="11">
        <v>0</v>
      </c>
      <c r="M65" s="12">
        <f t="shared" si="4"/>
        <v>300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+'22'!G69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+'22'!G78</f>
        <v>3</v>
      </c>
      <c r="D78" s="45">
        <v>0</v>
      </c>
      <c r="E78" s="7">
        <f t="shared" si="0"/>
        <v>3</v>
      </c>
      <c r="F78" s="45">
        <v>0</v>
      </c>
      <c r="G78" s="93">
        <f t="shared" si="1"/>
        <v>1</v>
      </c>
      <c r="H78" s="51">
        <v>2</v>
      </c>
      <c r="I78" s="8">
        <v>50</v>
      </c>
      <c r="J78" s="9">
        <f t="shared" si="8"/>
        <v>100</v>
      </c>
      <c r="K78" s="10" t="s">
        <v>247</v>
      </c>
      <c r="L78" s="11">
        <v>50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+'22'!G84</f>
        <v>16</v>
      </c>
      <c r="D84" s="45">
        <v>0</v>
      </c>
      <c r="E84" s="7">
        <f t="shared" si="0"/>
        <v>16</v>
      </c>
      <c r="F84" s="45">
        <v>0</v>
      </c>
      <c r="G84" s="7">
        <f t="shared" si="1"/>
        <v>16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+'22'!G85</f>
        <v>13</v>
      </c>
      <c r="D85" s="45">
        <v>0</v>
      </c>
      <c r="E85" s="7">
        <f t="shared" si="0"/>
        <v>13</v>
      </c>
      <c r="F85" s="45">
        <v>0</v>
      </c>
      <c r="G85" s="7">
        <f t="shared" si="1"/>
        <v>13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+'22'!G86</f>
        <v>14</v>
      </c>
      <c r="D86" s="45">
        <v>0</v>
      </c>
      <c r="E86" s="7">
        <f t="shared" si="0"/>
        <v>14</v>
      </c>
      <c r="F86" s="45">
        <v>0</v>
      </c>
      <c r="G86" s="7">
        <f t="shared" si="1"/>
        <v>12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00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+'22'!G87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+'22'!G88</f>
        <v>5</v>
      </c>
      <c r="D88" s="45">
        <v>0</v>
      </c>
      <c r="E88" s="7">
        <f t="shared" si="0"/>
        <v>5</v>
      </c>
      <c r="F88" s="45">
        <v>0</v>
      </c>
      <c r="G88" s="93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+'22'!G100</f>
        <v>5</v>
      </c>
      <c r="D100" s="45">
        <v>0</v>
      </c>
      <c r="E100" s="7">
        <f t="shared" si="12"/>
        <v>5</v>
      </c>
      <c r="F100" s="45">
        <v>0</v>
      </c>
      <c r="G100" s="7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+'22'!G149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+'22'!G175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+'22'!G177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+'22'!G197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+'22'!G198</f>
        <v>1</v>
      </c>
      <c r="D198" s="45">
        <v>0</v>
      </c>
      <c r="E198" s="7">
        <f t="shared" si="16"/>
        <v>1</v>
      </c>
      <c r="F198" s="45">
        <v>0</v>
      </c>
      <c r="G198" s="7">
        <f t="shared" si="17"/>
        <v>1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+'22'!G199</f>
        <v>3</v>
      </c>
      <c r="D199" s="45">
        <v>0</v>
      </c>
      <c r="E199" s="7">
        <f t="shared" si="16"/>
        <v>3</v>
      </c>
      <c r="F199" s="45">
        <v>0</v>
      </c>
      <c r="G199" s="7">
        <f t="shared" si="17"/>
        <v>0</v>
      </c>
      <c r="H199" s="51">
        <v>3</v>
      </c>
      <c r="I199" s="8">
        <v>40</v>
      </c>
      <c r="J199" s="9">
        <f t="shared" si="18"/>
        <v>120</v>
      </c>
      <c r="K199" s="10" t="s">
        <v>247</v>
      </c>
      <c r="L199" s="11">
        <v>60</v>
      </c>
      <c r="M199" s="12">
        <f t="shared" si="19"/>
        <v>60</v>
      </c>
    </row>
    <row r="200" spans="1:26" ht="25.5" x14ac:dyDescent="0.55000000000000004">
      <c r="A200" s="5">
        <v>197</v>
      </c>
      <c r="B200" s="14"/>
      <c r="C200" s="7">
        <f>+'22'!G200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2180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65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235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1880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1880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1945</v>
      </c>
    </row>
    <row r="218" spans="1:13" x14ac:dyDescent="0.5">
      <c r="G218" s="2"/>
      <c r="I218" s="2"/>
      <c r="J218" s="2" t="s">
        <v>218</v>
      </c>
      <c r="K218" s="41">
        <f>SUM(K207:K210)</f>
        <v>65</v>
      </c>
    </row>
    <row r="219" spans="1:13" x14ac:dyDescent="0.5">
      <c r="G219" s="2"/>
      <c r="I219" s="2"/>
      <c r="J219" s="2" t="s">
        <v>219</v>
      </c>
      <c r="K219" s="41">
        <f>+K213</f>
        <v>1880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542A-A373-4486-9F7D-DFA4301AB37E}">
  <sheetPr>
    <tabColor theme="7" tint="0.79998168889431442"/>
  </sheetPr>
  <dimension ref="A1:Z290"/>
  <sheetViews>
    <sheetView zoomScale="90" zoomScaleNormal="90" workbookViewId="0">
      <pane ySplit="3" topLeftCell="A192" activePane="bottomLeft" state="frozen"/>
      <selection pane="bottomLeft" activeCell="H198" sqref="H198"/>
    </sheetView>
  </sheetViews>
  <sheetFormatPr defaultColWidth="9" defaultRowHeight="24.75" x14ac:dyDescent="0.5"/>
  <cols>
    <col min="1" max="1" width="6.625" style="2" customWidth="1"/>
    <col min="2" max="2" width="33.8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+'23'!G4</f>
        <v>16</v>
      </c>
      <c r="D4" s="45">
        <v>20</v>
      </c>
      <c r="E4" s="7">
        <f t="shared" ref="E4:E93" si="0">C4+D4</f>
        <v>36</v>
      </c>
      <c r="F4" s="45">
        <v>0</v>
      </c>
      <c r="G4" s="93">
        <f t="shared" ref="G4:G93" si="1">E4-F4-H4</f>
        <v>34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+'23'!G5</f>
        <v>17</v>
      </c>
      <c r="D5" s="45">
        <v>20</v>
      </c>
      <c r="E5" s="7">
        <f t="shared" si="0"/>
        <v>37</v>
      </c>
      <c r="F5" s="45">
        <v>0</v>
      </c>
      <c r="G5" s="7">
        <f t="shared" si="1"/>
        <v>35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+'23'!G15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+'23'!G17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+'23'!G22</f>
        <v>13</v>
      </c>
      <c r="D22" s="45">
        <v>0</v>
      </c>
      <c r="E22" s="7">
        <f t="shared" si="0"/>
        <v>13</v>
      </c>
      <c r="F22" s="45">
        <v>0</v>
      </c>
      <c r="G22" s="93">
        <f t="shared" si="1"/>
        <v>12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+'23'!G25</f>
        <v>0</v>
      </c>
      <c r="D25" s="45">
        <v>3</v>
      </c>
      <c r="E25" s="7">
        <f t="shared" si="0"/>
        <v>3</v>
      </c>
      <c r="F25" s="45">
        <v>0</v>
      </c>
      <c r="G25" s="7">
        <f t="shared" si="1"/>
        <v>3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+'23'!G28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9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+'23'!G32</f>
        <v>2</v>
      </c>
      <c r="D32" s="45">
        <v>0</v>
      </c>
      <c r="E32" s="7">
        <f t="shared" si="0"/>
        <v>2</v>
      </c>
      <c r="F32" s="45">
        <v>0</v>
      </c>
      <c r="G32" s="7">
        <f t="shared" si="1"/>
        <v>2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+'23'!G34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+'23'!G36</f>
        <v>15</v>
      </c>
      <c r="D36" s="45">
        <v>0</v>
      </c>
      <c r="E36" s="7">
        <f t="shared" si="0"/>
        <v>15</v>
      </c>
      <c r="F36" s="45">
        <v>0</v>
      </c>
      <c r="G36" s="93">
        <f t="shared" si="1"/>
        <v>12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+'23'!G37</f>
        <v>2</v>
      </c>
      <c r="D37" s="45">
        <v>10</v>
      </c>
      <c r="E37" s="7">
        <f t="shared" si="0"/>
        <v>12</v>
      </c>
      <c r="F37" s="45">
        <v>0</v>
      </c>
      <c r="G37" s="93">
        <f t="shared" si="1"/>
        <v>12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+'23'!G38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0</v>
      </c>
      <c r="H38" s="51">
        <v>1</v>
      </c>
      <c r="I38" s="8">
        <v>50</v>
      </c>
      <c r="J38" s="9">
        <f t="shared" si="2"/>
        <v>50</v>
      </c>
      <c r="K38" s="10" t="s">
        <v>247</v>
      </c>
      <c r="L38" s="11">
        <v>25</v>
      </c>
      <c r="M38" s="12">
        <f t="shared" si="4"/>
        <v>25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+'23'!G39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+'23'!G41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+'23'!G42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+'23'!G43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+'23'!G47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+'23'!G65</f>
        <v>2</v>
      </c>
      <c r="D65" s="45">
        <v>0</v>
      </c>
      <c r="E65" s="7">
        <f t="shared" si="0"/>
        <v>2</v>
      </c>
      <c r="F65" s="45">
        <v>0</v>
      </c>
      <c r="G65" s="7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+'23'!G69</f>
        <v>0</v>
      </c>
      <c r="D69" s="45">
        <v>5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+'23'!G78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0</v>
      </c>
      <c r="H78" s="51">
        <v>1</v>
      </c>
      <c r="I78" s="8">
        <v>50</v>
      </c>
      <c r="J78" s="9">
        <f t="shared" si="8"/>
        <v>50</v>
      </c>
      <c r="K78" s="10" t="s">
        <v>247</v>
      </c>
      <c r="L78" s="11">
        <v>25</v>
      </c>
      <c r="M78" s="12">
        <f t="shared" si="9"/>
        <v>25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+'23'!G84</f>
        <v>16</v>
      </c>
      <c r="D84" s="45">
        <v>0</v>
      </c>
      <c r="E84" s="7">
        <f t="shared" si="0"/>
        <v>16</v>
      </c>
      <c r="F84" s="45">
        <v>0</v>
      </c>
      <c r="G84" s="7">
        <f t="shared" si="1"/>
        <v>15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+'23'!G85</f>
        <v>13</v>
      </c>
      <c r="D85" s="45">
        <v>0</v>
      </c>
      <c r="E85" s="7">
        <f t="shared" si="0"/>
        <v>13</v>
      </c>
      <c r="F85" s="45">
        <v>0</v>
      </c>
      <c r="G85" s="7">
        <f t="shared" si="1"/>
        <v>13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+'23'!G86</f>
        <v>12</v>
      </c>
      <c r="D86" s="45">
        <v>0</v>
      </c>
      <c r="E86" s="7">
        <f t="shared" si="0"/>
        <v>12</v>
      </c>
      <c r="F86" s="45">
        <v>0</v>
      </c>
      <c r="G86" s="7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+'23'!G87</f>
        <v>6</v>
      </c>
      <c r="D87" s="45">
        <v>0</v>
      </c>
      <c r="E87" s="7">
        <f t="shared" si="0"/>
        <v>6</v>
      </c>
      <c r="F87" s="45">
        <v>0</v>
      </c>
      <c r="G87" s="7">
        <f t="shared" si="1"/>
        <v>5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+'23'!G88</f>
        <v>5</v>
      </c>
      <c r="D88" s="45">
        <v>0</v>
      </c>
      <c r="E88" s="7">
        <f t="shared" si="0"/>
        <v>5</v>
      </c>
      <c r="F88" s="45">
        <v>0</v>
      </c>
      <c r="G88" s="93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+'23'!G100</f>
        <v>5</v>
      </c>
      <c r="D100" s="45">
        <v>0</v>
      </c>
      <c r="E100" s="7">
        <f t="shared" si="12"/>
        <v>5</v>
      </c>
      <c r="F100" s="45">
        <v>0</v>
      </c>
      <c r="G100" s="7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+'23'!G149</f>
        <v>0</v>
      </c>
      <c r="D149" s="45">
        <v>12</v>
      </c>
      <c r="E149" s="7">
        <f t="shared" si="12"/>
        <v>12</v>
      </c>
      <c r="F149" s="45">
        <v>0</v>
      </c>
      <c r="G149" s="7">
        <f t="shared" si="13"/>
        <v>12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+'23'!G175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+'23'!G177</f>
        <v>0</v>
      </c>
      <c r="D177" s="45">
        <v>5</v>
      </c>
      <c r="E177" s="7">
        <f t="shared" si="16"/>
        <v>5</v>
      </c>
      <c r="F177" s="45">
        <v>0</v>
      </c>
      <c r="G177" s="7">
        <f t="shared" si="17"/>
        <v>3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 x14ac:dyDescent="0.55000000000000004">
      <c r="A178" s="5">
        <v>175</v>
      </c>
      <c r="B178" s="14" t="s">
        <v>191</v>
      </c>
      <c r="C178" s="7">
        <f>+'23'!G178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+'23'!G196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+'23'!G197</f>
        <v>1</v>
      </c>
      <c r="D197" s="45">
        <v>30</v>
      </c>
      <c r="E197" s="7">
        <f t="shared" si="16"/>
        <v>31</v>
      </c>
      <c r="F197" s="45">
        <v>0</v>
      </c>
      <c r="G197" s="7">
        <f t="shared" si="17"/>
        <v>29</v>
      </c>
      <c r="H197" s="51">
        <v>2</v>
      </c>
      <c r="I197" s="8">
        <v>40</v>
      </c>
      <c r="J197" s="9">
        <f t="shared" ref="J197:J203" si="18">+I197*H197</f>
        <v>80</v>
      </c>
      <c r="K197" s="10" t="s">
        <v>16</v>
      </c>
      <c r="L197" s="11">
        <v>0</v>
      </c>
      <c r="M197" s="12">
        <f t="shared" ref="M197:M203" si="19">+J197-L197</f>
        <v>80</v>
      </c>
    </row>
    <row r="198" spans="1:26" ht="25.5" x14ac:dyDescent="0.55000000000000004">
      <c r="A198" s="5">
        <v>195</v>
      </c>
      <c r="B198" s="14" t="s">
        <v>262</v>
      </c>
      <c r="C198" s="95">
        <f>+'23'!G198</f>
        <v>1</v>
      </c>
      <c r="D198" s="45">
        <v>0</v>
      </c>
      <c r="E198" s="7">
        <f t="shared" si="16"/>
        <v>1</v>
      </c>
      <c r="F198" s="45">
        <v>0</v>
      </c>
      <c r="G198" s="7">
        <f t="shared" si="17"/>
        <v>1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1420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600</v>
      </c>
      <c r="L208" s="2">
        <v>200</v>
      </c>
      <c r="M208" s="2">
        <v>100</v>
      </c>
      <c r="N208" s="2">
        <v>300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770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770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1370</v>
      </c>
    </row>
    <row r="218" spans="1:13" x14ac:dyDescent="0.5">
      <c r="G218" s="2"/>
      <c r="I218" s="2"/>
      <c r="J218" s="2" t="s">
        <v>218</v>
      </c>
      <c r="K218" s="41">
        <f>SUM(K207:K208)</f>
        <v>600</v>
      </c>
    </row>
    <row r="219" spans="1:13" x14ac:dyDescent="0.5">
      <c r="G219" s="2"/>
      <c r="I219" s="2"/>
      <c r="J219" s="2" t="s">
        <v>219</v>
      </c>
      <c r="K219" s="41">
        <f>+K213</f>
        <v>770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142D-2FD4-4888-95FE-67BFE5EF76D3}">
  <sheetPr>
    <tabColor theme="7" tint="0.79998168889431442"/>
  </sheetPr>
  <dimension ref="A1:Z290"/>
  <sheetViews>
    <sheetView zoomScale="90" zoomScaleNormal="90" workbookViewId="0">
      <pane ySplit="3" topLeftCell="A184" activePane="bottomLeft" state="frozen"/>
      <selection pane="bottomLeft" activeCell="C197" sqref="C197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+'24'!G4</f>
        <v>34</v>
      </c>
      <c r="D4" s="45">
        <v>0</v>
      </c>
      <c r="E4" s="7">
        <f t="shared" ref="E4:E93" si="0">C4+D4</f>
        <v>34</v>
      </c>
      <c r="F4" s="45">
        <v>0</v>
      </c>
      <c r="G4" s="93">
        <f t="shared" ref="G4:G93" si="1">E4-F4-H4</f>
        <v>29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+'24'!G5</f>
        <v>35</v>
      </c>
      <c r="D5" s="45">
        <v>0</v>
      </c>
      <c r="E5" s="7">
        <f t="shared" si="0"/>
        <v>35</v>
      </c>
      <c r="F5" s="45">
        <v>0</v>
      </c>
      <c r="G5" s="93">
        <f t="shared" si="1"/>
        <v>34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+'24'!G15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+'24'!G17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+'24'!G22</f>
        <v>12</v>
      </c>
      <c r="D22" s="45">
        <v>0</v>
      </c>
      <c r="E22" s="7">
        <f t="shared" si="0"/>
        <v>12</v>
      </c>
      <c r="F22" s="45">
        <v>0</v>
      </c>
      <c r="G22" s="93">
        <f t="shared" si="1"/>
        <v>11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+'24'!G25</f>
        <v>3</v>
      </c>
      <c r="D25" s="45">
        <v>0</v>
      </c>
      <c r="E25" s="7">
        <f t="shared" si="0"/>
        <v>3</v>
      </c>
      <c r="F25" s="45">
        <v>0</v>
      </c>
      <c r="G25" s="93">
        <f t="shared" si="1"/>
        <v>3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+'24'!G28</f>
        <v>9</v>
      </c>
      <c r="D28" s="45">
        <v>0</v>
      </c>
      <c r="E28" s="7">
        <f t="shared" si="0"/>
        <v>9</v>
      </c>
      <c r="F28" s="45">
        <v>0</v>
      </c>
      <c r="G28" s="93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+'24'!G32</f>
        <v>2</v>
      </c>
      <c r="D32" s="45">
        <v>0</v>
      </c>
      <c r="E32" s="7">
        <f t="shared" si="0"/>
        <v>2</v>
      </c>
      <c r="F32" s="45">
        <v>0</v>
      </c>
      <c r="G32" s="93">
        <f t="shared" si="1"/>
        <v>2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+'24'!G34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+'24'!G36</f>
        <v>12</v>
      </c>
      <c r="D36" s="45">
        <v>0</v>
      </c>
      <c r="E36" s="7">
        <f t="shared" si="0"/>
        <v>12</v>
      </c>
      <c r="F36" s="45">
        <v>0</v>
      </c>
      <c r="G36" s="93">
        <f t="shared" si="1"/>
        <v>9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+'24'!G37</f>
        <v>12</v>
      </c>
      <c r="D37" s="45">
        <v>0</v>
      </c>
      <c r="E37" s="7">
        <f t="shared" si="0"/>
        <v>12</v>
      </c>
      <c r="F37" s="45">
        <v>0</v>
      </c>
      <c r="G37" s="93">
        <f t="shared" si="1"/>
        <v>12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+'24'!G38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+'24'!G39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+'24'!G41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1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+'24'!G42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+'24'!G43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+'24'!G45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+'24'!G48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+'24'!G65</f>
        <v>2</v>
      </c>
      <c r="D65" s="45">
        <v>0</v>
      </c>
      <c r="E65" s="7">
        <f t="shared" si="0"/>
        <v>2</v>
      </c>
      <c r="F65" s="45">
        <v>0</v>
      </c>
      <c r="G65" s="93">
        <f t="shared" si="1"/>
        <v>0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+'24'!G69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+'24'!G78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+'24'!G84</f>
        <v>15</v>
      </c>
      <c r="D84" s="45">
        <v>0</v>
      </c>
      <c r="E84" s="7">
        <f t="shared" si="0"/>
        <v>15</v>
      </c>
      <c r="F84" s="45">
        <v>0</v>
      </c>
      <c r="G84" s="93">
        <f t="shared" si="1"/>
        <v>14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+'24'!G85</f>
        <v>13</v>
      </c>
      <c r="D85" s="45">
        <v>0</v>
      </c>
      <c r="E85" s="7">
        <f t="shared" si="0"/>
        <v>13</v>
      </c>
      <c r="F85" s="45">
        <v>0</v>
      </c>
      <c r="G85" s="93">
        <f t="shared" si="1"/>
        <v>13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v>11</v>
      </c>
      <c r="D86" s="45">
        <v>0</v>
      </c>
      <c r="E86" s="7">
        <f t="shared" si="0"/>
        <v>11</v>
      </c>
      <c r="F86" s="45">
        <v>0</v>
      </c>
      <c r="G86" s="93">
        <f t="shared" si="1"/>
        <v>10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+'24'!G87</f>
        <v>5</v>
      </c>
      <c r="D87" s="45">
        <v>0</v>
      </c>
      <c r="E87" s="7">
        <f t="shared" si="0"/>
        <v>5</v>
      </c>
      <c r="F87" s="45">
        <v>0</v>
      </c>
      <c r="G87" s="93">
        <f t="shared" si="1"/>
        <v>4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+'24'!G88</f>
        <v>5</v>
      </c>
      <c r="D88" s="45">
        <v>0</v>
      </c>
      <c r="E88" s="7">
        <f t="shared" si="0"/>
        <v>5</v>
      </c>
      <c r="F88" s="45">
        <v>0</v>
      </c>
      <c r="G88" s="93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5">
        <v>1</v>
      </c>
      <c r="D94" s="45">
        <v>0</v>
      </c>
      <c r="E94" s="7">
        <f t="shared" ref="E94:E157" si="12">C94+D94</f>
        <v>1</v>
      </c>
      <c r="F94" s="45">
        <v>0</v>
      </c>
      <c r="G94" s="93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+'24'!G100</f>
        <v>5</v>
      </c>
      <c r="D100" s="45">
        <v>0</v>
      </c>
      <c r="E100" s="7">
        <f t="shared" si="12"/>
        <v>5</v>
      </c>
      <c r="F100" s="45">
        <v>0</v>
      </c>
      <c r="G100" s="93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+'24'!G105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+'24'!G149</f>
        <v>12</v>
      </c>
      <c r="D149" s="45">
        <v>0</v>
      </c>
      <c r="E149" s="7">
        <f t="shared" si="12"/>
        <v>12</v>
      </c>
      <c r="F149" s="45">
        <v>0</v>
      </c>
      <c r="G149" s="93">
        <f t="shared" si="13"/>
        <v>12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+'24'!G167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+'24'!G175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+'24'!G177</f>
        <v>3</v>
      </c>
      <c r="D177" s="45">
        <v>0</v>
      </c>
      <c r="E177" s="7">
        <f t="shared" si="16"/>
        <v>3</v>
      </c>
      <c r="F177" s="45">
        <v>0</v>
      </c>
      <c r="G177" s="93">
        <f t="shared" si="17"/>
        <v>3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+'24'!G196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v>28</v>
      </c>
      <c r="D197" s="45">
        <v>0</v>
      </c>
      <c r="E197" s="7">
        <f t="shared" si="16"/>
        <v>28</v>
      </c>
      <c r="F197" s="45">
        <v>0</v>
      </c>
      <c r="G197" s="93">
        <f t="shared" si="17"/>
        <v>24</v>
      </c>
      <c r="H197" s="51">
        <v>4</v>
      </c>
      <c r="I197" s="8">
        <v>40</v>
      </c>
      <c r="J197" s="9">
        <f t="shared" ref="J197:J203" si="18">+I197*H197</f>
        <v>160</v>
      </c>
      <c r="K197" s="10" t="s">
        <v>16</v>
      </c>
      <c r="L197" s="11">
        <v>0</v>
      </c>
      <c r="M197" s="12">
        <f t="shared" ref="M197:M203" si="19">+J197-L197</f>
        <v>160</v>
      </c>
    </row>
    <row r="198" spans="1:26" ht="25.5" x14ac:dyDescent="0.55000000000000004">
      <c r="A198" s="5">
        <v>195</v>
      </c>
      <c r="B198" s="14" t="s">
        <v>262</v>
      </c>
      <c r="C198" s="95">
        <v>15</v>
      </c>
      <c r="D198" s="45">
        <v>0</v>
      </c>
      <c r="E198" s="7">
        <f t="shared" si="16"/>
        <v>15</v>
      </c>
      <c r="F198" s="45">
        <v>0</v>
      </c>
      <c r="G198" s="93">
        <f t="shared" si="17"/>
        <v>15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1320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890</v>
      </c>
      <c r="L208" s="2">
        <v>110</v>
      </c>
      <c r="M208" s="2">
        <v>280</v>
      </c>
      <c r="N208" s="2">
        <v>500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430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430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1320</v>
      </c>
    </row>
    <row r="218" spans="1:13" x14ac:dyDescent="0.5">
      <c r="G218" s="2"/>
      <c r="I218" s="2"/>
      <c r="J218" s="2" t="s">
        <v>218</v>
      </c>
      <c r="K218" s="41">
        <f>SUM(K207:K208)</f>
        <v>890</v>
      </c>
    </row>
    <row r="219" spans="1:13" x14ac:dyDescent="0.5">
      <c r="G219" s="2"/>
      <c r="I219" s="2"/>
      <c r="J219" s="2" t="s">
        <v>219</v>
      </c>
      <c r="K219" s="41">
        <f>+K213</f>
        <v>430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9C4F-6182-4764-A8EE-6858F303A9D5}">
  <sheetPr>
    <tabColor theme="7" tint="0.79998168889431442"/>
  </sheetPr>
  <dimension ref="A1:Z290"/>
  <sheetViews>
    <sheetView zoomScale="90" zoomScaleNormal="90" workbookViewId="0">
      <pane ySplit="3" topLeftCell="A197" activePane="bottomLeft" state="frozen"/>
      <selection pane="bottomLeft" activeCell="L38" sqref="L38"/>
    </sheetView>
  </sheetViews>
  <sheetFormatPr defaultColWidth="9" defaultRowHeight="24.75" x14ac:dyDescent="0.5"/>
  <cols>
    <col min="1" max="1" width="6.625" style="2" customWidth="1"/>
    <col min="2" max="2" width="34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+'25'!G4</f>
        <v>29</v>
      </c>
      <c r="D4" s="45">
        <v>0</v>
      </c>
      <c r="E4" s="7">
        <f t="shared" ref="E4:E93" si="0">C4+D4</f>
        <v>29</v>
      </c>
      <c r="F4" s="45">
        <v>0</v>
      </c>
      <c r="G4" s="93">
        <f t="shared" ref="G4:G93" si="1">E4-F4-H4</f>
        <v>17</v>
      </c>
      <c r="H4" s="51">
        <v>12</v>
      </c>
      <c r="I4" s="8">
        <v>50</v>
      </c>
      <c r="J4" s="9">
        <f t="shared" ref="J4:J68" si="2">+I4*H4</f>
        <v>600</v>
      </c>
      <c r="K4" s="10" t="s">
        <v>16</v>
      </c>
      <c r="L4" s="11">
        <v>0</v>
      </c>
      <c r="M4" s="12">
        <f>+J4-L4</f>
        <v>600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+'25'!G5</f>
        <v>34</v>
      </c>
      <c r="D5" s="45">
        <v>0</v>
      </c>
      <c r="E5" s="7">
        <f t="shared" si="0"/>
        <v>34</v>
      </c>
      <c r="F5" s="45">
        <v>0</v>
      </c>
      <c r="G5" s="93">
        <f t="shared" si="1"/>
        <v>30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+'25'!G22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5</v>
      </c>
      <c r="H22" s="51">
        <v>6</v>
      </c>
      <c r="I22" s="8">
        <v>100</v>
      </c>
      <c r="J22" s="9">
        <f t="shared" si="2"/>
        <v>600</v>
      </c>
      <c r="K22" s="10" t="s">
        <v>16</v>
      </c>
      <c r="L22" s="11">
        <v>0</v>
      </c>
      <c r="M22" s="12">
        <f t="shared" si="4"/>
        <v>600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+'25'!G25</f>
        <v>3</v>
      </c>
      <c r="D25" s="45">
        <v>0</v>
      </c>
      <c r="E25" s="7">
        <f t="shared" si="0"/>
        <v>3</v>
      </c>
      <c r="F25" s="45">
        <v>0</v>
      </c>
      <c r="G25" s="7">
        <f t="shared" si="1"/>
        <v>1</v>
      </c>
      <c r="H25" s="51">
        <v>2</v>
      </c>
      <c r="I25" s="8">
        <v>100</v>
      </c>
      <c r="J25" s="9">
        <f t="shared" si="2"/>
        <v>200</v>
      </c>
      <c r="K25" s="10" t="s">
        <v>16</v>
      </c>
      <c r="L25" s="11">
        <v>0</v>
      </c>
      <c r="M25" s="12">
        <f t="shared" si="4"/>
        <v>200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+'25'!G28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6</v>
      </c>
      <c r="H28" s="51">
        <v>3</v>
      </c>
      <c r="I28" s="8">
        <v>100</v>
      </c>
      <c r="J28" s="9">
        <f t="shared" si="2"/>
        <v>300</v>
      </c>
      <c r="K28" s="10" t="s">
        <v>16</v>
      </c>
      <c r="L28" s="11">
        <v>0</v>
      </c>
      <c r="M28" s="12">
        <f t="shared" si="4"/>
        <v>300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+'25'!G32</f>
        <v>2</v>
      </c>
      <c r="D32" s="45">
        <v>0</v>
      </c>
      <c r="E32" s="7">
        <f t="shared" si="0"/>
        <v>2</v>
      </c>
      <c r="F32" s="45">
        <v>0</v>
      </c>
      <c r="G32" s="7">
        <f t="shared" si="1"/>
        <v>1</v>
      </c>
      <c r="H32" s="51">
        <v>1</v>
      </c>
      <c r="I32" s="8">
        <v>130</v>
      </c>
      <c r="J32" s="9">
        <f t="shared" si="2"/>
        <v>130</v>
      </c>
      <c r="K32" s="10" t="s">
        <v>16</v>
      </c>
      <c r="L32" s="11">
        <v>0</v>
      </c>
      <c r="M32" s="12">
        <f t="shared" si="4"/>
        <v>130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+'25'!G34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+'25'!G36</f>
        <v>9</v>
      </c>
      <c r="D36" s="45">
        <v>0</v>
      </c>
      <c r="E36" s="7">
        <f t="shared" si="0"/>
        <v>9</v>
      </c>
      <c r="F36" s="45">
        <v>0</v>
      </c>
      <c r="G36" s="93">
        <f t="shared" si="1"/>
        <v>4</v>
      </c>
      <c r="H36" s="51">
        <v>5</v>
      </c>
      <c r="I36" s="8">
        <v>100</v>
      </c>
      <c r="J36" s="9">
        <f t="shared" si="2"/>
        <v>500</v>
      </c>
      <c r="K36" s="10" t="s">
        <v>261</v>
      </c>
      <c r="L36" s="11">
        <v>100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+'25'!G37</f>
        <v>12</v>
      </c>
      <c r="D37" s="45">
        <v>0</v>
      </c>
      <c r="E37" s="7">
        <f t="shared" si="0"/>
        <v>12</v>
      </c>
      <c r="F37" s="45">
        <v>0</v>
      </c>
      <c r="G37" s="93">
        <f t="shared" si="1"/>
        <v>6</v>
      </c>
      <c r="H37" s="51">
        <v>6</v>
      </c>
      <c r="I37" s="8">
        <v>50</v>
      </c>
      <c r="J37" s="9">
        <f t="shared" si="2"/>
        <v>300</v>
      </c>
      <c r="K37" s="10" t="s">
        <v>265</v>
      </c>
      <c r="L37" s="11">
        <v>140</v>
      </c>
      <c r="M37" s="12">
        <f t="shared" si="4"/>
        <v>160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+'25'!G38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+'25'!G39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+'25'!G41</f>
        <v>1</v>
      </c>
      <c r="D41" s="45">
        <v>0</v>
      </c>
      <c r="E41" s="7">
        <f t="shared" si="0"/>
        <v>1</v>
      </c>
      <c r="F41" s="45">
        <v>0</v>
      </c>
      <c r="G41" s="93">
        <f t="shared" si="1"/>
        <v>0</v>
      </c>
      <c r="H41" s="51">
        <v>1</v>
      </c>
      <c r="I41" s="8">
        <v>50</v>
      </c>
      <c r="J41" s="9">
        <f t="shared" si="2"/>
        <v>50</v>
      </c>
      <c r="K41" s="10" t="s">
        <v>258</v>
      </c>
      <c r="L41" s="11">
        <v>50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+'25'!G42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+'25'!G43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+'25'!G45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+'25'!G46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+'25'!G47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+'25'!G54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+'25'!G56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+'25'!G65</f>
        <v>0</v>
      </c>
      <c r="D65" s="45">
        <v>0</v>
      </c>
      <c r="E65" s="7">
        <f t="shared" si="0"/>
        <v>0</v>
      </c>
      <c r="F65" s="45">
        <v>0</v>
      </c>
      <c r="G65" s="7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+'25'!G69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2</v>
      </c>
      <c r="H69" s="51">
        <v>3</v>
      </c>
      <c r="I69" s="8">
        <v>50</v>
      </c>
      <c r="J69" s="9">
        <f t="shared" ref="J69:J132" si="8">+I69*H69</f>
        <v>150</v>
      </c>
      <c r="K69" s="10" t="s">
        <v>266</v>
      </c>
      <c r="L69" s="11">
        <v>100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+'25'!G78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+'25'!G84</f>
        <v>14</v>
      </c>
      <c r="D84" s="45">
        <v>0</v>
      </c>
      <c r="E84" s="7">
        <f t="shared" si="0"/>
        <v>14</v>
      </c>
      <c r="F84" s="45">
        <v>0</v>
      </c>
      <c r="G84" s="7">
        <f t="shared" si="1"/>
        <v>11</v>
      </c>
      <c r="H84" s="51">
        <v>3</v>
      </c>
      <c r="I84" s="8">
        <v>100</v>
      </c>
      <c r="J84" s="9">
        <f t="shared" si="8"/>
        <v>300</v>
      </c>
      <c r="K84" s="10" t="s">
        <v>16</v>
      </c>
      <c r="L84" s="11">
        <v>0</v>
      </c>
      <c r="M84" s="12">
        <f t="shared" si="9"/>
        <v>300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+'25'!G85</f>
        <v>13</v>
      </c>
      <c r="D85" s="45">
        <v>0</v>
      </c>
      <c r="E85" s="7">
        <f t="shared" si="0"/>
        <v>13</v>
      </c>
      <c r="F85" s="45">
        <v>0</v>
      </c>
      <c r="G85" s="7">
        <f t="shared" si="1"/>
        <v>13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+'25'!G86</f>
        <v>10</v>
      </c>
      <c r="D86" s="45">
        <v>0</v>
      </c>
      <c r="E86" s="7">
        <f t="shared" si="0"/>
        <v>10</v>
      </c>
      <c r="F86" s="45">
        <v>0</v>
      </c>
      <c r="G86" s="7">
        <f t="shared" si="1"/>
        <v>10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+'25'!G87</f>
        <v>4</v>
      </c>
      <c r="D87" s="45">
        <v>0</v>
      </c>
      <c r="E87" s="7">
        <f t="shared" si="0"/>
        <v>4</v>
      </c>
      <c r="F87" s="45">
        <v>0</v>
      </c>
      <c r="G87" s="93">
        <f t="shared" si="1"/>
        <v>2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+'25'!G88</f>
        <v>5</v>
      </c>
      <c r="D88" s="45">
        <v>0</v>
      </c>
      <c r="E88" s="7">
        <f t="shared" si="0"/>
        <v>5</v>
      </c>
      <c r="F88" s="45">
        <v>0</v>
      </c>
      <c r="G88" s="93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5">
        <f>+'25'!G94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00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+'25'!G100</f>
        <v>5</v>
      </c>
      <c r="D100" s="45">
        <v>0</v>
      </c>
      <c r="E100" s="7">
        <f t="shared" si="12"/>
        <v>5</v>
      </c>
      <c r="F100" s="45">
        <v>0</v>
      </c>
      <c r="G100" s="7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+'25'!G149</f>
        <v>12</v>
      </c>
      <c r="D149" s="45">
        <v>0</v>
      </c>
      <c r="E149" s="7">
        <f t="shared" si="12"/>
        <v>12</v>
      </c>
      <c r="F149" s="45">
        <v>0</v>
      </c>
      <c r="G149" s="7">
        <f t="shared" si="13"/>
        <v>9</v>
      </c>
      <c r="H149" s="51">
        <v>3</v>
      </c>
      <c r="I149" s="8">
        <v>150</v>
      </c>
      <c r="J149" s="9">
        <f t="shared" si="14"/>
        <v>450</v>
      </c>
      <c r="K149" s="10" t="s">
        <v>16</v>
      </c>
      <c r="L149" s="11">
        <v>0</v>
      </c>
      <c r="M149" s="12">
        <f t="shared" si="15"/>
        <v>450</v>
      </c>
    </row>
    <row r="150" spans="1:13" ht="25.5" x14ac:dyDescent="0.55000000000000004">
      <c r="A150" s="5">
        <v>147</v>
      </c>
      <c r="B150" s="14" t="s">
        <v>163</v>
      </c>
      <c r="C150" s="7">
        <f>+'25'!G150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+'25'!G175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+'25'!G177</f>
        <v>3</v>
      </c>
      <c r="D177" s="45">
        <v>0</v>
      </c>
      <c r="E177" s="7">
        <f t="shared" si="16"/>
        <v>3</v>
      </c>
      <c r="F177" s="45">
        <v>0</v>
      </c>
      <c r="G177" s="7">
        <f t="shared" si="17"/>
        <v>0</v>
      </c>
      <c r="H177" s="51">
        <v>3</v>
      </c>
      <c r="I177" s="8">
        <v>120</v>
      </c>
      <c r="J177" s="9">
        <f t="shared" si="14"/>
        <v>360</v>
      </c>
      <c r="K177" s="10" t="s">
        <v>16</v>
      </c>
      <c r="L177" s="11">
        <v>0</v>
      </c>
      <c r="M177" s="12">
        <f t="shared" si="15"/>
        <v>360</v>
      </c>
    </row>
    <row r="178" spans="1:13" ht="25.5" x14ac:dyDescent="0.55000000000000004">
      <c r="A178" s="5">
        <v>175</v>
      </c>
      <c r="B178" s="14" t="s">
        <v>191</v>
      </c>
      <c r="C178" s="7">
        <f>+'25'!G178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+'25'!G192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+'25'!G195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+'25'!G196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+'25'!G197</f>
        <v>24</v>
      </c>
      <c r="D197" s="45">
        <v>0</v>
      </c>
      <c r="E197" s="7">
        <f t="shared" si="16"/>
        <v>24</v>
      </c>
      <c r="F197" s="45">
        <v>0</v>
      </c>
      <c r="G197" s="7">
        <f t="shared" si="17"/>
        <v>1</v>
      </c>
      <c r="H197" s="51">
        <v>23</v>
      </c>
      <c r="I197" s="8">
        <v>40</v>
      </c>
      <c r="J197" s="9">
        <f t="shared" ref="J197:J203" si="18">+I197*H197</f>
        <v>920</v>
      </c>
      <c r="K197" s="10" t="s">
        <v>16</v>
      </c>
      <c r="L197" s="11">
        <v>0</v>
      </c>
      <c r="M197" s="12">
        <f t="shared" ref="M197:M203" si="19">+J197-L197</f>
        <v>920</v>
      </c>
    </row>
    <row r="198" spans="1:26" ht="25.5" x14ac:dyDescent="0.55000000000000004">
      <c r="A198" s="5">
        <v>195</v>
      </c>
      <c r="B198" s="14" t="s">
        <v>262</v>
      </c>
      <c r="C198" s="95">
        <f>+'25'!G198</f>
        <v>15</v>
      </c>
      <c r="D198" s="45">
        <v>0</v>
      </c>
      <c r="E198" s="7">
        <f t="shared" si="16"/>
        <v>15</v>
      </c>
      <c r="F198" s="45">
        <v>0</v>
      </c>
      <c r="G198" s="7">
        <f t="shared" si="17"/>
        <v>5</v>
      </c>
      <c r="H198" s="51">
        <v>10</v>
      </c>
      <c r="I198" s="8">
        <v>40</v>
      </c>
      <c r="J198" s="9">
        <f t="shared" si="18"/>
        <v>400</v>
      </c>
      <c r="K198" s="10" t="s">
        <v>16</v>
      </c>
      <c r="L198" s="11">
        <v>0</v>
      </c>
      <c r="M198" s="12">
        <f t="shared" si="19"/>
        <v>400</v>
      </c>
    </row>
    <row r="199" spans="1:26" ht="25.5" x14ac:dyDescent="0.55000000000000004">
      <c r="A199" s="5">
        <v>196</v>
      </c>
      <c r="B199" s="14" t="s">
        <v>263</v>
      </c>
      <c r="C199" s="7">
        <f>+'25'!G199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5860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2460</v>
      </c>
      <c r="L208" s="2">
        <v>670</v>
      </c>
      <c r="M208" s="2">
        <v>200</v>
      </c>
      <c r="N208" s="2">
        <v>330</v>
      </c>
      <c r="O208" s="2">
        <v>200</v>
      </c>
      <c r="P208" s="2">
        <v>40</v>
      </c>
      <c r="Q208" s="2">
        <v>500</v>
      </c>
      <c r="R208" s="2">
        <v>40</v>
      </c>
      <c r="S208" s="2">
        <v>280</v>
      </c>
      <c r="T208" s="2">
        <v>200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390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3010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3010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5470</v>
      </c>
    </row>
    <row r="218" spans="1:13" x14ac:dyDescent="0.5">
      <c r="G218" s="2"/>
      <c r="I218" s="2"/>
      <c r="J218" s="2" t="s">
        <v>218</v>
      </c>
      <c r="K218" s="41">
        <f>SUM(K207:K208)</f>
        <v>2460</v>
      </c>
    </row>
    <row r="219" spans="1:13" x14ac:dyDescent="0.5">
      <c r="G219" s="2"/>
      <c r="I219" s="2"/>
      <c r="J219" s="2" t="s">
        <v>219</v>
      </c>
      <c r="K219" s="41">
        <f>+K213</f>
        <v>3010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182-F7D2-4EE7-959C-8029CB7B6D89}">
  <sheetPr>
    <tabColor theme="7" tint="0.79998168889431442"/>
  </sheetPr>
  <dimension ref="A1:Z290"/>
  <sheetViews>
    <sheetView zoomScale="90" zoomScaleNormal="90" workbookViewId="0">
      <pane ySplit="3" topLeftCell="A195" activePane="bottomLeft" state="frozen"/>
      <selection pane="bottomLeft" activeCell="M208" sqref="M20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+'26'!G4</f>
        <v>17</v>
      </c>
      <c r="D4" s="45">
        <v>0</v>
      </c>
      <c r="E4" s="7">
        <f t="shared" ref="E4:E93" si="0">C4+D4</f>
        <v>17</v>
      </c>
      <c r="F4" s="45">
        <v>0</v>
      </c>
      <c r="G4" s="93">
        <f t="shared" ref="G4:G93" si="1">E4-F4-H4</f>
        <v>17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+'26'!G5</f>
        <v>30</v>
      </c>
      <c r="D5" s="45">
        <v>0</v>
      </c>
      <c r="E5" s="7">
        <f t="shared" si="0"/>
        <v>30</v>
      </c>
      <c r="F5" s="45">
        <v>0</v>
      </c>
      <c r="G5" s="93">
        <f t="shared" si="1"/>
        <v>30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+'26'!G22</f>
        <v>5</v>
      </c>
      <c r="D22" s="45">
        <v>0</v>
      </c>
      <c r="E22" s="7">
        <f t="shared" si="0"/>
        <v>5</v>
      </c>
      <c r="F22" s="45">
        <v>0</v>
      </c>
      <c r="G22" s="93">
        <f t="shared" si="1"/>
        <v>3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+'26'!G25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+'26'!G28</f>
        <v>6</v>
      </c>
      <c r="D28" s="45">
        <v>0</v>
      </c>
      <c r="E28" s="7">
        <f t="shared" si="0"/>
        <v>6</v>
      </c>
      <c r="F28" s="45">
        <v>0</v>
      </c>
      <c r="G28" s="93">
        <f t="shared" si="1"/>
        <v>6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+'26'!G32</f>
        <v>1</v>
      </c>
      <c r="D32" s="45">
        <v>0</v>
      </c>
      <c r="E32" s="7">
        <f t="shared" si="0"/>
        <v>1</v>
      </c>
      <c r="F32" s="45">
        <v>0</v>
      </c>
      <c r="G32" s="93">
        <f t="shared" si="1"/>
        <v>0</v>
      </c>
      <c r="H32" s="51">
        <v>1</v>
      </c>
      <c r="I32" s="8">
        <v>130</v>
      </c>
      <c r="J32" s="9">
        <f t="shared" si="2"/>
        <v>130</v>
      </c>
      <c r="K32" s="10" t="s">
        <v>247</v>
      </c>
      <c r="L32" s="11">
        <v>65</v>
      </c>
      <c r="M32" s="12">
        <f t="shared" si="4"/>
        <v>65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+'26'!G36</f>
        <v>4</v>
      </c>
      <c r="D36" s="45">
        <v>0</v>
      </c>
      <c r="E36" s="7">
        <f t="shared" si="0"/>
        <v>4</v>
      </c>
      <c r="F36" s="45">
        <v>0</v>
      </c>
      <c r="G36" s="93">
        <f t="shared" si="1"/>
        <v>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+'26'!G37</f>
        <v>6</v>
      </c>
      <c r="D37" s="45">
        <v>0</v>
      </c>
      <c r="E37" s="7">
        <f t="shared" si="0"/>
        <v>6</v>
      </c>
      <c r="F37" s="45">
        <v>0</v>
      </c>
      <c r="G37" s="93">
        <f t="shared" si="1"/>
        <v>6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+'26'!G38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+'26'!G39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+'26'!G41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+'26'!G42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+'26'!G43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+'26'!G45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+'26'!G46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+'26'!G48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+'26'!G50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+'26'!G51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+'26'!G52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+'26'!G54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+'26'!G56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+'26'!G65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+'26'!G69</f>
        <v>2</v>
      </c>
      <c r="D69" s="45">
        <v>0</v>
      </c>
      <c r="E69" s="7">
        <f t="shared" si="0"/>
        <v>2</v>
      </c>
      <c r="F69" s="45">
        <v>0</v>
      </c>
      <c r="G69" s="93">
        <f t="shared" si="1"/>
        <v>1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+'26'!G78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+'26'!G84</f>
        <v>11</v>
      </c>
      <c r="D84" s="45">
        <v>0</v>
      </c>
      <c r="E84" s="7">
        <f t="shared" si="0"/>
        <v>11</v>
      </c>
      <c r="F84" s="45">
        <v>0</v>
      </c>
      <c r="G84" s="93">
        <f t="shared" si="1"/>
        <v>11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+'26'!G85</f>
        <v>13</v>
      </c>
      <c r="D85" s="45">
        <v>0</v>
      </c>
      <c r="E85" s="7">
        <f t="shared" si="0"/>
        <v>13</v>
      </c>
      <c r="F85" s="45">
        <v>0</v>
      </c>
      <c r="G85" s="93">
        <f t="shared" si="1"/>
        <v>12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+'26'!G86</f>
        <v>10</v>
      </c>
      <c r="D86" s="45">
        <v>0</v>
      </c>
      <c r="E86" s="7">
        <f t="shared" si="0"/>
        <v>10</v>
      </c>
      <c r="F86" s="45">
        <v>0</v>
      </c>
      <c r="G86" s="93">
        <f t="shared" si="1"/>
        <v>9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+'26'!G87</f>
        <v>2</v>
      </c>
      <c r="D87" s="45">
        <v>0</v>
      </c>
      <c r="E87" s="7">
        <f t="shared" si="0"/>
        <v>2</v>
      </c>
      <c r="F87" s="45">
        <v>0</v>
      </c>
      <c r="G87" s="93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+'26'!G88</f>
        <v>5</v>
      </c>
      <c r="D88" s="45">
        <v>0</v>
      </c>
      <c r="E88" s="7">
        <f t="shared" si="0"/>
        <v>5</v>
      </c>
      <c r="F88" s="45">
        <v>0</v>
      </c>
      <c r="G88" s="93">
        <f t="shared" si="1"/>
        <v>4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5">
        <f>+'26'!G94</f>
        <v>1</v>
      </c>
      <c r="D94" s="45">
        <v>0</v>
      </c>
      <c r="E94" s="7">
        <f t="shared" ref="E94:E157" si="12">C94+D94</f>
        <v>1</v>
      </c>
      <c r="F94" s="45">
        <v>0</v>
      </c>
      <c r="G94" s="93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+'26'!G100</f>
        <v>5</v>
      </c>
      <c r="D100" s="45">
        <v>0</v>
      </c>
      <c r="E100" s="7">
        <f t="shared" si="12"/>
        <v>5</v>
      </c>
      <c r="F100" s="45">
        <v>0</v>
      </c>
      <c r="G100" s="93">
        <f t="shared" si="13"/>
        <v>5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+'26'!G149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+'26'!G167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+'26'!G175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+'26'!G177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+'26'!G192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+'26'!G195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+'26'!G196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+'26'!G197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95">
        <f>+'26'!G198</f>
        <v>5</v>
      </c>
      <c r="D198" s="45">
        <v>0</v>
      </c>
      <c r="E198" s="7">
        <f t="shared" si="16"/>
        <v>5</v>
      </c>
      <c r="F198" s="45">
        <v>0</v>
      </c>
      <c r="G198" s="7">
        <f t="shared" si="17"/>
        <v>5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550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170</v>
      </c>
      <c r="L208" s="2">
        <v>170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65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315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315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485</v>
      </c>
    </row>
    <row r="218" spans="1:13" x14ac:dyDescent="0.5">
      <c r="G218" s="2"/>
      <c r="I218" s="2"/>
      <c r="J218" s="2" t="s">
        <v>218</v>
      </c>
      <c r="K218" s="41">
        <f>SUM(K207:K208)</f>
        <v>170</v>
      </c>
    </row>
    <row r="219" spans="1:13" x14ac:dyDescent="0.5">
      <c r="G219" s="2"/>
      <c r="I219" s="2"/>
      <c r="J219" s="2" t="s">
        <v>219</v>
      </c>
      <c r="K219" s="41">
        <f>+K213</f>
        <v>315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3185-85DA-43E9-A552-53734697E7DD}">
  <sheetPr>
    <tabColor theme="7" tint="0.79998168889431442"/>
  </sheetPr>
  <dimension ref="A1:Z290"/>
  <sheetViews>
    <sheetView zoomScale="90" zoomScaleNormal="90" workbookViewId="0">
      <pane ySplit="3" topLeftCell="A76" activePane="bottomLeft" state="frozen"/>
      <selection pane="bottomLeft" activeCell="C94" sqref="C9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3.875" style="2" customWidth="1"/>
    <col min="12" max="12" width="9" style="2"/>
    <col min="13" max="13" width="9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+'27'!G4</f>
        <v>17</v>
      </c>
      <c r="D4" s="45">
        <v>0</v>
      </c>
      <c r="E4" s="7">
        <f t="shared" ref="E4:E93" si="0">C4+D4</f>
        <v>17</v>
      </c>
      <c r="F4" s="45">
        <v>0</v>
      </c>
      <c r="G4" s="93">
        <f t="shared" ref="G4:G93" si="1">E4-F4-H4</f>
        <v>13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+'27'!G5</f>
        <v>30</v>
      </c>
      <c r="D5" s="45">
        <v>20</v>
      </c>
      <c r="E5" s="7">
        <f t="shared" si="0"/>
        <v>50</v>
      </c>
      <c r="F5" s="45">
        <v>0</v>
      </c>
      <c r="G5" s="93">
        <f t="shared" si="1"/>
        <v>47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5">
        <f>+'27'!G22</f>
        <v>3</v>
      </c>
      <c r="D22" s="45">
        <v>20</v>
      </c>
      <c r="E22" s="7">
        <f t="shared" si="0"/>
        <v>23</v>
      </c>
      <c r="F22" s="45">
        <v>0</v>
      </c>
      <c r="G22" s="93">
        <f t="shared" si="1"/>
        <v>22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+'27'!G25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+'27'!G28</f>
        <v>6</v>
      </c>
      <c r="D28" s="45">
        <v>0</v>
      </c>
      <c r="E28" s="7">
        <f t="shared" si="0"/>
        <v>6</v>
      </c>
      <c r="F28" s="45">
        <v>0</v>
      </c>
      <c r="G28" s="93">
        <f t="shared" si="1"/>
        <v>3</v>
      </c>
      <c r="H28" s="51">
        <v>3</v>
      </c>
      <c r="I28" s="8">
        <v>100</v>
      </c>
      <c r="J28" s="9">
        <f t="shared" si="2"/>
        <v>300</v>
      </c>
      <c r="K28" s="10" t="s">
        <v>16</v>
      </c>
      <c r="L28" s="11">
        <v>0</v>
      </c>
      <c r="M28" s="12">
        <f t="shared" si="4"/>
        <v>300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+'27'!G32</f>
        <v>0</v>
      </c>
      <c r="D32" s="45">
        <v>5</v>
      </c>
      <c r="E32" s="7">
        <f t="shared" si="0"/>
        <v>5</v>
      </c>
      <c r="F32" s="45">
        <v>0</v>
      </c>
      <c r="G32" s="93">
        <f t="shared" si="1"/>
        <v>5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+'27'!G36</f>
        <v>4</v>
      </c>
      <c r="D36" s="45">
        <v>20</v>
      </c>
      <c r="E36" s="7">
        <f t="shared" si="0"/>
        <v>24</v>
      </c>
      <c r="F36" s="45">
        <v>0</v>
      </c>
      <c r="G36" s="93">
        <f t="shared" si="1"/>
        <v>21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+'27'!G37</f>
        <v>6</v>
      </c>
      <c r="D37" s="45">
        <v>10</v>
      </c>
      <c r="E37" s="7">
        <f t="shared" si="0"/>
        <v>16</v>
      </c>
      <c r="F37" s="45">
        <v>0</v>
      </c>
      <c r="G37" s="93">
        <f t="shared" si="1"/>
        <v>9</v>
      </c>
      <c r="H37" s="51">
        <v>7</v>
      </c>
      <c r="I37" s="8">
        <v>50</v>
      </c>
      <c r="J37" s="9">
        <f t="shared" si="2"/>
        <v>350</v>
      </c>
      <c r="K37" s="10" t="s">
        <v>267</v>
      </c>
      <c r="L37" s="11">
        <v>75</v>
      </c>
      <c r="M37" s="12">
        <f t="shared" si="4"/>
        <v>275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+'27'!G38</f>
        <v>0</v>
      </c>
      <c r="D38" s="45">
        <v>5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+'27'!G39</f>
        <v>0</v>
      </c>
      <c r="D39" s="45">
        <v>5</v>
      </c>
      <c r="E39" s="7">
        <f t="shared" si="0"/>
        <v>5</v>
      </c>
      <c r="F39" s="45">
        <v>0</v>
      </c>
      <c r="G39" s="93">
        <f t="shared" si="1"/>
        <v>4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+'27'!G41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+'27'!G42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+'27'!G43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+'27'!G45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+'27'!G46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+'27'!G47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+'27'!G48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+'27'!G50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+'27'!G51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+'27'!G52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+'27'!G54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+'27'!G56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+'27'!G65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+'27'!G69</f>
        <v>1</v>
      </c>
      <c r="D69" s="45">
        <v>0</v>
      </c>
      <c r="E69" s="7">
        <f t="shared" si="0"/>
        <v>1</v>
      </c>
      <c r="F69" s="45">
        <v>0</v>
      </c>
      <c r="G69" s="93">
        <f t="shared" si="1"/>
        <v>0</v>
      </c>
      <c r="H69" s="51">
        <v>1</v>
      </c>
      <c r="I69" s="8">
        <v>50</v>
      </c>
      <c r="J69" s="9">
        <f t="shared" ref="J69:J132" si="8">+I69*H69</f>
        <v>50</v>
      </c>
      <c r="K69" s="10" t="s">
        <v>258</v>
      </c>
      <c r="L69" s="11">
        <v>50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+'27'!G78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+'27'!G84</f>
        <v>11</v>
      </c>
      <c r="D84" s="45">
        <v>0</v>
      </c>
      <c r="E84" s="7">
        <f t="shared" si="0"/>
        <v>11</v>
      </c>
      <c r="F84" s="45">
        <v>0</v>
      </c>
      <c r="G84" s="93">
        <f t="shared" si="1"/>
        <v>8</v>
      </c>
      <c r="H84" s="51">
        <v>3</v>
      </c>
      <c r="I84" s="8">
        <v>100</v>
      </c>
      <c r="J84" s="9">
        <f t="shared" si="8"/>
        <v>300</v>
      </c>
      <c r="K84" s="10" t="s">
        <v>16</v>
      </c>
      <c r="L84" s="11">
        <v>0</v>
      </c>
      <c r="M84" s="12">
        <f t="shared" si="9"/>
        <v>300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+'27'!G85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+'27'!G86</f>
        <v>9</v>
      </c>
      <c r="D86" s="45">
        <v>0</v>
      </c>
      <c r="E86" s="7">
        <f t="shared" si="0"/>
        <v>9</v>
      </c>
      <c r="F86" s="45">
        <v>0</v>
      </c>
      <c r="G86" s="93">
        <f t="shared" si="1"/>
        <v>7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+'27'!G87</f>
        <v>2</v>
      </c>
      <c r="D87" s="45">
        <v>0</v>
      </c>
      <c r="E87" s="7">
        <f t="shared" si="0"/>
        <v>2</v>
      </c>
      <c r="F87" s="45">
        <v>0</v>
      </c>
      <c r="G87" s="93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+'27'!G88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5">
        <f>+'27'!G94</f>
        <v>1</v>
      </c>
      <c r="D94" s="45">
        <v>0</v>
      </c>
      <c r="E94" s="7">
        <f t="shared" ref="E94:E157" si="12">C94+D94</f>
        <v>1</v>
      </c>
      <c r="F94" s="45">
        <v>0</v>
      </c>
      <c r="G94" s="93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+'27'!G100</f>
        <v>5</v>
      </c>
      <c r="D100" s="45">
        <v>0</v>
      </c>
      <c r="E100" s="7">
        <f t="shared" si="12"/>
        <v>5</v>
      </c>
      <c r="F100" s="45">
        <v>0</v>
      </c>
      <c r="G100" s="93">
        <f t="shared" si="13"/>
        <v>4</v>
      </c>
      <c r="H100" s="51">
        <v>1</v>
      </c>
      <c r="I100" s="8">
        <v>55</v>
      </c>
      <c r="J100" s="9">
        <f t="shared" si="8"/>
        <v>55</v>
      </c>
      <c r="K100" s="10" t="s">
        <v>16</v>
      </c>
      <c r="L100" s="11">
        <v>25</v>
      </c>
      <c r="M100" s="12">
        <f t="shared" si="9"/>
        <v>30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+'27'!G149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+'27'!G167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+'27'!G175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+'27'!G177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+'27'!G192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+'27'!G195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+'27'!G196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+'27'!G197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95">
        <f>+'27'!G198</f>
        <v>5</v>
      </c>
      <c r="D198" s="45">
        <v>0</v>
      </c>
      <c r="E198" s="7">
        <f t="shared" si="16"/>
        <v>5</v>
      </c>
      <c r="F198" s="45">
        <v>0</v>
      </c>
      <c r="G198" s="7">
        <f t="shared" si="17"/>
        <v>5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+'27'!G199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2125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500</v>
      </c>
      <c r="L208" s="2">
        <v>500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150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1475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1475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1975</v>
      </c>
    </row>
    <row r="218" spans="1:13" x14ac:dyDescent="0.5">
      <c r="G218" s="2"/>
      <c r="I218" s="2"/>
      <c r="J218" s="2" t="s">
        <v>218</v>
      </c>
      <c r="K218" s="41">
        <f>SUM(K207:K208)</f>
        <v>500</v>
      </c>
    </row>
    <row r="219" spans="1:13" x14ac:dyDescent="0.5">
      <c r="G219" s="2"/>
      <c r="I219" s="2"/>
      <c r="J219" s="2" t="s">
        <v>219</v>
      </c>
      <c r="K219" s="41">
        <f>+K213</f>
        <v>1475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1E-7FD7-40E0-9109-66168825439F}">
  <sheetPr>
    <tabColor theme="7" tint="0.79998168889431442"/>
  </sheetPr>
  <dimension ref="A1:Z290"/>
  <sheetViews>
    <sheetView zoomScale="90" zoomScaleNormal="90" workbookViewId="0">
      <pane ySplit="3" topLeftCell="A191" activePane="bottomLeft" state="frozen"/>
      <selection pane="bottomLeft" activeCell="I196" sqref="I196:I199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87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93">
        <f>+'28'!G4</f>
        <v>13</v>
      </c>
      <c r="D4" s="45">
        <v>0</v>
      </c>
      <c r="E4" s="7">
        <f t="shared" ref="E4:E93" si="0">C4+D4</f>
        <v>13</v>
      </c>
      <c r="F4" s="45">
        <v>0</v>
      </c>
      <c r="G4" s="93">
        <f t="shared" ref="G4:G93" si="1">E4-F4-H4</f>
        <v>12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3">
        <f>+'28'!G5</f>
        <v>47</v>
      </c>
      <c r="D5" s="45">
        <v>0</v>
      </c>
      <c r="E5" s="7">
        <f t="shared" si="0"/>
        <v>47</v>
      </c>
      <c r="F5" s="45">
        <v>0</v>
      </c>
      <c r="G5" s="93">
        <f t="shared" si="1"/>
        <v>46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93">
        <f>+'28'!G6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93">
        <f>+'28'!G7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93">
        <f>+'28'!G8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93">
        <f>+'28'!G9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93">
        <f>+'28'!G10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93">
        <f>+'28'!G11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93">
        <f>+'28'!G12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93">
        <f>+'28'!G13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93">
        <f>+'28'!G14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93">
        <f>+'28'!G15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93">
        <f>+'28'!G16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93">
        <f>+'28'!G17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93">
        <f>+'28'!G18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3">
        <f>+'28'!G19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93">
        <f>+'28'!G20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93">
        <f>+'28'!G21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3">
        <f>+'28'!G22</f>
        <v>22</v>
      </c>
      <c r="D22" s="45">
        <v>0</v>
      </c>
      <c r="E22" s="7">
        <f t="shared" si="0"/>
        <v>22</v>
      </c>
      <c r="F22" s="45">
        <v>0</v>
      </c>
      <c r="G22" s="93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93">
        <f>+'28'!G23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93">
        <f>+'28'!G24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93">
        <f>+'28'!G25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93">
        <f>+'28'!G26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93">
        <f>+'28'!G27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3">
        <f>+'28'!G28</f>
        <v>3</v>
      </c>
      <c r="D28" s="45">
        <v>0</v>
      </c>
      <c r="E28" s="7">
        <f t="shared" si="0"/>
        <v>3</v>
      </c>
      <c r="F28" s="45">
        <v>0</v>
      </c>
      <c r="G28" s="93">
        <f t="shared" si="1"/>
        <v>2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93">
        <f>+'28'!G29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93">
        <f>+'28'!G30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93">
        <f>+'28'!G31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93">
        <f>+'28'!G32</f>
        <v>5</v>
      </c>
      <c r="D32" s="45">
        <v>0</v>
      </c>
      <c r="E32" s="7">
        <f t="shared" si="0"/>
        <v>5</v>
      </c>
      <c r="F32" s="45">
        <v>0</v>
      </c>
      <c r="G32" s="93">
        <f t="shared" si="1"/>
        <v>1</v>
      </c>
      <c r="H32" s="51">
        <v>4</v>
      </c>
      <c r="I32" s="8">
        <v>130</v>
      </c>
      <c r="J32" s="9">
        <f t="shared" si="2"/>
        <v>520</v>
      </c>
      <c r="K32" s="10" t="s">
        <v>16</v>
      </c>
      <c r="L32" s="11">
        <v>0</v>
      </c>
      <c r="M32" s="12">
        <f t="shared" si="4"/>
        <v>520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93">
        <f>+'28'!G33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93">
        <f>+'28'!G34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93">
        <f>+'28'!G35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3">
        <f>+'28'!G36</f>
        <v>21</v>
      </c>
      <c r="D36" s="45">
        <v>0</v>
      </c>
      <c r="E36" s="7">
        <f t="shared" si="0"/>
        <v>21</v>
      </c>
      <c r="F36" s="45">
        <v>0</v>
      </c>
      <c r="G36" s="93">
        <f t="shared" si="1"/>
        <v>21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93">
        <f>+'28'!G37</f>
        <v>9</v>
      </c>
      <c r="D37" s="45">
        <v>0</v>
      </c>
      <c r="E37" s="7">
        <f t="shared" si="0"/>
        <v>9</v>
      </c>
      <c r="F37" s="45">
        <v>0</v>
      </c>
      <c r="G37" s="93">
        <f t="shared" si="1"/>
        <v>8</v>
      </c>
      <c r="H37" s="51">
        <v>1</v>
      </c>
      <c r="I37" s="8">
        <v>50</v>
      </c>
      <c r="J37" s="9">
        <f t="shared" si="2"/>
        <v>50</v>
      </c>
      <c r="K37" s="10" t="s">
        <v>247</v>
      </c>
      <c r="L37" s="11">
        <v>25</v>
      </c>
      <c r="M37" s="12">
        <f t="shared" si="4"/>
        <v>25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93">
        <f>+'28'!G38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93">
        <f>+'28'!G39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93">
        <f>+'28'!G40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93">
        <f>+'28'!G41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93">
        <f>+'28'!G42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93">
        <f>+'28'!G43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93">
        <f>+'28'!G44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93">
        <f>+'28'!G45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93">
        <f>+'28'!G46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93">
        <f>+'28'!G47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93">
        <f>+'28'!G48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93">
        <f>+'28'!G49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93">
        <f>+'28'!G50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93">
        <f>+'28'!G51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93">
        <f>+'28'!G52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93">
        <f>+'28'!G53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93">
        <f>+'28'!G54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93">
        <f>+'28'!G55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93">
        <f>+'28'!G56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93">
        <f>+'28'!G57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93">
        <f>+'28'!G58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93">
        <f>+'28'!G59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93">
        <f>+'28'!G60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93">
        <f>+'28'!G61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93">
        <f>+'28'!G62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93">
        <f>+'28'!G63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93">
        <f>+'28'!G64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3">
        <f>+'28'!G65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93">
        <f>+'28'!G66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93">
        <f>+'28'!G67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93">
        <f>+'28'!G68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93">
        <f>+'28'!G69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93">
        <f>+'28'!G70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93">
        <f>+'28'!G71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93">
        <f>+'28'!G72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93">
        <f>+'28'!G73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93">
        <f>+'28'!G74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93">
        <f>+'28'!G75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93">
        <f>+'28'!G76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93">
        <f>+'28'!G77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93">
        <f>+'28'!G78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93">
        <f>+'28'!G79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93">
        <f>+'28'!G80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93">
        <f>+'28'!G81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93">
        <f>+'28'!G82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93">
        <f>+'28'!G83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3">
        <f>+'28'!G84</f>
        <v>8</v>
      </c>
      <c r="D84" s="45">
        <v>0</v>
      </c>
      <c r="E84" s="7">
        <f t="shared" si="0"/>
        <v>8</v>
      </c>
      <c r="F84" s="45">
        <v>0</v>
      </c>
      <c r="G84" s="93">
        <f t="shared" si="1"/>
        <v>6</v>
      </c>
      <c r="H84" s="51">
        <v>2</v>
      </c>
      <c r="I84" s="8">
        <v>100</v>
      </c>
      <c r="J84" s="9">
        <f t="shared" si="8"/>
        <v>200</v>
      </c>
      <c r="K84" s="10" t="s">
        <v>16</v>
      </c>
      <c r="L84" s="11">
        <v>0</v>
      </c>
      <c r="M84" s="12">
        <f t="shared" si="9"/>
        <v>200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3">
        <f>+'28'!G85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+'28'!G86</f>
        <v>7</v>
      </c>
      <c r="D86" s="45">
        <v>0</v>
      </c>
      <c r="E86" s="7">
        <f t="shared" si="0"/>
        <v>7</v>
      </c>
      <c r="F86" s="45">
        <v>0</v>
      </c>
      <c r="G86" s="93">
        <f t="shared" si="1"/>
        <v>6</v>
      </c>
      <c r="H86" s="51">
        <v>1</v>
      </c>
      <c r="I86" s="8">
        <v>60</v>
      </c>
      <c r="J86" s="9">
        <f t="shared" si="8"/>
        <v>60</v>
      </c>
      <c r="K86" s="10" t="s">
        <v>258</v>
      </c>
      <c r="L86" s="11">
        <v>60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3">
        <f>+'28'!G87</f>
        <v>2</v>
      </c>
      <c r="D87" s="45">
        <v>0</v>
      </c>
      <c r="E87" s="7">
        <f t="shared" si="0"/>
        <v>2</v>
      </c>
      <c r="F87" s="45">
        <v>0</v>
      </c>
      <c r="G87" s="93">
        <f t="shared" si="1"/>
        <v>0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3">
        <f>+'28'!G88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93">
        <f>+'28'!G89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93">
        <f>+'28'!G90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93">
        <f>+'28'!G91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93">
        <f>+'28'!G92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93">
        <f>+'28'!G93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3">
        <f>+'28'!G94</f>
        <v>1</v>
      </c>
      <c r="D94" s="45">
        <v>0</v>
      </c>
      <c r="E94" s="7">
        <f t="shared" ref="E94:E157" si="12">C94+D94</f>
        <v>1</v>
      </c>
      <c r="F94" s="45">
        <v>0</v>
      </c>
      <c r="G94" s="93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93">
        <f>+'28'!G95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93">
        <f>+'28'!G96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93">
        <f>+'28'!G97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93">
        <f>+'28'!G98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93">
        <f>+'28'!G99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93">
        <f>+'28'!G100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93">
        <f>+'28'!G101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93">
        <f>+'28'!G102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93">
        <f>+'28'!G103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93">
        <f>+'28'!G104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93">
        <f>+'28'!G105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93">
        <f>+'28'!G106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93">
        <f>+'28'!G107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93">
        <f>+'28'!G108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93">
        <f>+'28'!G109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93">
        <f>+'28'!G110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93">
        <f>+'28'!G111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93">
        <f>+'28'!G112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93">
        <f>+'28'!G113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93">
        <f>+'28'!G114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93">
        <f>+'28'!G115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93">
        <f>+'28'!G116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93">
        <f>+'28'!G117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93">
        <f>+'28'!G118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93">
        <f>+'28'!G119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3">
        <f>+'28'!G120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93">
        <f>+'28'!G121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93">
        <f>+'28'!G122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93">
        <f>+'28'!G123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93">
        <f>+'28'!G124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93">
        <f>+'28'!G125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93">
        <f>+'28'!G126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93">
        <f>+'28'!G127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93">
        <f>+'28'!G128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93">
        <f>+'28'!G129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93">
        <f>+'28'!G130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93">
        <f>+'28'!G131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93">
        <f>+'28'!G132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93">
        <f>+'28'!G133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93">
        <f>+'28'!G134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93">
        <f>+'28'!G135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93">
        <f>+'28'!G136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93">
        <f>+'28'!G137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93">
        <f>+'28'!G138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93">
        <f>+'28'!G139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93">
        <f>+'28'!G140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93">
        <f>+'28'!G141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93">
        <f>+'28'!G142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93">
        <f>+'28'!G143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93">
        <f>+'28'!G144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93">
        <f>+'28'!G145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93">
        <f>+'28'!G146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93">
        <f>+'28'!G147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93">
        <f>+'28'!G148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93">
        <f>+'28'!G149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93">
        <f>+'28'!G150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93">
        <f>+'28'!G151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93">
        <f>+'28'!G152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93">
        <f>+'28'!G153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93">
        <f>+'28'!G154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93">
        <f>+'28'!G155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93">
        <f>+'28'!G156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93">
        <f>+'28'!G157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93">
        <f>+'28'!G158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93">
        <f>+'28'!G159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93">
        <f>+'28'!G160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93">
        <f>+'28'!G161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3">
        <f>+'28'!G162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93">
        <f>+'28'!G163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93">
        <f>+'28'!G164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93">
        <f>+'28'!G165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93">
        <f>+'28'!G166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93">
        <f>+'28'!G167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93">
        <f>+'28'!G168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93">
        <f>+'28'!G169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93">
        <f>+'28'!G170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93">
        <f>+'28'!G171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93">
        <f>+'28'!G172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93">
        <f>+'28'!G173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93">
        <f>+'28'!G174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3">
        <f>+'28'!G175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93">
        <f>+'28'!G176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93">
        <f>+'28'!G177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93">
        <f>+'28'!G178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93">
        <f>+'28'!G179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93">
        <f>+'28'!G180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93">
        <f>+'28'!G181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93">
        <f>+'28'!G182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93">
        <f>+'28'!G183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93">
        <f>+'28'!G184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93">
        <f>+'28'!G185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93">
        <f>+'28'!G186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93">
        <f>+'28'!G187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93">
        <f>+'28'!G188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93">
        <f>+'28'!G189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93">
        <f>+'28'!G190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93">
        <f>+'28'!G191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3">
        <f>+'28'!G192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93">
        <f>+'28'!G193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93">
        <f>+'28'!G194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93">
        <f>+'28'!G195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93">
        <f>+'28'!G196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3">
        <f>+'28'!G197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93">
        <f>+'28'!G198</f>
        <v>5</v>
      </c>
      <c r="D198" s="45">
        <v>0</v>
      </c>
      <c r="E198" s="7">
        <f t="shared" si="16"/>
        <v>5</v>
      </c>
      <c r="F198" s="45">
        <v>0</v>
      </c>
      <c r="G198" s="7">
        <f t="shared" si="17"/>
        <v>5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93">
        <f>+'28'!G199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93">
        <f>+'28'!G200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93">
        <f>+'28'!G201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93">
        <f>+'28'!G202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93">
        <f>+'28'!G203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1280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660</v>
      </c>
      <c r="L208" s="2">
        <v>660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85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535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535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1195</v>
      </c>
    </row>
    <row r="218" spans="1:13" x14ac:dyDescent="0.5">
      <c r="G218" s="2"/>
      <c r="I218" s="2"/>
      <c r="J218" s="2" t="s">
        <v>218</v>
      </c>
      <c r="K218" s="41">
        <f>SUM(K207:K210)</f>
        <v>660</v>
      </c>
    </row>
    <row r="219" spans="1:13" x14ac:dyDescent="0.5">
      <c r="G219" s="2"/>
      <c r="I219" s="2"/>
      <c r="J219" s="2" t="s">
        <v>219</v>
      </c>
      <c r="K219" s="41">
        <f>+K213</f>
        <v>535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9708-3AC4-46A5-AECD-E84BB7501EC8}">
  <sheetPr>
    <tabColor theme="7" tint="0.79998168889431442"/>
  </sheetPr>
  <dimension ref="A1:Z290"/>
  <sheetViews>
    <sheetView zoomScale="90" zoomScaleNormal="90" workbookViewId="0">
      <pane ySplit="3" topLeftCell="A196" activePane="bottomLeft" state="frozen"/>
      <selection pane="bottomLeft" activeCell="L199" sqref="L199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5" style="2" customWidth="1"/>
    <col min="12" max="12" width="9" style="2"/>
    <col min="13" max="13" width="8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+'29'!G4</f>
        <v>12</v>
      </c>
      <c r="D4" s="45">
        <v>0</v>
      </c>
      <c r="E4" s="7">
        <f t="shared" ref="E4:E93" si="0">C4+D4</f>
        <v>12</v>
      </c>
      <c r="F4" s="45">
        <v>0</v>
      </c>
      <c r="G4" s="93">
        <f t="shared" ref="G4:G93" si="1">E4-F4-H4</f>
        <v>10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+'29'!G5</f>
        <v>46</v>
      </c>
      <c r="D5" s="45">
        <v>0</v>
      </c>
      <c r="E5" s="7">
        <f t="shared" si="0"/>
        <v>46</v>
      </c>
      <c r="F5" s="45">
        <v>0</v>
      </c>
      <c r="G5" s="93">
        <f t="shared" si="1"/>
        <v>44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4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5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ref="M6:M68" si="6">+J6-L6</f>
        <v>0</v>
      </c>
      <c r="O6" s="5">
        <v>3</v>
      </c>
      <c r="P6" s="6"/>
      <c r="Q6" s="7">
        <v>0</v>
      </c>
      <c r="R6" s="45">
        <v>0</v>
      </c>
      <c r="S6" s="7">
        <f t="shared" si="4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5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6"/>
        <v>0</v>
      </c>
      <c r="O7" s="5">
        <v>4</v>
      </c>
      <c r="P7" s="6"/>
      <c r="Q7" s="7">
        <v>0</v>
      </c>
      <c r="R7" s="45">
        <v>0</v>
      </c>
      <c r="S7" s="7">
        <f t="shared" si="4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5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6"/>
        <v>0</v>
      </c>
      <c r="O8" s="5">
        <v>5</v>
      </c>
      <c r="P8" s="6"/>
      <c r="Q8" s="7">
        <v>0</v>
      </c>
      <c r="R8" s="45">
        <v>0</v>
      </c>
      <c r="S8" s="7">
        <f t="shared" si="4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5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6"/>
        <v>0</v>
      </c>
      <c r="O9" s="5">
        <v>6</v>
      </c>
      <c r="P9" s="6"/>
      <c r="Q9" s="7">
        <v>0</v>
      </c>
      <c r="R9" s="45">
        <v>0</v>
      </c>
      <c r="S9" s="7">
        <f t="shared" si="4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5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6"/>
        <v>0</v>
      </c>
      <c r="O10" s="5">
        <v>7</v>
      </c>
      <c r="P10" s="6"/>
      <c r="Q10" s="7">
        <v>0</v>
      </c>
      <c r="R10" s="45">
        <v>0</v>
      </c>
      <c r="S10" s="7">
        <f t="shared" si="4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5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6"/>
        <v>0</v>
      </c>
      <c r="O11" s="5">
        <v>8</v>
      </c>
      <c r="P11" s="6"/>
      <c r="Q11" s="7">
        <v>0</v>
      </c>
      <c r="R11" s="45">
        <v>0</v>
      </c>
      <c r="S11" s="7">
        <f t="shared" si="4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5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6"/>
        <v>0</v>
      </c>
      <c r="O12" s="5">
        <v>9</v>
      </c>
      <c r="P12" s="6"/>
      <c r="Q12" s="7">
        <v>0</v>
      </c>
      <c r="R12" s="45">
        <v>0</v>
      </c>
      <c r="S12" s="7">
        <f t="shared" si="4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5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6"/>
        <v>0</v>
      </c>
      <c r="O13" s="5">
        <v>10</v>
      </c>
      <c r="P13" s="6"/>
      <c r="Q13" s="7">
        <v>0</v>
      </c>
      <c r="R13" s="45">
        <v>0</v>
      </c>
      <c r="S13" s="7">
        <f t="shared" si="4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5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6"/>
        <v>0</v>
      </c>
      <c r="O14" s="16">
        <v>11</v>
      </c>
      <c r="P14" s="17"/>
      <c r="Q14" s="18">
        <v>0</v>
      </c>
      <c r="R14" s="52">
        <v>0</v>
      </c>
      <c r="S14" s="18">
        <f t="shared" si="4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5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6"/>
        <v>0</v>
      </c>
      <c r="O15" s="5">
        <v>12</v>
      </c>
      <c r="P15" s="6"/>
      <c r="Q15" s="7">
        <v>0</v>
      </c>
      <c r="R15" s="45">
        <v>0</v>
      </c>
      <c r="S15" s="7">
        <f t="shared" si="4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5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6"/>
        <v>0</v>
      </c>
      <c r="O16" s="5">
        <v>13</v>
      </c>
      <c r="P16" s="6"/>
      <c r="Q16" s="7">
        <v>0</v>
      </c>
      <c r="R16" s="45">
        <v>0</v>
      </c>
      <c r="S16" s="7">
        <f t="shared" si="4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5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6"/>
        <v>0</v>
      </c>
      <c r="O17" s="5">
        <v>14</v>
      </c>
      <c r="P17" s="6"/>
      <c r="Q17" s="7">
        <v>0</v>
      </c>
      <c r="R17" s="45">
        <v>0</v>
      </c>
      <c r="S17" s="7">
        <f t="shared" si="4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5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6"/>
        <v>0</v>
      </c>
      <c r="O18" s="5">
        <v>15</v>
      </c>
      <c r="P18" s="6"/>
      <c r="Q18" s="7">
        <v>0</v>
      </c>
      <c r="R18" s="45">
        <v>0</v>
      </c>
      <c r="S18" s="7">
        <f t="shared" si="4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5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6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5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6"/>
        <v>0</v>
      </c>
      <c r="O20" s="5">
        <v>17</v>
      </c>
      <c r="P20" s="6"/>
      <c r="Q20" s="7">
        <v>0</v>
      </c>
      <c r="R20" s="45">
        <v>0</v>
      </c>
      <c r="S20" s="7">
        <f t="shared" si="4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5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6"/>
        <v>0</v>
      </c>
      <c r="O21" s="5">
        <v>18</v>
      </c>
      <c r="P21" s="14"/>
      <c r="Q21" s="7">
        <v>0</v>
      </c>
      <c r="R21" s="45">
        <v>0</v>
      </c>
      <c r="S21" s="7">
        <f t="shared" si="4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5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+'29'!G22</f>
        <v>22</v>
      </c>
      <c r="D22" s="45">
        <v>0</v>
      </c>
      <c r="E22" s="7">
        <f t="shared" si="0"/>
        <v>22</v>
      </c>
      <c r="F22" s="45">
        <v>0</v>
      </c>
      <c r="G22" s="93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6"/>
        <v>0</v>
      </c>
      <c r="O22" s="5">
        <v>19</v>
      </c>
      <c r="P22" s="14"/>
      <c r="Q22" s="7">
        <v>0</v>
      </c>
      <c r="R22" s="45">
        <v>0</v>
      </c>
      <c r="S22" s="7">
        <f t="shared" si="4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5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6"/>
        <v>0</v>
      </c>
      <c r="O23" s="5">
        <v>20</v>
      </c>
      <c r="P23" s="14"/>
      <c r="Q23" s="7">
        <v>0</v>
      </c>
      <c r="R23" s="45">
        <v>0</v>
      </c>
      <c r="S23" s="7">
        <f t="shared" si="4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5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6"/>
        <v>0</v>
      </c>
      <c r="O24" s="5">
        <v>21</v>
      </c>
      <c r="P24" s="14"/>
      <c r="Q24" s="7">
        <v>0</v>
      </c>
      <c r="R24" s="45">
        <v>0</v>
      </c>
      <c r="S24" s="7">
        <f t="shared" si="4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5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+'29'!G25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6"/>
        <v>0</v>
      </c>
      <c r="O25" s="5">
        <v>22</v>
      </c>
      <c r="P25" s="14"/>
      <c r="Q25" s="7">
        <v>0</v>
      </c>
      <c r="R25" s="45">
        <v>0</v>
      </c>
      <c r="S25" s="7">
        <f t="shared" si="4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5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6"/>
        <v>0</v>
      </c>
      <c r="O26" s="5">
        <v>23</v>
      </c>
      <c r="P26" s="14"/>
      <c r="Q26" s="7">
        <v>0</v>
      </c>
      <c r="R26" s="45">
        <v>0</v>
      </c>
      <c r="S26" s="7">
        <f t="shared" si="4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5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6"/>
        <v>0</v>
      </c>
      <c r="O27" s="5">
        <v>24</v>
      </c>
      <c r="P27" s="14"/>
      <c r="Q27" s="7">
        <v>0</v>
      </c>
      <c r="R27" s="45">
        <v>0</v>
      </c>
      <c r="S27" s="7">
        <f t="shared" si="4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5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+'29'!G28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6"/>
        <v>0</v>
      </c>
      <c r="O28" s="5">
        <v>25</v>
      </c>
      <c r="P28" s="14"/>
      <c r="Q28" s="7">
        <v>0</v>
      </c>
      <c r="R28" s="45">
        <v>0</v>
      </c>
      <c r="S28" s="7">
        <f t="shared" si="4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5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6"/>
        <v>0</v>
      </c>
      <c r="O29" s="5">
        <v>26</v>
      </c>
      <c r="P29" s="14"/>
      <c r="Q29" s="7">
        <v>0</v>
      </c>
      <c r="R29" s="45">
        <v>0</v>
      </c>
      <c r="S29" s="7">
        <f t="shared" si="4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5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6"/>
        <v>0</v>
      </c>
      <c r="O30" s="5">
        <v>27</v>
      </c>
      <c r="P30" s="14"/>
      <c r="Q30" s="7">
        <v>0</v>
      </c>
      <c r="R30" s="45">
        <v>0</v>
      </c>
      <c r="S30" s="7">
        <f t="shared" si="4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5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6"/>
        <v>0</v>
      </c>
      <c r="O31" s="5">
        <v>28</v>
      </c>
      <c r="P31" s="14"/>
      <c r="Q31" s="7">
        <v>0</v>
      </c>
      <c r="R31" s="45">
        <v>0</v>
      </c>
      <c r="S31" s="7">
        <f t="shared" si="4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5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+'29'!G32</f>
        <v>1</v>
      </c>
      <c r="D32" s="45">
        <v>0</v>
      </c>
      <c r="E32" s="7">
        <f t="shared" si="0"/>
        <v>1</v>
      </c>
      <c r="F32" s="45">
        <v>0</v>
      </c>
      <c r="G32" s="93">
        <f t="shared" si="1"/>
        <v>0</v>
      </c>
      <c r="H32" s="51">
        <v>1</v>
      </c>
      <c r="I32" s="8">
        <v>130</v>
      </c>
      <c r="J32" s="9">
        <f t="shared" si="2"/>
        <v>130</v>
      </c>
      <c r="K32" s="10" t="s">
        <v>16</v>
      </c>
      <c r="L32" s="11">
        <v>0</v>
      </c>
      <c r="M32" s="12">
        <f t="shared" si="6"/>
        <v>130</v>
      </c>
      <c r="O32" s="5">
        <v>29</v>
      </c>
      <c r="P32" s="14"/>
      <c r="Q32" s="7">
        <v>0</v>
      </c>
      <c r="R32" s="45">
        <v>0</v>
      </c>
      <c r="S32" s="7">
        <f t="shared" si="4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5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6"/>
        <v>0</v>
      </c>
      <c r="O33" s="5">
        <v>30</v>
      </c>
      <c r="P33" s="14"/>
      <c r="Q33" s="7">
        <v>0</v>
      </c>
      <c r="R33" s="45">
        <v>0</v>
      </c>
      <c r="S33" s="7">
        <f t="shared" si="4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5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6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5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6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5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+'29'!G36</f>
        <v>21</v>
      </c>
      <c r="D36" s="45">
        <v>0</v>
      </c>
      <c r="E36" s="7">
        <f t="shared" si="0"/>
        <v>21</v>
      </c>
      <c r="F36" s="45">
        <v>0</v>
      </c>
      <c r="G36" s="93">
        <f t="shared" si="1"/>
        <v>18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6"/>
        <v>300</v>
      </c>
      <c r="O36" s="5">
        <v>33</v>
      </c>
      <c r="P36" s="14"/>
      <c r="Q36" s="7">
        <v>0</v>
      </c>
      <c r="R36" s="45">
        <v>0</v>
      </c>
      <c r="S36" s="7">
        <f t="shared" si="4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5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+'29'!G37</f>
        <v>8</v>
      </c>
      <c r="D37" s="45">
        <v>0</v>
      </c>
      <c r="E37" s="7">
        <f t="shared" si="0"/>
        <v>8</v>
      </c>
      <c r="F37" s="45">
        <v>0</v>
      </c>
      <c r="G37" s="93">
        <f t="shared" si="1"/>
        <v>8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6"/>
        <v>0</v>
      </c>
      <c r="O37" s="5">
        <v>34</v>
      </c>
      <c r="P37" s="14"/>
      <c r="Q37" s="7">
        <v>0</v>
      </c>
      <c r="R37" s="45">
        <v>0</v>
      </c>
      <c r="S37" s="7">
        <f t="shared" si="4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5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+'29'!G38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6"/>
        <v>0</v>
      </c>
      <c r="O38" s="5">
        <v>35</v>
      </c>
      <c r="P38" s="14"/>
      <c r="Q38" s="7">
        <v>0</v>
      </c>
      <c r="R38" s="45">
        <v>0</v>
      </c>
      <c r="S38" s="7">
        <f t="shared" si="4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5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+'29'!G39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6"/>
        <v>0</v>
      </c>
      <c r="O39" s="5">
        <v>36</v>
      </c>
      <c r="P39" s="14"/>
      <c r="Q39" s="7">
        <v>0</v>
      </c>
      <c r="R39" s="45">
        <v>0</v>
      </c>
      <c r="S39" s="7">
        <f t="shared" si="4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5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6"/>
        <v>0</v>
      </c>
      <c r="O40" s="5">
        <v>37</v>
      </c>
      <c r="P40" s="14"/>
      <c r="Q40" s="7">
        <v>0</v>
      </c>
      <c r="R40" s="45">
        <v>0</v>
      </c>
      <c r="S40" s="7">
        <f t="shared" si="4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5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6"/>
        <v>0</v>
      </c>
      <c r="O41" s="5">
        <v>38</v>
      </c>
      <c r="P41" s="14"/>
      <c r="Q41" s="7">
        <v>0</v>
      </c>
      <c r="R41" s="45">
        <v>0</v>
      </c>
      <c r="S41" s="7">
        <f t="shared" si="4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5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6"/>
        <v>0</v>
      </c>
      <c r="O42" s="5">
        <v>39</v>
      </c>
      <c r="P42" s="14"/>
      <c r="Q42" s="7">
        <v>0</v>
      </c>
      <c r="R42" s="45">
        <v>0</v>
      </c>
      <c r="S42" s="7">
        <f t="shared" si="4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5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+'29'!G43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6"/>
        <v>0</v>
      </c>
      <c r="O43" s="5">
        <v>40</v>
      </c>
      <c r="P43" s="14"/>
      <c r="Q43" s="7">
        <v>0</v>
      </c>
      <c r="R43" s="45">
        <v>0</v>
      </c>
      <c r="S43" s="7">
        <f t="shared" si="4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5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6"/>
        <v>0</v>
      </c>
      <c r="O44" s="5">
        <v>41</v>
      </c>
      <c r="P44" s="14"/>
      <c r="Q44" s="7">
        <v>0</v>
      </c>
      <c r="R44" s="45">
        <v>0</v>
      </c>
      <c r="S44" s="7">
        <f t="shared" si="4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5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+'29'!G45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6"/>
        <v>0</v>
      </c>
      <c r="O45" s="5">
        <v>42</v>
      </c>
      <c r="P45" s="14"/>
      <c r="Q45" s="7">
        <v>0</v>
      </c>
      <c r="R45" s="45">
        <v>0</v>
      </c>
      <c r="S45" s="7">
        <f t="shared" si="4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5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6"/>
        <v>0</v>
      </c>
      <c r="O46" s="5">
        <v>43</v>
      </c>
      <c r="P46" s="14"/>
      <c r="Q46" s="7">
        <v>0</v>
      </c>
      <c r="R46" s="45">
        <v>0</v>
      </c>
      <c r="S46" s="7">
        <f t="shared" si="4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5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+'29'!G47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6"/>
        <v>0</v>
      </c>
      <c r="O47" s="5">
        <v>44</v>
      </c>
      <c r="P47" s="14"/>
      <c r="Q47" s="7">
        <v>0</v>
      </c>
      <c r="R47" s="45">
        <v>0</v>
      </c>
      <c r="S47" s="7">
        <f t="shared" si="4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5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+'29'!G48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6"/>
        <v>0</v>
      </c>
      <c r="O48" s="5">
        <v>45</v>
      </c>
      <c r="P48" s="14"/>
      <c r="Q48" s="7">
        <v>0</v>
      </c>
      <c r="R48" s="45">
        <v>0</v>
      </c>
      <c r="S48" s="7">
        <f t="shared" si="4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5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6"/>
        <v>0</v>
      </c>
      <c r="O49" s="5">
        <v>46</v>
      </c>
      <c r="P49" s="14"/>
      <c r="Q49" s="7">
        <v>0</v>
      </c>
      <c r="R49" s="45">
        <v>0</v>
      </c>
      <c r="S49" s="7">
        <f t="shared" si="4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5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6"/>
        <v>0</v>
      </c>
      <c r="O50" s="5">
        <v>47</v>
      </c>
      <c r="P50" s="14"/>
      <c r="Q50" s="7">
        <v>0</v>
      </c>
      <c r="R50" s="45">
        <v>0</v>
      </c>
      <c r="S50" s="7">
        <f t="shared" si="4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5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6"/>
        <v>0</v>
      </c>
      <c r="O51" s="5">
        <v>48</v>
      </c>
      <c r="P51" s="14"/>
      <c r="Q51" s="7">
        <v>0</v>
      </c>
      <c r="R51" s="45">
        <v>0</v>
      </c>
      <c r="S51" s="7">
        <f t="shared" si="4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5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6"/>
        <v>0</v>
      </c>
      <c r="O52" s="5">
        <v>49</v>
      </c>
      <c r="P52" s="14"/>
      <c r="Q52" s="7">
        <v>0</v>
      </c>
      <c r="R52" s="45">
        <v>0</v>
      </c>
      <c r="S52" s="7">
        <f t="shared" si="4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5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6"/>
        <v>0</v>
      </c>
      <c r="O53" s="5">
        <v>50</v>
      </c>
      <c r="P53" s="14"/>
      <c r="Q53" s="7">
        <v>0</v>
      </c>
      <c r="R53" s="45">
        <v>0</v>
      </c>
      <c r="S53" s="7">
        <f t="shared" si="4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5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6"/>
        <v>0</v>
      </c>
      <c r="O54" s="5">
        <v>51</v>
      </c>
      <c r="P54" s="14"/>
      <c r="Q54" s="7">
        <v>0</v>
      </c>
      <c r="R54" s="45">
        <v>0</v>
      </c>
      <c r="S54" s="7">
        <f t="shared" si="4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5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6"/>
        <v>0</v>
      </c>
      <c r="O55" s="5">
        <v>52</v>
      </c>
      <c r="P55" s="14"/>
      <c r="Q55" s="7">
        <v>0</v>
      </c>
      <c r="R55" s="45">
        <v>0</v>
      </c>
      <c r="S55" s="7">
        <f t="shared" si="4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5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6"/>
        <v>0</v>
      </c>
      <c r="O56" s="5">
        <v>53</v>
      </c>
      <c r="P56" s="14"/>
      <c r="Q56" s="7">
        <v>0</v>
      </c>
      <c r="R56" s="45">
        <v>0</v>
      </c>
      <c r="S56" s="7">
        <f t="shared" si="4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5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6"/>
        <v>0</v>
      </c>
      <c r="O57" s="5">
        <v>54</v>
      </c>
      <c r="P57" s="14"/>
      <c r="Q57" s="7">
        <v>0</v>
      </c>
      <c r="R57" s="45">
        <v>0</v>
      </c>
      <c r="S57" s="7">
        <f t="shared" si="4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5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6"/>
        <v>0</v>
      </c>
      <c r="O58" s="5">
        <v>55</v>
      </c>
      <c r="P58" s="14"/>
      <c r="Q58" s="7">
        <v>0</v>
      </c>
      <c r="R58" s="45">
        <v>0</v>
      </c>
      <c r="S58" s="7">
        <f t="shared" si="4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5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6"/>
        <v>0</v>
      </c>
      <c r="O59" s="5">
        <v>56</v>
      </c>
      <c r="P59" s="14"/>
      <c r="Q59" s="7">
        <v>0</v>
      </c>
      <c r="R59" s="45">
        <v>0</v>
      </c>
      <c r="S59" s="7">
        <f t="shared" si="4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5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6"/>
        <v>0</v>
      </c>
      <c r="O60" s="5">
        <v>57</v>
      </c>
      <c r="P60" s="14"/>
      <c r="Q60" s="7">
        <v>0</v>
      </c>
      <c r="R60" s="45">
        <v>0</v>
      </c>
      <c r="S60" s="7">
        <f t="shared" si="4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5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6"/>
        <v>0</v>
      </c>
      <c r="O61" s="5">
        <v>58</v>
      </c>
      <c r="P61" s="14"/>
      <c r="Q61" s="7">
        <v>0</v>
      </c>
      <c r="R61" s="45">
        <v>0</v>
      </c>
      <c r="S61" s="7">
        <f t="shared" si="4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5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6"/>
        <v>0</v>
      </c>
      <c r="O62" s="5">
        <v>59</v>
      </c>
      <c r="P62" s="14"/>
      <c r="Q62" s="7">
        <v>0</v>
      </c>
      <c r="R62" s="45">
        <v>0</v>
      </c>
      <c r="S62" s="7">
        <f t="shared" si="4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5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6"/>
        <v>0</v>
      </c>
      <c r="O63" s="5">
        <v>60</v>
      </c>
      <c r="P63" s="14"/>
      <c r="Q63" s="7">
        <v>0</v>
      </c>
      <c r="R63" s="45">
        <v>0</v>
      </c>
      <c r="S63" s="7">
        <f t="shared" si="4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5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6"/>
        <v>0</v>
      </c>
      <c r="O64" s="5">
        <v>61</v>
      </c>
      <c r="P64" s="14"/>
      <c r="Q64" s="7">
        <v>0</v>
      </c>
      <c r="R64" s="45">
        <v>0</v>
      </c>
      <c r="S64" s="7">
        <f t="shared" si="4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5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+'29'!G65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6"/>
        <v>0</v>
      </c>
      <c r="O65" s="5">
        <v>62</v>
      </c>
      <c r="P65" s="14"/>
      <c r="Q65" s="7">
        <v>0</v>
      </c>
      <c r="R65" s="45">
        <v>0</v>
      </c>
      <c r="S65" s="7">
        <f t="shared" si="4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5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6"/>
        <v>0</v>
      </c>
      <c r="O66" s="5">
        <v>63</v>
      </c>
      <c r="P66" s="14"/>
      <c r="Q66" s="7">
        <v>0</v>
      </c>
      <c r="R66" s="45">
        <v>0</v>
      </c>
      <c r="S66" s="7">
        <f t="shared" si="4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5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6"/>
        <v>0</v>
      </c>
      <c r="O67" s="5">
        <v>64</v>
      </c>
      <c r="P67" s="14"/>
      <c r="Q67" s="7">
        <v>0</v>
      </c>
      <c r="R67" s="45">
        <v>0</v>
      </c>
      <c r="S67" s="7">
        <f t="shared" si="4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5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6"/>
        <v>0</v>
      </c>
      <c r="O68" s="5">
        <v>65</v>
      </c>
      <c r="P68" s="14"/>
      <c r="Q68" s="7">
        <v>0</v>
      </c>
      <c r="R68" s="45">
        <v>0</v>
      </c>
      <c r="S68" s="7">
        <f t="shared" si="4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5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+'29'!G69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+'29'!G78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+'29'!G84</f>
        <v>6</v>
      </c>
      <c r="D84" s="45">
        <v>0</v>
      </c>
      <c r="E84" s="7">
        <f t="shared" si="0"/>
        <v>6</v>
      </c>
      <c r="F84" s="45">
        <v>0</v>
      </c>
      <c r="G84" s="93">
        <f t="shared" si="1"/>
        <v>4</v>
      </c>
      <c r="H84" s="51">
        <v>2</v>
      </c>
      <c r="I84" s="8">
        <v>100</v>
      </c>
      <c r="J84" s="9">
        <f t="shared" si="8"/>
        <v>200</v>
      </c>
      <c r="K84" s="10" t="s">
        <v>16</v>
      </c>
      <c r="L84" s="11">
        <v>0</v>
      </c>
      <c r="M84" s="12">
        <f t="shared" si="9"/>
        <v>200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+'29'!G85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+'29'!G86</f>
        <v>6</v>
      </c>
      <c r="D86" s="45">
        <v>0</v>
      </c>
      <c r="E86" s="7">
        <f t="shared" si="0"/>
        <v>6</v>
      </c>
      <c r="F86" s="45">
        <v>0</v>
      </c>
      <c r="G86" s="93">
        <f t="shared" si="1"/>
        <v>5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+'29'!G87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+'29'!G88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+'29'!G94</f>
        <v>1</v>
      </c>
      <c r="D94" s="45">
        <v>0</v>
      </c>
      <c r="E94" s="7">
        <f t="shared" ref="E94:E157" si="12">C94+D94</f>
        <v>1</v>
      </c>
      <c r="F94" s="45">
        <v>0</v>
      </c>
      <c r="G94" s="93">
        <f t="shared" ref="G94:G157" si="13">E94-F94-H94</f>
        <v>0</v>
      </c>
      <c r="H94" s="51">
        <v>1</v>
      </c>
      <c r="I94" s="8">
        <v>120</v>
      </c>
      <c r="J94" s="9">
        <f t="shared" si="8"/>
        <v>120</v>
      </c>
      <c r="K94" s="10" t="s">
        <v>247</v>
      </c>
      <c r="L94" s="11">
        <v>60</v>
      </c>
      <c r="M94" s="12">
        <f t="shared" si="9"/>
        <v>60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+'29'!G100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+'29'!G101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+'29'!G149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+'29'!G175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+'29'!G177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+'29'!G196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7">
        <f>+'29'!G197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+'29'!G198</f>
        <v>5</v>
      </c>
      <c r="D198" s="45">
        <v>0</v>
      </c>
      <c r="E198" s="7">
        <f t="shared" si="16"/>
        <v>5</v>
      </c>
      <c r="F198" s="45">
        <v>0</v>
      </c>
      <c r="G198" s="7">
        <f t="shared" si="17"/>
        <v>0</v>
      </c>
      <c r="H198" s="51">
        <v>5</v>
      </c>
      <c r="I198" s="8">
        <v>40</v>
      </c>
      <c r="J198" s="9">
        <f t="shared" si="18"/>
        <v>200</v>
      </c>
      <c r="K198" s="10" t="s">
        <v>247</v>
      </c>
      <c r="L198" s="11">
        <v>100</v>
      </c>
      <c r="M198" s="12">
        <f t="shared" si="19"/>
        <v>100</v>
      </c>
    </row>
    <row r="199" spans="1:26" ht="25.5" x14ac:dyDescent="0.55000000000000004">
      <c r="A199" s="5">
        <v>196</v>
      </c>
      <c r="B199" s="14" t="s">
        <v>263</v>
      </c>
      <c r="C199" s="7">
        <f>+'29'!G199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1310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160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1150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1150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1150</v>
      </c>
    </row>
    <row r="218" spans="1:13" x14ac:dyDescent="0.5">
      <c r="G218" s="2"/>
      <c r="I218" s="2"/>
      <c r="J218" s="2" t="s">
        <v>218</v>
      </c>
      <c r="K218" s="41">
        <f>SUM(K207:K210)</f>
        <v>0</v>
      </c>
    </row>
    <row r="219" spans="1:13" x14ac:dyDescent="0.5">
      <c r="G219" s="2"/>
      <c r="I219" s="2"/>
      <c r="J219" s="2" t="s">
        <v>219</v>
      </c>
      <c r="K219" s="41">
        <f>+K213</f>
        <v>1150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5D5D-DB05-473B-BB6E-B3A7B16B5802}">
  <sheetPr>
    <tabColor theme="7" tint="0.79998168889431442"/>
  </sheetPr>
  <dimension ref="A1:Z290"/>
  <sheetViews>
    <sheetView zoomScale="90" zoomScaleNormal="90" workbookViewId="0">
      <pane ySplit="3" topLeftCell="A205" activePane="bottomLeft" state="frozen"/>
      <selection pane="bottomLeft" activeCell="M208" sqref="M208"/>
    </sheetView>
  </sheetViews>
  <sheetFormatPr defaultColWidth="9" defaultRowHeight="24.75" x14ac:dyDescent="0.5"/>
  <cols>
    <col min="1" max="1" width="6.625" style="2" customWidth="1"/>
    <col min="2" max="2" width="33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5" t="s">
        <v>256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O1" s="146" t="s">
        <v>0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spans="1:26" s="4" customFormat="1" ht="26.25" x14ac:dyDescent="0.55000000000000004">
      <c r="A2" s="144" t="s">
        <v>1</v>
      </c>
      <c r="B2" s="144" t="s">
        <v>2</v>
      </c>
      <c r="C2" s="141" t="s">
        <v>3</v>
      </c>
      <c r="D2" s="141" t="s">
        <v>4</v>
      </c>
      <c r="E2" s="141" t="s">
        <v>5</v>
      </c>
      <c r="F2" s="46" t="s">
        <v>6</v>
      </c>
      <c r="G2" s="147" t="s">
        <v>7</v>
      </c>
      <c r="H2" s="149" t="s">
        <v>8</v>
      </c>
      <c r="I2" s="150"/>
      <c r="J2" s="151"/>
      <c r="K2" s="152" t="s">
        <v>9</v>
      </c>
      <c r="L2" s="137" t="s">
        <v>10</v>
      </c>
      <c r="O2" s="144" t="s">
        <v>1</v>
      </c>
      <c r="P2" s="144" t="s">
        <v>2</v>
      </c>
      <c r="Q2" s="141" t="s">
        <v>3</v>
      </c>
      <c r="R2" s="141" t="s">
        <v>4</v>
      </c>
      <c r="S2" s="141" t="s">
        <v>5</v>
      </c>
      <c r="T2" s="46" t="s">
        <v>6</v>
      </c>
      <c r="U2" s="147" t="s">
        <v>7</v>
      </c>
      <c r="V2" s="149" t="s">
        <v>8</v>
      </c>
      <c r="W2" s="150"/>
      <c r="X2" s="151"/>
      <c r="Y2" s="152" t="s">
        <v>9</v>
      </c>
      <c r="Z2" s="137" t="s">
        <v>10</v>
      </c>
    </row>
    <row r="3" spans="1:26" s="4" customFormat="1" ht="27" thickBot="1" x14ac:dyDescent="0.6">
      <c r="A3" s="144"/>
      <c r="B3" s="144"/>
      <c r="C3" s="142"/>
      <c r="D3" s="142"/>
      <c r="E3" s="142"/>
      <c r="F3" s="47" t="s">
        <v>11</v>
      </c>
      <c r="G3" s="148"/>
      <c r="H3" s="48" t="s">
        <v>12</v>
      </c>
      <c r="I3" s="49" t="s">
        <v>13</v>
      </c>
      <c r="J3" s="50" t="s">
        <v>14</v>
      </c>
      <c r="K3" s="153"/>
      <c r="L3" s="137"/>
      <c r="O3" s="144"/>
      <c r="P3" s="144"/>
      <c r="Q3" s="142"/>
      <c r="R3" s="142"/>
      <c r="S3" s="142"/>
      <c r="T3" s="47" t="s">
        <v>11</v>
      </c>
      <c r="U3" s="148"/>
      <c r="V3" s="48" t="s">
        <v>12</v>
      </c>
      <c r="W3" s="49" t="s">
        <v>13</v>
      </c>
      <c r="X3" s="50" t="s">
        <v>14</v>
      </c>
      <c r="Y3" s="153"/>
      <c r="Z3" s="137"/>
    </row>
    <row r="4" spans="1:26" ht="25.5" x14ac:dyDescent="0.55000000000000004">
      <c r="A4" s="5">
        <v>1</v>
      </c>
      <c r="B4" s="6" t="s">
        <v>15</v>
      </c>
      <c r="C4" s="7">
        <f>+'30'!G4</f>
        <v>10</v>
      </c>
      <c r="D4" s="45">
        <v>0</v>
      </c>
      <c r="E4" s="7">
        <f t="shared" ref="E4:E93" si="0">C4+D4</f>
        <v>10</v>
      </c>
      <c r="F4" s="45">
        <v>0</v>
      </c>
      <c r="G4" s="93">
        <f t="shared" ref="G4:G93" si="1">E4-F4-H4</f>
        <v>10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+'30'!G5</f>
        <v>44</v>
      </c>
      <c r="D5" s="45">
        <v>0</v>
      </c>
      <c r="E5" s="7">
        <f t="shared" si="0"/>
        <v>44</v>
      </c>
      <c r="F5" s="45">
        <v>0</v>
      </c>
      <c r="G5" s="93">
        <f t="shared" si="1"/>
        <v>44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+'30'!G6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+'30'!G7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+'30'!G8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+'30'!G9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+'30'!G10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+'30'!G11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+'30'!G12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+'30'!G13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+'30'!G14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+'30'!G15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+'30'!G16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+'30'!G17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+'30'!G18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+'30'!G19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+'30'!G20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+'30'!G21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+'30'!G22</f>
        <v>22</v>
      </c>
      <c r="D22" s="45">
        <v>0</v>
      </c>
      <c r="E22" s="7">
        <f t="shared" si="0"/>
        <v>22</v>
      </c>
      <c r="F22" s="45">
        <v>0</v>
      </c>
      <c r="G22" s="93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+'30'!G23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+'30'!G24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+'30'!G25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+'30'!G26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+'30'!G27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+'30'!G28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+'30'!G29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+'30'!G30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+'30'!G31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+'30'!G32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+'30'!G33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+'30'!G34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+'30'!G35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+'30'!G36</f>
        <v>18</v>
      </c>
      <c r="D36" s="45">
        <v>0</v>
      </c>
      <c r="E36" s="7">
        <f t="shared" si="0"/>
        <v>18</v>
      </c>
      <c r="F36" s="45">
        <v>0</v>
      </c>
      <c r="G36" s="93">
        <f t="shared" si="1"/>
        <v>15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+'30'!G37</f>
        <v>8</v>
      </c>
      <c r="D37" s="45">
        <v>0</v>
      </c>
      <c r="E37" s="7">
        <f t="shared" si="0"/>
        <v>8</v>
      </c>
      <c r="F37" s="45">
        <v>0</v>
      </c>
      <c r="G37" s="93">
        <f t="shared" si="1"/>
        <v>7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+'30'!G38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+'30'!G39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+'30'!G40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+'30'!G41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+'30'!G42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+'30'!G43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+'30'!G44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+'30'!G45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+'30'!G46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+'30'!G47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+'30'!G48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+'30'!G49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+'30'!G50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+'30'!G51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+'30'!G52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+'30'!G53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+'30'!G54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+'30'!G55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+'30'!G56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+'30'!G57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+'30'!G58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+'30'!G59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+'30'!G60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+'30'!G61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+'30'!G62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+'30'!G63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+'30'!G64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+'30'!G65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+'30'!G66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+'30'!G67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+'30'!G68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+'30'!G69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+'30'!G70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+'30'!G71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+'30'!G72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+'30'!G73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+'30'!G74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+'30'!G75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+'30'!G76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+'30'!G77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+'30'!G78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+'30'!G79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+'30'!G80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+'30'!G81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+'30'!G82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+'30'!G83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+'30'!G84</f>
        <v>4</v>
      </c>
      <c r="D84" s="45">
        <v>0</v>
      </c>
      <c r="E84" s="7">
        <f t="shared" si="0"/>
        <v>4</v>
      </c>
      <c r="F84" s="45">
        <v>0</v>
      </c>
      <c r="G84" s="93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+'30'!G85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+'30'!G86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+'30'!G87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+'30'!G88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+'30'!G89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+'30'!G90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+'30'!G91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+'30'!G92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+'30'!G93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+'30'!G94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+'30'!G95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+'30'!G96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+'30'!G97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+'30'!G98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+'30'!G99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+'30'!G100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+'30'!G101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+'30'!G102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+'30'!G103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+'30'!G104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+'30'!G105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+'30'!G106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8" t="s">
        <v>119</v>
      </c>
      <c r="Q106" s="139"/>
      <c r="R106" s="139"/>
      <c r="S106" s="139"/>
      <c r="T106" s="139"/>
      <c r="U106" s="139"/>
      <c r="V106" s="139"/>
      <c r="W106" s="140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+'30'!G107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+'30'!G108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+'30'!G109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+'30'!G110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+'30'!G111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+'30'!G112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+'30'!G113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+'30'!G114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+'30'!G115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+'30'!G116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+'30'!G117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+'30'!G118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+'30'!G119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+'30'!G120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+'30'!G121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+'30'!G122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+'30'!G123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+'30'!G124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+'30'!G125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+'30'!G126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+'30'!G127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+'30'!G128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+'30'!G129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+'30'!G130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+'30'!G131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+'30'!G132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+'30'!G133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+'30'!G134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+'30'!G135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+'30'!G136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+'30'!G137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+'30'!G138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+'30'!G139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+'30'!G140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+'30'!G141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+'30'!G142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+'30'!G143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+'30'!G144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+'30'!G145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+'30'!G146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+'30'!G147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+'30'!G148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253</v>
      </c>
      <c r="C149" s="7">
        <f>+'30'!G149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+'30'!G150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+'30'!G151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+'30'!G152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+'30'!G153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+'30'!G154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+'30'!G155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+'30'!G156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+'30'!G157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+'30'!G158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+'30'!G159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+'30'!G160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+'30'!G161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+'30'!G162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+'30'!G163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+'30'!G164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+'30'!G165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+'30'!G166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+'30'!G167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+'30'!G168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+'30'!G169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+'30'!G170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+'30'!G171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+'30'!G172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+'30'!G173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+'30'!G174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+'30'!G175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+'30'!G176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+'30'!G177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+'30'!G178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+'30'!G179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+'30'!G180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+'30'!G181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+'30'!G182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+'30'!G183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+'30'!G184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+'30'!G185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+'30'!G186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+'30'!G187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+'30'!G188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+'30'!G189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+'30'!G190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+'30'!G191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+'30'!G192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+'30'!G193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+'30'!G194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+'30'!G195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252</v>
      </c>
      <c r="C196" s="7">
        <f>+'30'!G196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 t="s">
        <v>257</v>
      </c>
      <c r="C197" s="95">
        <f>+'30'!G197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 t="s">
        <v>262</v>
      </c>
      <c r="C198" s="7">
        <f>+'30'!G198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 t="s">
        <v>263</v>
      </c>
      <c r="C199" s="7">
        <f>+'30'!G199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+'30'!G200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+'30'!G201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+'30'!G202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+'30'!G203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3" t="s">
        <v>205</v>
      </c>
      <c r="N204" s="143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4" t="s">
        <v>206</v>
      </c>
      <c r="I205" s="135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6" t="s">
        <v>207</v>
      </c>
      <c r="J206" s="136"/>
      <c r="K206" s="36">
        <f>SUM(J4:J205)</f>
        <v>350</v>
      </c>
    </row>
    <row r="207" spans="1:26" ht="25.5" x14ac:dyDescent="0.55000000000000004">
      <c r="A207" s="1"/>
      <c r="C207" s="34"/>
      <c r="E207" s="34"/>
      <c r="G207" s="34"/>
      <c r="I207" s="132" t="s">
        <v>208</v>
      </c>
      <c r="J207" s="133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 x14ac:dyDescent="0.55000000000000004">
      <c r="A209" s="1"/>
      <c r="C209" s="34"/>
      <c r="E209" s="34"/>
      <c r="G209" s="34"/>
      <c r="I209" s="132" t="s">
        <v>210</v>
      </c>
      <c r="J209" s="133"/>
      <c r="K209" s="39">
        <v>0</v>
      </c>
    </row>
    <row r="210" spans="1:13" ht="25.5" x14ac:dyDescent="0.55000000000000004">
      <c r="A210" s="1"/>
      <c r="C210" s="34"/>
      <c r="E210" s="34"/>
      <c r="G210" s="2"/>
      <c r="I210" s="132" t="s">
        <v>211</v>
      </c>
      <c r="J210" s="133"/>
      <c r="K210" s="39">
        <v>0</v>
      </c>
    </row>
    <row r="211" spans="1:13" ht="25.5" x14ac:dyDescent="0.55000000000000004">
      <c r="A211" s="1"/>
      <c r="C211" s="34"/>
      <c r="E211" s="34"/>
      <c r="G211" s="34"/>
      <c r="I211" s="132" t="s">
        <v>212</v>
      </c>
      <c r="J211" s="133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32" t="s">
        <v>213</v>
      </c>
      <c r="J212" s="133"/>
      <c r="K212" s="36">
        <f>K206-K207-K208-K210-K211</f>
        <v>250</v>
      </c>
      <c r="M212" s="41"/>
    </row>
    <row r="213" spans="1:13" ht="25.5" x14ac:dyDescent="0.55000000000000004">
      <c r="A213" s="1"/>
      <c r="C213" s="34"/>
      <c r="E213" s="34"/>
      <c r="G213" s="34"/>
      <c r="I213" s="132" t="s">
        <v>214</v>
      </c>
      <c r="J213" s="133"/>
      <c r="K213" s="40">
        <v>250</v>
      </c>
    </row>
    <row r="214" spans="1:13" ht="25.5" x14ac:dyDescent="0.55000000000000004">
      <c r="A214" s="1"/>
      <c r="C214" s="34"/>
      <c r="E214" s="34"/>
      <c r="G214" s="34"/>
      <c r="I214" s="132" t="s">
        <v>215</v>
      </c>
      <c r="J214" s="133"/>
      <c r="K214" s="36">
        <f>+K213-K212</f>
        <v>0</v>
      </c>
    </row>
    <row r="215" spans="1:13" ht="25.5" x14ac:dyDescent="0.55000000000000004">
      <c r="G215" s="2"/>
      <c r="I215" s="132" t="s">
        <v>216</v>
      </c>
      <c r="J215" s="133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350</v>
      </c>
    </row>
    <row r="218" spans="1:13" x14ac:dyDescent="0.5">
      <c r="G218" s="2"/>
      <c r="I218" s="2"/>
      <c r="J218" s="2" t="s">
        <v>218</v>
      </c>
      <c r="K218" s="41">
        <f>SUM(K207:K210)</f>
        <v>100</v>
      </c>
    </row>
    <row r="219" spans="1:13" x14ac:dyDescent="0.5">
      <c r="G219" s="2"/>
      <c r="I219" s="2"/>
      <c r="J219" s="2" t="s">
        <v>219</v>
      </c>
      <c r="K219" s="41">
        <f>+K213</f>
        <v>250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2024-02-18T09:25:16Z</cp:lastPrinted>
  <dcterms:created xsi:type="dcterms:W3CDTF">2024-02-13T02:44:31Z</dcterms:created>
  <dcterms:modified xsi:type="dcterms:W3CDTF">2024-06-03T05:06:52Z</dcterms:modified>
</cp:coreProperties>
</file>