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Stock บูธ\ปี 67\5.พ.ค\"/>
    </mc:Choice>
  </mc:AlternateContent>
  <xr:revisionPtr revIDLastSave="0" documentId="13_ncr:1_{69D770CD-69DF-4D1C-9A24-19126CF846FD}" xr6:coauthVersionLast="47" xr6:coauthVersionMax="47" xr10:uidLastSave="{00000000-0000-0000-0000-000000000000}"/>
  <bookViews>
    <workbookView xWindow="-120" yWindow="-120" windowWidth="29040" windowHeight="15720" tabRatio="796" xr2:uid="{76FADAC9-1357-483E-81C7-5B1CD6A187A9}"/>
  </bookViews>
  <sheets>
    <sheet name="สรุป" sheetId="2" r:id="rId1"/>
    <sheet name="ยกมา" sheetId="31" r:id="rId2"/>
    <sheet name="1" sheetId="36" r:id="rId3"/>
    <sheet name="2" sheetId="37" r:id="rId4"/>
    <sheet name="3" sheetId="28" r:id="rId5"/>
    <sheet name="4" sheetId="5" r:id="rId6"/>
    <sheet name="5" sheetId="6" r:id="rId7"/>
    <sheet name="6" sheetId="7" r:id="rId8"/>
    <sheet name="7" sheetId="8" r:id="rId9"/>
    <sheet name="8" sheetId="29" r:id="rId10"/>
    <sheet name="9" sheetId="9" r:id="rId11"/>
    <sheet name="10" sheetId="10" r:id="rId12"/>
    <sheet name="11" sheetId="30" r:id="rId13"/>
    <sheet name="12" sheetId="11" r:id="rId14"/>
    <sheet name="13" sheetId="12" r:id="rId15"/>
    <sheet name="14" sheetId="13" r:id="rId16"/>
    <sheet name="15" sheetId="32" r:id="rId17"/>
    <sheet name="16" sheetId="14" r:id="rId18"/>
    <sheet name="17" sheetId="15" r:id="rId19"/>
    <sheet name="18" sheetId="33" r:id="rId20"/>
    <sheet name="19" sheetId="38" r:id="rId21"/>
    <sheet name="20" sheetId="39" r:id="rId22"/>
    <sheet name="21" sheetId="40" r:id="rId23"/>
    <sheet name="22" sheetId="41" r:id="rId24"/>
    <sheet name="23" sheetId="42" r:id="rId25"/>
    <sheet name="24" sheetId="43" r:id="rId26"/>
    <sheet name="25" sheetId="44" r:id="rId27"/>
    <sheet name="26" sheetId="45" r:id="rId28"/>
    <sheet name="27" sheetId="46" r:id="rId29"/>
    <sheet name="28" sheetId="47" r:id="rId30"/>
    <sheet name="29" sheetId="48" r:id="rId31"/>
    <sheet name="30" sheetId="49" r:id="rId32"/>
    <sheet name="31" sheetId="50" r:id="rId33"/>
  </sheets>
  <externalReferences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6" i="31" l="1"/>
  <c r="K98" i="31"/>
  <c r="K95" i="31"/>
  <c r="K105" i="31" s="1"/>
  <c r="J90" i="31"/>
  <c r="M90" i="31" s="1"/>
  <c r="C90" i="31"/>
  <c r="E90" i="31" s="1"/>
  <c r="G90" i="31" s="1"/>
  <c r="C90" i="36" s="1"/>
  <c r="J89" i="31"/>
  <c r="M89" i="31" s="1"/>
  <c r="C89" i="31"/>
  <c r="E89" i="31" s="1"/>
  <c r="G89" i="31" s="1"/>
  <c r="C89" i="36" s="1"/>
  <c r="J88" i="31"/>
  <c r="M88" i="31" s="1"/>
  <c r="C88" i="31"/>
  <c r="E88" i="31" s="1"/>
  <c r="G88" i="31" s="1"/>
  <c r="C88" i="36" s="1"/>
  <c r="J87" i="31"/>
  <c r="M87" i="31" s="1"/>
  <c r="C87" i="31"/>
  <c r="E87" i="31" s="1"/>
  <c r="G87" i="31" s="1"/>
  <c r="C87" i="36" s="1"/>
  <c r="J86" i="31"/>
  <c r="M86" i="31" s="1"/>
  <c r="C86" i="31"/>
  <c r="E86" i="31" s="1"/>
  <c r="G86" i="31" s="1"/>
  <c r="C86" i="36" s="1"/>
  <c r="J85" i="31"/>
  <c r="M85" i="31" s="1"/>
  <c r="C85" i="31"/>
  <c r="E85" i="31" s="1"/>
  <c r="G85" i="31" s="1"/>
  <c r="C85" i="36" s="1"/>
  <c r="J84" i="31"/>
  <c r="M84" i="31" s="1"/>
  <c r="E84" i="31"/>
  <c r="G84" i="31" s="1"/>
  <c r="C84" i="36" s="1"/>
  <c r="C84" i="31"/>
  <c r="M83" i="31"/>
  <c r="J83" i="31"/>
  <c r="C83" i="31"/>
  <c r="E83" i="31" s="1"/>
  <c r="G83" i="31" s="1"/>
  <c r="C83" i="36" s="1"/>
  <c r="J82" i="31"/>
  <c r="M82" i="31" s="1"/>
  <c r="C82" i="31"/>
  <c r="E82" i="31" s="1"/>
  <c r="G82" i="31" s="1"/>
  <c r="C82" i="36" s="1"/>
  <c r="J81" i="31"/>
  <c r="M81" i="31" s="1"/>
  <c r="E81" i="31"/>
  <c r="G81" i="31" s="1"/>
  <c r="C81" i="36" s="1"/>
  <c r="C81" i="31"/>
  <c r="J80" i="31"/>
  <c r="M80" i="31" s="1"/>
  <c r="C80" i="31"/>
  <c r="E80" i="31" s="1"/>
  <c r="G80" i="31" s="1"/>
  <c r="C80" i="36" s="1"/>
  <c r="J79" i="31"/>
  <c r="M79" i="31" s="1"/>
  <c r="C79" i="31"/>
  <c r="E79" i="31" s="1"/>
  <c r="G79" i="31" s="1"/>
  <c r="C79" i="36" s="1"/>
  <c r="J78" i="31"/>
  <c r="M78" i="31" s="1"/>
  <c r="C78" i="31"/>
  <c r="E78" i="31" s="1"/>
  <c r="G78" i="31" s="1"/>
  <c r="C78" i="36" s="1"/>
  <c r="J77" i="31"/>
  <c r="M77" i="31" s="1"/>
  <c r="C77" i="31"/>
  <c r="E77" i="31" s="1"/>
  <c r="G77" i="31" s="1"/>
  <c r="C77" i="36" s="1"/>
  <c r="J76" i="31"/>
  <c r="M76" i="31" s="1"/>
  <c r="E76" i="31"/>
  <c r="G76" i="31" s="1"/>
  <c r="C76" i="36" s="1"/>
  <c r="C76" i="31"/>
  <c r="J75" i="31"/>
  <c r="M75" i="31" s="1"/>
  <c r="C75" i="31"/>
  <c r="E75" i="31" s="1"/>
  <c r="G75" i="31" s="1"/>
  <c r="C75" i="36" s="1"/>
  <c r="J74" i="31"/>
  <c r="M74" i="31" s="1"/>
  <c r="C74" i="31"/>
  <c r="E74" i="31" s="1"/>
  <c r="G74" i="31" s="1"/>
  <c r="C74" i="36" s="1"/>
  <c r="J73" i="31"/>
  <c r="M73" i="31" s="1"/>
  <c r="E73" i="31"/>
  <c r="G73" i="31" s="1"/>
  <c r="C73" i="36" s="1"/>
  <c r="C73" i="31"/>
  <c r="J72" i="31"/>
  <c r="M72" i="31" s="1"/>
  <c r="E72" i="31"/>
  <c r="G72" i="31" s="1"/>
  <c r="C72" i="36" s="1"/>
  <c r="C72" i="31"/>
  <c r="J71" i="31"/>
  <c r="M71" i="31" s="1"/>
  <c r="C71" i="31"/>
  <c r="E71" i="31" s="1"/>
  <c r="G71" i="31" s="1"/>
  <c r="C71" i="36" s="1"/>
  <c r="J70" i="31"/>
  <c r="M70" i="31" s="1"/>
  <c r="C70" i="31"/>
  <c r="E70" i="31" s="1"/>
  <c r="G70" i="31" s="1"/>
  <c r="C70" i="36" s="1"/>
  <c r="J69" i="31"/>
  <c r="M69" i="31" s="1"/>
  <c r="C69" i="31"/>
  <c r="E69" i="31" s="1"/>
  <c r="G69" i="31" s="1"/>
  <c r="C69" i="36" s="1"/>
  <c r="J68" i="31"/>
  <c r="M68" i="31" s="1"/>
  <c r="C68" i="31"/>
  <c r="E68" i="31" s="1"/>
  <c r="G68" i="31" s="1"/>
  <c r="C68" i="36" s="1"/>
  <c r="M67" i="31"/>
  <c r="J67" i="31"/>
  <c r="C67" i="31"/>
  <c r="E67" i="31" s="1"/>
  <c r="G67" i="31" s="1"/>
  <c r="C67" i="36" s="1"/>
  <c r="J66" i="31"/>
  <c r="M66" i="31" s="1"/>
  <c r="C66" i="31"/>
  <c r="E66" i="31" s="1"/>
  <c r="G66" i="31" s="1"/>
  <c r="C66" i="36" s="1"/>
  <c r="J65" i="31"/>
  <c r="M65" i="31" s="1"/>
  <c r="C65" i="31"/>
  <c r="E65" i="31" s="1"/>
  <c r="G65" i="31" s="1"/>
  <c r="C65" i="36" s="1"/>
  <c r="J64" i="31"/>
  <c r="M64" i="31" s="1"/>
  <c r="C64" i="31"/>
  <c r="E64" i="31" s="1"/>
  <c r="G64" i="31" s="1"/>
  <c r="C64" i="36" s="1"/>
  <c r="J63" i="31"/>
  <c r="M63" i="31" s="1"/>
  <c r="C63" i="31"/>
  <c r="E63" i="31" s="1"/>
  <c r="G63" i="31" s="1"/>
  <c r="C63" i="36" s="1"/>
  <c r="J62" i="31"/>
  <c r="M62" i="31" s="1"/>
  <c r="C62" i="31"/>
  <c r="E62" i="31" s="1"/>
  <c r="G62" i="31" s="1"/>
  <c r="C62" i="36" s="1"/>
  <c r="J61" i="31"/>
  <c r="M61" i="31" s="1"/>
  <c r="C61" i="31"/>
  <c r="E61" i="31" s="1"/>
  <c r="G61" i="31" s="1"/>
  <c r="C61" i="36" s="1"/>
  <c r="J60" i="31"/>
  <c r="M60" i="31" s="1"/>
  <c r="E60" i="31"/>
  <c r="G60" i="31" s="1"/>
  <c r="C60" i="36" s="1"/>
  <c r="C60" i="31"/>
  <c r="M59" i="31"/>
  <c r="J59" i="31"/>
  <c r="C59" i="31"/>
  <c r="E59" i="31" s="1"/>
  <c r="G59" i="31" s="1"/>
  <c r="C59" i="36" s="1"/>
  <c r="J58" i="31"/>
  <c r="M58" i="31" s="1"/>
  <c r="E58" i="31"/>
  <c r="G58" i="31" s="1"/>
  <c r="C58" i="36" s="1"/>
  <c r="C58" i="31"/>
  <c r="J57" i="31"/>
  <c r="M57" i="31" s="1"/>
  <c r="E57" i="31"/>
  <c r="G57" i="31" s="1"/>
  <c r="C57" i="36" s="1"/>
  <c r="C57" i="31"/>
  <c r="J56" i="31"/>
  <c r="M56" i="31" s="1"/>
  <c r="C56" i="31"/>
  <c r="E56" i="31" s="1"/>
  <c r="G56" i="31" s="1"/>
  <c r="C56" i="36" s="1"/>
  <c r="J55" i="31"/>
  <c r="M55" i="31" s="1"/>
  <c r="C55" i="31"/>
  <c r="E55" i="31" s="1"/>
  <c r="G55" i="31" s="1"/>
  <c r="C55" i="36" s="1"/>
  <c r="J54" i="31"/>
  <c r="M54" i="31" s="1"/>
  <c r="C54" i="31"/>
  <c r="E54" i="31" s="1"/>
  <c r="G54" i="31" s="1"/>
  <c r="C54" i="36" s="1"/>
  <c r="J53" i="31"/>
  <c r="M53" i="31" s="1"/>
  <c r="C53" i="31"/>
  <c r="E53" i="31" s="1"/>
  <c r="G53" i="31" s="1"/>
  <c r="C53" i="36" s="1"/>
  <c r="J52" i="31"/>
  <c r="M52" i="31" s="1"/>
  <c r="C52" i="31"/>
  <c r="E52" i="31" s="1"/>
  <c r="G52" i="31" s="1"/>
  <c r="C52" i="36" s="1"/>
  <c r="J51" i="31"/>
  <c r="M51" i="31" s="1"/>
  <c r="C51" i="31"/>
  <c r="E51" i="31" s="1"/>
  <c r="G51" i="31" s="1"/>
  <c r="C51" i="36" s="1"/>
  <c r="J50" i="31"/>
  <c r="M50" i="31" s="1"/>
  <c r="C50" i="31"/>
  <c r="E50" i="31" s="1"/>
  <c r="G50" i="31" s="1"/>
  <c r="C50" i="36" s="1"/>
  <c r="J49" i="31"/>
  <c r="M49" i="31" s="1"/>
  <c r="C49" i="31"/>
  <c r="E49" i="31" s="1"/>
  <c r="G49" i="31" s="1"/>
  <c r="C49" i="36" s="1"/>
  <c r="M48" i="31"/>
  <c r="C48" i="31"/>
  <c r="E48" i="31" s="1"/>
  <c r="G48" i="31" s="1"/>
  <c r="C48" i="36" s="1"/>
  <c r="J47" i="31"/>
  <c r="M47" i="31" s="1"/>
  <c r="E47" i="31"/>
  <c r="G47" i="31" s="1"/>
  <c r="C47" i="36" s="1"/>
  <c r="C47" i="31"/>
  <c r="M46" i="31"/>
  <c r="J46" i="31"/>
  <c r="C46" i="31"/>
  <c r="E46" i="31" s="1"/>
  <c r="G46" i="31" s="1"/>
  <c r="C46" i="36" s="1"/>
  <c r="J45" i="31"/>
  <c r="M45" i="31" s="1"/>
  <c r="C45" i="31"/>
  <c r="E45" i="31" s="1"/>
  <c r="G45" i="31" s="1"/>
  <c r="C45" i="36" s="1"/>
  <c r="M44" i="31"/>
  <c r="J44" i="31"/>
  <c r="E44" i="31"/>
  <c r="G44" i="31" s="1"/>
  <c r="C44" i="36" s="1"/>
  <c r="C44" i="31"/>
  <c r="J43" i="31"/>
  <c r="M43" i="31" s="1"/>
  <c r="C43" i="31"/>
  <c r="E43" i="31" s="1"/>
  <c r="G43" i="31" s="1"/>
  <c r="C43" i="36" s="1"/>
  <c r="J42" i="31"/>
  <c r="M42" i="31" s="1"/>
  <c r="C42" i="31"/>
  <c r="E42" i="31" s="1"/>
  <c r="G42" i="31" s="1"/>
  <c r="C42" i="36" s="1"/>
  <c r="J41" i="31"/>
  <c r="M41" i="31" s="1"/>
  <c r="E41" i="31"/>
  <c r="G41" i="31" s="1"/>
  <c r="C41" i="36" s="1"/>
  <c r="C41" i="31"/>
  <c r="J40" i="31"/>
  <c r="M40" i="31" s="1"/>
  <c r="C40" i="31"/>
  <c r="E40" i="31" s="1"/>
  <c r="G40" i="31" s="1"/>
  <c r="C40" i="36" s="1"/>
  <c r="J39" i="31"/>
  <c r="M39" i="31" s="1"/>
  <c r="E39" i="31"/>
  <c r="G39" i="31" s="1"/>
  <c r="C39" i="36" s="1"/>
  <c r="C39" i="31"/>
  <c r="J38" i="31"/>
  <c r="M38" i="31" s="1"/>
  <c r="C38" i="31"/>
  <c r="E38" i="31" s="1"/>
  <c r="G38" i="31" s="1"/>
  <c r="C38" i="36" s="1"/>
  <c r="M37" i="31"/>
  <c r="J37" i="31"/>
  <c r="C37" i="31"/>
  <c r="E37" i="31" s="1"/>
  <c r="G37" i="31" s="1"/>
  <c r="C37" i="36" s="1"/>
  <c r="J36" i="31"/>
  <c r="M36" i="31" s="1"/>
  <c r="E36" i="31"/>
  <c r="G36" i="31" s="1"/>
  <c r="C36" i="36" s="1"/>
  <c r="C36" i="31"/>
  <c r="J35" i="31"/>
  <c r="M35" i="31" s="1"/>
  <c r="C35" i="31"/>
  <c r="E35" i="31" s="1"/>
  <c r="G35" i="31" s="1"/>
  <c r="C35" i="36" s="1"/>
  <c r="M34" i="31"/>
  <c r="J34" i="31"/>
  <c r="C34" i="31"/>
  <c r="E34" i="31" s="1"/>
  <c r="G34" i="31" s="1"/>
  <c r="C34" i="36" s="1"/>
  <c r="J33" i="31"/>
  <c r="M33" i="31" s="1"/>
  <c r="C33" i="31"/>
  <c r="E33" i="31" s="1"/>
  <c r="G33" i="31" s="1"/>
  <c r="C33" i="36" s="1"/>
  <c r="J32" i="31"/>
  <c r="M32" i="31" s="1"/>
  <c r="C32" i="31"/>
  <c r="E32" i="31" s="1"/>
  <c r="G32" i="31" s="1"/>
  <c r="C32" i="36" s="1"/>
  <c r="J31" i="31"/>
  <c r="M31" i="31" s="1"/>
  <c r="C31" i="31"/>
  <c r="E31" i="31" s="1"/>
  <c r="G31" i="31" s="1"/>
  <c r="C31" i="36" s="1"/>
  <c r="J30" i="31"/>
  <c r="M30" i="31" s="1"/>
  <c r="C30" i="31"/>
  <c r="E30" i="31" s="1"/>
  <c r="G30" i="31" s="1"/>
  <c r="C30" i="36" s="1"/>
  <c r="J29" i="31"/>
  <c r="M29" i="31" s="1"/>
  <c r="C29" i="31"/>
  <c r="E29" i="31" s="1"/>
  <c r="G29" i="31" s="1"/>
  <c r="C29" i="36" s="1"/>
  <c r="J28" i="31"/>
  <c r="M28" i="31" s="1"/>
  <c r="C28" i="31"/>
  <c r="E28" i="31" s="1"/>
  <c r="G28" i="31" s="1"/>
  <c r="J27" i="31"/>
  <c r="M27" i="31" s="1"/>
  <c r="C27" i="31"/>
  <c r="E27" i="31" s="1"/>
  <c r="G27" i="31" s="1"/>
  <c r="J26" i="31"/>
  <c r="M26" i="31" s="1"/>
  <c r="C26" i="31"/>
  <c r="E26" i="31" s="1"/>
  <c r="G26" i="31" s="1"/>
  <c r="J25" i="31"/>
  <c r="M25" i="31" s="1"/>
  <c r="C25" i="31"/>
  <c r="E25" i="31" s="1"/>
  <c r="G25" i="31" s="1"/>
  <c r="J24" i="31"/>
  <c r="M24" i="31" s="1"/>
  <c r="C24" i="31"/>
  <c r="E24" i="31" s="1"/>
  <c r="G24" i="31" s="1"/>
  <c r="C24" i="36" s="1"/>
  <c r="J23" i="31"/>
  <c r="M23" i="31" s="1"/>
  <c r="E23" i="31"/>
  <c r="G23" i="31" s="1"/>
  <c r="C23" i="36" s="1"/>
  <c r="C23" i="31"/>
  <c r="M22" i="31"/>
  <c r="J22" i="31"/>
  <c r="C22" i="31"/>
  <c r="E22" i="31" s="1"/>
  <c r="G22" i="31" s="1"/>
  <c r="C22" i="36" s="1"/>
  <c r="J21" i="31"/>
  <c r="M21" i="31" s="1"/>
  <c r="C21" i="31"/>
  <c r="E21" i="31" s="1"/>
  <c r="G21" i="31" s="1"/>
  <c r="C21" i="36" s="1"/>
  <c r="M20" i="31"/>
  <c r="J20" i="31"/>
  <c r="E20" i="31"/>
  <c r="G20" i="31" s="1"/>
  <c r="C20" i="36" s="1"/>
  <c r="C20" i="31"/>
  <c r="J19" i="31"/>
  <c r="M19" i="31" s="1"/>
  <c r="C19" i="31"/>
  <c r="E19" i="31" s="1"/>
  <c r="G19" i="31" s="1"/>
  <c r="C19" i="36" s="1"/>
  <c r="J18" i="31"/>
  <c r="M18" i="31" s="1"/>
  <c r="C18" i="31"/>
  <c r="E18" i="31" s="1"/>
  <c r="G18" i="31" s="1"/>
  <c r="C18" i="36" s="1"/>
  <c r="J17" i="31"/>
  <c r="M17" i="31" s="1"/>
  <c r="E17" i="31"/>
  <c r="G17" i="31" s="1"/>
  <c r="C17" i="36" s="1"/>
  <c r="C17" i="31"/>
  <c r="J16" i="31"/>
  <c r="M16" i="31" s="1"/>
  <c r="C16" i="31"/>
  <c r="E16" i="31" s="1"/>
  <c r="G16" i="31" s="1"/>
  <c r="C16" i="36" s="1"/>
  <c r="J15" i="31"/>
  <c r="M15" i="31" s="1"/>
  <c r="C15" i="31"/>
  <c r="E15" i="31" s="1"/>
  <c r="G15" i="31" s="1"/>
  <c r="C15" i="36" s="1"/>
  <c r="J14" i="31"/>
  <c r="M14" i="31" s="1"/>
  <c r="C14" i="31"/>
  <c r="E14" i="31" s="1"/>
  <c r="G14" i="31" s="1"/>
  <c r="C14" i="36" s="1"/>
  <c r="M13" i="31"/>
  <c r="J13" i="31"/>
  <c r="C13" i="31"/>
  <c r="E13" i="31" s="1"/>
  <c r="G13" i="31" s="1"/>
  <c r="C13" i="36" s="1"/>
  <c r="J12" i="31"/>
  <c r="M12" i="31" s="1"/>
  <c r="C12" i="31"/>
  <c r="E12" i="31" s="1"/>
  <c r="G12" i="31" s="1"/>
  <c r="C12" i="36" s="1"/>
  <c r="J11" i="31"/>
  <c r="M11" i="31" s="1"/>
  <c r="C11" i="31"/>
  <c r="E11" i="31" s="1"/>
  <c r="G11" i="31" s="1"/>
  <c r="C11" i="36" s="1"/>
  <c r="M10" i="31"/>
  <c r="J10" i="31"/>
  <c r="C10" i="31"/>
  <c r="E10" i="31" s="1"/>
  <c r="G10" i="31" s="1"/>
  <c r="C10" i="36" s="1"/>
  <c r="J9" i="31"/>
  <c r="M9" i="31" s="1"/>
  <c r="C9" i="31"/>
  <c r="E9" i="31" s="1"/>
  <c r="G9" i="31" s="1"/>
  <c r="C9" i="36" s="1"/>
  <c r="J8" i="31"/>
  <c r="M8" i="31" s="1"/>
  <c r="C8" i="31"/>
  <c r="E8" i="31" s="1"/>
  <c r="G8" i="31" s="1"/>
  <c r="C8" i="36" s="1"/>
  <c r="J7" i="31"/>
  <c r="M7" i="31" s="1"/>
  <c r="C7" i="31"/>
  <c r="E7" i="31" s="1"/>
  <c r="G7" i="31" s="1"/>
  <c r="C7" i="36" s="1"/>
  <c r="J6" i="31"/>
  <c r="M6" i="31" s="1"/>
  <c r="C6" i="31"/>
  <c r="E6" i="31" s="1"/>
  <c r="G6" i="31" s="1"/>
  <c r="C6" i="36" s="1"/>
  <c r="J5" i="31"/>
  <c r="M5" i="31" s="1"/>
  <c r="C5" i="31"/>
  <c r="E5" i="31" s="1"/>
  <c r="G5" i="31" s="1"/>
  <c r="C5" i="36" s="1"/>
  <c r="J4" i="31"/>
  <c r="C4" i="31"/>
  <c r="E4" i="31" s="1"/>
  <c r="G4" i="31" s="1"/>
  <c r="K93" i="31" l="1"/>
  <c r="M4" i="31"/>
  <c r="N90" i="31" s="1"/>
  <c r="K99" i="31"/>
  <c r="K102" i="31" l="1"/>
  <c r="K101" i="31"/>
  <c r="K104" i="31" s="1"/>
  <c r="D67" i="2" l="1"/>
  <c r="D68" i="2"/>
  <c r="D69" i="2"/>
  <c r="D70" i="2"/>
  <c r="D71" i="2"/>
  <c r="K95" i="28"/>
  <c r="C71" i="2"/>
  <c r="C70" i="2"/>
  <c r="C68" i="2"/>
  <c r="C67" i="2"/>
  <c r="C66" i="2" l="1"/>
  <c r="C69" i="2"/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K98" i="28"/>
  <c r="C102" i="2" l="1"/>
  <c r="T25" i="2"/>
  <c r="T6" i="2"/>
  <c r="T5" i="2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J6" i="38"/>
  <c r="J5" i="38"/>
  <c r="J4" i="38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24" i="33"/>
  <c r="J23" i="33"/>
  <c r="J22" i="33"/>
  <c r="J21" i="33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6" i="33"/>
  <c r="J5" i="33"/>
  <c r="J4" i="33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J5" i="30"/>
  <c r="J4" i="30"/>
  <c r="J65" i="10"/>
  <c r="J64" i="10"/>
  <c r="J63" i="10"/>
  <c r="M63" i="10" s="1"/>
  <c r="J62" i="10"/>
  <c r="M62" i="10" s="1"/>
  <c r="J61" i="10"/>
  <c r="M61" i="10" s="1"/>
  <c r="J60" i="10"/>
  <c r="M60" i="10" s="1"/>
  <c r="J59" i="10"/>
  <c r="M59" i="10" s="1"/>
  <c r="J58" i="10"/>
  <c r="M58" i="10" s="1"/>
  <c r="J57" i="10"/>
  <c r="M57" i="10" s="1"/>
  <c r="J56" i="10"/>
  <c r="M56" i="10" s="1"/>
  <c r="J55" i="10"/>
  <c r="M55" i="10" s="1"/>
  <c r="J54" i="10"/>
  <c r="M54" i="10" s="1"/>
  <c r="J53" i="10"/>
  <c r="M53" i="10" s="1"/>
  <c r="J52" i="10"/>
  <c r="M52" i="10" s="1"/>
  <c r="J51" i="10"/>
  <c r="M51" i="10" s="1"/>
  <c r="J50" i="10"/>
  <c r="M50" i="10" s="1"/>
  <c r="J49" i="10"/>
  <c r="M49" i="10" s="1"/>
  <c r="J48" i="10"/>
  <c r="M48" i="10" s="1"/>
  <c r="J47" i="10"/>
  <c r="M47" i="10" s="1"/>
  <c r="J46" i="10"/>
  <c r="M46" i="10" s="1"/>
  <c r="J45" i="10"/>
  <c r="M45" i="10" s="1"/>
  <c r="J44" i="10"/>
  <c r="M44" i="10" s="1"/>
  <c r="J43" i="10"/>
  <c r="M43" i="10" s="1"/>
  <c r="J42" i="10"/>
  <c r="M42" i="10" s="1"/>
  <c r="J41" i="10"/>
  <c r="M41" i="10" s="1"/>
  <c r="J40" i="10"/>
  <c r="M40" i="10" s="1"/>
  <c r="J39" i="10"/>
  <c r="M39" i="10" s="1"/>
  <c r="J38" i="10"/>
  <c r="M38" i="10" s="1"/>
  <c r="J37" i="10"/>
  <c r="M37" i="10" s="1"/>
  <c r="J36" i="10"/>
  <c r="M36" i="10" s="1"/>
  <c r="J35" i="10"/>
  <c r="M35" i="10" s="1"/>
  <c r="J34" i="10"/>
  <c r="M34" i="10" s="1"/>
  <c r="J33" i="10"/>
  <c r="M33" i="10" s="1"/>
  <c r="J32" i="10"/>
  <c r="M32" i="10" s="1"/>
  <c r="J31" i="10"/>
  <c r="M31" i="10" s="1"/>
  <c r="J30" i="10"/>
  <c r="M30" i="10" s="1"/>
  <c r="J29" i="10"/>
  <c r="M29" i="10" s="1"/>
  <c r="J28" i="10"/>
  <c r="M28" i="10" s="1"/>
  <c r="J27" i="10"/>
  <c r="M27" i="10" s="1"/>
  <c r="J26" i="10"/>
  <c r="M26" i="10" s="1"/>
  <c r="J25" i="10"/>
  <c r="M25" i="10" s="1"/>
  <c r="J24" i="10"/>
  <c r="M24" i="10" s="1"/>
  <c r="J23" i="10"/>
  <c r="M23" i="10" s="1"/>
  <c r="J22" i="10"/>
  <c r="M22" i="10" s="1"/>
  <c r="J21" i="10"/>
  <c r="M21" i="10" s="1"/>
  <c r="J20" i="10"/>
  <c r="M20" i="10" s="1"/>
  <c r="J19" i="10"/>
  <c r="M19" i="10" s="1"/>
  <c r="J18" i="10"/>
  <c r="M18" i="10" s="1"/>
  <c r="J17" i="10"/>
  <c r="M17" i="10" s="1"/>
  <c r="J16" i="10"/>
  <c r="M16" i="10" s="1"/>
  <c r="J15" i="10"/>
  <c r="M15" i="10" s="1"/>
  <c r="J14" i="10"/>
  <c r="M14" i="10" s="1"/>
  <c r="J13" i="10"/>
  <c r="M13" i="10" s="1"/>
  <c r="J12" i="10"/>
  <c r="M12" i="10" s="1"/>
  <c r="J11" i="10"/>
  <c r="M11" i="10" s="1"/>
  <c r="J10" i="10"/>
  <c r="M10" i="10" s="1"/>
  <c r="J9" i="10"/>
  <c r="M9" i="10" s="1"/>
  <c r="J8" i="10"/>
  <c r="M8" i="10" s="1"/>
  <c r="J7" i="10"/>
  <c r="M7" i="10" s="1"/>
  <c r="J6" i="10"/>
  <c r="M6" i="10" s="1"/>
  <c r="J5" i="10"/>
  <c r="M5" i="10" s="1"/>
  <c r="J4" i="10"/>
  <c r="M4" i="10" s="1"/>
  <c r="M64" i="10"/>
  <c r="M65" i="10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M38" i="6" s="1"/>
  <c r="J37" i="6"/>
  <c r="M37" i="6" s="1"/>
  <c r="J36" i="6"/>
  <c r="M36" i="6" s="1"/>
  <c r="J35" i="6"/>
  <c r="M35" i="6" s="1"/>
  <c r="J34" i="6"/>
  <c r="M34" i="6" s="1"/>
  <c r="J33" i="6"/>
  <c r="M33" i="6" s="1"/>
  <c r="J32" i="6"/>
  <c r="M32" i="6" s="1"/>
  <c r="J31" i="6"/>
  <c r="M31" i="6" s="1"/>
  <c r="J30" i="6"/>
  <c r="M30" i="6" s="1"/>
  <c r="J29" i="6"/>
  <c r="M29" i="6" s="1"/>
  <c r="J28" i="6"/>
  <c r="M28" i="6" s="1"/>
  <c r="J27" i="6"/>
  <c r="M27" i="6" s="1"/>
  <c r="J26" i="6"/>
  <c r="M26" i="6" s="1"/>
  <c r="J25" i="6"/>
  <c r="M25" i="6" s="1"/>
  <c r="J24" i="6"/>
  <c r="M24" i="6" s="1"/>
  <c r="J23" i="6"/>
  <c r="M23" i="6" s="1"/>
  <c r="J22" i="6"/>
  <c r="M22" i="6" s="1"/>
  <c r="J21" i="6"/>
  <c r="M21" i="6" s="1"/>
  <c r="J20" i="6"/>
  <c r="M20" i="6" s="1"/>
  <c r="J19" i="6"/>
  <c r="M19" i="6" s="1"/>
  <c r="J18" i="6"/>
  <c r="M18" i="6" s="1"/>
  <c r="J17" i="6"/>
  <c r="M17" i="6" s="1"/>
  <c r="J16" i="6"/>
  <c r="M16" i="6" s="1"/>
  <c r="J15" i="6"/>
  <c r="M15" i="6" s="1"/>
  <c r="J14" i="6"/>
  <c r="M14" i="6" s="1"/>
  <c r="J13" i="6"/>
  <c r="M13" i="6" s="1"/>
  <c r="J12" i="6"/>
  <c r="M12" i="6" s="1"/>
  <c r="J11" i="6"/>
  <c r="M11" i="6" s="1"/>
  <c r="J10" i="6"/>
  <c r="M10" i="6" s="1"/>
  <c r="J9" i="6"/>
  <c r="M9" i="6" s="1"/>
  <c r="J8" i="6"/>
  <c r="M8" i="6" s="1"/>
  <c r="J7" i="6"/>
  <c r="M7" i="6" s="1"/>
  <c r="J6" i="6"/>
  <c r="M6" i="6" s="1"/>
  <c r="J5" i="6"/>
  <c r="M5" i="6" s="1"/>
  <c r="J4" i="6"/>
  <c r="M4" i="6" s="1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58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M38" i="37" s="1"/>
  <c r="J37" i="37"/>
  <c r="M37" i="37" s="1"/>
  <c r="J36" i="37"/>
  <c r="M36" i="37" s="1"/>
  <c r="J35" i="37"/>
  <c r="M35" i="37" s="1"/>
  <c r="J34" i="37"/>
  <c r="M34" i="37" s="1"/>
  <c r="J33" i="37"/>
  <c r="M33" i="37" s="1"/>
  <c r="J32" i="37"/>
  <c r="M32" i="37" s="1"/>
  <c r="J31" i="37"/>
  <c r="M31" i="37" s="1"/>
  <c r="J30" i="37"/>
  <c r="M30" i="37" s="1"/>
  <c r="J29" i="37"/>
  <c r="M29" i="37" s="1"/>
  <c r="J28" i="37"/>
  <c r="M28" i="37" s="1"/>
  <c r="J27" i="37"/>
  <c r="M27" i="37" s="1"/>
  <c r="J26" i="37"/>
  <c r="M26" i="37" s="1"/>
  <c r="J25" i="37"/>
  <c r="M25" i="37" s="1"/>
  <c r="J24" i="37"/>
  <c r="M24" i="37" s="1"/>
  <c r="J23" i="37"/>
  <c r="M23" i="37" s="1"/>
  <c r="J22" i="37"/>
  <c r="M22" i="37" s="1"/>
  <c r="J21" i="37"/>
  <c r="M21" i="37" s="1"/>
  <c r="J20" i="37"/>
  <c r="M20" i="37" s="1"/>
  <c r="J19" i="37"/>
  <c r="M19" i="37" s="1"/>
  <c r="J18" i="37"/>
  <c r="M18" i="37" s="1"/>
  <c r="J17" i="37"/>
  <c r="M17" i="37" s="1"/>
  <c r="J16" i="37"/>
  <c r="M16" i="37" s="1"/>
  <c r="J15" i="37"/>
  <c r="M15" i="37" s="1"/>
  <c r="J14" i="37"/>
  <c r="M14" i="37" s="1"/>
  <c r="J13" i="37"/>
  <c r="M13" i="37" s="1"/>
  <c r="J12" i="37"/>
  <c r="M12" i="37" s="1"/>
  <c r="J11" i="37"/>
  <c r="M11" i="37" s="1"/>
  <c r="J10" i="37"/>
  <c r="M10" i="37" s="1"/>
  <c r="J9" i="37"/>
  <c r="M9" i="37" s="1"/>
  <c r="J8" i="37"/>
  <c r="M8" i="37" s="1"/>
  <c r="J7" i="37"/>
  <c r="M7" i="37" s="1"/>
  <c r="J6" i="37"/>
  <c r="M6" i="37" s="1"/>
  <c r="J5" i="37"/>
  <c r="M5" i="37" s="1"/>
  <c r="J4" i="37"/>
  <c r="M4" i="37" s="1"/>
  <c r="E6" i="36"/>
  <c r="G6" i="36" s="1"/>
  <c r="C6" i="37" s="1"/>
  <c r="E9" i="36"/>
  <c r="G9" i="36" s="1"/>
  <c r="C9" i="37" s="1"/>
  <c r="E11" i="36"/>
  <c r="G11" i="36" s="1"/>
  <c r="C11" i="37" s="1"/>
  <c r="E15" i="36"/>
  <c r="G15" i="36" s="1"/>
  <c r="C15" i="37" s="1"/>
  <c r="E17" i="36"/>
  <c r="G17" i="36" s="1"/>
  <c r="C17" i="37" s="1"/>
  <c r="E19" i="36"/>
  <c r="G19" i="36" s="1"/>
  <c r="C19" i="37" s="1"/>
  <c r="E20" i="36"/>
  <c r="G20" i="36" s="1"/>
  <c r="C20" i="37" s="1"/>
  <c r="E21" i="36"/>
  <c r="G21" i="36" s="1"/>
  <c r="C21" i="37" s="1"/>
  <c r="E24" i="36"/>
  <c r="G24" i="36" s="1"/>
  <c r="C24" i="37" s="1"/>
  <c r="E25" i="36"/>
  <c r="G25" i="36" s="1"/>
  <c r="C25" i="37" s="1"/>
  <c r="E27" i="36"/>
  <c r="G27" i="36" s="1"/>
  <c r="C27" i="37" s="1"/>
  <c r="E29" i="36"/>
  <c r="G29" i="36" s="1"/>
  <c r="C29" i="37" s="1"/>
  <c r="E30" i="36"/>
  <c r="G30" i="36" s="1"/>
  <c r="C30" i="37" s="1"/>
  <c r="E33" i="36"/>
  <c r="G33" i="36" s="1"/>
  <c r="C33" i="37" s="1"/>
  <c r="E34" i="36"/>
  <c r="G34" i="36" s="1"/>
  <c r="C34" i="37" s="1"/>
  <c r="E35" i="36"/>
  <c r="G35" i="36" s="1"/>
  <c r="C35" i="37" s="1"/>
  <c r="E36" i="36"/>
  <c r="G36" i="36" s="1"/>
  <c r="C36" i="37" s="1"/>
  <c r="E37" i="36"/>
  <c r="G37" i="36" s="1"/>
  <c r="C37" i="37" s="1"/>
  <c r="E38" i="36"/>
  <c r="G38" i="36" s="1"/>
  <c r="C38" i="37" s="1"/>
  <c r="E40" i="36"/>
  <c r="G40" i="36" s="1"/>
  <c r="C40" i="37" s="1"/>
  <c r="E41" i="36"/>
  <c r="G41" i="36" s="1"/>
  <c r="C41" i="37" s="1"/>
  <c r="E42" i="36"/>
  <c r="G42" i="36" s="1"/>
  <c r="C42" i="37" s="1"/>
  <c r="E43" i="36"/>
  <c r="G43" i="36" s="1"/>
  <c r="C43" i="37" s="1"/>
  <c r="E44" i="36"/>
  <c r="G44" i="36" s="1"/>
  <c r="C44" i="37" s="1"/>
  <c r="E45" i="36"/>
  <c r="G45" i="36" s="1"/>
  <c r="C45" i="37" s="1"/>
  <c r="E47" i="36"/>
  <c r="G47" i="36" s="1"/>
  <c r="C47" i="37" s="1"/>
  <c r="E48" i="36"/>
  <c r="G48" i="36" s="1"/>
  <c r="C48" i="37" s="1"/>
  <c r="E49" i="36"/>
  <c r="G49" i="36" s="1"/>
  <c r="C49" i="37" s="1"/>
  <c r="E50" i="36"/>
  <c r="G50" i="36" s="1"/>
  <c r="C50" i="37" s="1"/>
  <c r="E51" i="36"/>
  <c r="G51" i="36" s="1"/>
  <c r="C51" i="37" s="1"/>
  <c r="E52" i="36"/>
  <c r="G52" i="36" s="1"/>
  <c r="C52" i="37" s="1"/>
  <c r="E53" i="36"/>
  <c r="G53" i="36" s="1"/>
  <c r="C53" i="37" s="1"/>
  <c r="E54" i="36"/>
  <c r="G54" i="36" s="1"/>
  <c r="C54" i="37" s="1"/>
  <c r="E56" i="36"/>
  <c r="G56" i="36" s="1"/>
  <c r="C56" i="37" s="1"/>
  <c r="E57" i="36"/>
  <c r="G57" i="36" s="1"/>
  <c r="C57" i="37" s="1"/>
  <c r="E58" i="36"/>
  <c r="G58" i="36" s="1"/>
  <c r="C58" i="37" s="1"/>
  <c r="C4" i="36"/>
  <c r="E4" i="36" s="1"/>
  <c r="G4" i="36" s="1"/>
  <c r="C4" i="37" s="1"/>
  <c r="E4" i="37" s="1"/>
  <c r="G4" i="37" s="1"/>
  <c r="C4" i="28" s="1"/>
  <c r="J58" i="36"/>
  <c r="J57" i="36"/>
  <c r="J56" i="36"/>
  <c r="J55" i="36"/>
  <c r="E55" i="36"/>
  <c r="G55" i="36" s="1"/>
  <c r="C55" i="37" s="1"/>
  <c r="J54" i="36"/>
  <c r="J53" i="36"/>
  <c r="J52" i="36"/>
  <c r="J51" i="36"/>
  <c r="J50" i="36"/>
  <c r="J49" i="36"/>
  <c r="J48" i="36"/>
  <c r="J47" i="36"/>
  <c r="J46" i="36"/>
  <c r="E46" i="36"/>
  <c r="G46" i="36" s="1"/>
  <c r="C46" i="37" s="1"/>
  <c r="J45" i="36"/>
  <c r="J44" i="36"/>
  <c r="J43" i="36"/>
  <c r="J42" i="36"/>
  <c r="J41" i="36"/>
  <c r="J40" i="36"/>
  <c r="J39" i="36"/>
  <c r="E39" i="36"/>
  <c r="G39" i="36" s="1"/>
  <c r="C39" i="37" s="1"/>
  <c r="J38" i="36"/>
  <c r="J37" i="36"/>
  <c r="J36" i="36"/>
  <c r="J35" i="36"/>
  <c r="J34" i="36"/>
  <c r="J33" i="36"/>
  <c r="J32" i="36"/>
  <c r="E32" i="36"/>
  <c r="G32" i="36" s="1"/>
  <c r="C32" i="37" s="1"/>
  <c r="J31" i="36"/>
  <c r="E31" i="36"/>
  <c r="G31" i="36" s="1"/>
  <c r="C31" i="37" s="1"/>
  <c r="J30" i="36"/>
  <c r="J29" i="36"/>
  <c r="J28" i="36"/>
  <c r="E28" i="36"/>
  <c r="G28" i="36" s="1"/>
  <c r="C28" i="37" s="1"/>
  <c r="J27" i="36"/>
  <c r="J26" i="36"/>
  <c r="E26" i="36"/>
  <c r="G26" i="36" s="1"/>
  <c r="C26" i="37" s="1"/>
  <c r="J25" i="36"/>
  <c r="J24" i="36"/>
  <c r="J23" i="36"/>
  <c r="E23" i="36"/>
  <c r="G23" i="36" s="1"/>
  <c r="C23" i="37" s="1"/>
  <c r="J22" i="36"/>
  <c r="E22" i="36"/>
  <c r="G22" i="36" s="1"/>
  <c r="C22" i="37" s="1"/>
  <c r="J21" i="36"/>
  <c r="J20" i="36"/>
  <c r="J19" i="36"/>
  <c r="J18" i="36"/>
  <c r="E18" i="36"/>
  <c r="G18" i="36" s="1"/>
  <c r="C18" i="37" s="1"/>
  <c r="J17" i="36"/>
  <c r="J16" i="36"/>
  <c r="E16" i="36"/>
  <c r="G16" i="36" s="1"/>
  <c r="C16" i="37" s="1"/>
  <c r="J15" i="36"/>
  <c r="J14" i="36"/>
  <c r="E14" i="36"/>
  <c r="G14" i="36" s="1"/>
  <c r="C14" i="37" s="1"/>
  <c r="J13" i="36"/>
  <c r="E13" i="36"/>
  <c r="G13" i="36" s="1"/>
  <c r="C13" i="37" s="1"/>
  <c r="J12" i="36"/>
  <c r="E12" i="36"/>
  <c r="G12" i="36" s="1"/>
  <c r="C12" i="37" s="1"/>
  <c r="J11" i="36"/>
  <c r="J10" i="36"/>
  <c r="E10" i="36"/>
  <c r="G10" i="36" s="1"/>
  <c r="C10" i="37" s="1"/>
  <c r="J9" i="36"/>
  <c r="J8" i="36"/>
  <c r="E8" i="36"/>
  <c r="G8" i="36" s="1"/>
  <c r="C8" i="37" s="1"/>
  <c r="J7" i="36"/>
  <c r="E7" i="36"/>
  <c r="G7" i="36" s="1"/>
  <c r="C7" i="37" s="1"/>
  <c r="J6" i="36"/>
  <c r="J5" i="36"/>
  <c r="E5" i="36"/>
  <c r="G5" i="36" s="1"/>
  <c r="C5" i="37" s="1"/>
  <c r="J4" i="36"/>
  <c r="M4" i="36" s="1"/>
  <c r="E14" i="37" l="1"/>
  <c r="G14" i="37" s="1"/>
  <c r="C14" i="28" s="1"/>
  <c r="E31" i="37"/>
  <c r="G31" i="37" s="1"/>
  <c r="C31" i="28" s="1"/>
  <c r="E51" i="37"/>
  <c r="G51" i="37" s="1"/>
  <c r="C51" i="28" s="1"/>
  <c r="E42" i="37"/>
  <c r="G42" i="37" s="1"/>
  <c r="C42" i="28" s="1"/>
  <c r="E33" i="37"/>
  <c r="G33" i="37" s="1"/>
  <c r="C33" i="28" s="1"/>
  <c r="E19" i="37"/>
  <c r="G19" i="37" s="1"/>
  <c r="C19" i="28" s="1"/>
  <c r="E50" i="37"/>
  <c r="G50" i="37" s="1"/>
  <c r="C50" i="28" s="1"/>
  <c r="E41" i="37"/>
  <c r="G41" i="37" s="1"/>
  <c r="C41" i="28" s="1"/>
  <c r="E30" i="37"/>
  <c r="G30" i="37" s="1"/>
  <c r="C30" i="28" s="1"/>
  <c r="E17" i="37"/>
  <c r="G17" i="37" s="1"/>
  <c r="C17" i="28" s="1"/>
  <c r="E10" i="37"/>
  <c r="G10" i="37" s="1"/>
  <c r="C10" i="28" s="1"/>
  <c r="E32" i="37"/>
  <c r="G32" i="37" s="1"/>
  <c r="C32" i="28" s="1"/>
  <c r="E39" i="37"/>
  <c r="G39" i="37" s="1"/>
  <c r="C39" i="28" s="1"/>
  <c r="E46" i="37"/>
  <c r="G46" i="37" s="1"/>
  <c r="C46" i="28" s="1"/>
  <c r="E58" i="37"/>
  <c r="G58" i="37" s="1"/>
  <c r="C58" i="28" s="1"/>
  <c r="E49" i="37"/>
  <c r="G49" i="37" s="1"/>
  <c r="C49" i="28" s="1"/>
  <c r="E40" i="37"/>
  <c r="G40" i="37" s="1"/>
  <c r="C40" i="28" s="1"/>
  <c r="E29" i="37"/>
  <c r="G29" i="37" s="1"/>
  <c r="C29" i="28" s="1"/>
  <c r="E15" i="37"/>
  <c r="G15" i="37" s="1"/>
  <c r="C15" i="28" s="1"/>
  <c r="E22" i="37"/>
  <c r="G22" i="37" s="1"/>
  <c r="C22" i="28" s="1"/>
  <c r="E57" i="37"/>
  <c r="G57" i="37" s="1"/>
  <c r="C57" i="28" s="1"/>
  <c r="E48" i="37"/>
  <c r="G48" i="37" s="1"/>
  <c r="C48" i="28" s="1"/>
  <c r="E38" i="37"/>
  <c r="G38" i="37" s="1"/>
  <c r="C38" i="28" s="1"/>
  <c r="E27" i="37"/>
  <c r="G27" i="37" s="1"/>
  <c r="C27" i="28" s="1"/>
  <c r="E16" i="37"/>
  <c r="G16" i="37" s="1"/>
  <c r="C16" i="28" s="1"/>
  <c r="E28" i="37"/>
  <c r="G28" i="37" s="1"/>
  <c r="C28" i="28" s="1"/>
  <c r="E55" i="37"/>
  <c r="G55" i="37" s="1"/>
  <c r="C55" i="28" s="1"/>
  <c r="E56" i="37"/>
  <c r="G56" i="37" s="1"/>
  <c r="C56" i="28" s="1"/>
  <c r="E47" i="37"/>
  <c r="G47" i="37" s="1"/>
  <c r="C47" i="28" s="1"/>
  <c r="E37" i="37"/>
  <c r="G37" i="37" s="1"/>
  <c r="C37" i="28" s="1"/>
  <c r="E25" i="37"/>
  <c r="G25" i="37" s="1"/>
  <c r="C25" i="28" s="1"/>
  <c r="E9" i="37"/>
  <c r="G9" i="37" s="1"/>
  <c r="C9" i="28" s="1"/>
  <c r="E23" i="37"/>
  <c r="G23" i="37" s="1"/>
  <c r="C23" i="28" s="1"/>
  <c r="E54" i="37"/>
  <c r="G54" i="37" s="1"/>
  <c r="C54" i="28" s="1"/>
  <c r="E45" i="37"/>
  <c r="G45" i="37" s="1"/>
  <c r="C45" i="28" s="1"/>
  <c r="E36" i="37"/>
  <c r="G36" i="37" s="1"/>
  <c r="C36" i="28" s="1"/>
  <c r="E24" i="37"/>
  <c r="G24" i="37" s="1"/>
  <c r="C24" i="28" s="1"/>
  <c r="E6" i="37"/>
  <c r="G6" i="37" s="1"/>
  <c r="C6" i="28" s="1"/>
  <c r="E8" i="37"/>
  <c r="G8" i="37" s="1"/>
  <c r="C8" i="28" s="1"/>
  <c r="E18" i="37"/>
  <c r="G18" i="37" s="1"/>
  <c r="C18" i="28" s="1"/>
  <c r="E53" i="37"/>
  <c r="G53" i="37" s="1"/>
  <c r="C53" i="28" s="1"/>
  <c r="E35" i="37"/>
  <c r="G35" i="37" s="1"/>
  <c r="C35" i="28" s="1"/>
  <c r="E21" i="37"/>
  <c r="G21" i="37" s="1"/>
  <c r="C21" i="28" s="1"/>
  <c r="E52" i="37"/>
  <c r="G52" i="37" s="1"/>
  <c r="C52" i="28" s="1"/>
  <c r="E43" i="37"/>
  <c r="G43" i="37" s="1"/>
  <c r="C43" i="28" s="1"/>
  <c r="E34" i="37"/>
  <c r="G34" i="37" s="1"/>
  <c r="C34" i="28" s="1"/>
  <c r="E20" i="37"/>
  <c r="G20" i="37" s="1"/>
  <c r="C20" i="28" s="1"/>
  <c r="E44" i="37"/>
  <c r="G44" i="37" s="1"/>
  <c r="C44" i="28" s="1"/>
  <c r="E26" i="37"/>
  <c r="G26" i="37" s="1"/>
  <c r="C26" i="28" s="1"/>
  <c r="E13" i="37"/>
  <c r="G13" i="37" s="1"/>
  <c r="C13" i="28" s="1"/>
  <c r="E12" i="37"/>
  <c r="G12" i="37" s="1"/>
  <c r="C12" i="28" s="1"/>
  <c r="E11" i="37"/>
  <c r="G11" i="37" s="1"/>
  <c r="C11" i="28" s="1"/>
  <c r="E7" i="37"/>
  <c r="G7" i="37" s="1"/>
  <c r="C7" i="28" s="1"/>
  <c r="E5" i="37"/>
  <c r="G5" i="37" s="1"/>
  <c r="C5" i="28" s="1"/>
  <c r="M6" i="36"/>
  <c r="M11" i="36"/>
  <c r="M26" i="36"/>
  <c r="M31" i="36"/>
  <c r="M38" i="36"/>
  <c r="M45" i="36"/>
  <c r="M52" i="36"/>
  <c r="M53" i="36"/>
  <c r="M5" i="36"/>
  <c r="M10" i="36"/>
  <c r="M21" i="36"/>
  <c r="M37" i="36"/>
  <c r="M16" i="36"/>
  <c r="M22" i="36"/>
  <c r="M7" i="36"/>
  <c r="M12" i="36"/>
  <c r="M17" i="36"/>
  <c r="M27" i="36"/>
  <c r="M32" i="36"/>
  <c r="M39" i="36"/>
  <c r="M46" i="36"/>
  <c r="M54" i="36"/>
  <c r="M58" i="36"/>
  <c r="M33" i="36"/>
  <c r="M40" i="36"/>
  <c r="M47" i="36"/>
  <c r="M51" i="36"/>
  <c r="M13" i="36"/>
  <c r="M18" i="36"/>
  <c r="M23" i="36"/>
  <c r="M28" i="36"/>
  <c r="M34" i="36"/>
  <c r="M41" i="36"/>
  <c r="J49" i="2"/>
  <c r="M48" i="36"/>
  <c r="M55" i="36"/>
  <c r="M8" i="36"/>
  <c r="M9" i="36"/>
  <c r="M19" i="36"/>
  <c r="M24" i="36"/>
  <c r="M29" i="36"/>
  <c r="M35" i="36"/>
  <c r="M42" i="36"/>
  <c r="M49" i="36"/>
  <c r="M56" i="36"/>
  <c r="M44" i="36"/>
  <c r="M14" i="36"/>
  <c r="M20" i="36"/>
  <c r="M25" i="36"/>
  <c r="M30" i="36"/>
  <c r="M36" i="36"/>
  <c r="M43" i="36"/>
  <c r="M50" i="36"/>
  <c r="M57" i="36"/>
  <c r="M15" i="36"/>
  <c r="E102" i="2"/>
  <c r="G102" i="2" s="1"/>
  <c r="T35" i="2"/>
  <c r="Q35" i="2"/>
  <c r="P35" i="2"/>
  <c r="T34" i="2"/>
  <c r="Q34" i="2"/>
  <c r="P34" i="2"/>
  <c r="T33" i="2"/>
  <c r="Q33" i="2"/>
  <c r="P33" i="2"/>
  <c r="T32" i="2"/>
  <c r="Q32" i="2"/>
  <c r="P32" i="2"/>
  <c r="T31" i="2"/>
  <c r="Q31" i="2"/>
  <c r="P31" i="2"/>
  <c r="T30" i="2"/>
  <c r="Q30" i="2"/>
  <c r="P30" i="2"/>
  <c r="T29" i="2"/>
  <c r="P29" i="2"/>
  <c r="Q29" i="2"/>
  <c r="T28" i="2"/>
  <c r="Q28" i="2"/>
  <c r="P28" i="2"/>
  <c r="T27" i="2"/>
  <c r="Q27" i="2"/>
  <c r="P27" i="2"/>
  <c r="T26" i="2"/>
  <c r="Q26" i="2"/>
  <c r="P26" i="2"/>
  <c r="Q25" i="2"/>
  <c r="P25" i="2"/>
  <c r="T24" i="2"/>
  <c r="Q24" i="2"/>
  <c r="P24" i="2"/>
  <c r="T23" i="2"/>
  <c r="Q23" i="2"/>
  <c r="P23" i="2"/>
  <c r="T22" i="2"/>
  <c r="Q22" i="2"/>
  <c r="P22" i="2"/>
  <c r="T21" i="2"/>
  <c r="Q21" i="2"/>
  <c r="P21" i="2"/>
  <c r="T20" i="2"/>
  <c r="Q20" i="2"/>
  <c r="P20" i="2"/>
  <c r="T19" i="2"/>
  <c r="Q19" i="2"/>
  <c r="P19" i="2"/>
  <c r="T18" i="2"/>
  <c r="Q18" i="2"/>
  <c r="P18" i="2"/>
  <c r="T17" i="2"/>
  <c r="Q17" i="2"/>
  <c r="P17" i="2"/>
  <c r="T16" i="2"/>
  <c r="Q16" i="2"/>
  <c r="P16" i="2"/>
  <c r="T15" i="2"/>
  <c r="Q15" i="2"/>
  <c r="P15" i="2"/>
  <c r="T14" i="2"/>
  <c r="Q14" i="2"/>
  <c r="P14" i="2"/>
  <c r="T13" i="2"/>
  <c r="Q13" i="2"/>
  <c r="P13" i="2"/>
  <c r="T11" i="2"/>
  <c r="Q11" i="2"/>
  <c r="P11" i="2"/>
  <c r="T10" i="2"/>
  <c r="P10" i="2"/>
  <c r="Q10" i="2"/>
  <c r="T9" i="2"/>
  <c r="Q9" i="2"/>
  <c r="P9" i="2"/>
  <c r="T12" i="2"/>
  <c r="Q12" i="2"/>
  <c r="P12" i="2"/>
  <c r="T8" i="2"/>
  <c r="Q8" i="2"/>
  <c r="P8" i="2"/>
  <c r="T7" i="2"/>
  <c r="Q7" i="2"/>
  <c r="P7" i="2"/>
  <c r="Q6" i="2"/>
  <c r="P6" i="2"/>
  <c r="Q5" i="2"/>
  <c r="P5" i="2"/>
  <c r="T36" i="2" l="1"/>
  <c r="J113" i="2" s="1"/>
  <c r="J89" i="37"/>
  <c r="M89" i="37" s="1"/>
  <c r="H5" i="2"/>
  <c r="F5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E60" i="2" s="1"/>
  <c r="C61" i="2"/>
  <c r="C62" i="2"/>
  <c r="C63" i="2"/>
  <c r="C64" i="2"/>
  <c r="C65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E92" i="2" s="1"/>
  <c r="C93" i="2"/>
  <c r="C94" i="2"/>
  <c r="C95" i="2"/>
  <c r="C96" i="2"/>
  <c r="C97" i="2"/>
  <c r="C98" i="2"/>
  <c r="C99" i="2"/>
  <c r="C100" i="2"/>
  <c r="E100" i="2" s="1"/>
  <c r="C101" i="2"/>
  <c r="C103" i="2"/>
  <c r="C104" i="2"/>
  <c r="C5" i="2"/>
  <c r="O36" i="2"/>
  <c r="P36" i="2"/>
  <c r="Q36" i="2"/>
  <c r="K106" i="50"/>
  <c r="K98" i="50"/>
  <c r="N35" i="2" s="1"/>
  <c r="K95" i="50"/>
  <c r="J90" i="50"/>
  <c r="M90" i="50" s="1"/>
  <c r="J89" i="50"/>
  <c r="M89" i="50" s="1"/>
  <c r="J88" i="50"/>
  <c r="M88" i="50" s="1"/>
  <c r="J87" i="50"/>
  <c r="M87" i="50" s="1"/>
  <c r="J86" i="50"/>
  <c r="M86" i="50" s="1"/>
  <c r="J85" i="50"/>
  <c r="M85" i="50" s="1"/>
  <c r="J84" i="50"/>
  <c r="M84" i="50" s="1"/>
  <c r="J83" i="50"/>
  <c r="M83" i="50" s="1"/>
  <c r="J82" i="50"/>
  <c r="M82" i="50" s="1"/>
  <c r="J81" i="50"/>
  <c r="M81" i="50" s="1"/>
  <c r="J80" i="50"/>
  <c r="M80" i="50" s="1"/>
  <c r="J79" i="50"/>
  <c r="M79" i="50" s="1"/>
  <c r="J78" i="50"/>
  <c r="M78" i="50" s="1"/>
  <c r="J77" i="50"/>
  <c r="M77" i="50" s="1"/>
  <c r="J76" i="50"/>
  <c r="M76" i="50" s="1"/>
  <c r="J75" i="50"/>
  <c r="M75" i="50" s="1"/>
  <c r="J74" i="50"/>
  <c r="M74" i="50" s="1"/>
  <c r="J73" i="50"/>
  <c r="M73" i="50" s="1"/>
  <c r="J72" i="50"/>
  <c r="M72" i="50" s="1"/>
  <c r="J71" i="50"/>
  <c r="M71" i="50" s="1"/>
  <c r="J70" i="50"/>
  <c r="M70" i="50" s="1"/>
  <c r="J69" i="50"/>
  <c r="M69" i="50" s="1"/>
  <c r="J68" i="50"/>
  <c r="M68" i="50" s="1"/>
  <c r="J67" i="50"/>
  <c r="M67" i="50" s="1"/>
  <c r="J66" i="50"/>
  <c r="M66" i="50" s="1"/>
  <c r="J65" i="50"/>
  <c r="M65" i="50" s="1"/>
  <c r="J64" i="50"/>
  <c r="M64" i="50" s="1"/>
  <c r="J63" i="50"/>
  <c r="M63" i="50" s="1"/>
  <c r="J62" i="50"/>
  <c r="M62" i="50" s="1"/>
  <c r="J61" i="50"/>
  <c r="M61" i="50" s="1"/>
  <c r="J60" i="50"/>
  <c r="M60" i="50" s="1"/>
  <c r="J59" i="50"/>
  <c r="M59" i="50" s="1"/>
  <c r="J58" i="50"/>
  <c r="M58" i="50" s="1"/>
  <c r="J57" i="50"/>
  <c r="M57" i="50" s="1"/>
  <c r="J56" i="50"/>
  <c r="M56" i="50" s="1"/>
  <c r="J55" i="50"/>
  <c r="M55" i="50" s="1"/>
  <c r="J54" i="50"/>
  <c r="M54" i="50" s="1"/>
  <c r="J53" i="50"/>
  <c r="M53" i="50" s="1"/>
  <c r="J52" i="50"/>
  <c r="M52" i="50" s="1"/>
  <c r="J51" i="50"/>
  <c r="M51" i="50" s="1"/>
  <c r="J50" i="50"/>
  <c r="M50" i="50" s="1"/>
  <c r="J49" i="50"/>
  <c r="M49" i="50" s="1"/>
  <c r="M48" i="50"/>
  <c r="J47" i="50"/>
  <c r="M47" i="50" s="1"/>
  <c r="J46" i="50"/>
  <c r="M46" i="50" s="1"/>
  <c r="J45" i="50"/>
  <c r="M45" i="50" s="1"/>
  <c r="J44" i="50"/>
  <c r="M44" i="50" s="1"/>
  <c r="J43" i="50"/>
  <c r="M43" i="50" s="1"/>
  <c r="J42" i="50"/>
  <c r="M42" i="50" s="1"/>
  <c r="J41" i="50"/>
  <c r="M41" i="50" s="1"/>
  <c r="J40" i="50"/>
  <c r="M40" i="50" s="1"/>
  <c r="J39" i="50"/>
  <c r="M39" i="50" s="1"/>
  <c r="J38" i="50"/>
  <c r="M38" i="50" s="1"/>
  <c r="J37" i="50"/>
  <c r="M37" i="50" s="1"/>
  <c r="J36" i="50"/>
  <c r="M36" i="50" s="1"/>
  <c r="J35" i="50"/>
  <c r="M35" i="50" s="1"/>
  <c r="J34" i="50"/>
  <c r="M34" i="50" s="1"/>
  <c r="J33" i="50"/>
  <c r="M33" i="50" s="1"/>
  <c r="J32" i="50"/>
  <c r="M32" i="50" s="1"/>
  <c r="J31" i="50"/>
  <c r="M31" i="50" s="1"/>
  <c r="J30" i="50"/>
  <c r="M30" i="50" s="1"/>
  <c r="J29" i="50"/>
  <c r="M29" i="50" s="1"/>
  <c r="J28" i="50"/>
  <c r="M28" i="50" s="1"/>
  <c r="J27" i="50"/>
  <c r="M27" i="50" s="1"/>
  <c r="J26" i="50"/>
  <c r="M26" i="50" s="1"/>
  <c r="J25" i="50"/>
  <c r="M25" i="50" s="1"/>
  <c r="J24" i="50"/>
  <c r="M24" i="50" s="1"/>
  <c r="J23" i="50"/>
  <c r="M23" i="50" s="1"/>
  <c r="J22" i="50"/>
  <c r="M22" i="50" s="1"/>
  <c r="J21" i="50"/>
  <c r="M21" i="50" s="1"/>
  <c r="J20" i="50"/>
  <c r="M20" i="50" s="1"/>
  <c r="J19" i="50"/>
  <c r="M19" i="50" s="1"/>
  <c r="J18" i="50"/>
  <c r="M18" i="50" s="1"/>
  <c r="J17" i="50"/>
  <c r="M17" i="50" s="1"/>
  <c r="J16" i="50"/>
  <c r="M16" i="50" s="1"/>
  <c r="J15" i="50"/>
  <c r="M15" i="50" s="1"/>
  <c r="J14" i="50"/>
  <c r="M14" i="50" s="1"/>
  <c r="J13" i="50"/>
  <c r="M13" i="50" s="1"/>
  <c r="J12" i="50"/>
  <c r="M12" i="50" s="1"/>
  <c r="J11" i="50"/>
  <c r="M11" i="50" s="1"/>
  <c r="J10" i="50"/>
  <c r="M10" i="50" s="1"/>
  <c r="J9" i="50"/>
  <c r="M9" i="50" s="1"/>
  <c r="J8" i="50"/>
  <c r="M8" i="50" s="1"/>
  <c r="J7" i="50"/>
  <c r="M7" i="50" s="1"/>
  <c r="J6" i="50"/>
  <c r="M6" i="50" s="1"/>
  <c r="J5" i="50"/>
  <c r="M5" i="50" s="1"/>
  <c r="J4" i="50"/>
  <c r="M4" i="50" s="1"/>
  <c r="K106" i="49"/>
  <c r="K98" i="49"/>
  <c r="N34" i="2" s="1"/>
  <c r="K95" i="49"/>
  <c r="J90" i="49"/>
  <c r="M90" i="49" s="1"/>
  <c r="J89" i="49"/>
  <c r="M89" i="49" s="1"/>
  <c r="J88" i="49"/>
  <c r="M88" i="49" s="1"/>
  <c r="J87" i="49"/>
  <c r="M87" i="49" s="1"/>
  <c r="J86" i="49"/>
  <c r="M86" i="49" s="1"/>
  <c r="J85" i="49"/>
  <c r="M85" i="49" s="1"/>
  <c r="J84" i="49"/>
  <c r="M84" i="49" s="1"/>
  <c r="J83" i="49"/>
  <c r="M83" i="49" s="1"/>
  <c r="J82" i="49"/>
  <c r="M82" i="49" s="1"/>
  <c r="J81" i="49"/>
  <c r="M81" i="49" s="1"/>
  <c r="J80" i="49"/>
  <c r="M80" i="49" s="1"/>
  <c r="J79" i="49"/>
  <c r="M79" i="49" s="1"/>
  <c r="J78" i="49"/>
  <c r="M78" i="49" s="1"/>
  <c r="J77" i="49"/>
  <c r="M77" i="49" s="1"/>
  <c r="J76" i="49"/>
  <c r="M76" i="49" s="1"/>
  <c r="J75" i="49"/>
  <c r="M75" i="49" s="1"/>
  <c r="J74" i="49"/>
  <c r="M74" i="49" s="1"/>
  <c r="J73" i="49"/>
  <c r="M73" i="49" s="1"/>
  <c r="J72" i="49"/>
  <c r="M72" i="49" s="1"/>
  <c r="J71" i="49"/>
  <c r="M71" i="49" s="1"/>
  <c r="J70" i="49"/>
  <c r="M70" i="49" s="1"/>
  <c r="J69" i="49"/>
  <c r="M69" i="49" s="1"/>
  <c r="J68" i="49"/>
  <c r="M68" i="49" s="1"/>
  <c r="J67" i="49"/>
  <c r="M67" i="49" s="1"/>
  <c r="J66" i="49"/>
  <c r="M66" i="49" s="1"/>
  <c r="J65" i="49"/>
  <c r="M65" i="49" s="1"/>
  <c r="J64" i="49"/>
  <c r="M64" i="49" s="1"/>
  <c r="J63" i="49"/>
  <c r="M63" i="49" s="1"/>
  <c r="J62" i="49"/>
  <c r="M62" i="49" s="1"/>
  <c r="J61" i="49"/>
  <c r="M61" i="49" s="1"/>
  <c r="J60" i="49"/>
  <c r="M60" i="49" s="1"/>
  <c r="J59" i="49"/>
  <c r="M59" i="49" s="1"/>
  <c r="J58" i="49"/>
  <c r="M58" i="49" s="1"/>
  <c r="J57" i="49"/>
  <c r="M57" i="49" s="1"/>
  <c r="J56" i="49"/>
  <c r="M56" i="49" s="1"/>
  <c r="J55" i="49"/>
  <c r="M55" i="49" s="1"/>
  <c r="J54" i="49"/>
  <c r="M54" i="49" s="1"/>
  <c r="J53" i="49"/>
  <c r="M53" i="49" s="1"/>
  <c r="J52" i="49"/>
  <c r="M52" i="49" s="1"/>
  <c r="J51" i="49"/>
  <c r="M51" i="49" s="1"/>
  <c r="J50" i="49"/>
  <c r="M50" i="49" s="1"/>
  <c r="J49" i="49"/>
  <c r="M49" i="49" s="1"/>
  <c r="M48" i="49"/>
  <c r="J47" i="49"/>
  <c r="M47" i="49" s="1"/>
  <c r="J46" i="49"/>
  <c r="M46" i="49" s="1"/>
  <c r="J45" i="49"/>
  <c r="M45" i="49" s="1"/>
  <c r="J44" i="49"/>
  <c r="M44" i="49" s="1"/>
  <c r="J43" i="49"/>
  <c r="M43" i="49" s="1"/>
  <c r="J42" i="49"/>
  <c r="M42" i="49" s="1"/>
  <c r="J41" i="49"/>
  <c r="M41" i="49" s="1"/>
  <c r="J40" i="49"/>
  <c r="M40" i="49" s="1"/>
  <c r="J39" i="49"/>
  <c r="M39" i="49" s="1"/>
  <c r="J38" i="49"/>
  <c r="M38" i="49" s="1"/>
  <c r="J37" i="49"/>
  <c r="M37" i="49" s="1"/>
  <c r="J36" i="49"/>
  <c r="M36" i="49" s="1"/>
  <c r="J35" i="49"/>
  <c r="M35" i="49" s="1"/>
  <c r="J34" i="49"/>
  <c r="M34" i="49" s="1"/>
  <c r="J33" i="49"/>
  <c r="M33" i="49" s="1"/>
  <c r="J32" i="49"/>
  <c r="M32" i="49" s="1"/>
  <c r="J31" i="49"/>
  <c r="M31" i="49" s="1"/>
  <c r="J30" i="49"/>
  <c r="M30" i="49" s="1"/>
  <c r="J29" i="49"/>
  <c r="M29" i="49" s="1"/>
  <c r="J28" i="49"/>
  <c r="M28" i="49" s="1"/>
  <c r="J27" i="49"/>
  <c r="M27" i="49" s="1"/>
  <c r="J26" i="49"/>
  <c r="M26" i="49" s="1"/>
  <c r="J25" i="49"/>
  <c r="M25" i="49" s="1"/>
  <c r="J24" i="49"/>
  <c r="M24" i="49" s="1"/>
  <c r="J23" i="49"/>
  <c r="M23" i="49" s="1"/>
  <c r="J22" i="49"/>
  <c r="M22" i="49" s="1"/>
  <c r="J21" i="49"/>
  <c r="M21" i="49" s="1"/>
  <c r="J20" i="49"/>
  <c r="M20" i="49" s="1"/>
  <c r="J19" i="49"/>
  <c r="M19" i="49" s="1"/>
  <c r="J18" i="49"/>
  <c r="M18" i="49" s="1"/>
  <c r="J17" i="49"/>
  <c r="M17" i="49" s="1"/>
  <c r="J16" i="49"/>
  <c r="M16" i="49" s="1"/>
  <c r="J15" i="49"/>
  <c r="M15" i="49" s="1"/>
  <c r="J14" i="49"/>
  <c r="M14" i="49" s="1"/>
  <c r="J13" i="49"/>
  <c r="M13" i="49" s="1"/>
  <c r="J12" i="49"/>
  <c r="M12" i="49" s="1"/>
  <c r="J11" i="49"/>
  <c r="M11" i="49" s="1"/>
  <c r="J10" i="49"/>
  <c r="M10" i="49" s="1"/>
  <c r="J9" i="49"/>
  <c r="M9" i="49" s="1"/>
  <c r="J8" i="49"/>
  <c r="M8" i="49" s="1"/>
  <c r="J7" i="49"/>
  <c r="M7" i="49" s="1"/>
  <c r="J6" i="49"/>
  <c r="M6" i="49" s="1"/>
  <c r="J5" i="49"/>
  <c r="M5" i="49" s="1"/>
  <c r="J4" i="49"/>
  <c r="M4" i="49" s="1"/>
  <c r="K106" i="48"/>
  <c r="K98" i="48"/>
  <c r="N33" i="2" s="1"/>
  <c r="K95" i="48"/>
  <c r="J90" i="48"/>
  <c r="M90" i="48" s="1"/>
  <c r="J89" i="48"/>
  <c r="M89" i="48" s="1"/>
  <c r="J88" i="48"/>
  <c r="M88" i="48" s="1"/>
  <c r="J87" i="48"/>
  <c r="M87" i="48" s="1"/>
  <c r="J86" i="48"/>
  <c r="M86" i="48" s="1"/>
  <c r="J85" i="48"/>
  <c r="M85" i="48" s="1"/>
  <c r="J84" i="48"/>
  <c r="M84" i="48" s="1"/>
  <c r="J83" i="48"/>
  <c r="M83" i="48" s="1"/>
  <c r="J82" i="48"/>
  <c r="M82" i="48" s="1"/>
  <c r="J81" i="48"/>
  <c r="M81" i="48" s="1"/>
  <c r="J80" i="48"/>
  <c r="M80" i="48" s="1"/>
  <c r="J79" i="48"/>
  <c r="M79" i="48" s="1"/>
  <c r="J78" i="48"/>
  <c r="M78" i="48" s="1"/>
  <c r="J77" i="48"/>
  <c r="M77" i="48" s="1"/>
  <c r="J76" i="48"/>
  <c r="M76" i="48" s="1"/>
  <c r="J75" i="48"/>
  <c r="M75" i="48" s="1"/>
  <c r="J74" i="48"/>
  <c r="M74" i="48" s="1"/>
  <c r="J73" i="48"/>
  <c r="M73" i="48" s="1"/>
  <c r="J72" i="48"/>
  <c r="M72" i="48" s="1"/>
  <c r="J71" i="48"/>
  <c r="M71" i="48" s="1"/>
  <c r="J70" i="48"/>
  <c r="M70" i="48" s="1"/>
  <c r="J69" i="48"/>
  <c r="M69" i="48" s="1"/>
  <c r="J68" i="48"/>
  <c r="M68" i="48" s="1"/>
  <c r="J67" i="48"/>
  <c r="M67" i="48" s="1"/>
  <c r="J66" i="48"/>
  <c r="M66" i="48" s="1"/>
  <c r="J65" i="48"/>
  <c r="M65" i="48" s="1"/>
  <c r="J64" i="48"/>
  <c r="M64" i="48" s="1"/>
  <c r="J63" i="48"/>
  <c r="M63" i="48" s="1"/>
  <c r="J62" i="48"/>
  <c r="M62" i="48" s="1"/>
  <c r="J61" i="48"/>
  <c r="M61" i="48" s="1"/>
  <c r="J60" i="48"/>
  <c r="M60" i="48" s="1"/>
  <c r="J59" i="48"/>
  <c r="M59" i="48" s="1"/>
  <c r="J58" i="48"/>
  <c r="M58" i="48" s="1"/>
  <c r="J57" i="48"/>
  <c r="M57" i="48" s="1"/>
  <c r="J56" i="48"/>
  <c r="M56" i="48" s="1"/>
  <c r="J55" i="48"/>
  <c r="M55" i="48" s="1"/>
  <c r="J54" i="48"/>
  <c r="M54" i="48" s="1"/>
  <c r="J53" i="48"/>
  <c r="M53" i="48" s="1"/>
  <c r="J52" i="48"/>
  <c r="M52" i="48" s="1"/>
  <c r="J51" i="48"/>
  <c r="M51" i="48" s="1"/>
  <c r="J50" i="48"/>
  <c r="M50" i="48" s="1"/>
  <c r="J49" i="48"/>
  <c r="M49" i="48" s="1"/>
  <c r="M48" i="48"/>
  <c r="J47" i="48"/>
  <c r="M47" i="48" s="1"/>
  <c r="J46" i="48"/>
  <c r="M46" i="48" s="1"/>
  <c r="J45" i="48"/>
  <c r="M45" i="48" s="1"/>
  <c r="J44" i="48"/>
  <c r="J43" i="48"/>
  <c r="M43" i="48" s="1"/>
  <c r="J42" i="48"/>
  <c r="M42" i="48" s="1"/>
  <c r="J41" i="48"/>
  <c r="M41" i="48" s="1"/>
  <c r="J40" i="48"/>
  <c r="M40" i="48" s="1"/>
  <c r="J39" i="48"/>
  <c r="M39" i="48" s="1"/>
  <c r="J38" i="48"/>
  <c r="M38" i="48" s="1"/>
  <c r="J37" i="48"/>
  <c r="M37" i="48" s="1"/>
  <c r="J36" i="48"/>
  <c r="M36" i="48" s="1"/>
  <c r="J35" i="48"/>
  <c r="M35" i="48" s="1"/>
  <c r="J34" i="48"/>
  <c r="M34" i="48" s="1"/>
  <c r="J33" i="48"/>
  <c r="M33" i="48" s="1"/>
  <c r="J32" i="48"/>
  <c r="M32" i="48" s="1"/>
  <c r="J31" i="48"/>
  <c r="M31" i="48" s="1"/>
  <c r="J30" i="48"/>
  <c r="M30" i="48" s="1"/>
  <c r="J29" i="48"/>
  <c r="M29" i="48" s="1"/>
  <c r="J28" i="48"/>
  <c r="M28" i="48" s="1"/>
  <c r="J27" i="48"/>
  <c r="M27" i="48" s="1"/>
  <c r="J26" i="48"/>
  <c r="M26" i="48" s="1"/>
  <c r="J25" i="48"/>
  <c r="M25" i="48" s="1"/>
  <c r="J24" i="48"/>
  <c r="M24" i="48" s="1"/>
  <c r="J23" i="48"/>
  <c r="M23" i="48" s="1"/>
  <c r="J22" i="48"/>
  <c r="M22" i="48" s="1"/>
  <c r="J21" i="48"/>
  <c r="M21" i="48" s="1"/>
  <c r="J20" i="48"/>
  <c r="M20" i="48" s="1"/>
  <c r="J19" i="48"/>
  <c r="M19" i="48" s="1"/>
  <c r="J18" i="48"/>
  <c r="M18" i="48" s="1"/>
  <c r="J17" i="48"/>
  <c r="M17" i="48" s="1"/>
  <c r="J16" i="48"/>
  <c r="M16" i="48" s="1"/>
  <c r="J15" i="48"/>
  <c r="M15" i="48" s="1"/>
  <c r="J14" i="48"/>
  <c r="J13" i="48"/>
  <c r="M13" i="48" s="1"/>
  <c r="J12" i="48"/>
  <c r="M12" i="48" s="1"/>
  <c r="J11" i="48"/>
  <c r="M11" i="48" s="1"/>
  <c r="J10" i="48"/>
  <c r="M10" i="48" s="1"/>
  <c r="J9" i="48"/>
  <c r="M9" i="48" s="1"/>
  <c r="J8" i="48"/>
  <c r="M8" i="48" s="1"/>
  <c r="J7" i="48"/>
  <c r="M7" i="48" s="1"/>
  <c r="J6" i="48"/>
  <c r="M6" i="48" s="1"/>
  <c r="J5" i="48"/>
  <c r="M5" i="48" s="1"/>
  <c r="J4" i="48"/>
  <c r="K106" i="47"/>
  <c r="K98" i="47"/>
  <c r="N32" i="2" s="1"/>
  <c r="K95" i="47"/>
  <c r="J90" i="47"/>
  <c r="M90" i="47" s="1"/>
  <c r="J89" i="47"/>
  <c r="M89" i="47" s="1"/>
  <c r="J88" i="47"/>
  <c r="M88" i="47" s="1"/>
  <c r="J87" i="47"/>
  <c r="M87" i="47" s="1"/>
  <c r="J86" i="47"/>
  <c r="M86" i="47" s="1"/>
  <c r="J85" i="47"/>
  <c r="M85" i="47" s="1"/>
  <c r="J84" i="47"/>
  <c r="M84" i="47" s="1"/>
  <c r="J83" i="47"/>
  <c r="M83" i="47" s="1"/>
  <c r="J82" i="47"/>
  <c r="M82" i="47" s="1"/>
  <c r="J81" i="47"/>
  <c r="M81" i="47" s="1"/>
  <c r="J80" i="47"/>
  <c r="M80" i="47" s="1"/>
  <c r="J79" i="47"/>
  <c r="M79" i="47" s="1"/>
  <c r="J78" i="47"/>
  <c r="M78" i="47" s="1"/>
  <c r="J77" i="47"/>
  <c r="M77" i="47" s="1"/>
  <c r="J76" i="47"/>
  <c r="M76" i="47" s="1"/>
  <c r="J75" i="47"/>
  <c r="M75" i="47" s="1"/>
  <c r="J74" i="47"/>
  <c r="M74" i="47" s="1"/>
  <c r="J73" i="47"/>
  <c r="M73" i="47" s="1"/>
  <c r="J72" i="47"/>
  <c r="M72" i="47" s="1"/>
  <c r="J71" i="47"/>
  <c r="M71" i="47" s="1"/>
  <c r="J70" i="47"/>
  <c r="M70" i="47" s="1"/>
  <c r="J69" i="47"/>
  <c r="M69" i="47" s="1"/>
  <c r="J68" i="47"/>
  <c r="M68" i="47" s="1"/>
  <c r="J67" i="47"/>
  <c r="M67" i="47" s="1"/>
  <c r="J66" i="47"/>
  <c r="M66" i="47" s="1"/>
  <c r="J65" i="47"/>
  <c r="M65" i="47" s="1"/>
  <c r="J64" i="47"/>
  <c r="M64" i="47" s="1"/>
  <c r="J63" i="47"/>
  <c r="M63" i="47" s="1"/>
  <c r="J62" i="47"/>
  <c r="M62" i="47" s="1"/>
  <c r="J61" i="47"/>
  <c r="J60" i="47"/>
  <c r="M60" i="47" s="1"/>
  <c r="J59" i="47"/>
  <c r="M59" i="47" s="1"/>
  <c r="J58" i="47"/>
  <c r="M58" i="47" s="1"/>
  <c r="J57" i="47"/>
  <c r="M57" i="47" s="1"/>
  <c r="J56" i="47"/>
  <c r="M56" i="47" s="1"/>
  <c r="J55" i="47"/>
  <c r="M55" i="47" s="1"/>
  <c r="J54" i="47"/>
  <c r="M54" i="47" s="1"/>
  <c r="J53" i="47"/>
  <c r="M53" i="47" s="1"/>
  <c r="J52" i="47"/>
  <c r="M52" i="47" s="1"/>
  <c r="J51" i="47"/>
  <c r="M51" i="47" s="1"/>
  <c r="J50" i="47"/>
  <c r="M50" i="47" s="1"/>
  <c r="J49" i="47"/>
  <c r="M49" i="47" s="1"/>
  <c r="M48" i="47"/>
  <c r="J47" i="47"/>
  <c r="M47" i="47" s="1"/>
  <c r="J46" i="47"/>
  <c r="M46" i="47" s="1"/>
  <c r="J45" i="47"/>
  <c r="M45" i="47" s="1"/>
  <c r="J44" i="47"/>
  <c r="M44" i="47" s="1"/>
  <c r="J43" i="47"/>
  <c r="M43" i="47" s="1"/>
  <c r="J42" i="47"/>
  <c r="M42" i="47" s="1"/>
  <c r="J41" i="47"/>
  <c r="M41" i="47" s="1"/>
  <c r="J40" i="47"/>
  <c r="M40" i="47" s="1"/>
  <c r="J39" i="47"/>
  <c r="M39" i="47" s="1"/>
  <c r="J38" i="47"/>
  <c r="M38" i="47" s="1"/>
  <c r="J37" i="47"/>
  <c r="M37" i="47" s="1"/>
  <c r="J36" i="47"/>
  <c r="M36" i="47" s="1"/>
  <c r="J35" i="47"/>
  <c r="M35" i="47" s="1"/>
  <c r="J34" i="47"/>
  <c r="M34" i="47" s="1"/>
  <c r="J33" i="47"/>
  <c r="M33" i="47" s="1"/>
  <c r="J32" i="47"/>
  <c r="M32" i="47" s="1"/>
  <c r="J31" i="47"/>
  <c r="M31" i="47" s="1"/>
  <c r="J30" i="47"/>
  <c r="M30" i="47" s="1"/>
  <c r="J29" i="47"/>
  <c r="M29" i="47" s="1"/>
  <c r="J28" i="47"/>
  <c r="M28" i="47" s="1"/>
  <c r="J27" i="47"/>
  <c r="M27" i="47" s="1"/>
  <c r="J26" i="47"/>
  <c r="M26" i="47" s="1"/>
  <c r="J25" i="47"/>
  <c r="M25" i="47" s="1"/>
  <c r="J24" i="47"/>
  <c r="M24" i="47" s="1"/>
  <c r="J23" i="47"/>
  <c r="M23" i="47" s="1"/>
  <c r="J22" i="47"/>
  <c r="M22" i="47" s="1"/>
  <c r="J21" i="47"/>
  <c r="M21" i="47" s="1"/>
  <c r="J20" i="47"/>
  <c r="M20" i="47" s="1"/>
  <c r="J19" i="47"/>
  <c r="M19" i="47" s="1"/>
  <c r="J18" i="47"/>
  <c r="M18" i="47" s="1"/>
  <c r="J17" i="47"/>
  <c r="M17" i="47" s="1"/>
  <c r="J16" i="47"/>
  <c r="J15" i="47"/>
  <c r="M15" i="47" s="1"/>
  <c r="J14" i="47"/>
  <c r="M14" i="47" s="1"/>
  <c r="J13" i="47"/>
  <c r="M13" i="47" s="1"/>
  <c r="J12" i="47"/>
  <c r="J11" i="47"/>
  <c r="M11" i="47" s="1"/>
  <c r="J10" i="47"/>
  <c r="M10" i="47" s="1"/>
  <c r="J9" i="47"/>
  <c r="M9" i="47" s="1"/>
  <c r="J8" i="47"/>
  <c r="M8" i="47" s="1"/>
  <c r="J7" i="47"/>
  <c r="M7" i="47" s="1"/>
  <c r="J6" i="47"/>
  <c r="M6" i="47" s="1"/>
  <c r="J5" i="47"/>
  <c r="J4" i="47"/>
  <c r="M4" i="47" s="1"/>
  <c r="K106" i="46"/>
  <c r="K98" i="46"/>
  <c r="N31" i="2" s="1"/>
  <c r="K95" i="46"/>
  <c r="J90" i="46"/>
  <c r="M90" i="46" s="1"/>
  <c r="J89" i="46"/>
  <c r="M89" i="46" s="1"/>
  <c r="J88" i="46"/>
  <c r="M88" i="46" s="1"/>
  <c r="J87" i="46"/>
  <c r="M87" i="46" s="1"/>
  <c r="J86" i="46"/>
  <c r="M86" i="46" s="1"/>
  <c r="J85" i="46"/>
  <c r="M85" i="46" s="1"/>
  <c r="J84" i="46"/>
  <c r="M84" i="46" s="1"/>
  <c r="J83" i="46"/>
  <c r="M83" i="46" s="1"/>
  <c r="J82" i="46"/>
  <c r="M82" i="46" s="1"/>
  <c r="J81" i="46"/>
  <c r="M81" i="46" s="1"/>
  <c r="J80" i="46"/>
  <c r="M80" i="46" s="1"/>
  <c r="J79" i="46"/>
  <c r="M79" i="46" s="1"/>
  <c r="J78" i="46"/>
  <c r="M78" i="46" s="1"/>
  <c r="J77" i="46"/>
  <c r="M77" i="46" s="1"/>
  <c r="J76" i="46"/>
  <c r="M76" i="46" s="1"/>
  <c r="J75" i="46"/>
  <c r="M75" i="46" s="1"/>
  <c r="J74" i="46"/>
  <c r="M74" i="46" s="1"/>
  <c r="J73" i="46"/>
  <c r="M73" i="46" s="1"/>
  <c r="J72" i="46"/>
  <c r="M72" i="46" s="1"/>
  <c r="J71" i="46"/>
  <c r="M71" i="46" s="1"/>
  <c r="J70" i="46"/>
  <c r="M70" i="46" s="1"/>
  <c r="J69" i="46"/>
  <c r="M69" i="46" s="1"/>
  <c r="J68" i="46"/>
  <c r="M68" i="46" s="1"/>
  <c r="J67" i="46"/>
  <c r="M67" i="46" s="1"/>
  <c r="J66" i="46"/>
  <c r="M66" i="46" s="1"/>
  <c r="J65" i="46"/>
  <c r="M65" i="46" s="1"/>
  <c r="J64" i="46"/>
  <c r="M64" i="46" s="1"/>
  <c r="J63" i="46"/>
  <c r="M63" i="46" s="1"/>
  <c r="J62" i="46"/>
  <c r="M62" i="46" s="1"/>
  <c r="J61" i="46"/>
  <c r="M61" i="46" s="1"/>
  <c r="J60" i="46"/>
  <c r="M60" i="46" s="1"/>
  <c r="J59" i="46"/>
  <c r="M59" i="46" s="1"/>
  <c r="J58" i="46"/>
  <c r="M58" i="46" s="1"/>
  <c r="J57" i="46"/>
  <c r="M57" i="46" s="1"/>
  <c r="J56" i="46"/>
  <c r="M56" i="46" s="1"/>
  <c r="J55" i="46"/>
  <c r="M55" i="46" s="1"/>
  <c r="J54" i="46"/>
  <c r="M54" i="46" s="1"/>
  <c r="J53" i="46"/>
  <c r="M53" i="46" s="1"/>
  <c r="J52" i="46"/>
  <c r="M52" i="46" s="1"/>
  <c r="J51" i="46"/>
  <c r="M51" i="46" s="1"/>
  <c r="J50" i="46"/>
  <c r="M50" i="46" s="1"/>
  <c r="J49" i="46"/>
  <c r="M49" i="46" s="1"/>
  <c r="M48" i="46"/>
  <c r="J47" i="46"/>
  <c r="M47" i="46" s="1"/>
  <c r="J46" i="46"/>
  <c r="M46" i="46" s="1"/>
  <c r="J45" i="46"/>
  <c r="M45" i="46" s="1"/>
  <c r="J44" i="46"/>
  <c r="M44" i="46" s="1"/>
  <c r="J43" i="46"/>
  <c r="M43" i="46" s="1"/>
  <c r="J42" i="46"/>
  <c r="M42" i="46" s="1"/>
  <c r="J41" i="46"/>
  <c r="M41" i="46" s="1"/>
  <c r="J40" i="46"/>
  <c r="M40" i="46" s="1"/>
  <c r="J39" i="46"/>
  <c r="M39" i="46" s="1"/>
  <c r="J38" i="46"/>
  <c r="M38" i="46" s="1"/>
  <c r="J37" i="46"/>
  <c r="M37" i="46" s="1"/>
  <c r="J36" i="46"/>
  <c r="M36" i="46" s="1"/>
  <c r="J35" i="46"/>
  <c r="M35" i="46" s="1"/>
  <c r="J34" i="46"/>
  <c r="M34" i="46" s="1"/>
  <c r="J33" i="46"/>
  <c r="M33" i="46" s="1"/>
  <c r="J32" i="46"/>
  <c r="M32" i="46" s="1"/>
  <c r="J31" i="46"/>
  <c r="M31" i="46" s="1"/>
  <c r="J30" i="46"/>
  <c r="M30" i="46" s="1"/>
  <c r="J29" i="46"/>
  <c r="M29" i="46" s="1"/>
  <c r="J28" i="46"/>
  <c r="M28" i="46" s="1"/>
  <c r="J27" i="46"/>
  <c r="M27" i="46" s="1"/>
  <c r="J26" i="46"/>
  <c r="M26" i="46" s="1"/>
  <c r="J25" i="46"/>
  <c r="M25" i="46" s="1"/>
  <c r="J24" i="46"/>
  <c r="M24" i="46" s="1"/>
  <c r="J23" i="46"/>
  <c r="M23" i="46" s="1"/>
  <c r="J22" i="46"/>
  <c r="M22" i="46" s="1"/>
  <c r="J21" i="46"/>
  <c r="M21" i="46" s="1"/>
  <c r="J20" i="46"/>
  <c r="M20" i="46" s="1"/>
  <c r="J19" i="46"/>
  <c r="M19" i="46" s="1"/>
  <c r="J18" i="46"/>
  <c r="M18" i="46" s="1"/>
  <c r="J17" i="46"/>
  <c r="M17" i="46" s="1"/>
  <c r="J16" i="46"/>
  <c r="M16" i="46" s="1"/>
  <c r="J15" i="46"/>
  <c r="M15" i="46" s="1"/>
  <c r="J14" i="46"/>
  <c r="M14" i="46" s="1"/>
  <c r="J13" i="46"/>
  <c r="M13" i="46" s="1"/>
  <c r="J12" i="46"/>
  <c r="M12" i="46" s="1"/>
  <c r="J11" i="46"/>
  <c r="M11" i="46" s="1"/>
  <c r="J10" i="46"/>
  <c r="M10" i="46" s="1"/>
  <c r="J9" i="46"/>
  <c r="M9" i="46" s="1"/>
  <c r="J8" i="46"/>
  <c r="M8" i="46" s="1"/>
  <c r="J7" i="46"/>
  <c r="M7" i="46" s="1"/>
  <c r="J6" i="46"/>
  <c r="M6" i="46" s="1"/>
  <c r="J5" i="46"/>
  <c r="M5" i="46" s="1"/>
  <c r="J4" i="46"/>
  <c r="M4" i="46" s="1"/>
  <c r="K106" i="45"/>
  <c r="K98" i="45"/>
  <c r="N30" i="2" s="1"/>
  <c r="K95" i="45"/>
  <c r="J90" i="45"/>
  <c r="M90" i="45" s="1"/>
  <c r="J89" i="45"/>
  <c r="M89" i="45" s="1"/>
  <c r="J88" i="45"/>
  <c r="M88" i="45" s="1"/>
  <c r="J87" i="45"/>
  <c r="M87" i="45" s="1"/>
  <c r="J86" i="45"/>
  <c r="M86" i="45" s="1"/>
  <c r="J85" i="45"/>
  <c r="M85" i="45" s="1"/>
  <c r="J84" i="45"/>
  <c r="M84" i="45" s="1"/>
  <c r="J83" i="45"/>
  <c r="M83" i="45" s="1"/>
  <c r="J82" i="45"/>
  <c r="M82" i="45" s="1"/>
  <c r="J81" i="45"/>
  <c r="M81" i="45" s="1"/>
  <c r="J80" i="45"/>
  <c r="M80" i="45" s="1"/>
  <c r="J79" i="45"/>
  <c r="M79" i="45" s="1"/>
  <c r="J78" i="45"/>
  <c r="M78" i="45" s="1"/>
  <c r="J77" i="45"/>
  <c r="M77" i="45" s="1"/>
  <c r="J76" i="45"/>
  <c r="M76" i="45" s="1"/>
  <c r="J75" i="45"/>
  <c r="M75" i="45" s="1"/>
  <c r="J74" i="45"/>
  <c r="M74" i="45" s="1"/>
  <c r="J73" i="45"/>
  <c r="M73" i="45" s="1"/>
  <c r="J72" i="45"/>
  <c r="M72" i="45" s="1"/>
  <c r="J71" i="45"/>
  <c r="M71" i="45" s="1"/>
  <c r="J70" i="45"/>
  <c r="M70" i="45" s="1"/>
  <c r="J69" i="45"/>
  <c r="M69" i="45" s="1"/>
  <c r="J68" i="45"/>
  <c r="M68" i="45" s="1"/>
  <c r="J67" i="45"/>
  <c r="M67" i="45" s="1"/>
  <c r="J66" i="45"/>
  <c r="M66" i="45" s="1"/>
  <c r="J65" i="45"/>
  <c r="M65" i="45" s="1"/>
  <c r="J64" i="45"/>
  <c r="M64" i="45" s="1"/>
  <c r="J63" i="45"/>
  <c r="M63" i="45" s="1"/>
  <c r="J62" i="45"/>
  <c r="M62" i="45" s="1"/>
  <c r="J61" i="45"/>
  <c r="M61" i="45" s="1"/>
  <c r="J60" i="45"/>
  <c r="M60" i="45" s="1"/>
  <c r="J59" i="45"/>
  <c r="M59" i="45" s="1"/>
  <c r="J58" i="45"/>
  <c r="M58" i="45" s="1"/>
  <c r="J57" i="45"/>
  <c r="M57" i="45" s="1"/>
  <c r="J56" i="45"/>
  <c r="M56" i="45" s="1"/>
  <c r="J55" i="45"/>
  <c r="M55" i="45" s="1"/>
  <c r="J54" i="45"/>
  <c r="M54" i="45" s="1"/>
  <c r="J53" i="45"/>
  <c r="M53" i="45" s="1"/>
  <c r="J52" i="45"/>
  <c r="M52" i="45" s="1"/>
  <c r="J51" i="45"/>
  <c r="M51" i="45" s="1"/>
  <c r="J50" i="45"/>
  <c r="M50" i="45" s="1"/>
  <c r="J49" i="45"/>
  <c r="M49" i="45" s="1"/>
  <c r="M48" i="45"/>
  <c r="J47" i="45"/>
  <c r="M47" i="45" s="1"/>
  <c r="J46" i="45"/>
  <c r="M46" i="45" s="1"/>
  <c r="J45" i="45"/>
  <c r="M45" i="45" s="1"/>
  <c r="J44" i="45"/>
  <c r="M44" i="45" s="1"/>
  <c r="J43" i="45"/>
  <c r="M43" i="45" s="1"/>
  <c r="J42" i="45"/>
  <c r="M42" i="45" s="1"/>
  <c r="J41" i="45"/>
  <c r="M41" i="45" s="1"/>
  <c r="J40" i="45"/>
  <c r="M40" i="45" s="1"/>
  <c r="J39" i="45"/>
  <c r="M39" i="45" s="1"/>
  <c r="J38" i="45"/>
  <c r="M38" i="45" s="1"/>
  <c r="J37" i="45"/>
  <c r="M37" i="45" s="1"/>
  <c r="J36" i="45"/>
  <c r="M36" i="45" s="1"/>
  <c r="J35" i="45"/>
  <c r="M35" i="45" s="1"/>
  <c r="J34" i="45"/>
  <c r="M34" i="45" s="1"/>
  <c r="J33" i="45"/>
  <c r="M33" i="45" s="1"/>
  <c r="J32" i="45"/>
  <c r="M32" i="45" s="1"/>
  <c r="J31" i="45"/>
  <c r="M31" i="45" s="1"/>
  <c r="J30" i="45"/>
  <c r="M30" i="45" s="1"/>
  <c r="J29" i="45"/>
  <c r="M29" i="45" s="1"/>
  <c r="J28" i="45"/>
  <c r="M28" i="45" s="1"/>
  <c r="J27" i="45"/>
  <c r="M27" i="45" s="1"/>
  <c r="J26" i="45"/>
  <c r="M26" i="45" s="1"/>
  <c r="J25" i="45"/>
  <c r="M25" i="45" s="1"/>
  <c r="J24" i="45"/>
  <c r="M24" i="45" s="1"/>
  <c r="J23" i="45"/>
  <c r="M23" i="45" s="1"/>
  <c r="J22" i="45"/>
  <c r="M22" i="45" s="1"/>
  <c r="J21" i="45"/>
  <c r="M21" i="45" s="1"/>
  <c r="J20" i="45"/>
  <c r="M20" i="45" s="1"/>
  <c r="J19" i="45"/>
  <c r="M19" i="45" s="1"/>
  <c r="J18" i="45"/>
  <c r="M18" i="45" s="1"/>
  <c r="J17" i="45"/>
  <c r="M17" i="45" s="1"/>
  <c r="J16" i="45"/>
  <c r="M16" i="45" s="1"/>
  <c r="J15" i="45"/>
  <c r="M15" i="45" s="1"/>
  <c r="J14" i="45"/>
  <c r="M14" i="45" s="1"/>
  <c r="J13" i="45"/>
  <c r="M13" i="45" s="1"/>
  <c r="J12" i="45"/>
  <c r="M12" i="45" s="1"/>
  <c r="J11" i="45"/>
  <c r="M11" i="45" s="1"/>
  <c r="J10" i="45"/>
  <c r="M10" i="45" s="1"/>
  <c r="J9" i="45"/>
  <c r="M9" i="45" s="1"/>
  <c r="J8" i="45"/>
  <c r="M8" i="45" s="1"/>
  <c r="J7" i="45"/>
  <c r="M7" i="45" s="1"/>
  <c r="J6" i="45"/>
  <c r="M6" i="45" s="1"/>
  <c r="J5" i="45"/>
  <c r="M5" i="45" s="1"/>
  <c r="J4" i="45"/>
  <c r="K106" i="44"/>
  <c r="K98" i="44"/>
  <c r="N29" i="2" s="1"/>
  <c r="K95" i="44"/>
  <c r="J90" i="44"/>
  <c r="M90" i="44" s="1"/>
  <c r="J89" i="44"/>
  <c r="M89" i="44" s="1"/>
  <c r="J88" i="44"/>
  <c r="M88" i="44" s="1"/>
  <c r="J87" i="44"/>
  <c r="M87" i="44" s="1"/>
  <c r="J86" i="44"/>
  <c r="M86" i="44" s="1"/>
  <c r="J85" i="44"/>
  <c r="M85" i="44" s="1"/>
  <c r="J84" i="44"/>
  <c r="M84" i="44" s="1"/>
  <c r="J83" i="44"/>
  <c r="M83" i="44" s="1"/>
  <c r="J82" i="44"/>
  <c r="M82" i="44" s="1"/>
  <c r="J81" i="44"/>
  <c r="M81" i="44" s="1"/>
  <c r="J80" i="44"/>
  <c r="M80" i="44" s="1"/>
  <c r="J79" i="44"/>
  <c r="M79" i="44" s="1"/>
  <c r="J78" i="44"/>
  <c r="M78" i="44" s="1"/>
  <c r="J77" i="44"/>
  <c r="M77" i="44" s="1"/>
  <c r="J76" i="44"/>
  <c r="M76" i="44" s="1"/>
  <c r="J75" i="44"/>
  <c r="M75" i="44" s="1"/>
  <c r="J74" i="44"/>
  <c r="M74" i="44" s="1"/>
  <c r="J73" i="44"/>
  <c r="M73" i="44" s="1"/>
  <c r="J72" i="44"/>
  <c r="M72" i="44" s="1"/>
  <c r="J71" i="44"/>
  <c r="M71" i="44" s="1"/>
  <c r="J70" i="44"/>
  <c r="M70" i="44" s="1"/>
  <c r="J69" i="44"/>
  <c r="M69" i="44" s="1"/>
  <c r="J68" i="44"/>
  <c r="M68" i="44" s="1"/>
  <c r="J67" i="44"/>
  <c r="M67" i="44" s="1"/>
  <c r="J66" i="44"/>
  <c r="M66" i="44" s="1"/>
  <c r="J65" i="44"/>
  <c r="M65" i="44" s="1"/>
  <c r="J64" i="44"/>
  <c r="M64" i="44" s="1"/>
  <c r="J63" i="44"/>
  <c r="M63" i="44" s="1"/>
  <c r="J62" i="44"/>
  <c r="M62" i="44" s="1"/>
  <c r="J61" i="44"/>
  <c r="M61" i="44" s="1"/>
  <c r="J60" i="44"/>
  <c r="M60" i="44" s="1"/>
  <c r="J59" i="44"/>
  <c r="M59" i="44" s="1"/>
  <c r="J58" i="44"/>
  <c r="M58" i="44" s="1"/>
  <c r="J57" i="44"/>
  <c r="M57" i="44" s="1"/>
  <c r="J56" i="44"/>
  <c r="M56" i="44" s="1"/>
  <c r="J55" i="44"/>
  <c r="M55" i="44" s="1"/>
  <c r="J54" i="44"/>
  <c r="M54" i="44" s="1"/>
  <c r="J53" i="44"/>
  <c r="M53" i="44" s="1"/>
  <c r="J52" i="44"/>
  <c r="M52" i="44" s="1"/>
  <c r="J51" i="44"/>
  <c r="M51" i="44" s="1"/>
  <c r="J50" i="44"/>
  <c r="M50" i="44" s="1"/>
  <c r="J49" i="44"/>
  <c r="M49" i="44" s="1"/>
  <c r="M48" i="44"/>
  <c r="J47" i="44"/>
  <c r="M47" i="44" s="1"/>
  <c r="J46" i="44"/>
  <c r="M46" i="44" s="1"/>
  <c r="J45" i="44"/>
  <c r="M45" i="44" s="1"/>
  <c r="J44" i="44"/>
  <c r="M44" i="44" s="1"/>
  <c r="J43" i="44"/>
  <c r="M43" i="44" s="1"/>
  <c r="J42" i="44"/>
  <c r="M42" i="44" s="1"/>
  <c r="J41" i="44"/>
  <c r="M41" i="44" s="1"/>
  <c r="J40" i="44"/>
  <c r="M40" i="44" s="1"/>
  <c r="J39" i="44"/>
  <c r="M39" i="44" s="1"/>
  <c r="J38" i="44"/>
  <c r="M38" i="44" s="1"/>
  <c r="J37" i="44"/>
  <c r="M37" i="44" s="1"/>
  <c r="J36" i="44"/>
  <c r="M36" i="44" s="1"/>
  <c r="J35" i="44"/>
  <c r="M35" i="44" s="1"/>
  <c r="J34" i="44"/>
  <c r="M34" i="44" s="1"/>
  <c r="J33" i="44"/>
  <c r="M33" i="44" s="1"/>
  <c r="J32" i="44"/>
  <c r="M32" i="44" s="1"/>
  <c r="J31" i="44"/>
  <c r="M31" i="44" s="1"/>
  <c r="J30" i="44"/>
  <c r="M30" i="44" s="1"/>
  <c r="J29" i="44"/>
  <c r="M29" i="44" s="1"/>
  <c r="J28" i="44"/>
  <c r="M28" i="44" s="1"/>
  <c r="J27" i="44"/>
  <c r="M27" i="44" s="1"/>
  <c r="J26" i="44"/>
  <c r="M26" i="44" s="1"/>
  <c r="J25" i="44"/>
  <c r="M25" i="44" s="1"/>
  <c r="J24" i="44"/>
  <c r="M24" i="44" s="1"/>
  <c r="J23" i="44"/>
  <c r="M23" i="44" s="1"/>
  <c r="J22" i="44"/>
  <c r="M22" i="44" s="1"/>
  <c r="J21" i="44"/>
  <c r="M21" i="44" s="1"/>
  <c r="J20" i="44"/>
  <c r="M20" i="44" s="1"/>
  <c r="J19" i="44"/>
  <c r="M19" i="44" s="1"/>
  <c r="J18" i="44"/>
  <c r="M18" i="44" s="1"/>
  <c r="J17" i="44"/>
  <c r="M17" i="44" s="1"/>
  <c r="J16" i="44"/>
  <c r="M16" i="44" s="1"/>
  <c r="J15" i="44"/>
  <c r="M15" i="44" s="1"/>
  <c r="J14" i="44"/>
  <c r="M14" i="44" s="1"/>
  <c r="J13" i="44"/>
  <c r="M13" i="44" s="1"/>
  <c r="J12" i="44"/>
  <c r="M12" i="44" s="1"/>
  <c r="J11" i="44"/>
  <c r="M11" i="44" s="1"/>
  <c r="J10" i="44"/>
  <c r="M10" i="44" s="1"/>
  <c r="J9" i="44"/>
  <c r="M9" i="44" s="1"/>
  <c r="J8" i="44"/>
  <c r="M8" i="44" s="1"/>
  <c r="J7" i="44"/>
  <c r="M7" i="44" s="1"/>
  <c r="J6" i="44"/>
  <c r="M6" i="44" s="1"/>
  <c r="J5" i="44"/>
  <c r="M5" i="44" s="1"/>
  <c r="J4" i="44"/>
  <c r="K106" i="43"/>
  <c r="K98" i="43"/>
  <c r="N28" i="2" s="1"/>
  <c r="K95" i="43"/>
  <c r="J90" i="43"/>
  <c r="M90" i="43" s="1"/>
  <c r="J89" i="43"/>
  <c r="M89" i="43" s="1"/>
  <c r="J88" i="43"/>
  <c r="M88" i="43" s="1"/>
  <c r="J87" i="43"/>
  <c r="M87" i="43" s="1"/>
  <c r="J86" i="43"/>
  <c r="M86" i="43" s="1"/>
  <c r="J85" i="43"/>
  <c r="M85" i="43" s="1"/>
  <c r="J84" i="43"/>
  <c r="M84" i="43" s="1"/>
  <c r="J83" i="43"/>
  <c r="M83" i="43" s="1"/>
  <c r="J82" i="43"/>
  <c r="M82" i="43" s="1"/>
  <c r="J81" i="43"/>
  <c r="M81" i="43" s="1"/>
  <c r="J80" i="43"/>
  <c r="M80" i="43" s="1"/>
  <c r="J79" i="43"/>
  <c r="M79" i="43" s="1"/>
  <c r="J78" i="43"/>
  <c r="M78" i="43" s="1"/>
  <c r="J77" i="43"/>
  <c r="M77" i="43" s="1"/>
  <c r="J76" i="43"/>
  <c r="M76" i="43" s="1"/>
  <c r="J75" i="43"/>
  <c r="M75" i="43" s="1"/>
  <c r="J74" i="43"/>
  <c r="M74" i="43" s="1"/>
  <c r="J73" i="43"/>
  <c r="M73" i="43" s="1"/>
  <c r="J72" i="43"/>
  <c r="M72" i="43" s="1"/>
  <c r="J71" i="43"/>
  <c r="M71" i="43" s="1"/>
  <c r="J70" i="43"/>
  <c r="M70" i="43" s="1"/>
  <c r="J69" i="43"/>
  <c r="M69" i="43" s="1"/>
  <c r="J68" i="43"/>
  <c r="M68" i="43" s="1"/>
  <c r="J67" i="43"/>
  <c r="M67" i="43" s="1"/>
  <c r="J66" i="43"/>
  <c r="M66" i="43" s="1"/>
  <c r="J65" i="43"/>
  <c r="M65" i="43" s="1"/>
  <c r="J64" i="43"/>
  <c r="M64" i="43" s="1"/>
  <c r="J63" i="43"/>
  <c r="M63" i="43" s="1"/>
  <c r="J62" i="43"/>
  <c r="M62" i="43" s="1"/>
  <c r="J61" i="43"/>
  <c r="M61" i="43" s="1"/>
  <c r="J60" i="43"/>
  <c r="M60" i="43" s="1"/>
  <c r="J59" i="43"/>
  <c r="M59" i="43" s="1"/>
  <c r="J58" i="43"/>
  <c r="M58" i="43" s="1"/>
  <c r="J57" i="43"/>
  <c r="M57" i="43" s="1"/>
  <c r="J56" i="43"/>
  <c r="M56" i="43" s="1"/>
  <c r="J55" i="43"/>
  <c r="M55" i="43" s="1"/>
  <c r="J54" i="43"/>
  <c r="M54" i="43" s="1"/>
  <c r="J53" i="43"/>
  <c r="M53" i="43" s="1"/>
  <c r="J52" i="43"/>
  <c r="M52" i="43" s="1"/>
  <c r="J51" i="43"/>
  <c r="M51" i="43" s="1"/>
  <c r="J50" i="43"/>
  <c r="M50" i="43" s="1"/>
  <c r="J49" i="43"/>
  <c r="M49" i="43" s="1"/>
  <c r="M48" i="43"/>
  <c r="J47" i="43"/>
  <c r="M47" i="43" s="1"/>
  <c r="J46" i="43"/>
  <c r="M46" i="43" s="1"/>
  <c r="J45" i="43"/>
  <c r="M45" i="43" s="1"/>
  <c r="J44" i="43"/>
  <c r="M44" i="43" s="1"/>
  <c r="J43" i="43"/>
  <c r="M43" i="43" s="1"/>
  <c r="J42" i="43"/>
  <c r="M42" i="43" s="1"/>
  <c r="J41" i="43"/>
  <c r="M41" i="43" s="1"/>
  <c r="J40" i="43"/>
  <c r="M40" i="43" s="1"/>
  <c r="J39" i="43"/>
  <c r="M39" i="43" s="1"/>
  <c r="J38" i="43"/>
  <c r="M38" i="43" s="1"/>
  <c r="J37" i="43"/>
  <c r="M37" i="43" s="1"/>
  <c r="J36" i="43"/>
  <c r="M36" i="43" s="1"/>
  <c r="J35" i="43"/>
  <c r="M35" i="43" s="1"/>
  <c r="J34" i="43"/>
  <c r="M34" i="43" s="1"/>
  <c r="J33" i="43"/>
  <c r="M33" i="43" s="1"/>
  <c r="J32" i="43"/>
  <c r="M32" i="43" s="1"/>
  <c r="J31" i="43"/>
  <c r="M31" i="43" s="1"/>
  <c r="J30" i="43"/>
  <c r="M30" i="43" s="1"/>
  <c r="J29" i="43"/>
  <c r="M29" i="43" s="1"/>
  <c r="J28" i="43"/>
  <c r="M28" i="43" s="1"/>
  <c r="J27" i="43"/>
  <c r="M27" i="43" s="1"/>
  <c r="J26" i="43"/>
  <c r="M26" i="43" s="1"/>
  <c r="J25" i="43"/>
  <c r="M25" i="43" s="1"/>
  <c r="J24" i="43"/>
  <c r="M24" i="43" s="1"/>
  <c r="J23" i="43"/>
  <c r="M23" i="43" s="1"/>
  <c r="J22" i="43"/>
  <c r="M22" i="43" s="1"/>
  <c r="J21" i="43"/>
  <c r="M21" i="43" s="1"/>
  <c r="J20" i="43"/>
  <c r="M20" i="43" s="1"/>
  <c r="J19" i="43"/>
  <c r="M19" i="43" s="1"/>
  <c r="J18" i="43"/>
  <c r="M18" i="43" s="1"/>
  <c r="J17" i="43"/>
  <c r="M17" i="43" s="1"/>
  <c r="J16" i="43"/>
  <c r="M16" i="43" s="1"/>
  <c r="J15" i="43"/>
  <c r="M15" i="43" s="1"/>
  <c r="J14" i="43"/>
  <c r="M14" i="43" s="1"/>
  <c r="J13" i="43"/>
  <c r="M13" i="43" s="1"/>
  <c r="J12" i="43"/>
  <c r="M12" i="43" s="1"/>
  <c r="J11" i="43"/>
  <c r="M11" i="43" s="1"/>
  <c r="J10" i="43"/>
  <c r="M10" i="43" s="1"/>
  <c r="J9" i="43"/>
  <c r="M9" i="43" s="1"/>
  <c r="J8" i="43"/>
  <c r="M8" i="43" s="1"/>
  <c r="J7" i="43"/>
  <c r="M7" i="43" s="1"/>
  <c r="J6" i="43"/>
  <c r="M6" i="43" s="1"/>
  <c r="J5" i="43"/>
  <c r="M5" i="43" s="1"/>
  <c r="J4" i="43"/>
  <c r="M4" i="43" s="1"/>
  <c r="K106" i="42"/>
  <c r="K98" i="42"/>
  <c r="N27" i="2" s="1"/>
  <c r="K95" i="42"/>
  <c r="J90" i="42"/>
  <c r="M90" i="42" s="1"/>
  <c r="J89" i="42"/>
  <c r="M89" i="42" s="1"/>
  <c r="J88" i="42"/>
  <c r="M88" i="42" s="1"/>
  <c r="J87" i="42"/>
  <c r="M87" i="42" s="1"/>
  <c r="J86" i="42"/>
  <c r="M86" i="42" s="1"/>
  <c r="J85" i="42"/>
  <c r="M85" i="42" s="1"/>
  <c r="J84" i="42"/>
  <c r="M84" i="42" s="1"/>
  <c r="J83" i="42"/>
  <c r="M83" i="42" s="1"/>
  <c r="J82" i="42"/>
  <c r="M82" i="42" s="1"/>
  <c r="J81" i="42"/>
  <c r="M81" i="42" s="1"/>
  <c r="J80" i="42"/>
  <c r="M80" i="42" s="1"/>
  <c r="J79" i="42"/>
  <c r="M79" i="42" s="1"/>
  <c r="J78" i="42"/>
  <c r="M78" i="42" s="1"/>
  <c r="J77" i="42"/>
  <c r="M77" i="42" s="1"/>
  <c r="J76" i="42"/>
  <c r="M76" i="42" s="1"/>
  <c r="J75" i="42"/>
  <c r="M75" i="42" s="1"/>
  <c r="J74" i="42"/>
  <c r="M74" i="42" s="1"/>
  <c r="J73" i="42"/>
  <c r="M73" i="42" s="1"/>
  <c r="J72" i="42"/>
  <c r="M72" i="42" s="1"/>
  <c r="J71" i="42"/>
  <c r="M71" i="42" s="1"/>
  <c r="J70" i="42"/>
  <c r="M70" i="42" s="1"/>
  <c r="J69" i="42"/>
  <c r="M69" i="42" s="1"/>
  <c r="J68" i="42"/>
  <c r="M68" i="42" s="1"/>
  <c r="J67" i="42"/>
  <c r="M67" i="42" s="1"/>
  <c r="J66" i="42"/>
  <c r="M66" i="42" s="1"/>
  <c r="J65" i="42"/>
  <c r="M65" i="42" s="1"/>
  <c r="J64" i="42"/>
  <c r="M64" i="42" s="1"/>
  <c r="J63" i="42"/>
  <c r="M63" i="42" s="1"/>
  <c r="J62" i="42"/>
  <c r="M62" i="42" s="1"/>
  <c r="J61" i="42"/>
  <c r="M61" i="42" s="1"/>
  <c r="J60" i="42"/>
  <c r="M60" i="42" s="1"/>
  <c r="J59" i="42"/>
  <c r="M59" i="42" s="1"/>
  <c r="J58" i="42"/>
  <c r="M58" i="42" s="1"/>
  <c r="J57" i="42"/>
  <c r="M57" i="42" s="1"/>
  <c r="J56" i="42"/>
  <c r="M56" i="42" s="1"/>
  <c r="J55" i="42"/>
  <c r="M55" i="42" s="1"/>
  <c r="J54" i="42"/>
  <c r="M54" i="42" s="1"/>
  <c r="J53" i="42"/>
  <c r="M53" i="42" s="1"/>
  <c r="J52" i="42"/>
  <c r="M52" i="42" s="1"/>
  <c r="J51" i="42"/>
  <c r="M51" i="42" s="1"/>
  <c r="J50" i="42"/>
  <c r="M50" i="42" s="1"/>
  <c r="J49" i="42"/>
  <c r="M49" i="42" s="1"/>
  <c r="M48" i="42"/>
  <c r="J47" i="42"/>
  <c r="M47" i="42" s="1"/>
  <c r="J46" i="42"/>
  <c r="M46" i="42" s="1"/>
  <c r="J45" i="42"/>
  <c r="M45" i="42" s="1"/>
  <c r="J44" i="42"/>
  <c r="M44" i="42" s="1"/>
  <c r="J43" i="42"/>
  <c r="M43" i="42" s="1"/>
  <c r="J42" i="42"/>
  <c r="M42" i="42" s="1"/>
  <c r="J41" i="42"/>
  <c r="M41" i="42" s="1"/>
  <c r="J40" i="42"/>
  <c r="M40" i="42" s="1"/>
  <c r="J39" i="42"/>
  <c r="M39" i="42" s="1"/>
  <c r="J38" i="42"/>
  <c r="M38" i="42" s="1"/>
  <c r="J37" i="42"/>
  <c r="M37" i="42" s="1"/>
  <c r="J36" i="42"/>
  <c r="M36" i="42" s="1"/>
  <c r="J35" i="42"/>
  <c r="M35" i="42" s="1"/>
  <c r="J34" i="42"/>
  <c r="M34" i="42" s="1"/>
  <c r="J33" i="42"/>
  <c r="M33" i="42" s="1"/>
  <c r="J32" i="42"/>
  <c r="M32" i="42" s="1"/>
  <c r="J31" i="42"/>
  <c r="M31" i="42" s="1"/>
  <c r="J30" i="42"/>
  <c r="M30" i="42" s="1"/>
  <c r="J29" i="42"/>
  <c r="M29" i="42" s="1"/>
  <c r="J28" i="42"/>
  <c r="M28" i="42" s="1"/>
  <c r="J27" i="42"/>
  <c r="M27" i="42" s="1"/>
  <c r="J26" i="42"/>
  <c r="M26" i="42" s="1"/>
  <c r="J25" i="42"/>
  <c r="M25" i="42" s="1"/>
  <c r="J24" i="42"/>
  <c r="M24" i="42" s="1"/>
  <c r="J23" i="42"/>
  <c r="M23" i="42" s="1"/>
  <c r="J22" i="42"/>
  <c r="M22" i="42" s="1"/>
  <c r="J21" i="42"/>
  <c r="M21" i="42" s="1"/>
  <c r="J20" i="42"/>
  <c r="M20" i="42" s="1"/>
  <c r="J19" i="42"/>
  <c r="M19" i="42" s="1"/>
  <c r="J18" i="42"/>
  <c r="M18" i="42" s="1"/>
  <c r="J17" i="42"/>
  <c r="M17" i="42" s="1"/>
  <c r="J16" i="42"/>
  <c r="M16" i="42" s="1"/>
  <c r="J15" i="42"/>
  <c r="M15" i="42" s="1"/>
  <c r="J14" i="42"/>
  <c r="M14" i="42" s="1"/>
  <c r="J13" i="42"/>
  <c r="M13" i="42" s="1"/>
  <c r="J12" i="42"/>
  <c r="M12" i="42" s="1"/>
  <c r="J11" i="42"/>
  <c r="M11" i="42" s="1"/>
  <c r="J10" i="42"/>
  <c r="M10" i="42" s="1"/>
  <c r="J9" i="42"/>
  <c r="M9" i="42" s="1"/>
  <c r="J8" i="42"/>
  <c r="M8" i="42" s="1"/>
  <c r="J7" i="42"/>
  <c r="M7" i="42" s="1"/>
  <c r="J6" i="42"/>
  <c r="M6" i="42" s="1"/>
  <c r="J5" i="42"/>
  <c r="M5" i="42" s="1"/>
  <c r="J4" i="42"/>
  <c r="M4" i="42" s="1"/>
  <c r="K106" i="41"/>
  <c r="K98" i="41"/>
  <c r="N26" i="2" s="1"/>
  <c r="K95" i="41"/>
  <c r="J90" i="41"/>
  <c r="M90" i="41" s="1"/>
  <c r="J89" i="41"/>
  <c r="M89" i="41" s="1"/>
  <c r="J88" i="41"/>
  <c r="M88" i="41" s="1"/>
  <c r="J87" i="41"/>
  <c r="M87" i="41" s="1"/>
  <c r="J86" i="41"/>
  <c r="M86" i="41" s="1"/>
  <c r="J85" i="41"/>
  <c r="M85" i="41" s="1"/>
  <c r="J84" i="41"/>
  <c r="M84" i="41" s="1"/>
  <c r="J83" i="41"/>
  <c r="M83" i="41" s="1"/>
  <c r="J82" i="41"/>
  <c r="M82" i="41" s="1"/>
  <c r="J81" i="41"/>
  <c r="M81" i="41" s="1"/>
  <c r="J80" i="41"/>
  <c r="M80" i="41" s="1"/>
  <c r="J79" i="41"/>
  <c r="M79" i="41" s="1"/>
  <c r="J78" i="41"/>
  <c r="M78" i="41" s="1"/>
  <c r="J77" i="41"/>
  <c r="M77" i="41" s="1"/>
  <c r="J76" i="41"/>
  <c r="M76" i="41" s="1"/>
  <c r="J75" i="41"/>
  <c r="M75" i="41" s="1"/>
  <c r="J74" i="41"/>
  <c r="M74" i="41" s="1"/>
  <c r="J73" i="41"/>
  <c r="M73" i="41" s="1"/>
  <c r="J72" i="41"/>
  <c r="M72" i="41" s="1"/>
  <c r="J71" i="41"/>
  <c r="M71" i="41" s="1"/>
  <c r="J70" i="41"/>
  <c r="M70" i="41" s="1"/>
  <c r="J69" i="41"/>
  <c r="M69" i="41" s="1"/>
  <c r="J68" i="41"/>
  <c r="M68" i="41" s="1"/>
  <c r="J67" i="41"/>
  <c r="M67" i="41" s="1"/>
  <c r="J66" i="41"/>
  <c r="M66" i="41" s="1"/>
  <c r="J65" i="41"/>
  <c r="M65" i="41" s="1"/>
  <c r="J64" i="41"/>
  <c r="M64" i="41" s="1"/>
  <c r="J63" i="41"/>
  <c r="M63" i="41" s="1"/>
  <c r="J62" i="41"/>
  <c r="M62" i="41" s="1"/>
  <c r="J61" i="41"/>
  <c r="M61" i="41" s="1"/>
  <c r="J60" i="41"/>
  <c r="M60" i="41" s="1"/>
  <c r="J59" i="41"/>
  <c r="M59" i="41" s="1"/>
  <c r="J58" i="41"/>
  <c r="M58" i="41" s="1"/>
  <c r="J57" i="41"/>
  <c r="M57" i="41" s="1"/>
  <c r="J56" i="41"/>
  <c r="M56" i="41" s="1"/>
  <c r="J55" i="41"/>
  <c r="M55" i="41" s="1"/>
  <c r="J54" i="41"/>
  <c r="M54" i="41" s="1"/>
  <c r="J53" i="41"/>
  <c r="M53" i="41" s="1"/>
  <c r="J52" i="41"/>
  <c r="M52" i="41" s="1"/>
  <c r="J51" i="41"/>
  <c r="M51" i="41" s="1"/>
  <c r="J50" i="41"/>
  <c r="M50" i="41" s="1"/>
  <c r="J49" i="41"/>
  <c r="M49" i="41" s="1"/>
  <c r="M48" i="41"/>
  <c r="J47" i="41"/>
  <c r="M47" i="41" s="1"/>
  <c r="J46" i="41"/>
  <c r="M46" i="41" s="1"/>
  <c r="J45" i="41"/>
  <c r="M45" i="41" s="1"/>
  <c r="J44" i="41"/>
  <c r="M44" i="41" s="1"/>
  <c r="J43" i="41"/>
  <c r="M43" i="41" s="1"/>
  <c r="J42" i="41"/>
  <c r="M42" i="41" s="1"/>
  <c r="J41" i="41"/>
  <c r="M41" i="41" s="1"/>
  <c r="J40" i="41"/>
  <c r="M40" i="41" s="1"/>
  <c r="J39" i="41"/>
  <c r="M39" i="41" s="1"/>
  <c r="J38" i="41"/>
  <c r="M38" i="41" s="1"/>
  <c r="J37" i="41"/>
  <c r="M37" i="41" s="1"/>
  <c r="J36" i="41"/>
  <c r="M36" i="41" s="1"/>
  <c r="J35" i="41"/>
  <c r="M35" i="41" s="1"/>
  <c r="J34" i="41"/>
  <c r="M34" i="41" s="1"/>
  <c r="J33" i="41"/>
  <c r="M33" i="41" s="1"/>
  <c r="J32" i="41"/>
  <c r="M32" i="41" s="1"/>
  <c r="J31" i="41"/>
  <c r="M31" i="41" s="1"/>
  <c r="J30" i="41"/>
  <c r="M30" i="41" s="1"/>
  <c r="J29" i="41"/>
  <c r="M29" i="41" s="1"/>
  <c r="J28" i="41"/>
  <c r="M28" i="41" s="1"/>
  <c r="J27" i="41"/>
  <c r="M27" i="41" s="1"/>
  <c r="J26" i="41"/>
  <c r="M26" i="41" s="1"/>
  <c r="J25" i="41"/>
  <c r="M25" i="41" s="1"/>
  <c r="J24" i="41"/>
  <c r="M24" i="41" s="1"/>
  <c r="J23" i="41"/>
  <c r="M23" i="41" s="1"/>
  <c r="J22" i="41"/>
  <c r="M22" i="41" s="1"/>
  <c r="J21" i="41"/>
  <c r="M21" i="41" s="1"/>
  <c r="J20" i="41"/>
  <c r="M20" i="41" s="1"/>
  <c r="J19" i="41"/>
  <c r="M19" i="41" s="1"/>
  <c r="J18" i="41"/>
  <c r="M18" i="41" s="1"/>
  <c r="J17" i="41"/>
  <c r="M17" i="41" s="1"/>
  <c r="J16" i="41"/>
  <c r="M16" i="41" s="1"/>
  <c r="J15" i="41"/>
  <c r="M15" i="41" s="1"/>
  <c r="J14" i="41"/>
  <c r="M14" i="41" s="1"/>
  <c r="J13" i="41"/>
  <c r="M13" i="41" s="1"/>
  <c r="J12" i="41"/>
  <c r="M12" i="41" s="1"/>
  <c r="J11" i="41"/>
  <c r="M11" i="41" s="1"/>
  <c r="J10" i="41"/>
  <c r="M10" i="41" s="1"/>
  <c r="J9" i="41"/>
  <c r="M9" i="41" s="1"/>
  <c r="J8" i="41"/>
  <c r="M8" i="41" s="1"/>
  <c r="J7" i="41"/>
  <c r="M7" i="41" s="1"/>
  <c r="J6" i="41"/>
  <c r="M6" i="41" s="1"/>
  <c r="J5" i="41"/>
  <c r="M5" i="41" s="1"/>
  <c r="J4" i="41"/>
  <c r="M4" i="41" s="1"/>
  <c r="K106" i="40"/>
  <c r="K98" i="40"/>
  <c r="N25" i="2" s="1"/>
  <c r="K95" i="40"/>
  <c r="J90" i="40"/>
  <c r="M90" i="40" s="1"/>
  <c r="J89" i="40"/>
  <c r="M89" i="40" s="1"/>
  <c r="J88" i="40"/>
  <c r="M88" i="40" s="1"/>
  <c r="J87" i="40"/>
  <c r="M87" i="40" s="1"/>
  <c r="J86" i="40"/>
  <c r="M86" i="40" s="1"/>
  <c r="J85" i="40"/>
  <c r="M85" i="40" s="1"/>
  <c r="J84" i="40"/>
  <c r="M84" i="40" s="1"/>
  <c r="J83" i="40"/>
  <c r="M83" i="40" s="1"/>
  <c r="J82" i="40"/>
  <c r="M82" i="40" s="1"/>
  <c r="J81" i="40"/>
  <c r="M81" i="40" s="1"/>
  <c r="J80" i="40"/>
  <c r="M80" i="40" s="1"/>
  <c r="J79" i="40"/>
  <c r="M79" i="40" s="1"/>
  <c r="J78" i="40"/>
  <c r="M78" i="40" s="1"/>
  <c r="J77" i="40"/>
  <c r="M77" i="40" s="1"/>
  <c r="J76" i="40"/>
  <c r="M76" i="40" s="1"/>
  <c r="J75" i="40"/>
  <c r="M75" i="40" s="1"/>
  <c r="J74" i="40"/>
  <c r="M74" i="40" s="1"/>
  <c r="J73" i="40"/>
  <c r="M73" i="40" s="1"/>
  <c r="J72" i="40"/>
  <c r="M72" i="40" s="1"/>
  <c r="J71" i="40"/>
  <c r="M71" i="40" s="1"/>
  <c r="J70" i="40"/>
  <c r="M70" i="40" s="1"/>
  <c r="J69" i="40"/>
  <c r="M69" i="40" s="1"/>
  <c r="J68" i="40"/>
  <c r="J67" i="40"/>
  <c r="M67" i="40" s="1"/>
  <c r="J66" i="40"/>
  <c r="M66" i="40" s="1"/>
  <c r="J65" i="40"/>
  <c r="M65" i="40" s="1"/>
  <c r="J64" i="40"/>
  <c r="M64" i="40" s="1"/>
  <c r="J63" i="40"/>
  <c r="M63" i="40" s="1"/>
  <c r="J62" i="40"/>
  <c r="M62" i="40" s="1"/>
  <c r="J61" i="40"/>
  <c r="M61" i="40" s="1"/>
  <c r="J60" i="40"/>
  <c r="M60" i="40" s="1"/>
  <c r="J59" i="40"/>
  <c r="M59" i="40" s="1"/>
  <c r="J58" i="40"/>
  <c r="M58" i="40" s="1"/>
  <c r="J57" i="40"/>
  <c r="M57" i="40" s="1"/>
  <c r="J56" i="40"/>
  <c r="M56" i="40" s="1"/>
  <c r="J55" i="40"/>
  <c r="M55" i="40" s="1"/>
  <c r="J54" i="40"/>
  <c r="M54" i="40" s="1"/>
  <c r="J53" i="40"/>
  <c r="M53" i="40" s="1"/>
  <c r="J52" i="40"/>
  <c r="M52" i="40" s="1"/>
  <c r="J51" i="40"/>
  <c r="M51" i="40" s="1"/>
  <c r="J50" i="40"/>
  <c r="M50" i="40" s="1"/>
  <c r="J49" i="40"/>
  <c r="M49" i="40" s="1"/>
  <c r="M48" i="40"/>
  <c r="J47" i="40"/>
  <c r="M47" i="40" s="1"/>
  <c r="J46" i="40"/>
  <c r="M46" i="40" s="1"/>
  <c r="J45" i="40"/>
  <c r="M45" i="40" s="1"/>
  <c r="J44" i="40"/>
  <c r="M44" i="40" s="1"/>
  <c r="J43" i="40"/>
  <c r="M43" i="40" s="1"/>
  <c r="J42" i="40"/>
  <c r="M42" i="40" s="1"/>
  <c r="J41" i="40"/>
  <c r="M41" i="40" s="1"/>
  <c r="J40" i="40"/>
  <c r="M40" i="40" s="1"/>
  <c r="J39" i="40"/>
  <c r="M39" i="40" s="1"/>
  <c r="J38" i="40"/>
  <c r="M38" i="40" s="1"/>
  <c r="J37" i="40"/>
  <c r="M37" i="40" s="1"/>
  <c r="J36" i="40"/>
  <c r="M36" i="40" s="1"/>
  <c r="J35" i="40"/>
  <c r="M35" i="40" s="1"/>
  <c r="J34" i="40"/>
  <c r="M34" i="40" s="1"/>
  <c r="J33" i="40"/>
  <c r="M33" i="40" s="1"/>
  <c r="J32" i="40"/>
  <c r="M32" i="40" s="1"/>
  <c r="J31" i="40"/>
  <c r="M31" i="40" s="1"/>
  <c r="J30" i="40"/>
  <c r="M30" i="40" s="1"/>
  <c r="J29" i="40"/>
  <c r="M29" i="40" s="1"/>
  <c r="J28" i="40"/>
  <c r="M28" i="40" s="1"/>
  <c r="J27" i="40"/>
  <c r="M27" i="40" s="1"/>
  <c r="J26" i="40"/>
  <c r="M26" i="40" s="1"/>
  <c r="J25" i="40"/>
  <c r="M25" i="40" s="1"/>
  <c r="J24" i="40"/>
  <c r="M24" i="40" s="1"/>
  <c r="J23" i="40"/>
  <c r="M23" i="40" s="1"/>
  <c r="J22" i="40"/>
  <c r="M22" i="40" s="1"/>
  <c r="J21" i="40"/>
  <c r="M21" i="40" s="1"/>
  <c r="J20" i="40"/>
  <c r="M20" i="40" s="1"/>
  <c r="J19" i="40"/>
  <c r="M19" i="40" s="1"/>
  <c r="J18" i="40"/>
  <c r="M18" i="40" s="1"/>
  <c r="J17" i="40"/>
  <c r="M17" i="40" s="1"/>
  <c r="J16" i="40"/>
  <c r="M16" i="40" s="1"/>
  <c r="J15" i="40"/>
  <c r="M15" i="40" s="1"/>
  <c r="J14" i="40"/>
  <c r="M14" i="40" s="1"/>
  <c r="J13" i="40"/>
  <c r="M13" i="40" s="1"/>
  <c r="J12" i="40"/>
  <c r="M12" i="40" s="1"/>
  <c r="J11" i="40"/>
  <c r="M11" i="40" s="1"/>
  <c r="J10" i="40"/>
  <c r="M10" i="40" s="1"/>
  <c r="J9" i="40"/>
  <c r="M9" i="40" s="1"/>
  <c r="J8" i="40"/>
  <c r="M8" i="40" s="1"/>
  <c r="J7" i="40"/>
  <c r="M7" i="40" s="1"/>
  <c r="J6" i="40"/>
  <c r="M6" i="40" s="1"/>
  <c r="J5" i="40"/>
  <c r="M5" i="40" s="1"/>
  <c r="J4" i="40"/>
  <c r="M4" i="40" s="1"/>
  <c r="K106" i="39"/>
  <c r="K98" i="39"/>
  <c r="N24" i="2" s="1"/>
  <c r="K95" i="39"/>
  <c r="J90" i="39"/>
  <c r="M90" i="39" s="1"/>
  <c r="J89" i="39"/>
  <c r="M89" i="39" s="1"/>
  <c r="J88" i="39"/>
  <c r="M88" i="39" s="1"/>
  <c r="J87" i="39"/>
  <c r="M87" i="39" s="1"/>
  <c r="J86" i="39"/>
  <c r="M86" i="39" s="1"/>
  <c r="J85" i="39"/>
  <c r="M85" i="39" s="1"/>
  <c r="J84" i="39"/>
  <c r="M84" i="39" s="1"/>
  <c r="J83" i="39"/>
  <c r="M83" i="39" s="1"/>
  <c r="J82" i="39"/>
  <c r="M82" i="39" s="1"/>
  <c r="J81" i="39"/>
  <c r="M81" i="39" s="1"/>
  <c r="J80" i="39"/>
  <c r="M80" i="39" s="1"/>
  <c r="J79" i="39"/>
  <c r="M79" i="39" s="1"/>
  <c r="J78" i="39"/>
  <c r="M78" i="39" s="1"/>
  <c r="J77" i="39"/>
  <c r="M77" i="39" s="1"/>
  <c r="J76" i="39"/>
  <c r="M76" i="39" s="1"/>
  <c r="J75" i="39"/>
  <c r="M75" i="39" s="1"/>
  <c r="J74" i="39"/>
  <c r="M74" i="39" s="1"/>
  <c r="J73" i="39"/>
  <c r="M73" i="39" s="1"/>
  <c r="J72" i="39"/>
  <c r="M72" i="39" s="1"/>
  <c r="J71" i="39"/>
  <c r="M71" i="39" s="1"/>
  <c r="J70" i="39"/>
  <c r="M70" i="39" s="1"/>
  <c r="J69" i="39"/>
  <c r="M69" i="39" s="1"/>
  <c r="J68" i="39"/>
  <c r="M68" i="39" s="1"/>
  <c r="J67" i="39"/>
  <c r="M67" i="39" s="1"/>
  <c r="J66" i="39"/>
  <c r="M66" i="39" s="1"/>
  <c r="J65" i="39"/>
  <c r="M65" i="39" s="1"/>
  <c r="J64" i="39"/>
  <c r="M64" i="39" s="1"/>
  <c r="J63" i="39"/>
  <c r="M63" i="39" s="1"/>
  <c r="J62" i="39"/>
  <c r="M62" i="39" s="1"/>
  <c r="J61" i="39"/>
  <c r="M61" i="39" s="1"/>
  <c r="J60" i="39"/>
  <c r="M60" i="39" s="1"/>
  <c r="J59" i="39"/>
  <c r="M59" i="39" s="1"/>
  <c r="J58" i="39"/>
  <c r="M58" i="39" s="1"/>
  <c r="J57" i="39"/>
  <c r="M57" i="39" s="1"/>
  <c r="J56" i="39"/>
  <c r="M56" i="39" s="1"/>
  <c r="J55" i="39"/>
  <c r="M55" i="39" s="1"/>
  <c r="J54" i="39"/>
  <c r="M54" i="39" s="1"/>
  <c r="J53" i="39"/>
  <c r="M53" i="39" s="1"/>
  <c r="J52" i="39"/>
  <c r="M52" i="39" s="1"/>
  <c r="J51" i="39"/>
  <c r="M51" i="39" s="1"/>
  <c r="J50" i="39"/>
  <c r="M50" i="39" s="1"/>
  <c r="J49" i="39"/>
  <c r="M49" i="39" s="1"/>
  <c r="M48" i="39"/>
  <c r="J47" i="39"/>
  <c r="M47" i="39" s="1"/>
  <c r="J46" i="39"/>
  <c r="M46" i="39" s="1"/>
  <c r="J45" i="39"/>
  <c r="M45" i="39" s="1"/>
  <c r="J44" i="39"/>
  <c r="M44" i="39" s="1"/>
  <c r="J43" i="39"/>
  <c r="M43" i="39" s="1"/>
  <c r="J42" i="39"/>
  <c r="M42" i="39" s="1"/>
  <c r="J41" i="39"/>
  <c r="M41" i="39" s="1"/>
  <c r="J40" i="39"/>
  <c r="M40" i="39" s="1"/>
  <c r="J39" i="39"/>
  <c r="M39" i="39" s="1"/>
  <c r="J38" i="39"/>
  <c r="M38" i="39" s="1"/>
  <c r="J37" i="39"/>
  <c r="M37" i="39" s="1"/>
  <c r="J36" i="39"/>
  <c r="M36" i="39" s="1"/>
  <c r="J35" i="39"/>
  <c r="M35" i="39" s="1"/>
  <c r="J34" i="39"/>
  <c r="M34" i="39" s="1"/>
  <c r="J33" i="39"/>
  <c r="M33" i="39" s="1"/>
  <c r="J32" i="39"/>
  <c r="M32" i="39" s="1"/>
  <c r="J31" i="39"/>
  <c r="M31" i="39" s="1"/>
  <c r="J30" i="39"/>
  <c r="M30" i="39" s="1"/>
  <c r="J29" i="39"/>
  <c r="M29" i="39" s="1"/>
  <c r="J28" i="39"/>
  <c r="M28" i="39" s="1"/>
  <c r="J27" i="39"/>
  <c r="M27" i="39" s="1"/>
  <c r="J26" i="39"/>
  <c r="M26" i="39" s="1"/>
  <c r="J25" i="39"/>
  <c r="M25" i="39" s="1"/>
  <c r="J24" i="39"/>
  <c r="M24" i="39" s="1"/>
  <c r="J23" i="39"/>
  <c r="M23" i="39" s="1"/>
  <c r="J22" i="39"/>
  <c r="M22" i="39" s="1"/>
  <c r="J21" i="39"/>
  <c r="M21" i="39" s="1"/>
  <c r="J20" i="39"/>
  <c r="M20" i="39" s="1"/>
  <c r="J19" i="39"/>
  <c r="M19" i="39" s="1"/>
  <c r="J18" i="39"/>
  <c r="M18" i="39" s="1"/>
  <c r="J17" i="39"/>
  <c r="M17" i="39" s="1"/>
  <c r="J16" i="39"/>
  <c r="M16" i="39" s="1"/>
  <c r="J15" i="39"/>
  <c r="M15" i="39" s="1"/>
  <c r="J14" i="39"/>
  <c r="M14" i="39" s="1"/>
  <c r="J13" i="39"/>
  <c r="M13" i="39" s="1"/>
  <c r="J12" i="39"/>
  <c r="M12" i="39" s="1"/>
  <c r="J11" i="39"/>
  <c r="M11" i="39" s="1"/>
  <c r="J10" i="39"/>
  <c r="M10" i="39" s="1"/>
  <c r="J9" i="39"/>
  <c r="M9" i="39" s="1"/>
  <c r="J8" i="39"/>
  <c r="M8" i="39" s="1"/>
  <c r="J7" i="39"/>
  <c r="M7" i="39" s="1"/>
  <c r="J6" i="39"/>
  <c r="M6" i="39" s="1"/>
  <c r="J5" i="39"/>
  <c r="M5" i="39" s="1"/>
  <c r="J4" i="39"/>
  <c r="K106" i="38"/>
  <c r="K98" i="38"/>
  <c r="N23" i="2" s="1"/>
  <c r="K95" i="38"/>
  <c r="J90" i="38"/>
  <c r="M90" i="38" s="1"/>
  <c r="J89" i="38"/>
  <c r="M89" i="38" s="1"/>
  <c r="J88" i="38"/>
  <c r="M88" i="38" s="1"/>
  <c r="J87" i="38"/>
  <c r="M87" i="38" s="1"/>
  <c r="J86" i="38"/>
  <c r="M86" i="38" s="1"/>
  <c r="J85" i="38"/>
  <c r="M85" i="38" s="1"/>
  <c r="J84" i="38"/>
  <c r="M84" i="38" s="1"/>
  <c r="J83" i="38"/>
  <c r="M83" i="38" s="1"/>
  <c r="J82" i="38"/>
  <c r="M82" i="38" s="1"/>
  <c r="J81" i="38"/>
  <c r="M81" i="38" s="1"/>
  <c r="J80" i="38"/>
  <c r="M80" i="38" s="1"/>
  <c r="J79" i="38"/>
  <c r="M79" i="38" s="1"/>
  <c r="J78" i="38"/>
  <c r="M78" i="38" s="1"/>
  <c r="J77" i="38"/>
  <c r="M77" i="38" s="1"/>
  <c r="J76" i="38"/>
  <c r="M76" i="38" s="1"/>
  <c r="J75" i="38"/>
  <c r="M75" i="38" s="1"/>
  <c r="J74" i="38"/>
  <c r="M74" i="38" s="1"/>
  <c r="J73" i="38"/>
  <c r="M73" i="38" s="1"/>
  <c r="J72" i="38"/>
  <c r="M72" i="38" s="1"/>
  <c r="J71" i="38"/>
  <c r="M71" i="38" s="1"/>
  <c r="J70" i="38"/>
  <c r="M70" i="38" s="1"/>
  <c r="J69" i="38"/>
  <c r="M69" i="38" s="1"/>
  <c r="J68" i="38"/>
  <c r="M68" i="38" s="1"/>
  <c r="J67" i="38"/>
  <c r="M67" i="38" s="1"/>
  <c r="J66" i="38"/>
  <c r="M66" i="38" s="1"/>
  <c r="M65" i="38"/>
  <c r="M64" i="38"/>
  <c r="M63" i="38"/>
  <c r="M62" i="38"/>
  <c r="M61" i="38"/>
  <c r="M60" i="38"/>
  <c r="M59" i="38"/>
  <c r="M58" i="38"/>
  <c r="M57" i="38"/>
  <c r="M56" i="38"/>
  <c r="M55" i="38"/>
  <c r="M54" i="38"/>
  <c r="M53" i="38"/>
  <c r="M52" i="38"/>
  <c r="M51" i="38"/>
  <c r="M50" i="38"/>
  <c r="M49" i="38"/>
  <c r="M48" i="38"/>
  <c r="M47" i="38"/>
  <c r="M46" i="38"/>
  <c r="M45" i="38"/>
  <c r="M44" i="38"/>
  <c r="M43" i="38"/>
  <c r="M42" i="38"/>
  <c r="M41" i="38"/>
  <c r="M40" i="38"/>
  <c r="M39" i="38"/>
  <c r="M38" i="38"/>
  <c r="M37" i="38"/>
  <c r="M36" i="38"/>
  <c r="M35" i="38"/>
  <c r="M34" i="38"/>
  <c r="M33" i="38"/>
  <c r="M32" i="38"/>
  <c r="M31" i="38"/>
  <c r="M30" i="38"/>
  <c r="M29" i="38"/>
  <c r="M28" i="38"/>
  <c r="M27" i="38"/>
  <c r="M26" i="38"/>
  <c r="M25" i="38"/>
  <c r="M24" i="38"/>
  <c r="M23" i="38"/>
  <c r="M22" i="38"/>
  <c r="M21" i="38"/>
  <c r="M20" i="38"/>
  <c r="M19" i="38"/>
  <c r="M18" i="38"/>
  <c r="M17" i="38"/>
  <c r="M16" i="38"/>
  <c r="M15" i="38"/>
  <c r="M14" i="38"/>
  <c r="M13" i="38"/>
  <c r="M12" i="38"/>
  <c r="M11" i="38"/>
  <c r="M10" i="38"/>
  <c r="M9" i="38"/>
  <c r="M8" i="38"/>
  <c r="M7" i="38"/>
  <c r="M6" i="38"/>
  <c r="M5" i="38"/>
  <c r="M4" i="38"/>
  <c r="K106" i="33"/>
  <c r="K98" i="33"/>
  <c r="N22" i="2" s="1"/>
  <c r="K95" i="33"/>
  <c r="J90" i="33"/>
  <c r="M90" i="33" s="1"/>
  <c r="J89" i="33"/>
  <c r="M89" i="33" s="1"/>
  <c r="J88" i="33"/>
  <c r="M88" i="33" s="1"/>
  <c r="J87" i="33"/>
  <c r="M87" i="33" s="1"/>
  <c r="J86" i="33"/>
  <c r="M86" i="33" s="1"/>
  <c r="J85" i="33"/>
  <c r="M85" i="33" s="1"/>
  <c r="J84" i="33"/>
  <c r="M84" i="33" s="1"/>
  <c r="J83" i="33"/>
  <c r="M83" i="33" s="1"/>
  <c r="J82" i="33"/>
  <c r="K106" i="15"/>
  <c r="K98" i="15"/>
  <c r="N21" i="2" s="1"/>
  <c r="K95" i="15"/>
  <c r="K106" i="14"/>
  <c r="K98" i="14"/>
  <c r="N20" i="2" s="1"/>
  <c r="K95" i="14"/>
  <c r="J90" i="15"/>
  <c r="M90" i="15" s="1"/>
  <c r="J89" i="15"/>
  <c r="M89" i="15" s="1"/>
  <c r="J88" i="15"/>
  <c r="M88" i="15" s="1"/>
  <c r="J87" i="15"/>
  <c r="M87" i="15" s="1"/>
  <c r="J86" i="15"/>
  <c r="M86" i="15" s="1"/>
  <c r="J85" i="15"/>
  <c r="M85" i="15" s="1"/>
  <c r="J84" i="15"/>
  <c r="M84" i="15" s="1"/>
  <c r="J83" i="15"/>
  <c r="M83" i="15" s="1"/>
  <c r="J82" i="15"/>
  <c r="M82" i="15" s="1"/>
  <c r="J90" i="14"/>
  <c r="M90" i="14" s="1"/>
  <c r="J89" i="14"/>
  <c r="M89" i="14" s="1"/>
  <c r="J84" i="14"/>
  <c r="M84" i="14" s="1"/>
  <c r="K106" i="32"/>
  <c r="K98" i="32"/>
  <c r="N19" i="2" s="1"/>
  <c r="K95" i="32"/>
  <c r="J90" i="32"/>
  <c r="M90" i="32" s="1"/>
  <c r="J89" i="32"/>
  <c r="M89" i="32" s="1"/>
  <c r="J88" i="32"/>
  <c r="M88" i="32" s="1"/>
  <c r="J87" i="32"/>
  <c r="M87" i="32" s="1"/>
  <c r="J86" i="32"/>
  <c r="M86" i="32" s="1"/>
  <c r="J85" i="32"/>
  <c r="M85" i="32" s="1"/>
  <c r="J84" i="32"/>
  <c r="M84" i="32" s="1"/>
  <c r="J83" i="32"/>
  <c r="M83" i="32" s="1"/>
  <c r="J82" i="32"/>
  <c r="M82" i="32" s="1"/>
  <c r="J81" i="32"/>
  <c r="M81" i="32" s="1"/>
  <c r="J80" i="32"/>
  <c r="M80" i="32" s="1"/>
  <c r="J79" i="32"/>
  <c r="M79" i="32" s="1"/>
  <c r="J78" i="32"/>
  <c r="M78" i="32" s="1"/>
  <c r="J77" i="32"/>
  <c r="M77" i="32" s="1"/>
  <c r="J76" i="32"/>
  <c r="M76" i="32" s="1"/>
  <c r="J75" i="32"/>
  <c r="M75" i="32" s="1"/>
  <c r="J74" i="32"/>
  <c r="M74" i="32" s="1"/>
  <c r="J73" i="32"/>
  <c r="M73" i="32" s="1"/>
  <c r="J72" i="32"/>
  <c r="M72" i="32" s="1"/>
  <c r="J71" i="32"/>
  <c r="M71" i="32" s="1"/>
  <c r="J70" i="32"/>
  <c r="M70" i="32" s="1"/>
  <c r="J69" i="32"/>
  <c r="M69" i="32" s="1"/>
  <c r="J68" i="32"/>
  <c r="M68" i="32" s="1"/>
  <c r="J67" i="32"/>
  <c r="M67" i="32" s="1"/>
  <c r="J66" i="32"/>
  <c r="M66" i="32" s="1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K106" i="13"/>
  <c r="K98" i="13"/>
  <c r="N18" i="2" s="1"/>
  <c r="K95" i="13"/>
  <c r="J90" i="13"/>
  <c r="M90" i="13" s="1"/>
  <c r="J89" i="13"/>
  <c r="M89" i="13" s="1"/>
  <c r="J88" i="13"/>
  <c r="M88" i="13" s="1"/>
  <c r="J87" i="13"/>
  <c r="M87" i="13" s="1"/>
  <c r="J86" i="13"/>
  <c r="M86" i="13" s="1"/>
  <c r="J85" i="13"/>
  <c r="M85" i="13" s="1"/>
  <c r="J84" i="13"/>
  <c r="M84" i="13" s="1"/>
  <c r="J83" i="13"/>
  <c r="M83" i="13" s="1"/>
  <c r="J82" i="13"/>
  <c r="M82" i="13" s="1"/>
  <c r="J81" i="13"/>
  <c r="M81" i="13" s="1"/>
  <c r="J80" i="13"/>
  <c r="M80" i="13" s="1"/>
  <c r="J79" i="13"/>
  <c r="M79" i="13" s="1"/>
  <c r="J78" i="13"/>
  <c r="M78" i="13" s="1"/>
  <c r="J77" i="13"/>
  <c r="M77" i="13" s="1"/>
  <c r="J76" i="13"/>
  <c r="M76" i="13" s="1"/>
  <c r="J75" i="13"/>
  <c r="M75" i="13" s="1"/>
  <c r="J74" i="13"/>
  <c r="M74" i="13" s="1"/>
  <c r="J73" i="13"/>
  <c r="M73" i="13" s="1"/>
  <c r="J72" i="13"/>
  <c r="M72" i="13" s="1"/>
  <c r="J71" i="13"/>
  <c r="M71" i="13" s="1"/>
  <c r="J70" i="13"/>
  <c r="M70" i="13" s="1"/>
  <c r="J69" i="13"/>
  <c r="M69" i="13" s="1"/>
  <c r="J68" i="13"/>
  <c r="M68" i="13" s="1"/>
  <c r="J67" i="13"/>
  <c r="M67" i="13" s="1"/>
  <c r="J66" i="13"/>
  <c r="M66" i="13" s="1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K106" i="12"/>
  <c r="K98" i="12"/>
  <c r="N17" i="2" s="1"/>
  <c r="K95" i="12"/>
  <c r="J90" i="12"/>
  <c r="M90" i="12" s="1"/>
  <c r="J89" i="12"/>
  <c r="M89" i="12" s="1"/>
  <c r="J88" i="12"/>
  <c r="M88" i="12" s="1"/>
  <c r="J87" i="12"/>
  <c r="M87" i="12" s="1"/>
  <c r="J86" i="12"/>
  <c r="M86" i="12" s="1"/>
  <c r="J85" i="12"/>
  <c r="M85" i="12" s="1"/>
  <c r="J84" i="12"/>
  <c r="M84" i="12" s="1"/>
  <c r="J83" i="12"/>
  <c r="M83" i="12" s="1"/>
  <c r="J82" i="12"/>
  <c r="M82" i="12" s="1"/>
  <c r="J81" i="12"/>
  <c r="M81" i="12" s="1"/>
  <c r="J80" i="12"/>
  <c r="M80" i="12" s="1"/>
  <c r="J79" i="12"/>
  <c r="M79" i="12" s="1"/>
  <c r="J78" i="12"/>
  <c r="M78" i="12" s="1"/>
  <c r="J77" i="12"/>
  <c r="M77" i="12" s="1"/>
  <c r="J76" i="12"/>
  <c r="M76" i="12" s="1"/>
  <c r="J75" i="12"/>
  <c r="M75" i="12" s="1"/>
  <c r="J74" i="12"/>
  <c r="M74" i="12" s="1"/>
  <c r="J73" i="12"/>
  <c r="M73" i="12" s="1"/>
  <c r="J72" i="12"/>
  <c r="M72" i="12" s="1"/>
  <c r="J71" i="12"/>
  <c r="M71" i="12" s="1"/>
  <c r="J70" i="12"/>
  <c r="M70" i="12" s="1"/>
  <c r="J69" i="12"/>
  <c r="M69" i="12" s="1"/>
  <c r="J68" i="12"/>
  <c r="M68" i="12" s="1"/>
  <c r="J67" i="12"/>
  <c r="M67" i="12" s="1"/>
  <c r="J66" i="12"/>
  <c r="M66" i="12" s="1"/>
  <c r="J65" i="12"/>
  <c r="M65" i="12" s="1"/>
  <c r="J64" i="12"/>
  <c r="M64" i="12" s="1"/>
  <c r="J63" i="12"/>
  <c r="M63" i="12" s="1"/>
  <c r="J62" i="12"/>
  <c r="M62" i="12" s="1"/>
  <c r="J61" i="12"/>
  <c r="M61" i="12" s="1"/>
  <c r="J60" i="12"/>
  <c r="M60" i="12" s="1"/>
  <c r="J59" i="12"/>
  <c r="M59" i="12" s="1"/>
  <c r="J58" i="12"/>
  <c r="M58" i="12" s="1"/>
  <c r="J57" i="12"/>
  <c r="M57" i="12" s="1"/>
  <c r="J56" i="12"/>
  <c r="M56" i="12" s="1"/>
  <c r="J55" i="12"/>
  <c r="M55" i="12" s="1"/>
  <c r="J54" i="12"/>
  <c r="M54" i="12" s="1"/>
  <c r="J53" i="12"/>
  <c r="M53" i="12" s="1"/>
  <c r="J52" i="12"/>
  <c r="M52" i="12" s="1"/>
  <c r="J51" i="12"/>
  <c r="M51" i="12" s="1"/>
  <c r="J50" i="12"/>
  <c r="M50" i="12" s="1"/>
  <c r="J49" i="12"/>
  <c r="M49" i="12" s="1"/>
  <c r="M48" i="12"/>
  <c r="J47" i="12"/>
  <c r="M47" i="12" s="1"/>
  <c r="J46" i="12"/>
  <c r="M46" i="12" s="1"/>
  <c r="J45" i="12"/>
  <c r="M45" i="12" s="1"/>
  <c r="J44" i="12"/>
  <c r="M44" i="12" s="1"/>
  <c r="J43" i="12"/>
  <c r="M43" i="12" s="1"/>
  <c r="J42" i="12"/>
  <c r="M42" i="12" s="1"/>
  <c r="J41" i="12"/>
  <c r="M41" i="12" s="1"/>
  <c r="J40" i="12"/>
  <c r="M40" i="12" s="1"/>
  <c r="J39" i="12"/>
  <c r="M39" i="12" s="1"/>
  <c r="J38" i="12"/>
  <c r="M38" i="12" s="1"/>
  <c r="J37" i="12"/>
  <c r="M37" i="12" s="1"/>
  <c r="J36" i="12"/>
  <c r="M36" i="12" s="1"/>
  <c r="J35" i="12"/>
  <c r="M35" i="12" s="1"/>
  <c r="J34" i="12"/>
  <c r="M34" i="12" s="1"/>
  <c r="J33" i="12"/>
  <c r="M33" i="12" s="1"/>
  <c r="J32" i="12"/>
  <c r="M32" i="12" s="1"/>
  <c r="J31" i="12"/>
  <c r="M31" i="12" s="1"/>
  <c r="J30" i="12"/>
  <c r="M30" i="12" s="1"/>
  <c r="J29" i="12"/>
  <c r="M29" i="12" s="1"/>
  <c r="J28" i="12"/>
  <c r="M28" i="12" s="1"/>
  <c r="J27" i="12"/>
  <c r="M27" i="12" s="1"/>
  <c r="J26" i="12"/>
  <c r="M26" i="12" s="1"/>
  <c r="J25" i="12"/>
  <c r="M25" i="12" s="1"/>
  <c r="J24" i="12"/>
  <c r="M24" i="12" s="1"/>
  <c r="J23" i="12"/>
  <c r="M23" i="12" s="1"/>
  <c r="J22" i="12"/>
  <c r="M22" i="12" s="1"/>
  <c r="J21" i="12"/>
  <c r="M21" i="12" s="1"/>
  <c r="J20" i="12"/>
  <c r="M20" i="12" s="1"/>
  <c r="J19" i="12"/>
  <c r="M19" i="12" s="1"/>
  <c r="J18" i="12"/>
  <c r="M18" i="12" s="1"/>
  <c r="J17" i="12"/>
  <c r="M17" i="12" s="1"/>
  <c r="J16" i="12"/>
  <c r="M16" i="12" s="1"/>
  <c r="J15" i="12"/>
  <c r="M15" i="12" s="1"/>
  <c r="J14" i="12"/>
  <c r="M14" i="12" s="1"/>
  <c r="J13" i="12"/>
  <c r="M13" i="12" s="1"/>
  <c r="J12" i="12"/>
  <c r="M12" i="12" s="1"/>
  <c r="J11" i="12"/>
  <c r="M11" i="12" s="1"/>
  <c r="J10" i="12"/>
  <c r="M10" i="12" s="1"/>
  <c r="J9" i="12"/>
  <c r="M9" i="12" s="1"/>
  <c r="J8" i="12"/>
  <c r="M8" i="12" s="1"/>
  <c r="J7" i="12"/>
  <c r="M7" i="12" s="1"/>
  <c r="J6" i="12"/>
  <c r="M6" i="12" s="1"/>
  <c r="J5" i="12"/>
  <c r="M5" i="12" s="1"/>
  <c r="J4" i="12"/>
  <c r="M4" i="12" s="1"/>
  <c r="K106" i="11"/>
  <c r="K98" i="11"/>
  <c r="N16" i="2" s="1"/>
  <c r="K95" i="11"/>
  <c r="J90" i="11"/>
  <c r="M90" i="11" s="1"/>
  <c r="J89" i="11"/>
  <c r="M89" i="11" s="1"/>
  <c r="J88" i="11"/>
  <c r="M88" i="11" s="1"/>
  <c r="J87" i="11"/>
  <c r="M87" i="11" s="1"/>
  <c r="J86" i="11"/>
  <c r="M86" i="11" s="1"/>
  <c r="J85" i="11"/>
  <c r="M85" i="11" s="1"/>
  <c r="J84" i="11"/>
  <c r="M84" i="11" s="1"/>
  <c r="J83" i="11"/>
  <c r="M83" i="11" s="1"/>
  <c r="J82" i="11"/>
  <c r="M82" i="11" s="1"/>
  <c r="J81" i="11"/>
  <c r="M81" i="11" s="1"/>
  <c r="J80" i="11"/>
  <c r="M80" i="11" s="1"/>
  <c r="J79" i="11"/>
  <c r="M79" i="11" s="1"/>
  <c r="J78" i="11"/>
  <c r="M78" i="11" s="1"/>
  <c r="J77" i="11"/>
  <c r="M77" i="11" s="1"/>
  <c r="J76" i="11"/>
  <c r="M76" i="11" s="1"/>
  <c r="J75" i="11"/>
  <c r="M75" i="11" s="1"/>
  <c r="J74" i="11"/>
  <c r="M74" i="11" s="1"/>
  <c r="J73" i="11"/>
  <c r="M73" i="11" s="1"/>
  <c r="J72" i="11"/>
  <c r="M72" i="11" s="1"/>
  <c r="J71" i="11"/>
  <c r="M71" i="11" s="1"/>
  <c r="J70" i="11"/>
  <c r="M70" i="11" s="1"/>
  <c r="J69" i="11"/>
  <c r="J68" i="11"/>
  <c r="M68" i="11" s="1"/>
  <c r="J67" i="11"/>
  <c r="M67" i="11" s="1"/>
  <c r="J66" i="11"/>
  <c r="M66" i="11" s="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K106" i="30"/>
  <c r="K98" i="30"/>
  <c r="N15" i="2" s="1"/>
  <c r="K95" i="30"/>
  <c r="J90" i="30"/>
  <c r="M90" i="30" s="1"/>
  <c r="J89" i="30"/>
  <c r="M89" i="30" s="1"/>
  <c r="J88" i="30"/>
  <c r="M88" i="30" s="1"/>
  <c r="J87" i="30"/>
  <c r="M87" i="30" s="1"/>
  <c r="J86" i="30"/>
  <c r="M86" i="30" s="1"/>
  <c r="J85" i="30"/>
  <c r="M85" i="30" s="1"/>
  <c r="J84" i="30"/>
  <c r="M84" i="30" s="1"/>
  <c r="J83" i="30"/>
  <c r="K106" i="10"/>
  <c r="K98" i="10"/>
  <c r="N14" i="2" s="1"/>
  <c r="K95" i="10"/>
  <c r="J90" i="10"/>
  <c r="M90" i="10" s="1"/>
  <c r="J89" i="10"/>
  <c r="M89" i="10" s="1"/>
  <c r="J88" i="10"/>
  <c r="M88" i="10" s="1"/>
  <c r="J87" i="10"/>
  <c r="M87" i="10" s="1"/>
  <c r="J86" i="10"/>
  <c r="M86" i="10" s="1"/>
  <c r="J85" i="10"/>
  <c r="M85" i="10" s="1"/>
  <c r="J84" i="10"/>
  <c r="M84" i="10" s="1"/>
  <c r="J83" i="10"/>
  <c r="K106" i="9"/>
  <c r="K98" i="9"/>
  <c r="N13" i="2" s="1"/>
  <c r="K95" i="9"/>
  <c r="J90" i="9"/>
  <c r="M90" i="9" s="1"/>
  <c r="J89" i="9"/>
  <c r="M89" i="9" s="1"/>
  <c r="J88" i="9"/>
  <c r="M88" i="9" s="1"/>
  <c r="J87" i="9"/>
  <c r="M87" i="9" s="1"/>
  <c r="J86" i="9"/>
  <c r="M86" i="9" s="1"/>
  <c r="J85" i="9"/>
  <c r="M85" i="9" s="1"/>
  <c r="J84" i="9"/>
  <c r="M84" i="9" s="1"/>
  <c r="J83" i="9"/>
  <c r="K106" i="29"/>
  <c r="K98" i="29"/>
  <c r="N12" i="2" s="1"/>
  <c r="K95" i="29"/>
  <c r="J90" i="29"/>
  <c r="M90" i="29" s="1"/>
  <c r="J89" i="29"/>
  <c r="M89" i="29" s="1"/>
  <c r="J88" i="29"/>
  <c r="M88" i="29" s="1"/>
  <c r="J87" i="29"/>
  <c r="M87" i="29" s="1"/>
  <c r="J86" i="29"/>
  <c r="M86" i="29" s="1"/>
  <c r="J85" i="29"/>
  <c r="M85" i="29" s="1"/>
  <c r="J84" i="29"/>
  <c r="M84" i="29" s="1"/>
  <c r="J83" i="29"/>
  <c r="M83" i="29" s="1"/>
  <c r="K106" i="8"/>
  <c r="K106" i="7"/>
  <c r="K98" i="8"/>
  <c r="N11" i="2" s="1"/>
  <c r="K95" i="8"/>
  <c r="J90" i="8"/>
  <c r="M90" i="8" s="1"/>
  <c r="J89" i="8"/>
  <c r="M89" i="8" s="1"/>
  <c r="J88" i="8"/>
  <c r="M88" i="8" s="1"/>
  <c r="J87" i="8"/>
  <c r="M87" i="8" s="1"/>
  <c r="J86" i="8"/>
  <c r="M86" i="8" s="1"/>
  <c r="J85" i="8"/>
  <c r="M85" i="8" s="1"/>
  <c r="J84" i="8"/>
  <c r="M84" i="8" s="1"/>
  <c r="J83" i="8"/>
  <c r="M83" i="8" s="1"/>
  <c r="J82" i="8"/>
  <c r="M82" i="8" s="1"/>
  <c r="J81" i="8"/>
  <c r="M81" i="8" s="1"/>
  <c r="J80" i="8"/>
  <c r="M80" i="8" s="1"/>
  <c r="J79" i="8"/>
  <c r="M79" i="8" s="1"/>
  <c r="J78" i="8"/>
  <c r="M78" i="8" s="1"/>
  <c r="J77" i="8"/>
  <c r="M77" i="8" s="1"/>
  <c r="J76" i="8"/>
  <c r="M76" i="8" s="1"/>
  <c r="J75" i="8"/>
  <c r="M75" i="8" s="1"/>
  <c r="J74" i="8"/>
  <c r="M74" i="8" s="1"/>
  <c r="J73" i="8"/>
  <c r="M73" i="8" s="1"/>
  <c r="J72" i="8"/>
  <c r="M72" i="8" s="1"/>
  <c r="J71" i="8"/>
  <c r="M71" i="8" s="1"/>
  <c r="J70" i="8"/>
  <c r="M70" i="8" s="1"/>
  <c r="J69" i="8"/>
  <c r="M69" i="8" s="1"/>
  <c r="J68" i="8"/>
  <c r="M68" i="8" s="1"/>
  <c r="J67" i="8"/>
  <c r="M67" i="8" s="1"/>
  <c r="J66" i="8"/>
  <c r="M66" i="8" s="1"/>
  <c r="J65" i="8"/>
  <c r="M65" i="8" s="1"/>
  <c r="J64" i="8"/>
  <c r="M64" i="8" s="1"/>
  <c r="J63" i="8"/>
  <c r="M63" i="8" s="1"/>
  <c r="J62" i="8"/>
  <c r="M62" i="8" s="1"/>
  <c r="J61" i="8"/>
  <c r="M61" i="8" s="1"/>
  <c r="J60" i="8"/>
  <c r="M60" i="8" s="1"/>
  <c r="J59" i="8"/>
  <c r="M59" i="8" s="1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K98" i="7"/>
  <c r="N10" i="2" s="1"/>
  <c r="K95" i="7"/>
  <c r="J90" i="7"/>
  <c r="M90" i="7" s="1"/>
  <c r="J89" i="7"/>
  <c r="M89" i="7" s="1"/>
  <c r="J88" i="7"/>
  <c r="M88" i="7" s="1"/>
  <c r="J87" i="7"/>
  <c r="M87" i="7" s="1"/>
  <c r="J86" i="7"/>
  <c r="M86" i="7" s="1"/>
  <c r="J85" i="7"/>
  <c r="M85" i="7" s="1"/>
  <c r="J84" i="7"/>
  <c r="M84" i="7" s="1"/>
  <c r="J83" i="7"/>
  <c r="M83" i="7" s="1"/>
  <c r="J82" i="7"/>
  <c r="M82" i="7" s="1"/>
  <c r="J81" i="7"/>
  <c r="M81" i="7" s="1"/>
  <c r="J80" i="7"/>
  <c r="M80" i="7" s="1"/>
  <c r="J79" i="7"/>
  <c r="M79" i="7" s="1"/>
  <c r="J78" i="7"/>
  <c r="M78" i="7" s="1"/>
  <c r="J77" i="7"/>
  <c r="M77" i="7" s="1"/>
  <c r="J76" i="7"/>
  <c r="M76" i="7" s="1"/>
  <c r="J75" i="7"/>
  <c r="M75" i="7" s="1"/>
  <c r="J74" i="7"/>
  <c r="M74" i="7" s="1"/>
  <c r="J73" i="7"/>
  <c r="M73" i="7" s="1"/>
  <c r="J72" i="7"/>
  <c r="M72" i="7" s="1"/>
  <c r="J71" i="7"/>
  <c r="M71" i="7" s="1"/>
  <c r="J70" i="7"/>
  <c r="M70" i="7" s="1"/>
  <c r="J69" i="7"/>
  <c r="M69" i="7" s="1"/>
  <c r="J68" i="7"/>
  <c r="M68" i="7" s="1"/>
  <c r="J67" i="7"/>
  <c r="M67" i="7" s="1"/>
  <c r="J66" i="7"/>
  <c r="M66" i="7" s="1"/>
  <c r="J65" i="7"/>
  <c r="M65" i="7" s="1"/>
  <c r="J64" i="7"/>
  <c r="M64" i="7" s="1"/>
  <c r="J63" i="7"/>
  <c r="M63" i="7" s="1"/>
  <c r="J62" i="7"/>
  <c r="M62" i="7" s="1"/>
  <c r="J61" i="7"/>
  <c r="M61" i="7" s="1"/>
  <c r="J60" i="7"/>
  <c r="M60" i="7" s="1"/>
  <c r="J59" i="7"/>
  <c r="M59" i="7" s="1"/>
  <c r="J58" i="7"/>
  <c r="J57" i="7"/>
  <c r="J56" i="7"/>
  <c r="J55" i="7"/>
  <c r="J54" i="7"/>
  <c r="J53" i="7"/>
  <c r="J52" i="7"/>
  <c r="J51" i="7"/>
  <c r="J50" i="7"/>
  <c r="J49" i="7"/>
  <c r="M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K106" i="6"/>
  <c r="K98" i="6"/>
  <c r="N9" i="2" s="1"/>
  <c r="K95" i="6"/>
  <c r="J90" i="6"/>
  <c r="M90" i="6" s="1"/>
  <c r="J89" i="6"/>
  <c r="M89" i="6" s="1"/>
  <c r="J88" i="6"/>
  <c r="M88" i="6" s="1"/>
  <c r="J87" i="6"/>
  <c r="M87" i="6" s="1"/>
  <c r="J86" i="6"/>
  <c r="M86" i="6" s="1"/>
  <c r="J85" i="6"/>
  <c r="M85" i="6" s="1"/>
  <c r="J84" i="6"/>
  <c r="M84" i="6" s="1"/>
  <c r="J83" i="6"/>
  <c r="K106" i="5"/>
  <c r="K98" i="5"/>
  <c r="N8" i="2" s="1"/>
  <c r="K95" i="5"/>
  <c r="J90" i="5"/>
  <c r="M90" i="5" s="1"/>
  <c r="J89" i="5"/>
  <c r="M89" i="5" s="1"/>
  <c r="J88" i="5"/>
  <c r="M88" i="5" s="1"/>
  <c r="J87" i="5"/>
  <c r="M87" i="5" s="1"/>
  <c r="J86" i="5"/>
  <c r="M86" i="5" s="1"/>
  <c r="J85" i="5"/>
  <c r="M85" i="5" s="1"/>
  <c r="J84" i="5"/>
  <c r="M84" i="5" s="1"/>
  <c r="J83" i="5"/>
  <c r="M83" i="5" s="1"/>
  <c r="K106" i="28"/>
  <c r="N7" i="2"/>
  <c r="J90" i="28"/>
  <c r="M90" i="28" s="1"/>
  <c r="J89" i="28"/>
  <c r="M89" i="28" s="1"/>
  <c r="J88" i="28"/>
  <c r="M88" i="28" s="1"/>
  <c r="J87" i="28"/>
  <c r="M87" i="28" s="1"/>
  <c r="J86" i="28"/>
  <c r="M86" i="28" s="1"/>
  <c r="J85" i="28"/>
  <c r="M85" i="28" s="1"/>
  <c r="J84" i="28"/>
  <c r="M84" i="28" s="1"/>
  <c r="J83" i="28"/>
  <c r="E59" i="36"/>
  <c r="G59" i="36" s="1"/>
  <c r="C59" i="37" s="1"/>
  <c r="E89" i="36"/>
  <c r="G89" i="36" s="1"/>
  <c r="C89" i="37" s="1"/>
  <c r="E90" i="36"/>
  <c r="G90" i="36" s="1"/>
  <c r="C90" i="37" s="1"/>
  <c r="K106" i="37"/>
  <c r="K98" i="37"/>
  <c r="N6" i="2" s="1"/>
  <c r="K95" i="37"/>
  <c r="J90" i="37"/>
  <c r="M90" i="37" s="1"/>
  <c r="J88" i="37"/>
  <c r="M88" i="37" s="1"/>
  <c r="J87" i="37"/>
  <c r="M87" i="37" s="1"/>
  <c r="J86" i="37"/>
  <c r="M86" i="37" s="1"/>
  <c r="J85" i="37"/>
  <c r="M85" i="37" s="1"/>
  <c r="J84" i="37"/>
  <c r="M84" i="37" s="1"/>
  <c r="J83" i="37"/>
  <c r="M83" i="37" s="1"/>
  <c r="J82" i="37"/>
  <c r="M82" i="37" s="1"/>
  <c r="J81" i="37"/>
  <c r="M81" i="37" s="1"/>
  <c r="J80" i="37"/>
  <c r="M80" i="37" s="1"/>
  <c r="J79" i="37"/>
  <c r="M79" i="37" s="1"/>
  <c r="J78" i="37"/>
  <c r="M78" i="37" s="1"/>
  <c r="J77" i="37"/>
  <c r="M77" i="37" s="1"/>
  <c r="J76" i="37"/>
  <c r="M76" i="37" s="1"/>
  <c r="J75" i="37"/>
  <c r="M75" i="37" s="1"/>
  <c r="J74" i="37"/>
  <c r="M74" i="37" s="1"/>
  <c r="J73" i="37"/>
  <c r="M73" i="37" s="1"/>
  <c r="J72" i="37"/>
  <c r="M72" i="37" s="1"/>
  <c r="J71" i="37"/>
  <c r="M71" i="37" s="1"/>
  <c r="J70" i="37"/>
  <c r="M70" i="37" s="1"/>
  <c r="J69" i="37"/>
  <c r="M69" i="37" s="1"/>
  <c r="J68" i="37"/>
  <c r="M68" i="37" s="1"/>
  <c r="J67" i="37"/>
  <c r="M67" i="37" s="1"/>
  <c r="J66" i="37"/>
  <c r="M66" i="37" s="1"/>
  <c r="J65" i="37"/>
  <c r="M65" i="37" s="1"/>
  <c r="J64" i="37"/>
  <c r="M64" i="37" s="1"/>
  <c r="J63" i="37"/>
  <c r="M63" i="37" s="1"/>
  <c r="J62" i="37"/>
  <c r="M62" i="37" s="1"/>
  <c r="J61" i="37"/>
  <c r="M61" i="37" s="1"/>
  <c r="J60" i="37"/>
  <c r="M60" i="37" s="1"/>
  <c r="J59" i="37"/>
  <c r="M59" i="37" s="1"/>
  <c r="K106" i="36"/>
  <c r="K98" i="36"/>
  <c r="N5" i="2" s="1"/>
  <c r="K95" i="36"/>
  <c r="J90" i="36"/>
  <c r="M90" i="36" s="1"/>
  <c r="J89" i="36"/>
  <c r="M89" i="36" s="1"/>
  <c r="J88" i="36"/>
  <c r="M88" i="36" s="1"/>
  <c r="J87" i="36"/>
  <c r="M87" i="36" s="1"/>
  <c r="J86" i="36"/>
  <c r="M86" i="36" s="1"/>
  <c r="J85" i="36"/>
  <c r="M85" i="36" s="1"/>
  <c r="J84" i="36"/>
  <c r="M84" i="36" s="1"/>
  <c r="J83" i="36"/>
  <c r="M83" i="36" s="1"/>
  <c r="J82" i="36"/>
  <c r="M82" i="36" s="1"/>
  <c r="J81" i="36"/>
  <c r="M81" i="36" s="1"/>
  <c r="J80" i="36"/>
  <c r="M80" i="36" s="1"/>
  <c r="J79" i="36"/>
  <c r="M79" i="36" s="1"/>
  <c r="J78" i="36"/>
  <c r="M78" i="36" s="1"/>
  <c r="J77" i="36"/>
  <c r="M77" i="36" s="1"/>
  <c r="J76" i="36"/>
  <c r="M76" i="36" s="1"/>
  <c r="J75" i="36"/>
  <c r="M75" i="36" s="1"/>
  <c r="J74" i="36"/>
  <c r="M74" i="36" s="1"/>
  <c r="J73" i="36"/>
  <c r="J72" i="36"/>
  <c r="J71" i="36"/>
  <c r="J70" i="36"/>
  <c r="J69" i="36"/>
  <c r="J68" i="36"/>
  <c r="J67" i="36"/>
  <c r="J66" i="36"/>
  <c r="J65" i="36"/>
  <c r="J64" i="36"/>
  <c r="J63" i="36"/>
  <c r="J62" i="36"/>
  <c r="J61" i="36"/>
  <c r="J60" i="36"/>
  <c r="J59" i="36"/>
  <c r="E85" i="36"/>
  <c r="G85" i="36" s="1"/>
  <c r="C85" i="37" s="1"/>
  <c r="E88" i="36"/>
  <c r="G88" i="36" s="1"/>
  <c r="C88" i="37" s="1"/>
  <c r="E87" i="36"/>
  <c r="G87" i="36" s="1"/>
  <c r="C87" i="37" s="1"/>
  <c r="E86" i="36"/>
  <c r="G86" i="36" s="1"/>
  <c r="C86" i="37" s="1"/>
  <c r="E84" i="36"/>
  <c r="G84" i="36" s="1"/>
  <c r="C84" i="37" s="1"/>
  <c r="E83" i="36"/>
  <c r="G83" i="36" s="1"/>
  <c r="C83" i="37" s="1"/>
  <c r="M72" i="36" l="1"/>
  <c r="M73" i="36"/>
  <c r="J55" i="2"/>
  <c r="M71" i="36"/>
  <c r="J7" i="2"/>
  <c r="J23" i="2"/>
  <c r="K105" i="48"/>
  <c r="R33" i="2"/>
  <c r="K105" i="6"/>
  <c r="R9" i="2"/>
  <c r="K105" i="45"/>
  <c r="R30" i="2"/>
  <c r="K105" i="7"/>
  <c r="R10" i="2"/>
  <c r="K105" i="12"/>
  <c r="R17" i="2"/>
  <c r="K105" i="42"/>
  <c r="R27" i="2"/>
  <c r="K105" i="44"/>
  <c r="R29" i="2"/>
  <c r="K105" i="29"/>
  <c r="R12" i="2"/>
  <c r="K105" i="46"/>
  <c r="R31" i="2"/>
  <c r="J21" i="2"/>
  <c r="J29" i="2"/>
  <c r="J37" i="2"/>
  <c r="J53" i="2"/>
  <c r="M70" i="36"/>
  <c r="M69" i="36"/>
  <c r="M69" i="11"/>
  <c r="J31" i="2"/>
  <c r="J39" i="2"/>
  <c r="J47" i="2"/>
  <c r="J12" i="2"/>
  <c r="J36" i="2"/>
  <c r="J44" i="2"/>
  <c r="J52" i="2"/>
  <c r="J20" i="2"/>
  <c r="J28" i="2"/>
  <c r="J16" i="2"/>
  <c r="J24" i="2"/>
  <c r="J56" i="2"/>
  <c r="J8" i="2"/>
  <c r="J48" i="2"/>
  <c r="J40" i="2"/>
  <c r="J32" i="2"/>
  <c r="J18" i="2"/>
  <c r="J34" i="2"/>
  <c r="J50" i="2"/>
  <c r="J58" i="2"/>
  <c r="J10" i="2"/>
  <c r="J26" i="2"/>
  <c r="J42" i="2"/>
  <c r="J14" i="2"/>
  <c r="J22" i="2"/>
  <c r="J30" i="2"/>
  <c r="J38" i="2"/>
  <c r="J46" i="2"/>
  <c r="J54" i="2"/>
  <c r="J11" i="2"/>
  <c r="J19" i="2"/>
  <c r="J27" i="2"/>
  <c r="J35" i="2"/>
  <c r="J43" i="2"/>
  <c r="J51" i="2"/>
  <c r="J59" i="2"/>
  <c r="J9" i="2"/>
  <c r="J25" i="2"/>
  <c r="J33" i="2"/>
  <c r="J41" i="2"/>
  <c r="J57" i="2"/>
  <c r="M12" i="7"/>
  <c r="J13" i="2"/>
  <c r="M44" i="7"/>
  <c r="J45" i="2"/>
  <c r="M5" i="7"/>
  <c r="J6" i="2"/>
  <c r="M14" i="7"/>
  <c r="J15" i="2"/>
  <c r="M16" i="7"/>
  <c r="J17" i="2"/>
  <c r="M66" i="36"/>
  <c r="M67" i="36"/>
  <c r="M59" i="36"/>
  <c r="M60" i="36"/>
  <c r="M68" i="36"/>
  <c r="M62" i="36"/>
  <c r="M61" i="36"/>
  <c r="M63" i="36"/>
  <c r="M65" i="36"/>
  <c r="M64" i="36"/>
  <c r="K105" i="49"/>
  <c r="R34" i="2"/>
  <c r="K105" i="47"/>
  <c r="R32" i="2"/>
  <c r="K105" i="41"/>
  <c r="R26" i="2"/>
  <c r="M68" i="40"/>
  <c r="K105" i="39"/>
  <c r="R24" i="2"/>
  <c r="M56" i="7"/>
  <c r="M49" i="7"/>
  <c r="M10" i="7"/>
  <c r="M18" i="7"/>
  <c r="M26" i="7"/>
  <c r="M34" i="7"/>
  <c r="M42" i="7"/>
  <c r="M50" i="7"/>
  <c r="M58" i="7"/>
  <c r="M33" i="7"/>
  <c r="M11" i="7"/>
  <c r="M19" i="7"/>
  <c r="M27" i="7"/>
  <c r="M35" i="7"/>
  <c r="M43" i="7"/>
  <c r="M51" i="7"/>
  <c r="M8" i="7"/>
  <c r="M32" i="7"/>
  <c r="M17" i="7"/>
  <c r="M57" i="7"/>
  <c r="M20" i="7"/>
  <c r="M28" i="7"/>
  <c r="M36" i="7"/>
  <c r="M52" i="7"/>
  <c r="M6" i="7"/>
  <c r="M13" i="7"/>
  <c r="M21" i="7"/>
  <c r="M29" i="7"/>
  <c r="M37" i="7"/>
  <c r="M45" i="7"/>
  <c r="M53" i="7"/>
  <c r="M24" i="7"/>
  <c r="M40" i="7"/>
  <c r="M25" i="7"/>
  <c r="M22" i="7"/>
  <c r="M30" i="7"/>
  <c r="M38" i="7"/>
  <c r="M46" i="7"/>
  <c r="M54" i="7"/>
  <c r="M9" i="7"/>
  <c r="M41" i="7"/>
  <c r="M7" i="7"/>
  <c r="M15" i="7"/>
  <c r="M23" i="7"/>
  <c r="M31" i="7"/>
  <c r="M39" i="7"/>
  <c r="M47" i="7"/>
  <c r="M55" i="7"/>
  <c r="E87" i="37"/>
  <c r="E90" i="37"/>
  <c r="E103" i="2"/>
  <c r="E94" i="2"/>
  <c r="G94" i="2" s="1"/>
  <c r="E86" i="2"/>
  <c r="G86" i="2" s="1"/>
  <c r="E78" i="2"/>
  <c r="G78" i="2" s="1"/>
  <c r="E70" i="2"/>
  <c r="G70" i="2" s="1"/>
  <c r="E54" i="2"/>
  <c r="G54" i="2" s="1"/>
  <c r="E46" i="2"/>
  <c r="G46" i="2" s="1"/>
  <c r="E38" i="2"/>
  <c r="G38" i="2" s="1"/>
  <c r="E30" i="2"/>
  <c r="G30" i="2" s="1"/>
  <c r="E22" i="2"/>
  <c r="G22" i="2" s="1"/>
  <c r="E88" i="37"/>
  <c r="E89" i="37"/>
  <c r="E101" i="2"/>
  <c r="G101" i="2" s="1"/>
  <c r="E93" i="2"/>
  <c r="G93" i="2" s="1"/>
  <c r="E85" i="37"/>
  <c r="E59" i="37"/>
  <c r="E99" i="2"/>
  <c r="G99" i="2" s="1"/>
  <c r="E98" i="2"/>
  <c r="E83" i="37"/>
  <c r="E97" i="2"/>
  <c r="G97" i="2" s="1"/>
  <c r="E89" i="2"/>
  <c r="G89" i="2" s="1"/>
  <c r="E81" i="2"/>
  <c r="G81" i="2" s="1"/>
  <c r="E73" i="2"/>
  <c r="G73" i="2" s="1"/>
  <c r="E65" i="2"/>
  <c r="G65" i="2" s="1"/>
  <c r="E84" i="37"/>
  <c r="E96" i="2"/>
  <c r="E88" i="2"/>
  <c r="G88" i="2" s="1"/>
  <c r="E80" i="2"/>
  <c r="G80" i="2" s="1"/>
  <c r="E72" i="2"/>
  <c r="G72" i="2" s="1"/>
  <c r="E64" i="2"/>
  <c r="G64" i="2" s="1"/>
  <c r="E86" i="37"/>
  <c r="E104" i="2"/>
  <c r="E95" i="2"/>
  <c r="G95" i="2" s="1"/>
  <c r="E87" i="2"/>
  <c r="G87" i="2" s="1"/>
  <c r="E79" i="2"/>
  <c r="G79" i="2" s="1"/>
  <c r="E71" i="2"/>
  <c r="G71" i="2" s="1"/>
  <c r="M14" i="48"/>
  <c r="M4" i="48"/>
  <c r="J5" i="2"/>
  <c r="M44" i="48"/>
  <c r="M16" i="47"/>
  <c r="M12" i="47"/>
  <c r="M5" i="47"/>
  <c r="M61" i="47"/>
  <c r="K105" i="43"/>
  <c r="R28" i="2"/>
  <c r="K105" i="40"/>
  <c r="R25" i="2"/>
  <c r="K105" i="50"/>
  <c r="R35" i="2"/>
  <c r="K105" i="38"/>
  <c r="R23" i="2"/>
  <c r="K105" i="33"/>
  <c r="R22" i="2"/>
  <c r="K105" i="15"/>
  <c r="R21" i="2"/>
  <c r="K105" i="14"/>
  <c r="R20" i="2"/>
  <c r="K105" i="32"/>
  <c r="R19" i="2"/>
  <c r="K105" i="13"/>
  <c r="R18" i="2"/>
  <c r="K105" i="11"/>
  <c r="R16" i="2"/>
  <c r="K105" i="30"/>
  <c r="R15" i="2"/>
  <c r="K105" i="10"/>
  <c r="R14" i="2"/>
  <c r="K105" i="9"/>
  <c r="R13" i="2"/>
  <c r="K105" i="8"/>
  <c r="R11" i="2"/>
  <c r="K105" i="5"/>
  <c r="R8" i="2"/>
  <c r="K105" i="28"/>
  <c r="R7" i="2"/>
  <c r="K105" i="37"/>
  <c r="R6" i="2"/>
  <c r="K105" i="36"/>
  <c r="R5" i="2"/>
  <c r="K93" i="39"/>
  <c r="M24" i="2" s="1"/>
  <c r="E62" i="2"/>
  <c r="G62" i="2" s="1"/>
  <c r="E63" i="2"/>
  <c r="G63" i="2" s="1"/>
  <c r="N36" i="2"/>
  <c r="E15" i="2"/>
  <c r="G15" i="2" s="1"/>
  <c r="E14" i="2"/>
  <c r="G14" i="2" s="1"/>
  <c r="E31" i="2"/>
  <c r="G31" i="2" s="1"/>
  <c r="E47" i="2"/>
  <c r="G47" i="2" s="1"/>
  <c r="E27" i="2"/>
  <c r="G27" i="2" s="1"/>
  <c r="E59" i="2"/>
  <c r="G59" i="2" s="1"/>
  <c r="E43" i="2"/>
  <c r="G43" i="2" s="1"/>
  <c r="E19" i="2"/>
  <c r="G19" i="2" s="1"/>
  <c r="E51" i="2"/>
  <c r="G51" i="2" s="1"/>
  <c r="E35" i="2"/>
  <c r="G35" i="2" s="1"/>
  <c r="K93" i="48"/>
  <c r="M33" i="2" s="1"/>
  <c r="S33" i="2" s="1"/>
  <c r="U33" i="2" s="1"/>
  <c r="K93" i="46"/>
  <c r="M31" i="2" s="1"/>
  <c r="S31" i="2" s="1"/>
  <c r="U31" i="2" s="1"/>
  <c r="K93" i="45"/>
  <c r="M30" i="2" s="1"/>
  <c r="M4" i="45"/>
  <c r="N90" i="45" s="1"/>
  <c r="K93" i="43"/>
  <c r="M28" i="2" s="1"/>
  <c r="K93" i="41"/>
  <c r="M26" i="2" s="1"/>
  <c r="S26" i="2" s="1"/>
  <c r="U26" i="2" s="1"/>
  <c r="K93" i="40"/>
  <c r="M25" i="2" s="1"/>
  <c r="M4" i="39"/>
  <c r="N90" i="39" s="1"/>
  <c r="K93" i="36"/>
  <c r="M5" i="2" s="1"/>
  <c r="S5" i="2" s="1"/>
  <c r="U5" i="2" s="1"/>
  <c r="E85" i="2"/>
  <c r="G85" i="2" s="1"/>
  <c r="E77" i="2"/>
  <c r="G77" i="2" s="1"/>
  <c r="E69" i="2"/>
  <c r="G69" i="2" s="1"/>
  <c r="E61" i="2"/>
  <c r="G61" i="2" s="1"/>
  <c r="E84" i="2"/>
  <c r="G84" i="2" s="1"/>
  <c r="E76" i="2"/>
  <c r="G76" i="2" s="1"/>
  <c r="E68" i="2"/>
  <c r="G68" i="2" s="1"/>
  <c r="E91" i="2"/>
  <c r="G91" i="2" s="1"/>
  <c r="E83" i="2"/>
  <c r="G83" i="2" s="1"/>
  <c r="E75" i="2"/>
  <c r="G75" i="2" s="1"/>
  <c r="E67" i="2"/>
  <c r="G67" i="2" s="1"/>
  <c r="E90" i="2"/>
  <c r="G90" i="2" s="1"/>
  <c r="E82" i="2"/>
  <c r="G82" i="2" s="1"/>
  <c r="E74" i="2"/>
  <c r="G74" i="2" s="1"/>
  <c r="E66" i="2"/>
  <c r="G66" i="2" s="1"/>
  <c r="E6" i="2"/>
  <c r="G6" i="2" s="1"/>
  <c r="E45" i="2"/>
  <c r="G45" i="2" s="1"/>
  <c r="E29" i="2"/>
  <c r="G29" i="2" s="1"/>
  <c r="E21" i="2"/>
  <c r="G21" i="2" s="1"/>
  <c r="E52" i="2"/>
  <c r="G52" i="2" s="1"/>
  <c r="E44" i="2"/>
  <c r="G44" i="2" s="1"/>
  <c r="E36" i="2"/>
  <c r="G36" i="2" s="1"/>
  <c r="E28" i="2"/>
  <c r="G28" i="2" s="1"/>
  <c r="E20" i="2"/>
  <c r="G20" i="2" s="1"/>
  <c r="E12" i="2"/>
  <c r="G12" i="2" s="1"/>
  <c r="E53" i="2"/>
  <c r="G53" i="2" s="1"/>
  <c r="E37" i="2"/>
  <c r="G37" i="2" s="1"/>
  <c r="E13" i="2"/>
  <c r="G13" i="2" s="1"/>
  <c r="E11" i="2"/>
  <c r="G11" i="2" s="1"/>
  <c r="E50" i="2"/>
  <c r="G50" i="2" s="1"/>
  <c r="E57" i="2"/>
  <c r="G57" i="2" s="1"/>
  <c r="E49" i="2"/>
  <c r="G49" i="2" s="1"/>
  <c r="E41" i="2"/>
  <c r="G41" i="2" s="1"/>
  <c r="E33" i="2"/>
  <c r="G33" i="2" s="1"/>
  <c r="E25" i="2"/>
  <c r="G25" i="2" s="1"/>
  <c r="E17" i="2"/>
  <c r="G17" i="2" s="1"/>
  <c r="E9" i="2"/>
  <c r="G9" i="2" s="1"/>
  <c r="E34" i="2"/>
  <c r="G34" i="2" s="1"/>
  <c r="E18" i="2"/>
  <c r="G18" i="2" s="1"/>
  <c r="E56" i="2"/>
  <c r="G56" i="2" s="1"/>
  <c r="E48" i="2"/>
  <c r="G48" i="2" s="1"/>
  <c r="E40" i="2"/>
  <c r="G40" i="2" s="1"/>
  <c r="E32" i="2"/>
  <c r="G32" i="2" s="1"/>
  <c r="E24" i="2"/>
  <c r="G24" i="2" s="1"/>
  <c r="E16" i="2"/>
  <c r="G16" i="2" s="1"/>
  <c r="E8" i="2"/>
  <c r="G8" i="2" s="1"/>
  <c r="E58" i="2"/>
  <c r="G58" i="2" s="1"/>
  <c r="E42" i="2"/>
  <c r="G42" i="2" s="1"/>
  <c r="E26" i="2"/>
  <c r="G26" i="2" s="1"/>
  <c r="E10" i="2"/>
  <c r="G10" i="2" s="1"/>
  <c r="E55" i="2"/>
  <c r="G55" i="2" s="1"/>
  <c r="E39" i="2"/>
  <c r="G39" i="2" s="1"/>
  <c r="E23" i="2"/>
  <c r="G23" i="2" s="1"/>
  <c r="E7" i="2"/>
  <c r="G7" i="2" s="1"/>
  <c r="E5" i="2"/>
  <c r="G5" i="2" s="1"/>
  <c r="G104" i="2"/>
  <c r="G96" i="2"/>
  <c r="G103" i="2"/>
  <c r="G100" i="2"/>
  <c r="G92" i="2"/>
  <c r="G60" i="2"/>
  <c r="G98" i="2"/>
  <c r="K93" i="50"/>
  <c r="M35" i="2" s="1"/>
  <c r="S35" i="2" s="1"/>
  <c r="U35" i="2" s="1"/>
  <c r="N90" i="50"/>
  <c r="K93" i="49"/>
  <c r="M34" i="2" s="1"/>
  <c r="S34" i="2" s="1"/>
  <c r="U34" i="2" s="1"/>
  <c r="N90" i="49"/>
  <c r="K93" i="47"/>
  <c r="M32" i="2" s="1"/>
  <c r="N90" i="46"/>
  <c r="K93" i="44"/>
  <c r="M29" i="2" s="1"/>
  <c r="M4" i="44"/>
  <c r="N90" i="44" s="1"/>
  <c r="N90" i="43"/>
  <c r="K93" i="42"/>
  <c r="M27" i="2" s="1"/>
  <c r="S27" i="2" s="1"/>
  <c r="U27" i="2" s="1"/>
  <c r="N90" i="42"/>
  <c r="N90" i="41"/>
  <c r="N90" i="40"/>
  <c r="N90" i="38"/>
  <c r="K93" i="38"/>
  <c r="M23" i="2" s="1"/>
  <c r="M82" i="33"/>
  <c r="K93" i="7"/>
  <c r="K93" i="12"/>
  <c r="K93" i="32"/>
  <c r="M19" i="2" s="1"/>
  <c r="K93" i="13"/>
  <c r="M18" i="2" s="1"/>
  <c r="N90" i="32"/>
  <c r="N90" i="13"/>
  <c r="N90" i="12"/>
  <c r="K93" i="11"/>
  <c r="M16" i="2" s="1"/>
  <c r="S16" i="2" s="1"/>
  <c r="U16" i="2" s="1"/>
  <c r="M4" i="11"/>
  <c r="N90" i="11" s="1"/>
  <c r="M83" i="30"/>
  <c r="M83" i="10"/>
  <c r="M83" i="9"/>
  <c r="N82" i="8"/>
  <c r="K93" i="8"/>
  <c r="M11" i="2" s="1"/>
  <c r="S11" i="2" s="1"/>
  <c r="U11" i="2" s="1"/>
  <c r="M4" i="7"/>
  <c r="M83" i="6"/>
  <c r="M83" i="28"/>
  <c r="K93" i="37"/>
  <c r="M6" i="2" s="1"/>
  <c r="N90" i="37"/>
  <c r="J88" i="14"/>
  <c r="M88" i="14" s="1"/>
  <c r="J87" i="14"/>
  <c r="M87" i="14" s="1"/>
  <c r="J83" i="14"/>
  <c r="M83" i="14" s="1"/>
  <c r="J85" i="14"/>
  <c r="M85" i="14" s="1"/>
  <c r="J86" i="14"/>
  <c r="M86" i="14" s="1"/>
  <c r="J81" i="33"/>
  <c r="M81" i="33" s="1"/>
  <c r="J80" i="33"/>
  <c r="M80" i="33" s="1"/>
  <c r="J79" i="33"/>
  <c r="M79" i="33" s="1"/>
  <c r="J78" i="33"/>
  <c r="M78" i="33" s="1"/>
  <c r="J77" i="33"/>
  <c r="M77" i="33" s="1"/>
  <c r="J76" i="33"/>
  <c r="M76" i="33" s="1"/>
  <c r="J75" i="33"/>
  <c r="M75" i="33" s="1"/>
  <c r="J74" i="33"/>
  <c r="M74" i="33" s="1"/>
  <c r="J73" i="33"/>
  <c r="M73" i="33" s="1"/>
  <c r="J72" i="33"/>
  <c r="M72" i="33" s="1"/>
  <c r="J71" i="33"/>
  <c r="M71" i="33" s="1"/>
  <c r="J70" i="33"/>
  <c r="M70" i="33" s="1"/>
  <c r="J69" i="33"/>
  <c r="M69" i="33" s="1"/>
  <c r="J68" i="33"/>
  <c r="M68" i="33" s="1"/>
  <c r="J67" i="33"/>
  <c r="M67" i="33" s="1"/>
  <c r="J66" i="33"/>
  <c r="M66" i="33" s="1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J81" i="15"/>
  <c r="M81" i="15" s="1"/>
  <c r="J80" i="15"/>
  <c r="M80" i="15" s="1"/>
  <c r="J79" i="15"/>
  <c r="M79" i="15" s="1"/>
  <c r="J78" i="15"/>
  <c r="M78" i="15" s="1"/>
  <c r="J77" i="15"/>
  <c r="M77" i="15" s="1"/>
  <c r="J76" i="15"/>
  <c r="M76" i="15" s="1"/>
  <c r="J75" i="15"/>
  <c r="M75" i="15" s="1"/>
  <c r="J74" i="15"/>
  <c r="M74" i="15" s="1"/>
  <c r="J73" i="15"/>
  <c r="M73" i="15" s="1"/>
  <c r="J72" i="15"/>
  <c r="M72" i="15" s="1"/>
  <c r="J71" i="15"/>
  <c r="M71" i="15" s="1"/>
  <c r="J70" i="15"/>
  <c r="M70" i="15" s="1"/>
  <c r="J69" i="15"/>
  <c r="M69" i="15" s="1"/>
  <c r="J68" i="15"/>
  <c r="M68" i="15" s="1"/>
  <c r="J67" i="15"/>
  <c r="M67" i="15" s="1"/>
  <c r="J66" i="15"/>
  <c r="M66" i="15" s="1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J82" i="14"/>
  <c r="J81" i="14"/>
  <c r="M81" i="14" s="1"/>
  <c r="J80" i="14"/>
  <c r="M80" i="14" s="1"/>
  <c r="J79" i="14"/>
  <c r="M79" i="14" s="1"/>
  <c r="J78" i="14"/>
  <c r="M78" i="14" s="1"/>
  <c r="J77" i="14"/>
  <c r="M77" i="14" s="1"/>
  <c r="J76" i="14"/>
  <c r="M76" i="14" s="1"/>
  <c r="J75" i="14"/>
  <c r="M75" i="14" s="1"/>
  <c r="J74" i="14"/>
  <c r="M74" i="14" s="1"/>
  <c r="J73" i="14"/>
  <c r="M73" i="14" s="1"/>
  <c r="J72" i="14"/>
  <c r="M72" i="14" s="1"/>
  <c r="J71" i="14"/>
  <c r="M71" i="14" s="1"/>
  <c r="J70" i="14"/>
  <c r="M70" i="14" s="1"/>
  <c r="J69" i="14"/>
  <c r="M69" i="14" s="1"/>
  <c r="J68" i="14"/>
  <c r="M68" i="14" s="1"/>
  <c r="J67" i="14"/>
  <c r="M67" i="14" s="1"/>
  <c r="J66" i="14"/>
  <c r="M66" i="14" s="1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E81" i="36"/>
  <c r="G81" i="36" s="1"/>
  <c r="C81" i="37" s="1"/>
  <c r="E76" i="36"/>
  <c r="G76" i="36" s="1"/>
  <c r="C76" i="37" s="1"/>
  <c r="E79" i="36"/>
  <c r="G79" i="36" s="1"/>
  <c r="C79" i="37" s="1"/>
  <c r="E78" i="36"/>
  <c r="G78" i="36" s="1"/>
  <c r="C78" i="37" s="1"/>
  <c r="E77" i="36"/>
  <c r="G77" i="36" s="1"/>
  <c r="C77" i="37" s="1"/>
  <c r="E75" i="36"/>
  <c r="G75" i="36" s="1"/>
  <c r="C75" i="37" s="1"/>
  <c r="E74" i="36"/>
  <c r="G74" i="36" s="1"/>
  <c r="C74" i="37" s="1"/>
  <c r="E73" i="36"/>
  <c r="G73" i="36" s="1"/>
  <c r="C73" i="37" s="1"/>
  <c r="E72" i="36"/>
  <c r="G72" i="36" s="1"/>
  <c r="C72" i="37" s="1"/>
  <c r="E71" i="36"/>
  <c r="G71" i="36" s="1"/>
  <c r="C71" i="37" s="1"/>
  <c r="E70" i="36"/>
  <c r="G70" i="36" s="1"/>
  <c r="C70" i="37" s="1"/>
  <c r="E69" i="36"/>
  <c r="G69" i="36" s="1"/>
  <c r="C69" i="37" s="1"/>
  <c r="E68" i="36"/>
  <c r="G68" i="36" s="1"/>
  <c r="C68" i="37" s="1"/>
  <c r="E67" i="36"/>
  <c r="G67" i="36" s="1"/>
  <c r="C67" i="37" s="1"/>
  <c r="E66" i="36"/>
  <c r="G66" i="36" s="1"/>
  <c r="C66" i="37" s="1"/>
  <c r="E65" i="36"/>
  <c r="G65" i="36" s="1"/>
  <c r="C65" i="37" s="1"/>
  <c r="E64" i="36"/>
  <c r="G64" i="36" s="1"/>
  <c r="C64" i="37" s="1"/>
  <c r="E63" i="36"/>
  <c r="G63" i="36" s="1"/>
  <c r="C63" i="37" s="1"/>
  <c r="E62" i="36"/>
  <c r="G62" i="36" s="1"/>
  <c r="C62" i="37" s="1"/>
  <c r="E61" i="36"/>
  <c r="G61" i="36" s="1"/>
  <c r="C61" i="37" s="1"/>
  <c r="E60" i="36"/>
  <c r="G60" i="36" s="1"/>
  <c r="C60" i="37" s="1"/>
  <c r="E58" i="28"/>
  <c r="G58" i="28" s="1"/>
  <c r="C58" i="5" s="1"/>
  <c r="E57" i="28"/>
  <c r="G57" i="28" s="1"/>
  <c r="C57" i="5" s="1"/>
  <c r="E56" i="28"/>
  <c r="G56" i="28" s="1"/>
  <c r="C56" i="5" s="1"/>
  <c r="E55" i="28"/>
  <c r="G55" i="28" s="1"/>
  <c r="C55" i="5" s="1"/>
  <c r="E54" i="28"/>
  <c r="G54" i="28" s="1"/>
  <c r="C54" i="5" s="1"/>
  <c r="E53" i="28"/>
  <c r="G53" i="28" s="1"/>
  <c r="C53" i="5" s="1"/>
  <c r="E52" i="28"/>
  <c r="G52" i="28" s="1"/>
  <c r="C52" i="5" s="1"/>
  <c r="E51" i="28"/>
  <c r="G51" i="28" s="1"/>
  <c r="C51" i="5" s="1"/>
  <c r="E50" i="28"/>
  <c r="G50" i="28" s="1"/>
  <c r="C50" i="5" s="1"/>
  <c r="E49" i="28"/>
  <c r="G49" i="28" s="1"/>
  <c r="C49" i="5" s="1"/>
  <c r="E48" i="28"/>
  <c r="G48" i="28" s="1"/>
  <c r="C48" i="5" s="1"/>
  <c r="E47" i="28"/>
  <c r="G47" i="28" s="1"/>
  <c r="C47" i="5" s="1"/>
  <c r="E46" i="28"/>
  <c r="G46" i="28" s="1"/>
  <c r="C46" i="5" s="1"/>
  <c r="E45" i="28"/>
  <c r="G45" i="28" s="1"/>
  <c r="C45" i="5" s="1"/>
  <c r="E44" i="28"/>
  <c r="G44" i="28" s="1"/>
  <c r="C44" i="5" s="1"/>
  <c r="E43" i="28"/>
  <c r="G43" i="28" s="1"/>
  <c r="C43" i="5" s="1"/>
  <c r="E42" i="28"/>
  <c r="G42" i="28" s="1"/>
  <c r="C42" i="5" s="1"/>
  <c r="E41" i="28"/>
  <c r="G41" i="28" s="1"/>
  <c r="C41" i="5" s="1"/>
  <c r="E40" i="28"/>
  <c r="G40" i="28" s="1"/>
  <c r="C40" i="5" s="1"/>
  <c r="E39" i="28"/>
  <c r="G39" i="28" s="1"/>
  <c r="C39" i="5" s="1"/>
  <c r="E38" i="28"/>
  <c r="G38" i="28" s="1"/>
  <c r="C38" i="5" s="1"/>
  <c r="E37" i="28"/>
  <c r="G37" i="28" s="1"/>
  <c r="C37" i="5" s="1"/>
  <c r="E36" i="28"/>
  <c r="G36" i="28" s="1"/>
  <c r="C36" i="5" s="1"/>
  <c r="E35" i="28"/>
  <c r="G35" i="28" s="1"/>
  <c r="C35" i="5" s="1"/>
  <c r="E34" i="28"/>
  <c r="G34" i="28" s="1"/>
  <c r="C34" i="5" s="1"/>
  <c r="E33" i="28"/>
  <c r="G33" i="28" s="1"/>
  <c r="C33" i="5" s="1"/>
  <c r="E32" i="28"/>
  <c r="G32" i="28" s="1"/>
  <c r="C32" i="5" s="1"/>
  <c r="E31" i="28"/>
  <c r="G31" i="28" s="1"/>
  <c r="C31" i="5" s="1"/>
  <c r="E30" i="28"/>
  <c r="G30" i="28" s="1"/>
  <c r="C30" i="5" s="1"/>
  <c r="E29" i="28"/>
  <c r="G29" i="28" s="1"/>
  <c r="C29" i="5" s="1"/>
  <c r="E28" i="28"/>
  <c r="G28" i="28" s="1"/>
  <c r="C28" i="5" s="1"/>
  <c r="E27" i="28"/>
  <c r="G27" i="28" s="1"/>
  <c r="C27" i="5" s="1"/>
  <c r="E26" i="28"/>
  <c r="G26" i="28" s="1"/>
  <c r="C26" i="5" s="1"/>
  <c r="E25" i="28"/>
  <c r="G25" i="28" s="1"/>
  <c r="C25" i="5" s="1"/>
  <c r="E24" i="28"/>
  <c r="G24" i="28" s="1"/>
  <c r="C24" i="5" s="1"/>
  <c r="E23" i="28"/>
  <c r="G23" i="28" s="1"/>
  <c r="C23" i="5" s="1"/>
  <c r="E22" i="28"/>
  <c r="G22" i="28" s="1"/>
  <c r="C22" i="5" s="1"/>
  <c r="E21" i="28"/>
  <c r="G21" i="28" s="1"/>
  <c r="C21" i="5" s="1"/>
  <c r="E20" i="28"/>
  <c r="G20" i="28" s="1"/>
  <c r="C20" i="5" s="1"/>
  <c r="E19" i="28"/>
  <c r="G19" i="28" s="1"/>
  <c r="C19" i="5" s="1"/>
  <c r="E18" i="28"/>
  <c r="G18" i="28" s="1"/>
  <c r="C18" i="5" s="1"/>
  <c r="E17" i="28"/>
  <c r="G17" i="28" s="1"/>
  <c r="C17" i="5" s="1"/>
  <c r="E16" i="28"/>
  <c r="G16" i="28" s="1"/>
  <c r="C16" i="5" s="1"/>
  <c r="E15" i="28"/>
  <c r="G15" i="28" s="1"/>
  <c r="C15" i="5" s="1"/>
  <c r="E14" i="28"/>
  <c r="G14" i="28" s="1"/>
  <c r="C14" i="5" s="1"/>
  <c r="E13" i="28"/>
  <c r="G13" i="28" s="1"/>
  <c r="C13" i="5" s="1"/>
  <c r="E12" i="28"/>
  <c r="G12" i="28" s="1"/>
  <c r="C12" i="5" s="1"/>
  <c r="E11" i="28"/>
  <c r="G11" i="28" s="1"/>
  <c r="C11" i="5" s="1"/>
  <c r="E10" i="28"/>
  <c r="G10" i="28" s="1"/>
  <c r="C10" i="5" s="1"/>
  <c r="E9" i="28"/>
  <c r="G9" i="28" s="1"/>
  <c r="C9" i="5" s="1"/>
  <c r="E8" i="28"/>
  <c r="G8" i="28" s="1"/>
  <c r="C8" i="5" s="1"/>
  <c r="E7" i="28"/>
  <c r="G7" i="28" s="1"/>
  <c r="C7" i="5" s="1"/>
  <c r="E6" i="28"/>
  <c r="G6" i="28" s="1"/>
  <c r="C6" i="5" s="1"/>
  <c r="E5" i="28"/>
  <c r="G5" i="28" s="1"/>
  <c r="C5" i="5" s="1"/>
  <c r="E4" i="28"/>
  <c r="G4" i="28" s="1"/>
  <c r="J82" i="30"/>
  <c r="M82" i="30" s="1"/>
  <c r="J81" i="30"/>
  <c r="M81" i="30" s="1"/>
  <c r="J80" i="30"/>
  <c r="M80" i="30" s="1"/>
  <c r="J79" i="30"/>
  <c r="M79" i="30" s="1"/>
  <c r="J78" i="30"/>
  <c r="M78" i="30" s="1"/>
  <c r="J77" i="30"/>
  <c r="M77" i="30" s="1"/>
  <c r="J76" i="30"/>
  <c r="M76" i="30" s="1"/>
  <c r="J75" i="30"/>
  <c r="M75" i="30" s="1"/>
  <c r="J74" i="30"/>
  <c r="M74" i="30" s="1"/>
  <c r="J73" i="30"/>
  <c r="M73" i="30" s="1"/>
  <c r="J72" i="30"/>
  <c r="M72" i="30" s="1"/>
  <c r="J71" i="30"/>
  <c r="M71" i="30" s="1"/>
  <c r="J70" i="30"/>
  <c r="M70" i="30" s="1"/>
  <c r="J69" i="30"/>
  <c r="M69" i="30" s="1"/>
  <c r="J68" i="30"/>
  <c r="M68" i="30" s="1"/>
  <c r="J67" i="30"/>
  <c r="J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J82" i="29"/>
  <c r="M82" i="29" s="1"/>
  <c r="J81" i="29"/>
  <c r="M81" i="29" s="1"/>
  <c r="J80" i="29"/>
  <c r="M80" i="29" s="1"/>
  <c r="J79" i="29"/>
  <c r="M79" i="29" s="1"/>
  <c r="J78" i="29"/>
  <c r="M78" i="29" s="1"/>
  <c r="J77" i="29"/>
  <c r="M77" i="29" s="1"/>
  <c r="J76" i="29"/>
  <c r="M76" i="29" s="1"/>
  <c r="J75" i="29"/>
  <c r="M75" i="29" s="1"/>
  <c r="J74" i="29"/>
  <c r="M74" i="29" s="1"/>
  <c r="J73" i="29"/>
  <c r="M73" i="29" s="1"/>
  <c r="J72" i="29"/>
  <c r="M72" i="29" s="1"/>
  <c r="J71" i="29"/>
  <c r="M71" i="29" s="1"/>
  <c r="J70" i="29"/>
  <c r="M70" i="29" s="1"/>
  <c r="J69" i="29"/>
  <c r="M69" i="29" s="1"/>
  <c r="J68" i="29"/>
  <c r="M68" i="29" s="1"/>
  <c r="J67" i="29"/>
  <c r="M67" i="29" s="1"/>
  <c r="J66" i="29"/>
  <c r="M66" i="29" s="1"/>
  <c r="J65" i="29"/>
  <c r="M65" i="29" s="1"/>
  <c r="J64" i="29"/>
  <c r="M64" i="29" s="1"/>
  <c r="J63" i="29"/>
  <c r="M63" i="29" s="1"/>
  <c r="J62" i="29"/>
  <c r="M62" i="29" s="1"/>
  <c r="J61" i="29"/>
  <c r="M61" i="29" s="1"/>
  <c r="J60" i="29"/>
  <c r="M60" i="29" s="1"/>
  <c r="J59" i="29"/>
  <c r="M59" i="29" s="1"/>
  <c r="M58" i="29"/>
  <c r="M57" i="29"/>
  <c r="M56" i="29"/>
  <c r="M55" i="29"/>
  <c r="M54" i="29"/>
  <c r="M53" i="29"/>
  <c r="M52" i="29"/>
  <c r="M51" i="29"/>
  <c r="M50" i="29"/>
  <c r="M49" i="29"/>
  <c r="M48" i="29"/>
  <c r="M47" i="29"/>
  <c r="M46" i="29"/>
  <c r="M45" i="29"/>
  <c r="M44" i="29"/>
  <c r="M43" i="29"/>
  <c r="M42" i="29"/>
  <c r="M41" i="29"/>
  <c r="M40" i="29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M6" i="29"/>
  <c r="M5" i="29"/>
  <c r="M4" i="29"/>
  <c r="J82" i="10"/>
  <c r="M82" i="10" s="1"/>
  <c r="J81" i="10"/>
  <c r="M81" i="10" s="1"/>
  <c r="J80" i="10"/>
  <c r="M80" i="10" s="1"/>
  <c r="J79" i="10"/>
  <c r="M79" i="10" s="1"/>
  <c r="J78" i="10"/>
  <c r="M78" i="10" s="1"/>
  <c r="J77" i="10"/>
  <c r="M77" i="10" s="1"/>
  <c r="J76" i="10"/>
  <c r="M76" i="10" s="1"/>
  <c r="J75" i="10"/>
  <c r="M75" i="10" s="1"/>
  <c r="J74" i="10"/>
  <c r="M74" i="10" s="1"/>
  <c r="J73" i="10"/>
  <c r="M73" i="10" s="1"/>
  <c r="J72" i="10"/>
  <c r="M72" i="10" s="1"/>
  <c r="J71" i="10"/>
  <c r="M71" i="10" s="1"/>
  <c r="J70" i="10"/>
  <c r="M70" i="10" s="1"/>
  <c r="J69" i="10"/>
  <c r="M69" i="10" s="1"/>
  <c r="J68" i="10"/>
  <c r="M68" i="10" s="1"/>
  <c r="J67" i="10"/>
  <c r="M67" i="10" s="1"/>
  <c r="J66" i="10"/>
  <c r="M66" i="10" s="1"/>
  <c r="J82" i="9"/>
  <c r="M82" i="9" s="1"/>
  <c r="J81" i="9"/>
  <c r="M81" i="9" s="1"/>
  <c r="J80" i="9"/>
  <c r="M80" i="9" s="1"/>
  <c r="J79" i="9"/>
  <c r="M79" i="9" s="1"/>
  <c r="J78" i="9"/>
  <c r="M78" i="9" s="1"/>
  <c r="J77" i="9"/>
  <c r="M77" i="9" s="1"/>
  <c r="J76" i="9"/>
  <c r="M76" i="9" s="1"/>
  <c r="J75" i="9"/>
  <c r="M75" i="9" s="1"/>
  <c r="J74" i="9"/>
  <c r="M74" i="9" s="1"/>
  <c r="J73" i="9"/>
  <c r="M73" i="9" s="1"/>
  <c r="J72" i="9"/>
  <c r="M72" i="9" s="1"/>
  <c r="J71" i="9"/>
  <c r="M71" i="9" s="1"/>
  <c r="J70" i="9"/>
  <c r="M70" i="9" s="1"/>
  <c r="J69" i="9"/>
  <c r="M69" i="9" s="1"/>
  <c r="J68" i="9"/>
  <c r="M68" i="9" s="1"/>
  <c r="J67" i="9"/>
  <c r="M67" i="9" s="1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J82" i="6"/>
  <c r="M82" i="6" s="1"/>
  <c r="J81" i="6"/>
  <c r="M81" i="6" s="1"/>
  <c r="J80" i="6"/>
  <c r="M80" i="6" s="1"/>
  <c r="J79" i="6"/>
  <c r="M79" i="6" s="1"/>
  <c r="J78" i="6"/>
  <c r="M78" i="6" s="1"/>
  <c r="J77" i="6"/>
  <c r="M77" i="6" s="1"/>
  <c r="J76" i="6"/>
  <c r="M76" i="6" s="1"/>
  <c r="J75" i="6"/>
  <c r="M75" i="6" s="1"/>
  <c r="J74" i="6"/>
  <c r="M74" i="6" s="1"/>
  <c r="J73" i="6"/>
  <c r="M73" i="6" s="1"/>
  <c r="J72" i="6"/>
  <c r="M72" i="6" s="1"/>
  <c r="J71" i="6"/>
  <c r="M71" i="6" s="1"/>
  <c r="J70" i="6"/>
  <c r="M70" i="6" s="1"/>
  <c r="J69" i="6"/>
  <c r="M69" i="6" s="1"/>
  <c r="J68" i="6"/>
  <c r="M68" i="6" s="1"/>
  <c r="J67" i="6"/>
  <c r="M67" i="6" s="1"/>
  <c r="J66" i="6"/>
  <c r="M66" i="6" s="1"/>
  <c r="J65" i="6"/>
  <c r="M65" i="6" s="1"/>
  <c r="J64" i="6"/>
  <c r="M64" i="6" s="1"/>
  <c r="J63" i="6"/>
  <c r="M63" i="6" s="1"/>
  <c r="J62" i="6"/>
  <c r="M62" i="6" s="1"/>
  <c r="J61" i="6"/>
  <c r="M61" i="6" s="1"/>
  <c r="J60" i="6"/>
  <c r="M60" i="6" s="1"/>
  <c r="J59" i="6"/>
  <c r="M59" i="6" s="1"/>
  <c r="J82" i="5"/>
  <c r="M82" i="5" s="1"/>
  <c r="J81" i="5"/>
  <c r="M81" i="5" s="1"/>
  <c r="J80" i="5"/>
  <c r="M80" i="5" s="1"/>
  <c r="J79" i="5"/>
  <c r="M79" i="5" s="1"/>
  <c r="J78" i="5"/>
  <c r="M78" i="5" s="1"/>
  <c r="J77" i="5"/>
  <c r="M77" i="5" s="1"/>
  <c r="J76" i="5"/>
  <c r="M76" i="5" s="1"/>
  <c r="J75" i="5"/>
  <c r="M75" i="5" s="1"/>
  <c r="J74" i="5"/>
  <c r="M74" i="5" s="1"/>
  <c r="J73" i="5"/>
  <c r="M73" i="5" s="1"/>
  <c r="J72" i="5"/>
  <c r="M72" i="5" s="1"/>
  <c r="J71" i="5"/>
  <c r="M71" i="5" s="1"/>
  <c r="J70" i="5"/>
  <c r="M70" i="5" s="1"/>
  <c r="J69" i="5"/>
  <c r="M69" i="5" s="1"/>
  <c r="J68" i="5"/>
  <c r="M68" i="5" s="1"/>
  <c r="J67" i="5"/>
  <c r="M67" i="5" s="1"/>
  <c r="J66" i="5"/>
  <c r="M66" i="5" s="1"/>
  <c r="J65" i="5"/>
  <c r="M65" i="5" s="1"/>
  <c r="J64" i="5"/>
  <c r="M64" i="5" s="1"/>
  <c r="J63" i="5"/>
  <c r="M63" i="5" s="1"/>
  <c r="J62" i="5"/>
  <c r="M62" i="5" s="1"/>
  <c r="J61" i="5"/>
  <c r="M61" i="5" s="1"/>
  <c r="J60" i="5"/>
  <c r="M60" i="5" s="1"/>
  <c r="J59" i="5"/>
  <c r="M59" i="5" s="1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J82" i="28"/>
  <c r="M82" i="28" s="1"/>
  <c r="J81" i="28"/>
  <c r="M81" i="28" s="1"/>
  <c r="J80" i="28"/>
  <c r="M80" i="28" s="1"/>
  <c r="J79" i="28"/>
  <c r="M79" i="28" s="1"/>
  <c r="J78" i="28"/>
  <c r="M78" i="28" s="1"/>
  <c r="J77" i="28"/>
  <c r="M77" i="28" s="1"/>
  <c r="J76" i="28"/>
  <c r="M76" i="28" s="1"/>
  <c r="J75" i="28"/>
  <c r="M75" i="28" s="1"/>
  <c r="J74" i="28"/>
  <c r="M74" i="28" s="1"/>
  <c r="J73" i="28"/>
  <c r="M73" i="28" s="1"/>
  <c r="J72" i="28"/>
  <c r="M72" i="28" s="1"/>
  <c r="J71" i="28"/>
  <c r="M71" i="28" s="1"/>
  <c r="J70" i="28"/>
  <c r="M70" i="28" s="1"/>
  <c r="J69" i="28"/>
  <c r="M69" i="28" s="1"/>
  <c r="J68" i="28"/>
  <c r="M68" i="28" s="1"/>
  <c r="J67" i="28"/>
  <c r="M67" i="28" s="1"/>
  <c r="J66" i="28"/>
  <c r="M66" i="28" s="1"/>
  <c r="J65" i="28"/>
  <c r="M65" i="28" s="1"/>
  <c r="J64" i="28"/>
  <c r="M64" i="28" s="1"/>
  <c r="J63" i="28"/>
  <c r="M63" i="28" s="1"/>
  <c r="J62" i="28"/>
  <c r="M62" i="28" s="1"/>
  <c r="J61" i="28"/>
  <c r="M61" i="28" s="1"/>
  <c r="J60" i="28"/>
  <c r="M60" i="28" s="1"/>
  <c r="J59" i="28"/>
  <c r="M59" i="28" s="1"/>
  <c r="M58" i="28"/>
  <c r="M57" i="28"/>
  <c r="M56" i="28"/>
  <c r="M55" i="28"/>
  <c r="M54" i="28"/>
  <c r="M53" i="28"/>
  <c r="M52" i="28"/>
  <c r="M51" i="28"/>
  <c r="M50" i="28"/>
  <c r="M49" i="28"/>
  <c r="M48" i="28"/>
  <c r="M47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S29" i="2" l="1"/>
  <c r="U29" i="2" s="1"/>
  <c r="J74" i="2"/>
  <c r="S30" i="2"/>
  <c r="U30" i="2" s="1"/>
  <c r="J72" i="2"/>
  <c r="J73" i="2"/>
  <c r="J70" i="2"/>
  <c r="J71" i="2"/>
  <c r="J68" i="2"/>
  <c r="J69" i="2"/>
  <c r="G86" i="37"/>
  <c r="G85" i="37"/>
  <c r="G87" i="37"/>
  <c r="G89" i="37"/>
  <c r="G83" i="37"/>
  <c r="G88" i="37"/>
  <c r="G84" i="37"/>
  <c r="G59" i="37"/>
  <c r="G90" i="37"/>
  <c r="S19" i="2"/>
  <c r="U19" i="2" s="1"/>
  <c r="N90" i="48"/>
  <c r="S25" i="2"/>
  <c r="U25" i="2" s="1"/>
  <c r="S24" i="2"/>
  <c r="U24" i="2" s="1"/>
  <c r="J61" i="2"/>
  <c r="J60" i="2"/>
  <c r="J64" i="2"/>
  <c r="J62" i="2"/>
  <c r="J65" i="2"/>
  <c r="J63" i="2"/>
  <c r="J66" i="2"/>
  <c r="J67" i="2"/>
  <c r="N90" i="36"/>
  <c r="K99" i="41"/>
  <c r="K102" i="41" s="1"/>
  <c r="K99" i="39"/>
  <c r="K101" i="39" s="1"/>
  <c r="K104" i="39" s="1"/>
  <c r="K99" i="13"/>
  <c r="K101" i="13" s="1"/>
  <c r="K104" i="13" s="1"/>
  <c r="M67" i="30"/>
  <c r="M66" i="30"/>
  <c r="S28" i="2"/>
  <c r="U28" i="2" s="1"/>
  <c r="S23" i="2"/>
  <c r="U23" i="2" s="1"/>
  <c r="K93" i="15"/>
  <c r="K99" i="15" s="1"/>
  <c r="K101" i="15" s="1"/>
  <c r="K104" i="15" s="1"/>
  <c r="N82" i="7"/>
  <c r="E74" i="37"/>
  <c r="E67" i="37"/>
  <c r="E75" i="37"/>
  <c r="E73" i="37"/>
  <c r="E60" i="37"/>
  <c r="E68" i="37"/>
  <c r="E77" i="37"/>
  <c r="E65" i="37"/>
  <c r="E66" i="37"/>
  <c r="E61" i="37"/>
  <c r="E69" i="37"/>
  <c r="E78" i="37"/>
  <c r="E62" i="37"/>
  <c r="E70" i="37"/>
  <c r="E79" i="37"/>
  <c r="E63" i="37"/>
  <c r="E71" i="37"/>
  <c r="E76" i="37"/>
  <c r="E64" i="37"/>
  <c r="E72" i="37"/>
  <c r="E81" i="37"/>
  <c r="N90" i="47"/>
  <c r="K99" i="48"/>
  <c r="K101" i="48" s="1"/>
  <c r="K104" i="48" s="1"/>
  <c r="S32" i="2"/>
  <c r="U32" i="2" s="1"/>
  <c r="K99" i="40"/>
  <c r="K101" i="40" s="1"/>
  <c r="K104" i="40" s="1"/>
  <c r="S18" i="2"/>
  <c r="U18" i="2" s="1"/>
  <c r="R36" i="2"/>
  <c r="K108" i="2" s="1"/>
  <c r="K99" i="46"/>
  <c r="K101" i="46" s="1"/>
  <c r="K104" i="46" s="1"/>
  <c r="K99" i="45"/>
  <c r="K101" i="45" s="1"/>
  <c r="K104" i="45" s="1"/>
  <c r="K99" i="43"/>
  <c r="K101" i="43" s="1"/>
  <c r="K104" i="43" s="1"/>
  <c r="K99" i="36"/>
  <c r="K101" i="36" s="1"/>
  <c r="K104" i="36" s="1"/>
  <c r="N90" i="33"/>
  <c r="K93" i="33"/>
  <c r="K99" i="32"/>
  <c r="K102" i="32" s="1"/>
  <c r="K99" i="12"/>
  <c r="K102" i="12" s="1"/>
  <c r="M17" i="2"/>
  <c r="S17" i="2" s="1"/>
  <c r="U17" i="2" s="1"/>
  <c r="K99" i="11"/>
  <c r="K93" i="30"/>
  <c r="N90" i="10"/>
  <c r="N90" i="29"/>
  <c r="K99" i="7"/>
  <c r="K102" i="7" s="1"/>
  <c r="M10" i="2"/>
  <c r="S10" i="2" s="1"/>
  <c r="U10" i="2" s="1"/>
  <c r="K99" i="37"/>
  <c r="K102" i="37" s="1"/>
  <c r="S6" i="2"/>
  <c r="U6" i="2" s="1"/>
  <c r="C4" i="5"/>
  <c r="K99" i="50"/>
  <c r="K99" i="49"/>
  <c r="K99" i="47"/>
  <c r="K99" i="44"/>
  <c r="K99" i="42"/>
  <c r="K99" i="38"/>
  <c r="K93" i="28"/>
  <c r="K93" i="6"/>
  <c r="K93" i="29"/>
  <c r="K93" i="9"/>
  <c r="K93" i="10"/>
  <c r="M82" i="14"/>
  <c r="K93" i="14"/>
  <c r="M4" i="14"/>
  <c r="K99" i="8"/>
  <c r="K93" i="5"/>
  <c r="M8" i="2" s="1"/>
  <c r="S8" i="2" s="1"/>
  <c r="U8" i="2" s="1"/>
  <c r="E80" i="36"/>
  <c r="G80" i="36" s="1"/>
  <c r="C80" i="37" s="1"/>
  <c r="E82" i="36"/>
  <c r="G82" i="36" s="1"/>
  <c r="C82" i="37" s="1"/>
  <c r="M4" i="15"/>
  <c r="N90" i="15" s="1"/>
  <c r="M4" i="30"/>
  <c r="M4" i="9"/>
  <c r="N90" i="9" s="1"/>
  <c r="N82" i="6"/>
  <c r="M4" i="5"/>
  <c r="N90" i="5" s="1"/>
  <c r="M4" i="28"/>
  <c r="N90" i="28" s="1"/>
  <c r="C59" i="28" l="1"/>
  <c r="E59" i="28" s="1"/>
  <c r="G59" i="28" s="1"/>
  <c r="C84" i="28"/>
  <c r="E84" i="28" s="1"/>
  <c r="G84" i="28" s="1"/>
  <c r="C84" i="5" s="1"/>
  <c r="E84" i="5" s="1"/>
  <c r="G84" i="5" s="1"/>
  <c r="C84" i="6" s="1"/>
  <c r="C88" i="28"/>
  <c r="E88" i="28" s="1"/>
  <c r="G88" i="28" s="1"/>
  <c r="C88" i="5" s="1"/>
  <c r="E88" i="5" s="1"/>
  <c r="G88" i="5" s="1"/>
  <c r="C88" i="6" s="1"/>
  <c r="N90" i="14"/>
  <c r="C83" i="28"/>
  <c r="E83" i="28" s="1"/>
  <c r="G83" i="28" s="1"/>
  <c r="C83" i="5" s="1"/>
  <c r="E83" i="5" s="1"/>
  <c r="G83" i="5" s="1"/>
  <c r="C83" i="6" s="1"/>
  <c r="C89" i="28"/>
  <c r="E89" i="28" s="1"/>
  <c r="G89" i="28" s="1"/>
  <c r="C89" i="5" s="1"/>
  <c r="E89" i="5" s="1"/>
  <c r="G89" i="5" s="1"/>
  <c r="C89" i="6" s="1"/>
  <c r="E87" i="28"/>
  <c r="G87" i="28" s="1"/>
  <c r="C87" i="5" s="1"/>
  <c r="E87" i="5" s="1"/>
  <c r="G87" i="5" s="1"/>
  <c r="C87" i="6" s="1"/>
  <c r="C87" i="28"/>
  <c r="C85" i="28"/>
  <c r="E85" i="28" s="1"/>
  <c r="G85" i="28" s="1"/>
  <c r="C85" i="5" s="1"/>
  <c r="E85" i="5" s="1"/>
  <c r="G85" i="5" s="1"/>
  <c r="C85" i="6" s="1"/>
  <c r="C86" i="28"/>
  <c r="E86" i="28" s="1"/>
  <c r="G86" i="28" s="1"/>
  <c r="C86" i="5" s="1"/>
  <c r="E86" i="5" s="1"/>
  <c r="G86" i="5" s="1"/>
  <c r="C86" i="6" s="1"/>
  <c r="C90" i="28"/>
  <c r="E90" i="28" s="1"/>
  <c r="G90" i="28" s="1"/>
  <c r="C90" i="5" s="1"/>
  <c r="E90" i="5" s="1"/>
  <c r="G90" i="5" s="1"/>
  <c r="C90" i="6" s="1"/>
  <c r="K101" i="11"/>
  <c r="K104" i="11" s="1"/>
  <c r="G63" i="37"/>
  <c r="G65" i="37"/>
  <c r="G79" i="37"/>
  <c r="G66" i="37"/>
  <c r="G77" i="37"/>
  <c r="G70" i="37"/>
  <c r="G68" i="37"/>
  <c r="G71" i="37"/>
  <c r="G74" i="37"/>
  <c r="G62" i="37"/>
  <c r="G78" i="37"/>
  <c r="G73" i="37"/>
  <c r="G81" i="37"/>
  <c r="G72" i="37"/>
  <c r="G64" i="37"/>
  <c r="G69" i="37"/>
  <c r="G75" i="37"/>
  <c r="G60" i="37"/>
  <c r="G76" i="37"/>
  <c r="G61" i="37"/>
  <c r="G67" i="37"/>
  <c r="K102" i="13"/>
  <c r="N90" i="30"/>
  <c r="K101" i="41"/>
  <c r="K104" i="41" s="1"/>
  <c r="K102" i="46"/>
  <c r="K102" i="39"/>
  <c r="M21" i="2"/>
  <c r="S21" i="2" s="1"/>
  <c r="U21" i="2" s="1"/>
  <c r="K102" i="40"/>
  <c r="K102" i="15"/>
  <c r="K102" i="11"/>
  <c r="J107" i="2"/>
  <c r="J110" i="2" s="1"/>
  <c r="K102" i="36"/>
  <c r="E33" i="5"/>
  <c r="G33" i="5" s="1"/>
  <c r="C33" i="6" s="1"/>
  <c r="E51" i="5"/>
  <c r="G51" i="5" s="1"/>
  <c r="C51" i="6" s="1"/>
  <c r="E55" i="5"/>
  <c r="G55" i="5" s="1"/>
  <c r="C55" i="6" s="1"/>
  <c r="E11" i="5"/>
  <c r="G11" i="5" s="1"/>
  <c r="C11" i="6" s="1"/>
  <c r="E39" i="5"/>
  <c r="G39" i="5" s="1"/>
  <c r="C39" i="6" s="1"/>
  <c r="E35" i="5"/>
  <c r="G35" i="5" s="1"/>
  <c r="C35" i="6" s="1"/>
  <c r="E50" i="5"/>
  <c r="G50" i="5" s="1"/>
  <c r="C50" i="6" s="1"/>
  <c r="E29" i="5"/>
  <c r="G29" i="5" s="1"/>
  <c r="C29" i="6" s="1"/>
  <c r="E47" i="5"/>
  <c r="G47" i="5" s="1"/>
  <c r="C47" i="6" s="1"/>
  <c r="E18" i="5"/>
  <c r="G18" i="5" s="1"/>
  <c r="C18" i="6" s="1"/>
  <c r="E82" i="37"/>
  <c r="E46" i="5"/>
  <c r="G46" i="5" s="1"/>
  <c r="C46" i="6" s="1"/>
  <c r="E57" i="5"/>
  <c r="G57" i="5" s="1"/>
  <c r="C57" i="6" s="1"/>
  <c r="E25" i="5"/>
  <c r="G25" i="5" s="1"/>
  <c r="C25" i="6" s="1"/>
  <c r="E31" i="5"/>
  <c r="G31" i="5" s="1"/>
  <c r="C31" i="6" s="1"/>
  <c r="E52" i="5"/>
  <c r="G52" i="5" s="1"/>
  <c r="C52" i="6" s="1"/>
  <c r="E15" i="5"/>
  <c r="G15" i="5" s="1"/>
  <c r="C15" i="6" s="1"/>
  <c r="E14" i="5"/>
  <c r="G14" i="5" s="1"/>
  <c r="C14" i="6" s="1"/>
  <c r="E43" i="5"/>
  <c r="G43" i="5" s="1"/>
  <c r="C43" i="6" s="1"/>
  <c r="E54" i="5"/>
  <c r="G54" i="5" s="1"/>
  <c r="C54" i="6" s="1"/>
  <c r="E80" i="37"/>
  <c r="E44" i="5"/>
  <c r="G44" i="5" s="1"/>
  <c r="C44" i="6" s="1"/>
  <c r="E53" i="5"/>
  <c r="G53" i="5" s="1"/>
  <c r="C53" i="6" s="1"/>
  <c r="E21" i="5"/>
  <c r="G21" i="5" s="1"/>
  <c r="C21" i="6" s="1"/>
  <c r="E19" i="5"/>
  <c r="G19" i="5" s="1"/>
  <c r="C19" i="6" s="1"/>
  <c r="E40" i="5"/>
  <c r="G40" i="5" s="1"/>
  <c r="C40" i="6" s="1"/>
  <c r="E42" i="5"/>
  <c r="G42" i="5" s="1"/>
  <c r="C42" i="6" s="1"/>
  <c r="E10" i="5"/>
  <c r="G10" i="5" s="1"/>
  <c r="C10" i="6" s="1"/>
  <c r="E32" i="5"/>
  <c r="G32" i="5" s="1"/>
  <c r="C32" i="6" s="1"/>
  <c r="E49" i="5"/>
  <c r="G49" i="5" s="1"/>
  <c r="C49" i="6" s="1"/>
  <c r="E17" i="5"/>
  <c r="G17" i="5" s="1"/>
  <c r="C17" i="6" s="1"/>
  <c r="E7" i="5"/>
  <c r="G7" i="5" s="1"/>
  <c r="C7" i="6" s="1"/>
  <c r="E28" i="5"/>
  <c r="G28" i="5" s="1"/>
  <c r="C28" i="6" s="1"/>
  <c r="E38" i="5"/>
  <c r="G38" i="5" s="1"/>
  <c r="C38" i="6" s="1"/>
  <c r="E6" i="5"/>
  <c r="G6" i="5" s="1"/>
  <c r="C6" i="6" s="1"/>
  <c r="E58" i="5"/>
  <c r="G58" i="5" s="1"/>
  <c r="C58" i="6" s="1"/>
  <c r="E5" i="5"/>
  <c r="G5" i="5" s="1"/>
  <c r="C5" i="6" s="1"/>
  <c r="E23" i="5"/>
  <c r="G23" i="5" s="1"/>
  <c r="C23" i="6" s="1"/>
  <c r="E22" i="5"/>
  <c r="G22" i="5" s="1"/>
  <c r="C22" i="6" s="1"/>
  <c r="E24" i="5"/>
  <c r="G24" i="5" s="1"/>
  <c r="C24" i="6" s="1"/>
  <c r="E45" i="5"/>
  <c r="G45" i="5" s="1"/>
  <c r="C45" i="6" s="1"/>
  <c r="E13" i="5"/>
  <c r="G13" i="5" s="1"/>
  <c r="C13" i="6" s="1"/>
  <c r="E56" i="5"/>
  <c r="G56" i="5" s="1"/>
  <c r="C56" i="6" s="1"/>
  <c r="E20" i="5"/>
  <c r="G20" i="5" s="1"/>
  <c r="C20" i="6" s="1"/>
  <c r="E34" i="5"/>
  <c r="G34" i="5" s="1"/>
  <c r="C34" i="6" s="1"/>
  <c r="E37" i="5"/>
  <c r="G37" i="5" s="1"/>
  <c r="C37" i="6" s="1"/>
  <c r="E36" i="5"/>
  <c r="G36" i="5" s="1"/>
  <c r="C36" i="6" s="1"/>
  <c r="E26" i="5"/>
  <c r="G26" i="5" s="1"/>
  <c r="C26" i="6" s="1"/>
  <c r="E27" i="5"/>
  <c r="G27" i="5" s="1"/>
  <c r="C27" i="6" s="1"/>
  <c r="E16" i="5"/>
  <c r="G16" i="5" s="1"/>
  <c r="C16" i="6" s="1"/>
  <c r="E4" i="5"/>
  <c r="G4" i="5" s="1"/>
  <c r="C4" i="6" s="1"/>
  <c r="E12" i="5"/>
  <c r="G12" i="5" s="1"/>
  <c r="C12" i="6" s="1"/>
  <c r="E41" i="5"/>
  <c r="G41" i="5" s="1"/>
  <c r="C41" i="6" s="1"/>
  <c r="E9" i="5"/>
  <c r="G9" i="5" s="1"/>
  <c r="C9" i="6" s="1"/>
  <c r="E48" i="5"/>
  <c r="G48" i="5" s="1"/>
  <c r="C48" i="6" s="1"/>
  <c r="E8" i="5"/>
  <c r="G8" i="5" s="1"/>
  <c r="C8" i="6" s="1"/>
  <c r="E30" i="5"/>
  <c r="G30" i="5" s="1"/>
  <c r="C30" i="6" s="1"/>
  <c r="K102" i="48"/>
  <c r="K102" i="45"/>
  <c r="K102" i="43"/>
  <c r="K101" i="12"/>
  <c r="K104" i="12" s="1"/>
  <c r="K101" i="32"/>
  <c r="K104" i="32" s="1"/>
  <c r="K101" i="37"/>
  <c r="K104" i="37" s="1"/>
  <c r="K99" i="33"/>
  <c r="M22" i="2"/>
  <c r="S22" i="2" s="1"/>
  <c r="U22" i="2" s="1"/>
  <c r="K99" i="14"/>
  <c r="K102" i="14" s="1"/>
  <c r="M20" i="2"/>
  <c r="S20" i="2" s="1"/>
  <c r="U20" i="2" s="1"/>
  <c r="M15" i="2"/>
  <c r="S15" i="2" s="1"/>
  <c r="U15" i="2" s="1"/>
  <c r="K99" i="30"/>
  <c r="K99" i="10"/>
  <c r="M14" i="2"/>
  <c r="S14" i="2" s="1"/>
  <c r="U14" i="2" s="1"/>
  <c r="K99" i="9"/>
  <c r="M13" i="2"/>
  <c r="S13" i="2" s="1"/>
  <c r="U13" i="2" s="1"/>
  <c r="K99" i="29"/>
  <c r="K102" i="29" s="1"/>
  <c r="M12" i="2"/>
  <c r="S12" i="2" s="1"/>
  <c r="U12" i="2" s="1"/>
  <c r="K101" i="7"/>
  <c r="K104" i="7" s="1"/>
  <c r="K99" i="6"/>
  <c r="M9" i="2"/>
  <c r="S9" i="2" s="1"/>
  <c r="U9" i="2" s="1"/>
  <c r="K99" i="28"/>
  <c r="M7" i="2"/>
  <c r="K102" i="50"/>
  <c r="K101" i="50"/>
  <c r="K104" i="50" s="1"/>
  <c r="K101" i="49"/>
  <c r="K104" i="49" s="1"/>
  <c r="K102" i="49"/>
  <c r="K102" i="47"/>
  <c r="K101" i="47"/>
  <c r="K104" i="47" s="1"/>
  <c r="K102" i="44"/>
  <c r="K101" i="44"/>
  <c r="K104" i="44" s="1"/>
  <c r="K102" i="42"/>
  <c r="K101" i="42"/>
  <c r="K104" i="42" s="1"/>
  <c r="K102" i="38"/>
  <c r="K101" i="38"/>
  <c r="K104" i="38" s="1"/>
  <c r="K101" i="8"/>
  <c r="K104" i="8" s="1"/>
  <c r="K102" i="8"/>
  <c r="K99" i="5"/>
  <c r="C59" i="5" l="1"/>
  <c r="E59" i="5" s="1"/>
  <c r="G59" i="5" s="1"/>
  <c r="C59" i="6" s="1"/>
  <c r="E59" i="6" s="1"/>
  <c r="G59" i="6" s="1"/>
  <c r="C59" i="7" s="1"/>
  <c r="E59" i="7" s="1"/>
  <c r="G59" i="7" s="1"/>
  <c r="C59" i="8" s="1"/>
  <c r="C76" i="28"/>
  <c r="E76" i="28" s="1"/>
  <c r="G76" i="28" s="1"/>
  <c r="C76" i="5" s="1"/>
  <c r="E76" i="5" s="1"/>
  <c r="G76" i="5" s="1"/>
  <c r="C76" i="6" s="1"/>
  <c r="C62" i="28"/>
  <c r="E62" i="28" s="1"/>
  <c r="G62" i="28" s="1"/>
  <c r="C62" i="5" s="1"/>
  <c r="E62" i="5" s="1"/>
  <c r="G62" i="5" s="1"/>
  <c r="C62" i="6" s="1"/>
  <c r="C74" i="28"/>
  <c r="E74" i="28" s="1"/>
  <c r="G74" i="28" s="1"/>
  <c r="C74" i="5" s="1"/>
  <c r="E74" i="5" s="1"/>
  <c r="G74" i="5" s="1"/>
  <c r="C74" i="6" s="1"/>
  <c r="C60" i="28"/>
  <c r="E60" i="28" s="1"/>
  <c r="G60" i="28" s="1"/>
  <c r="C60" i="5" s="1"/>
  <c r="E60" i="5" s="1"/>
  <c r="G60" i="5" s="1"/>
  <c r="C60" i="6" s="1"/>
  <c r="E71" i="28"/>
  <c r="G71" i="28" s="1"/>
  <c r="C71" i="5" s="1"/>
  <c r="E71" i="5" s="1"/>
  <c r="G71" i="5" s="1"/>
  <c r="C71" i="6" s="1"/>
  <c r="C71" i="28"/>
  <c r="C75" i="28"/>
  <c r="E75" i="28" s="1"/>
  <c r="G75" i="28" s="1"/>
  <c r="C75" i="5" s="1"/>
  <c r="E75" i="5" s="1"/>
  <c r="G75" i="5" s="1"/>
  <c r="C75" i="6" s="1"/>
  <c r="C68" i="28"/>
  <c r="E68" i="28" s="1"/>
  <c r="G68" i="28" s="1"/>
  <c r="C70" i="28"/>
  <c r="E70" i="28" s="1"/>
  <c r="G70" i="28" s="1"/>
  <c r="C70" i="5" s="1"/>
  <c r="E70" i="5" s="1"/>
  <c r="G70" i="5" s="1"/>
  <c r="C70" i="6" s="1"/>
  <c r="C64" i="28"/>
  <c r="E64" i="28" s="1"/>
  <c r="G64" i="28" s="1"/>
  <c r="C64" i="5" s="1"/>
  <c r="E64" i="5" s="1"/>
  <c r="G64" i="5" s="1"/>
  <c r="C64" i="6" s="1"/>
  <c r="C77" i="28"/>
  <c r="E77" i="28" s="1"/>
  <c r="G77" i="28" s="1"/>
  <c r="C77" i="5" s="1"/>
  <c r="E77" i="5" s="1"/>
  <c r="G77" i="5" s="1"/>
  <c r="C77" i="6" s="1"/>
  <c r="C69" i="28"/>
  <c r="E69" i="28" s="1"/>
  <c r="G69" i="28" s="1"/>
  <c r="C69" i="5" s="1"/>
  <c r="E69" i="5" s="1"/>
  <c r="G69" i="5" s="1"/>
  <c r="C69" i="6" s="1"/>
  <c r="C72" i="28"/>
  <c r="E72" i="28" s="1"/>
  <c r="G72" i="28" s="1"/>
  <c r="C72" i="5" s="1"/>
  <c r="E72" i="5" s="1"/>
  <c r="G72" i="5" s="1"/>
  <c r="C72" i="6" s="1"/>
  <c r="C66" i="28"/>
  <c r="E66" i="28" s="1"/>
  <c r="G66" i="28" s="1"/>
  <c r="C66" i="5" s="1"/>
  <c r="E66" i="5" s="1"/>
  <c r="G66" i="5" s="1"/>
  <c r="C66" i="6" s="1"/>
  <c r="E81" i="28"/>
  <c r="G81" i="28" s="1"/>
  <c r="C81" i="5" s="1"/>
  <c r="E81" i="5" s="1"/>
  <c r="G81" i="5" s="1"/>
  <c r="C81" i="6" s="1"/>
  <c r="C81" i="28"/>
  <c r="C79" i="28"/>
  <c r="E79" i="28" s="1"/>
  <c r="G79" i="28" s="1"/>
  <c r="C79" i="5" s="1"/>
  <c r="E79" i="5" s="1"/>
  <c r="G79" i="5" s="1"/>
  <c r="C79" i="6" s="1"/>
  <c r="E67" i="28"/>
  <c r="G67" i="28" s="1"/>
  <c r="C67" i="5" s="1"/>
  <c r="E67" i="5" s="1"/>
  <c r="G67" i="5" s="1"/>
  <c r="C67" i="6" s="1"/>
  <c r="C67" i="28"/>
  <c r="E73" i="28"/>
  <c r="G73" i="28" s="1"/>
  <c r="C73" i="5" s="1"/>
  <c r="E73" i="5" s="1"/>
  <c r="G73" i="5" s="1"/>
  <c r="C73" i="6" s="1"/>
  <c r="C73" i="28"/>
  <c r="C65" i="28"/>
  <c r="E65" i="28" s="1"/>
  <c r="G65" i="28" s="1"/>
  <c r="C65" i="5" s="1"/>
  <c r="E65" i="5" s="1"/>
  <c r="G65" i="5" s="1"/>
  <c r="C65" i="6" s="1"/>
  <c r="C61" i="28"/>
  <c r="E61" i="28" s="1"/>
  <c r="G61" i="28" s="1"/>
  <c r="C61" i="5" s="1"/>
  <c r="E61" i="5" s="1"/>
  <c r="G61" i="5" s="1"/>
  <c r="C61" i="6" s="1"/>
  <c r="C78" i="28"/>
  <c r="E78" i="28" s="1"/>
  <c r="G78" i="28" s="1"/>
  <c r="C78" i="5" s="1"/>
  <c r="E78" i="5" s="1"/>
  <c r="G78" i="5" s="1"/>
  <c r="C78" i="6" s="1"/>
  <c r="C63" i="28"/>
  <c r="E63" i="28" s="1"/>
  <c r="G63" i="28" s="1"/>
  <c r="C63" i="5" s="1"/>
  <c r="E63" i="5" s="1"/>
  <c r="G63" i="5" s="1"/>
  <c r="C63" i="6" s="1"/>
  <c r="E88" i="6"/>
  <c r="G88" i="6" s="1"/>
  <c r="C88" i="7" s="1"/>
  <c r="G80" i="37"/>
  <c r="E84" i="6"/>
  <c r="G84" i="6" s="1"/>
  <c r="C84" i="7" s="1"/>
  <c r="E90" i="6"/>
  <c r="G90" i="6" s="1"/>
  <c r="C90" i="7" s="1"/>
  <c r="E86" i="6"/>
  <c r="G86" i="6" s="1"/>
  <c r="C86" i="7" s="1"/>
  <c r="E83" i="6"/>
  <c r="G83" i="6" s="1"/>
  <c r="C83" i="7" s="1"/>
  <c r="G82" i="37"/>
  <c r="E87" i="6"/>
  <c r="G87" i="6" s="1"/>
  <c r="C87" i="7" s="1"/>
  <c r="E89" i="6"/>
  <c r="G89" i="6" s="1"/>
  <c r="C89" i="7" s="1"/>
  <c r="E85" i="6"/>
  <c r="G85" i="6" s="1"/>
  <c r="C85" i="7" s="1"/>
  <c r="S7" i="2"/>
  <c r="U7" i="2" s="1"/>
  <c r="U36" i="2" s="1"/>
  <c r="M36" i="2"/>
  <c r="E30" i="6"/>
  <c r="G30" i="6" s="1"/>
  <c r="C30" i="7" s="1"/>
  <c r="E45" i="6"/>
  <c r="G45" i="6" s="1"/>
  <c r="C45" i="7" s="1"/>
  <c r="E19" i="6"/>
  <c r="G19" i="6" s="1"/>
  <c r="C19" i="7" s="1"/>
  <c r="E47" i="6"/>
  <c r="G47" i="6" s="1"/>
  <c r="C47" i="7" s="1"/>
  <c r="E33" i="6"/>
  <c r="G33" i="6" s="1"/>
  <c r="C33" i="7" s="1"/>
  <c r="E8" i="6"/>
  <c r="G8" i="6" s="1"/>
  <c r="E26" i="6"/>
  <c r="G26" i="6" s="1"/>
  <c r="C26" i="7" s="1"/>
  <c r="E24" i="6"/>
  <c r="G24" i="6" s="1"/>
  <c r="C24" i="7" s="1"/>
  <c r="E7" i="6"/>
  <c r="G7" i="6" s="1"/>
  <c r="E21" i="6"/>
  <c r="G21" i="6" s="1"/>
  <c r="C21" i="7" s="1"/>
  <c r="E52" i="6"/>
  <c r="G52" i="6" s="1"/>
  <c r="C52" i="7" s="1"/>
  <c r="E29" i="6"/>
  <c r="G29" i="6" s="1"/>
  <c r="C29" i="7" s="1"/>
  <c r="E48" i="6"/>
  <c r="G48" i="6" s="1"/>
  <c r="C48" i="7" s="1"/>
  <c r="E36" i="6"/>
  <c r="G36" i="6" s="1"/>
  <c r="C36" i="7" s="1"/>
  <c r="E22" i="6"/>
  <c r="G22" i="6" s="1"/>
  <c r="C22" i="7" s="1"/>
  <c r="E17" i="6"/>
  <c r="G17" i="6" s="1"/>
  <c r="C17" i="7" s="1"/>
  <c r="E53" i="6"/>
  <c r="G53" i="6" s="1"/>
  <c r="C53" i="7" s="1"/>
  <c r="E31" i="6"/>
  <c r="G31" i="6" s="1"/>
  <c r="C31" i="7" s="1"/>
  <c r="E50" i="6"/>
  <c r="G50" i="6" s="1"/>
  <c r="C50" i="7" s="1"/>
  <c r="E9" i="6"/>
  <c r="G9" i="6" s="1"/>
  <c r="E37" i="6"/>
  <c r="G37" i="6" s="1"/>
  <c r="C37" i="7" s="1"/>
  <c r="E23" i="6"/>
  <c r="G23" i="6" s="1"/>
  <c r="C23" i="7" s="1"/>
  <c r="E49" i="6"/>
  <c r="G49" i="6" s="1"/>
  <c r="C49" i="7" s="1"/>
  <c r="E44" i="6"/>
  <c r="G44" i="6" s="1"/>
  <c r="C44" i="7" s="1"/>
  <c r="E25" i="6"/>
  <c r="G25" i="6" s="1"/>
  <c r="C25" i="7" s="1"/>
  <c r="E35" i="6"/>
  <c r="G35" i="6" s="1"/>
  <c r="C35" i="7" s="1"/>
  <c r="E57" i="6"/>
  <c r="G57" i="6" s="1"/>
  <c r="C57" i="7" s="1"/>
  <c r="E39" i="6"/>
  <c r="G39" i="6" s="1"/>
  <c r="C39" i="7" s="1"/>
  <c r="E55" i="6"/>
  <c r="G55" i="6" s="1"/>
  <c r="C55" i="7" s="1"/>
  <c r="E27" i="6"/>
  <c r="G27" i="6" s="1"/>
  <c r="C27" i="7" s="1"/>
  <c r="E28" i="6"/>
  <c r="G28" i="6" s="1"/>
  <c r="C28" i="7" s="1"/>
  <c r="E15" i="6"/>
  <c r="G15" i="6" s="1"/>
  <c r="C15" i="7" s="1"/>
  <c r="E41" i="6"/>
  <c r="G41" i="6" s="1"/>
  <c r="C41" i="7" s="1"/>
  <c r="E34" i="6"/>
  <c r="G34" i="6" s="1"/>
  <c r="C34" i="7" s="1"/>
  <c r="E5" i="6"/>
  <c r="G5" i="6" s="1"/>
  <c r="E32" i="6"/>
  <c r="G32" i="6" s="1"/>
  <c r="C32" i="7" s="1"/>
  <c r="E12" i="6"/>
  <c r="G12" i="6" s="1"/>
  <c r="C12" i="7" s="1"/>
  <c r="E20" i="6"/>
  <c r="G20" i="6" s="1"/>
  <c r="C20" i="7" s="1"/>
  <c r="E58" i="6"/>
  <c r="G58" i="6" s="1"/>
  <c r="C58" i="7" s="1"/>
  <c r="E10" i="6"/>
  <c r="G10" i="6" s="1"/>
  <c r="E54" i="6"/>
  <c r="G54" i="6" s="1"/>
  <c r="C54" i="7" s="1"/>
  <c r="E46" i="6"/>
  <c r="G46" i="6" s="1"/>
  <c r="C46" i="7" s="1"/>
  <c r="E11" i="6"/>
  <c r="G11" i="6" s="1"/>
  <c r="C11" i="7" s="1"/>
  <c r="E4" i="6"/>
  <c r="G4" i="6" s="1"/>
  <c r="C4" i="7" s="1"/>
  <c r="E4" i="7" s="1"/>
  <c r="G4" i="7" s="1"/>
  <c r="C4" i="8" s="1"/>
  <c r="E56" i="6"/>
  <c r="G56" i="6" s="1"/>
  <c r="C56" i="7" s="1"/>
  <c r="E6" i="6"/>
  <c r="G6" i="6" s="1"/>
  <c r="E42" i="6"/>
  <c r="G42" i="6" s="1"/>
  <c r="C42" i="7" s="1"/>
  <c r="E43" i="6"/>
  <c r="G43" i="6" s="1"/>
  <c r="C43" i="7" s="1"/>
  <c r="E16" i="6"/>
  <c r="G16" i="6" s="1"/>
  <c r="C16" i="7" s="1"/>
  <c r="E13" i="6"/>
  <c r="G13" i="6" s="1"/>
  <c r="C13" i="7" s="1"/>
  <c r="E38" i="6"/>
  <c r="G38" i="6" s="1"/>
  <c r="C38" i="7" s="1"/>
  <c r="E40" i="6"/>
  <c r="G40" i="6" s="1"/>
  <c r="C40" i="7" s="1"/>
  <c r="E14" i="6"/>
  <c r="G14" i="6" s="1"/>
  <c r="C14" i="7" s="1"/>
  <c r="E18" i="6"/>
  <c r="G18" i="6" s="1"/>
  <c r="C18" i="7" s="1"/>
  <c r="E51" i="6"/>
  <c r="G51" i="6" s="1"/>
  <c r="C51" i="7" s="1"/>
  <c r="K101" i="29"/>
  <c r="K104" i="29" s="1"/>
  <c r="K101" i="14"/>
  <c r="K104" i="14" s="1"/>
  <c r="K101" i="33"/>
  <c r="K104" i="33" s="1"/>
  <c r="K102" i="33"/>
  <c r="K101" i="30"/>
  <c r="K104" i="30" s="1"/>
  <c r="K102" i="30"/>
  <c r="K102" i="10"/>
  <c r="K101" i="10"/>
  <c r="K104" i="10" s="1"/>
  <c r="K101" i="9"/>
  <c r="K104" i="9" s="1"/>
  <c r="K102" i="9"/>
  <c r="K102" i="6"/>
  <c r="K101" i="6"/>
  <c r="K104" i="6" s="1"/>
  <c r="K101" i="28"/>
  <c r="K104" i="28" s="1"/>
  <c r="K102" i="28"/>
  <c r="K101" i="5"/>
  <c r="K104" i="5" s="1"/>
  <c r="K102" i="5"/>
  <c r="C68" i="5" l="1"/>
  <c r="E68" i="5" s="1"/>
  <c r="G68" i="5" s="1"/>
  <c r="C68" i="6" s="1"/>
  <c r="E68" i="6" s="1"/>
  <c r="G68" i="6" s="1"/>
  <c r="C68" i="7" s="1"/>
  <c r="E68" i="7" s="1"/>
  <c r="G68" i="7" s="1"/>
  <c r="C68" i="8" s="1"/>
  <c r="C82" i="28"/>
  <c r="E82" i="28" s="1"/>
  <c r="G82" i="28" s="1"/>
  <c r="C82" i="5" s="1"/>
  <c r="E82" i="5" s="1"/>
  <c r="G82" i="5" s="1"/>
  <c r="C82" i="6" s="1"/>
  <c r="C80" i="28"/>
  <c r="E80" i="28" s="1"/>
  <c r="G80" i="28" s="1"/>
  <c r="C80" i="5" s="1"/>
  <c r="E80" i="5" s="1"/>
  <c r="G80" i="5" s="1"/>
  <c r="C80" i="6" s="1"/>
  <c r="E70" i="6"/>
  <c r="G70" i="6" s="1"/>
  <c r="C70" i="7" s="1"/>
  <c r="E64" i="6"/>
  <c r="G64" i="6" s="1"/>
  <c r="C64" i="7" s="1"/>
  <c r="E86" i="7"/>
  <c r="G86" i="7" s="1"/>
  <c r="C86" i="8" s="1"/>
  <c r="E63" i="6"/>
  <c r="G63" i="6" s="1"/>
  <c r="C63" i="7" s="1"/>
  <c r="E76" i="6"/>
  <c r="G76" i="6" s="1"/>
  <c r="C76" i="7" s="1"/>
  <c r="E75" i="6"/>
  <c r="G75" i="6" s="1"/>
  <c r="C75" i="7" s="1"/>
  <c r="E73" i="6"/>
  <c r="G73" i="6" s="1"/>
  <c r="C73" i="7" s="1"/>
  <c r="E88" i="7"/>
  <c r="G88" i="7" s="1"/>
  <c r="C88" i="8" s="1"/>
  <c r="E49" i="7"/>
  <c r="E18" i="7"/>
  <c r="E20" i="7"/>
  <c r="E27" i="7"/>
  <c r="E23" i="7"/>
  <c r="E36" i="7"/>
  <c r="E42" i="7"/>
  <c r="E37" i="7"/>
  <c r="E78" i="6"/>
  <c r="G78" i="6" s="1"/>
  <c r="C78" i="7" s="1"/>
  <c r="E74" i="6"/>
  <c r="G74" i="6" s="1"/>
  <c r="C74" i="7" s="1"/>
  <c r="E59" i="8"/>
  <c r="G59" i="8" s="1"/>
  <c r="C59" i="29" s="1"/>
  <c r="E81" i="6"/>
  <c r="G81" i="6" s="1"/>
  <c r="C81" i="7" s="1"/>
  <c r="E66" i="6"/>
  <c r="G66" i="6" s="1"/>
  <c r="C66" i="7" s="1"/>
  <c r="E60" i="6"/>
  <c r="G60" i="6" s="1"/>
  <c r="C60" i="7" s="1"/>
  <c r="E55" i="7"/>
  <c r="E40" i="7"/>
  <c r="E39" i="7"/>
  <c r="C9" i="7"/>
  <c r="E9" i="7" s="1"/>
  <c r="E29" i="7"/>
  <c r="E50" i="7"/>
  <c r="E87" i="7"/>
  <c r="G87" i="7" s="1"/>
  <c r="C87" i="8" s="1"/>
  <c r="E83" i="7"/>
  <c r="G83" i="7" s="1"/>
  <c r="C83" i="8" s="1"/>
  <c r="E90" i="7"/>
  <c r="G90" i="7" s="1"/>
  <c r="C90" i="8" s="1"/>
  <c r="E79" i="6"/>
  <c r="G79" i="6" s="1"/>
  <c r="C79" i="7" s="1"/>
  <c r="E69" i="6"/>
  <c r="G69" i="6" s="1"/>
  <c r="C69" i="7" s="1"/>
  <c r="E65" i="6"/>
  <c r="G65" i="6" s="1"/>
  <c r="C65" i="7" s="1"/>
  <c r="E72" i="6"/>
  <c r="G72" i="6" s="1"/>
  <c r="C72" i="7" s="1"/>
  <c r="E56" i="7"/>
  <c r="E38" i="7"/>
  <c r="E19" i="7"/>
  <c r="E35" i="7"/>
  <c r="E31" i="7"/>
  <c r="E58" i="7"/>
  <c r="E57" i="7"/>
  <c r="E85" i="7"/>
  <c r="G85" i="7" s="1"/>
  <c r="C85" i="8" s="1"/>
  <c r="E16" i="7"/>
  <c r="E54" i="7"/>
  <c r="E41" i="7"/>
  <c r="E53" i="7"/>
  <c r="E30" i="7"/>
  <c r="E52" i="7"/>
  <c r="E34" i="7"/>
  <c r="E17" i="7"/>
  <c r="E24" i="7"/>
  <c r="E22" i="7"/>
  <c r="E89" i="7"/>
  <c r="G89" i="7" s="1"/>
  <c r="C89" i="8" s="1"/>
  <c r="E61" i="6"/>
  <c r="G61" i="6" s="1"/>
  <c r="C61" i="7" s="1"/>
  <c r="E77" i="6"/>
  <c r="G77" i="6" s="1"/>
  <c r="C77" i="7" s="1"/>
  <c r="E84" i="7"/>
  <c r="G84" i="7" s="1"/>
  <c r="C84" i="8" s="1"/>
  <c r="E62" i="6"/>
  <c r="G62" i="6" s="1"/>
  <c r="C62" i="7" s="1"/>
  <c r="E67" i="6"/>
  <c r="G67" i="6" s="1"/>
  <c r="C67" i="7" s="1"/>
  <c r="E71" i="6"/>
  <c r="G71" i="6" s="1"/>
  <c r="C71" i="7" s="1"/>
  <c r="E28" i="7"/>
  <c r="E51" i="7"/>
  <c r="E48" i="7"/>
  <c r="E47" i="7"/>
  <c r="E46" i="7"/>
  <c r="E45" i="7"/>
  <c r="E44" i="7"/>
  <c r="E43" i="7"/>
  <c r="E33" i="7"/>
  <c r="E32" i="7"/>
  <c r="E26" i="7"/>
  <c r="E25" i="7"/>
  <c r="E21" i="7"/>
  <c r="E15" i="7"/>
  <c r="E14" i="7"/>
  <c r="E13" i="7"/>
  <c r="E12" i="7"/>
  <c r="E11" i="7"/>
  <c r="C10" i="7"/>
  <c r="E10" i="7" s="1"/>
  <c r="C8" i="7"/>
  <c r="E8" i="7" s="1"/>
  <c r="C7" i="7"/>
  <c r="E7" i="7" s="1"/>
  <c r="C6" i="7"/>
  <c r="E6" i="7" s="1"/>
  <c r="C5" i="7"/>
  <c r="E5" i="7" s="1"/>
  <c r="S36" i="2"/>
  <c r="E4" i="8"/>
  <c r="G4" i="8" s="1"/>
  <c r="F110" i="2"/>
  <c r="F108" i="2"/>
  <c r="J109" i="2"/>
  <c r="K110" i="2"/>
  <c r="G18" i="7" l="1"/>
  <c r="C18" i="8" s="1"/>
  <c r="E18" i="8" s="1"/>
  <c r="G18" i="8" s="1"/>
  <c r="C18" i="29" s="1"/>
  <c r="E18" i="29" s="1"/>
  <c r="G18" i="29" s="1"/>
  <c r="C18" i="9" s="1"/>
  <c r="E18" i="9" s="1"/>
  <c r="G18" i="9" s="1"/>
  <c r="C18" i="10" s="1"/>
  <c r="G15" i="7"/>
  <c r="C15" i="8" s="1"/>
  <c r="E15" i="8" s="1"/>
  <c r="G15" i="8" s="1"/>
  <c r="E15" i="29" s="1"/>
  <c r="G15" i="29" s="1"/>
  <c r="C15" i="9" s="1"/>
  <c r="E15" i="9" s="1"/>
  <c r="G15" i="9" s="1"/>
  <c r="C15" i="10" s="1"/>
  <c r="G48" i="7"/>
  <c r="C48" i="8" s="1"/>
  <c r="E48" i="8" s="1"/>
  <c r="G48" i="8" s="1"/>
  <c r="C48" i="29" s="1"/>
  <c r="E48" i="29" s="1"/>
  <c r="G48" i="29" s="1"/>
  <c r="C48" i="9" s="1"/>
  <c r="E48" i="9" s="1"/>
  <c r="G48" i="9" s="1"/>
  <c r="C48" i="10" s="1"/>
  <c r="G31" i="7"/>
  <c r="C31" i="8" s="1"/>
  <c r="E31" i="8" s="1"/>
  <c r="G31" i="8" s="1"/>
  <c r="C31" i="29" s="1"/>
  <c r="E31" i="29" s="1"/>
  <c r="G31" i="29" s="1"/>
  <c r="C31" i="9" s="1"/>
  <c r="E31" i="9" s="1"/>
  <c r="G31" i="9" s="1"/>
  <c r="C31" i="10" s="1"/>
  <c r="G50" i="7"/>
  <c r="C50" i="8" s="1"/>
  <c r="E50" i="8" s="1"/>
  <c r="G50" i="8" s="1"/>
  <c r="C50" i="29" s="1"/>
  <c r="E50" i="29" s="1"/>
  <c r="G50" i="29" s="1"/>
  <c r="C50" i="9" s="1"/>
  <c r="E50" i="9" s="1"/>
  <c r="G50" i="9" s="1"/>
  <c r="C50" i="10" s="1"/>
  <c r="G8" i="7"/>
  <c r="C8" i="8" s="1"/>
  <c r="E8" i="8" s="1"/>
  <c r="G8" i="8" s="1"/>
  <c r="G33" i="7"/>
  <c r="C33" i="8" s="1"/>
  <c r="E33" i="8" s="1"/>
  <c r="G33" i="8" s="1"/>
  <c r="C33" i="29" s="1"/>
  <c r="E33" i="29" s="1"/>
  <c r="G33" i="29" s="1"/>
  <c r="C33" i="9" s="1"/>
  <c r="E33" i="9" s="1"/>
  <c r="G33" i="9" s="1"/>
  <c r="C33" i="10" s="1"/>
  <c r="G41" i="7"/>
  <c r="C41" i="8" s="1"/>
  <c r="E41" i="8" s="1"/>
  <c r="G41" i="8" s="1"/>
  <c r="C41" i="29" s="1"/>
  <c r="E41" i="29" s="1"/>
  <c r="G41" i="29" s="1"/>
  <c r="C41" i="9" s="1"/>
  <c r="E41" i="9" s="1"/>
  <c r="G41" i="9" s="1"/>
  <c r="C41" i="10" s="1"/>
  <c r="G24" i="7"/>
  <c r="C24" i="8" s="1"/>
  <c r="E24" i="8" s="1"/>
  <c r="G24" i="8" s="1"/>
  <c r="C24" i="29" s="1"/>
  <c r="E24" i="29" s="1"/>
  <c r="G24" i="29" s="1"/>
  <c r="C24" i="9" s="1"/>
  <c r="E24" i="9" s="1"/>
  <c r="G24" i="9" s="1"/>
  <c r="C24" i="10" s="1"/>
  <c r="G21" i="7"/>
  <c r="C21" i="8" s="1"/>
  <c r="E21" i="8" s="1"/>
  <c r="G21" i="8" s="1"/>
  <c r="E21" i="29" s="1"/>
  <c r="G21" i="29" s="1"/>
  <c r="C21" i="9" s="1"/>
  <c r="E21" i="9" s="1"/>
  <c r="G21" i="9" s="1"/>
  <c r="C21" i="10" s="1"/>
  <c r="G51" i="7"/>
  <c r="C51" i="8" s="1"/>
  <c r="E51" i="8" s="1"/>
  <c r="G51" i="8" s="1"/>
  <c r="C51" i="29" s="1"/>
  <c r="E51" i="29" s="1"/>
  <c r="G51" i="29" s="1"/>
  <c r="C51" i="9" s="1"/>
  <c r="E51" i="9" s="1"/>
  <c r="G51" i="9" s="1"/>
  <c r="C51" i="10" s="1"/>
  <c r="G17" i="7"/>
  <c r="C17" i="8" s="1"/>
  <c r="E17" i="8" s="1"/>
  <c r="G17" i="8" s="1"/>
  <c r="E17" i="29" s="1"/>
  <c r="G17" i="29" s="1"/>
  <c r="C17" i="9" s="1"/>
  <c r="E17" i="9" s="1"/>
  <c r="G17" i="9" s="1"/>
  <c r="C17" i="10" s="1"/>
  <c r="G35" i="7"/>
  <c r="C35" i="8" s="1"/>
  <c r="E35" i="8" s="1"/>
  <c r="G35" i="8" s="1"/>
  <c r="C35" i="29" s="1"/>
  <c r="E35" i="29" s="1"/>
  <c r="G35" i="29" s="1"/>
  <c r="C35" i="9" s="1"/>
  <c r="E35" i="9" s="1"/>
  <c r="G35" i="9" s="1"/>
  <c r="C35" i="10" s="1"/>
  <c r="G29" i="7"/>
  <c r="C29" i="8" s="1"/>
  <c r="E29" i="8" s="1"/>
  <c r="G29" i="8" s="1"/>
  <c r="C29" i="29" s="1"/>
  <c r="E29" i="29" s="1"/>
  <c r="G29" i="29" s="1"/>
  <c r="C29" i="9" s="1"/>
  <c r="E29" i="9" s="1"/>
  <c r="G29" i="9" s="1"/>
  <c r="C29" i="10" s="1"/>
  <c r="G37" i="7"/>
  <c r="C37" i="8" s="1"/>
  <c r="E37" i="8" s="1"/>
  <c r="G37" i="8" s="1"/>
  <c r="C37" i="29" s="1"/>
  <c r="E37" i="29" s="1"/>
  <c r="G37" i="29" s="1"/>
  <c r="C37" i="9" s="1"/>
  <c r="E37" i="9" s="1"/>
  <c r="G37" i="9" s="1"/>
  <c r="C37" i="10" s="1"/>
  <c r="G7" i="7"/>
  <c r="C7" i="8" s="1"/>
  <c r="E7" i="8" s="1"/>
  <c r="G7" i="8" s="1"/>
  <c r="E7" i="29" s="1"/>
  <c r="G7" i="29" s="1"/>
  <c r="C7" i="9" s="1"/>
  <c r="E7" i="9" s="1"/>
  <c r="G7" i="9" s="1"/>
  <c r="C7" i="10" s="1"/>
  <c r="G53" i="7"/>
  <c r="C53" i="8" s="1"/>
  <c r="E53" i="8" s="1"/>
  <c r="G53" i="8" s="1"/>
  <c r="C53" i="29" s="1"/>
  <c r="E53" i="29" s="1"/>
  <c r="G53" i="29" s="1"/>
  <c r="C53" i="9" s="1"/>
  <c r="E53" i="9" s="1"/>
  <c r="G53" i="9" s="1"/>
  <c r="C53" i="10" s="1"/>
  <c r="G27" i="7"/>
  <c r="C27" i="8" s="1"/>
  <c r="E27" i="8" s="1"/>
  <c r="G27" i="8" s="1"/>
  <c r="C27" i="29" s="1"/>
  <c r="E27" i="29" s="1"/>
  <c r="G27" i="29" s="1"/>
  <c r="C27" i="9" s="1"/>
  <c r="E27" i="9" s="1"/>
  <c r="G27" i="9" s="1"/>
  <c r="C27" i="10" s="1"/>
  <c r="G10" i="7"/>
  <c r="C10" i="8" s="1"/>
  <c r="E10" i="8" s="1"/>
  <c r="G10" i="8" s="1"/>
  <c r="C10" i="29" s="1"/>
  <c r="E10" i="29" s="1"/>
  <c r="G10" i="29" s="1"/>
  <c r="C10" i="9" s="1"/>
  <c r="E10" i="9" s="1"/>
  <c r="G10" i="9" s="1"/>
  <c r="C10" i="10" s="1"/>
  <c r="G54" i="7"/>
  <c r="C54" i="8" s="1"/>
  <c r="E54" i="8" s="1"/>
  <c r="G54" i="8" s="1"/>
  <c r="C54" i="29" s="1"/>
  <c r="E54" i="29" s="1"/>
  <c r="G54" i="29" s="1"/>
  <c r="C54" i="9" s="1"/>
  <c r="E54" i="9" s="1"/>
  <c r="G54" i="9" s="1"/>
  <c r="C54" i="10" s="1"/>
  <c r="G47" i="7"/>
  <c r="C47" i="8" s="1"/>
  <c r="E47" i="8" s="1"/>
  <c r="G47" i="8" s="1"/>
  <c r="C47" i="29" s="1"/>
  <c r="E47" i="29" s="1"/>
  <c r="G47" i="29" s="1"/>
  <c r="C47" i="9" s="1"/>
  <c r="E47" i="9" s="1"/>
  <c r="G47" i="9" s="1"/>
  <c r="C47" i="10" s="1"/>
  <c r="G22" i="7"/>
  <c r="C22" i="8" s="1"/>
  <c r="E22" i="8" s="1"/>
  <c r="G22" i="8" s="1"/>
  <c r="C22" i="29" s="1"/>
  <c r="E22" i="29" s="1"/>
  <c r="G22" i="29" s="1"/>
  <c r="C22" i="9" s="1"/>
  <c r="E22" i="9" s="1"/>
  <c r="G22" i="9" s="1"/>
  <c r="C22" i="10" s="1"/>
  <c r="E58" i="8"/>
  <c r="G58" i="8" s="1"/>
  <c r="C58" i="29" s="1"/>
  <c r="E58" i="29" s="1"/>
  <c r="G58" i="29" s="1"/>
  <c r="C58" i="9" s="1"/>
  <c r="E58" i="9" s="1"/>
  <c r="G58" i="9" s="1"/>
  <c r="C58" i="10" s="1"/>
  <c r="G58" i="7"/>
  <c r="C58" i="8" s="1"/>
  <c r="G5" i="7"/>
  <c r="C5" i="8" s="1"/>
  <c r="E5" i="8" s="1"/>
  <c r="G5" i="8" s="1"/>
  <c r="E5" i="29" s="1"/>
  <c r="G5" i="29" s="1"/>
  <c r="C5" i="9" s="1"/>
  <c r="E5" i="9" s="1"/>
  <c r="G5" i="9" s="1"/>
  <c r="C5" i="10" s="1"/>
  <c r="G26" i="7"/>
  <c r="C26" i="8" s="1"/>
  <c r="E26" i="8" s="1"/>
  <c r="G26" i="8" s="1"/>
  <c r="C26" i="29" s="1"/>
  <c r="E26" i="29" s="1"/>
  <c r="G26" i="29" s="1"/>
  <c r="C26" i="9" s="1"/>
  <c r="E26" i="9" s="1"/>
  <c r="G26" i="9" s="1"/>
  <c r="C26" i="10" s="1"/>
  <c r="G52" i="7"/>
  <c r="C52" i="8" s="1"/>
  <c r="E52" i="8" s="1"/>
  <c r="G52" i="8" s="1"/>
  <c r="C52" i="29" s="1"/>
  <c r="E52" i="29" s="1"/>
  <c r="G52" i="29" s="1"/>
  <c r="C52" i="9" s="1"/>
  <c r="E52" i="9" s="1"/>
  <c r="G52" i="9" s="1"/>
  <c r="C52" i="10" s="1"/>
  <c r="G38" i="7"/>
  <c r="C38" i="8" s="1"/>
  <c r="E38" i="8" s="1"/>
  <c r="G38" i="8" s="1"/>
  <c r="C38" i="29" s="1"/>
  <c r="E38" i="29" s="1"/>
  <c r="G38" i="29" s="1"/>
  <c r="C38" i="9" s="1"/>
  <c r="E38" i="9" s="1"/>
  <c r="G38" i="9" s="1"/>
  <c r="C38" i="10" s="1"/>
  <c r="G39" i="7"/>
  <c r="C39" i="8" s="1"/>
  <c r="E39" i="8" s="1"/>
  <c r="G39" i="8" s="1"/>
  <c r="C39" i="29" s="1"/>
  <c r="E39" i="29" s="1"/>
  <c r="G39" i="29" s="1"/>
  <c r="C39" i="9" s="1"/>
  <c r="E39" i="9" s="1"/>
  <c r="G39" i="9" s="1"/>
  <c r="C39" i="10" s="1"/>
  <c r="G36" i="7"/>
  <c r="C36" i="8" s="1"/>
  <c r="E36" i="8" s="1"/>
  <c r="G36" i="8" s="1"/>
  <c r="C36" i="29" s="1"/>
  <c r="E36" i="29" s="1"/>
  <c r="G36" i="29" s="1"/>
  <c r="C36" i="9" s="1"/>
  <c r="E36" i="9" s="1"/>
  <c r="G36" i="9" s="1"/>
  <c r="C36" i="10" s="1"/>
  <c r="G55" i="7"/>
  <c r="C55" i="8" s="1"/>
  <c r="E55" i="8" s="1"/>
  <c r="G55" i="8" s="1"/>
  <c r="C55" i="29" s="1"/>
  <c r="E55" i="29" s="1"/>
  <c r="G55" i="29" s="1"/>
  <c r="C55" i="9" s="1"/>
  <c r="E55" i="9" s="1"/>
  <c r="G55" i="9" s="1"/>
  <c r="C55" i="10" s="1"/>
  <c r="G20" i="7"/>
  <c r="C20" i="8" s="1"/>
  <c r="E20" i="8" s="1"/>
  <c r="G20" i="8" s="1"/>
  <c r="C20" i="29" s="1"/>
  <c r="E20" i="29" s="1"/>
  <c r="G20" i="29" s="1"/>
  <c r="C20" i="9" s="1"/>
  <c r="E20" i="9" s="1"/>
  <c r="G20" i="9" s="1"/>
  <c r="C20" i="10" s="1"/>
  <c r="G43" i="7"/>
  <c r="C43" i="8" s="1"/>
  <c r="E43" i="8" s="1"/>
  <c r="G43" i="8" s="1"/>
  <c r="C43" i="29" s="1"/>
  <c r="E43" i="29" s="1"/>
  <c r="G43" i="29" s="1"/>
  <c r="C43" i="9" s="1"/>
  <c r="E43" i="9" s="1"/>
  <c r="G43" i="9" s="1"/>
  <c r="C43" i="10" s="1"/>
  <c r="G25" i="7"/>
  <c r="C25" i="8" s="1"/>
  <c r="E25" i="8" s="1"/>
  <c r="G25" i="8" s="1"/>
  <c r="C25" i="29" s="1"/>
  <c r="E25" i="29" s="1"/>
  <c r="G25" i="29" s="1"/>
  <c r="C25" i="9" s="1"/>
  <c r="E25" i="9" s="1"/>
  <c r="G25" i="9" s="1"/>
  <c r="C25" i="10" s="1"/>
  <c r="G28" i="7"/>
  <c r="C28" i="8" s="1"/>
  <c r="E28" i="8" s="1"/>
  <c r="G28" i="8" s="1"/>
  <c r="C28" i="29" s="1"/>
  <c r="E28" i="29" s="1"/>
  <c r="G28" i="29" s="1"/>
  <c r="C28" i="9" s="1"/>
  <c r="E28" i="9" s="1"/>
  <c r="G28" i="9" s="1"/>
  <c r="C28" i="10" s="1"/>
  <c r="G34" i="7"/>
  <c r="C34" i="8" s="1"/>
  <c r="E34" i="8" s="1"/>
  <c r="G34" i="8" s="1"/>
  <c r="C34" i="29" s="1"/>
  <c r="E34" i="29" s="1"/>
  <c r="G34" i="29" s="1"/>
  <c r="C34" i="9" s="1"/>
  <c r="E34" i="9" s="1"/>
  <c r="G34" i="9" s="1"/>
  <c r="C34" i="10" s="1"/>
  <c r="G19" i="7"/>
  <c r="C19" i="8" s="1"/>
  <c r="E19" i="8" s="1"/>
  <c r="G19" i="8" s="1"/>
  <c r="C19" i="29" s="1"/>
  <c r="E19" i="29" s="1"/>
  <c r="G19" i="29" s="1"/>
  <c r="C19" i="9" s="1"/>
  <c r="E19" i="9" s="1"/>
  <c r="G19" i="9" s="1"/>
  <c r="C19" i="10" s="1"/>
  <c r="G9" i="7"/>
  <c r="C9" i="8" s="1"/>
  <c r="E9" i="8" s="1"/>
  <c r="G9" i="8" s="1"/>
  <c r="C9" i="29" s="1"/>
  <c r="E9" i="29" s="1"/>
  <c r="G9" i="29" s="1"/>
  <c r="C9" i="9" s="1"/>
  <c r="E9" i="9" s="1"/>
  <c r="G9" i="9" s="1"/>
  <c r="C9" i="10" s="1"/>
  <c r="G42" i="7"/>
  <c r="C42" i="8" s="1"/>
  <c r="E42" i="8" s="1"/>
  <c r="G42" i="8" s="1"/>
  <c r="C42" i="29" s="1"/>
  <c r="E42" i="29" s="1"/>
  <c r="G42" i="29" s="1"/>
  <c r="C42" i="9" s="1"/>
  <c r="E42" i="9" s="1"/>
  <c r="G42" i="9" s="1"/>
  <c r="C42" i="10" s="1"/>
  <c r="G6" i="7"/>
  <c r="C6" i="8" s="1"/>
  <c r="E6" i="8" s="1"/>
  <c r="G6" i="8" s="1"/>
  <c r="C6" i="29" s="1"/>
  <c r="E6" i="29" s="1"/>
  <c r="G6" i="29" s="1"/>
  <c r="C6" i="9" s="1"/>
  <c r="E6" i="9" s="1"/>
  <c r="G6" i="9" s="1"/>
  <c r="C6" i="10" s="1"/>
  <c r="G30" i="7"/>
  <c r="C30" i="8" s="1"/>
  <c r="E30" i="8" s="1"/>
  <c r="G30" i="8" s="1"/>
  <c r="C30" i="29" s="1"/>
  <c r="E30" i="29" s="1"/>
  <c r="G30" i="29" s="1"/>
  <c r="C30" i="9" s="1"/>
  <c r="E30" i="9" s="1"/>
  <c r="G30" i="9" s="1"/>
  <c r="C30" i="10" s="1"/>
  <c r="G56" i="7"/>
  <c r="C56" i="8" s="1"/>
  <c r="E56" i="8" s="1"/>
  <c r="G56" i="8" s="1"/>
  <c r="C56" i="29" s="1"/>
  <c r="E56" i="29" s="1"/>
  <c r="G56" i="29" s="1"/>
  <c r="C56" i="9" s="1"/>
  <c r="E56" i="9" s="1"/>
  <c r="G56" i="9" s="1"/>
  <c r="C56" i="10" s="1"/>
  <c r="G40" i="7"/>
  <c r="C40" i="8" s="1"/>
  <c r="E40" i="8" s="1"/>
  <c r="G40" i="8" s="1"/>
  <c r="C40" i="29" s="1"/>
  <c r="E40" i="29" s="1"/>
  <c r="G40" i="29" s="1"/>
  <c r="C40" i="9" s="1"/>
  <c r="E40" i="9" s="1"/>
  <c r="G40" i="9" s="1"/>
  <c r="C40" i="10" s="1"/>
  <c r="G23" i="7"/>
  <c r="C23" i="8" s="1"/>
  <c r="E23" i="8" s="1"/>
  <c r="G23" i="8" s="1"/>
  <c r="C23" i="29" s="1"/>
  <c r="E23" i="29" s="1"/>
  <c r="G23" i="29" s="1"/>
  <c r="C23" i="9" s="1"/>
  <c r="E23" i="9" s="1"/>
  <c r="G23" i="9" s="1"/>
  <c r="C23" i="10" s="1"/>
  <c r="G32" i="7"/>
  <c r="C32" i="8" s="1"/>
  <c r="E32" i="8" s="1"/>
  <c r="G32" i="8" s="1"/>
  <c r="C32" i="29" s="1"/>
  <c r="E32" i="29" s="1"/>
  <c r="G32" i="29" s="1"/>
  <c r="C32" i="9" s="1"/>
  <c r="E32" i="9" s="1"/>
  <c r="G32" i="9" s="1"/>
  <c r="C32" i="10" s="1"/>
  <c r="G11" i="7"/>
  <c r="C11" i="8" s="1"/>
  <c r="E11" i="8" s="1"/>
  <c r="G11" i="8" s="1"/>
  <c r="E11" i="29" s="1"/>
  <c r="G11" i="29" s="1"/>
  <c r="C11" i="9" s="1"/>
  <c r="E11" i="9" s="1"/>
  <c r="G11" i="9" s="1"/>
  <c r="C11" i="10" s="1"/>
  <c r="G44" i="7"/>
  <c r="C44" i="8" s="1"/>
  <c r="E44" i="8" s="1"/>
  <c r="G44" i="8" s="1"/>
  <c r="C44" i="29" s="1"/>
  <c r="E44" i="29" s="1"/>
  <c r="G44" i="29" s="1"/>
  <c r="C44" i="9" s="1"/>
  <c r="E44" i="9" s="1"/>
  <c r="G44" i="9" s="1"/>
  <c r="C44" i="10" s="1"/>
  <c r="G49" i="7"/>
  <c r="C49" i="8" s="1"/>
  <c r="E49" i="8" s="1"/>
  <c r="G49" i="8" s="1"/>
  <c r="C49" i="29" s="1"/>
  <c r="E49" i="29" s="1"/>
  <c r="G49" i="29" s="1"/>
  <c r="C49" i="9" s="1"/>
  <c r="E49" i="9" s="1"/>
  <c r="G49" i="9" s="1"/>
  <c r="C49" i="10" s="1"/>
  <c r="G16" i="7"/>
  <c r="C16" i="8" s="1"/>
  <c r="E16" i="8" s="1"/>
  <c r="G16" i="8" s="1"/>
  <c r="C16" i="29" s="1"/>
  <c r="E16" i="29" s="1"/>
  <c r="G16" i="29" s="1"/>
  <c r="C16" i="9" s="1"/>
  <c r="E16" i="9" s="1"/>
  <c r="G16" i="9" s="1"/>
  <c r="C16" i="10" s="1"/>
  <c r="G12" i="7"/>
  <c r="C12" i="8" s="1"/>
  <c r="E12" i="8" s="1"/>
  <c r="G12" i="8" s="1"/>
  <c r="E12" i="29" s="1"/>
  <c r="G12" i="29" s="1"/>
  <c r="C12" i="9" s="1"/>
  <c r="E12" i="9" s="1"/>
  <c r="G12" i="9" s="1"/>
  <c r="C12" i="10" s="1"/>
  <c r="G45" i="7"/>
  <c r="C45" i="8" s="1"/>
  <c r="E45" i="8" s="1"/>
  <c r="G45" i="8" s="1"/>
  <c r="C45" i="29" s="1"/>
  <c r="E45" i="29" s="1"/>
  <c r="G45" i="29" s="1"/>
  <c r="C45" i="9" s="1"/>
  <c r="E45" i="9" s="1"/>
  <c r="G45" i="9" s="1"/>
  <c r="C45" i="10" s="1"/>
  <c r="E46" i="8"/>
  <c r="G46" i="8" s="1"/>
  <c r="C46" i="29" s="1"/>
  <c r="G46" i="7"/>
  <c r="C46" i="8" s="1"/>
  <c r="G57" i="7"/>
  <c r="C57" i="8" s="1"/>
  <c r="E57" i="8" s="1"/>
  <c r="G57" i="8" s="1"/>
  <c r="C57" i="29" s="1"/>
  <c r="E57" i="29" s="1"/>
  <c r="G57" i="29" s="1"/>
  <c r="C57" i="9" s="1"/>
  <c r="E57" i="9" s="1"/>
  <c r="G57" i="9" s="1"/>
  <c r="C57" i="10" s="1"/>
  <c r="G14" i="7"/>
  <c r="C14" i="8" s="1"/>
  <c r="E14" i="8" s="1"/>
  <c r="G14" i="8" s="1"/>
  <c r="E14" i="29" s="1"/>
  <c r="G14" i="29" s="1"/>
  <c r="C14" i="9" s="1"/>
  <c r="E14" i="9" s="1"/>
  <c r="G14" i="9" s="1"/>
  <c r="C14" i="10" s="1"/>
  <c r="G13" i="7"/>
  <c r="C13" i="8" s="1"/>
  <c r="E13" i="8" s="1"/>
  <c r="G13" i="8" s="1"/>
  <c r="E13" i="29" s="1"/>
  <c r="G13" i="29" s="1"/>
  <c r="C13" i="9" s="1"/>
  <c r="E13" i="9" s="1"/>
  <c r="G13" i="9" s="1"/>
  <c r="C13" i="10" s="1"/>
  <c r="E82" i="6"/>
  <c r="G82" i="6" s="1"/>
  <c r="C82" i="7" s="1"/>
  <c r="E66" i="7"/>
  <c r="G66" i="7" s="1"/>
  <c r="C66" i="8" s="1"/>
  <c r="E87" i="8"/>
  <c r="G87" i="8" s="1"/>
  <c r="C87" i="29" s="1"/>
  <c r="E71" i="7"/>
  <c r="G71" i="7" s="1"/>
  <c r="C71" i="8" s="1"/>
  <c r="E69" i="7"/>
  <c r="E64" i="7"/>
  <c r="G64" i="7" s="1"/>
  <c r="C64" i="8" s="1"/>
  <c r="E84" i="8"/>
  <c r="G84" i="8" s="1"/>
  <c r="C84" i="29" s="1"/>
  <c r="E75" i="7"/>
  <c r="G75" i="7" s="1"/>
  <c r="C75" i="8" s="1"/>
  <c r="E77" i="7"/>
  <c r="G77" i="7" s="1"/>
  <c r="C77" i="8" s="1"/>
  <c r="E79" i="7"/>
  <c r="G79" i="7" s="1"/>
  <c r="C79" i="8" s="1"/>
  <c r="E61" i="7"/>
  <c r="G61" i="7" s="1"/>
  <c r="C61" i="8" s="1"/>
  <c r="E85" i="8"/>
  <c r="G85" i="8" s="1"/>
  <c r="C85" i="29" s="1"/>
  <c r="E72" i="7"/>
  <c r="G72" i="7" s="1"/>
  <c r="C72" i="8" s="1"/>
  <c r="E90" i="8"/>
  <c r="G90" i="8" s="1"/>
  <c r="C90" i="29" s="1"/>
  <c r="E59" i="29"/>
  <c r="G59" i="29" s="1"/>
  <c r="C59" i="9" s="1"/>
  <c r="E59" i="9" s="1"/>
  <c r="G59" i="9" s="1"/>
  <c r="E88" i="8"/>
  <c r="G88" i="8" s="1"/>
  <c r="C88" i="29" s="1"/>
  <c r="E63" i="7"/>
  <c r="G63" i="7" s="1"/>
  <c r="C63" i="8" s="1"/>
  <c r="E80" i="6"/>
  <c r="G80" i="6" s="1"/>
  <c r="C80" i="7" s="1"/>
  <c r="E62" i="7"/>
  <c r="G62" i="7" s="1"/>
  <c r="C62" i="8" s="1"/>
  <c r="E60" i="7"/>
  <c r="G60" i="7" s="1"/>
  <c r="C60" i="8" s="1"/>
  <c r="E74" i="7"/>
  <c r="G74" i="7" s="1"/>
  <c r="C74" i="8" s="1"/>
  <c r="E73" i="7"/>
  <c r="G73" i="7" s="1"/>
  <c r="C73" i="8" s="1"/>
  <c r="E86" i="8"/>
  <c r="G86" i="8" s="1"/>
  <c r="C86" i="29" s="1"/>
  <c r="E89" i="8"/>
  <c r="G89" i="8" s="1"/>
  <c r="C89" i="29" s="1"/>
  <c r="E83" i="8"/>
  <c r="G83" i="8" s="1"/>
  <c r="C83" i="29" s="1"/>
  <c r="E65" i="7"/>
  <c r="G65" i="7" s="1"/>
  <c r="C65" i="8" s="1"/>
  <c r="E67" i="7"/>
  <c r="G67" i="7" s="1"/>
  <c r="C67" i="8" s="1"/>
  <c r="E81" i="7"/>
  <c r="G81" i="7" s="1"/>
  <c r="C81" i="8" s="1"/>
  <c r="E78" i="7"/>
  <c r="G78" i="7" s="1"/>
  <c r="C78" i="8" s="1"/>
  <c r="E76" i="7"/>
  <c r="G76" i="7" s="1"/>
  <c r="C76" i="8" s="1"/>
  <c r="E70" i="7"/>
  <c r="G70" i="7" s="1"/>
  <c r="C70" i="8" s="1"/>
  <c r="E46" i="29"/>
  <c r="G46" i="29" s="1"/>
  <c r="C46" i="9" s="1"/>
  <c r="E46" i="9" s="1"/>
  <c r="G46" i="9" s="1"/>
  <c r="C46" i="10" s="1"/>
  <c r="E68" i="8"/>
  <c r="G68" i="8" s="1"/>
  <c r="C68" i="29" s="1"/>
  <c r="E8" i="29"/>
  <c r="G8" i="29" s="1"/>
  <c r="C8" i="9" s="1"/>
  <c r="E8" i="9" s="1"/>
  <c r="G8" i="9" s="1"/>
  <c r="C8" i="10" s="1"/>
  <c r="E4" i="29"/>
  <c r="G4" i="29" s="1"/>
  <c r="C4" i="9" s="1"/>
  <c r="D109" i="2"/>
  <c r="B110" i="2" s="1"/>
  <c r="F111" i="2"/>
  <c r="J111" i="2" s="1"/>
  <c r="J112" i="2" s="1"/>
  <c r="J115" i="2" s="1"/>
  <c r="G69" i="7" l="1"/>
  <c r="C69" i="8" s="1"/>
  <c r="E69" i="8" s="1"/>
  <c r="G69" i="8" s="1"/>
  <c r="C59" i="10"/>
  <c r="E59" i="10" s="1"/>
  <c r="G59" i="10" s="1"/>
  <c r="C59" i="30" s="1"/>
  <c r="E59" i="30" s="1"/>
  <c r="G59" i="30" s="1"/>
  <c r="E73" i="8"/>
  <c r="G73" i="8" s="1"/>
  <c r="C73" i="29" s="1"/>
  <c r="E83" i="29"/>
  <c r="G83" i="29" s="1"/>
  <c r="E64" i="8"/>
  <c r="G64" i="8" s="1"/>
  <c r="C64" i="29" s="1"/>
  <c r="E80" i="7"/>
  <c r="G80" i="7" s="1"/>
  <c r="C80" i="8" s="1"/>
  <c r="E81" i="8"/>
  <c r="G81" i="8" s="1"/>
  <c r="C81" i="29" s="1"/>
  <c r="E79" i="8"/>
  <c r="G79" i="8" s="1"/>
  <c r="C79" i="29" s="1"/>
  <c r="E61" i="8"/>
  <c r="G61" i="8" s="1"/>
  <c r="C61" i="29" s="1"/>
  <c r="E67" i="8"/>
  <c r="G67" i="8" s="1"/>
  <c r="C67" i="29" s="1"/>
  <c r="E77" i="8"/>
  <c r="G77" i="8" s="1"/>
  <c r="C77" i="29" s="1"/>
  <c r="E63" i="8"/>
  <c r="G63" i="8" s="1"/>
  <c r="C63" i="29" s="1"/>
  <c r="E87" i="29"/>
  <c r="G87" i="29" s="1"/>
  <c r="E60" i="8"/>
  <c r="G60" i="8" s="1"/>
  <c r="C60" i="29" s="1"/>
  <c r="E65" i="8"/>
  <c r="G65" i="8" s="1"/>
  <c r="C65" i="29" s="1"/>
  <c r="E78" i="8"/>
  <c r="G78" i="8" s="1"/>
  <c r="C78" i="29" s="1"/>
  <c r="E86" i="29"/>
  <c r="G86" i="29" s="1"/>
  <c r="E75" i="8"/>
  <c r="G75" i="8" s="1"/>
  <c r="C75" i="29" s="1"/>
  <c r="E84" i="29"/>
  <c r="G84" i="29" s="1"/>
  <c r="E71" i="8"/>
  <c r="G71" i="8" s="1"/>
  <c r="C71" i="29" s="1"/>
  <c r="E66" i="8"/>
  <c r="G66" i="8" s="1"/>
  <c r="C66" i="29" s="1"/>
  <c r="E82" i="7"/>
  <c r="G82" i="7" s="1"/>
  <c r="C82" i="8" s="1"/>
  <c r="E89" i="29"/>
  <c r="G89" i="29" s="1"/>
  <c r="E88" i="29"/>
  <c r="G88" i="29" s="1"/>
  <c r="E72" i="8"/>
  <c r="G72" i="8" s="1"/>
  <c r="C72" i="29" s="1"/>
  <c r="E62" i="8"/>
  <c r="G62" i="8" s="1"/>
  <c r="E76" i="8"/>
  <c r="G76" i="8" s="1"/>
  <c r="C76" i="29" s="1"/>
  <c r="E85" i="29"/>
  <c r="G85" i="29" s="1"/>
  <c r="E70" i="8"/>
  <c r="G70" i="8" s="1"/>
  <c r="C70" i="29" s="1"/>
  <c r="E74" i="8"/>
  <c r="G74" i="8" s="1"/>
  <c r="C74" i="29" s="1"/>
  <c r="E90" i="29"/>
  <c r="G90" i="29" s="1"/>
  <c r="E68" i="29"/>
  <c r="G68" i="29" s="1"/>
  <c r="C68" i="9" s="1"/>
  <c r="E68" i="9" s="1"/>
  <c r="E19" i="10"/>
  <c r="G19" i="10" s="1"/>
  <c r="C19" i="30" s="1"/>
  <c r="E23" i="10"/>
  <c r="G23" i="10" s="1"/>
  <c r="C23" i="30" s="1"/>
  <c r="E45" i="10"/>
  <c r="G45" i="10" s="1"/>
  <c r="C45" i="30" s="1"/>
  <c r="E43" i="10"/>
  <c r="G43" i="10" s="1"/>
  <c r="C43" i="30" s="1"/>
  <c r="E39" i="10"/>
  <c r="G39" i="10" s="1"/>
  <c r="C39" i="30" s="1"/>
  <c r="E18" i="10"/>
  <c r="G18" i="10" s="1"/>
  <c r="C18" i="30" s="1"/>
  <c r="E31" i="10"/>
  <c r="G31" i="10" s="1"/>
  <c r="C31" i="30" s="1"/>
  <c r="E11" i="10"/>
  <c r="G11" i="10" s="1"/>
  <c r="C11" i="30" s="1"/>
  <c r="E37" i="10"/>
  <c r="G37" i="10" s="1"/>
  <c r="C37" i="30" s="1"/>
  <c r="E40" i="10"/>
  <c r="G40" i="10" s="1"/>
  <c r="C40" i="30" s="1"/>
  <c r="E16" i="10"/>
  <c r="G16" i="10" s="1"/>
  <c r="C16" i="30" s="1"/>
  <c r="E30" i="10"/>
  <c r="G30" i="10" s="1"/>
  <c r="C30" i="30" s="1"/>
  <c r="E14" i="10"/>
  <c r="G14" i="10" s="1"/>
  <c r="C14" i="30" s="1"/>
  <c r="E29" i="10"/>
  <c r="G29" i="10" s="1"/>
  <c r="C29" i="30" s="1"/>
  <c r="E57" i="10"/>
  <c r="G57" i="10" s="1"/>
  <c r="C57" i="30" s="1"/>
  <c r="E51" i="10"/>
  <c r="G51" i="10" s="1"/>
  <c r="C51" i="30" s="1"/>
  <c r="E25" i="10"/>
  <c r="G25" i="10" s="1"/>
  <c r="C25" i="30" s="1"/>
  <c r="E33" i="10"/>
  <c r="G33" i="10" s="1"/>
  <c r="C33" i="30" s="1"/>
  <c r="E22" i="10"/>
  <c r="G22" i="10" s="1"/>
  <c r="C22" i="30" s="1"/>
  <c r="E24" i="10"/>
  <c r="G24" i="10" s="1"/>
  <c r="C24" i="30" s="1"/>
  <c r="E32" i="10"/>
  <c r="G32" i="10" s="1"/>
  <c r="C32" i="30" s="1"/>
  <c r="E17" i="10"/>
  <c r="G17" i="10" s="1"/>
  <c r="C17" i="30" s="1"/>
  <c r="E47" i="10"/>
  <c r="G47" i="10" s="1"/>
  <c r="C47" i="30" s="1"/>
  <c r="E21" i="10"/>
  <c r="G21" i="10" s="1"/>
  <c r="C21" i="30" s="1"/>
  <c r="E34" i="10"/>
  <c r="G34" i="10" s="1"/>
  <c r="C34" i="30" s="1"/>
  <c r="E7" i="10"/>
  <c r="G7" i="10" s="1"/>
  <c r="C7" i="30" s="1"/>
  <c r="E38" i="10"/>
  <c r="G38" i="10" s="1"/>
  <c r="C38" i="30" s="1"/>
  <c r="E48" i="10"/>
  <c r="G48" i="10" s="1"/>
  <c r="C48" i="30" s="1"/>
  <c r="E27" i="10"/>
  <c r="G27" i="10" s="1"/>
  <c r="C27" i="30" s="1"/>
  <c r="E15" i="10"/>
  <c r="G15" i="10" s="1"/>
  <c r="C15" i="30" s="1"/>
  <c r="E6" i="10"/>
  <c r="G6" i="10" s="1"/>
  <c r="C6" i="30" s="1"/>
  <c r="E50" i="10"/>
  <c r="G50" i="10" s="1"/>
  <c r="C50" i="30" s="1"/>
  <c r="E46" i="10"/>
  <c r="G46" i="10" s="1"/>
  <c r="C46" i="30" s="1"/>
  <c r="E53" i="10"/>
  <c r="G53" i="10" s="1"/>
  <c r="C53" i="30" s="1"/>
  <c r="E58" i="10"/>
  <c r="G58" i="10" s="1"/>
  <c r="C58" i="30" s="1"/>
  <c r="E9" i="10"/>
  <c r="G9" i="10" s="1"/>
  <c r="C9" i="30" s="1"/>
  <c r="E36" i="10"/>
  <c r="G36" i="10" s="1"/>
  <c r="C36" i="30" s="1"/>
  <c r="E41" i="10"/>
  <c r="G41" i="10" s="1"/>
  <c r="C41" i="30" s="1"/>
  <c r="E54" i="10"/>
  <c r="G54" i="10" s="1"/>
  <c r="C54" i="30" s="1"/>
  <c r="E55" i="10"/>
  <c r="G55" i="10" s="1"/>
  <c r="C55" i="30" s="1"/>
  <c r="E44" i="10"/>
  <c r="G44" i="10" s="1"/>
  <c r="C44" i="30" s="1"/>
  <c r="E10" i="10"/>
  <c r="G10" i="10" s="1"/>
  <c r="C10" i="30" s="1"/>
  <c r="E52" i="10"/>
  <c r="G52" i="10" s="1"/>
  <c r="C52" i="30" s="1"/>
  <c r="E20" i="10"/>
  <c r="G20" i="10" s="1"/>
  <c r="C20" i="30" s="1"/>
  <c r="E35" i="10"/>
  <c r="G35" i="10" s="1"/>
  <c r="C35" i="30" s="1"/>
  <c r="E49" i="10"/>
  <c r="G49" i="10" s="1"/>
  <c r="C49" i="30" s="1"/>
  <c r="E8" i="10"/>
  <c r="G8" i="10" s="1"/>
  <c r="C8" i="30" s="1"/>
  <c r="E28" i="10"/>
  <c r="G28" i="10" s="1"/>
  <c r="C28" i="30" s="1"/>
  <c r="E12" i="10"/>
  <c r="G12" i="10" s="1"/>
  <c r="C12" i="30" s="1"/>
  <c r="E26" i="10"/>
  <c r="G26" i="10" s="1"/>
  <c r="C26" i="30" s="1"/>
  <c r="E13" i="10"/>
  <c r="G13" i="10" s="1"/>
  <c r="C13" i="30" s="1"/>
  <c r="E56" i="10"/>
  <c r="G56" i="10" s="1"/>
  <c r="C56" i="30" s="1"/>
  <c r="E4" i="9"/>
  <c r="G4" i="9" s="1"/>
  <c r="C4" i="10" s="1"/>
  <c r="E42" i="10"/>
  <c r="G42" i="10" s="1"/>
  <c r="C42" i="30" s="1"/>
  <c r="E5" i="10"/>
  <c r="G5" i="10" s="1"/>
  <c r="C5" i="30" s="1"/>
  <c r="B108" i="2"/>
  <c r="B111" i="2" s="1"/>
  <c r="C59" i="11" l="1"/>
  <c r="E59" i="11" s="1"/>
  <c r="G59" i="11" s="1"/>
  <c r="C59" i="12" s="1"/>
  <c r="E59" i="12" s="1"/>
  <c r="G59" i="12" s="1"/>
  <c r="C69" i="29"/>
  <c r="E69" i="29" s="1"/>
  <c r="G69" i="29" s="1"/>
  <c r="C69" i="9" s="1"/>
  <c r="E69" i="9" s="1"/>
  <c r="G69" i="9" s="1"/>
  <c r="C62" i="29"/>
  <c r="E62" i="29" s="1"/>
  <c r="G62" i="29" s="1"/>
  <c r="C62" i="9" s="1"/>
  <c r="E62" i="9" s="1"/>
  <c r="G62" i="9" s="1"/>
  <c r="E76" i="29"/>
  <c r="G76" i="29" s="1"/>
  <c r="C76" i="9" s="1"/>
  <c r="E76" i="9" s="1"/>
  <c r="E60" i="29"/>
  <c r="G60" i="29" s="1"/>
  <c r="C60" i="9" s="1"/>
  <c r="E60" i="9" s="1"/>
  <c r="G60" i="9" s="1"/>
  <c r="E61" i="29"/>
  <c r="G61" i="29" s="1"/>
  <c r="C61" i="9" s="1"/>
  <c r="E61" i="9" s="1"/>
  <c r="G61" i="9" s="1"/>
  <c r="E79" i="29"/>
  <c r="G79" i="29" s="1"/>
  <c r="C79" i="9" s="1"/>
  <c r="E79" i="9" s="1"/>
  <c r="E81" i="29"/>
  <c r="G81" i="29" s="1"/>
  <c r="C81" i="9" s="1"/>
  <c r="E81" i="9" s="1"/>
  <c r="E75" i="29"/>
  <c r="G75" i="29" s="1"/>
  <c r="C75" i="9" s="1"/>
  <c r="E75" i="9" s="1"/>
  <c r="E63" i="29"/>
  <c r="G63" i="29" s="1"/>
  <c r="C63" i="9" s="1"/>
  <c r="E63" i="9" s="1"/>
  <c r="G63" i="9" s="1"/>
  <c r="E71" i="29"/>
  <c r="G71" i="29" s="1"/>
  <c r="C71" i="9" s="1"/>
  <c r="E71" i="9" s="1"/>
  <c r="C88" i="9"/>
  <c r="E88" i="9" s="1"/>
  <c r="E77" i="29"/>
  <c r="G77" i="29" s="1"/>
  <c r="C77" i="9" s="1"/>
  <c r="E77" i="9" s="1"/>
  <c r="E74" i="29"/>
  <c r="G74" i="29" s="1"/>
  <c r="C74" i="9" s="1"/>
  <c r="E74" i="9" s="1"/>
  <c r="C89" i="9"/>
  <c r="E89" i="9" s="1"/>
  <c r="E67" i="29"/>
  <c r="G67" i="29" s="1"/>
  <c r="C67" i="9" s="1"/>
  <c r="E67" i="9" s="1"/>
  <c r="E64" i="29"/>
  <c r="G64" i="29" s="1"/>
  <c r="C64" i="9" s="1"/>
  <c r="E64" i="9" s="1"/>
  <c r="G64" i="9" s="1"/>
  <c r="C90" i="9"/>
  <c r="E90" i="9" s="1"/>
  <c r="E82" i="8"/>
  <c r="G82" i="8" s="1"/>
  <c r="C82" i="29" s="1"/>
  <c r="E78" i="29"/>
  <c r="G78" i="29" s="1"/>
  <c r="C78" i="9" s="1"/>
  <c r="E78" i="9" s="1"/>
  <c r="C83" i="9"/>
  <c r="E83" i="9" s="1"/>
  <c r="C84" i="9"/>
  <c r="E84" i="9" s="1"/>
  <c r="C85" i="9"/>
  <c r="E85" i="9" s="1"/>
  <c r="E65" i="29"/>
  <c r="G65" i="29" s="1"/>
  <c r="C65" i="9" s="1"/>
  <c r="E65" i="9" s="1"/>
  <c r="G65" i="9" s="1"/>
  <c r="E73" i="29"/>
  <c r="G73" i="29" s="1"/>
  <c r="C73" i="9" s="1"/>
  <c r="E73" i="9" s="1"/>
  <c r="E70" i="29"/>
  <c r="G70" i="29" s="1"/>
  <c r="C70" i="9" s="1"/>
  <c r="E70" i="9" s="1"/>
  <c r="E72" i="29"/>
  <c r="G72" i="29" s="1"/>
  <c r="C72" i="9" s="1"/>
  <c r="E72" i="9" s="1"/>
  <c r="E66" i="29"/>
  <c r="G66" i="29" s="1"/>
  <c r="C66" i="9" s="1"/>
  <c r="E66" i="9" s="1"/>
  <c r="C86" i="9"/>
  <c r="E86" i="9" s="1"/>
  <c r="C87" i="9"/>
  <c r="E87" i="9" s="1"/>
  <c r="E80" i="8"/>
  <c r="G80" i="8" s="1"/>
  <c r="C80" i="29" s="1"/>
  <c r="G68" i="9"/>
  <c r="E9" i="30"/>
  <c r="G9" i="30" s="1"/>
  <c r="E33" i="30"/>
  <c r="G33" i="30" s="1"/>
  <c r="E16" i="30"/>
  <c r="G16" i="30" s="1"/>
  <c r="E46" i="30"/>
  <c r="G46" i="30" s="1"/>
  <c r="E25" i="30"/>
  <c r="G25" i="30" s="1"/>
  <c r="E52" i="30"/>
  <c r="G52" i="30" s="1"/>
  <c r="E58" i="30"/>
  <c r="G58" i="30" s="1"/>
  <c r="E48" i="30"/>
  <c r="G48" i="30" s="1"/>
  <c r="E24" i="30"/>
  <c r="G24" i="30" s="1"/>
  <c r="E54" i="30"/>
  <c r="G54" i="30" s="1"/>
  <c r="E38" i="30"/>
  <c r="G38" i="30" s="1"/>
  <c r="E29" i="30"/>
  <c r="G29" i="30" s="1"/>
  <c r="E31" i="30"/>
  <c r="G31" i="30" s="1"/>
  <c r="E50" i="30"/>
  <c r="G50" i="30" s="1"/>
  <c r="E28" i="30"/>
  <c r="G28" i="30" s="1"/>
  <c r="E53" i="30"/>
  <c r="G53" i="30" s="1"/>
  <c r="E18" i="30"/>
  <c r="G18" i="30" s="1"/>
  <c r="E42" i="30"/>
  <c r="G42" i="30" s="1"/>
  <c r="E55" i="30"/>
  <c r="G55" i="30" s="1"/>
  <c r="E34" i="30"/>
  <c r="G34" i="30" s="1"/>
  <c r="E22" i="30"/>
  <c r="G22" i="30" s="1"/>
  <c r="E30" i="30"/>
  <c r="G30" i="30" s="1"/>
  <c r="E39" i="30"/>
  <c r="G39" i="30" s="1"/>
  <c r="E43" i="30"/>
  <c r="G43" i="30" s="1"/>
  <c r="E49" i="30"/>
  <c r="G49" i="30" s="1"/>
  <c r="E56" i="30"/>
  <c r="G56" i="30" s="1"/>
  <c r="E41" i="30"/>
  <c r="G41" i="30" s="1"/>
  <c r="E47" i="30"/>
  <c r="G47" i="30" s="1"/>
  <c r="E40" i="30"/>
  <c r="G40" i="30" s="1"/>
  <c r="E45" i="30"/>
  <c r="G45" i="30" s="1"/>
  <c r="E35" i="30"/>
  <c r="G35" i="30" s="1"/>
  <c r="E36" i="30"/>
  <c r="G36" i="30" s="1"/>
  <c r="E17" i="30"/>
  <c r="G17" i="30" s="1"/>
  <c r="E51" i="30"/>
  <c r="G51" i="30" s="1"/>
  <c r="E23" i="30"/>
  <c r="G23" i="30" s="1"/>
  <c r="E20" i="30"/>
  <c r="G20" i="30" s="1"/>
  <c r="E57" i="30"/>
  <c r="G57" i="30" s="1"/>
  <c r="E37" i="30"/>
  <c r="G37" i="30" s="1"/>
  <c r="E19" i="30"/>
  <c r="G19" i="30" s="1"/>
  <c r="E26" i="30"/>
  <c r="G26" i="30" s="1"/>
  <c r="E44" i="30"/>
  <c r="G44" i="30" s="1"/>
  <c r="E32" i="30"/>
  <c r="G32" i="30" s="1"/>
  <c r="E27" i="30"/>
  <c r="G27" i="30" s="1"/>
  <c r="E21" i="30"/>
  <c r="G21" i="30" s="1"/>
  <c r="E15" i="30"/>
  <c r="G15" i="30" s="1"/>
  <c r="E14" i="30"/>
  <c r="G14" i="30" s="1"/>
  <c r="E11" i="30"/>
  <c r="G11" i="30" s="1"/>
  <c r="E10" i="30"/>
  <c r="G10" i="30" s="1"/>
  <c r="E8" i="30"/>
  <c r="G8" i="30" s="1"/>
  <c r="E7" i="30"/>
  <c r="G7" i="30" s="1"/>
  <c r="E5" i="30"/>
  <c r="G5" i="30" s="1"/>
  <c r="E6" i="30"/>
  <c r="G6" i="30" s="1"/>
  <c r="E12" i="30"/>
  <c r="G12" i="30" s="1"/>
  <c r="E13" i="30"/>
  <c r="G13" i="30" s="1"/>
  <c r="E4" i="10"/>
  <c r="G4" i="10" s="1"/>
  <c r="C4" i="30" s="1"/>
  <c r="D108" i="2"/>
  <c r="D111" i="2" s="1"/>
  <c r="D113" i="2" s="1"/>
  <c r="C69" i="10" l="1"/>
  <c r="E69" i="10" s="1"/>
  <c r="G69" i="10" s="1"/>
  <c r="C69" i="30" s="1"/>
  <c r="E69" i="30" s="1"/>
  <c r="G69" i="30" s="1"/>
  <c r="C62" i="10"/>
  <c r="E62" i="10" s="1"/>
  <c r="G62" i="10" s="1"/>
  <c r="C62" i="30" s="1"/>
  <c r="E62" i="30" s="1"/>
  <c r="G62" i="30" s="1"/>
  <c r="C59" i="13"/>
  <c r="E59" i="13" s="1"/>
  <c r="G59" i="13" s="1"/>
  <c r="C59" i="32" s="1"/>
  <c r="E59" i="32" s="1"/>
  <c r="G59" i="32" s="1"/>
  <c r="C59" i="14" s="1"/>
  <c r="E59" i="14" s="1"/>
  <c r="G59" i="14" s="1"/>
  <c r="C59" i="15" s="1"/>
  <c r="C38" i="11"/>
  <c r="E38" i="11" s="1"/>
  <c r="G38" i="11" s="1"/>
  <c r="C38" i="12" s="1"/>
  <c r="E38" i="12" s="1"/>
  <c r="G38" i="12" s="1"/>
  <c r="C6" i="11"/>
  <c r="E6" i="11" s="1"/>
  <c r="G6" i="11" s="1"/>
  <c r="C6" i="12" s="1"/>
  <c r="E6" i="12" s="1"/>
  <c r="G6" i="12" s="1"/>
  <c r="C10" i="11"/>
  <c r="E10" i="11" s="1"/>
  <c r="G10" i="11" s="1"/>
  <c r="C10" i="12" s="1"/>
  <c r="E10" i="12" s="1"/>
  <c r="G10" i="12" s="1"/>
  <c r="C20" i="11"/>
  <c r="E20" i="11" s="1"/>
  <c r="G20" i="11" s="1"/>
  <c r="C20" i="12" s="1"/>
  <c r="E20" i="12" s="1"/>
  <c r="G20" i="12" s="1"/>
  <c r="C43" i="11"/>
  <c r="E43" i="11" s="1"/>
  <c r="G43" i="11" s="1"/>
  <c r="C43" i="12" s="1"/>
  <c r="E43" i="12" s="1"/>
  <c r="G43" i="12" s="1"/>
  <c r="C29" i="11"/>
  <c r="E29" i="11" s="1"/>
  <c r="G29" i="11" s="1"/>
  <c r="C29" i="12" s="1"/>
  <c r="E29" i="12" s="1"/>
  <c r="G29" i="12" s="1"/>
  <c r="C68" i="10"/>
  <c r="E68" i="10" s="1"/>
  <c r="G68" i="10" s="1"/>
  <c r="C68" i="30" s="1"/>
  <c r="E68" i="30" s="1"/>
  <c r="G68" i="30" s="1"/>
  <c r="C39" i="11"/>
  <c r="E39" i="11" s="1"/>
  <c r="G39" i="11" s="1"/>
  <c r="C39" i="12" s="1"/>
  <c r="E39" i="12" s="1"/>
  <c r="G39" i="12" s="1"/>
  <c r="C61" i="10"/>
  <c r="E61" i="10" s="1"/>
  <c r="G61" i="10" s="1"/>
  <c r="C61" i="30" s="1"/>
  <c r="E61" i="30" s="1"/>
  <c r="G61" i="30" s="1"/>
  <c r="C15" i="11"/>
  <c r="E15" i="11" s="1"/>
  <c r="G15" i="11" s="1"/>
  <c r="C15" i="12" s="1"/>
  <c r="E15" i="12" s="1"/>
  <c r="G15" i="12" s="1"/>
  <c r="C60" i="10"/>
  <c r="E60" i="10" s="1"/>
  <c r="G60" i="10" s="1"/>
  <c r="C60" i="30" s="1"/>
  <c r="E60" i="30" s="1"/>
  <c r="G60" i="30" s="1"/>
  <c r="C58" i="11"/>
  <c r="E58" i="11" s="1"/>
  <c r="G58" i="11" s="1"/>
  <c r="C58" i="12" s="1"/>
  <c r="E58" i="12" s="1"/>
  <c r="G58" i="12" s="1"/>
  <c r="C30" i="11"/>
  <c r="E30" i="11" s="1"/>
  <c r="G30" i="11" s="1"/>
  <c r="C30" i="12" s="1"/>
  <c r="E30" i="12" s="1"/>
  <c r="G30" i="12" s="1"/>
  <c r="C17" i="11"/>
  <c r="E17" i="11" s="1"/>
  <c r="G17" i="11" s="1"/>
  <c r="C17" i="12" s="1"/>
  <c r="E17" i="12" s="1"/>
  <c r="G17" i="12" s="1"/>
  <c r="C22" i="11"/>
  <c r="E22" i="11" s="1"/>
  <c r="G22" i="11" s="1"/>
  <c r="C22" i="12" s="1"/>
  <c r="E22" i="12" s="1"/>
  <c r="G22" i="12" s="1"/>
  <c r="C24" i="11"/>
  <c r="E24" i="11" s="1"/>
  <c r="G24" i="11" s="1"/>
  <c r="C24" i="12" s="1"/>
  <c r="E24" i="12" s="1"/>
  <c r="G24" i="12" s="1"/>
  <c r="C11" i="11"/>
  <c r="E11" i="11" s="1"/>
  <c r="G11" i="11" s="1"/>
  <c r="C11" i="12" s="1"/>
  <c r="E11" i="12" s="1"/>
  <c r="G11" i="12" s="1"/>
  <c r="C64" i="10"/>
  <c r="E64" i="10" s="1"/>
  <c r="G64" i="10" s="1"/>
  <c r="C64" i="30" s="1"/>
  <c r="E64" i="30" s="1"/>
  <c r="G64" i="30" s="1"/>
  <c r="C27" i="11"/>
  <c r="E27" i="11" s="1"/>
  <c r="G27" i="11" s="1"/>
  <c r="C27" i="12" s="1"/>
  <c r="E27" i="12" s="1"/>
  <c r="G27" i="12" s="1"/>
  <c r="C35" i="11"/>
  <c r="E35" i="11" s="1"/>
  <c r="G35" i="11" s="1"/>
  <c r="C35" i="12" s="1"/>
  <c r="E35" i="12" s="1"/>
  <c r="G35" i="12" s="1"/>
  <c r="C55" i="11"/>
  <c r="E55" i="11" s="1"/>
  <c r="G55" i="11" s="1"/>
  <c r="C55" i="12" s="1"/>
  <c r="E55" i="12" s="1"/>
  <c r="G55" i="12" s="1"/>
  <c r="C32" i="11"/>
  <c r="E32" i="11" s="1"/>
  <c r="G32" i="11" s="1"/>
  <c r="C32" i="12" s="1"/>
  <c r="E32" i="12" s="1"/>
  <c r="G32" i="12" s="1"/>
  <c r="C45" i="11"/>
  <c r="E45" i="11" s="1"/>
  <c r="G45" i="11" s="1"/>
  <c r="C45" i="12" s="1"/>
  <c r="E45" i="12" s="1"/>
  <c r="G45" i="12" s="1"/>
  <c r="C42" i="11"/>
  <c r="E42" i="11" s="1"/>
  <c r="G42" i="11" s="1"/>
  <c r="C42" i="12" s="1"/>
  <c r="E42" i="12" s="1"/>
  <c r="G42" i="12" s="1"/>
  <c r="C52" i="11"/>
  <c r="E52" i="11" s="1"/>
  <c r="G52" i="11" s="1"/>
  <c r="C52" i="12" s="1"/>
  <c r="E52" i="12" s="1"/>
  <c r="G52" i="12" s="1"/>
  <c r="C12" i="11"/>
  <c r="E12" i="11" s="1"/>
  <c r="G12" i="11" s="1"/>
  <c r="C12" i="12" s="1"/>
  <c r="E12" i="12" s="1"/>
  <c r="G12" i="12" s="1"/>
  <c r="C44" i="11"/>
  <c r="E44" i="11" s="1"/>
  <c r="G44" i="11" s="1"/>
  <c r="C44" i="12" s="1"/>
  <c r="E44" i="12" s="1"/>
  <c r="G44" i="12" s="1"/>
  <c r="C40" i="11"/>
  <c r="E40" i="11" s="1"/>
  <c r="G40" i="11" s="1"/>
  <c r="C40" i="12" s="1"/>
  <c r="E40" i="12" s="1"/>
  <c r="G40" i="12" s="1"/>
  <c r="C18" i="11"/>
  <c r="E18" i="11" s="1"/>
  <c r="G18" i="11" s="1"/>
  <c r="C18" i="12" s="1"/>
  <c r="E18" i="12" s="1"/>
  <c r="G18" i="12" s="1"/>
  <c r="E25" i="11"/>
  <c r="G25" i="11" s="1"/>
  <c r="C25" i="12" s="1"/>
  <c r="E25" i="12" s="1"/>
  <c r="G25" i="12" s="1"/>
  <c r="C25" i="11"/>
  <c r="C23" i="11"/>
  <c r="E23" i="11" s="1"/>
  <c r="G23" i="11" s="1"/>
  <c r="C23" i="12" s="1"/>
  <c r="E23" i="12" s="1"/>
  <c r="G23" i="12" s="1"/>
  <c r="C5" i="11"/>
  <c r="E5" i="11" s="1"/>
  <c r="G5" i="11" s="1"/>
  <c r="C5" i="12" s="1"/>
  <c r="E5" i="12" s="1"/>
  <c r="G5" i="12" s="1"/>
  <c r="E65" i="10"/>
  <c r="G65" i="10" s="1"/>
  <c r="C65" i="30" s="1"/>
  <c r="E65" i="30" s="1"/>
  <c r="G65" i="30" s="1"/>
  <c r="C65" i="10"/>
  <c r="C36" i="11"/>
  <c r="E36" i="11" s="1"/>
  <c r="G36" i="11" s="1"/>
  <c r="C36" i="12" s="1"/>
  <c r="E36" i="12" s="1"/>
  <c r="G36" i="12" s="1"/>
  <c r="C34" i="11"/>
  <c r="E34" i="11" s="1"/>
  <c r="G34" i="11" s="1"/>
  <c r="C34" i="12" s="1"/>
  <c r="E34" i="12" s="1"/>
  <c r="G34" i="12" s="1"/>
  <c r="E48" i="11"/>
  <c r="G48" i="11" s="1"/>
  <c r="C48" i="12" s="1"/>
  <c r="E48" i="12" s="1"/>
  <c r="G48" i="12" s="1"/>
  <c r="C48" i="11"/>
  <c r="C26" i="11"/>
  <c r="E26" i="11" s="1"/>
  <c r="G26" i="11" s="1"/>
  <c r="C26" i="12" s="1"/>
  <c r="E26" i="12" s="1"/>
  <c r="G26" i="12" s="1"/>
  <c r="C47" i="11"/>
  <c r="E47" i="11" s="1"/>
  <c r="G47" i="11" s="1"/>
  <c r="C47" i="12" s="1"/>
  <c r="E47" i="12" s="1"/>
  <c r="G47" i="12" s="1"/>
  <c r="E53" i="11"/>
  <c r="G53" i="11" s="1"/>
  <c r="C53" i="12" s="1"/>
  <c r="C53" i="11"/>
  <c r="C37" i="11"/>
  <c r="E37" i="11" s="1"/>
  <c r="G37" i="11" s="1"/>
  <c r="C37" i="12" s="1"/>
  <c r="E37" i="12" s="1"/>
  <c r="G37" i="12" s="1"/>
  <c r="C51" i="11"/>
  <c r="E51" i="11" s="1"/>
  <c r="G51" i="11" s="1"/>
  <c r="C51" i="12" s="1"/>
  <c r="E51" i="12" s="1"/>
  <c r="G51" i="12" s="1"/>
  <c r="E54" i="11"/>
  <c r="G54" i="11" s="1"/>
  <c r="C54" i="12" s="1"/>
  <c r="E54" i="12" s="1"/>
  <c r="G54" i="12" s="1"/>
  <c r="C54" i="11"/>
  <c r="C21" i="11"/>
  <c r="E21" i="11" s="1"/>
  <c r="G21" i="11" s="1"/>
  <c r="C21" i="12" s="1"/>
  <c r="E21" i="12" s="1"/>
  <c r="G21" i="12" s="1"/>
  <c r="C46" i="11"/>
  <c r="E46" i="11" s="1"/>
  <c r="G46" i="11" s="1"/>
  <c r="C46" i="12" s="1"/>
  <c r="E46" i="12" s="1"/>
  <c r="G46" i="12" s="1"/>
  <c r="E19" i="11"/>
  <c r="G19" i="11" s="1"/>
  <c r="C19" i="12" s="1"/>
  <c r="E19" i="12" s="1"/>
  <c r="G19" i="12" s="1"/>
  <c r="C19" i="11"/>
  <c r="C41" i="11"/>
  <c r="E41" i="11" s="1"/>
  <c r="G41" i="11" s="1"/>
  <c r="C41" i="12" s="1"/>
  <c r="E41" i="12" s="1"/>
  <c r="G41" i="12" s="1"/>
  <c r="C28" i="11"/>
  <c r="E28" i="11" s="1"/>
  <c r="G28" i="11" s="1"/>
  <c r="C28" i="12" s="1"/>
  <c r="E28" i="12" s="1"/>
  <c r="G28" i="12" s="1"/>
  <c r="E16" i="11"/>
  <c r="G16" i="11" s="1"/>
  <c r="C16" i="12" s="1"/>
  <c r="E16" i="12" s="1"/>
  <c r="G16" i="12" s="1"/>
  <c r="C16" i="11"/>
  <c r="C7" i="11"/>
  <c r="E7" i="11" s="1"/>
  <c r="G7" i="11" s="1"/>
  <c r="C7" i="12" s="1"/>
  <c r="E7" i="12" s="1"/>
  <c r="G7" i="12" s="1"/>
  <c r="C56" i="11"/>
  <c r="E56" i="11" s="1"/>
  <c r="G56" i="11" s="1"/>
  <c r="C56" i="12" s="1"/>
  <c r="E56" i="12" s="1"/>
  <c r="G56" i="12" s="1"/>
  <c r="E50" i="11"/>
  <c r="G50" i="11" s="1"/>
  <c r="C50" i="12" s="1"/>
  <c r="E50" i="12" s="1"/>
  <c r="G50" i="12" s="1"/>
  <c r="C50" i="11"/>
  <c r="C33" i="11"/>
  <c r="E33" i="11" s="1"/>
  <c r="G33" i="11" s="1"/>
  <c r="C33" i="12" s="1"/>
  <c r="E33" i="12" s="1"/>
  <c r="G33" i="12" s="1"/>
  <c r="C8" i="11"/>
  <c r="E8" i="11" s="1"/>
  <c r="G8" i="11" s="1"/>
  <c r="C8" i="12" s="1"/>
  <c r="E8" i="12" s="1"/>
  <c r="G8" i="12" s="1"/>
  <c r="E57" i="11"/>
  <c r="G57" i="11" s="1"/>
  <c r="C57" i="12" s="1"/>
  <c r="E57" i="12" s="1"/>
  <c r="G57" i="12" s="1"/>
  <c r="C57" i="11"/>
  <c r="C49" i="11"/>
  <c r="E49" i="11" s="1"/>
  <c r="G49" i="11" s="1"/>
  <c r="C49" i="12" s="1"/>
  <c r="E49" i="12" s="1"/>
  <c r="G49" i="12" s="1"/>
  <c r="C31" i="11"/>
  <c r="E31" i="11" s="1"/>
  <c r="G31" i="11" s="1"/>
  <c r="C31" i="12" s="1"/>
  <c r="E31" i="12" s="1"/>
  <c r="G31" i="12" s="1"/>
  <c r="E9" i="11"/>
  <c r="G9" i="11" s="1"/>
  <c r="C9" i="12" s="1"/>
  <c r="E9" i="12" s="1"/>
  <c r="G9" i="12" s="1"/>
  <c r="C9" i="11"/>
  <c r="C63" i="10"/>
  <c r="E63" i="10" s="1"/>
  <c r="G63" i="10" s="1"/>
  <c r="C63" i="30" s="1"/>
  <c r="E63" i="30" s="1"/>
  <c r="G63" i="30" s="1"/>
  <c r="C14" i="11"/>
  <c r="E14" i="11" s="1"/>
  <c r="G14" i="11" s="1"/>
  <c r="C14" i="12" s="1"/>
  <c r="E14" i="12" s="1"/>
  <c r="G14" i="12" s="1"/>
  <c r="C13" i="11"/>
  <c r="E13" i="11" s="1"/>
  <c r="G13" i="11" s="1"/>
  <c r="C13" i="12" s="1"/>
  <c r="E13" i="12" s="1"/>
  <c r="G13" i="12" s="1"/>
  <c r="G66" i="9"/>
  <c r="G84" i="9"/>
  <c r="G75" i="9"/>
  <c r="G83" i="9"/>
  <c r="G81" i="9"/>
  <c r="G86" i="9"/>
  <c r="G78" i="9"/>
  <c r="G74" i="9"/>
  <c r="G67" i="9"/>
  <c r="G70" i="9"/>
  <c r="G77" i="9"/>
  <c r="G73" i="9"/>
  <c r="G88" i="9"/>
  <c r="G90" i="9"/>
  <c r="G87" i="9"/>
  <c r="G76" i="9"/>
  <c r="E80" i="29"/>
  <c r="G80" i="29" s="1"/>
  <c r="G72" i="9"/>
  <c r="G85" i="9"/>
  <c r="E82" i="29"/>
  <c r="G82" i="29" s="1"/>
  <c r="G89" i="9"/>
  <c r="G71" i="9"/>
  <c r="G79" i="9"/>
  <c r="E53" i="12"/>
  <c r="G53" i="12" s="1"/>
  <c r="E4" i="30"/>
  <c r="G4" i="30" s="1"/>
  <c r="C4" i="11" s="1"/>
  <c r="C23" i="13" l="1"/>
  <c r="E23" i="13" s="1"/>
  <c r="G23" i="13" s="1"/>
  <c r="C23" i="32" s="1"/>
  <c r="E23" i="32" s="1"/>
  <c r="G23" i="32" s="1"/>
  <c r="C23" i="14" s="1"/>
  <c r="C55" i="13"/>
  <c r="E55" i="13" s="1"/>
  <c r="G55" i="13" s="1"/>
  <c r="C55" i="32" s="1"/>
  <c r="E55" i="32" s="1"/>
  <c r="G55" i="32" s="1"/>
  <c r="C55" i="14" s="1"/>
  <c r="C61" i="11"/>
  <c r="E61" i="11" s="1"/>
  <c r="G61" i="11" s="1"/>
  <c r="C61" i="12" s="1"/>
  <c r="E61" i="12" s="1"/>
  <c r="G61" i="12" s="1"/>
  <c r="C41" i="13"/>
  <c r="E41" i="13" s="1"/>
  <c r="G41" i="13" s="1"/>
  <c r="C41" i="32" s="1"/>
  <c r="E41" i="32" s="1"/>
  <c r="G41" i="32" s="1"/>
  <c r="C41" i="14" s="1"/>
  <c r="C63" i="11"/>
  <c r="E63" i="11" s="1"/>
  <c r="G63" i="11" s="1"/>
  <c r="C63" i="12" s="1"/>
  <c r="E63" i="12" s="1"/>
  <c r="G63" i="12" s="1"/>
  <c r="C7" i="13"/>
  <c r="E7" i="13" s="1"/>
  <c r="G7" i="13" s="1"/>
  <c r="C7" i="32" s="1"/>
  <c r="E7" i="32" s="1"/>
  <c r="G7" i="32" s="1"/>
  <c r="C7" i="14" s="1"/>
  <c r="C37" i="13"/>
  <c r="E37" i="13" s="1"/>
  <c r="G37" i="13" s="1"/>
  <c r="C37" i="32" s="1"/>
  <c r="E37" i="32" s="1"/>
  <c r="G37" i="32" s="1"/>
  <c r="C37" i="14" s="1"/>
  <c r="C35" i="13"/>
  <c r="E35" i="13" s="1"/>
  <c r="G35" i="13" s="1"/>
  <c r="C35" i="32" s="1"/>
  <c r="E35" i="32" s="1"/>
  <c r="G35" i="32" s="1"/>
  <c r="C35" i="14" s="1"/>
  <c r="C39" i="13"/>
  <c r="E39" i="13" s="1"/>
  <c r="G39" i="13" s="1"/>
  <c r="C39" i="32" s="1"/>
  <c r="E39" i="32" s="1"/>
  <c r="G39" i="32" s="1"/>
  <c r="C39" i="14" s="1"/>
  <c r="C27" i="13"/>
  <c r="E27" i="13" s="1"/>
  <c r="G27" i="13" s="1"/>
  <c r="C27" i="32" s="1"/>
  <c r="E27" i="32" s="1"/>
  <c r="G27" i="32" s="1"/>
  <c r="C27" i="14" s="1"/>
  <c r="C68" i="11"/>
  <c r="E68" i="11" s="1"/>
  <c r="G68" i="11" s="1"/>
  <c r="C68" i="12" s="1"/>
  <c r="E68" i="12" s="1"/>
  <c r="G68" i="12" s="1"/>
  <c r="C68" i="13" s="1"/>
  <c r="E68" i="13" s="1"/>
  <c r="G68" i="13" s="1"/>
  <c r="C68" i="32" s="1"/>
  <c r="C18" i="13"/>
  <c r="E18" i="13" s="1"/>
  <c r="G18" i="13" s="1"/>
  <c r="C18" i="32" s="1"/>
  <c r="E18" i="32" s="1"/>
  <c r="G18" i="32" s="1"/>
  <c r="C18" i="14" s="1"/>
  <c r="C64" i="11"/>
  <c r="E64" i="11" s="1"/>
  <c r="G64" i="11" s="1"/>
  <c r="C64" i="12" s="1"/>
  <c r="E64" i="12" s="1"/>
  <c r="G64" i="12" s="1"/>
  <c r="C29" i="13"/>
  <c r="E29" i="13" s="1"/>
  <c r="G29" i="13" s="1"/>
  <c r="C29" i="32" s="1"/>
  <c r="E29" i="32" s="1"/>
  <c r="G29" i="32" s="1"/>
  <c r="C29" i="14" s="1"/>
  <c r="C31" i="13"/>
  <c r="E31" i="13" s="1"/>
  <c r="G31" i="13" s="1"/>
  <c r="C31" i="32" s="1"/>
  <c r="E31" i="32" s="1"/>
  <c r="G31" i="32" s="1"/>
  <c r="C31" i="14" s="1"/>
  <c r="C40" i="13"/>
  <c r="E40" i="13" s="1"/>
  <c r="G40" i="13" s="1"/>
  <c r="C40" i="32" s="1"/>
  <c r="E40" i="32" s="1"/>
  <c r="G40" i="32" s="1"/>
  <c r="C40" i="14" s="1"/>
  <c r="C11" i="13"/>
  <c r="E11" i="13" s="1"/>
  <c r="G11" i="13" s="1"/>
  <c r="C11" i="32" s="1"/>
  <c r="E11" i="32" s="1"/>
  <c r="G11" i="32" s="1"/>
  <c r="C11" i="14" s="1"/>
  <c r="C43" i="13"/>
  <c r="E43" i="13" s="1"/>
  <c r="G43" i="13" s="1"/>
  <c r="C43" i="32" s="1"/>
  <c r="E43" i="32" s="1"/>
  <c r="G43" i="32" s="1"/>
  <c r="C43" i="14" s="1"/>
  <c r="C47" i="13"/>
  <c r="E47" i="13" s="1"/>
  <c r="G47" i="13" s="1"/>
  <c r="C47" i="32" s="1"/>
  <c r="E47" i="32" s="1"/>
  <c r="G47" i="32" s="1"/>
  <c r="C47" i="14" s="1"/>
  <c r="C24" i="13"/>
  <c r="E24" i="13" s="1"/>
  <c r="G24" i="13" s="1"/>
  <c r="C24" i="32" s="1"/>
  <c r="E24" i="32" s="1"/>
  <c r="G24" i="32" s="1"/>
  <c r="C24" i="14" s="1"/>
  <c r="C20" i="13"/>
  <c r="E20" i="13" s="1"/>
  <c r="G20" i="13" s="1"/>
  <c r="C20" i="32" s="1"/>
  <c r="E20" i="32" s="1"/>
  <c r="G20" i="32" s="1"/>
  <c r="C20" i="14" s="1"/>
  <c r="C10" i="13"/>
  <c r="E10" i="13" s="1"/>
  <c r="G10" i="13" s="1"/>
  <c r="C10" i="32" s="1"/>
  <c r="E10" i="32" s="1"/>
  <c r="G10" i="32" s="1"/>
  <c r="C10" i="14" s="1"/>
  <c r="C52" i="13"/>
  <c r="E52" i="13" s="1"/>
  <c r="G52" i="13" s="1"/>
  <c r="C52" i="32" s="1"/>
  <c r="E52" i="32" s="1"/>
  <c r="G52" i="32" s="1"/>
  <c r="C52" i="14" s="1"/>
  <c r="C17" i="13"/>
  <c r="E17" i="13" s="1"/>
  <c r="G17" i="13" s="1"/>
  <c r="C17" i="32" s="1"/>
  <c r="E17" i="32" s="1"/>
  <c r="G17" i="32" s="1"/>
  <c r="C17" i="14" s="1"/>
  <c r="C6" i="13"/>
  <c r="E6" i="13" s="1"/>
  <c r="G6" i="13" s="1"/>
  <c r="C6" i="32" s="1"/>
  <c r="E6" i="32" s="1"/>
  <c r="G6" i="32" s="1"/>
  <c r="C6" i="14" s="1"/>
  <c r="C44" i="13"/>
  <c r="E44" i="13" s="1"/>
  <c r="G44" i="13" s="1"/>
  <c r="C44" i="32" s="1"/>
  <c r="E44" i="32" s="1"/>
  <c r="G44" i="32" s="1"/>
  <c r="C44" i="14" s="1"/>
  <c r="C57" i="13"/>
  <c r="E57" i="13" s="1"/>
  <c r="G57" i="13" s="1"/>
  <c r="C57" i="32" s="1"/>
  <c r="E57" i="32" s="1"/>
  <c r="G57" i="32" s="1"/>
  <c r="C57" i="14" s="1"/>
  <c r="C19" i="13"/>
  <c r="E19" i="13" s="1"/>
  <c r="G19" i="13" s="1"/>
  <c r="C19" i="32" s="1"/>
  <c r="E19" i="32" s="1"/>
  <c r="G19" i="32" s="1"/>
  <c r="C19" i="14" s="1"/>
  <c r="C48" i="13"/>
  <c r="E48" i="13" s="1"/>
  <c r="G48" i="13" s="1"/>
  <c r="C48" i="32" s="1"/>
  <c r="E48" i="32" s="1"/>
  <c r="G48" i="32" s="1"/>
  <c r="C48" i="14" s="1"/>
  <c r="C22" i="13"/>
  <c r="E22" i="13" s="1"/>
  <c r="G22" i="13" s="1"/>
  <c r="C22" i="32" s="1"/>
  <c r="E22" i="32" s="1"/>
  <c r="G22" i="32" s="1"/>
  <c r="C22" i="14" s="1"/>
  <c r="C8" i="13"/>
  <c r="E8" i="13" s="1"/>
  <c r="G8" i="13" s="1"/>
  <c r="C8" i="32" s="1"/>
  <c r="E8" i="32" s="1"/>
  <c r="G8" i="32" s="1"/>
  <c r="C8" i="14" s="1"/>
  <c r="C33" i="13"/>
  <c r="E33" i="13" s="1"/>
  <c r="G33" i="13" s="1"/>
  <c r="C33" i="32" s="1"/>
  <c r="E33" i="32" s="1"/>
  <c r="G33" i="32" s="1"/>
  <c r="C33" i="14" s="1"/>
  <c r="C30" i="13"/>
  <c r="E30" i="13" s="1"/>
  <c r="G30" i="13" s="1"/>
  <c r="C30" i="32" s="1"/>
  <c r="E30" i="32" s="1"/>
  <c r="G30" i="32" s="1"/>
  <c r="C30" i="14" s="1"/>
  <c r="C38" i="13"/>
  <c r="E38" i="13" s="1"/>
  <c r="G38" i="13" s="1"/>
  <c r="C38" i="32" s="1"/>
  <c r="E38" i="32" s="1"/>
  <c r="G38" i="32" s="1"/>
  <c r="C38" i="14" s="1"/>
  <c r="C9" i="13"/>
  <c r="E9" i="13" s="1"/>
  <c r="G9" i="13" s="1"/>
  <c r="C9" i="32" s="1"/>
  <c r="E9" i="32" s="1"/>
  <c r="G9" i="32" s="1"/>
  <c r="C9" i="14" s="1"/>
  <c r="C16" i="13"/>
  <c r="E16" i="13" s="1"/>
  <c r="G16" i="13" s="1"/>
  <c r="C16" i="32" s="1"/>
  <c r="E16" i="32" s="1"/>
  <c r="G16" i="32" s="1"/>
  <c r="C16" i="14" s="1"/>
  <c r="C25" i="13"/>
  <c r="E25" i="13" s="1"/>
  <c r="G25" i="13" s="1"/>
  <c r="C25" i="32" s="1"/>
  <c r="E25" i="32" s="1"/>
  <c r="G25" i="32" s="1"/>
  <c r="C25" i="14" s="1"/>
  <c r="C49" i="13"/>
  <c r="E49" i="13" s="1"/>
  <c r="G49" i="13" s="1"/>
  <c r="C49" i="32" s="1"/>
  <c r="E49" i="32" s="1"/>
  <c r="G49" i="32" s="1"/>
  <c r="C49" i="14" s="1"/>
  <c r="C12" i="13"/>
  <c r="E12" i="13" s="1"/>
  <c r="G12" i="13" s="1"/>
  <c r="C12" i="32" s="1"/>
  <c r="E12" i="32" s="1"/>
  <c r="G12" i="32" s="1"/>
  <c r="C12" i="14" s="1"/>
  <c r="C46" i="13"/>
  <c r="E46" i="13" s="1"/>
  <c r="G46" i="13" s="1"/>
  <c r="C46" i="32" s="1"/>
  <c r="E46" i="32" s="1"/>
  <c r="G46" i="32" s="1"/>
  <c r="C46" i="14" s="1"/>
  <c r="C34" i="13"/>
  <c r="E34" i="13" s="1"/>
  <c r="G34" i="13" s="1"/>
  <c r="C34" i="32" s="1"/>
  <c r="E34" i="32" s="1"/>
  <c r="G34" i="32" s="1"/>
  <c r="C34" i="14" s="1"/>
  <c r="C21" i="13"/>
  <c r="E21" i="13" s="1"/>
  <c r="G21" i="13" s="1"/>
  <c r="C21" i="32" s="1"/>
  <c r="E21" i="32" s="1"/>
  <c r="G21" i="32" s="1"/>
  <c r="C21" i="14" s="1"/>
  <c r="C36" i="13"/>
  <c r="E36" i="13" s="1"/>
  <c r="G36" i="13" s="1"/>
  <c r="C36" i="32" s="1"/>
  <c r="E36" i="32" s="1"/>
  <c r="G36" i="32" s="1"/>
  <c r="C36" i="14" s="1"/>
  <c r="C42" i="13"/>
  <c r="E42" i="13" s="1"/>
  <c r="G42" i="13" s="1"/>
  <c r="C42" i="32" s="1"/>
  <c r="E42" i="32" s="1"/>
  <c r="G42" i="32" s="1"/>
  <c r="C42" i="14" s="1"/>
  <c r="C58" i="13"/>
  <c r="E58" i="13" s="1"/>
  <c r="G58" i="13" s="1"/>
  <c r="C58" i="32" s="1"/>
  <c r="E58" i="32" s="1"/>
  <c r="G58" i="32" s="1"/>
  <c r="C58" i="14" s="1"/>
  <c r="E60" i="11"/>
  <c r="G60" i="11" s="1"/>
  <c r="C60" i="12" s="1"/>
  <c r="E60" i="12" s="1"/>
  <c r="G60" i="12" s="1"/>
  <c r="C60" i="11"/>
  <c r="C62" i="11"/>
  <c r="E62" i="11" s="1"/>
  <c r="G62" i="11" s="1"/>
  <c r="C28" i="13"/>
  <c r="E28" i="13" s="1"/>
  <c r="G28" i="13" s="1"/>
  <c r="C28" i="32" s="1"/>
  <c r="E28" i="32" s="1"/>
  <c r="G28" i="32" s="1"/>
  <c r="C28" i="14" s="1"/>
  <c r="C26" i="13"/>
  <c r="E26" i="13" s="1"/>
  <c r="G26" i="13" s="1"/>
  <c r="C26" i="32" s="1"/>
  <c r="E26" i="32" s="1"/>
  <c r="G26" i="32" s="1"/>
  <c r="C26" i="14" s="1"/>
  <c r="C50" i="13"/>
  <c r="E50" i="13" s="1"/>
  <c r="G50" i="13" s="1"/>
  <c r="C50" i="32" s="1"/>
  <c r="E50" i="32" s="1"/>
  <c r="G50" i="32" s="1"/>
  <c r="C50" i="14" s="1"/>
  <c r="C54" i="13"/>
  <c r="E54" i="13" s="1"/>
  <c r="G54" i="13" s="1"/>
  <c r="C54" i="32" s="1"/>
  <c r="E54" i="32" s="1"/>
  <c r="G54" i="32" s="1"/>
  <c r="C54" i="14" s="1"/>
  <c r="C45" i="13"/>
  <c r="E45" i="13" s="1"/>
  <c r="G45" i="13" s="1"/>
  <c r="C45" i="32" s="1"/>
  <c r="E45" i="32" s="1"/>
  <c r="G45" i="32" s="1"/>
  <c r="C45" i="14" s="1"/>
  <c r="C56" i="13"/>
  <c r="E56" i="13" s="1"/>
  <c r="G56" i="13" s="1"/>
  <c r="C56" i="32" s="1"/>
  <c r="E56" i="32" s="1"/>
  <c r="G56" i="32" s="1"/>
  <c r="C56" i="14" s="1"/>
  <c r="C51" i="13"/>
  <c r="E51" i="13" s="1"/>
  <c r="G51" i="13" s="1"/>
  <c r="C51" i="32" s="1"/>
  <c r="E51" i="32" s="1"/>
  <c r="G51" i="32" s="1"/>
  <c r="C51" i="14" s="1"/>
  <c r="C5" i="13"/>
  <c r="E5" i="13" s="1"/>
  <c r="G5" i="13" s="1"/>
  <c r="C5" i="32" s="1"/>
  <c r="E5" i="32" s="1"/>
  <c r="G5" i="32" s="1"/>
  <c r="C5" i="14" s="1"/>
  <c r="C32" i="13"/>
  <c r="E32" i="13" s="1"/>
  <c r="G32" i="13" s="1"/>
  <c r="C32" i="32" s="1"/>
  <c r="E32" i="32" s="1"/>
  <c r="G32" i="32" s="1"/>
  <c r="C32" i="14" s="1"/>
  <c r="C15" i="13"/>
  <c r="E15" i="13" s="1"/>
  <c r="G15" i="13" s="1"/>
  <c r="C15" i="32" s="1"/>
  <c r="E15" i="32" s="1"/>
  <c r="G15" i="32" s="1"/>
  <c r="C15" i="14" s="1"/>
  <c r="C69" i="11"/>
  <c r="E69" i="11" s="1"/>
  <c r="G69" i="11" s="1"/>
  <c r="C72" i="10"/>
  <c r="E72" i="10" s="1"/>
  <c r="G72" i="10" s="1"/>
  <c r="C72" i="30" s="1"/>
  <c r="E72" i="30" s="1"/>
  <c r="G72" i="30" s="1"/>
  <c r="C77" i="10"/>
  <c r="E77" i="10" s="1"/>
  <c r="G77" i="10" s="1"/>
  <c r="C77" i="30" s="1"/>
  <c r="E77" i="30" s="1"/>
  <c r="G77" i="30" s="1"/>
  <c r="C90" i="10"/>
  <c r="E90" i="10" s="1"/>
  <c r="G90" i="10" s="1"/>
  <c r="C90" i="30" s="1"/>
  <c r="E90" i="30" s="1"/>
  <c r="G90" i="30" s="1"/>
  <c r="C65" i="11"/>
  <c r="E65" i="11" s="1"/>
  <c r="G65" i="11" s="1"/>
  <c r="C65" i="12" s="1"/>
  <c r="E65" i="12" s="1"/>
  <c r="G65" i="12" s="1"/>
  <c r="E79" i="10"/>
  <c r="G79" i="10" s="1"/>
  <c r="C79" i="30" s="1"/>
  <c r="E79" i="30" s="1"/>
  <c r="G79" i="30" s="1"/>
  <c r="C79" i="10"/>
  <c r="C67" i="10"/>
  <c r="E67" i="10" s="1"/>
  <c r="G67" i="10" s="1"/>
  <c r="C67" i="30" s="1"/>
  <c r="E67" i="30" s="1"/>
  <c r="G67" i="30" s="1"/>
  <c r="C83" i="10"/>
  <c r="E83" i="10" s="1"/>
  <c r="G83" i="10" s="1"/>
  <c r="C83" i="30" s="1"/>
  <c r="E83" i="30" s="1"/>
  <c r="G83" i="30" s="1"/>
  <c r="C71" i="10"/>
  <c r="E71" i="10" s="1"/>
  <c r="G71" i="10" s="1"/>
  <c r="C71" i="30" s="1"/>
  <c r="E71" i="30" s="1"/>
  <c r="G71" i="30" s="1"/>
  <c r="C89" i="10"/>
  <c r="E89" i="10" s="1"/>
  <c r="G89" i="10" s="1"/>
  <c r="C89" i="30" s="1"/>
  <c r="E89" i="30" s="1"/>
  <c r="G89" i="30" s="1"/>
  <c r="C76" i="10"/>
  <c r="E76" i="10" s="1"/>
  <c r="G76" i="10" s="1"/>
  <c r="C76" i="30" s="1"/>
  <c r="E76" i="30" s="1"/>
  <c r="G76" i="30" s="1"/>
  <c r="C74" i="10"/>
  <c r="E74" i="10" s="1"/>
  <c r="G74" i="10" s="1"/>
  <c r="C74" i="30" s="1"/>
  <c r="E74" i="30" s="1"/>
  <c r="G74" i="30" s="1"/>
  <c r="C70" i="10"/>
  <c r="E70" i="10" s="1"/>
  <c r="G70" i="10" s="1"/>
  <c r="C70" i="30" s="1"/>
  <c r="E70" i="30" s="1"/>
  <c r="G70" i="30" s="1"/>
  <c r="C78" i="10"/>
  <c r="E78" i="10" s="1"/>
  <c r="G78" i="10" s="1"/>
  <c r="C78" i="30" s="1"/>
  <c r="E78" i="30" s="1"/>
  <c r="G78" i="30" s="1"/>
  <c r="C85" i="10"/>
  <c r="E85" i="10" s="1"/>
  <c r="G85" i="10" s="1"/>
  <c r="C85" i="30" s="1"/>
  <c r="E85" i="30" s="1"/>
  <c r="G85" i="30" s="1"/>
  <c r="C87" i="10"/>
  <c r="E87" i="10" s="1"/>
  <c r="G87" i="10" s="1"/>
  <c r="C87" i="30" s="1"/>
  <c r="E87" i="30" s="1"/>
  <c r="G87" i="30" s="1"/>
  <c r="C86" i="10"/>
  <c r="E86" i="10" s="1"/>
  <c r="G86" i="10" s="1"/>
  <c r="C86" i="30" s="1"/>
  <c r="E86" i="30" s="1"/>
  <c r="G86" i="30" s="1"/>
  <c r="E81" i="10"/>
  <c r="G81" i="10" s="1"/>
  <c r="C81" i="30" s="1"/>
  <c r="E81" i="30" s="1"/>
  <c r="G81" i="30" s="1"/>
  <c r="C81" i="10"/>
  <c r="C53" i="13"/>
  <c r="E53" i="13" s="1"/>
  <c r="G53" i="13" s="1"/>
  <c r="C53" i="32" s="1"/>
  <c r="E53" i="32" s="1"/>
  <c r="G53" i="32" s="1"/>
  <c r="C53" i="14" s="1"/>
  <c r="C84" i="10"/>
  <c r="E84" i="10" s="1"/>
  <c r="G84" i="10" s="1"/>
  <c r="C84" i="30" s="1"/>
  <c r="E84" i="30" s="1"/>
  <c r="G84" i="30" s="1"/>
  <c r="C75" i="10"/>
  <c r="E75" i="10" s="1"/>
  <c r="G75" i="10" s="1"/>
  <c r="C75" i="30" s="1"/>
  <c r="E75" i="30" s="1"/>
  <c r="G75" i="30" s="1"/>
  <c r="C88" i="10"/>
  <c r="E88" i="10" s="1"/>
  <c r="G88" i="10" s="1"/>
  <c r="C88" i="30" s="1"/>
  <c r="E88" i="30" s="1"/>
  <c r="G88" i="30" s="1"/>
  <c r="C66" i="10"/>
  <c r="E66" i="10" s="1"/>
  <c r="G66" i="10" s="1"/>
  <c r="C66" i="30" s="1"/>
  <c r="E66" i="30" s="1"/>
  <c r="G66" i="30" s="1"/>
  <c r="C73" i="10"/>
  <c r="E73" i="10" s="1"/>
  <c r="G73" i="10" s="1"/>
  <c r="C73" i="30" s="1"/>
  <c r="E73" i="30" s="1"/>
  <c r="G73" i="30" s="1"/>
  <c r="C14" i="13"/>
  <c r="E14" i="13" s="1"/>
  <c r="G14" i="13" s="1"/>
  <c r="C14" i="32" s="1"/>
  <c r="E14" i="32" s="1"/>
  <c r="G14" i="32" s="1"/>
  <c r="C14" i="14" s="1"/>
  <c r="C13" i="13"/>
  <c r="E13" i="13" s="1"/>
  <c r="G13" i="13" s="1"/>
  <c r="C13" i="32" s="1"/>
  <c r="E13" i="32" s="1"/>
  <c r="G13" i="32" s="1"/>
  <c r="C13" i="14" s="1"/>
  <c r="C80" i="9"/>
  <c r="E80" i="9" s="1"/>
  <c r="C82" i="9"/>
  <c r="E82" i="9" s="1"/>
  <c r="E59" i="15"/>
  <c r="G59" i="15" s="1"/>
  <c r="E4" i="11"/>
  <c r="G4" i="11" s="1"/>
  <c r="C4" i="12" s="1"/>
  <c r="E4" i="12" s="1"/>
  <c r="G4" i="12" s="1"/>
  <c r="C4" i="13" s="1"/>
  <c r="C65" i="13" l="1"/>
  <c r="E65" i="13" s="1"/>
  <c r="G65" i="13" s="1"/>
  <c r="C66" i="11"/>
  <c r="E66" i="11" s="1"/>
  <c r="G66" i="11" s="1"/>
  <c r="C66" i="12" s="1"/>
  <c r="E66" i="12" s="1"/>
  <c r="G66" i="12" s="1"/>
  <c r="C66" i="13" s="1"/>
  <c r="E66" i="13" s="1"/>
  <c r="G66" i="13" s="1"/>
  <c r="C66" i="32" s="1"/>
  <c r="C72" i="11"/>
  <c r="E72" i="11" s="1"/>
  <c r="G72" i="11" s="1"/>
  <c r="C72" i="12" s="1"/>
  <c r="E72" i="12" s="1"/>
  <c r="G72" i="12" s="1"/>
  <c r="C72" i="13" s="1"/>
  <c r="E72" i="13" s="1"/>
  <c r="G72" i="13" s="1"/>
  <c r="C72" i="32" s="1"/>
  <c r="C62" i="12"/>
  <c r="E62" i="12" s="1"/>
  <c r="G62" i="12" s="1"/>
  <c r="C88" i="11"/>
  <c r="E88" i="11" s="1"/>
  <c r="G88" i="11" s="1"/>
  <c r="C88" i="12" s="1"/>
  <c r="E88" i="12" s="1"/>
  <c r="G88" i="12" s="1"/>
  <c r="C88" i="13" s="1"/>
  <c r="E88" i="13" s="1"/>
  <c r="G88" i="13" s="1"/>
  <c r="C88" i="32" s="1"/>
  <c r="E69" i="12"/>
  <c r="G69" i="12" s="1"/>
  <c r="C69" i="13" s="1"/>
  <c r="E69" i="13" s="1"/>
  <c r="G69" i="13" s="1"/>
  <c r="C69" i="32" s="1"/>
  <c r="E69" i="32" s="1"/>
  <c r="G69" i="32" s="1"/>
  <c r="C69" i="12"/>
  <c r="C75" i="11"/>
  <c r="E75" i="11" s="1"/>
  <c r="G75" i="11" s="1"/>
  <c r="C75" i="12" s="1"/>
  <c r="E75" i="12" s="1"/>
  <c r="G75" i="12" s="1"/>
  <c r="C75" i="13" s="1"/>
  <c r="E75" i="13" s="1"/>
  <c r="G75" i="13" s="1"/>
  <c r="C75" i="32" s="1"/>
  <c r="C76" i="11"/>
  <c r="E76" i="11" s="1"/>
  <c r="G76" i="11" s="1"/>
  <c r="C76" i="12" s="1"/>
  <c r="E76" i="12" s="1"/>
  <c r="G76" i="12" s="1"/>
  <c r="C76" i="13" s="1"/>
  <c r="E76" i="13" s="1"/>
  <c r="G76" i="13" s="1"/>
  <c r="C76" i="32" s="1"/>
  <c r="C89" i="11"/>
  <c r="E89" i="11" s="1"/>
  <c r="G89" i="11" s="1"/>
  <c r="C89" i="12" s="1"/>
  <c r="E89" i="12" s="1"/>
  <c r="G89" i="12" s="1"/>
  <c r="C89" i="13" s="1"/>
  <c r="E89" i="13" s="1"/>
  <c r="G89" i="13" s="1"/>
  <c r="C89" i="32" s="1"/>
  <c r="C71" i="11"/>
  <c r="E71" i="11" s="1"/>
  <c r="G71" i="11" s="1"/>
  <c r="C71" i="12" s="1"/>
  <c r="E71" i="12" s="1"/>
  <c r="G71" i="12" s="1"/>
  <c r="C71" i="13" s="1"/>
  <c r="E71" i="13" s="1"/>
  <c r="G71" i="13" s="1"/>
  <c r="C71" i="32" s="1"/>
  <c r="C85" i="11"/>
  <c r="E85" i="11" s="1"/>
  <c r="G85" i="11" s="1"/>
  <c r="C85" i="12" s="1"/>
  <c r="E85" i="12" s="1"/>
  <c r="G85" i="12" s="1"/>
  <c r="C85" i="13" s="1"/>
  <c r="E85" i="13" s="1"/>
  <c r="G85" i="13" s="1"/>
  <c r="C85" i="32" s="1"/>
  <c r="E67" i="11"/>
  <c r="G67" i="11" s="1"/>
  <c r="C67" i="12" s="1"/>
  <c r="E67" i="12" s="1"/>
  <c r="G67" i="12" s="1"/>
  <c r="C67" i="11"/>
  <c r="C86" i="11"/>
  <c r="E86" i="11" s="1"/>
  <c r="G86" i="11" s="1"/>
  <c r="C86" i="12" s="1"/>
  <c r="E86" i="12" s="1"/>
  <c r="G86" i="12" s="1"/>
  <c r="C86" i="13" s="1"/>
  <c r="E86" i="13" s="1"/>
  <c r="G86" i="13" s="1"/>
  <c r="C86" i="32" s="1"/>
  <c r="C63" i="13"/>
  <c r="E63" i="13" s="1"/>
  <c r="G63" i="13" s="1"/>
  <c r="C84" i="11"/>
  <c r="E84" i="11" s="1"/>
  <c r="G84" i="11" s="1"/>
  <c r="C84" i="12" s="1"/>
  <c r="E84" i="12" s="1"/>
  <c r="G84" i="12" s="1"/>
  <c r="C84" i="13" s="1"/>
  <c r="E84" i="13" s="1"/>
  <c r="G84" i="13" s="1"/>
  <c r="C84" i="32" s="1"/>
  <c r="C83" i="11"/>
  <c r="E83" i="11" s="1"/>
  <c r="G83" i="11" s="1"/>
  <c r="C83" i="12" s="1"/>
  <c r="E83" i="12" s="1"/>
  <c r="G83" i="12" s="1"/>
  <c r="C83" i="13" s="1"/>
  <c r="E83" i="13" s="1"/>
  <c r="G83" i="13" s="1"/>
  <c r="C83" i="32" s="1"/>
  <c r="E87" i="11"/>
  <c r="G87" i="11" s="1"/>
  <c r="C87" i="12" s="1"/>
  <c r="E87" i="12" s="1"/>
  <c r="G87" i="12" s="1"/>
  <c r="C87" i="13" s="1"/>
  <c r="E87" i="13" s="1"/>
  <c r="G87" i="13" s="1"/>
  <c r="C87" i="32" s="1"/>
  <c r="C87" i="11"/>
  <c r="C61" i="13"/>
  <c r="E61" i="13" s="1"/>
  <c r="G61" i="13" s="1"/>
  <c r="C78" i="11"/>
  <c r="E78" i="11" s="1"/>
  <c r="G78" i="11" s="1"/>
  <c r="C78" i="12" s="1"/>
  <c r="E78" i="12" s="1"/>
  <c r="G78" i="12" s="1"/>
  <c r="C78" i="13" s="1"/>
  <c r="E78" i="13" s="1"/>
  <c r="G78" i="13" s="1"/>
  <c r="C78" i="32" s="1"/>
  <c r="C90" i="11"/>
  <c r="E90" i="11" s="1"/>
  <c r="G90" i="11" s="1"/>
  <c r="C90" i="12" s="1"/>
  <c r="E90" i="12" s="1"/>
  <c r="G90" i="12" s="1"/>
  <c r="C90" i="13" s="1"/>
  <c r="E90" i="13" s="1"/>
  <c r="G90" i="13" s="1"/>
  <c r="C90" i="32" s="1"/>
  <c r="C70" i="11"/>
  <c r="E70" i="11" s="1"/>
  <c r="G70" i="11" s="1"/>
  <c r="C70" i="12" s="1"/>
  <c r="E70" i="12" s="1"/>
  <c r="G70" i="12" s="1"/>
  <c r="E77" i="11"/>
  <c r="G77" i="11" s="1"/>
  <c r="C77" i="12" s="1"/>
  <c r="E77" i="12" s="1"/>
  <c r="G77" i="12" s="1"/>
  <c r="C77" i="13" s="1"/>
  <c r="E77" i="13" s="1"/>
  <c r="G77" i="13" s="1"/>
  <c r="C77" i="32" s="1"/>
  <c r="C77" i="11"/>
  <c r="C64" i="13"/>
  <c r="E64" i="13" s="1"/>
  <c r="G64" i="13" s="1"/>
  <c r="C81" i="11"/>
  <c r="E81" i="11" s="1"/>
  <c r="G81" i="11" s="1"/>
  <c r="C81" i="12" s="1"/>
  <c r="E81" i="12" s="1"/>
  <c r="G81" i="12" s="1"/>
  <c r="C81" i="13" s="1"/>
  <c r="E81" i="13" s="1"/>
  <c r="G81" i="13" s="1"/>
  <c r="C81" i="32" s="1"/>
  <c r="C60" i="13"/>
  <c r="E60" i="13" s="1"/>
  <c r="G60" i="13" s="1"/>
  <c r="E74" i="11"/>
  <c r="G74" i="11" s="1"/>
  <c r="C74" i="12" s="1"/>
  <c r="E74" i="12" s="1"/>
  <c r="G74" i="12" s="1"/>
  <c r="C74" i="13" s="1"/>
  <c r="E74" i="13" s="1"/>
  <c r="G74" i="13" s="1"/>
  <c r="C74" i="32" s="1"/>
  <c r="C74" i="11"/>
  <c r="C79" i="11"/>
  <c r="E79" i="11" s="1"/>
  <c r="G79" i="11" s="1"/>
  <c r="C79" i="12" s="1"/>
  <c r="E79" i="12" s="1"/>
  <c r="G79" i="12" s="1"/>
  <c r="C79" i="13" s="1"/>
  <c r="E79" i="13" s="1"/>
  <c r="G79" i="13" s="1"/>
  <c r="C79" i="32" s="1"/>
  <c r="C73" i="11"/>
  <c r="E73" i="11" s="1"/>
  <c r="G73" i="11" s="1"/>
  <c r="C73" i="12" s="1"/>
  <c r="E73" i="12" s="1"/>
  <c r="G73" i="12" s="1"/>
  <c r="C73" i="13" s="1"/>
  <c r="E73" i="13" s="1"/>
  <c r="G73" i="13" s="1"/>
  <c r="C73" i="32" s="1"/>
  <c r="C59" i="33"/>
  <c r="E59" i="33" s="1"/>
  <c r="G59" i="33" s="1"/>
  <c r="C59" i="38" s="1"/>
  <c r="E59" i="38" s="1"/>
  <c r="G59" i="38" s="1"/>
  <c r="C59" i="39" s="1"/>
  <c r="G80" i="9"/>
  <c r="E68" i="32"/>
  <c r="G82" i="9"/>
  <c r="E42" i="14"/>
  <c r="G42" i="14" s="1"/>
  <c r="C42" i="15" s="1"/>
  <c r="E17" i="14"/>
  <c r="G17" i="14" s="1"/>
  <c r="C17" i="15" s="1"/>
  <c r="E57" i="14"/>
  <c r="G57" i="14" s="1"/>
  <c r="C57" i="15" s="1"/>
  <c r="E27" i="14"/>
  <c r="G27" i="14" s="1"/>
  <c r="C27" i="15" s="1"/>
  <c r="E52" i="14"/>
  <c r="G52" i="14" s="1"/>
  <c r="C52" i="15" s="1"/>
  <c r="E30" i="14"/>
  <c r="G30" i="14" s="1"/>
  <c r="C30" i="15" s="1"/>
  <c r="E23" i="14"/>
  <c r="G23" i="14" s="1"/>
  <c r="C23" i="15" s="1"/>
  <c r="E40" i="14"/>
  <c r="G40" i="14" s="1"/>
  <c r="C40" i="15" s="1"/>
  <c r="E4" i="13"/>
  <c r="G4" i="13" s="1"/>
  <c r="C4" i="32" s="1"/>
  <c r="E24" i="14"/>
  <c r="G24" i="14" s="1"/>
  <c r="C24" i="15" s="1"/>
  <c r="E53" i="14"/>
  <c r="G53" i="14" s="1"/>
  <c r="C53" i="15" s="1"/>
  <c r="E50" i="14"/>
  <c r="G50" i="14" s="1"/>
  <c r="C50" i="15" s="1"/>
  <c r="E48" i="14"/>
  <c r="G48" i="14" s="1"/>
  <c r="C48" i="15" s="1"/>
  <c r="E6" i="14"/>
  <c r="G6" i="14" s="1"/>
  <c r="C6" i="15" s="1"/>
  <c r="E13" i="14"/>
  <c r="G13" i="14" s="1"/>
  <c r="C13" i="15" s="1"/>
  <c r="E14" i="14"/>
  <c r="G14" i="14" s="1"/>
  <c r="C14" i="15" s="1"/>
  <c r="E20" i="14"/>
  <c r="G20" i="14" s="1"/>
  <c r="C20" i="15" s="1"/>
  <c r="E37" i="14"/>
  <c r="G37" i="14" s="1"/>
  <c r="C37" i="15" s="1"/>
  <c r="E39" i="14"/>
  <c r="G39" i="14" s="1"/>
  <c r="C39" i="15" s="1"/>
  <c r="E41" i="14"/>
  <c r="G41" i="14" s="1"/>
  <c r="C41" i="15" s="1"/>
  <c r="E45" i="14"/>
  <c r="G45" i="14" s="1"/>
  <c r="C45" i="15" s="1"/>
  <c r="E28" i="14"/>
  <c r="G28" i="14" s="1"/>
  <c r="C28" i="15" s="1"/>
  <c r="E25" i="14"/>
  <c r="G25" i="14" s="1"/>
  <c r="C25" i="15" s="1"/>
  <c r="E36" i="14"/>
  <c r="G36" i="14" s="1"/>
  <c r="C36" i="15" s="1"/>
  <c r="E54" i="14"/>
  <c r="G54" i="14" s="1"/>
  <c r="C54" i="15" s="1"/>
  <c r="E26" i="14"/>
  <c r="G26" i="14" s="1"/>
  <c r="C26" i="15" s="1"/>
  <c r="E56" i="14"/>
  <c r="G56" i="14" s="1"/>
  <c r="C56" i="15" s="1"/>
  <c r="E21" i="14"/>
  <c r="G21" i="14" s="1"/>
  <c r="C21" i="15" s="1"/>
  <c r="E22" i="14"/>
  <c r="G22" i="14" s="1"/>
  <c r="C22" i="15" s="1"/>
  <c r="E12" i="14"/>
  <c r="G12" i="14" s="1"/>
  <c r="C12" i="15" s="1"/>
  <c r="E35" i="14"/>
  <c r="G35" i="14" s="1"/>
  <c r="C35" i="15" s="1"/>
  <c r="E47" i="14"/>
  <c r="G47" i="14" s="1"/>
  <c r="C47" i="15" s="1"/>
  <c r="E16" i="14"/>
  <c r="G16" i="14" s="1"/>
  <c r="C16" i="15" s="1"/>
  <c r="E33" i="14"/>
  <c r="G33" i="14" s="1"/>
  <c r="C33" i="15" s="1"/>
  <c r="E11" i="14"/>
  <c r="G11" i="14" s="1"/>
  <c r="C11" i="15" s="1"/>
  <c r="E49" i="14"/>
  <c r="G49" i="14" s="1"/>
  <c r="C49" i="15" s="1"/>
  <c r="E18" i="14"/>
  <c r="G18" i="14" s="1"/>
  <c r="C18" i="15" s="1"/>
  <c r="E10" i="14"/>
  <c r="G10" i="14" s="1"/>
  <c r="C10" i="15" s="1"/>
  <c r="E51" i="14"/>
  <c r="G51" i="14" s="1"/>
  <c r="C51" i="15" s="1"/>
  <c r="E43" i="14"/>
  <c r="G43" i="14" s="1"/>
  <c r="C43" i="15" s="1"/>
  <c r="E38" i="14"/>
  <c r="G38" i="14" s="1"/>
  <c r="C38" i="15" s="1"/>
  <c r="E19" i="14"/>
  <c r="G19" i="14" s="1"/>
  <c r="C19" i="15" s="1"/>
  <c r="E8" i="14"/>
  <c r="G8" i="14" s="1"/>
  <c r="C8" i="15" s="1"/>
  <c r="E44" i="14"/>
  <c r="G44" i="14" s="1"/>
  <c r="C44" i="15" s="1"/>
  <c r="E58" i="14"/>
  <c r="G58" i="14" s="1"/>
  <c r="C58" i="15" s="1"/>
  <c r="E55" i="14"/>
  <c r="G55" i="14" s="1"/>
  <c r="C55" i="15" s="1"/>
  <c r="E7" i="14"/>
  <c r="G7" i="14" s="1"/>
  <c r="C7" i="15" s="1"/>
  <c r="E5" i="14"/>
  <c r="G5" i="14" s="1"/>
  <c r="C5" i="15" s="1"/>
  <c r="E34" i="14"/>
  <c r="G34" i="14" s="1"/>
  <c r="C34" i="15" s="1"/>
  <c r="E32" i="14"/>
  <c r="G32" i="14" s="1"/>
  <c r="C32" i="15" s="1"/>
  <c r="E15" i="14"/>
  <c r="G15" i="14" s="1"/>
  <c r="C15" i="15" s="1"/>
  <c r="E46" i="14"/>
  <c r="G46" i="14" s="1"/>
  <c r="C46" i="15" s="1"/>
  <c r="E9" i="14"/>
  <c r="G9" i="14" s="1"/>
  <c r="C9" i="15" s="1"/>
  <c r="E29" i="14"/>
  <c r="G29" i="14" s="1"/>
  <c r="C29" i="15" s="1"/>
  <c r="E31" i="14"/>
  <c r="G31" i="14" s="1"/>
  <c r="C31" i="15" s="1"/>
  <c r="C70" i="13" l="1"/>
  <c r="E70" i="13" s="1"/>
  <c r="G70" i="13" s="1"/>
  <c r="C60" i="32"/>
  <c r="E60" i="32" s="1"/>
  <c r="G60" i="32" s="1"/>
  <c r="C65" i="32"/>
  <c r="E65" i="32" s="1"/>
  <c r="G65" i="32" s="1"/>
  <c r="C61" i="32"/>
  <c r="E61" i="32" s="1"/>
  <c r="G61" i="32" s="1"/>
  <c r="C67" i="13"/>
  <c r="E67" i="13" s="1"/>
  <c r="G67" i="13" s="1"/>
  <c r="C69" i="14"/>
  <c r="E69" i="14" s="1"/>
  <c r="G69" i="14" s="1"/>
  <c r="C69" i="15" s="1"/>
  <c r="E69" i="15" s="1"/>
  <c r="G69" i="15" s="1"/>
  <c r="C64" i="32"/>
  <c r="E64" i="32" s="1"/>
  <c r="G64" i="32" s="1"/>
  <c r="C62" i="13"/>
  <c r="E62" i="13" s="1"/>
  <c r="G62" i="13" s="1"/>
  <c r="C62" i="32" s="1"/>
  <c r="E62" i="32" s="1"/>
  <c r="G62" i="32" s="1"/>
  <c r="C62" i="14" s="1"/>
  <c r="E62" i="14" s="1"/>
  <c r="G62" i="14" s="1"/>
  <c r="C62" i="15" s="1"/>
  <c r="E62" i="15" s="1"/>
  <c r="G62" i="15" s="1"/>
  <c r="C82" i="10"/>
  <c r="E82" i="10" s="1"/>
  <c r="G82" i="10" s="1"/>
  <c r="C82" i="30" s="1"/>
  <c r="E82" i="30" s="1"/>
  <c r="G82" i="30" s="1"/>
  <c r="C63" i="32"/>
  <c r="E63" i="32" s="1"/>
  <c r="G63" i="32" s="1"/>
  <c r="C80" i="10"/>
  <c r="E80" i="10" s="1"/>
  <c r="G80" i="10" s="1"/>
  <c r="C80" i="30" s="1"/>
  <c r="E80" i="30" s="1"/>
  <c r="G80" i="30" s="1"/>
  <c r="E33" i="15"/>
  <c r="G33" i="15" s="1"/>
  <c r="E43" i="15"/>
  <c r="G43" i="15" s="1"/>
  <c r="E10" i="15"/>
  <c r="G10" i="15" s="1"/>
  <c r="E51" i="15"/>
  <c r="G51" i="15" s="1"/>
  <c r="E44" i="15"/>
  <c r="G44" i="15" s="1"/>
  <c r="E32" i="15"/>
  <c r="G32" i="15" s="1"/>
  <c r="E71" i="32"/>
  <c r="G68" i="32"/>
  <c r="E87" i="32"/>
  <c r="E75" i="32"/>
  <c r="E76" i="32"/>
  <c r="E83" i="32"/>
  <c r="E88" i="32"/>
  <c r="E79" i="32"/>
  <c r="E89" i="32"/>
  <c r="E86" i="32"/>
  <c r="E81" i="32"/>
  <c r="E77" i="32"/>
  <c r="E72" i="32"/>
  <c r="E84" i="32"/>
  <c r="E66" i="32"/>
  <c r="E73" i="32"/>
  <c r="E90" i="32"/>
  <c r="E74" i="32"/>
  <c r="E78" i="32"/>
  <c r="E85" i="32"/>
  <c r="E23" i="15"/>
  <c r="G23" i="15" s="1"/>
  <c r="E37" i="15"/>
  <c r="G37" i="15" s="1"/>
  <c r="E30" i="15"/>
  <c r="G30" i="15" s="1"/>
  <c r="E38" i="15"/>
  <c r="G38" i="15" s="1"/>
  <c r="E52" i="15"/>
  <c r="G52" i="15" s="1"/>
  <c r="E41" i="15"/>
  <c r="G41" i="15" s="1"/>
  <c r="E39" i="15"/>
  <c r="G39" i="15" s="1"/>
  <c r="E29" i="15"/>
  <c r="G29" i="15" s="1"/>
  <c r="E53" i="15"/>
  <c r="G53" i="15" s="1"/>
  <c r="E56" i="15"/>
  <c r="G56" i="15" s="1"/>
  <c r="E31" i="15"/>
  <c r="G31" i="15" s="1"/>
  <c r="E50" i="15"/>
  <c r="G50" i="15" s="1"/>
  <c r="E36" i="15"/>
  <c r="G36" i="15" s="1"/>
  <c r="E9" i="15"/>
  <c r="G9" i="15" s="1"/>
  <c r="E55" i="15"/>
  <c r="G55" i="15" s="1"/>
  <c r="E35" i="15"/>
  <c r="G35" i="15" s="1"/>
  <c r="E24" i="15"/>
  <c r="G24" i="15" s="1"/>
  <c r="E57" i="15"/>
  <c r="G57" i="15" s="1"/>
  <c r="E42" i="15"/>
  <c r="G42" i="15" s="1"/>
  <c r="E34" i="15"/>
  <c r="G34" i="15" s="1"/>
  <c r="E20" i="15"/>
  <c r="G20" i="15" s="1"/>
  <c r="E58" i="15"/>
  <c r="G58" i="15" s="1"/>
  <c r="E59" i="39"/>
  <c r="G59" i="39" s="1"/>
  <c r="C59" i="40" s="1"/>
  <c r="E40" i="15"/>
  <c r="G40" i="15" s="1"/>
  <c r="E19" i="15"/>
  <c r="G19" i="15" s="1"/>
  <c r="E16" i="15"/>
  <c r="G16" i="15" s="1"/>
  <c r="E54" i="15"/>
  <c r="G54" i="15" s="1"/>
  <c r="E18" i="15"/>
  <c r="G18" i="15" s="1"/>
  <c r="E49" i="15"/>
  <c r="G49" i="15" s="1"/>
  <c r="E22" i="15"/>
  <c r="G22" i="15" s="1"/>
  <c r="E15" i="15"/>
  <c r="G15" i="15" s="1"/>
  <c r="E5" i="15"/>
  <c r="G5" i="15" s="1"/>
  <c r="E25" i="15"/>
  <c r="G25" i="15" s="1"/>
  <c r="E27" i="15"/>
  <c r="G27" i="15" s="1"/>
  <c r="E17" i="15"/>
  <c r="G17" i="15" s="1"/>
  <c r="E8" i="15"/>
  <c r="G8" i="15" s="1"/>
  <c r="E21" i="15"/>
  <c r="G21" i="15" s="1"/>
  <c r="E14" i="15"/>
  <c r="G14" i="15" s="1"/>
  <c r="E13" i="15"/>
  <c r="G13" i="15" s="1"/>
  <c r="E11" i="15"/>
  <c r="G11" i="15" s="1"/>
  <c r="E26" i="15"/>
  <c r="G26" i="15" s="1"/>
  <c r="E6" i="15"/>
  <c r="G6" i="15" s="1"/>
  <c r="E48" i="15"/>
  <c r="G48" i="15" s="1"/>
  <c r="E47" i="15"/>
  <c r="G47" i="15" s="1"/>
  <c r="E46" i="15"/>
  <c r="G46" i="15" s="1"/>
  <c r="E45" i="15"/>
  <c r="G45" i="15" s="1"/>
  <c r="E28" i="15"/>
  <c r="G28" i="15" s="1"/>
  <c r="E12" i="15"/>
  <c r="G12" i="15" s="1"/>
  <c r="E7" i="15"/>
  <c r="G7" i="15" s="1"/>
  <c r="E4" i="32"/>
  <c r="G4" i="32" s="1"/>
  <c r="C4" i="14" s="1"/>
  <c r="E4" i="14" s="1"/>
  <c r="G4" i="14" s="1"/>
  <c r="C4" i="15" s="1"/>
  <c r="E4" i="15" s="1"/>
  <c r="G4" i="15" s="1"/>
  <c r="C4" i="33" s="1"/>
  <c r="C63" i="14" l="1"/>
  <c r="E63" i="14" s="1"/>
  <c r="G63" i="14" s="1"/>
  <c r="C63" i="15" s="1"/>
  <c r="E63" i="15" s="1"/>
  <c r="G63" i="15" s="1"/>
  <c r="C61" i="14"/>
  <c r="E61" i="14" s="1"/>
  <c r="G61" i="14" s="1"/>
  <c r="C61" i="15" s="1"/>
  <c r="E61" i="15" s="1"/>
  <c r="G61" i="15" s="1"/>
  <c r="C64" i="14"/>
  <c r="E64" i="14" s="1"/>
  <c r="G64" i="14" s="1"/>
  <c r="C64" i="15" s="1"/>
  <c r="E64" i="15" s="1"/>
  <c r="G64" i="15" s="1"/>
  <c r="C69" i="33"/>
  <c r="E69" i="33" s="1"/>
  <c r="G69" i="33" s="1"/>
  <c r="E62" i="33"/>
  <c r="G62" i="33" s="1"/>
  <c r="C62" i="38" s="1"/>
  <c r="E62" i="38" s="1"/>
  <c r="G62" i="38" s="1"/>
  <c r="C62" i="33"/>
  <c r="C60" i="14"/>
  <c r="E60" i="14" s="1"/>
  <c r="G60" i="14" s="1"/>
  <c r="C60" i="15" s="1"/>
  <c r="E60" i="15" s="1"/>
  <c r="G60" i="15" s="1"/>
  <c r="C67" i="32"/>
  <c r="E67" i="32" s="1"/>
  <c r="G67" i="32" s="1"/>
  <c r="C80" i="11"/>
  <c r="E80" i="11" s="1"/>
  <c r="G80" i="11" s="1"/>
  <c r="C80" i="12" s="1"/>
  <c r="E80" i="12" s="1"/>
  <c r="G80" i="12" s="1"/>
  <c r="C80" i="13" s="1"/>
  <c r="E80" i="13" s="1"/>
  <c r="G80" i="13" s="1"/>
  <c r="C80" i="32" s="1"/>
  <c r="C70" i="32"/>
  <c r="E70" i="32" s="1"/>
  <c r="G70" i="32" s="1"/>
  <c r="C43" i="33"/>
  <c r="E43" i="33" s="1"/>
  <c r="G43" i="33" s="1"/>
  <c r="C43" i="38" s="1"/>
  <c r="E43" i="38" s="1"/>
  <c r="G43" i="38" s="1"/>
  <c r="C43" i="39" s="1"/>
  <c r="C21" i="33"/>
  <c r="E21" i="33" s="1"/>
  <c r="G21" i="33" s="1"/>
  <c r="C21" i="38" s="1"/>
  <c r="E21" i="38" s="1"/>
  <c r="G21" i="38" s="1"/>
  <c r="C21" i="39" s="1"/>
  <c r="C34" i="33"/>
  <c r="E34" i="33" s="1"/>
  <c r="G34" i="33" s="1"/>
  <c r="C34" i="38" s="1"/>
  <c r="E34" i="38" s="1"/>
  <c r="G34" i="38" s="1"/>
  <c r="C34" i="39" s="1"/>
  <c r="C29" i="33"/>
  <c r="E29" i="33" s="1"/>
  <c r="G29" i="33" s="1"/>
  <c r="C29" i="38" s="1"/>
  <c r="E29" i="38" s="1"/>
  <c r="G29" i="38" s="1"/>
  <c r="C29" i="39" s="1"/>
  <c r="C33" i="33"/>
  <c r="E33" i="33" s="1"/>
  <c r="G33" i="33" s="1"/>
  <c r="C33" i="38" s="1"/>
  <c r="E33" i="38" s="1"/>
  <c r="G33" i="38" s="1"/>
  <c r="C33" i="39" s="1"/>
  <c r="C7" i="33"/>
  <c r="E7" i="33" s="1"/>
  <c r="G7" i="33" s="1"/>
  <c r="C7" i="38" s="1"/>
  <c r="E7" i="38" s="1"/>
  <c r="G7" i="38" s="1"/>
  <c r="C7" i="39" s="1"/>
  <c r="E57" i="33"/>
  <c r="G57" i="33" s="1"/>
  <c r="C57" i="38" s="1"/>
  <c r="E57" i="38" s="1"/>
  <c r="G57" i="38" s="1"/>
  <c r="C57" i="39" s="1"/>
  <c r="C57" i="33"/>
  <c r="C12" i="33"/>
  <c r="E12" i="33" s="1"/>
  <c r="G12" i="33" s="1"/>
  <c r="C12" i="38" s="1"/>
  <c r="E12" i="38" s="1"/>
  <c r="G12" i="38" s="1"/>
  <c r="C12" i="39" s="1"/>
  <c r="C39" i="33"/>
  <c r="E39" i="33" s="1"/>
  <c r="G39" i="33" s="1"/>
  <c r="C39" i="38" s="1"/>
  <c r="E39" i="38" s="1"/>
  <c r="G39" i="38" s="1"/>
  <c r="C39" i="39" s="1"/>
  <c r="C42" i="33"/>
  <c r="E42" i="33" s="1"/>
  <c r="G42" i="33" s="1"/>
  <c r="C42" i="38" s="1"/>
  <c r="E42" i="38" s="1"/>
  <c r="G42" i="38" s="1"/>
  <c r="C42" i="39" s="1"/>
  <c r="C45" i="33"/>
  <c r="E45" i="33" s="1"/>
  <c r="G45" i="33" s="1"/>
  <c r="C45" i="38" s="1"/>
  <c r="E45" i="38" s="1"/>
  <c r="G45" i="38" s="1"/>
  <c r="C45" i="39" s="1"/>
  <c r="C17" i="33"/>
  <c r="E17" i="33" s="1"/>
  <c r="G17" i="33" s="1"/>
  <c r="C17" i="38" s="1"/>
  <c r="E17" i="38" s="1"/>
  <c r="G17" i="38" s="1"/>
  <c r="C17" i="39" s="1"/>
  <c r="E18" i="33"/>
  <c r="G18" i="33" s="1"/>
  <c r="C18" i="38" s="1"/>
  <c r="E18" i="38" s="1"/>
  <c r="G18" i="38" s="1"/>
  <c r="C18" i="39" s="1"/>
  <c r="C18" i="33"/>
  <c r="E41" i="33"/>
  <c r="G41" i="33" s="1"/>
  <c r="C41" i="38" s="1"/>
  <c r="E41" i="38" s="1"/>
  <c r="G41" i="38" s="1"/>
  <c r="C41" i="39" s="1"/>
  <c r="C41" i="33"/>
  <c r="C35" i="33"/>
  <c r="E35" i="33" s="1"/>
  <c r="G35" i="33" s="1"/>
  <c r="C35" i="38" s="1"/>
  <c r="E35" i="38" s="1"/>
  <c r="G35" i="38" s="1"/>
  <c r="C35" i="39" s="1"/>
  <c r="C52" i="33"/>
  <c r="E52" i="33" s="1"/>
  <c r="G52" i="33" s="1"/>
  <c r="C52" i="38" s="1"/>
  <c r="E52" i="38" s="1"/>
  <c r="G52" i="38" s="1"/>
  <c r="C52" i="39" s="1"/>
  <c r="C24" i="33"/>
  <c r="E24" i="33" s="1"/>
  <c r="G24" i="33" s="1"/>
  <c r="C24" i="38" s="1"/>
  <c r="E24" i="38" s="1"/>
  <c r="G24" i="38" s="1"/>
  <c r="C24" i="39" s="1"/>
  <c r="C46" i="33"/>
  <c r="E46" i="33" s="1"/>
  <c r="G46" i="33" s="1"/>
  <c r="C46" i="38" s="1"/>
  <c r="E46" i="38" s="1"/>
  <c r="G46" i="38" s="1"/>
  <c r="C46" i="39" s="1"/>
  <c r="C54" i="33"/>
  <c r="E54" i="33" s="1"/>
  <c r="G54" i="33" s="1"/>
  <c r="C54" i="38" s="1"/>
  <c r="E54" i="38" s="1"/>
  <c r="G54" i="38" s="1"/>
  <c r="C54" i="39" s="1"/>
  <c r="C47" i="33"/>
  <c r="E47" i="33" s="1"/>
  <c r="G47" i="33" s="1"/>
  <c r="C47" i="38" s="1"/>
  <c r="E47" i="38" s="1"/>
  <c r="G47" i="38" s="1"/>
  <c r="C47" i="39" s="1"/>
  <c r="C27" i="33"/>
  <c r="E27" i="33" s="1"/>
  <c r="G27" i="33" s="1"/>
  <c r="C27" i="38" s="1"/>
  <c r="E27" i="38" s="1"/>
  <c r="G27" i="38" s="1"/>
  <c r="C27" i="39" s="1"/>
  <c r="C16" i="33"/>
  <c r="E16" i="33" s="1"/>
  <c r="G16" i="33" s="1"/>
  <c r="C16" i="38" s="1"/>
  <c r="E16" i="38" s="1"/>
  <c r="G16" i="38" s="1"/>
  <c r="C16" i="39" s="1"/>
  <c r="C55" i="33"/>
  <c r="E55" i="33" s="1"/>
  <c r="G55" i="33" s="1"/>
  <c r="C55" i="38" s="1"/>
  <c r="E55" i="38" s="1"/>
  <c r="G55" i="38" s="1"/>
  <c r="C55" i="39" s="1"/>
  <c r="C38" i="33"/>
  <c r="E38" i="33" s="1"/>
  <c r="G38" i="33" s="1"/>
  <c r="C38" i="38" s="1"/>
  <c r="E38" i="38" s="1"/>
  <c r="G38" i="38" s="1"/>
  <c r="C38" i="39" s="1"/>
  <c r="E22" i="33"/>
  <c r="G22" i="33" s="1"/>
  <c r="C22" i="38" s="1"/>
  <c r="E22" i="38" s="1"/>
  <c r="G22" i="38" s="1"/>
  <c r="C22" i="39" s="1"/>
  <c r="C22" i="33"/>
  <c r="C28" i="33"/>
  <c r="E28" i="33" s="1"/>
  <c r="G28" i="33" s="1"/>
  <c r="C28" i="38" s="1"/>
  <c r="E28" i="38" s="1"/>
  <c r="G28" i="38" s="1"/>
  <c r="C28" i="39" s="1"/>
  <c r="C8" i="33"/>
  <c r="E8" i="33" s="1"/>
  <c r="G8" i="33" s="1"/>
  <c r="C8" i="38" s="1"/>
  <c r="E8" i="38" s="1"/>
  <c r="G8" i="38" s="1"/>
  <c r="C8" i="39" s="1"/>
  <c r="C49" i="33"/>
  <c r="E49" i="33" s="1"/>
  <c r="G49" i="33" s="1"/>
  <c r="C49" i="38" s="1"/>
  <c r="E49" i="38" s="1"/>
  <c r="G49" i="38" s="1"/>
  <c r="C49" i="39" s="1"/>
  <c r="C48" i="33"/>
  <c r="E48" i="33" s="1"/>
  <c r="G48" i="33" s="1"/>
  <c r="C48" i="38" s="1"/>
  <c r="E48" i="38" s="1"/>
  <c r="G48" i="38" s="1"/>
  <c r="C48" i="39" s="1"/>
  <c r="C25" i="33"/>
  <c r="E25" i="33" s="1"/>
  <c r="G25" i="33" s="1"/>
  <c r="C25" i="38" s="1"/>
  <c r="E25" i="38" s="1"/>
  <c r="G25" i="38" s="1"/>
  <c r="C25" i="39" s="1"/>
  <c r="E19" i="33"/>
  <c r="G19" i="33" s="1"/>
  <c r="C19" i="38" s="1"/>
  <c r="E19" i="38" s="1"/>
  <c r="G19" i="38" s="1"/>
  <c r="C19" i="39" s="1"/>
  <c r="C19" i="33"/>
  <c r="C9" i="33"/>
  <c r="E9" i="33" s="1"/>
  <c r="G9" i="33" s="1"/>
  <c r="C9" i="38" s="1"/>
  <c r="E9" i="38" s="1"/>
  <c r="G9" i="38" s="1"/>
  <c r="C9" i="39" s="1"/>
  <c r="C30" i="33"/>
  <c r="E30" i="33" s="1"/>
  <c r="G30" i="33" s="1"/>
  <c r="C30" i="38" s="1"/>
  <c r="E30" i="38" s="1"/>
  <c r="G30" i="38" s="1"/>
  <c r="C30" i="39" s="1"/>
  <c r="C68" i="14"/>
  <c r="E68" i="14" s="1"/>
  <c r="G68" i="14" s="1"/>
  <c r="C68" i="15" s="1"/>
  <c r="E68" i="15" s="1"/>
  <c r="G68" i="15" s="1"/>
  <c r="C68" i="33" s="1"/>
  <c r="C6" i="33"/>
  <c r="E6" i="33" s="1"/>
  <c r="G6" i="33" s="1"/>
  <c r="C6" i="38" s="1"/>
  <c r="E6" i="38" s="1"/>
  <c r="G6" i="38" s="1"/>
  <c r="C6" i="39" s="1"/>
  <c r="C40" i="33"/>
  <c r="E40" i="33" s="1"/>
  <c r="G40" i="33" s="1"/>
  <c r="C40" i="38" s="1"/>
  <c r="E40" i="38" s="1"/>
  <c r="G40" i="38" s="1"/>
  <c r="C40" i="39" s="1"/>
  <c r="E36" i="33"/>
  <c r="G36" i="33" s="1"/>
  <c r="C36" i="38" s="1"/>
  <c r="E36" i="38" s="1"/>
  <c r="G36" i="38" s="1"/>
  <c r="C36" i="39" s="1"/>
  <c r="C36" i="33"/>
  <c r="E37" i="33"/>
  <c r="G37" i="33" s="1"/>
  <c r="C37" i="38" s="1"/>
  <c r="E37" i="38" s="1"/>
  <c r="G37" i="38" s="1"/>
  <c r="C37" i="39" s="1"/>
  <c r="C37" i="33"/>
  <c r="C82" i="11"/>
  <c r="E82" i="11" s="1"/>
  <c r="G82" i="11" s="1"/>
  <c r="C82" i="12" s="1"/>
  <c r="E82" i="12" s="1"/>
  <c r="G82" i="12" s="1"/>
  <c r="C82" i="13" s="1"/>
  <c r="E82" i="13" s="1"/>
  <c r="G82" i="13" s="1"/>
  <c r="C82" i="32" s="1"/>
  <c r="C65" i="14"/>
  <c r="E65" i="14" s="1"/>
  <c r="G65" i="14" s="1"/>
  <c r="C65" i="15" s="1"/>
  <c r="E65" i="15" s="1"/>
  <c r="G65" i="15" s="1"/>
  <c r="C26" i="33"/>
  <c r="E26" i="33" s="1"/>
  <c r="G26" i="33" s="1"/>
  <c r="C26" i="38" s="1"/>
  <c r="E26" i="38" s="1"/>
  <c r="G26" i="38" s="1"/>
  <c r="C26" i="39" s="1"/>
  <c r="C32" i="33"/>
  <c r="E32" i="33" s="1"/>
  <c r="G32" i="33" s="1"/>
  <c r="C32" i="38" s="1"/>
  <c r="E32" i="38" s="1"/>
  <c r="G32" i="38" s="1"/>
  <c r="C32" i="39" s="1"/>
  <c r="E23" i="33"/>
  <c r="G23" i="33" s="1"/>
  <c r="C23" i="38" s="1"/>
  <c r="E23" i="38" s="1"/>
  <c r="G23" i="38" s="1"/>
  <c r="C23" i="39" s="1"/>
  <c r="C23" i="33"/>
  <c r="E31" i="33"/>
  <c r="G31" i="33" s="1"/>
  <c r="C31" i="38" s="1"/>
  <c r="E31" i="38" s="1"/>
  <c r="G31" i="38" s="1"/>
  <c r="C31" i="39" s="1"/>
  <c r="C31" i="33"/>
  <c r="C44" i="33"/>
  <c r="E44" i="33" s="1"/>
  <c r="G44" i="33" s="1"/>
  <c r="C44" i="38" s="1"/>
  <c r="E44" i="38" s="1"/>
  <c r="G44" i="38" s="1"/>
  <c r="C44" i="39" s="1"/>
  <c r="C50" i="33"/>
  <c r="E50" i="33" s="1"/>
  <c r="G50" i="33" s="1"/>
  <c r="C50" i="38" s="1"/>
  <c r="E50" i="38" s="1"/>
  <c r="G50" i="38" s="1"/>
  <c r="C50" i="39" s="1"/>
  <c r="C11" i="33"/>
  <c r="E11" i="33" s="1"/>
  <c r="G11" i="33" s="1"/>
  <c r="C11" i="38" s="1"/>
  <c r="E11" i="38" s="1"/>
  <c r="G11" i="38" s="1"/>
  <c r="C11" i="39" s="1"/>
  <c r="C5" i="33"/>
  <c r="E5" i="33" s="1"/>
  <c r="G5" i="33" s="1"/>
  <c r="C5" i="38" s="1"/>
  <c r="E5" i="38" s="1"/>
  <c r="G5" i="38" s="1"/>
  <c r="C5" i="39" s="1"/>
  <c r="C15" i="33"/>
  <c r="E15" i="33" s="1"/>
  <c r="G15" i="33" s="1"/>
  <c r="C15" i="38" s="1"/>
  <c r="E15" i="38" s="1"/>
  <c r="G15" i="38" s="1"/>
  <c r="C15" i="39" s="1"/>
  <c r="C58" i="33"/>
  <c r="E58" i="33" s="1"/>
  <c r="G58" i="33" s="1"/>
  <c r="C58" i="38" s="1"/>
  <c r="E58" i="38" s="1"/>
  <c r="G58" i="38" s="1"/>
  <c r="C58" i="39" s="1"/>
  <c r="C56" i="33"/>
  <c r="E56" i="33" s="1"/>
  <c r="G56" i="33" s="1"/>
  <c r="C56" i="38" s="1"/>
  <c r="E56" i="38" s="1"/>
  <c r="G56" i="38" s="1"/>
  <c r="C56" i="39" s="1"/>
  <c r="C51" i="33"/>
  <c r="E51" i="33" s="1"/>
  <c r="G51" i="33" s="1"/>
  <c r="C51" i="38" s="1"/>
  <c r="E51" i="38" s="1"/>
  <c r="G51" i="38" s="1"/>
  <c r="C51" i="39" s="1"/>
  <c r="C20" i="33"/>
  <c r="E20" i="33" s="1"/>
  <c r="G20" i="33" s="1"/>
  <c r="C20" i="38" s="1"/>
  <c r="E20" i="38" s="1"/>
  <c r="G20" i="38" s="1"/>
  <c r="C20" i="39" s="1"/>
  <c r="C53" i="33"/>
  <c r="E53" i="33" s="1"/>
  <c r="G53" i="33" s="1"/>
  <c r="C53" i="38" s="1"/>
  <c r="E53" i="38" s="1"/>
  <c r="G53" i="38" s="1"/>
  <c r="C53" i="39" s="1"/>
  <c r="E10" i="33"/>
  <c r="G10" i="33" s="1"/>
  <c r="C10" i="38" s="1"/>
  <c r="E10" i="38" s="1"/>
  <c r="G10" i="38" s="1"/>
  <c r="C10" i="39" s="1"/>
  <c r="C10" i="33"/>
  <c r="C14" i="33"/>
  <c r="E14" i="33" s="1"/>
  <c r="G14" i="33" s="1"/>
  <c r="C14" i="38" s="1"/>
  <c r="E14" i="38" s="1"/>
  <c r="G14" i="38" s="1"/>
  <c r="C14" i="39" s="1"/>
  <c r="C13" i="33"/>
  <c r="E13" i="33" s="1"/>
  <c r="G13" i="33" s="1"/>
  <c r="C13" i="38" s="1"/>
  <c r="E13" i="38" s="1"/>
  <c r="G13" i="38" s="1"/>
  <c r="C13" i="39" s="1"/>
  <c r="E59" i="40"/>
  <c r="G59" i="40" s="1"/>
  <c r="G84" i="32"/>
  <c r="G79" i="32"/>
  <c r="G72" i="32"/>
  <c r="G88" i="32"/>
  <c r="G85" i="32"/>
  <c r="G77" i="32"/>
  <c r="G83" i="32"/>
  <c r="G78" i="32"/>
  <c r="G76" i="32"/>
  <c r="G74" i="32"/>
  <c r="G81" i="32"/>
  <c r="G75" i="32"/>
  <c r="G90" i="32"/>
  <c r="G86" i="32"/>
  <c r="G87" i="32"/>
  <c r="G73" i="32"/>
  <c r="G89" i="32"/>
  <c r="G66" i="32"/>
  <c r="G71" i="32"/>
  <c r="E4" i="33"/>
  <c r="G4" i="33" s="1"/>
  <c r="C4" i="38" s="1"/>
  <c r="C62" i="39" l="1"/>
  <c r="E62" i="39" s="1"/>
  <c r="G62" i="39" s="1"/>
  <c r="C67" i="14"/>
  <c r="E67" i="14" s="1"/>
  <c r="G67" i="14" s="1"/>
  <c r="C60" i="33"/>
  <c r="E60" i="33" s="1"/>
  <c r="G60" i="33" s="1"/>
  <c r="C60" i="38" s="1"/>
  <c r="E60" i="38" s="1"/>
  <c r="G60" i="38" s="1"/>
  <c r="C61" i="33"/>
  <c r="E61" i="33" s="1"/>
  <c r="G61" i="33" s="1"/>
  <c r="C61" i="38" s="1"/>
  <c r="E61" i="38" s="1"/>
  <c r="G61" i="38" s="1"/>
  <c r="E65" i="33"/>
  <c r="G65" i="33" s="1"/>
  <c r="C65" i="38" s="1"/>
  <c r="E65" i="38" s="1"/>
  <c r="G65" i="38" s="1"/>
  <c r="C65" i="33"/>
  <c r="C63" i="33"/>
  <c r="E63" i="33" s="1"/>
  <c r="G63" i="33" s="1"/>
  <c r="C63" i="38" s="1"/>
  <c r="E63" i="38" s="1"/>
  <c r="G63" i="38" s="1"/>
  <c r="C89" i="14"/>
  <c r="E89" i="14" s="1"/>
  <c r="G89" i="14" s="1"/>
  <c r="C89" i="15" s="1"/>
  <c r="E89" i="15" s="1"/>
  <c r="G89" i="15" s="1"/>
  <c r="C89" i="33" s="1"/>
  <c r="C76" i="14"/>
  <c r="E76" i="14" s="1"/>
  <c r="G76" i="14" s="1"/>
  <c r="C76" i="15" s="1"/>
  <c r="E76" i="15" s="1"/>
  <c r="G76" i="15" s="1"/>
  <c r="C66" i="14"/>
  <c r="E66" i="14" s="1"/>
  <c r="G66" i="14" s="1"/>
  <c r="C66" i="15" s="1"/>
  <c r="E66" i="15" s="1"/>
  <c r="G66" i="15" s="1"/>
  <c r="C66" i="33" s="1"/>
  <c r="C84" i="14"/>
  <c r="E84" i="14" s="1"/>
  <c r="G84" i="14" s="1"/>
  <c r="C84" i="15" s="1"/>
  <c r="E84" i="15" s="1"/>
  <c r="G84" i="15" s="1"/>
  <c r="C84" i="33" s="1"/>
  <c r="E78" i="14"/>
  <c r="G78" i="14" s="1"/>
  <c r="C78" i="15" s="1"/>
  <c r="E78" i="15" s="1"/>
  <c r="G78" i="15" s="1"/>
  <c r="C78" i="14"/>
  <c r="E73" i="14"/>
  <c r="G73" i="14" s="1"/>
  <c r="C73" i="15" s="1"/>
  <c r="E73" i="15" s="1"/>
  <c r="G73" i="15" s="1"/>
  <c r="C73" i="14"/>
  <c r="C77" i="14"/>
  <c r="E77" i="14" s="1"/>
  <c r="G77" i="14" s="1"/>
  <c r="C77" i="15" s="1"/>
  <c r="E77" i="15" s="1"/>
  <c r="G77" i="15" s="1"/>
  <c r="C69" i="38"/>
  <c r="E69" i="38" s="1"/>
  <c r="G69" i="38" s="1"/>
  <c r="C88" i="14"/>
  <c r="E88" i="14" s="1"/>
  <c r="G88" i="14" s="1"/>
  <c r="C88" i="15" s="1"/>
  <c r="E88" i="15" s="1"/>
  <c r="G88" i="15" s="1"/>
  <c r="C88" i="33" s="1"/>
  <c r="C87" i="14"/>
  <c r="E87" i="14" s="1"/>
  <c r="G87" i="14" s="1"/>
  <c r="C87" i="15" s="1"/>
  <c r="E87" i="15" s="1"/>
  <c r="G87" i="15" s="1"/>
  <c r="C87" i="33" s="1"/>
  <c r="C86" i="14"/>
  <c r="E86" i="14" s="1"/>
  <c r="G86" i="14" s="1"/>
  <c r="C86" i="15" s="1"/>
  <c r="E86" i="15" s="1"/>
  <c r="G86" i="15" s="1"/>
  <c r="C86" i="33" s="1"/>
  <c r="C72" i="14"/>
  <c r="E72" i="14" s="1"/>
  <c r="G72" i="14" s="1"/>
  <c r="C72" i="15" s="1"/>
  <c r="E72" i="15" s="1"/>
  <c r="G72" i="15" s="1"/>
  <c r="C70" i="14"/>
  <c r="E70" i="14" s="1"/>
  <c r="G70" i="14" s="1"/>
  <c r="C64" i="33"/>
  <c r="E64" i="33" s="1"/>
  <c r="G64" i="33" s="1"/>
  <c r="C64" i="38" s="1"/>
  <c r="E64" i="38" s="1"/>
  <c r="G64" i="38" s="1"/>
  <c r="C90" i="14"/>
  <c r="E90" i="14" s="1"/>
  <c r="G90" i="14" s="1"/>
  <c r="C90" i="15" s="1"/>
  <c r="E90" i="15" s="1"/>
  <c r="G90" i="15" s="1"/>
  <c r="C90" i="33" s="1"/>
  <c r="C83" i="14"/>
  <c r="E83" i="14" s="1"/>
  <c r="G83" i="14" s="1"/>
  <c r="C83" i="15" s="1"/>
  <c r="E83" i="15" s="1"/>
  <c r="G83" i="15" s="1"/>
  <c r="C83" i="33" s="1"/>
  <c r="C85" i="14"/>
  <c r="E85" i="14" s="1"/>
  <c r="G85" i="14" s="1"/>
  <c r="C85" i="15" s="1"/>
  <c r="E85" i="15" s="1"/>
  <c r="G85" i="15" s="1"/>
  <c r="C85" i="33" s="1"/>
  <c r="C75" i="14"/>
  <c r="E75" i="14" s="1"/>
  <c r="G75" i="14" s="1"/>
  <c r="C75" i="15" s="1"/>
  <c r="E75" i="15" s="1"/>
  <c r="G75" i="15" s="1"/>
  <c r="E81" i="14"/>
  <c r="G81" i="14" s="1"/>
  <c r="C81" i="15" s="1"/>
  <c r="E81" i="15" s="1"/>
  <c r="G81" i="15" s="1"/>
  <c r="C81" i="14"/>
  <c r="C71" i="14"/>
  <c r="E71" i="14" s="1"/>
  <c r="G71" i="14" s="1"/>
  <c r="C71" i="15" s="1"/>
  <c r="E71" i="15" s="1"/>
  <c r="G71" i="15" s="1"/>
  <c r="C74" i="14"/>
  <c r="E74" i="14" s="1"/>
  <c r="G74" i="14" s="1"/>
  <c r="C74" i="15" s="1"/>
  <c r="E74" i="15" s="1"/>
  <c r="G74" i="15" s="1"/>
  <c r="C79" i="14"/>
  <c r="E79" i="14" s="1"/>
  <c r="G79" i="14" s="1"/>
  <c r="C79" i="15" s="1"/>
  <c r="E79" i="15" s="1"/>
  <c r="G79" i="15" s="1"/>
  <c r="E10" i="39"/>
  <c r="G10" i="39" s="1"/>
  <c r="C10" i="40" s="1"/>
  <c r="E51" i="39"/>
  <c r="G51" i="39" s="1"/>
  <c r="C51" i="40" s="1"/>
  <c r="E33" i="39"/>
  <c r="G33" i="39" s="1"/>
  <c r="C33" i="40" s="1"/>
  <c r="E32" i="39"/>
  <c r="G32" i="39" s="1"/>
  <c r="C32" i="40" s="1"/>
  <c r="E43" i="39"/>
  <c r="G43" i="39" s="1"/>
  <c r="C43" i="40" s="1"/>
  <c r="E68" i="33"/>
  <c r="G68" i="33" s="1"/>
  <c r="E80" i="32"/>
  <c r="E82" i="32"/>
  <c r="C59" i="41"/>
  <c r="E59" i="41" s="1"/>
  <c r="G59" i="41" s="1"/>
  <c r="E22" i="39"/>
  <c r="G22" i="39" s="1"/>
  <c r="C22" i="40" s="1"/>
  <c r="E37" i="39"/>
  <c r="G37" i="39" s="1"/>
  <c r="C37" i="40" s="1"/>
  <c r="E50" i="39"/>
  <c r="G50" i="39" s="1"/>
  <c r="C50" i="40" s="1"/>
  <c r="E52" i="39"/>
  <c r="G52" i="39" s="1"/>
  <c r="C52" i="40" s="1"/>
  <c r="E20" i="39"/>
  <c r="G20" i="39" s="1"/>
  <c r="C20" i="40" s="1"/>
  <c r="E53" i="39"/>
  <c r="G53" i="39" s="1"/>
  <c r="C53" i="40" s="1"/>
  <c r="E16" i="39"/>
  <c r="G16" i="39" s="1"/>
  <c r="C16" i="40" s="1"/>
  <c r="E58" i="39"/>
  <c r="G58" i="39" s="1"/>
  <c r="C58" i="40" s="1"/>
  <c r="E29" i="39"/>
  <c r="G29" i="39" s="1"/>
  <c r="C29" i="40" s="1"/>
  <c r="E35" i="39"/>
  <c r="G35" i="39" s="1"/>
  <c r="C35" i="40" s="1"/>
  <c r="E34" i="39"/>
  <c r="G34" i="39" s="1"/>
  <c r="C34" i="40" s="1"/>
  <c r="E56" i="39"/>
  <c r="G56" i="39" s="1"/>
  <c r="C56" i="40" s="1"/>
  <c r="E19" i="39"/>
  <c r="G19" i="39" s="1"/>
  <c r="C19" i="40" s="1"/>
  <c r="E39" i="39"/>
  <c r="G39" i="39" s="1"/>
  <c r="C39" i="40" s="1"/>
  <c r="E9" i="39"/>
  <c r="G9" i="39" s="1"/>
  <c r="C9" i="40" s="1"/>
  <c r="E42" i="39"/>
  <c r="G42" i="39" s="1"/>
  <c r="C42" i="40" s="1"/>
  <c r="E24" i="39"/>
  <c r="G24" i="39" s="1"/>
  <c r="C24" i="40" s="1"/>
  <c r="E30" i="39"/>
  <c r="G30" i="39" s="1"/>
  <c r="C30" i="40" s="1"/>
  <c r="E23" i="39"/>
  <c r="G23" i="39" s="1"/>
  <c r="C23" i="40" s="1"/>
  <c r="E31" i="39"/>
  <c r="G31" i="39" s="1"/>
  <c r="C31" i="40" s="1"/>
  <c r="E57" i="39"/>
  <c r="G57" i="39" s="1"/>
  <c r="C57" i="40" s="1"/>
  <c r="E41" i="39"/>
  <c r="G41" i="39" s="1"/>
  <c r="C41" i="40" s="1"/>
  <c r="E18" i="39"/>
  <c r="G18" i="39" s="1"/>
  <c r="C18" i="40" s="1"/>
  <c r="E54" i="39"/>
  <c r="G54" i="39" s="1"/>
  <c r="C54" i="40" s="1"/>
  <c r="E40" i="39"/>
  <c r="G40" i="39" s="1"/>
  <c r="C40" i="40" s="1"/>
  <c r="E55" i="39"/>
  <c r="G55" i="39" s="1"/>
  <c r="C55" i="40" s="1"/>
  <c r="E49" i="39"/>
  <c r="G49" i="39" s="1"/>
  <c r="C49" i="40" s="1"/>
  <c r="E36" i="39"/>
  <c r="G36" i="39" s="1"/>
  <c r="C36" i="40" s="1"/>
  <c r="E38" i="39"/>
  <c r="G38" i="39" s="1"/>
  <c r="C38" i="40" s="1"/>
  <c r="E44" i="39"/>
  <c r="G44" i="39" s="1"/>
  <c r="C44" i="40" s="1"/>
  <c r="E15" i="39"/>
  <c r="G15" i="39" s="1"/>
  <c r="C15" i="40" s="1"/>
  <c r="E5" i="39"/>
  <c r="G5" i="39" s="1"/>
  <c r="C5" i="40" s="1"/>
  <c r="E25" i="39"/>
  <c r="G25" i="39" s="1"/>
  <c r="C25" i="40" s="1"/>
  <c r="E27" i="39"/>
  <c r="G27" i="39" s="1"/>
  <c r="C27" i="40" s="1"/>
  <c r="E17" i="39"/>
  <c r="G17" i="39" s="1"/>
  <c r="C17" i="40" s="1"/>
  <c r="E8" i="39"/>
  <c r="G8" i="39" s="1"/>
  <c r="C8" i="40" s="1"/>
  <c r="E21" i="39"/>
  <c r="G21" i="39" s="1"/>
  <c r="C21" i="40" s="1"/>
  <c r="E14" i="39"/>
  <c r="G14" i="39" s="1"/>
  <c r="C14" i="40" s="1"/>
  <c r="E13" i="39"/>
  <c r="G13" i="39" s="1"/>
  <c r="C13" i="40" s="1"/>
  <c r="E11" i="39"/>
  <c r="G11" i="39" s="1"/>
  <c r="C11" i="40" s="1"/>
  <c r="E26" i="39"/>
  <c r="G26" i="39" s="1"/>
  <c r="C26" i="40" s="1"/>
  <c r="E6" i="39"/>
  <c r="G6" i="39" s="1"/>
  <c r="C6" i="40" s="1"/>
  <c r="E48" i="39"/>
  <c r="G48" i="39" s="1"/>
  <c r="C48" i="40" s="1"/>
  <c r="E47" i="39"/>
  <c r="G47" i="39" s="1"/>
  <c r="C47" i="40" s="1"/>
  <c r="E46" i="39"/>
  <c r="G46" i="39" s="1"/>
  <c r="C46" i="40" s="1"/>
  <c r="E45" i="39"/>
  <c r="G45" i="39" s="1"/>
  <c r="C45" i="40" s="1"/>
  <c r="E28" i="39"/>
  <c r="G28" i="39" s="1"/>
  <c r="C28" i="40" s="1"/>
  <c r="E12" i="39"/>
  <c r="G12" i="39" s="1"/>
  <c r="C12" i="40" s="1"/>
  <c r="E7" i="39"/>
  <c r="G7" i="39" s="1"/>
  <c r="C7" i="40" s="1"/>
  <c r="E4" i="38"/>
  <c r="G4" i="38" s="1"/>
  <c r="C4" i="39" s="1"/>
  <c r="E4" i="39" s="1"/>
  <c r="G4" i="39" s="1"/>
  <c r="C4" i="40" s="1"/>
  <c r="E4" i="40" s="1"/>
  <c r="G4" i="40" s="1"/>
  <c r="C4" i="41" s="1"/>
  <c r="E4" i="41" s="1"/>
  <c r="G4" i="41" s="1"/>
  <c r="C4" i="42" s="1"/>
  <c r="E4" i="42" s="1"/>
  <c r="G4" i="42" s="1"/>
  <c r="C4" i="43" s="1"/>
  <c r="E4" i="43" s="1"/>
  <c r="G4" i="43" s="1"/>
  <c r="E4" i="44" s="1"/>
  <c r="G4" i="44" s="1"/>
  <c r="C4" i="45" s="1"/>
  <c r="E4" i="45" s="1"/>
  <c r="G4" i="45" s="1"/>
  <c r="C4" i="46" s="1"/>
  <c r="E4" i="46" s="1"/>
  <c r="G4" i="46" s="1"/>
  <c r="C4" i="47" s="1"/>
  <c r="E4" i="47" s="1"/>
  <c r="G4" i="47" s="1"/>
  <c r="C4" i="48" s="1"/>
  <c r="E4" i="48" s="1"/>
  <c r="G4" i="48" s="1"/>
  <c r="C4" i="49" s="1"/>
  <c r="E4" i="49" s="1"/>
  <c r="G4" i="49" s="1"/>
  <c r="C4" i="50" s="1"/>
  <c r="E4" i="50" s="1"/>
  <c r="G4" i="50" s="1"/>
  <c r="C62" i="40" l="1"/>
  <c r="E62" i="40" s="1"/>
  <c r="G62" i="40" s="1"/>
  <c r="C62" i="41" s="1"/>
  <c r="E62" i="41" s="1"/>
  <c r="G62" i="41" s="1"/>
  <c r="C62" i="42" s="1"/>
  <c r="E62" i="42" s="1"/>
  <c r="G62" i="42" s="1"/>
  <c r="C62" i="43" s="1"/>
  <c r="E63" i="39"/>
  <c r="G63" i="39" s="1"/>
  <c r="C63" i="39"/>
  <c r="C65" i="39"/>
  <c r="E65" i="39" s="1"/>
  <c r="G65" i="39" s="1"/>
  <c r="C61" i="39"/>
  <c r="E61" i="39" s="1"/>
  <c r="G61" i="39" s="1"/>
  <c r="C64" i="39"/>
  <c r="E64" i="39" s="1"/>
  <c r="G64" i="39" s="1"/>
  <c r="E60" i="39"/>
  <c r="G60" i="39" s="1"/>
  <c r="C60" i="39"/>
  <c r="C69" i="39"/>
  <c r="E69" i="39" s="1"/>
  <c r="G69" i="39" s="1"/>
  <c r="C71" i="33"/>
  <c r="E71" i="33" s="1"/>
  <c r="G71" i="33" s="1"/>
  <c r="C78" i="33"/>
  <c r="E78" i="33" s="1"/>
  <c r="G78" i="33" s="1"/>
  <c r="C76" i="33"/>
  <c r="E76" i="33" s="1"/>
  <c r="G76" i="33" s="1"/>
  <c r="C72" i="33"/>
  <c r="E72" i="33" s="1"/>
  <c r="G72" i="33" s="1"/>
  <c r="E75" i="33"/>
  <c r="G75" i="33" s="1"/>
  <c r="C75" i="33"/>
  <c r="C77" i="33"/>
  <c r="E77" i="33" s="1"/>
  <c r="G77" i="33" s="1"/>
  <c r="C79" i="33"/>
  <c r="E79" i="33" s="1"/>
  <c r="G79" i="33" s="1"/>
  <c r="C73" i="33"/>
  <c r="E73" i="33" s="1"/>
  <c r="G73" i="33" s="1"/>
  <c r="C74" i="33"/>
  <c r="E74" i="33" s="1"/>
  <c r="G74" i="33" s="1"/>
  <c r="C67" i="15"/>
  <c r="E67" i="15" s="1"/>
  <c r="G67" i="15" s="1"/>
  <c r="C70" i="15"/>
  <c r="E70" i="15" s="1"/>
  <c r="G70" i="15" s="1"/>
  <c r="C81" i="33"/>
  <c r="E81" i="33" s="1"/>
  <c r="G81" i="33" s="1"/>
  <c r="C68" i="38"/>
  <c r="E68" i="38" s="1"/>
  <c r="G68" i="38" s="1"/>
  <c r="E43" i="40"/>
  <c r="G43" i="40" s="1"/>
  <c r="E33" i="40"/>
  <c r="G33" i="40" s="1"/>
  <c r="E10" i="40"/>
  <c r="G10" i="40" s="1"/>
  <c r="E32" i="40"/>
  <c r="G32" i="40" s="1"/>
  <c r="E51" i="40"/>
  <c r="G51" i="40" s="1"/>
  <c r="E20" i="40"/>
  <c r="G20" i="40" s="1"/>
  <c r="E40" i="40"/>
  <c r="G40" i="40" s="1"/>
  <c r="E56" i="40"/>
  <c r="G56" i="40" s="1"/>
  <c r="E52" i="40"/>
  <c r="G52" i="40" s="1"/>
  <c r="E88" i="33"/>
  <c r="G88" i="33" s="1"/>
  <c r="E55" i="40"/>
  <c r="G55" i="40" s="1"/>
  <c r="E54" i="40"/>
  <c r="G54" i="40" s="1"/>
  <c r="E30" i="40"/>
  <c r="G30" i="40" s="1"/>
  <c r="E34" i="40"/>
  <c r="G34" i="40" s="1"/>
  <c r="E50" i="40"/>
  <c r="G50" i="40" s="1"/>
  <c r="E84" i="33"/>
  <c r="G84" i="33" s="1"/>
  <c r="E86" i="33"/>
  <c r="G86" i="33" s="1"/>
  <c r="E37" i="40"/>
  <c r="G37" i="40" s="1"/>
  <c r="E38" i="40"/>
  <c r="G38" i="40" s="1"/>
  <c r="E42" i="40"/>
  <c r="G42" i="40" s="1"/>
  <c r="E29" i="40"/>
  <c r="G29" i="40" s="1"/>
  <c r="E22" i="40"/>
  <c r="G22" i="40" s="1"/>
  <c r="E90" i="33"/>
  <c r="G90" i="33" s="1"/>
  <c r="E87" i="33"/>
  <c r="G87" i="33" s="1"/>
  <c r="E66" i="33"/>
  <c r="G66" i="33" s="1"/>
  <c r="E36" i="40"/>
  <c r="G36" i="40" s="1"/>
  <c r="E41" i="40"/>
  <c r="G41" i="40" s="1"/>
  <c r="E58" i="40"/>
  <c r="G58" i="40" s="1"/>
  <c r="C59" i="42"/>
  <c r="E59" i="42" s="1"/>
  <c r="G59" i="42" s="1"/>
  <c r="C59" i="43" s="1"/>
  <c r="G82" i="32"/>
  <c r="G80" i="32"/>
  <c r="E35" i="40"/>
  <c r="G35" i="40" s="1"/>
  <c r="E57" i="40"/>
  <c r="G57" i="40" s="1"/>
  <c r="E16" i="40"/>
  <c r="G16" i="40" s="1"/>
  <c r="E85" i="33"/>
  <c r="G85" i="33" s="1"/>
  <c r="E19" i="40"/>
  <c r="G19" i="40" s="1"/>
  <c r="E24" i="40"/>
  <c r="G24" i="40" s="1"/>
  <c r="E31" i="40"/>
  <c r="G31" i="40" s="1"/>
  <c r="E39" i="40"/>
  <c r="G39" i="40" s="1"/>
  <c r="E53" i="40"/>
  <c r="G53" i="40" s="1"/>
  <c r="E83" i="33"/>
  <c r="G83" i="33" s="1"/>
  <c r="E89" i="33"/>
  <c r="G89" i="33" s="1"/>
  <c r="E49" i="40"/>
  <c r="G49" i="40" s="1"/>
  <c r="E18" i="40"/>
  <c r="G18" i="40" s="1"/>
  <c r="E23" i="40"/>
  <c r="G23" i="40" s="1"/>
  <c r="E9" i="40"/>
  <c r="G9" i="40" s="1"/>
  <c r="E44" i="40"/>
  <c r="G44" i="40" s="1"/>
  <c r="E15" i="40"/>
  <c r="G15" i="40" s="1"/>
  <c r="E5" i="40"/>
  <c r="G5" i="40" s="1"/>
  <c r="E25" i="40"/>
  <c r="G25" i="40" s="1"/>
  <c r="E27" i="40"/>
  <c r="G27" i="40" s="1"/>
  <c r="E17" i="40"/>
  <c r="G17" i="40" s="1"/>
  <c r="E8" i="40"/>
  <c r="G8" i="40" s="1"/>
  <c r="E21" i="40"/>
  <c r="G21" i="40" s="1"/>
  <c r="E14" i="40"/>
  <c r="G14" i="40" s="1"/>
  <c r="E13" i="40"/>
  <c r="G13" i="40" s="1"/>
  <c r="E11" i="40"/>
  <c r="G11" i="40" s="1"/>
  <c r="E26" i="40"/>
  <c r="G26" i="40" s="1"/>
  <c r="E6" i="40"/>
  <c r="G6" i="40" s="1"/>
  <c r="E48" i="40"/>
  <c r="G48" i="40" s="1"/>
  <c r="E47" i="40"/>
  <c r="G47" i="40" s="1"/>
  <c r="E46" i="40"/>
  <c r="G46" i="40" s="1"/>
  <c r="E45" i="40"/>
  <c r="G45" i="40" s="1"/>
  <c r="E28" i="40"/>
  <c r="G28" i="40" s="1"/>
  <c r="E12" i="40"/>
  <c r="G12" i="40" s="1"/>
  <c r="E7" i="40"/>
  <c r="G7" i="40" s="1"/>
  <c r="C64" i="40" l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1" i="40"/>
  <c r="G61" i="40" s="1"/>
  <c r="C61" i="41" s="1"/>
  <c r="E61" i="41" s="1"/>
  <c r="G61" i="41" s="1"/>
  <c r="C61" i="42" s="1"/>
  <c r="E61" i="42" s="1"/>
  <c r="G61" i="42" s="1"/>
  <c r="C61" i="43" s="1"/>
  <c r="C61" i="40"/>
  <c r="C65" i="40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C68" i="39"/>
  <c r="E68" i="39" s="1"/>
  <c r="G68" i="39" s="1"/>
  <c r="C68" i="40" s="1"/>
  <c r="E68" i="40" s="1"/>
  <c r="G68" i="40" s="1"/>
  <c r="C63" i="40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0" i="40"/>
  <c r="G60" i="40" s="1"/>
  <c r="C60" i="41" s="1"/>
  <c r="E60" i="41" s="1"/>
  <c r="G60" i="41" s="1"/>
  <c r="C60" i="42" s="1"/>
  <c r="E60" i="42" s="1"/>
  <c r="G60" i="42" s="1"/>
  <c r="C60" i="43" s="1"/>
  <c r="C60" i="40"/>
  <c r="C69" i="40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E69" i="44" s="1"/>
  <c r="G69" i="44" s="1"/>
  <c r="C72" i="38"/>
  <c r="E72" i="38" s="1"/>
  <c r="G72" i="38" s="1"/>
  <c r="C74" i="38"/>
  <c r="E74" i="38" s="1"/>
  <c r="G74" i="38" s="1"/>
  <c r="E76" i="38"/>
  <c r="G76" i="38" s="1"/>
  <c r="C76" i="38"/>
  <c r="C81" i="38"/>
  <c r="E81" i="38" s="1"/>
  <c r="G81" i="38" s="1"/>
  <c r="C79" i="38"/>
  <c r="E79" i="38" s="1"/>
  <c r="G79" i="38" s="1"/>
  <c r="C70" i="33"/>
  <c r="E70" i="33" s="1"/>
  <c r="G70" i="33" s="1"/>
  <c r="C77" i="38"/>
  <c r="E77" i="38" s="1"/>
  <c r="G77" i="38" s="1"/>
  <c r="C67" i="33"/>
  <c r="E67" i="33" s="1"/>
  <c r="G67" i="33" s="1"/>
  <c r="E71" i="38"/>
  <c r="G71" i="38" s="1"/>
  <c r="C71" i="38"/>
  <c r="C88" i="38"/>
  <c r="E88" i="38" s="1"/>
  <c r="G88" i="38" s="1"/>
  <c r="C66" i="38"/>
  <c r="E66" i="38" s="1"/>
  <c r="G66" i="38" s="1"/>
  <c r="C75" i="38"/>
  <c r="E75" i="38" s="1"/>
  <c r="G75" i="38" s="1"/>
  <c r="C89" i="38"/>
  <c r="E89" i="38" s="1"/>
  <c r="G89" i="38" s="1"/>
  <c r="C84" i="38"/>
  <c r="E84" i="38" s="1"/>
  <c r="G84" i="38" s="1"/>
  <c r="E87" i="38"/>
  <c r="G87" i="38" s="1"/>
  <c r="C87" i="39" s="1"/>
  <c r="E87" i="39" s="1"/>
  <c r="G87" i="39" s="1"/>
  <c r="C87" i="40" s="1"/>
  <c r="C87" i="38"/>
  <c r="C80" i="14"/>
  <c r="E80" i="14" s="1"/>
  <c r="G80" i="14" s="1"/>
  <c r="C80" i="15" s="1"/>
  <c r="E80" i="15" s="1"/>
  <c r="G80" i="15" s="1"/>
  <c r="C82" i="14"/>
  <c r="E82" i="14" s="1"/>
  <c r="G82" i="14" s="1"/>
  <c r="C82" i="15" s="1"/>
  <c r="E82" i="15" s="1"/>
  <c r="G82" i="15" s="1"/>
  <c r="C82" i="33" s="1"/>
  <c r="C85" i="38"/>
  <c r="E85" i="38" s="1"/>
  <c r="G85" i="38" s="1"/>
  <c r="C90" i="38"/>
  <c r="E90" i="38" s="1"/>
  <c r="G90" i="38" s="1"/>
  <c r="C73" i="38"/>
  <c r="E73" i="38" s="1"/>
  <c r="G73" i="38" s="1"/>
  <c r="C78" i="38"/>
  <c r="E78" i="38" s="1"/>
  <c r="G78" i="38" s="1"/>
  <c r="E83" i="38"/>
  <c r="G83" i="38" s="1"/>
  <c r="C83" i="38"/>
  <c r="C86" i="38"/>
  <c r="E86" i="38" s="1"/>
  <c r="G86" i="38" s="1"/>
  <c r="C86" i="39" s="1"/>
  <c r="E86" i="39" s="1"/>
  <c r="G86" i="39" s="1"/>
  <c r="C86" i="40" s="1"/>
  <c r="C51" i="41"/>
  <c r="E51" i="41" s="1"/>
  <c r="G51" i="41" s="1"/>
  <c r="C10" i="41"/>
  <c r="E10" i="41" s="1"/>
  <c r="G10" i="41" s="1"/>
  <c r="C43" i="41"/>
  <c r="E43" i="41" s="1"/>
  <c r="G43" i="41" s="1"/>
  <c r="C32" i="41"/>
  <c r="E32" i="41" s="1"/>
  <c r="G32" i="41" s="1"/>
  <c r="C33" i="41"/>
  <c r="E33" i="41" s="1"/>
  <c r="G33" i="41" s="1"/>
  <c r="C57" i="41"/>
  <c r="E57" i="41" s="1"/>
  <c r="G57" i="41" s="1"/>
  <c r="E59" i="43"/>
  <c r="G59" i="43" s="1"/>
  <c r="C59" i="44" s="1"/>
  <c r="C24" i="41"/>
  <c r="E24" i="41" s="1"/>
  <c r="G24" i="41" s="1"/>
  <c r="C58" i="41"/>
  <c r="E58" i="41" s="1"/>
  <c r="G58" i="41" s="1"/>
  <c r="C50" i="41"/>
  <c r="E50" i="41" s="1"/>
  <c r="G50" i="41" s="1"/>
  <c r="C19" i="41"/>
  <c r="E19" i="41" s="1"/>
  <c r="G19" i="41" s="1"/>
  <c r="C41" i="41"/>
  <c r="E41" i="41" s="1"/>
  <c r="G41" i="41" s="1"/>
  <c r="C22" i="41"/>
  <c r="E22" i="41" s="1"/>
  <c r="G22" i="41" s="1"/>
  <c r="C34" i="41"/>
  <c r="E34" i="41" s="1"/>
  <c r="G34" i="41" s="1"/>
  <c r="C29" i="41"/>
  <c r="E29" i="41" s="1"/>
  <c r="G29" i="41" s="1"/>
  <c r="C30" i="41"/>
  <c r="E30" i="41" s="1"/>
  <c r="G30" i="41" s="1"/>
  <c r="C52" i="41"/>
  <c r="E52" i="41" s="1"/>
  <c r="G52" i="41" s="1"/>
  <c r="C18" i="41"/>
  <c r="E18" i="41" s="1"/>
  <c r="G18" i="41" s="1"/>
  <c r="C53" i="41"/>
  <c r="E53" i="41" s="1"/>
  <c r="G53" i="41" s="1"/>
  <c r="C42" i="41"/>
  <c r="E42" i="41" s="1"/>
  <c r="G42" i="41" s="1"/>
  <c r="C56" i="41"/>
  <c r="E56" i="41" s="1"/>
  <c r="G56" i="41" s="1"/>
  <c r="C9" i="41"/>
  <c r="E9" i="41" s="1"/>
  <c r="G9" i="41" s="1"/>
  <c r="C39" i="41"/>
  <c r="E39" i="41" s="1"/>
  <c r="G39" i="41" s="1"/>
  <c r="C40" i="41"/>
  <c r="E40" i="41" s="1"/>
  <c r="G40" i="41" s="1"/>
  <c r="C31" i="41"/>
  <c r="E31" i="41" s="1"/>
  <c r="G31" i="41" s="1"/>
  <c r="E60" i="43"/>
  <c r="G60" i="43" s="1"/>
  <c r="C60" i="44" s="1"/>
  <c r="C55" i="41"/>
  <c r="E55" i="41" s="1"/>
  <c r="G55" i="41" s="1"/>
  <c r="C23" i="41"/>
  <c r="E23" i="41" s="1"/>
  <c r="G23" i="41" s="1"/>
  <c r="C16" i="41"/>
  <c r="E16" i="41" s="1"/>
  <c r="G16" i="41" s="1"/>
  <c r="C37" i="41"/>
  <c r="E37" i="41" s="1"/>
  <c r="G37" i="41" s="1"/>
  <c r="C49" i="41"/>
  <c r="E49" i="41" s="1"/>
  <c r="G49" i="41" s="1"/>
  <c r="C35" i="41"/>
  <c r="E35" i="41" s="1"/>
  <c r="G35" i="41" s="1"/>
  <c r="C36" i="41"/>
  <c r="E36" i="41" s="1"/>
  <c r="G36" i="41" s="1"/>
  <c r="C38" i="41"/>
  <c r="E38" i="41" s="1"/>
  <c r="G38" i="41" s="1"/>
  <c r="C54" i="41"/>
  <c r="E54" i="41" s="1"/>
  <c r="G54" i="41" s="1"/>
  <c r="C20" i="41"/>
  <c r="E20" i="41" s="1"/>
  <c r="G20" i="41" s="1"/>
  <c r="C44" i="41"/>
  <c r="E44" i="41" s="1"/>
  <c r="G44" i="41" s="1"/>
  <c r="E61" i="43"/>
  <c r="G61" i="43" s="1"/>
  <c r="C61" i="44" s="1"/>
  <c r="C15" i="41"/>
  <c r="E15" i="41" s="1"/>
  <c r="G15" i="41" s="1"/>
  <c r="C5" i="41"/>
  <c r="E5" i="41" s="1"/>
  <c r="G5" i="41" s="1"/>
  <c r="C25" i="41"/>
  <c r="E25" i="41" s="1"/>
  <c r="G25" i="41" s="1"/>
  <c r="C27" i="41"/>
  <c r="E27" i="41" s="1"/>
  <c r="G27" i="41" s="1"/>
  <c r="E62" i="43"/>
  <c r="G62" i="43" s="1"/>
  <c r="C62" i="44" s="1"/>
  <c r="C17" i="41"/>
  <c r="E17" i="41" s="1"/>
  <c r="G17" i="41" s="1"/>
  <c r="C8" i="41"/>
  <c r="E8" i="41" s="1"/>
  <c r="G8" i="41" s="1"/>
  <c r="C21" i="41"/>
  <c r="E21" i="41" s="1"/>
  <c r="G21" i="41" s="1"/>
  <c r="C14" i="41"/>
  <c r="E14" i="41" s="1"/>
  <c r="G14" i="41" s="1"/>
  <c r="C13" i="41"/>
  <c r="E13" i="41" s="1"/>
  <c r="G13" i="41" s="1"/>
  <c r="C11" i="41"/>
  <c r="E11" i="41" s="1"/>
  <c r="G11" i="41" s="1"/>
  <c r="C26" i="41"/>
  <c r="E26" i="41" s="1"/>
  <c r="G26" i="41" s="1"/>
  <c r="C6" i="41"/>
  <c r="E6" i="41" s="1"/>
  <c r="G6" i="41" s="1"/>
  <c r="C48" i="41"/>
  <c r="E48" i="41" s="1"/>
  <c r="G48" i="41" s="1"/>
  <c r="C47" i="41"/>
  <c r="E47" i="41" s="1"/>
  <c r="G47" i="41" s="1"/>
  <c r="C46" i="41"/>
  <c r="E46" i="41" s="1"/>
  <c r="G46" i="41" s="1"/>
  <c r="C45" i="41"/>
  <c r="E45" i="41" s="1"/>
  <c r="G45" i="41" s="1"/>
  <c r="C28" i="41"/>
  <c r="E28" i="41" s="1"/>
  <c r="G28" i="41" s="1"/>
  <c r="C12" i="41"/>
  <c r="E12" i="41" s="1"/>
  <c r="G12" i="41" s="1"/>
  <c r="C7" i="41"/>
  <c r="E7" i="41" s="1"/>
  <c r="G7" i="41" s="1"/>
  <c r="C81" i="39" l="1"/>
  <c r="E81" i="39" s="1"/>
  <c r="G81" i="39" s="1"/>
  <c r="E88" i="39"/>
  <c r="G88" i="39" s="1"/>
  <c r="C88" i="40" s="1"/>
  <c r="C88" i="39"/>
  <c r="C78" i="39"/>
  <c r="E78" i="39" s="1"/>
  <c r="G78" i="39" s="1"/>
  <c r="C78" i="40" s="1"/>
  <c r="E78" i="40" s="1"/>
  <c r="G78" i="40" s="1"/>
  <c r="C78" i="41" s="1"/>
  <c r="E78" i="41" s="1"/>
  <c r="G78" i="41" s="1"/>
  <c r="C71" i="39"/>
  <c r="E71" i="39" s="1"/>
  <c r="G71" i="39" s="1"/>
  <c r="C76" i="39"/>
  <c r="E76" i="39" s="1"/>
  <c r="G76" i="39" s="1"/>
  <c r="C76" i="40" s="1"/>
  <c r="E76" i="40" s="1"/>
  <c r="G76" i="40" s="1"/>
  <c r="C76" i="41" s="1"/>
  <c r="E76" i="41" s="1"/>
  <c r="G76" i="41" s="1"/>
  <c r="E90" i="39"/>
  <c r="G90" i="39" s="1"/>
  <c r="C90" i="40" s="1"/>
  <c r="C90" i="39"/>
  <c r="C84" i="39"/>
  <c r="E84" i="39" s="1"/>
  <c r="G84" i="39" s="1"/>
  <c r="C84" i="40" s="1"/>
  <c r="E84" i="40" s="1"/>
  <c r="G84" i="40" s="1"/>
  <c r="C74" i="39"/>
  <c r="E74" i="39" s="1"/>
  <c r="G74" i="39" s="1"/>
  <c r="C85" i="39"/>
  <c r="E85" i="39" s="1"/>
  <c r="G85" i="39" s="1"/>
  <c r="C85" i="40" s="1"/>
  <c r="E85" i="40" s="1"/>
  <c r="G85" i="40" s="1"/>
  <c r="E77" i="39"/>
  <c r="G77" i="39" s="1"/>
  <c r="C77" i="39"/>
  <c r="C75" i="39"/>
  <c r="E75" i="39" s="1"/>
  <c r="G75" i="39" s="1"/>
  <c r="C66" i="39"/>
  <c r="E66" i="39" s="1"/>
  <c r="G66" i="39" s="1"/>
  <c r="C66" i="40" s="1"/>
  <c r="E66" i="40" s="1"/>
  <c r="G66" i="40" s="1"/>
  <c r="C79" i="39"/>
  <c r="E79" i="39" s="1"/>
  <c r="G79" i="39" s="1"/>
  <c r="E83" i="39"/>
  <c r="G83" i="39" s="1"/>
  <c r="C83" i="40" s="1"/>
  <c r="C83" i="39"/>
  <c r="C89" i="39"/>
  <c r="E89" i="39" s="1"/>
  <c r="G89" i="39" s="1"/>
  <c r="C89" i="40" s="1"/>
  <c r="E89" i="40" s="1"/>
  <c r="G89" i="40" s="1"/>
  <c r="C72" i="39"/>
  <c r="E72" i="39" s="1"/>
  <c r="G72" i="39" s="1"/>
  <c r="C73" i="39"/>
  <c r="E73" i="39" s="1"/>
  <c r="G73" i="39" s="1"/>
  <c r="C69" i="45"/>
  <c r="E69" i="45" s="1"/>
  <c r="G69" i="45" s="1"/>
  <c r="C69" i="46" s="1"/>
  <c r="E69" i="46" s="1"/>
  <c r="G69" i="46" s="1"/>
  <c r="C69" i="47" s="1"/>
  <c r="C67" i="38"/>
  <c r="E67" i="38" s="1"/>
  <c r="G67" i="38" s="1"/>
  <c r="C70" i="38"/>
  <c r="E70" i="38" s="1"/>
  <c r="G70" i="38" s="1"/>
  <c r="C80" i="33"/>
  <c r="E80" i="33" s="1"/>
  <c r="G80" i="33" s="1"/>
  <c r="C33" i="42"/>
  <c r="E33" i="42" s="1"/>
  <c r="G33" i="42" s="1"/>
  <c r="C33" i="43" s="1"/>
  <c r="C43" i="42"/>
  <c r="E43" i="42" s="1"/>
  <c r="G43" i="42" s="1"/>
  <c r="C43" i="43" s="1"/>
  <c r="C51" i="42"/>
  <c r="E51" i="42" s="1"/>
  <c r="G51" i="42" s="1"/>
  <c r="C51" i="43" s="1"/>
  <c r="C32" i="42"/>
  <c r="E32" i="42" s="1"/>
  <c r="G32" i="42" s="1"/>
  <c r="C32" i="43" s="1"/>
  <c r="C10" i="42"/>
  <c r="E10" i="42" s="1"/>
  <c r="G10" i="42" s="1"/>
  <c r="C10" i="43" s="1"/>
  <c r="C16" i="42"/>
  <c r="E16" i="42" s="1"/>
  <c r="G16" i="42" s="1"/>
  <c r="C16" i="43" s="1"/>
  <c r="C39" i="42"/>
  <c r="E39" i="42" s="1"/>
  <c r="G39" i="42" s="1"/>
  <c r="C39" i="43" s="1"/>
  <c r="C22" i="42"/>
  <c r="E22" i="42" s="1"/>
  <c r="G22" i="42" s="1"/>
  <c r="C22" i="43" s="1"/>
  <c r="C24" i="42"/>
  <c r="E24" i="42" s="1"/>
  <c r="G24" i="42" s="1"/>
  <c r="C24" i="43" s="1"/>
  <c r="C9" i="42"/>
  <c r="E9" i="42" s="1"/>
  <c r="G9" i="42" s="1"/>
  <c r="C9" i="43" s="1"/>
  <c r="C18" i="42"/>
  <c r="E18" i="42" s="1"/>
  <c r="G18" i="42" s="1"/>
  <c r="C18" i="43" s="1"/>
  <c r="E83" i="40"/>
  <c r="G83" i="40" s="1"/>
  <c r="C23" i="42"/>
  <c r="E23" i="42" s="1"/>
  <c r="G23" i="42" s="1"/>
  <c r="C23" i="43" s="1"/>
  <c r="C52" i="42"/>
  <c r="E52" i="42" s="1"/>
  <c r="G52" i="42" s="1"/>
  <c r="C52" i="43" s="1"/>
  <c r="C36" i="42"/>
  <c r="E36" i="42" s="1"/>
  <c r="G36" i="42" s="1"/>
  <c r="C36" i="43" s="1"/>
  <c r="C40" i="42"/>
  <c r="E40" i="42" s="1"/>
  <c r="G40" i="42" s="1"/>
  <c r="C40" i="43" s="1"/>
  <c r="C30" i="42"/>
  <c r="E30" i="42" s="1"/>
  <c r="G30" i="42" s="1"/>
  <c r="C30" i="43" s="1"/>
  <c r="C19" i="42"/>
  <c r="E19" i="42" s="1"/>
  <c r="G19" i="42" s="1"/>
  <c r="C19" i="43" s="1"/>
  <c r="C38" i="42"/>
  <c r="E38" i="42" s="1"/>
  <c r="G38" i="42" s="1"/>
  <c r="C38" i="43" s="1"/>
  <c r="E64" i="44"/>
  <c r="G64" i="44" s="1"/>
  <c r="C50" i="42"/>
  <c r="E50" i="42" s="1"/>
  <c r="G50" i="42" s="1"/>
  <c r="C50" i="43" s="1"/>
  <c r="E88" i="40"/>
  <c r="G88" i="40" s="1"/>
  <c r="C54" i="42"/>
  <c r="E54" i="42" s="1"/>
  <c r="G54" i="42" s="1"/>
  <c r="C54" i="43" s="1"/>
  <c r="C37" i="42"/>
  <c r="E37" i="42" s="1"/>
  <c r="G37" i="42" s="1"/>
  <c r="C37" i="43" s="1"/>
  <c r="E60" i="44"/>
  <c r="G60" i="44" s="1"/>
  <c r="C42" i="42"/>
  <c r="E42" i="42" s="1"/>
  <c r="G42" i="42" s="1"/>
  <c r="C42" i="43" s="1"/>
  <c r="E59" i="44"/>
  <c r="G59" i="44" s="1"/>
  <c r="C68" i="41"/>
  <c r="E68" i="41" s="1"/>
  <c r="G68" i="41" s="1"/>
  <c r="C57" i="42"/>
  <c r="E57" i="42" s="1"/>
  <c r="G57" i="42" s="1"/>
  <c r="C57" i="43" s="1"/>
  <c r="E90" i="40"/>
  <c r="G90" i="40" s="1"/>
  <c r="C35" i="42"/>
  <c r="E35" i="42" s="1"/>
  <c r="G35" i="42" s="1"/>
  <c r="C35" i="43" s="1"/>
  <c r="E63" i="44"/>
  <c r="G63" i="44" s="1"/>
  <c r="C34" i="42"/>
  <c r="E34" i="42" s="1"/>
  <c r="G34" i="42" s="1"/>
  <c r="C34" i="43" s="1"/>
  <c r="E65" i="44"/>
  <c r="G65" i="44" s="1"/>
  <c r="C20" i="42"/>
  <c r="E20" i="42" s="1"/>
  <c r="G20" i="42" s="1"/>
  <c r="C20" i="43" s="1"/>
  <c r="C55" i="42"/>
  <c r="E55" i="42" s="1"/>
  <c r="G55" i="42" s="1"/>
  <c r="C55" i="43" s="1"/>
  <c r="C56" i="42"/>
  <c r="E56" i="42" s="1"/>
  <c r="G56" i="42" s="1"/>
  <c r="C56" i="43" s="1"/>
  <c r="C53" i="42"/>
  <c r="E53" i="42" s="1"/>
  <c r="G53" i="42" s="1"/>
  <c r="C53" i="43" s="1"/>
  <c r="C29" i="42"/>
  <c r="E29" i="42" s="1"/>
  <c r="G29" i="42" s="1"/>
  <c r="C29" i="43" s="1"/>
  <c r="C41" i="42"/>
  <c r="E41" i="42" s="1"/>
  <c r="G41" i="42" s="1"/>
  <c r="C41" i="43" s="1"/>
  <c r="C58" i="42"/>
  <c r="E58" i="42" s="1"/>
  <c r="G58" i="42" s="1"/>
  <c r="C58" i="43" s="1"/>
  <c r="E86" i="40"/>
  <c r="G86" i="40" s="1"/>
  <c r="C31" i="42"/>
  <c r="E31" i="42" s="1"/>
  <c r="G31" i="42" s="1"/>
  <c r="C31" i="43" s="1"/>
  <c r="E87" i="40"/>
  <c r="G87" i="40" s="1"/>
  <c r="E82" i="33"/>
  <c r="G82" i="33" s="1"/>
  <c r="C49" i="42"/>
  <c r="E49" i="42" s="1"/>
  <c r="G49" i="42" s="1"/>
  <c r="C49" i="43" s="1"/>
  <c r="C44" i="42"/>
  <c r="E44" i="42" s="1"/>
  <c r="G44" i="42" s="1"/>
  <c r="C44" i="43" s="1"/>
  <c r="E61" i="44"/>
  <c r="G61" i="44" s="1"/>
  <c r="C15" i="42"/>
  <c r="E15" i="42" s="1"/>
  <c r="G15" i="42" s="1"/>
  <c r="C15" i="43" s="1"/>
  <c r="C5" i="42"/>
  <c r="E5" i="42" s="1"/>
  <c r="G5" i="42" s="1"/>
  <c r="C5" i="43" s="1"/>
  <c r="C25" i="42"/>
  <c r="E25" i="42" s="1"/>
  <c r="G25" i="42" s="1"/>
  <c r="C25" i="43" s="1"/>
  <c r="C27" i="42"/>
  <c r="E27" i="42" s="1"/>
  <c r="G27" i="42" s="1"/>
  <c r="C27" i="43" s="1"/>
  <c r="E62" i="44"/>
  <c r="G62" i="44" s="1"/>
  <c r="C17" i="42"/>
  <c r="E17" i="42" s="1"/>
  <c r="G17" i="42" s="1"/>
  <c r="C17" i="43" s="1"/>
  <c r="C8" i="42"/>
  <c r="E8" i="42" s="1"/>
  <c r="G8" i="42" s="1"/>
  <c r="C8" i="43" s="1"/>
  <c r="C21" i="42"/>
  <c r="E21" i="42" s="1"/>
  <c r="G21" i="42" s="1"/>
  <c r="C21" i="43" s="1"/>
  <c r="C14" i="42"/>
  <c r="E14" i="42" s="1"/>
  <c r="G14" i="42" s="1"/>
  <c r="C14" i="43" s="1"/>
  <c r="C13" i="42"/>
  <c r="E13" i="42" s="1"/>
  <c r="G13" i="42" s="1"/>
  <c r="C13" i="43" s="1"/>
  <c r="C11" i="42"/>
  <c r="E11" i="42" s="1"/>
  <c r="G11" i="42" s="1"/>
  <c r="C11" i="43" s="1"/>
  <c r="C26" i="42"/>
  <c r="E26" i="42" s="1"/>
  <c r="G26" i="42" s="1"/>
  <c r="C26" i="43" s="1"/>
  <c r="C6" i="42"/>
  <c r="E6" i="42" s="1"/>
  <c r="G6" i="42" s="1"/>
  <c r="C6" i="43" s="1"/>
  <c r="C48" i="42"/>
  <c r="E48" i="42" s="1"/>
  <c r="G48" i="42" s="1"/>
  <c r="C48" i="43" s="1"/>
  <c r="C47" i="42"/>
  <c r="E47" i="42" s="1"/>
  <c r="G47" i="42" s="1"/>
  <c r="C47" i="43" s="1"/>
  <c r="C46" i="42"/>
  <c r="E46" i="42" s="1"/>
  <c r="G46" i="42" s="1"/>
  <c r="C46" i="43" s="1"/>
  <c r="C45" i="42"/>
  <c r="E45" i="42" s="1"/>
  <c r="G45" i="42" s="1"/>
  <c r="C45" i="43" s="1"/>
  <c r="C28" i="42"/>
  <c r="E28" i="42" s="1"/>
  <c r="G28" i="42" s="1"/>
  <c r="C28" i="43" s="1"/>
  <c r="C12" i="42"/>
  <c r="E12" i="42" s="1"/>
  <c r="G12" i="42" s="1"/>
  <c r="C12" i="43" s="1"/>
  <c r="C7" i="42"/>
  <c r="E7" i="42" s="1"/>
  <c r="G7" i="42" s="1"/>
  <c r="C7" i="43" s="1"/>
  <c r="C75" i="40" l="1"/>
  <c r="E75" i="40" s="1"/>
  <c r="G75" i="40" s="1"/>
  <c r="C75" i="41" s="1"/>
  <c r="E75" i="41" s="1"/>
  <c r="G75" i="41" s="1"/>
  <c r="C75" i="42" s="1"/>
  <c r="E75" i="42" s="1"/>
  <c r="G75" i="42" s="1"/>
  <c r="C75" i="43" s="1"/>
  <c r="E73" i="40"/>
  <c r="G73" i="40" s="1"/>
  <c r="C73" i="41" s="1"/>
  <c r="E73" i="41" s="1"/>
  <c r="G73" i="41" s="1"/>
  <c r="C73" i="42" s="1"/>
  <c r="E73" i="42" s="1"/>
  <c r="G73" i="42" s="1"/>
  <c r="C73" i="43" s="1"/>
  <c r="C73" i="40"/>
  <c r="C72" i="40"/>
  <c r="E72" i="40" s="1"/>
  <c r="G72" i="40" s="1"/>
  <c r="C72" i="41" s="1"/>
  <c r="E72" i="41" s="1"/>
  <c r="G72" i="41" s="1"/>
  <c r="C72" i="42" s="1"/>
  <c r="E72" i="42" s="1"/>
  <c r="G72" i="42" s="1"/>
  <c r="C72" i="43" s="1"/>
  <c r="C79" i="40"/>
  <c r="E79" i="40" s="1"/>
  <c r="G79" i="40" s="1"/>
  <c r="C79" i="41" s="1"/>
  <c r="E79" i="41" s="1"/>
  <c r="G79" i="41" s="1"/>
  <c r="C79" i="42" s="1"/>
  <c r="E79" i="42" s="1"/>
  <c r="G79" i="42" s="1"/>
  <c r="C79" i="43" s="1"/>
  <c r="C71" i="40"/>
  <c r="E71" i="40" s="1"/>
  <c r="G71" i="40" s="1"/>
  <c r="C71" i="41" s="1"/>
  <c r="E71" i="41" s="1"/>
  <c r="G71" i="41" s="1"/>
  <c r="C71" i="42" s="1"/>
  <c r="E71" i="42" s="1"/>
  <c r="G71" i="42" s="1"/>
  <c r="C71" i="43" s="1"/>
  <c r="E74" i="40"/>
  <c r="G74" i="40" s="1"/>
  <c r="C74" i="41" s="1"/>
  <c r="E74" i="41" s="1"/>
  <c r="G74" i="41" s="1"/>
  <c r="C74" i="40"/>
  <c r="C81" i="40"/>
  <c r="E81" i="40" s="1"/>
  <c r="G81" i="40" s="1"/>
  <c r="C81" i="41" s="1"/>
  <c r="E81" i="41" s="1"/>
  <c r="G81" i="41" s="1"/>
  <c r="C81" i="42" s="1"/>
  <c r="E81" i="42" s="1"/>
  <c r="G81" i="42" s="1"/>
  <c r="C81" i="43" s="1"/>
  <c r="C67" i="39"/>
  <c r="E67" i="39" s="1"/>
  <c r="G67" i="39" s="1"/>
  <c r="C77" i="40"/>
  <c r="E77" i="40" s="1"/>
  <c r="G77" i="40" s="1"/>
  <c r="C77" i="41" s="1"/>
  <c r="E77" i="41" s="1"/>
  <c r="G77" i="41" s="1"/>
  <c r="C77" i="42" s="1"/>
  <c r="E77" i="42" s="1"/>
  <c r="G77" i="42" s="1"/>
  <c r="C77" i="43" s="1"/>
  <c r="E63" i="45"/>
  <c r="G63" i="45" s="1"/>
  <c r="C63" i="46" s="1"/>
  <c r="E63" i="46" s="1"/>
  <c r="G63" i="46" s="1"/>
  <c r="C63" i="47" s="1"/>
  <c r="C63" i="45"/>
  <c r="C59" i="45"/>
  <c r="E59" i="45" s="1"/>
  <c r="G59" i="45" s="1"/>
  <c r="C59" i="46" s="1"/>
  <c r="E59" i="46" s="1"/>
  <c r="G59" i="46" s="1"/>
  <c r="C59" i="47" s="1"/>
  <c r="C62" i="45"/>
  <c r="E62" i="45" s="1"/>
  <c r="G62" i="45" s="1"/>
  <c r="C62" i="46" s="1"/>
  <c r="E62" i="46" s="1"/>
  <c r="G62" i="46" s="1"/>
  <c r="C62" i="47" s="1"/>
  <c r="E64" i="45"/>
  <c r="G64" i="45" s="1"/>
  <c r="C64" i="46" s="1"/>
  <c r="E64" i="46" s="1"/>
  <c r="G64" i="46" s="1"/>
  <c r="C64" i="47" s="1"/>
  <c r="C64" i="45"/>
  <c r="C60" i="45"/>
  <c r="E60" i="45" s="1"/>
  <c r="G60" i="45" s="1"/>
  <c r="C60" i="46" s="1"/>
  <c r="E60" i="46" s="1"/>
  <c r="G60" i="46" s="1"/>
  <c r="C60" i="47" s="1"/>
  <c r="C61" i="45"/>
  <c r="E61" i="45" s="1"/>
  <c r="G61" i="45" s="1"/>
  <c r="C61" i="46" s="1"/>
  <c r="E61" i="46" s="1"/>
  <c r="G61" i="46" s="1"/>
  <c r="C61" i="47" s="1"/>
  <c r="C65" i="45"/>
  <c r="E65" i="45" s="1"/>
  <c r="G65" i="45" s="1"/>
  <c r="C65" i="46" s="1"/>
  <c r="E65" i="46" s="1"/>
  <c r="G65" i="46" s="1"/>
  <c r="C65" i="47" s="1"/>
  <c r="C70" i="39"/>
  <c r="E70" i="39" s="1"/>
  <c r="G70" i="39" s="1"/>
  <c r="C80" i="38"/>
  <c r="E80" i="38" s="1"/>
  <c r="G80" i="38" s="1"/>
  <c r="C82" i="38"/>
  <c r="E82" i="38" s="1"/>
  <c r="G82" i="38" s="1"/>
  <c r="C82" i="39" s="1"/>
  <c r="E82" i="39" s="1"/>
  <c r="G82" i="39" s="1"/>
  <c r="C82" i="40" s="1"/>
  <c r="E51" i="43"/>
  <c r="G51" i="43" s="1"/>
  <c r="C51" i="44" s="1"/>
  <c r="E10" i="43"/>
  <c r="G10" i="43" s="1"/>
  <c r="C10" i="44" s="1"/>
  <c r="E33" i="43"/>
  <c r="G33" i="43" s="1"/>
  <c r="C33" i="44" s="1"/>
  <c r="E32" i="43"/>
  <c r="G32" i="43" s="1"/>
  <c r="C32" i="44" s="1"/>
  <c r="E43" i="43"/>
  <c r="G43" i="43" s="1"/>
  <c r="C43" i="44" s="1"/>
  <c r="C78" i="42"/>
  <c r="E78" i="42" s="1"/>
  <c r="G78" i="42" s="1"/>
  <c r="C78" i="43" s="1"/>
  <c r="C85" i="41"/>
  <c r="E85" i="41" s="1"/>
  <c r="G85" i="41" s="1"/>
  <c r="E37" i="43"/>
  <c r="G37" i="43" s="1"/>
  <c r="C37" i="44" s="1"/>
  <c r="C89" i="41"/>
  <c r="E89" i="41" s="1"/>
  <c r="G89" i="41" s="1"/>
  <c r="E18" i="43"/>
  <c r="G18" i="43" s="1"/>
  <c r="C18" i="44" s="1"/>
  <c r="E54" i="43"/>
  <c r="G54" i="43" s="1"/>
  <c r="C54" i="44" s="1"/>
  <c r="E38" i="43"/>
  <c r="G38" i="43" s="1"/>
  <c r="C38" i="44" s="1"/>
  <c r="E9" i="43"/>
  <c r="G9" i="43" s="1"/>
  <c r="C9" i="44" s="1"/>
  <c r="E35" i="43"/>
  <c r="G35" i="43" s="1"/>
  <c r="C35" i="44" s="1"/>
  <c r="C84" i="41"/>
  <c r="E84" i="41" s="1"/>
  <c r="G84" i="41" s="1"/>
  <c r="E19" i="43"/>
  <c r="G19" i="43" s="1"/>
  <c r="E24" i="43"/>
  <c r="G24" i="43" s="1"/>
  <c r="C24" i="44" s="1"/>
  <c r="E58" i="43"/>
  <c r="G58" i="43" s="1"/>
  <c r="C58" i="44" s="1"/>
  <c r="E20" i="43"/>
  <c r="G20" i="43" s="1"/>
  <c r="C20" i="44" s="1"/>
  <c r="E30" i="43"/>
  <c r="G30" i="43" s="1"/>
  <c r="C30" i="44" s="1"/>
  <c r="E52" i="43"/>
  <c r="G52" i="43" s="1"/>
  <c r="C52" i="44" s="1"/>
  <c r="E50" i="43"/>
  <c r="G50" i="43" s="1"/>
  <c r="C50" i="44" s="1"/>
  <c r="C74" i="42"/>
  <c r="E74" i="42" s="1"/>
  <c r="G74" i="42" s="1"/>
  <c r="C74" i="43" s="1"/>
  <c r="E41" i="43"/>
  <c r="G41" i="43" s="1"/>
  <c r="C41" i="44" s="1"/>
  <c r="C87" i="41"/>
  <c r="E87" i="41" s="1"/>
  <c r="G87" i="41" s="1"/>
  <c r="E34" i="43"/>
  <c r="G34" i="43" s="1"/>
  <c r="C34" i="44" s="1"/>
  <c r="E57" i="43"/>
  <c r="G57" i="43" s="1"/>
  <c r="C57" i="44" s="1"/>
  <c r="E23" i="43"/>
  <c r="G23" i="43" s="1"/>
  <c r="C23" i="44" s="1"/>
  <c r="E39" i="43"/>
  <c r="G39" i="43" s="1"/>
  <c r="C39" i="44" s="1"/>
  <c r="E31" i="43"/>
  <c r="G31" i="43" s="1"/>
  <c r="E56" i="43"/>
  <c r="G56" i="43" s="1"/>
  <c r="C56" i="44" s="1"/>
  <c r="C76" i="42"/>
  <c r="E76" i="42" s="1"/>
  <c r="G76" i="42" s="1"/>
  <c r="C76" i="43" s="1"/>
  <c r="E16" i="43"/>
  <c r="G16" i="43" s="1"/>
  <c r="C16" i="44" s="1"/>
  <c r="E29" i="43"/>
  <c r="G29" i="43" s="1"/>
  <c r="C29" i="44" s="1"/>
  <c r="C66" i="41"/>
  <c r="E66" i="41" s="1"/>
  <c r="G66" i="41" s="1"/>
  <c r="E36" i="43"/>
  <c r="G36" i="43" s="1"/>
  <c r="C36" i="44" s="1"/>
  <c r="C88" i="41"/>
  <c r="E88" i="41" s="1"/>
  <c r="G88" i="41" s="1"/>
  <c r="E40" i="43"/>
  <c r="G40" i="43" s="1"/>
  <c r="C40" i="44" s="1"/>
  <c r="C83" i="41"/>
  <c r="E83" i="41" s="1"/>
  <c r="G83" i="41" s="1"/>
  <c r="E22" i="43"/>
  <c r="G22" i="43" s="1"/>
  <c r="C22" i="44" s="1"/>
  <c r="C68" i="42"/>
  <c r="E68" i="42" s="1"/>
  <c r="G68" i="42" s="1"/>
  <c r="C68" i="43" s="1"/>
  <c r="E42" i="43"/>
  <c r="G42" i="43" s="1"/>
  <c r="C42" i="44" s="1"/>
  <c r="C86" i="41"/>
  <c r="E86" i="41" s="1"/>
  <c r="G86" i="41" s="1"/>
  <c r="E53" i="43"/>
  <c r="G53" i="43" s="1"/>
  <c r="C53" i="44" s="1"/>
  <c r="E49" i="43"/>
  <c r="G49" i="43" s="1"/>
  <c r="C49" i="44" s="1"/>
  <c r="C90" i="41"/>
  <c r="E90" i="41" s="1"/>
  <c r="G90" i="41" s="1"/>
  <c r="E55" i="43"/>
  <c r="G55" i="43" s="1"/>
  <c r="C55" i="44" s="1"/>
  <c r="E44" i="43"/>
  <c r="G44" i="43" s="1"/>
  <c r="C44" i="44" s="1"/>
  <c r="E15" i="43"/>
  <c r="G15" i="43" s="1"/>
  <c r="E5" i="43"/>
  <c r="G5" i="43" s="1"/>
  <c r="C5" i="44" s="1"/>
  <c r="E25" i="43"/>
  <c r="G25" i="43" s="1"/>
  <c r="E27" i="43"/>
  <c r="G27" i="43" s="1"/>
  <c r="E17" i="43"/>
  <c r="G17" i="43" s="1"/>
  <c r="C17" i="44" s="1"/>
  <c r="E8" i="43"/>
  <c r="G8" i="43" s="1"/>
  <c r="C8" i="44" s="1"/>
  <c r="E69" i="47"/>
  <c r="G69" i="47" s="1"/>
  <c r="C69" i="48" s="1"/>
  <c r="E21" i="43"/>
  <c r="G21" i="43" s="1"/>
  <c r="E14" i="43"/>
  <c r="G14" i="43" s="1"/>
  <c r="E13" i="43"/>
  <c r="G13" i="43" s="1"/>
  <c r="E11" i="43"/>
  <c r="G11" i="43" s="1"/>
  <c r="C11" i="44" s="1"/>
  <c r="E26" i="43"/>
  <c r="G26" i="43" s="1"/>
  <c r="E6" i="43"/>
  <c r="G6" i="43" s="1"/>
  <c r="E48" i="43"/>
  <c r="G48" i="43" s="1"/>
  <c r="C48" i="44" s="1"/>
  <c r="E47" i="43"/>
  <c r="G47" i="43" s="1"/>
  <c r="C47" i="44" s="1"/>
  <c r="E46" i="43"/>
  <c r="G46" i="43" s="1"/>
  <c r="C46" i="44" s="1"/>
  <c r="E45" i="43"/>
  <c r="G45" i="43" s="1"/>
  <c r="C45" i="44" s="1"/>
  <c r="E28" i="43"/>
  <c r="G28" i="43" s="1"/>
  <c r="E12" i="43"/>
  <c r="G12" i="43" s="1"/>
  <c r="E7" i="43"/>
  <c r="G7" i="43" s="1"/>
  <c r="C67" i="40" l="1"/>
  <c r="E67" i="40" s="1"/>
  <c r="G67" i="40" s="1"/>
  <c r="C67" i="41" s="1"/>
  <c r="E67" i="41" s="1"/>
  <c r="G67" i="41" s="1"/>
  <c r="C67" i="42" s="1"/>
  <c r="E67" i="42" s="1"/>
  <c r="G67" i="42" s="1"/>
  <c r="E80" i="39"/>
  <c r="G80" i="39" s="1"/>
  <c r="C80" i="39"/>
  <c r="C70" i="40"/>
  <c r="E70" i="40" s="1"/>
  <c r="G70" i="40" s="1"/>
  <c r="C70" i="41" s="1"/>
  <c r="E70" i="41" s="1"/>
  <c r="G70" i="41" s="1"/>
  <c r="C70" i="42" s="1"/>
  <c r="E70" i="42" s="1"/>
  <c r="G70" i="42" s="1"/>
  <c r="E43" i="44"/>
  <c r="G43" i="44" s="1"/>
  <c r="E33" i="44"/>
  <c r="G33" i="44" s="1"/>
  <c r="E10" i="44"/>
  <c r="G10" i="44" s="1"/>
  <c r="E51" i="44"/>
  <c r="G51" i="44" s="1"/>
  <c r="E32" i="44"/>
  <c r="G32" i="44" s="1"/>
  <c r="E64" i="47"/>
  <c r="G64" i="47" s="1"/>
  <c r="C64" i="48" s="1"/>
  <c r="E72" i="43"/>
  <c r="G72" i="43" s="1"/>
  <c r="E57" i="44"/>
  <c r="G57" i="44" s="1"/>
  <c r="E24" i="44"/>
  <c r="G24" i="44" s="1"/>
  <c r="E54" i="44"/>
  <c r="G54" i="44" s="1"/>
  <c r="E42" i="44"/>
  <c r="G42" i="44" s="1"/>
  <c r="E34" i="44"/>
  <c r="G34" i="44" s="1"/>
  <c r="E65" i="47"/>
  <c r="G65" i="47" s="1"/>
  <c r="C65" i="48" s="1"/>
  <c r="E81" i="43"/>
  <c r="G81" i="43" s="1"/>
  <c r="C81" i="44" s="1"/>
  <c r="E68" i="43"/>
  <c r="G68" i="43" s="1"/>
  <c r="C68" i="44" s="1"/>
  <c r="E31" i="44"/>
  <c r="G31" i="44" s="1"/>
  <c r="E52" i="44"/>
  <c r="G52" i="44" s="1"/>
  <c r="E18" i="44"/>
  <c r="G18" i="44" s="1"/>
  <c r="E63" i="47"/>
  <c r="G63" i="47" s="1"/>
  <c r="C63" i="48" s="1"/>
  <c r="E82" i="40"/>
  <c r="G82" i="40" s="1"/>
  <c r="E30" i="44"/>
  <c r="G30" i="44" s="1"/>
  <c r="C84" i="42"/>
  <c r="E84" i="42" s="1"/>
  <c r="G84" i="42" s="1"/>
  <c r="C84" i="43" s="1"/>
  <c r="E79" i="43"/>
  <c r="G79" i="43" s="1"/>
  <c r="C79" i="44" s="1"/>
  <c r="E39" i="44"/>
  <c r="G39" i="44" s="1"/>
  <c r="E41" i="44"/>
  <c r="G41" i="44" s="1"/>
  <c r="E35" i="44"/>
  <c r="G35" i="44" s="1"/>
  <c r="C66" i="42"/>
  <c r="E66" i="42" s="1"/>
  <c r="G66" i="42" s="1"/>
  <c r="C66" i="43" s="1"/>
  <c r="C90" i="42"/>
  <c r="E90" i="42" s="1"/>
  <c r="G90" i="42" s="1"/>
  <c r="C90" i="43" s="1"/>
  <c r="E49" i="44"/>
  <c r="G49" i="44" s="1"/>
  <c r="E36" i="44"/>
  <c r="G36" i="44" s="1"/>
  <c r="E75" i="43"/>
  <c r="G75" i="43" s="1"/>
  <c r="C75" i="44" s="1"/>
  <c r="E74" i="43"/>
  <c r="G74" i="43" s="1"/>
  <c r="C74" i="44" s="1"/>
  <c r="E9" i="44"/>
  <c r="G9" i="44" s="1"/>
  <c r="E37" i="44"/>
  <c r="G37" i="44" s="1"/>
  <c r="E29" i="44"/>
  <c r="G29" i="44" s="1"/>
  <c r="E53" i="44"/>
  <c r="G53" i="44" s="1"/>
  <c r="E71" i="43"/>
  <c r="G71" i="43" s="1"/>
  <c r="E76" i="43"/>
  <c r="G76" i="43" s="1"/>
  <c r="C76" i="44" s="1"/>
  <c r="E50" i="44"/>
  <c r="G50" i="44" s="1"/>
  <c r="E20" i="44"/>
  <c r="G20" i="44" s="1"/>
  <c r="C85" i="42"/>
  <c r="E85" i="42" s="1"/>
  <c r="G85" i="42" s="1"/>
  <c r="C85" i="43" s="1"/>
  <c r="E22" i="44"/>
  <c r="G22" i="44" s="1"/>
  <c r="E40" i="44"/>
  <c r="G40" i="44" s="1"/>
  <c r="E77" i="43"/>
  <c r="G77" i="43" s="1"/>
  <c r="C77" i="44" s="1"/>
  <c r="E58" i="44"/>
  <c r="G58" i="44" s="1"/>
  <c r="E78" i="43"/>
  <c r="G78" i="43" s="1"/>
  <c r="C78" i="44" s="1"/>
  <c r="E16" i="44"/>
  <c r="G16" i="44" s="1"/>
  <c r="C87" i="42"/>
  <c r="E87" i="42" s="1"/>
  <c r="G87" i="42" s="1"/>
  <c r="C87" i="43" s="1"/>
  <c r="E73" i="43"/>
  <c r="G73" i="43" s="1"/>
  <c r="E59" i="47"/>
  <c r="G59" i="47" s="1"/>
  <c r="C59" i="48" s="1"/>
  <c r="E19" i="44"/>
  <c r="G19" i="44" s="1"/>
  <c r="E38" i="44"/>
  <c r="G38" i="44" s="1"/>
  <c r="C89" i="42"/>
  <c r="E89" i="42" s="1"/>
  <c r="G89" i="42" s="1"/>
  <c r="C89" i="43" s="1"/>
  <c r="C86" i="42"/>
  <c r="E86" i="42" s="1"/>
  <c r="G86" i="42" s="1"/>
  <c r="C86" i="43" s="1"/>
  <c r="E55" i="44"/>
  <c r="G55" i="44" s="1"/>
  <c r="E23" i="44"/>
  <c r="G23" i="44" s="1"/>
  <c r="E60" i="47"/>
  <c r="G60" i="47" s="1"/>
  <c r="C60" i="48" s="1"/>
  <c r="C88" i="42"/>
  <c r="E88" i="42" s="1"/>
  <c r="G88" i="42" s="1"/>
  <c r="C88" i="43" s="1"/>
  <c r="C83" i="42"/>
  <c r="E83" i="42" s="1"/>
  <c r="G83" i="42" s="1"/>
  <c r="C83" i="43" s="1"/>
  <c r="E56" i="44"/>
  <c r="G56" i="44" s="1"/>
  <c r="E44" i="44"/>
  <c r="G44" i="44" s="1"/>
  <c r="E61" i="47"/>
  <c r="G61" i="47" s="1"/>
  <c r="C61" i="48" s="1"/>
  <c r="E15" i="44"/>
  <c r="G15" i="44" s="1"/>
  <c r="E5" i="44"/>
  <c r="G5" i="44" s="1"/>
  <c r="E25" i="44"/>
  <c r="G25" i="44" s="1"/>
  <c r="E27" i="44"/>
  <c r="G27" i="44" s="1"/>
  <c r="E62" i="47"/>
  <c r="G62" i="47" s="1"/>
  <c r="C62" i="48" s="1"/>
  <c r="E17" i="44"/>
  <c r="G17" i="44" s="1"/>
  <c r="E8" i="44"/>
  <c r="G8" i="44" s="1"/>
  <c r="E69" i="48"/>
  <c r="G69" i="48" s="1"/>
  <c r="E21" i="44"/>
  <c r="G21" i="44" s="1"/>
  <c r="E14" i="44"/>
  <c r="G14" i="44" s="1"/>
  <c r="E13" i="44"/>
  <c r="G13" i="44" s="1"/>
  <c r="E11" i="44"/>
  <c r="G11" i="44" s="1"/>
  <c r="E26" i="44"/>
  <c r="G26" i="44" s="1"/>
  <c r="E6" i="44"/>
  <c r="G6" i="44" s="1"/>
  <c r="E48" i="44"/>
  <c r="G48" i="44" s="1"/>
  <c r="E47" i="44"/>
  <c r="G47" i="44" s="1"/>
  <c r="E46" i="44"/>
  <c r="G46" i="44" s="1"/>
  <c r="E45" i="44"/>
  <c r="G45" i="44" s="1"/>
  <c r="E28" i="44"/>
  <c r="G28" i="44" s="1"/>
  <c r="E12" i="44"/>
  <c r="G12" i="44" s="1"/>
  <c r="E7" i="44"/>
  <c r="G7" i="44" s="1"/>
  <c r="C67" i="43" l="1"/>
  <c r="E67" i="43" s="1"/>
  <c r="G67" i="43" s="1"/>
  <c r="E80" i="40"/>
  <c r="G80" i="40" s="1"/>
  <c r="C80" i="41" s="1"/>
  <c r="E80" i="41" s="1"/>
  <c r="G80" i="41" s="1"/>
  <c r="C80" i="40"/>
  <c r="C32" i="45"/>
  <c r="E32" i="45" s="1"/>
  <c r="G32" i="45" s="1"/>
  <c r="C32" i="46" s="1"/>
  <c r="E32" i="46" s="1"/>
  <c r="G32" i="46" s="1"/>
  <c r="C32" i="47" s="1"/>
  <c r="C19" i="45"/>
  <c r="E19" i="45" s="1"/>
  <c r="G19" i="45" s="1"/>
  <c r="C19" i="46" s="1"/>
  <c r="E19" i="46" s="1"/>
  <c r="G19" i="46" s="1"/>
  <c r="C19" i="47" s="1"/>
  <c r="C53" i="45"/>
  <c r="E53" i="45" s="1"/>
  <c r="G53" i="45" s="1"/>
  <c r="C53" i="46" s="1"/>
  <c r="E53" i="46" s="1"/>
  <c r="G53" i="46" s="1"/>
  <c r="C53" i="47" s="1"/>
  <c r="E34" i="45"/>
  <c r="G34" i="45" s="1"/>
  <c r="C34" i="46" s="1"/>
  <c r="C34" i="45"/>
  <c r="C51" i="45"/>
  <c r="E51" i="45" s="1"/>
  <c r="G51" i="45" s="1"/>
  <c r="C51" i="46" s="1"/>
  <c r="E51" i="46" s="1"/>
  <c r="G51" i="46" s="1"/>
  <c r="C51" i="47" s="1"/>
  <c r="C25" i="45"/>
  <c r="E25" i="45" s="1"/>
  <c r="G25" i="45" s="1"/>
  <c r="C25" i="46" s="1"/>
  <c r="E25" i="46" s="1"/>
  <c r="G25" i="46" s="1"/>
  <c r="C25" i="47" s="1"/>
  <c r="C40" i="45"/>
  <c r="E40" i="45" s="1"/>
  <c r="G40" i="45" s="1"/>
  <c r="C40" i="46" s="1"/>
  <c r="E40" i="46" s="1"/>
  <c r="G40" i="46" s="1"/>
  <c r="C40" i="47" s="1"/>
  <c r="C29" i="45"/>
  <c r="E29" i="45" s="1"/>
  <c r="G29" i="45" s="1"/>
  <c r="C29" i="46" s="1"/>
  <c r="E29" i="46" s="1"/>
  <c r="G29" i="46" s="1"/>
  <c r="C29" i="47" s="1"/>
  <c r="C42" i="45"/>
  <c r="E42" i="45" s="1"/>
  <c r="G42" i="45" s="1"/>
  <c r="C42" i="46" s="1"/>
  <c r="E42" i="46" s="1"/>
  <c r="G42" i="46" s="1"/>
  <c r="C42" i="47" s="1"/>
  <c r="C38" i="45"/>
  <c r="E38" i="45" s="1"/>
  <c r="G38" i="45" s="1"/>
  <c r="C38" i="46" s="1"/>
  <c r="E38" i="46" s="1"/>
  <c r="G38" i="46" s="1"/>
  <c r="C38" i="47" s="1"/>
  <c r="C22" i="45"/>
  <c r="E22" i="45" s="1"/>
  <c r="G22" i="45" s="1"/>
  <c r="C22" i="46" s="1"/>
  <c r="E22" i="46" s="1"/>
  <c r="G22" i="46" s="1"/>
  <c r="C22" i="47" s="1"/>
  <c r="C37" i="45"/>
  <c r="E37" i="45" s="1"/>
  <c r="G37" i="45" s="1"/>
  <c r="C37" i="46" s="1"/>
  <c r="E37" i="46" s="1"/>
  <c r="G37" i="46" s="1"/>
  <c r="C37" i="47" s="1"/>
  <c r="C35" i="45"/>
  <c r="E35" i="45" s="1"/>
  <c r="G35" i="45" s="1"/>
  <c r="C35" i="46" s="1"/>
  <c r="E35" i="46" s="1"/>
  <c r="G35" i="46" s="1"/>
  <c r="C35" i="47" s="1"/>
  <c r="C18" i="45"/>
  <c r="E18" i="45" s="1"/>
  <c r="G18" i="45" s="1"/>
  <c r="C18" i="46" s="1"/>
  <c r="E18" i="46" s="1"/>
  <c r="G18" i="46" s="1"/>
  <c r="C18" i="47" s="1"/>
  <c r="C54" i="45"/>
  <c r="E54" i="45" s="1"/>
  <c r="G54" i="45" s="1"/>
  <c r="C54" i="46" s="1"/>
  <c r="E54" i="46" s="1"/>
  <c r="G54" i="46" s="1"/>
  <c r="C54" i="47" s="1"/>
  <c r="C33" i="45"/>
  <c r="E33" i="45" s="1"/>
  <c r="G33" i="45" s="1"/>
  <c r="C33" i="46" s="1"/>
  <c r="E33" i="46" s="1"/>
  <c r="G33" i="46" s="1"/>
  <c r="C33" i="47" s="1"/>
  <c r="C23" i="45"/>
  <c r="E23" i="45" s="1"/>
  <c r="G23" i="45" s="1"/>
  <c r="C23" i="46" s="1"/>
  <c r="E23" i="46" s="1"/>
  <c r="G23" i="46" s="1"/>
  <c r="C23" i="47" s="1"/>
  <c r="C41" i="45"/>
  <c r="E41" i="45" s="1"/>
  <c r="G41" i="45" s="1"/>
  <c r="C41" i="46" s="1"/>
  <c r="E41" i="46" s="1"/>
  <c r="G41" i="46" s="1"/>
  <c r="C41" i="47" s="1"/>
  <c r="C52" i="45"/>
  <c r="E52" i="45" s="1"/>
  <c r="G52" i="45" s="1"/>
  <c r="C52" i="46" s="1"/>
  <c r="E52" i="46" s="1"/>
  <c r="G52" i="46" s="1"/>
  <c r="C52" i="47" s="1"/>
  <c r="C24" i="45"/>
  <c r="E24" i="45" s="1"/>
  <c r="G24" i="45" s="1"/>
  <c r="C24" i="46" s="1"/>
  <c r="E24" i="46" s="1"/>
  <c r="G24" i="46" s="1"/>
  <c r="C24" i="47" s="1"/>
  <c r="C43" i="45"/>
  <c r="E43" i="45" s="1"/>
  <c r="G43" i="45" s="1"/>
  <c r="C43" i="46" s="1"/>
  <c r="E43" i="46" s="1"/>
  <c r="G43" i="46" s="1"/>
  <c r="C43" i="47" s="1"/>
  <c r="C56" i="45"/>
  <c r="E56" i="45" s="1"/>
  <c r="G56" i="45" s="1"/>
  <c r="C56" i="46" s="1"/>
  <c r="E56" i="46" s="1"/>
  <c r="G56" i="46" s="1"/>
  <c r="C56" i="47" s="1"/>
  <c r="C55" i="45"/>
  <c r="E55" i="45" s="1"/>
  <c r="G55" i="45" s="1"/>
  <c r="C55" i="46" s="1"/>
  <c r="E55" i="46" s="1"/>
  <c r="G55" i="46" s="1"/>
  <c r="C55" i="47" s="1"/>
  <c r="C16" i="45"/>
  <c r="E16" i="45" s="1"/>
  <c r="G16" i="45" s="1"/>
  <c r="C16" i="46" s="1"/>
  <c r="E16" i="46" s="1"/>
  <c r="G16" i="46" s="1"/>
  <c r="C16" i="47" s="1"/>
  <c r="C20" i="45"/>
  <c r="E20" i="45" s="1"/>
  <c r="G20" i="45" s="1"/>
  <c r="C20" i="46" s="1"/>
  <c r="E20" i="46" s="1"/>
  <c r="G20" i="46" s="1"/>
  <c r="C20" i="47" s="1"/>
  <c r="C39" i="45"/>
  <c r="E39" i="45" s="1"/>
  <c r="G39" i="45" s="1"/>
  <c r="C39" i="46" s="1"/>
  <c r="E39" i="46" s="1"/>
  <c r="G39" i="46" s="1"/>
  <c r="C39" i="47" s="1"/>
  <c r="C31" i="45"/>
  <c r="E31" i="45" s="1"/>
  <c r="G31" i="45" s="1"/>
  <c r="C31" i="46" s="1"/>
  <c r="E31" i="46" s="1"/>
  <c r="G31" i="46" s="1"/>
  <c r="C31" i="47" s="1"/>
  <c r="E57" i="45"/>
  <c r="G57" i="45" s="1"/>
  <c r="C57" i="46" s="1"/>
  <c r="E57" i="46" s="1"/>
  <c r="G57" i="46" s="1"/>
  <c r="C57" i="47" s="1"/>
  <c r="C57" i="45"/>
  <c r="C49" i="45"/>
  <c r="E49" i="45" s="1"/>
  <c r="G49" i="45" s="1"/>
  <c r="C49" i="46" s="1"/>
  <c r="E49" i="46" s="1"/>
  <c r="G49" i="46" s="1"/>
  <c r="C49" i="47" s="1"/>
  <c r="C45" i="45"/>
  <c r="E45" i="45" s="1"/>
  <c r="G45" i="45" s="1"/>
  <c r="C45" i="46" s="1"/>
  <c r="E45" i="46" s="1"/>
  <c r="G45" i="46" s="1"/>
  <c r="C45" i="47" s="1"/>
  <c r="C46" i="45"/>
  <c r="E46" i="45" s="1"/>
  <c r="G46" i="45" s="1"/>
  <c r="C46" i="46" s="1"/>
  <c r="E46" i="46" s="1"/>
  <c r="G46" i="46" s="1"/>
  <c r="C46" i="47" s="1"/>
  <c r="E47" i="45"/>
  <c r="G47" i="45" s="1"/>
  <c r="C47" i="46" s="1"/>
  <c r="C47" i="45"/>
  <c r="C48" i="45"/>
  <c r="E48" i="45" s="1"/>
  <c r="G48" i="45" s="1"/>
  <c r="C48" i="46" s="1"/>
  <c r="E48" i="46" s="1"/>
  <c r="G48" i="46" s="1"/>
  <c r="C48" i="47" s="1"/>
  <c r="C50" i="45"/>
  <c r="E50" i="45" s="1"/>
  <c r="G50" i="45" s="1"/>
  <c r="C50" i="46" s="1"/>
  <c r="E50" i="46" s="1"/>
  <c r="G50" i="46" s="1"/>
  <c r="C50" i="47" s="1"/>
  <c r="C30" i="45"/>
  <c r="E30" i="45" s="1"/>
  <c r="G30" i="45" s="1"/>
  <c r="C30" i="46" s="1"/>
  <c r="E30" i="46" s="1"/>
  <c r="G30" i="46" s="1"/>
  <c r="C30" i="47" s="1"/>
  <c r="E44" i="45"/>
  <c r="G44" i="45" s="1"/>
  <c r="C44" i="46" s="1"/>
  <c r="C44" i="45"/>
  <c r="C58" i="45"/>
  <c r="E58" i="45" s="1"/>
  <c r="G58" i="45" s="1"/>
  <c r="C58" i="46" s="1"/>
  <c r="E58" i="46" s="1"/>
  <c r="G58" i="46" s="1"/>
  <c r="C58" i="47" s="1"/>
  <c r="C36" i="45"/>
  <c r="E36" i="45" s="1"/>
  <c r="G36" i="45" s="1"/>
  <c r="C36" i="46" s="1"/>
  <c r="E36" i="46" s="1"/>
  <c r="G36" i="46" s="1"/>
  <c r="C36" i="47" s="1"/>
  <c r="C10" i="45"/>
  <c r="E10" i="45" s="1"/>
  <c r="G10" i="45" s="1"/>
  <c r="C10" i="46" s="1"/>
  <c r="E10" i="46" s="1"/>
  <c r="G10" i="46" s="1"/>
  <c r="C10" i="47" s="1"/>
  <c r="C9" i="45"/>
  <c r="E9" i="45" s="1"/>
  <c r="G9" i="45" s="1"/>
  <c r="C9" i="46" s="1"/>
  <c r="E9" i="46" s="1"/>
  <c r="G9" i="46" s="1"/>
  <c r="C9" i="47" s="1"/>
  <c r="C28" i="45"/>
  <c r="E28" i="45" s="1"/>
  <c r="G28" i="45" s="1"/>
  <c r="C28" i="46" s="1"/>
  <c r="E28" i="46" s="1"/>
  <c r="G28" i="46" s="1"/>
  <c r="C28" i="47" s="1"/>
  <c r="C6" i="45"/>
  <c r="E6" i="45" s="1"/>
  <c r="G6" i="45" s="1"/>
  <c r="C6" i="46" s="1"/>
  <c r="E6" i="46" s="1"/>
  <c r="G6" i="46" s="1"/>
  <c r="C6" i="47" s="1"/>
  <c r="C70" i="43"/>
  <c r="E70" i="43" s="1"/>
  <c r="G70" i="43" s="1"/>
  <c r="C27" i="45"/>
  <c r="E27" i="45" s="1"/>
  <c r="G27" i="45" s="1"/>
  <c r="C27" i="46" s="1"/>
  <c r="E27" i="46" s="1"/>
  <c r="G27" i="46" s="1"/>
  <c r="C27" i="47" s="1"/>
  <c r="C21" i="45"/>
  <c r="E21" i="45" s="1"/>
  <c r="G21" i="45" s="1"/>
  <c r="C21" i="46" s="1"/>
  <c r="E21" i="46" s="1"/>
  <c r="G21" i="46" s="1"/>
  <c r="C21" i="47" s="1"/>
  <c r="C17" i="45"/>
  <c r="E17" i="45" s="1"/>
  <c r="G17" i="45" s="1"/>
  <c r="C17" i="46" s="1"/>
  <c r="E17" i="46" s="1"/>
  <c r="G17" i="46" s="1"/>
  <c r="C17" i="47" s="1"/>
  <c r="C15" i="45"/>
  <c r="E15" i="45" s="1"/>
  <c r="G15" i="45" s="1"/>
  <c r="C15" i="46" s="1"/>
  <c r="E15" i="46" s="1"/>
  <c r="G15" i="46" s="1"/>
  <c r="C15" i="47" s="1"/>
  <c r="C14" i="45"/>
  <c r="E14" i="45" s="1"/>
  <c r="G14" i="45" s="1"/>
  <c r="C14" i="46" s="1"/>
  <c r="E14" i="46" s="1"/>
  <c r="G14" i="46" s="1"/>
  <c r="C14" i="47" s="1"/>
  <c r="C13" i="45"/>
  <c r="E13" i="45" s="1"/>
  <c r="G13" i="45" s="1"/>
  <c r="C13" i="46" s="1"/>
  <c r="E13" i="46" s="1"/>
  <c r="G13" i="46" s="1"/>
  <c r="C13" i="47" s="1"/>
  <c r="C12" i="45"/>
  <c r="E12" i="45" s="1"/>
  <c r="G12" i="45" s="1"/>
  <c r="C12" i="46" s="1"/>
  <c r="E12" i="46" s="1"/>
  <c r="G12" i="46" s="1"/>
  <c r="C12" i="47" s="1"/>
  <c r="C8" i="45"/>
  <c r="E8" i="45" s="1"/>
  <c r="G8" i="45" s="1"/>
  <c r="C8" i="46" s="1"/>
  <c r="E8" i="46" s="1"/>
  <c r="G8" i="46" s="1"/>
  <c r="C8" i="47" s="1"/>
  <c r="C7" i="45"/>
  <c r="E7" i="45" s="1"/>
  <c r="G7" i="45" s="1"/>
  <c r="C7" i="46" s="1"/>
  <c r="E7" i="46" s="1"/>
  <c r="G7" i="46" s="1"/>
  <c r="C7" i="47" s="1"/>
  <c r="C5" i="45"/>
  <c r="E5" i="45" s="1"/>
  <c r="G5" i="45" s="1"/>
  <c r="C5" i="46" s="1"/>
  <c r="E5" i="46" s="1"/>
  <c r="G5" i="46" s="1"/>
  <c r="C5" i="47" s="1"/>
  <c r="C26" i="45"/>
  <c r="E26" i="45" s="1"/>
  <c r="G26" i="45" s="1"/>
  <c r="C26" i="46" s="1"/>
  <c r="E26" i="46" s="1"/>
  <c r="G26" i="46" s="1"/>
  <c r="C26" i="47" s="1"/>
  <c r="C11" i="45"/>
  <c r="E11" i="45" s="1"/>
  <c r="G11" i="45" s="1"/>
  <c r="C11" i="46" s="1"/>
  <c r="E11" i="46" s="1"/>
  <c r="G11" i="46" s="1"/>
  <c r="C11" i="47" s="1"/>
  <c r="E79" i="44"/>
  <c r="G79" i="44" s="1"/>
  <c r="E34" i="46"/>
  <c r="G34" i="46" s="1"/>
  <c r="C34" i="47" s="1"/>
  <c r="C80" i="42"/>
  <c r="E80" i="42" s="1"/>
  <c r="G80" i="42" s="1"/>
  <c r="C80" i="43" s="1"/>
  <c r="E90" i="43"/>
  <c r="G90" i="43" s="1"/>
  <c r="C90" i="44" s="1"/>
  <c r="E88" i="43"/>
  <c r="G88" i="43" s="1"/>
  <c r="C88" i="44" s="1"/>
  <c r="E66" i="43"/>
  <c r="G66" i="43" s="1"/>
  <c r="E74" i="44"/>
  <c r="G74" i="44" s="1"/>
  <c r="E78" i="44"/>
  <c r="G78" i="44" s="1"/>
  <c r="E75" i="44"/>
  <c r="G75" i="44" s="1"/>
  <c r="E68" i="44"/>
  <c r="G68" i="44" s="1"/>
  <c r="E83" i="43"/>
  <c r="G83" i="43" s="1"/>
  <c r="C83" i="44" s="1"/>
  <c r="C82" i="41"/>
  <c r="E82" i="41" s="1"/>
  <c r="G82" i="41" s="1"/>
  <c r="E81" i="44"/>
  <c r="G81" i="44" s="1"/>
  <c r="E59" i="48"/>
  <c r="G59" i="48" s="1"/>
  <c r="E63" i="48"/>
  <c r="G63" i="48" s="1"/>
  <c r="E72" i="44"/>
  <c r="G72" i="44" s="1"/>
  <c r="E86" i="43"/>
  <c r="G86" i="43" s="1"/>
  <c r="C86" i="44" s="1"/>
  <c r="E64" i="48"/>
  <c r="G64" i="48" s="1"/>
  <c r="E89" i="43"/>
  <c r="G89" i="43" s="1"/>
  <c r="C89" i="44" s="1"/>
  <c r="E85" i="43"/>
  <c r="G85" i="43" s="1"/>
  <c r="C85" i="44" s="1"/>
  <c r="E65" i="48"/>
  <c r="G65" i="48" s="1"/>
  <c r="E77" i="44"/>
  <c r="G77" i="44" s="1"/>
  <c r="E87" i="43"/>
  <c r="G87" i="43" s="1"/>
  <c r="C87" i="44" s="1"/>
  <c r="E71" i="44"/>
  <c r="G71" i="44" s="1"/>
  <c r="E60" i="48"/>
  <c r="G60" i="48" s="1"/>
  <c r="E73" i="44"/>
  <c r="G73" i="44" s="1"/>
  <c r="E76" i="44"/>
  <c r="G76" i="44" s="1"/>
  <c r="E84" i="43"/>
  <c r="G84" i="43" s="1"/>
  <c r="C84" i="44" s="1"/>
  <c r="E44" i="46"/>
  <c r="G44" i="46" s="1"/>
  <c r="C44" i="47" s="1"/>
  <c r="E61" i="48"/>
  <c r="G61" i="48" s="1"/>
  <c r="E62" i="48"/>
  <c r="G62" i="48" s="1"/>
  <c r="C69" i="49"/>
  <c r="E69" i="49" s="1"/>
  <c r="G69" i="49" s="1"/>
  <c r="E47" i="46"/>
  <c r="G47" i="46" s="1"/>
  <c r="C47" i="47" s="1"/>
  <c r="C67" i="44" l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81" i="45"/>
  <c r="E81" i="45" s="1"/>
  <c r="G81" i="45" s="1"/>
  <c r="C81" i="46" s="1"/>
  <c r="E81" i="46" s="1"/>
  <c r="G81" i="46" s="1"/>
  <c r="C81" i="47" s="1"/>
  <c r="C77" i="45"/>
  <c r="E77" i="45" s="1"/>
  <c r="G77" i="45" s="1"/>
  <c r="C77" i="46" s="1"/>
  <c r="E77" i="46" s="1"/>
  <c r="G77" i="46" s="1"/>
  <c r="C77" i="47" s="1"/>
  <c r="C72" i="45"/>
  <c r="E72" i="45" s="1"/>
  <c r="G72" i="45" s="1"/>
  <c r="C72" i="46" s="1"/>
  <c r="E72" i="46" s="1"/>
  <c r="G72" i="46" s="1"/>
  <c r="C72" i="47" s="1"/>
  <c r="C79" i="45"/>
  <c r="E79" i="45" s="1"/>
  <c r="G79" i="45" s="1"/>
  <c r="C79" i="46" s="1"/>
  <c r="E79" i="46" s="1"/>
  <c r="G79" i="46" s="1"/>
  <c r="C79" i="47" s="1"/>
  <c r="C73" i="45"/>
  <c r="E73" i="45" s="1"/>
  <c r="G73" i="45" s="1"/>
  <c r="C73" i="46" s="1"/>
  <c r="E73" i="46" s="1"/>
  <c r="G73" i="46" s="1"/>
  <c r="C73" i="47" s="1"/>
  <c r="C68" i="45"/>
  <c r="E68" i="45" s="1"/>
  <c r="G68" i="45" s="1"/>
  <c r="C68" i="46" s="1"/>
  <c r="E68" i="46" s="1"/>
  <c r="G68" i="46" s="1"/>
  <c r="C68" i="47" s="1"/>
  <c r="C74" i="45"/>
  <c r="E74" i="45" s="1"/>
  <c r="G74" i="45" s="1"/>
  <c r="C74" i="46" s="1"/>
  <c r="E74" i="46" s="1"/>
  <c r="G74" i="46" s="1"/>
  <c r="C74" i="47" s="1"/>
  <c r="C76" i="45"/>
  <c r="E76" i="45" s="1"/>
  <c r="G76" i="45" s="1"/>
  <c r="C76" i="46" s="1"/>
  <c r="E76" i="46" s="1"/>
  <c r="G76" i="46" s="1"/>
  <c r="C76" i="47" s="1"/>
  <c r="C75" i="45"/>
  <c r="E75" i="45" s="1"/>
  <c r="G75" i="45" s="1"/>
  <c r="C75" i="46" s="1"/>
  <c r="E75" i="46" s="1"/>
  <c r="G75" i="46" s="1"/>
  <c r="C75" i="47" s="1"/>
  <c r="C71" i="45"/>
  <c r="E71" i="45" s="1"/>
  <c r="G71" i="45" s="1"/>
  <c r="C71" i="46" s="1"/>
  <c r="E71" i="46" s="1"/>
  <c r="G71" i="46" s="1"/>
  <c r="C71" i="47" s="1"/>
  <c r="C78" i="45"/>
  <c r="E78" i="45" s="1"/>
  <c r="G78" i="45" s="1"/>
  <c r="C78" i="46" s="1"/>
  <c r="E78" i="46" s="1"/>
  <c r="G78" i="46" s="1"/>
  <c r="C78" i="47" s="1"/>
  <c r="E70" i="44"/>
  <c r="G70" i="44" s="1"/>
  <c r="E33" i="47"/>
  <c r="G33" i="47" s="1"/>
  <c r="C33" i="48" s="1"/>
  <c r="E10" i="47"/>
  <c r="G10" i="47" s="1"/>
  <c r="C10" i="48" s="1"/>
  <c r="E32" i="47"/>
  <c r="G32" i="47" s="1"/>
  <c r="C32" i="48" s="1"/>
  <c r="E43" i="47"/>
  <c r="G43" i="47" s="1"/>
  <c r="C43" i="48" s="1"/>
  <c r="E51" i="47"/>
  <c r="G51" i="47" s="1"/>
  <c r="C51" i="48" s="1"/>
  <c r="E24" i="47"/>
  <c r="G24" i="47" s="1"/>
  <c r="C24" i="48" s="1"/>
  <c r="E16" i="47"/>
  <c r="G16" i="47" s="1"/>
  <c r="C16" i="48" s="1"/>
  <c r="E88" i="44"/>
  <c r="G88" i="44" s="1"/>
  <c r="C65" i="49"/>
  <c r="E65" i="49" s="1"/>
  <c r="G65" i="49" s="1"/>
  <c r="C63" i="49"/>
  <c r="E63" i="49" s="1"/>
  <c r="G63" i="49" s="1"/>
  <c r="C82" i="42"/>
  <c r="E82" i="42" s="1"/>
  <c r="G82" i="42" s="1"/>
  <c r="C82" i="43" s="1"/>
  <c r="E42" i="47"/>
  <c r="G42" i="47" s="1"/>
  <c r="C42" i="48" s="1"/>
  <c r="E22" i="47"/>
  <c r="G22" i="47" s="1"/>
  <c r="C22" i="48" s="1"/>
  <c r="E52" i="47"/>
  <c r="G52" i="47" s="1"/>
  <c r="C52" i="48" s="1"/>
  <c r="C64" i="49"/>
  <c r="E64" i="49" s="1"/>
  <c r="G64" i="49" s="1"/>
  <c r="E53" i="47"/>
  <c r="G53" i="47" s="1"/>
  <c r="C53" i="48" s="1"/>
  <c r="E90" i="44"/>
  <c r="G90" i="44" s="1"/>
  <c r="E39" i="47"/>
  <c r="G39" i="47" s="1"/>
  <c r="C39" i="48" s="1"/>
  <c r="E83" i="44"/>
  <c r="G83" i="44" s="1"/>
  <c r="E9" i="47"/>
  <c r="G9" i="47" s="1"/>
  <c r="C9" i="48" s="1"/>
  <c r="E20" i="47"/>
  <c r="G20" i="47" s="1"/>
  <c r="C20" i="48" s="1"/>
  <c r="C59" i="49"/>
  <c r="E59" i="49" s="1"/>
  <c r="G59" i="49" s="1"/>
  <c r="E40" i="47"/>
  <c r="G40" i="47" s="1"/>
  <c r="C40" i="48" s="1"/>
  <c r="E49" i="47"/>
  <c r="G49" i="47" s="1"/>
  <c r="C49" i="48" s="1"/>
  <c r="E84" i="44"/>
  <c r="G84" i="44" s="1"/>
  <c r="E35" i="47"/>
  <c r="G35" i="47" s="1"/>
  <c r="C35" i="48" s="1"/>
  <c r="E41" i="47"/>
  <c r="G41" i="47" s="1"/>
  <c r="C41" i="48" s="1"/>
  <c r="E85" i="44"/>
  <c r="G85" i="44" s="1"/>
  <c r="E19" i="47"/>
  <c r="G19" i="47" s="1"/>
  <c r="C19" i="48" s="1"/>
  <c r="E54" i="47"/>
  <c r="G54" i="47" s="1"/>
  <c r="C54" i="48" s="1"/>
  <c r="E34" i="47"/>
  <c r="G34" i="47" s="1"/>
  <c r="C34" i="48" s="1"/>
  <c r="E23" i="47"/>
  <c r="G23" i="47" s="1"/>
  <c r="C23" i="48" s="1"/>
  <c r="E57" i="47"/>
  <c r="G57" i="47" s="1"/>
  <c r="C57" i="48" s="1"/>
  <c r="E36" i="47"/>
  <c r="G36" i="47" s="1"/>
  <c r="C36" i="48" s="1"/>
  <c r="E87" i="44"/>
  <c r="G87" i="44" s="1"/>
  <c r="E58" i="47"/>
  <c r="G58" i="47" s="1"/>
  <c r="C58" i="48" s="1"/>
  <c r="E86" i="44"/>
  <c r="G86" i="44" s="1"/>
  <c r="E50" i="47"/>
  <c r="G50" i="47" s="1"/>
  <c r="C50" i="48" s="1"/>
  <c r="E31" i="47"/>
  <c r="G31" i="47" s="1"/>
  <c r="C31" i="48" s="1"/>
  <c r="E66" i="44"/>
  <c r="G66" i="44" s="1"/>
  <c r="E80" i="43"/>
  <c r="G80" i="43" s="1"/>
  <c r="C80" i="44" s="1"/>
  <c r="E89" i="44"/>
  <c r="G89" i="44" s="1"/>
  <c r="E30" i="47"/>
  <c r="G30" i="47" s="1"/>
  <c r="C30" i="48" s="1"/>
  <c r="E18" i="47"/>
  <c r="G18" i="47" s="1"/>
  <c r="C18" i="48" s="1"/>
  <c r="E55" i="47"/>
  <c r="G55" i="47" s="1"/>
  <c r="C55" i="48" s="1"/>
  <c r="E29" i="47"/>
  <c r="G29" i="47" s="1"/>
  <c r="C29" i="48" s="1"/>
  <c r="C60" i="49"/>
  <c r="E60" i="49" s="1"/>
  <c r="G60" i="49" s="1"/>
  <c r="E38" i="47"/>
  <c r="G38" i="47" s="1"/>
  <c r="C38" i="48" s="1"/>
  <c r="E37" i="47"/>
  <c r="G37" i="47" s="1"/>
  <c r="C37" i="48" s="1"/>
  <c r="E56" i="47"/>
  <c r="G56" i="47" s="1"/>
  <c r="C56" i="48" s="1"/>
  <c r="E44" i="47"/>
  <c r="G44" i="47" s="1"/>
  <c r="C44" i="48" s="1"/>
  <c r="C61" i="49"/>
  <c r="E61" i="49" s="1"/>
  <c r="G61" i="49" s="1"/>
  <c r="E15" i="47"/>
  <c r="G15" i="47" s="1"/>
  <c r="C15" i="48" s="1"/>
  <c r="E5" i="47"/>
  <c r="G5" i="47" s="1"/>
  <c r="C5" i="48" s="1"/>
  <c r="E25" i="47"/>
  <c r="G25" i="47" s="1"/>
  <c r="C25" i="48" s="1"/>
  <c r="E27" i="47"/>
  <c r="G27" i="47" s="1"/>
  <c r="C27" i="48" s="1"/>
  <c r="C62" i="49"/>
  <c r="E62" i="49" s="1"/>
  <c r="G62" i="49" s="1"/>
  <c r="E17" i="47"/>
  <c r="G17" i="47" s="1"/>
  <c r="C17" i="48" s="1"/>
  <c r="E8" i="47"/>
  <c r="G8" i="47" s="1"/>
  <c r="C8" i="48" s="1"/>
  <c r="C69" i="50"/>
  <c r="E69" i="50" s="1"/>
  <c r="G69" i="50" s="1"/>
  <c r="E21" i="47"/>
  <c r="G21" i="47" s="1"/>
  <c r="C21" i="48" s="1"/>
  <c r="E14" i="47"/>
  <c r="G14" i="47" s="1"/>
  <c r="C14" i="48" s="1"/>
  <c r="E13" i="47"/>
  <c r="G13" i="47" s="1"/>
  <c r="C13" i="48" s="1"/>
  <c r="E11" i="47"/>
  <c r="G11" i="47" s="1"/>
  <c r="C11" i="48" s="1"/>
  <c r="E26" i="47"/>
  <c r="G26" i="47" s="1"/>
  <c r="C26" i="48" s="1"/>
  <c r="E6" i="47"/>
  <c r="G6" i="47" s="1"/>
  <c r="C6" i="48" s="1"/>
  <c r="E48" i="47"/>
  <c r="G48" i="47" s="1"/>
  <c r="C48" i="48" s="1"/>
  <c r="E47" i="47"/>
  <c r="G47" i="47" s="1"/>
  <c r="C47" i="48" s="1"/>
  <c r="E46" i="47"/>
  <c r="G46" i="47" s="1"/>
  <c r="C46" i="48" s="1"/>
  <c r="E45" i="47"/>
  <c r="G45" i="47" s="1"/>
  <c r="C45" i="48" s="1"/>
  <c r="E28" i="47"/>
  <c r="G28" i="47" s="1"/>
  <c r="C28" i="48" s="1"/>
  <c r="E12" i="47"/>
  <c r="G12" i="47" s="1"/>
  <c r="C12" i="48" s="1"/>
  <c r="E7" i="47"/>
  <c r="G7" i="47" s="1"/>
  <c r="C7" i="48" s="1"/>
  <c r="C89" i="45" l="1"/>
  <c r="E89" i="45" s="1"/>
  <c r="G89" i="45" s="1"/>
  <c r="C89" i="46" s="1"/>
  <c r="E89" i="46" s="1"/>
  <c r="G89" i="46" s="1"/>
  <c r="C89" i="47" s="1"/>
  <c r="C86" i="45"/>
  <c r="E86" i="45" s="1"/>
  <c r="G86" i="45" s="1"/>
  <c r="C86" i="46" s="1"/>
  <c r="E86" i="46" s="1"/>
  <c r="G86" i="46" s="1"/>
  <c r="C86" i="47" s="1"/>
  <c r="C84" i="45"/>
  <c r="E84" i="45" s="1"/>
  <c r="G84" i="45" s="1"/>
  <c r="C84" i="46" s="1"/>
  <c r="E84" i="46" s="1"/>
  <c r="G84" i="46" s="1"/>
  <c r="C84" i="47" s="1"/>
  <c r="C83" i="45"/>
  <c r="E83" i="45" s="1"/>
  <c r="G83" i="45" s="1"/>
  <c r="C83" i="46" s="1"/>
  <c r="E83" i="46" s="1"/>
  <c r="G83" i="46" s="1"/>
  <c r="C83" i="47" s="1"/>
  <c r="C66" i="45"/>
  <c r="E66" i="45" s="1"/>
  <c r="G66" i="45" s="1"/>
  <c r="C66" i="46" s="1"/>
  <c r="E66" i="46" s="1"/>
  <c r="G66" i="46" s="1"/>
  <c r="C66" i="47" s="1"/>
  <c r="C87" i="45"/>
  <c r="E87" i="45" s="1"/>
  <c r="G87" i="45" s="1"/>
  <c r="C87" i="46" s="1"/>
  <c r="E87" i="46" s="1"/>
  <c r="G87" i="46" s="1"/>
  <c r="C87" i="47" s="1"/>
  <c r="C90" i="45"/>
  <c r="E90" i="45" s="1"/>
  <c r="G90" i="45" s="1"/>
  <c r="C90" i="46" s="1"/>
  <c r="E90" i="46" s="1"/>
  <c r="G90" i="46" s="1"/>
  <c r="C90" i="47" s="1"/>
  <c r="C88" i="45"/>
  <c r="E88" i="45" s="1"/>
  <c r="G88" i="45" s="1"/>
  <c r="C88" i="46" s="1"/>
  <c r="E88" i="46" s="1"/>
  <c r="G88" i="46" s="1"/>
  <c r="C88" i="47" s="1"/>
  <c r="C85" i="45"/>
  <c r="E85" i="45" s="1"/>
  <c r="G85" i="45" s="1"/>
  <c r="C85" i="46" s="1"/>
  <c r="E85" i="46" s="1"/>
  <c r="G85" i="46" s="1"/>
  <c r="C85" i="47" s="1"/>
  <c r="C70" i="45"/>
  <c r="E70" i="45" s="1"/>
  <c r="G70" i="45" s="1"/>
  <c r="E32" i="48"/>
  <c r="G32" i="48" s="1"/>
  <c r="E51" i="48"/>
  <c r="G51" i="48" s="1"/>
  <c r="E10" i="48"/>
  <c r="G10" i="48" s="1"/>
  <c r="E33" i="48"/>
  <c r="G33" i="48" s="1"/>
  <c r="E43" i="48"/>
  <c r="G43" i="48" s="1"/>
  <c r="E41" i="48"/>
  <c r="G41" i="48" s="1"/>
  <c r="E82" i="43"/>
  <c r="G82" i="43" s="1"/>
  <c r="C82" i="44" s="1"/>
  <c r="E9" i="48"/>
  <c r="G9" i="48" s="1"/>
  <c r="C63" i="50"/>
  <c r="E63" i="50" s="1"/>
  <c r="G63" i="50" s="1"/>
  <c r="E58" i="48"/>
  <c r="G58" i="48" s="1"/>
  <c r="E71" i="47"/>
  <c r="G71" i="47" s="1"/>
  <c r="C71" i="48" s="1"/>
  <c r="E73" i="47"/>
  <c r="G73" i="47" s="1"/>
  <c r="C73" i="48" s="1"/>
  <c r="C65" i="50"/>
  <c r="E65" i="50" s="1"/>
  <c r="G65" i="50" s="1"/>
  <c r="E30" i="48"/>
  <c r="G30" i="48" s="1"/>
  <c r="E34" i="48"/>
  <c r="G34" i="48" s="1"/>
  <c r="E74" i="47"/>
  <c r="G74" i="47" s="1"/>
  <c r="C74" i="48" s="1"/>
  <c r="C64" i="50"/>
  <c r="E64" i="50" s="1"/>
  <c r="G64" i="50" s="1"/>
  <c r="E55" i="48"/>
  <c r="G55" i="48" s="1"/>
  <c r="E81" i="47"/>
  <c r="G81" i="47" s="1"/>
  <c r="C81" i="48" s="1"/>
  <c r="E50" i="48"/>
  <c r="G50" i="48" s="1"/>
  <c r="E54" i="48"/>
  <c r="G54" i="48" s="1"/>
  <c r="E49" i="48"/>
  <c r="G49" i="48" s="1"/>
  <c r="E52" i="48"/>
  <c r="G52" i="48" s="1"/>
  <c r="E18" i="48"/>
  <c r="G18" i="48" s="1"/>
  <c r="E37" i="48"/>
  <c r="G37" i="48" s="1"/>
  <c r="E38" i="48"/>
  <c r="G38" i="48" s="1"/>
  <c r="E78" i="47"/>
  <c r="G78" i="47" s="1"/>
  <c r="C78" i="48" s="1"/>
  <c r="E79" i="47"/>
  <c r="G79" i="47" s="1"/>
  <c r="C79" i="48" s="1"/>
  <c r="E40" i="48"/>
  <c r="G40" i="48" s="1"/>
  <c r="E22" i="48"/>
  <c r="G22" i="48" s="1"/>
  <c r="E16" i="48"/>
  <c r="G16" i="48" s="1"/>
  <c r="E31" i="48"/>
  <c r="G31" i="48" s="1"/>
  <c r="E36" i="48"/>
  <c r="G36" i="48" s="1"/>
  <c r="C60" i="50"/>
  <c r="E60" i="50" s="1"/>
  <c r="G60" i="50" s="1"/>
  <c r="E80" i="44"/>
  <c r="G80" i="44" s="1"/>
  <c r="E75" i="47"/>
  <c r="G75" i="47" s="1"/>
  <c r="C75" i="48" s="1"/>
  <c r="C59" i="50"/>
  <c r="E59" i="50" s="1"/>
  <c r="G59" i="50" s="1"/>
  <c r="E39" i="48"/>
  <c r="G39" i="48" s="1"/>
  <c r="E72" i="47"/>
  <c r="G72" i="47" s="1"/>
  <c r="C72" i="48" s="1"/>
  <c r="E35" i="48"/>
  <c r="G35" i="48" s="1"/>
  <c r="E57" i="48"/>
  <c r="G57" i="48" s="1"/>
  <c r="E77" i="47"/>
  <c r="G77" i="47" s="1"/>
  <c r="C77" i="48" s="1"/>
  <c r="E24" i="48"/>
  <c r="G24" i="48" s="1"/>
  <c r="E68" i="47"/>
  <c r="G68" i="47" s="1"/>
  <c r="C68" i="48" s="1"/>
  <c r="E53" i="48"/>
  <c r="G53" i="48" s="1"/>
  <c r="E42" i="48"/>
  <c r="G42" i="48" s="1"/>
  <c r="E56" i="48"/>
  <c r="G56" i="48" s="1"/>
  <c r="E76" i="47"/>
  <c r="G76" i="47" s="1"/>
  <c r="C76" i="48" s="1"/>
  <c r="E23" i="48"/>
  <c r="G23" i="48" s="1"/>
  <c r="E29" i="48"/>
  <c r="G29" i="48" s="1"/>
  <c r="E19" i="48"/>
  <c r="G19" i="48" s="1"/>
  <c r="E20" i="48"/>
  <c r="G20" i="48" s="1"/>
  <c r="E44" i="48"/>
  <c r="G44" i="48" s="1"/>
  <c r="C61" i="50"/>
  <c r="E61" i="50" s="1"/>
  <c r="G61" i="50" s="1"/>
  <c r="E15" i="48"/>
  <c r="G15" i="48" s="1"/>
  <c r="E5" i="48"/>
  <c r="G5" i="48" s="1"/>
  <c r="E25" i="48"/>
  <c r="G25" i="48" s="1"/>
  <c r="E27" i="48"/>
  <c r="G27" i="48" s="1"/>
  <c r="C62" i="50"/>
  <c r="E62" i="50" s="1"/>
  <c r="G62" i="50" s="1"/>
  <c r="E17" i="48"/>
  <c r="G17" i="48" s="1"/>
  <c r="E8" i="48"/>
  <c r="G8" i="48" s="1"/>
  <c r="E21" i="48"/>
  <c r="G21" i="48" s="1"/>
  <c r="E14" i="48"/>
  <c r="G14" i="48" s="1"/>
  <c r="E13" i="48"/>
  <c r="G13" i="48" s="1"/>
  <c r="E11" i="48"/>
  <c r="G11" i="48" s="1"/>
  <c r="E26" i="48"/>
  <c r="G26" i="48" s="1"/>
  <c r="E6" i="48"/>
  <c r="G6" i="48" s="1"/>
  <c r="E48" i="48"/>
  <c r="G48" i="48" s="1"/>
  <c r="E47" i="48"/>
  <c r="G47" i="48" s="1"/>
  <c r="E46" i="48"/>
  <c r="G46" i="48" s="1"/>
  <c r="E45" i="48"/>
  <c r="G45" i="48" s="1"/>
  <c r="E28" i="48"/>
  <c r="G28" i="48" s="1"/>
  <c r="E12" i="48"/>
  <c r="G12" i="48" s="1"/>
  <c r="E7" i="48"/>
  <c r="G7" i="48" s="1"/>
  <c r="C80" i="45" l="1"/>
  <c r="E80" i="45" s="1"/>
  <c r="G80" i="45" s="1"/>
  <c r="C80" i="46" s="1"/>
  <c r="E80" i="46" s="1"/>
  <c r="G80" i="46" s="1"/>
  <c r="C80" i="47" s="1"/>
  <c r="C70" i="46"/>
  <c r="E70" i="46" s="1"/>
  <c r="G70" i="46" s="1"/>
  <c r="C10" i="49"/>
  <c r="E10" i="49" s="1"/>
  <c r="G10" i="49" s="1"/>
  <c r="C43" i="49"/>
  <c r="E43" i="49" s="1"/>
  <c r="G43" i="49" s="1"/>
  <c r="C32" i="49"/>
  <c r="E32" i="49" s="1"/>
  <c r="G32" i="49" s="1"/>
  <c r="C33" i="49"/>
  <c r="E33" i="49" s="1"/>
  <c r="G33" i="49" s="1"/>
  <c r="C51" i="49"/>
  <c r="E51" i="49" s="1"/>
  <c r="G51" i="49" s="1"/>
  <c r="E66" i="47"/>
  <c r="G66" i="47" s="1"/>
  <c r="C66" i="48" s="1"/>
  <c r="C37" i="49"/>
  <c r="E37" i="49" s="1"/>
  <c r="G37" i="49" s="1"/>
  <c r="C18" i="49"/>
  <c r="E18" i="49" s="1"/>
  <c r="G18" i="49" s="1"/>
  <c r="C9" i="49"/>
  <c r="E9" i="49" s="1"/>
  <c r="G9" i="49" s="1"/>
  <c r="C35" i="49"/>
  <c r="E35" i="49" s="1"/>
  <c r="G35" i="49" s="1"/>
  <c r="C24" i="49"/>
  <c r="E24" i="49" s="1"/>
  <c r="G24" i="49" s="1"/>
  <c r="E79" i="48"/>
  <c r="G79" i="48" s="1"/>
  <c r="E73" i="48"/>
  <c r="G73" i="48" s="1"/>
  <c r="E84" i="47"/>
  <c r="G84" i="47" s="1"/>
  <c r="C84" i="48" s="1"/>
  <c r="C40" i="49"/>
  <c r="E40" i="49" s="1"/>
  <c r="G40" i="49" s="1"/>
  <c r="C36" i="49"/>
  <c r="E36" i="49" s="1"/>
  <c r="G36" i="49" s="1"/>
  <c r="C42" i="49"/>
  <c r="E42" i="49" s="1"/>
  <c r="G42" i="49" s="1"/>
  <c r="C53" i="49"/>
  <c r="E53" i="49" s="1"/>
  <c r="G53" i="49" s="1"/>
  <c r="C31" i="49"/>
  <c r="E31" i="49" s="1"/>
  <c r="G31" i="49" s="1"/>
  <c r="E74" i="48"/>
  <c r="G74" i="48" s="1"/>
  <c r="C19" i="49"/>
  <c r="E19" i="49" s="1"/>
  <c r="G19" i="49" s="1"/>
  <c r="E77" i="48"/>
  <c r="G77" i="48" s="1"/>
  <c r="E89" i="47"/>
  <c r="G89" i="47" s="1"/>
  <c r="C89" i="48" s="1"/>
  <c r="C54" i="49"/>
  <c r="E54" i="49" s="1"/>
  <c r="G54" i="49" s="1"/>
  <c r="E90" i="47"/>
  <c r="G90" i="47" s="1"/>
  <c r="C90" i="48" s="1"/>
  <c r="E76" i="48"/>
  <c r="G76" i="48" s="1"/>
  <c r="E75" i="48"/>
  <c r="G75" i="48" s="1"/>
  <c r="C50" i="49"/>
  <c r="E50" i="49" s="1"/>
  <c r="G50" i="49" s="1"/>
  <c r="C41" i="49"/>
  <c r="E41" i="49" s="1"/>
  <c r="G41" i="49" s="1"/>
  <c r="E86" i="47"/>
  <c r="G86" i="47" s="1"/>
  <c r="C86" i="48" s="1"/>
  <c r="C20" i="49"/>
  <c r="E20" i="49" s="1"/>
  <c r="G20" i="49" s="1"/>
  <c r="E72" i="48"/>
  <c r="G72" i="48" s="1"/>
  <c r="C16" i="49"/>
  <c r="E16" i="49" s="1"/>
  <c r="G16" i="49" s="1"/>
  <c r="E78" i="48"/>
  <c r="G78" i="48" s="1"/>
  <c r="C52" i="49"/>
  <c r="E52" i="49" s="1"/>
  <c r="G52" i="49" s="1"/>
  <c r="E81" i="48"/>
  <c r="G81" i="48" s="1"/>
  <c r="C34" i="49"/>
  <c r="E34" i="49" s="1"/>
  <c r="G34" i="49" s="1"/>
  <c r="E71" i="48"/>
  <c r="G71" i="48" s="1"/>
  <c r="E87" i="47"/>
  <c r="G87" i="47" s="1"/>
  <c r="C87" i="48" s="1"/>
  <c r="E83" i="47"/>
  <c r="G83" i="47" s="1"/>
  <c r="C83" i="48" s="1"/>
  <c r="E68" i="48"/>
  <c r="G68" i="48" s="1"/>
  <c r="C22" i="49"/>
  <c r="E22" i="49" s="1"/>
  <c r="G22" i="49" s="1"/>
  <c r="C30" i="49"/>
  <c r="E30" i="49" s="1"/>
  <c r="G30" i="49" s="1"/>
  <c r="E82" i="44"/>
  <c r="G82" i="44" s="1"/>
  <c r="E85" i="47"/>
  <c r="G85" i="47" s="1"/>
  <c r="C85" i="48" s="1"/>
  <c r="C57" i="49"/>
  <c r="E57" i="49" s="1"/>
  <c r="G57" i="49" s="1"/>
  <c r="C49" i="49"/>
  <c r="E49" i="49" s="1"/>
  <c r="G49" i="49" s="1"/>
  <c r="C29" i="49"/>
  <c r="E29" i="49" s="1"/>
  <c r="G29" i="49" s="1"/>
  <c r="E88" i="47"/>
  <c r="G88" i="47" s="1"/>
  <c r="C88" i="48" s="1"/>
  <c r="C38" i="49"/>
  <c r="E38" i="49" s="1"/>
  <c r="G38" i="49" s="1"/>
  <c r="C23" i="49"/>
  <c r="E23" i="49" s="1"/>
  <c r="G23" i="49" s="1"/>
  <c r="C39" i="49"/>
  <c r="E39" i="49" s="1"/>
  <c r="G39" i="49" s="1"/>
  <c r="C55" i="49"/>
  <c r="E55" i="49" s="1"/>
  <c r="G55" i="49" s="1"/>
  <c r="C56" i="49"/>
  <c r="E56" i="49" s="1"/>
  <c r="G56" i="49" s="1"/>
  <c r="C58" i="49"/>
  <c r="E58" i="49" s="1"/>
  <c r="G58" i="49" s="1"/>
  <c r="C44" i="49"/>
  <c r="E44" i="49" s="1"/>
  <c r="G44" i="49" s="1"/>
  <c r="C15" i="49"/>
  <c r="E15" i="49" s="1"/>
  <c r="G15" i="49" s="1"/>
  <c r="C5" i="49"/>
  <c r="E5" i="49" s="1"/>
  <c r="G5" i="49" s="1"/>
  <c r="C25" i="49"/>
  <c r="E25" i="49" s="1"/>
  <c r="G25" i="49" s="1"/>
  <c r="C27" i="49"/>
  <c r="E27" i="49" s="1"/>
  <c r="G27" i="49" s="1"/>
  <c r="C17" i="49"/>
  <c r="E17" i="49" s="1"/>
  <c r="G17" i="49" s="1"/>
  <c r="C8" i="49"/>
  <c r="E8" i="49" s="1"/>
  <c r="G8" i="49" s="1"/>
  <c r="C21" i="49"/>
  <c r="E21" i="49" s="1"/>
  <c r="G21" i="49" s="1"/>
  <c r="C14" i="49"/>
  <c r="E14" i="49" s="1"/>
  <c r="G14" i="49" s="1"/>
  <c r="C13" i="49"/>
  <c r="E13" i="49" s="1"/>
  <c r="G13" i="49" s="1"/>
  <c r="C11" i="49"/>
  <c r="E11" i="49" s="1"/>
  <c r="G11" i="49" s="1"/>
  <c r="C26" i="49"/>
  <c r="E26" i="49" s="1"/>
  <c r="G26" i="49" s="1"/>
  <c r="C6" i="49"/>
  <c r="E6" i="49" s="1"/>
  <c r="G6" i="49" s="1"/>
  <c r="C48" i="49"/>
  <c r="E48" i="49" s="1"/>
  <c r="G48" i="49" s="1"/>
  <c r="C47" i="49"/>
  <c r="E47" i="49" s="1"/>
  <c r="G47" i="49" s="1"/>
  <c r="C46" i="49"/>
  <c r="E46" i="49" s="1"/>
  <c r="G46" i="49" s="1"/>
  <c r="C45" i="49"/>
  <c r="E45" i="49" s="1"/>
  <c r="G45" i="49" s="1"/>
  <c r="C28" i="49"/>
  <c r="E28" i="49" s="1"/>
  <c r="G28" i="49" s="1"/>
  <c r="C12" i="49"/>
  <c r="E12" i="49" s="1"/>
  <c r="G12" i="49" s="1"/>
  <c r="C7" i="49"/>
  <c r="E7" i="49" s="1"/>
  <c r="G7" i="49" s="1"/>
  <c r="C82" i="45" l="1"/>
  <c r="E82" i="45" s="1"/>
  <c r="G82" i="45" s="1"/>
  <c r="C82" i="46" s="1"/>
  <c r="E82" i="46" s="1"/>
  <c r="G82" i="46" s="1"/>
  <c r="C82" i="47" s="1"/>
  <c r="C70" i="47"/>
  <c r="E70" i="47" s="1"/>
  <c r="G70" i="47" s="1"/>
  <c r="C32" i="50"/>
  <c r="E32" i="50" s="1"/>
  <c r="G32" i="50" s="1"/>
  <c r="C51" i="50"/>
  <c r="E51" i="50" s="1"/>
  <c r="G51" i="50" s="1"/>
  <c r="C10" i="50"/>
  <c r="E10" i="50" s="1"/>
  <c r="G10" i="50" s="1"/>
  <c r="C33" i="50"/>
  <c r="E33" i="50" s="1"/>
  <c r="G33" i="50" s="1"/>
  <c r="C43" i="50"/>
  <c r="E43" i="50" s="1"/>
  <c r="G43" i="50" s="1"/>
  <c r="E88" i="48"/>
  <c r="G88" i="48" s="1"/>
  <c r="C30" i="50"/>
  <c r="E30" i="50" s="1"/>
  <c r="G30" i="50" s="1"/>
  <c r="C20" i="50"/>
  <c r="E20" i="50" s="1"/>
  <c r="G20" i="50" s="1"/>
  <c r="C53" i="50"/>
  <c r="E53" i="50" s="1"/>
  <c r="G53" i="50" s="1"/>
  <c r="C79" i="49"/>
  <c r="E79" i="49" s="1"/>
  <c r="G79" i="49" s="1"/>
  <c r="C58" i="50"/>
  <c r="E58" i="50" s="1"/>
  <c r="G58" i="50" s="1"/>
  <c r="C54" i="50"/>
  <c r="E54" i="50" s="1"/>
  <c r="G54" i="50" s="1"/>
  <c r="C24" i="50"/>
  <c r="E24" i="50" s="1"/>
  <c r="G24" i="50" s="1"/>
  <c r="C81" i="49"/>
  <c r="E81" i="49" s="1"/>
  <c r="G81" i="49" s="1"/>
  <c r="E89" i="48"/>
  <c r="G89" i="48" s="1"/>
  <c r="C35" i="50"/>
  <c r="E35" i="50" s="1"/>
  <c r="G35" i="50" s="1"/>
  <c r="C49" i="50"/>
  <c r="E49" i="50" s="1"/>
  <c r="G49" i="50" s="1"/>
  <c r="C52" i="50"/>
  <c r="E52" i="50" s="1"/>
  <c r="G52" i="50" s="1"/>
  <c r="C77" i="49"/>
  <c r="E77" i="49" s="1"/>
  <c r="G77" i="49" s="1"/>
  <c r="C36" i="50"/>
  <c r="E36" i="50" s="1"/>
  <c r="G36" i="50" s="1"/>
  <c r="C56" i="50"/>
  <c r="E56" i="50" s="1"/>
  <c r="G56" i="50" s="1"/>
  <c r="C57" i="50"/>
  <c r="E57" i="50" s="1"/>
  <c r="G57" i="50" s="1"/>
  <c r="C78" i="49"/>
  <c r="E78" i="49" s="1"/>
  <c r="G78" i="49" s="1"/>
  <c r="C50" i="50"/>
  <c r="E50" i="50" s="1"/>
  <c r="G50" i="50" s="1"/>
  <c r="C40" i="50"/>
  <c r="E40" i="50" s="1"/>
  <c r="G40" i="50" s="1"/>
  <c r="C68" i="49"/>
  <c r="E68" i="49" s="1"/>
  <c r="G68" i="49" s="1"/>
  <c r="E80" i="47"/>
  <c r="G80" i="47" s="1"/>
  <c r="C80" i="48" s="1"/>
  <c r="C75" i="49"/>
  <c r="E75" i="49" s="1"/>
  <c r="G75" i="49" s="1"/>
  <c r="E84" i="48"/>
  <c r="G84" i="48" s="1"/>
  <c r="C18" i="50"/>
  <c r="E18" i="50" s="1"/>
  <c r="G18" i="50" s="1"/>
  <c r="C22" i="50"/>
  <c r="E22" i="50" s="1"/>
  <c r="G22" i="50" s="1"/>
  <c r="C55" i="50"/>
  <c r="E55" i="50" s="1"/>
  <c r="G55" i="50" s="1"/>
  <c r="C23" i="50"/>
  <c r="E23" i="50" s="1"/>
  <c r="G23" i="50" s="1"/>
  <c r="E87" i="48"/>
  <c r="G87" i="48" s="1"/>
  <c r="C76" i="49"/>
  <c r="E76" i="49" s="1"/>
  <c r="G76" i="49" s="1"/>
  <c r="C74" i="49"/>
  <c r="E74" i="49" s="1"/>
  <c r="G74" i="49" s="1"/>
  <c r="C37" i="50"/>
  <c r="E37" i="50" s="1"/>
  <c r="G37" i="50" s="1"/>
  <c r="E86" i="48"/>
  <c r="G86" i="48" s="1"/>
  <c r="E85" i="48"/>
  <c r="G85" i="48" s="1"/>
  <c r="C38" i="50"/>
  <c r="E38" i="50" s="1"/>
  <c r="G38" i="50" s="1"/>
  <c r="C71" i="49"/>
  <c r="E71" i="49" s="1"/>
  <c r="G71" i="49" s="1"/>
  <c r="C72" i="49"/>
  <c r="E72" i="49" s="1"/>
  <c r="G72" i="49" s="1"/>
  <c r="C31" i="50"/>
  <c r="E31" i="50" s="1"/>
  <c r="G31" i="50" s="1"/>
  <c r="E66" i="48"/>
  <c r="G66" i="48" s="1"/>
  <c r="C42" i="50"/>
  <c r="E42" i="50" s="1"/>
  <c r="G42" i="50" s="1"/>
  <c r="C73" i="49"/>
  <c r="E73" i="49" s="1"/>
  <c r="G73" i="49" s="1"/>
  <c r="C9" i="50"/>
  <c r="E9" i="50" s="1"/>
  <c r="G9" i="50" s="1"/>
  <c r="C39" i="50"/>
  <c r="E39" i="50" s="1"/>
  <c r="G39" i="50" s="1"/>
  <c r="C16" i="50"/>
  <c r="E16" i="50" s="1"/>
  <c r="G16" i="50" s="1"/>
  <c r="C29" i="50"/>
  <c r="E29" i="50" s="1"/>
  <c r="G29" i="50" s="1"/>
  <c r="E83" i="48"/>
  <c r="G83" i="48" s="1"/>
  <c r="C34" i="50"/>
  <c r="E34" i="50" s="1"/>
  <c r="G34" i="50" s="1"/>
  <c r="C41" i="50"/>
  <c r="E41" i="50" s="1"/>
  <c r="G41" i="50" s="1"/>
  <c r="C19" i="50"/>
  <c r="E19" i="50" s="1"/>
  <c r="G19" i="50" s="1"/>
  <c r="E90" i="48"/>
  <c r="G90" i="48" s="1"/>
  <c r="C44" i="50"/>
  <c r="E44" i="50" s="1"/>
  <c r="G44" i="50" s="1"/>
  <c r="C15" i="50"/>
  <c r="E15" i="50" s="1"/>
  <c r="G15" i="50" s="1"/>
  <c r="C5" i="50"/>
  <c r="E5" i="50" s="1"/>
  <c r="G5" i="50" s="1"/>
  <c r="C25" i="50"/>
  <c r="E25" i="50" s="1"/>
  <c r="G25" i="50" s="1"/>
  <c r="C27" i="50"/>
  <c r="E27" i="50" s="1"/>
  <c r="G27" i="50" s="1"/>
  <c r="C17" i="50"/>
  <c r="E17" i="50" s="1"/>
  <c r="G17" i="50" s="1"/>
  <c r="C8" i="50"/>
  <c r="E8" i="50" s="1"/>
  <c r="G8" i="50" s="1"/>
  <c r="C21" i="50"/>
  <c r="E21" i="50" s="1"/>
  <c r="G21" i="50" s="1"/>
  <c r="C14" i="50"/>
  <c r="E14" i="50" s="1"/>
  <c r="G14" i="50" s="1"/>
  <c r="C13" i="50"/>
  <c r="E13" i="50" s="1"/>
  <c r="G13" i="50" s="1"/>
  <c r="C11" i="50"/>
  <c r="E11" i="50" s="1"/>
  <c r="G11" i="50" s="1"/>
  <c r="C26" i="50"/>
  <c r="E26" i="50" s="1"/>
  <c r="G26" i="50" s="1"/>
  <c r="C6" i="50"/>
  <c r="E6" i="50" s="1"/>
  <c r="G6" i="50" s="1"/>
  <c r="C48" i="50"/>
  <c r="E48" i="50" s="1"/>
  <c r="G48" i="50" s="1"/>
  <c r="C47" i="50"/>
  <c r="E47" i="50" s="1"/>
  <c r="G47" i="50" s="1"/>
  <c r="C46" i="50"/>
  <c r="E46" i="50" s="1"/>
  <c r="G46" i="50" s="1"/>
  <c r="C45" i="50"/>
  <c r="E45" i="50" s="1"/>
  <c r="G45" i="50" s="1"/>
  <c r="C28" i="50"/>
  <c r="E28" i="50" s="1"/>
  <c r="G28" i="50" s="1"/>
  <c r="C12" i="50"/>
  <c r="E12" i="50" s="1"/>
  <c r="G12" i="50" s="1"/>
  <c r="C7" i="50"/>
  <c r="E7" i="50" s="1"/>
  <c r="G7" i="50" s="1"/>
  <c r="C70" i="48" l="1"/>
  <c r="E70" i="48" s="1"/>
  <c r="G70" i="48" s="1"/>
  <c r="C70" i="49" s="1"/>
  <c r="E70" i="49" s="1"/>
  <c r="G70" i="49" s="1"/>
  <c r="C70" i="50" s="1"/>
  <c r="E70" i="50" s="1"/>
  <c r="G70" i="50" s="1"/>
  <c r="C66" i="49"/>
  <c r="E66" i="49" s="1"/>
  <c r="G66" i="49" s="1"/>
  <c r="C74" i="50"/>
  <c r="E74" i="50" s="1"/>
  <c r="G74" i="50" s="1"/>
  <c r="C78" i="50"/>
  <c r="E78" i="50" s="1"/>
  <c r="G78" i="50" s="1"/>
  <c r="C79" i="50"/>
  <c r="E79" i="50" s="1"/>
  <c r="G79" i="50" s="1"/>
  <c r="C76" i="50"/>
  <c r="E76" i="50" s="1"/>
  <c r="G76" i="50" s="1"/>
  <c r="C87" i="49"/>
  <c r="E87" i="49" s="1"/>
  <c r="G87" i="49" s="1"/>
  <c r="C75" i="50"/>
  <c r="E75" i="50" s="1"/>
  <c r="G75" i="50" s="1"/>
  <c r="C89" i="49"/>
  <c r="E89" i="49" s="1"/>
  <c r="G89" i="49" s="1"/>
  <c r="C73" i="50"/>
  <c r="E73" i="50" s="1"/>
  <c r="G73" i="50" s="1"/>
  <c r="E80" i="48"/>
  <c r="G80" i="48" s="1"/>
  <c r="C81" i="50"/>
  <c r="E81" i="50" s="1"/>
  <c r="G81" i="50" s="1"/>
  <c r="C90" i="49"/>
  <c r="E90" i="49" s="1"/>
  <c r="G90" i="49" s="1"/>
  <c r="C83" i="49"/>
  <c r="E83" i="49" s="1"/>
  <c r="G83" i="49" s="1"/>
  <c r="C85" i="49"/>
  <c r="E85" i="49" s="1"/>
  <c r="G85" i="49" s="1"/>
  <c r="C68" i="50"/>
  <c r="E68" i="50" s="1"/>
  <c r="G68" i="50" s="1"/>
  <c r="C72" i="50"/>
  <c r="E72" i="50" s="1"/>
  <c r="G72" i="50" s="1"/>
  <c r="C86" i="49"/>
  <c r="E86" i="49" s="1"/>
  <c r="G86" i="49" s="1"/>
  <c r="C77" i="50"/>
  <c r="E77" i="50" s="1"/>
  <c r="G77" i="50" s="1"/>
  <c r="C88" i="49"/>
  <c r="E88" i="49" s="1"/>
  <c r="G88" i="49" s="1"/>
  <c r="C84" i="49"/>
  <c r="E84" i="49" s="1"/>
  <c r="G84" i="49" s="1"/>
  <c r="C71" i="50"/>
  <c r="E71" i="50" s="1"/>
  <c r="G71" i="50" s="1"/>
  <c r="E82" i="47"/>
  <c r="G82" i="47" s="1"/>
  <c r="C82" i="48" s="1"/>
  <c r="C87" i="50" l="1"/>
  <c r="E87" i="50" s="1"/>
  <c r="G87" i="50" s="1"/>
  <c r="C83" i="50"/>
  <c r="E83" i="50" s="1"/>
  <c r="G83" i="50" s="1"/>
  <c r="C84" i="50"/>
  <c r="E84" i="50" s="1"/>
  <c r="G84" i="50" s="1"/>
  <c r="C80" i="49"/>
  <c r="E80" i="49" s="1"/>
  <c r="G80" i="49" s="1"/>
  <c r="E82" i="48"/>
  <c r="G82" i="48" s="1"/>
  <c r="C88" i="50"/>
  <c r="E88" i="50" s="1"/>
  <c r="G88" i="50" s="1"/>
  <c r="C86" i="50"/>
  <c r="E86" i="50" s="1"/>
  <c r="G86" i="50" s="1"/>
  <c r="C85" i="50"/>
  <c r="E85" i="50" s="1"/>
  <c r="G85" i="50" s="1"/>
  <c r="C66" i="50"/>
  <c r="E66" i="50" s="1"/>
  <c r="G66" i="50" s="1"/>
  <c r="C89" i="50"/>
  <c r="E89" i="50" s="1"/>
  <c r="G89" i="50" s="1"/>
  <c r="C90" i="50"/>
  <c r="E90" i="50" s="1"/>
  <c r="G90" i="50" s="1"/>
  <c r="C82" i="49" l="1"/>
  <c r="E82" i="49" s="1"/>
  <c r="G82" i="49" s="1"/>
  <c r="C80" i="50"/>
  <c r="E80" i="50" s="1"/>
  <c r="G80" i="50" s="1"/>
  <c r="C82" i="50" l="1"/>
  <c r="E82" i="50" s="1"/>
  <c r="G82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" authorId="0" shapeId="0" xr:uid="{4B52E944-23E9-43F7-A9AC-A385336D057F}">
      <text>
        <r>
          <rPr>
            <b/>
            <sz val="9"/>
            <color indexed="81"/>
            <rFont val="Tahoma"/>
            <charset val="222"/>
          </rPr>
          <t>ผช ผจก.บูธ ปรับยอด</t>
        </r>
      </text>
    </comment>
  </commentList>
</comments>
</file>

<file path=xl/sharedStrings.xml><?xml version="1.0" encoding="utf-8"?>
<sst xmlns="http://schemas.openxmlformats.org/spreadsheetml/2006/main" count="5988" uniqueCount="131">
  <si>
    <t>ลำดับ</t>
  </si>
  <si>
    <t>คงเหลือ</t>
  </si>
  <si>
    <t>ยอดเงิน</t>
  </si>
  <si>
    <t>หมายเหตุ</t>
  </si>
  <si>
    <t>รายการ</t>
  </si>
  <si>
    <t>ยกมา</t>
  </si>
  <si>
    <t>รับ</t>
  </si>
  <si>
    <t>รวม</t>
  </si>
  <si>
    <t>เปลี่ยน/</t>
  </si>
  <si>
    <t>รายการขาย</t>
  </si>
  <si>
    <t>วันที่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</si>
  <si>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</si>
  <si>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</si>
  <si>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</si>
  <si>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</si>
  <si>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</si>
  <si>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</si>
  <si>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</si>
  <si>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</si>
  <si>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</si>
  <si>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</si>
  <si>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</si>
  <si>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</si>
  <si>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</si>
  <si>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</si>
  <si>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</si>
  <si>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</si>
  <si>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</si>
  <si>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</si>
  <si>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</si>
  <si>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</si>
  <si>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</si>
  <si>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</si>
  <si>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</si>
  <si>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</si>
  <si>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</si>
  <si>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</si>
  <si>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</si>
  <si>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</si>
  <si>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</si>
  <si>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</si>
  <si>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</si>
  <si>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</si>
  <si>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</si>
  <si>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-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</si>
  <si>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</si>
  <si>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</si>
  <si>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</si>
  <si>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</si>
  <si>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ส่วนลด</t>
  </si>
  <si>
    <t>ยอดขายหักส่วนลด</t>
  </si>
  <si>
    <t>ยอดเงินสด</t>
  </si>
  <si>
    <t>ยอดโอน</t>
  </si>
  <si>
    <t>ปังเนยนิ่ม 3 ชิ้น</t>
  </si>
  <si>
    <t>ส่วนลดสินค้า SALE</t>
  </si>
  <si>
    <t>คอนเฟลก (กระปุก)</t>
  </si>
  <si>
    <t>เมอแรงค์ (กระปุก)</t>
  </si>
  <si>
    <t>ท๊อฟฟี่ถั่ว (กระเช้า)</t>
  </si>
  <si>
    <t>ขนมเปี๊ยะไส้ถั่ว</t>
  </si>
  <si>
    <t>ขนมเปี๊ยะไส้เผือก</t>
  </si>
  <si>
    <t>ขนมเปี๊ยะไส้ฟัก</t>
  </si>
  <si>
    <t>ชิฟฟ่อนรวมรส 4 ชิ้น</t>
  </si>
  <si>
    <t>ชิฟฟ่อนรวมรส 8 ชิ้น</t>
  </si>
  <si>
    <t>ชิฟฟ่อนยอดฮิต</t>
  </si>
  <si>
    <t>ชิฟฟ่อนสอดไส้รวมรส 6 ชิ้น</t>
  </si>
  <si>
    <t>เบาหวิวมะพร้าวน้ำหอม 110 กรัม</t>
  </si>
  <si>
    <t>เบาหวิวฝอยทอง 300 กรัม</t>
  </si>
  <si>
    <t>เบาหวิวฝอยทอง 110 กรัม</t>
  </si>
  <si>
    <t>ชิฟฟ่อน สอดไส้ 3 ชิ้น บลูเบอรี่</t>
  </si>
  <si>
    <t>ชิฟฟ่อน สอดไส้ 6 ชิ้น ฮอกไกโด</t>
  </si>
  <si>
    <t>เบาหวิวเผือกมะพร้าว 300 กรัม</t>
  </si>
  <si>
    <t>เบาหวิวเผือกมะพร้าว 110 กรัม</t>
  </si>
  <si>
    <t>เปี๊ยะโมจิฟัก 350 กรัม</t>
  </si>
  <si>
    <t>เปี๊ยะโมจิฟัก 700 กรัม</t>
  </si>
  <si>
    <t>เบาหวิวตาลหอม 110 กรัม</t>
  </si>
  <si>
    <t>เบาหวิวกล้วยหอมมะพร้าวเผา 110 กรัม</t>
  </si>
  <si>
    <t>เบาหวิวเนยสด 110 กรัม</t>
  </si>
  <si>
    <t>เบาหวิวทุเรียน 110 กรัม</t>
  </si>
  <si>
    <t>เบาหวิวกาแฟ 110 กรัม</t>
  </si>
  <si>
    <t>ชิฟฟ่อน สอดไส้บลูเบอรี่ 3 ชิ้น</t>
  </si>
  <si>
    <t>ชิฟฟ่อน สอดไส้สตรอเบอร์รี่ 3 ชิ้น</t>
  </si>
  <si>
    <t>ชิฟฟ่อนสอดไส้นมฮอกไกโด 3 ชิ้น</t>
  </si>
  <si>
    <t>รถลาน</t>
  </si>
  <si>
    <t>หัวรถไฟโทมัส</t>
  </si>
  <si>
    <t>ปืน</t>
  </si>
  <si>
    <t>โมเดลฮีโร่</t>
  </si>
  <si>
    <t>กระดานวาดเขียน</t>
  </si>
  <si>
    <t>เป็ดแม่</t>
  </si>
  <si>
    <t>เป็ดลูก</t>
  </si>
  <si>
    <t>ตัวบีบ</t>
  </si>
  <si>
    <t>ลานม้า</t>
  </si>
  <si>
    <t>กระดานวาดเขียน(ใหม่)</t>
  </si>
  <si>
    <t>ตุ๊กตา</t>
  </si>
  <si>
    <t>ตุ๊กตานางฟ้าเต้น</t>
  </si>
  <si>
    <t>สลาม</t>
  </si>
  <si>
    <t>โฟนโฟน</t>
  </si>
  <si>
    <t>กดหัวลาน</t>
  </si>
  <si>
    <t>รถแม็คโคร</t>
  </si>
  <si>
    <t>ดินเบา</t>
  </si>
  <si>
    <t>รถตัก</t>
  </si>
  <si>
    <t>ชุดแต่งหน้าเด็ก</t>
  </si>
  <si>
    <t>ไดโนเสาร์</t>
  </si>
  <si>
    <t>เป็ดฟองอากาศ</t>
  </si>
  <si>
    <t>ปลาโลมา</t>
  </si>
  <si>
    <t>สกุชชี่ซาลาเปา</t>
  </si>
  <si>
    <t>คฑามีไฟ</t>
  </si>
  <si>
    <t>โมชิโมชิ</t>
  </si>
  <si>
    <t>หมูบีบ</t>
  </si>
  <si>
    <t>รถถังช้างมีไฟ</t>
  </si>
  <si>
    <t>ปืนยิงมือ</t>
  </si>
  <si>
    <t>เซ็ทรถเล็ก</t>
  </si>
  <si>
    <t>ตุ๊กตาเล็ก</t>
  </si>
  <si>
    <t>ตุ๊กตาใหญ่</t>
  </si>
  <si>
    <t>ปืนทหาร</t>
  </si>
  <si>
    <t>ปืนมาเวล</t>
  </si>
  <si>
    <t>รถปูน</t>
  </si>
  <si>
    <t>ค่าคอมมิสชั่น วัดใหม่สุปดิษฐาราม</t>
  </si>
  <si>
    <t>แซนวิชโบราณ</t>
  </si>
  <si>
    <t>เบาหวิวกาแฟ 300 กรัม</t>
  </si>
  <si>
    <t>เบาหวิวมะพร้าว (แพค100g)</t>
  </si>
  <si>
    <t>บูธ วัดใหม่สุปดิษฐาราม วันที่ 1-30/4/2567</t>
  </si>
  <si>
    <t>เปี๊ยะไส้ถั่วไข่เค็ม 6 ชิ้น</t>
  </si>
  <si>
    <t>ขายไม่ได้</t>
  </si>
  <si>
    <t>ลด50%</t>
  </si>
  <si>
    <t>ขนมเปี๊ยะ 450 กรัม</t>
  </si>
  <si>
    <t>สรุป บูธ วัดใหม่สุปดิษฐาราม วันที่ 1-31/5/2567</t>
  </si>
  <si>
    <t>บูธ วัดใหม่สุปดิษฐาราม วันที่ 1-31/5/2567</t>
  </si>
  <si>
    <t>ชิฟฟ่อน สอดไส้ 6 ชิ้น สตรอเบอร์รี่</t>
  </si>
  <si>
    <t>ชิฟฟ่อน สอดไส้ 6 ชิ้น บลูเบอร์รี่</t>
  </si>
  <si>
    <t>ชิฟฟ่อน สอดไส้ 6 ชิ้น มะพร้าว</t>
  </si>
  <si>
    <t>ปิดชั่วคราว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</si>
</sst>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rgb="FFFFFF00"/>
      <name val="AngsanaUPC"/>
      <family val="1"/>
    </font>
    <font>
      <sz val="17"/>
      <color rgb="FFFFFF00"/>
      <name val="AngsanaUPC"/>
      <family val="1"/>
    </font>
    <font>
      <sz val="17"/>
      <color rgb="FFFF0000"/>
      <name val="AngsanaUPC"/>
      <family val="1"/>
    </font>
    <font>
      <b/>
      <sz val="18"/>
      <color rgb="FFFF0000"/>
      <name val="AngsanaUPC"/>
      <family val="1"/>
    </font>
    <font>
      <b/>
      <sz val="17"/>
      <name val="AngsanaUPC"/>
      <family val="1"/>
    </font>
    <font>
      <b/>
      <sz val="9"/>
      <color indexed="81"/>
      <name val="Tahoma"/>
      <charset val="222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43" fontId="2" fillId="0" borderId="2" xfId="1" applyFont="1" applyBorder="1"/>
    <xf numFmtId="43" fontId="2" fillId="3" borderId="2" xfId="1" applyFont="1" applyFill="1" applyBorder="1"/>
    <xf numFmtId="1" fontId="5" fillId="0" borderId="2" xfId="1" applyNumberFormat="1" applyFont="1" applyBorder="1" applyAlignment="1">
      <alignment horizontal="center"/>
    </xf>
    <xf numFmtId="43" fontId="5" fillId="6" borderId="4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2" xfId="0" applyFont="1" applyBorder="1"/>
    <xf numFmtId="0" fontId="5" fillId="7" borderId="6" xfId="0" applyFont="1" applyFill="1" applyBorder="1" applyAlignment="1">
      <alignment horizontal="center"/>
    </xf>
    <xf numFmtId="43" fontId="5" fillId="7" borderId="2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43" fontId="8" fillId="12" borderId="2" xfId="1" applyFont="1" applyFill="1" applyBorder="1"/>
    <xf numFmtId="0" fontId="8" fillId="1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0" fillId="9" borderId="2" xfId="0" applyFont="1" applyFill="1" applyBorder="1"/>
    <xf numFmtId="43" fontId="10" fillId="9" borderId="2" xfId="1" applyFont="1" applyFill="1" applyBorder="1"/>
    <xf numFmtId="0" fontId="10" fillId="10" borderId="2" xfId="0" applyFont="1" applyFill="1" applyBorder="1"/>
    <xf numFmtId="43" fontId="10" fillId="10" borderId="2" xfId="1" applyFont="1" applyFill="1" applyBorder="1"/>
    <xf numFmtId="0" fontId="3" fillId="11" borderId="6" xfId="0" applyFont="1" applyFill="1" applyBorder="1" applyAlignment="1">
      <alignment horizontal="left"/>
    </xf>
    <xf numFmtId="43" fontId="3" fillId="11" borderId="2" xfId="1" applyFont="1" applyFill="1" applyBorder="1" applyAlignment="1">
      <alignment horizontal="center"/>
    </xf>
    <xf numFmtId="43" fontId="3" fillId="12" borderId="2" xfId="1" applyFont="1" applyFill="1" applyBorder="1"/>
    <xf numFmtId="43" fontId="3" fillId="11" borderId="2" xfId="1" applyFont="1" applyFill="1" applyBorder="1"/>
    <xf numFmtId="0" fontId="11" fillId="9" borderId="2" xfId="0" applyFont="1" applyFill="1" applyBorder="1"/>
    <xf numFmtId="43" fontId="3" fillId="12" borderId="2" xfId="0" applyNumberFormat="1" applyFont="1" applyFill="1" applyBorder="1"/>
    <xf numFmtId="43" fontId="3" fillId="0" borderId="0" xfId="0" applyNumberFormat="1" applyFont="1" applyAlignment="1">
      <alignment horizontal="center"/>
    </xf>
    <xf numFmtId="0" fontId="12" fillId="9" borderId="8" xfId="0" applyFont="1" applyFill="1" applyBorder="1"/>
    <xf numFmtId="0" fontId="3" fillId="12" borderId="2" xfId="0" applyFont="1" applyFill="1" applyBorder="1"/>
    <xf numFmtId="0" fontId="10" fillId="0" borderId="0" xfId="0" applyFont="1"/>
    <xf numFmtId="43" fontId="3" fillId="12" borderId="3" xfId="1" applyFont="1" applyFill="1" applyBorder="1"/>
    <xf numFmtId="43" fontId="2" fillId="0" borderId="0" xfId="0" applyNumberFormat="1" applyFont="1"/>
    <xf numFmtId="43" fontId="2" fillId="0" borderId="2" xfId="1" applyFont="1" applyFill="1" applyBorder="1" applyAlignment="1">
      <alignment horizontal="center"/>
    </xf>
    <xf numFmtId="43" fontId="6" fillId="0" borderId="2" xfId="1" applyFont="1" applyFill="1" applyBorder="1" applyAlignment="1">
      <alignment horizontal="center"/>
    </xf>
    <xf numFmtId="43" fontId="6" fillId="4" borderId="2" xfId="0" applyNumberFormat="1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41" fontId="6" fillId="4" borderId="2" xfId="0" applyNumberFormat="1" applyFont="1" applyFill="1" applyBorder="1"/>
    <xf numFmtId="43" fontId="6" fillId="4" borderId="2" xfId="1" applyFont="1" applyFill="1" applyBorder="1"/>
    <xf numFmtId="41" fontId="2" fillId="0" borderId="0" xfId="0" applyNumberFormat="1" applyFont="1"/>
    <xf numFmtId="0" fontId="15" fillId="0" borderId="2" xfId="0" applyFont="1" applyBorder="1"/>
    <xf numFmtId="41" fontId="2" fillId="0" borderId="2" xfId="0" applyNumberFormat="1" applyFont="1" applyBorder="1"/>
    <xf numFmtId="0" fontId="5" fillId="6" borderId="2" xfId="1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15" fillId="0" borderId="0" xfId="0" applyFont="1"/>
    <xf numFmtId="43" fontId="2" fillId="0" borderId="0" xfId="1" applyFont="1" applyBorder="1" applyAlignment="1">
      <alignment horizontal="center"/>
    </xf>
    <xf numFmtId="0" fontId="2" fillId="0" borderId="11" xfId="0" applyFont="1" applyBorder="1"/>
    <xf numFmtId="43" fontId="15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13" fillId="0" borderId="2" xfId="1" applyFont="1" applyFill="1" applyBorder="1" applyAlignment="1">
      <alignment horizontal="center"/>
    </xf>
    <xf numFmtId="43" fontId="17" fillId="0" borderId="2" xfId="1" applyFont="1" applyFill="1" applyBorder="1" applyAlignment="1">
      <alignment horizontal="center"/>
    </xf>
    <xf numFmtId="43" fontId="14" fillId="0" borderId="2" xfId="1" applyFont="1" applyFill="1" applyBorder="1" applyAlignment="1">
      <alignment horizontal="center"/>
    </xf>
    <xf numFmtId="43" fontId="15" fillId="0" borderId="2" xfId="1" applyFont="1" applyFill="1" applyBorder="1" applyAlignment="1">
      <alignment horizontal="center"/>
    </xf>
    <xf numFmtId="43" fontId="2" fillId="0" borderId="1" xfId="1" applyFont="1" applyFill="1" applyBorder="1"/>
    <xf numFmtId="43" fontId="2" fillId="0" borderId="2" xfId="1" applyFont="1" applyFill="1" applyBorder="1"/>
    <xf numFmtId="0" fontId="8" fillId="14" borderId="2" xfId="0" applyFont="1" applyFill="1" applyBorder="1" applyAlignment="1">
      <alignment horizontal="center"/>
    </xf>
    <xf numFmtId="0" fontId="16" fillId="14" borderId="2" xfId="0" applyFont="1" applyFill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14" borderId="2" xfId="1" applyFont="1" applyFill="1" applyBorder="1"/>
    <xf numFmtId="43" fontId="2" fillId="14" borderId="2" xfId="1" applyFont="1" applyFill="1" applyBorder="1" applyAlignment="1">
      <alignment horizontal="center"/>
    </xf>
    <xf numFmtId="0" fontId="2" fillId="12" borderId="3" xfId="0" applyFont="1" applyFill="1" applyBorder="1"/>
    <xf numFmtId="0" fontId="5" fillId="6" borderId="4" xfId="1" applyNumberFormat="1" applyFont="1" applyFill="1" applyBorder="1" applyAlignment="1">
      <alignment horizontal="center"/>
    </xf>
    <xf numFmtId="43" fontId="2" fillId="0" borderId="2" xfId="0" applyNumberFormat="1" applyFont="1" applyBorder="1"/>
    <xf numFmtId="0" fontId="8" fillId="14" borderId="3" xfId="0" applyFont="1" applyFill="1" applyBorder="1" applyAlignment="1">
      <alignment horizontal="center"/>
    </xf>
    <xf numFmtId="0" fontId="16" fillId="14" borderId="3" xfId="0" applyFont="1" applyFill="1" applyBorder="1" applyAlignment="1">
      <alignment horizontal="center"/>
    </xf>
    <xf numFmtId="0" fontId="2" fillId="0" borderId="3" xfId="0" applyFont="1" applyBorder="1"/>
    <xf numFmtId="43" fontId="5" fillId="0" borderId="2" xfId="1" applyFont="1" applyFill="1" applyBorder="1" applyAlignment="1">
      <alignment horizontal="center"/>
    </xf>
    <xf numFmtId="43" fontId="2" fillId="17" borderId="2" xfId="1" applyFont="1" applyFill="1" applyBorder="1" applyAlignment="1">
      <alignment horizontal="center"/>
    </xf>
    <xf numFmtId="43" fontId="6" fillId="17" borderId="2" xfId="1" applyFont="1" applyFill="1" applyBorder="1" applyAlignment="1">
      <alignment horizontal="center"/>
    </xf>
    <xf numFmtId="43" fontId="17" fillId="17" borderId="2" xfId="1" applyFont="1" applyFill="1" applyBorder="1" applyAlignment="1">
      <alignment horizontal="center"/>
    </xf>
    <xf numFmtId="43" fontId="2" fillId="8" borderId="2" xfId="1" applyFont="1" applyFill="1" applyBorder="1" applyAlignment="1">
      <alignment horizontal="center"/>
    </xf>
    <xf numFmtId="43" fontId="6" fillId="8" borderId="2" xfId="1" applyFont="1" applyFill="1" applyBorder="1" applyAlignment="1">
      <alignment horizontal="center"/>
    </xf>
    <xf numFmtId="43" fontId="13" fillId="17" borderId="2" xfId="1" applyFont="1" applyFill="1" applyBorder="1" applyAlignment="1">
      <alignment horizontal="center"/>
    </xf>
    <xf numFmtId="43" fontId="17" fillId="8" borderId="2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/>
    <xf numFmtId="43" fontId="2" fillId="17" borderId="3" xfId="1" applyFont="1" applyFill="1" applyBorder="1" applyAlignment="1">
      <alignment horizontal="center" vertical="center"/>
    </xf>
    <xf numFmtId="43" fontId="2" fillId="17" borderId="13" xfId="1" applyFont="1" applyFill="1" applyBorder="1" applyAlignment="1">
      <alignment horizontal="center" vertical="center"/>
    </xf>
    <xf numFmtId="43" fontId="2" fillId="17" borderId="4" xfId="1" applyFont="1" applyFill="1" applyBorder="1" applyAlignment="1">
      <alignment horizontal="center" vertical="center"/>
    </xf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6" xfId="0" applyFont="1" applyFill="1" applyBorder="1"/>
    <xf numFmtId="0" fontId="3" fillId="12" borderId="3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2" borderId="2" xfId="0" applyFont="1" applyFill="1" applyBorder="1"/>
    <xf numFmtId="0" fontId="3" fillId="12" borderId="5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3" fillId="12" borderId="6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center" vertical="center"/>
    </xf>
    <xf numFmtId="43" fontId="15" fillId="16" borderId="0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AA8E5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26;&#3619;&#3640;&#3611;&#3610;&#3641;&#3608;&#3623;&#3633;&#3604;&#3651;&#3627;&#3617;&#3656;&#3626;&#3640;&#3611;&#3604;&#3636;&#3625;&#3600;&#3634;&#3619;&#3634;&#3617;%20&#3648;&#3617;.&#3618;.67.xlsx" TargetMode="External"/><Relationship Id="rId1" Type="http://schemas.openxmlformats.org/officeDocument/2006/relationships/externalLinkPath" Target="file:///D:\Users\PC29\Desktop\&#3613;&#3609;\&#3626;&#3605;&#3658;&#3629;&#3585;&#3610;&#3641;&#3608;\2567\4.&#3648;&#3617;&#3625;&#3634;&#3618;&#3609;\&#3626;&#3619;&#3640;&#3611;&#3610;&#3641;&#3608;&#3623;&#3633;&#3604;&#3651;&#3627;&#3617;&#3656;&#3626;&#3640;&#3611;&#3604;&#3636;&#3625;&#3600;&#3634;&#3619;&#3634;&#3617;%20&#3648;&#3617;.&#361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4">
          <cell r="G4">
            <v>-1</v>
          </cell>
        </row>
        <row r="5">
          <cell r="G5">
            <v>15</v>
          </cell>
        </row>
        <row r="6">
          <cell r="G6">
            <v>11</v>
          </cell>
        </row>
        <row r="7">
          <cell r="G7">
            <v>26</v>
          </cell>
        </row>
        <row r="8">
          <cell r="G8">
            <v>11</v>
          </cell>
        </row>
        <row r="9">
          <cell r="G9">
            <v>10</v>
          </cell>
        </row>
        <row r="10">
          <cell r="G10">
            <v>9</v>
          </cell>
        </row>
        <row r="11">
          <cell r="G11">
            <v>23</v>
          </cell>
        </row>
        <row r="12">
          <cell r="G12">
            <v>17</v>
          </cell>
        </row>
        <row r="13">
          <cell r="G13">
            <v>11</v>
          </cell>
        </row>
        <row r="14">
          <cell r="G14">
            <v>32</v>
          </cell>
        </row>
        <row r="15">
          <cell r="G15">
            <v>-1</v>
          </cell>
        </row>
        <row r="16">
          <cell r="G16">
            <v>0</v>
          </cell>
        </row>
        <row r="17">
          <cell r="G17">
            <v>16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8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8</v>
          </cell>
        </row>
        <row r="26">
          <cell r="G26">
            <v>7</v>
          </cell>
        </row>
        <row r="27">
          <cell r="G27">
            <v>2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13</v>
          </cell>
        </row>
        <row r="33">
          <cell r="G33">
            <v>13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1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7</v>
          </cell>
        </row>
        <row r="45">
          <cell r="G45">
            <v>15</v>
          </cell>
        </row>
        <row r="46">
          <cell r="G46">
            <v>8</v>
          </cell>
        </row>
        <row r="47">
          <cell r="G47">
            <v>10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10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9</v>
          </cell>
        </row>
        <row r="59">
          <cell r="G59">
            <v>24</v>
          </cell>
        </row>
        <row r="60">
          <cell r="G60">
            <v>7</v>
          </cell>
        </row>
        <row r="61">
          <cell r="G61">
            <v>14</v>
          </cell>
        </row>
        <row r="62">
          <cell r="G62">
            <v>5</v>
          </cell>
        </row>
        <row r="63">
          <cell r="G63">
            <v>4</v>
          </cell>
        </row>
        <row r="64">
          <cell r="G64">
            <v>4</v>
          </cell>
        </row>
        <row r="65">
          <cell r="G65">
            <v>6</v>
          </cell>
        </row>
        <row r="66">
          <cell r="G66">
            <v>2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2</v>
          </cell>
        </row>
        <row r="70">
          <cell r="G70">
            <v>53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</sheetData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C6B-84A6-4A98-AED3-A8E0D6736DA3}">
  <sheetPr>
    <tabColor rgb="FF92D050"/>
  </sheetPr>
  <dimension ref="A1:V117"/>
  <sheetViews>
    <sheetView tabSelected="1" zoomScale="80" zoomScaleNormal="80" workbookViewId="0">
      <pane ySplit="4" topLeftCell="A104" activePane="bottomLeft" state="frozen"/>
      <selection pane="bottomLeft" activeCell="S122" sqref="S122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1.7109375" style="2" bestFit="1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3" customWidth="1"/>
    <col min="10" max="10" width="11.5703125" style="2" customWidth="1"/>
    <col min="11" max="11" width="13" style="2" bestFit="1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5" customFormat="1" ht="29.25">
      <c r="A2" s="91" t="s">
        <v>125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4"/>
      <c r="O2" s="4"/>
      <c r="P2" s="4"/>
      <c r="Q2" s="4"/>
      <c r="R2" s="4"/>
      <c r="S2" s="4"/>
      <c r="T2" s="4"/>
    </row>
    <row r="3" spans="1:22" s="3" customFormat="1">
      <c r="A3" s="92" t="s">
        <v>0</v>
      </c>
      <c r="B3" s="92" t="s">
        <v>4</v>
      </c>
      <c r="C3" s="94" t="s">
        <v>5</v>
      </c>
      <c r="D3" s="94" t="s">
        <v>6</v>
      </c>
      <c r="E3" s="94" t="s">
        <v>7</v>
      </c>
      <c r="F3" s="6" t="s">
        <v>8</v>
      </c>
      <c r="G3" s="94" t="s">
        <v>1</v>
      </c>
      <c r="H3" s="95" t="s">
        <v>9</v>
      </c>
      <c r="I3" s="95"/>
      <c r="J3" s="95"/>
      <c r="K3" s="94" t="s">
        <v>3</v>
      </c>
      <c r="L3" s="96" t="s">
        <v>10</v>
      </c>
      <c r="M3" s="96" t="s">
        <v>2</v>
      </c>
      <c r="N3" s="96" t="s">
        <v>11</v>
      </c>
      <c r="O3" s="97" t="s">
        <v>12</v>
      </c>
      <c r="P3" s="97" t="s">
        <v>13</v>
      </c>
      <c r="Q3" s="97" t="s">
        <v>14</v>
      </c>
      <c r="R3" s="97" t="s">
        <v>15</v>
      </c>
      <c r="S3" s="97" t="s">
        <v>16</v>
      </c>
      <c r="T3" s="96" t="s">
        <v>17</v>
      </c>
      <c r="U3" s="99" t="s">
        <v>18</v>
      </c>
    </row>
    <row r="4" spans="1:22" s="3" customFormat="1">
      <c r="A4" s="93"/>
      <c r="B4" s="93"/>
      <c r="C4" s="94"/>
      <c r="D4" s="94"/>
      <c r="E4" s="94"/>
      <c r="F4" s="6" t="s">
        <v>19</v>
      </c>
      <c r="G4" s="94"/>
      <c r="H4" s="6" t="s">
        <v>20</v>
      </c>
      <c r="I4" s="7" t="s">
        <v>21</v>
      </c>
      <c r="J4" s="6" t="s">
        <v>22</v>
      </c>
      <c r="K4" s="94"/>
      <c r="L4" s="96"/>
      <c r="M4" s="96"/>
      <c r="N4" s="96"/>
      <c r="O4" s="98"/>
      <c r="P4" s="98"/>
      <c r="Q4" s="98"/>
      <c r="R4" s="98"/>
      <c r="S4" s="98"/>
      <c r="T4" s="96"/>
      <c r="U4" s="100"/>
    </row>
    <row r="5" spans="1:22">
      <c r="A5" s="8">
        <v>1</v>
      </c>
      <c r="B5" s="9" t="s">
        <v>53</v>
      </c>
      <c r="C5" s="10">
        <f>+ยกมา!C4</f>
        <v>-1</v>
      </c>
      <c r="D5" s="11">
        <f>+'1'!D4+'2'!D4+'3'!D4+'4'!D4+'5'!D4+'6'!D4+'7'!D4+'8'!D4+'9'!D4+'10'!D4+'11'!D4+'12'!D4+'13'!D4+'14'!D4+'15'!D4+'16'!D4+'17'!D4+'18'!D4+'19'!D4+'20'!D4+'21'!D4+'22'!D4+'23'!D4+'24'!D4+'25'!D4+'26'!D4+'27'!D4+'28'!D4+'29'!D4+'30'!D4+'31'!D4</f>
        <v>20</v>
      </c>
      <c r="E5" s="10">
        <f>+C5+D5</f>
        <v>19</v>
      </c>
      <c r="F5" s="11">
        <f>+'1'!F4+'2'!F4+'3'!F4+'4'!F4+'5'!F4+'6'!F4+'7'!F4+'8'!F4+'9'!F4+'10'!F4+'11'!F4+'12'!F4+'13'!F4+'14'!F4+'15'!F4+'16'!F4+'17'!F4+'18'!F4+'19'!F4+'20'!F4+'21'!F4+'22'!F4+'23'!F4+'24'!F4+'25'!F4+'26'!F4+'27'!F4+'28'!F4+'29'!F4+'30'!F4+'31'!F4</f>
        <v>0</v>
      </c>
      <c r="G5" s="10">
        <f>+E5-F5-H5</f>
        <v>2</v>
      </c>
      <c r="H5" s="11">
        <f>+'1'!H4+'2'!H4+'3'!H4+'4'!H4+'5'!H4+'6'!H4+'7'!H4+'8'!H4+'9'!H4+'10'!H4+'11'!H4+'12'!H4+'13'!H4+'14'!H4+'15'!H4+'16'!H4+'17'!H4+'18'!H4+'19'!H4+'20'!H4+'21'!H4+'22'!H4+'23'!H4+'24'!H4+'25'!H4+'26'!H4+'27'!H4+'28'!H4+'29'!H4+'30'!H4+'31'!H4</f>
        <v>17</v>
      </c>
      <c r="I5" s="57">
        <v>55</v>
      </c>
      <c r="J5" s="11">
        <f>+'1'!J4+'2'!J4+'3'!J4+'4'!J4+'5'!J4+'6'!J4+'7'!J4+'8'!J4+'9'!J4+'10'!J4+'11'!J4+'12'!J4+'13'!J4+'14'!J4+'15'!J4+'16'!J4+'17'!J4+'18'!J4+'19'!J4+'20'!J4+'21'!J4+'22'!J4+'23'!J4+'24'!J4+'25'!J4+'26'!J4+'27'!J4+'28'!J4+'29'!J4+'30'!J4+'31'!J4</f>
        <v>855</v>
      </c>
      <c r="K5" s="13"/>
      <c r="L5" s="14">
        <v>1</v>
      </c>
      <c r="M5" s="46">
        <f>+'1'!K93</f>
        <v>1070</v>
      </c>
      <c r="N5" s="46">
        <f>+'1'!K98</f>
        <v>400</v>
      </c>
      <c r="O5" s="83"/>
      <c r="P5" s="46">
        <f>+'1'!K94</f>
        <v>0</v>
      </c>
      <c r="Q5" s="46">
        <f>+'1'!K97</f>
        <v>0</v>
      </c>
      <c r="R5" s="46">
        <f>+'1'!K95</f>
        <v>0</v>
      </c>
      <c r="S5" s="46">
        <f>+M5-N5-P5-Q5-R5</f>
        <v>670</v>
      </c>
      <c r="T5" s="46">
        <f>+'1'!K100</f>
        <v>670</v>
      </c>
      <c r="U5" s="47">
        <f>+T5-S5</f>
        <v>0</v>
      </c>
      <c r="V5" s="3"/>
    </row>
    <row r="6" spans="1:22">
      <c r="A6" s="8">
        <v>2</v>
      </c>
      <c r="B6" s="9" t="s">
        <v>55</v>
      </c>
      <c r="C6" s="10">
        <f>+ยกมา!C5</f>
        <v>15</v>
      </c>
      <c r="D6" s="11">
        <f>+'1'!D5+'2'!D5+'3'!D5+'4'!D5+'5'!D5+'6'!D5+'7'!D5+'8'!D5+'9'!D5+'10'!D5+'11'!D5+'12'!D5+'13'!D5+'14'!D5+'15'!D5+'16'!D5+'17'!D5+'18'!D5+'19'!D5+'20'!D5+'21'!D5+'22'!D5+'23'!D5+'24'!D5+'25'!D5+'26'!D5+'27'!D5+'28'!D5+'29'!D5+'30'!D5+'31'!D5</f>
        <v>0</v>
      </c>
      <c r="E6" s="10">
        <f t="shared" ref="E6:E69" si="0">+C6+D6</f>
        <v>15</v>
      </c>
      <c r="F6" s="11">
        <f>+'1'!F5+'2'!F5+'3'!F5+'4'!F5+'5'!F5+'6'!F5+'7'!F5+'8'!F5+'9'!F5+'10'!F5+'11'!F5+'12'!F5+'13'!F5+'14'!F5+'15'!F5+'16'!F5+'17'!F5+'18'!F5+'19'!F5+'20'!F5+'21'!F5+'22'!F5+'23'!F5+'24'!F5+'25'!F5+'26'!F5+'27'!F5+'28'!F5+'29'!F5+'30'!F5+'31'!F5</f>
        <v>11</v>
      </c>
      <c r="G6" s="10">
        <f t="shared" ref="G6:G69" si="1">+E6-F6-H6</f>
        <v>-1</v>
      </c>
      <c r="H6" s="11">
        <f>+'1'!H5+'2'!H5+'3'!H5+'4'!H5+'5'!H5+'6'!H5+'7'!H5+'8'!H5+'9'!H5+'10'!H5+'11'!H5+'12'!H5+'13'!H5+'14'!H5+'15'!H5+'16'!H5+'17'!H5+'18'!H5+'19'!H5+'20'!H5+'21'!H5+'22'!H5+'23'!H5+'24'!H5+'25'!H5+'26'!H5+'27'!H5+'28'!H5+'29'!H5+'30'!H5+'31'!H5</f>
        <v>5</v>
      </c>
      <c r="I6" s="57">
        <v>60</v>
      </c>
      <c r="J6" s="11">
        <f>+'1'!J5+'2'!J5+'3'!J5+'4'!J5+'5'!J5+'6'!J5+'7'!J5+'8'!J5+'9'!J5+'10'!J5+'11'!J5+'12'!J5+'13'!J5+'14'!J5+'15'!J5+'16'!J5+'17'!J5+'18'!J5+'19'!J5+'20'!J5+'21'!J5+'22'!J5+'23'!J5+'24'!J5+'25'!J5+'26'!J5+'27'!J5+'28'!J5+'29'!J5+'30'!J5+'31'!J5</f>
        <v>300</v>
      </c>
      <c r="K6" s="15"/>
      <c r="L6" s="14">
        <v>2</v>
      </c>
      <c r="M6" s="46">
        <f>+'2'!K93</f>
        <v>600</v>
      </c>
      <c r="N6" s="46">
        <f>+'2'!K98</f>
        <v>300</v>
      </c>
      <c r="O6" s="46"/>
      <c r="P6" s="46">
        <f>+'2'!K94</f>
        <v>0</v>
      </c>
      <c r="Q6" s="46">
        <f>+'2'!K97</f>
        <v>0</v>
      </c>
      <c r="R6" s="46">
        <f>+'2'!K95</f>
        <v>0</v>
      </c>
      <c r="S6" s="46">
        <f>+M6-N6-P6-Q6-R6</f>
        <v>300</v>
      </c>
      <c r="T6" s="46">
        <f>+'2'!K100</f>
        <v>300</v>
      </c>
      <c r="U6" s="47">
        <f t="shared" ref="U6:U9" si="2">+T6-S6</f>
        <v>0</v>
      </c>
      <c r="V6" s="3"/>
    </row>
    <row r="7" spans="1:22">
      <c r="A7" s="8">
        <v>3</v>
      </c>
      <c r="B7" s="16" t="s">
        <v>56</v>
      </c>
      <c r="C7" s="10">
        <f>+ยกมา!C6</f>
        <v>11</v>
      </c>
      <c r="D7" s="11">
        <f>+'1'!D6+'2'!D6+'3'!D6+'4'!D6+'5'!D6+'6'!D6+'7'!D6+'8'!D6+'9'!D6+'10'!D6+'11'!D6+'12'!D6+'13'!D6+'14'!D6+'15'!D6+'16'!D6+'17'!D6+'18'!D6+'19'!D6+'20'!D6+'21'!D6+'22'!D6+'23'!D6+'24'!D6+'25'!D6+'26'!D6+'27'!D6+'28'!D6+'29'!D6+'30'!D6+'31'!D6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7" s="10">
        <f t="shared" si="0"/>
        <v>11</v>
      </c>
      <c r="F7" s="11">
        <f>+'1'!F6+'2'!F6+'3'!F6+'4'!F6+'5'!F6+'6'!F6+'7'!F6+'8'!F6+'9'!F6+'10'!F6+'11'!F6+'12'!F6+'13'!F6+'14'!F6+'15'!F6+'16'!F6+'17'!F6+'18'!F6+'19'!F6+'20'!F6+'21'!F6+'22'!F6+'23'!F6+'24'!F6+'25'!F6+'26'!F6+'27'!F6+'28'!F6+'29'!F6+'30'!F6+'31'!F6</f>
        <v>7</v>
      </c>
      <c r="G7" s="10">
        <f t="shared" si="1"/>
        <v>3</v>
      </c>
      <c r="H7" s="11">
        <f>+'1'!H6+'2'!H6+'3'!H6+'4'!H6+'5'!H6+'6'!H6+'7'!H6+'8'!H6+'9'!H6+'10'!H6+'11'!H6+'12'!H6+'13'!H6+'14'!H6+'15'!H6+'16'!H6+'17'!H6+'18'!H6+'19'!H6+'20'!H6+'21'!H6+'22'!H6+'23'!H6+'24'!H6+'25'!H6+'26'!H6+'27'!H6+'28'!H6+'29'!H6+'30'!H6+'31'!H6</f>
        <v>1</v>
      </c>
      <c r="I7" s="56">
        <v>55</v>
      </c>
      <c r="J7" s="11">
        <f>+'1'!J6+'2'!J6+'3'!J6+'4'!J6+'5'!J6+'6'!J6+'7'!J6+'8'!J6+'9'!J6+'10'!J6+'11'!J6+'12'!J6+'13'!J6+'14'!J6+'15'!J6+'16'!J6+'17'!J6+'18'!J6+'19'!J6+'20'!J6+'21'!J6+'22'!J6+'23'!J6+'24'!J6+'25'!J6+'26'!J6+'27'!J6+'28'!J6+'29'!J6+'30'!J6+'31'!J6</f>
        <v>55</v>
      </c>
      <c r="K7" s="15"/>
      <c r="L7" s="14">
        <v>3</v>
      </c>
      <c r="M7" s="46">
        <f>+'3'!K93</f>
        <v>200</v>
      </c>
      <c r="N7" s="46">
        <f>+'3'!K98</f>
        <v>0</v>
      </c>
      <c r="O7" s="46"/>
      <c r="P7" s="46">
        <f>+'3'!K94</f>
        <v>0</v>
      </c>
      <c r="Q7" s="46">
        <f>+'3'!K97</f>
        <v>0</v>
      </c>
      <c r="R7" s="46">
        <f>+'3'!K95</f>
        <v>0</v>
      </c>
      <c r="S7" s="46">
        <f>+M7-N7-P7-Q7-R7</f>
        <v>200</v>
      </c>
      <c r="T7" s="46">
        <f>+'3'!K100</f>
        <v>200</v>
      </c>
      <c r="U7" s="47">
        <f t="shared" si="2"/>
        <v>0</v>
      </c>
      <c r="V7" s="3"/>
    </row>
    <row r="8" spans="1:22">
      <c r="A8" s="8">
        <v>4</v>
      </c>
      <c r="B8" s="16" t="s">
        <v>57</v>
      </c>
      <c r="C8" s="10">
        <f>+ยกมา!C7</f>
        <v>26</v>
      </c>
      <c r="D8" s="11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8" s="10">
        <f t="shared" si="0"/>
        <v>26</v>
      </c>
      <c r="F8" s="11">
        <f>+'1'!F7+'2'!F7+'3'!F7+'4'!F7+'5'!F7+'6'!F7+'7'!F7+'8'!F7+'9'!F7+'10'!F7+'11'!F7+'12'!F7+'13'!F7+'14'!F7+'15'!F7+'16'!F7+'17'!F7+'18'!F7+'19'!F7+'20'!F7+'21'!F7+'22'!F7+'23'!F7+'24'!F7+'25'!F7+'26'!F7+'27'!F7+'28'!F7+'29'!F7+'30'!F7+'31'!F7</f>
        <v>23</v>
      </c>
      <c r="G8" s="10">
        <f t="shared" si="1"/>
        <v>2</v>
      </c>
      <c r="H8" s="11">
        <f>+'1'!H7+'2'!H7+'3'!H7+'4'!H7+'5'!H7+'6'!H7+'7'!H7+'8'!H7+'9'!H7+'10'!H7+'11'!H7+'12'!H7+'13'!H7+'14'!H7+'15'!H7+'16'!H7+'17'!H7+'18'!H7+'19'!H7+'20'!H7+'21'!H7+'22'!H7+'23'!H7+'24'!H7+'25'!H7+'26'!H7+'27'!H7+'28'!H7+'29'!H7+'30'!H7+'31'!H7</f>
        <v>1</v>
      </c>
      <c r="I8" s="56">
        <v>100</v>
      </c>
      <c r="J8" s="11">
        <f>+'1'!J7+'2'!J7+'3'!J7+'4'!J7+'5'!J7+'6'!J7+'7'!J7+'8'!J7+'9'!J7+'10'!J7+'11'!J7+'12'!J7+'13'!J7+'14'!J7+'15'!J7+'16'!J7+'17'!J7+'18'!J7+'19'!J7+'20'!J7+'21'!J7+'22'!J7+'23'!J7+'24'!J7+'25'!J7+'26'!J7+'27'!J7+'28'!J7+'29'!J7+'30'!J7+'31'!J7</f>
        <v>100</v>
      </c>
      <c r="K8" s="15"/>
      <c r="L8" s="14">
        <v>4</v>
      </c>
      <c r="M8" s="46">
        <f>+'4'!K93</f>
        <v>150</v>
      </c>
      <c r="N8" s="46">
        <f>+'4'!K98</f>
        <v>50</v>
      </c>
      <c r="O8" s="46"/>
      <c r="P8" s="46">
        <f>+'4'!K94</f>
        <v>0</v>
      </c>
      <c r="Q8" s="46">
        <f>+'4'!K97</f>
        <v>0</v>
      </c>
      <c r="R8" s="46">
        <f>+'4'!K95</f>
        <v>0</v>
      </c>
      <c r="S8" s="46">
        <f t="shared" ref="S8:S35" si="3">+M8-N8-P8-Q8-R8</f>
        <v>100</v>
      </c>
      <c r="T8" s="46">
        <f>+'4'!K100</f>
        <v>100</v>
      </c>
      <c r="U8" s="47">
        <f t="shared" si="2"/>
        <v>0</v>
      </c>
      <c r="V8" s="3"/>
    </row>
    <row r="9" spans="1:22">
      <c r="A9" s="8">
        <v>5</v>
      </c>
      <c r="B9" s="16" t="s">
        <v>58</v>
      </c>
      <c r="C9" s="10">
        <f>+ยกมา!C8</f>
        <v>11</v>
      </c>
      <c r="D9" s="11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9" s="10">
        <f t="shared" si="0"/>
        <v>11</v>
      </c>
      <c r="F9" s="11">
        <f>+'1'!F8+'2'!F8+'3'!F8+'4'!F8+'5'!F8+'6'!F8+'7'!F8+'8'!F8+'9'!F8+'10'!F8+'11'!F8+'12'!F8+'13'!F8+'14'!F8+'15'!F8+'16'!F8+'17'!F8+'18'!F8+'19'!F8+'20'!F8+'21'!F8+'22'!F8+'23'!F8+'24'!F8+'25'!F8+'26'!F8+'27'!F8+'28'!F8+'29'!F8+'30'!F8+'31'!F8</f>
        <v>12</v>
      </c>
      <c r="G9" s="10">
        <f t="shared" si="1"/>
        <v>-1</v>
      </c>
      <c r="H9" s="11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9" s="56">
        <v>120</v>
      </c>
      <c r="J9" s="11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9" s="15"/>
      <c r="L9" s="14">
        <v>5</v>
      </c>
      <c r="M9" s="46">
        <f>+'5'!K93</f>
        <v>705</v>
      </c>
      <c r="N9" s="46">
        <f>+'5'!K98</f>
        <v>150</v>
      </c>
      <c r="O9" s="66"/>
      <c r="P9" s="46">
        <f>+'5'!K94</f>
        <v>0</v>
      </c>
      <c r="Q9" s="46">
        <f>+'5'!K97</f>
        <v>0</v>
      </c>
      <c r="R9" s="46">
        <f>+'5'!K95</f>
        <v>0</v>
      </c>
      <c r="S9" s="46">
        <f t="shared" si="3"/>
        <v>555</v>
      </c>
      <c r="T9" s="46">
        <f>+'5'!K100</f>
        <v>555</v>
      </c>
      <c r="U9" s="47">
        <f t="shared" si="2"/>
        <v>0</v>
      </c>
      <c r="V9" s="3"/>
    </row>
    <row r="10" spans="1:22">
      <c r="A10" s="8">
        <v>6</v>
      </c>
      <c r="B10" s="9" t="s">
        <v>59</v>
      </c>
      <c r="C10" s="10">
        <f>+ยกมา!C9</f>
        <v>10</v>
      </c>
      <c r="D10" s="11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10" s="10">
        <f t="shared" si="0"/>
        <v>10</v>
      </c>
      <c r="F10" s="11">
        <f>+'1'!F9+'2'!F9+'3'!F9+'4'!F9+'5'!F9+'6'!F9+'7'!F9+'8'!F9+'9'!F9+'10'!F9+'11'!F9+'12'!F9+'13'!F9+'14'!F9+'15'!F9+'16'!F9+'17'!F9+'18'!F9+'19'!F9+'20'!F9+'21'!F9+'22'!F9+'23'!F9+'24'!F9+'25'!F9+'26'!F9+'27'!F9+'28'!F9+'29'!F9+'30'!F9+'31'!F9</f>
        <v>10</v>
      </c>
      <c r="G10" s="10">
        <f t="shared" si="1"/>
        <v>0</v>
      </c>
      <c r="H10" s="11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10" s="56">
        <v>120</v>
      </c>
      <c r="J10" s="11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10" s="15"/>
      <c r="L10" s="14">
        <v>6</v>
      </c>
      <c r="M10" s="46">
        <f>+'6'!K93</f>
        <v>205</v>
      </c>
      <c r="N10" s="46">
        <f>+'6'!K98</f>
        <v>0</v>
      </c>
      <c r="O10" s="66"/>
      <c r="P10" s="46">
        <f>+'6'!K94</f>
        <v>0</v>
      </c>
      <c r="Q10" s="46">
        <f>+'6'!K97</f>
        <v>0</v>
      </c>
      <c r="R10" s="46">
        <f>+'6'!K95</f>
        <v>0</v>
      </c>
      <c r="S10" s="46">
        <f t="shared" si="3"/>
        <v>205</v>
      </c>
      <c r="T10" s="46">
        <f>+'6'!K100</f>
        <v>205</v>
      </c>
      <c r="U10" s="47">
        <f>+S10-T10</f>
        <v>0</v>
      </c>
      <c r="V10" s="3"/>
    </row>
    <row r="11" spans="1:22">
      <c r="A11" s="8">
        <v>7</v>
      </c>
      <c r="B11" s="9" t="s">
        <v>60</v>
      </c>
      <c r="C11" s="10">
        <f>+ยกมา!C10</f>
        <v>9</v>
      </c>
      <c r="D11" s="11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1" s="10">
        <f t="shared" si="0"/>
        <v>9</v>
      </c>
      <c r="F11" s="11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9</v>
      </c>
      <c r="G11" s="10">
        <f t="shared" si="1"/>
        <v>0</v>
      </c>
      <c r="H11" s="11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1" s="57">
        <v>120</v>
      </c>
      <c r="J11" s="11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1" s="15"/>
      <c r="L11" s="14">
        <v>7</v>
      </c>
      <c r="M11" s="85">
        <f>+'7'!K93</f>
        <v>0</v>
      </c>
      <c r="N11" s="85">
        <f>+'7'!K98</f>
        <v>0</v>
      </c>
      <c r="O11" s="86"/>
      <c r="P11" s="85">
        <f>+'7'!K94</f>
        <v>0</v>
      </c>
      <c r="Q11" s="85">
        <f>+'7'!K97</f>
        <v>0</v>
      </c>
      <c r="R11" s="85">
        <f>+'7'!K95</f>
        <v>0</v>
      </c>
      <c r="S11" s="85">
        <f t="shared" si="3"/>
        <v>0</v>
      </c>
      <c r="T11" s="85">
        <f>+'7'!K100</f>
        <v>0</v>
      </c>
      <c r="U11" s="85">
        <f>+T11-S11</f>
        <v>0</v>
      </c>
      <c r="V11" s="3"/>
    </row>
    <row r="12" spans="1:22">
      <c r="A12" s="8">
        <v>8</v>
      </c>
      <c r="B12" s="9" t="s">
        <v>61</v>
      </c>
      <c r="C12" s="10">
        <f>+ยกมา!C11</f>
        <v>23</v>
      </c>
      <c r="D12" s="11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2" s="10">
        <f t="shared" si="0"/>
        <v>23</v>
      </c>
      <c r="F12" s="11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10</v>
      </c>
      <c r="G12" s="10">
        <f t="shared" si="1"/>
        <v>-3</v>
      </c>
      <c r="H12" s="11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16</v>
      </c>
      <c r="I12" s="57">
        <v>55</v>
      </c>
      <c r="J12" s="11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880</v>
      </c>
      <c r="K12" s="15"/>
      <c r="L12" s="14">
        <v>8</v>
      </c>
      <c r="M12" s="47">
        <f>+'8'!K93</f>
        <v>105</v>
      </c>
      <c r="N12" s="47">
        <f>+'8'!K98</f>
        <v>0</v>
      </c>
      <c r="O12" s="67"/>
      <c r="P12" s="47">
        <f>+'8'!K94</f>
        <v>0</v>
      </c>
      <c r="Q12" s="47">
        <f>+'8'!K97</f>
        <v>0</v>
      </c>
      <c r="R12" s="47">
        <f>+'8'!K95</f>
        <v>0</v>
      </c>
      <c r="S12" s="46">
        <f t="shared" si="3"/>
        <v>105</v>
      </c>
      <c r="T12" s="47">
        <f>+'8'!K100</f>
        <v>105</v>
      </c>
      <c r="U12" s="47">
        <f t="shared" ref="U12:U16" si="4">+T12-S12</f>
        <v>0</v>
      </c>
      <c r="V12" s="3"/>
    </row>
    <row r="13" spans="1:22">
      <c r="A13" s="8">
        <v>9</v>
      </c>
      <c r="B13" s="16" t="s">
        <v>62</v>
      </c>
      <c r="C13" s="10">
        <f>+ยกมา!C12</f>
        <v>17</v>
      </c>
      <c r="D13" s="11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20</v>
      </c>
      <c r="E13" s="10">
        <f t="shared" si="0"/>
        <v>37</v>
      </c>
      <c r="F13" s="11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7</v>
      </c>
      <c r="G13" s="10">
        <f t="shared" si="1"/>
        <v>18</v>
      </c>
      <c r="H13" s="11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12</v>
      </c>
      <c r="I13" s="56">
        <v>100</v>
      </c>
      <c r="J13" s="11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1200</v>
      </c>
      <c r="K13" s="15"/>
      <c r="L13" s="14">
        <v>9</v>
      </c>
      <c r="M13" s="47">
        <f>+'9'!K93</f>
        <v>500</v>
      </c>
      <c r="N13" s="47">
        <f>+'9'!K98</f>
        <v>200</v>
      </c>
      <c r="O13" s="67"/>
      <c r="P13" s="47">
        <f>+'9'!K94</f>
        <v>0</v>
      </c>
      <c r="Q13" s="47">
        <f>+'9'!K97</f>
        <v>0</v>
      </c>
      <c r="R13" s="47">
        <f>+'9'!K95</f>
        <v>0</v>
      </c>
      <c r="S13" s="46">
        <f t="shared" si="3"/>
        <v>300</v>
      </c>
      <c r="T13" s="47">
        <f>+'9'!K100</f>
        <v>300</v>
      </c>
      <c r="U13" s="47">
        <f t="shared" si="4"/>
        <v>0</v>
      </c>
      <c r="V13" s="3"/>
    </row>
    <row r="14" spans="1:22">
      <c r="A14" s="8">
        <v>10</v>
      </c>
      <c r="B14" s="9" t="s">
        <v>63</v>
      </c>
      <c r="C14" s="10">
        <f>+ยกมา!C13</f>
        <v>11</v>
      </c>
      <c r="D14" s="11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4" s="10">
        <f t="shared" si="0"/>
        <v>11</v>
      </c>
      <c r="F14" s="11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13</v>
      </c>
      <c r="G14" s="10">
        <f t="shared" si="1"/>
        <v>-20</v>
      </c>
      <c r="H14" s="11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18</v>
      </c>
      <c r="I14" s="57">
        <v>100</v>
      </c>
      <c r="J14" s="11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1800</v>
      </c>
      <c r="K14" s="15"/>
      <c r="L14" s="14">
        <v>10</v>
      </c>
      <c r="M14" s="47">
        <f>+'10'!K93</f>
        <v>605</v>
      </c>
      <c r="N14" s="47">
        <f>+'10'!K98</f>
        <v>100</v>
      </c>
      <c r="O14" s="47"/>
      <c r="P14" s="47">
        <f>+'10'!K94</f>
        <v>0</v>
      </c>
      <c r="Q14" s="47">
        <f>+'10'!K97</f>
        <v>0</v>
      </c>
      <c r="R14" s="47">
        <f>+'10'!K95</f>
        <v>0</v>
      </c>
      <c r="S14" s="46">
        <f t="shared" si="3"/>
        <v>505</v>
      </c>
      <c r="T14" s="47">
        <f>+'10'!K100</f>
        <v>505</v>
      </c>
      <c r="U14" s="47">
        <f t="shared" si="4"/>
        <v>0</v>
      </c>
      <c r="V14" s="3"/>
    </row>
    <row r="15" spans="1:22">
      <c r="A15" s="8">
        <v>11</v>
      </c>
      <c r="B15" s="9" t="s">
        <v>64</v>
      </c>
      <c r="C15" s="10">
        <f>+ยกมา!C14</f>
        <v>32</v>
      </c>
      <c r="D15" s="11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10</v>
      </c>
      <c r="E15" s="10">
        <f t="shared" si="0"/>
        <v>42</v>
      </c>
      <c r="F15" s="11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24</v>
      </c>
      <c r="G15" s="10">
        <f t="shared" si="1"/>
        <v>4</v>
      </c>
      <c r="H15" s="11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14</v>
      </c>
      <c r="I15" s="57">
        <v>100</v>
      </c>
      <c r="J15" s="11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1400</v>
      </c>
      <c r="K15" s="15"/>
      <c r="L15" s="14">
        <v>11</v>
      </c>
      <c r="M15" s="47">
        <f>+'11'!K93</f>
        <v>205</v>
      </c>
      <c r="N15" s="47">
        <f>+'11'!K98</f>
        <v>0</v>
      </c>
      <c r="O15" s="67"/>
      <c r="P15" s="47">
        <f>+'11'!K94</f>
        <v>0</v>
      </c>
      <c r="Q15" s="47">
        <f>+'11'!K97</f>
        <v>0</v>
      </c>
      <c r="R15" s="47">
        <f>+'11'!K95</f>
        <v>0</v>
      </c>
      <c r="S15" s="46">
        <f t="shared" si="3"/>
        <v>205</v>
      </c>
      <c r="T15" s="47">
        <f>+'11'!K100</f>
        <v>205</v>
      </c>
      <c r="U15" s="47">
        <f t="shared" si="4"/>
        <v>0</v>
      </c>
      <c r="V15" s="3"/>
    </row>
    <row r="16" spans="1:22">
      <c r="A16" s="8">
        <v>12</v>
      </c>
      <c r="B16" s="9" t="s">
        <v>65</v>
      </c>
      <c r="C16" s="10">
        <f>+ยกมา!C15</f>
        <v>-1</v>
      </c>
      <c r="D16" s="11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5</v>
      </c>
      <c r="E16" s="10">
        <f t="shared" si="0"/>
        <v>4</v>
      </c>
      <c r="F16" s="11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2</v>
      </c>
      <c r="G16" s="10">
        <f t="shared" si="1"/>
        <v>0</v>
      </c>
      <c r="H16" s="11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</v>
      </c>
      <c r="I16" s="57">
        <v>50</v>
      </c>
      <c r="J16" s="11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100</v>
      </c>
      <c r="K16" s="15"/>
      <c r="L16" s="14">
        <v>12</v>
      </c>
      <c r="M16" s="46">
        <f>+'12'!K93</f>
        <v>310</v>
      </c>
      <c r="N16" s="46">
        <f>+'12'!K98</f>
        <v>0</v>
      </c>
      <c r="O16" s="66"/>
      <c r="P16" s="46">
        <f>+'12'!K94</f>
        <v>0</v>
      </c>
      <c r="Q16" s="46">
        <f>+'12'!K97</f>
        <v>0</v>
      </c>
      <c r="R16" s="46">
        <f>+'12'!K95</f>
        <v>0</v>
      </c>
      <c r="S16" s="46">
        <f t="shared" si="3"/>
        <v>310</v>
      </c>
      <c r="T16" s="46">
        <f>+'12'!K100</f>
        <v>305</v>
      </c>
      <c r="U16" s="47">
        <f t="shared" si="4"/>
        <v>-5</v>
      </c>
      <c r="V16" s="3"/>
    </row>
    <row r="17" spans="1:22">
      <c r="A17" s="8">
        <v>13</v>
      </c>
      <c r="B17" s="9" t="s">
        <v>66</v>
      </c>
      <c r="C17" s="10">
        <f>+ยกมา!C16</f>
        <v>0</v>
      </c>
      <c r="D17" s="11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7" s="10">
        <f t="shared" si="0"/>
        <v>0</v>
      </c>
      <c r="F17" s="11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7" s="10">
        <f t="shared" si="1"/>
        <v>0</v>
      </c>
      <c r="H17" s="11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7" s="57">
        <v>120</v>
      </c>
      <c r="J17" s="11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7" s="15"/>
      <c r="L17" s="14">
        <v>13</v>
      </c>
      <c r="M17" s="46">
        <f>+'13'!K93</f>
        <v>620</v>
      </c>
      <c r="N17" s="46">
        <f>+'13'!K98</f>
        <v>100</v>
      </c>
      <c r="O17" s="66"/>
      <c r="P17" s="46">
        <f>+'13'!K94</f>
        <v>0</v>
      </c>
      <c r="Q17" s="46">
        <f>+'13'!K97</f>
        <v>0</v>
      </c>
      <c r="R17" s="46">
        <f>+'13'!K95</f>
        <v>0</v>
      </c>
      <c r="S17" s="46">
        <f t="shared" si="3"/>
        <v>520</v>
      </c>
      <c r="T17" s="46">
        <f>+'13'!K100</f>
        <v>520</v>
      </c>
      <c r="U17" s="47">
        <f>T17-S17</f>
        <v>0</v>
      </c>
      <c r="V17" s="3"/>
    </row>
    <row r="18" spans="1:22">
      <c r="A18" s="8">
        <v>14</v>
      </c>
      <c r="B18" s="9" t="s">
        <v>67</v>
      </c>
      <c r="C18" s="10">
        <f>+ยกมา!C17</f>
        <v>16</v>
      </c>
      <c r="D18" s="11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8" s="10">
        <f t="shared" si="0"/>
        <v>16</v>
      </c>
      <c r="F18" s="11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14</v>
      </c>
      <c r="G18" s="10">
        <f t="shared" si="1"/>
        <v>-3</v>
      </c>
      <c r="H18" s="11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5</v>
      </c>
      <c r="I18" s="57">
        <v>50</v>
      </c>
      <c r="J18" s="11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250</v>
      </c>
      <c r="K18" s="15"/>
      <c r="L18" s="14">
        <v>14</v>
      </c>
      <c r="M18" s="84">
        <f>+'14'!K93</f>
        <v>0</v>
      </c>
      <c r="N18" s="84">
        <f>+'14'!K98</f>
        <v>0</v>
      </c>
      <c r="O18" s="89"/>
      <c r="P18" s="84">
        <f>+'14'!K94</f>
        <v>0</v>
      </c>
      <c r="Q18" s="84">
        <f>+'14'!K97</f>
        <v>0</v>
      </c>
      <c r="R18" s="84">
        <f>+'14'!K95</f>
        <v>0</v>
      </c>
      <c r="S18" s="84">
        <f t="shared" si="3"/>
        <v>0</v>
      </c>
      <c r="T18" s="84">
        <f>+'14'!K100</f>
        <v>0</v>
      </c>
      <c r="U18" s="85">
        <f>+T18-S18</f>
        <v>0</v>
      </c>
      <c r="V18" s="3"/>
    </row>
    <row r="19" spans="1:22">
      <c r="A19" s="8">
        <v>15</v>
      </c>
      <c r="B19" s="9" t="s">
        <v>68</v>
      </c>
      <c r="C19" s="10">
        <f>+ยกมา!C18</f>
        <v>0</v>
      </c>
      <c r="D19" s="11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9" s="10">
        <f t="shared" si="0"/>
        <v>0</v>
      </c>
      <c r="F19" s="11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9" s="10">
        <f t="shared" si="1"/>
        <v>0</v>
      </c>
      <c r="H19" s="11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9" s="56">
        <v>55</v>
      </c>
      <c r="J19" s="11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9" s="15"/>
      <c r="L19" s="14">
        <v>15</v>
      </c>
      <c r="M19" s="46">
        <f>+'15'!K93</f>
        <v>100</v>
      </c>
      <c r="N19" s="46">
        <f>+'15'!K98</f>
        <v>0</v>
      </c>
      <c r="O19" s="83"/>
      <c r="P19" s="46">
        <f>+'15'!K94</f>
        <v>0</v>
      </c>
      <c r="Q19" s="46">
        <f>+'15'!K97</f>
        <v>0</v>
      </c>
      <c r="R19" s="46">
        <f>+'15'!K95</f>
        <v>0</v>
      </c>
      <c r="S19" s="46">
        <f t="shared" si="3"/>
        <v>100</v>
      </c>
      <c r="T19" s="46">
        <f>+'15'!K100</f>
        <v>100</v>
      </c>
      <c r="U19" s="47">
        <f t="shared" ref="U19:U23" si="5">+T19-S19</f>
        <v>0</v>
      </c>
      <c r="V19" s="3"/>
    </row>
    <row r="20" spans="1:22">
      <c r="A20" s="8">
        <v>16</v>
      </c>
      <c r="B20" s="9" t="s">
        <v>69</v>
      </c>
      <c r="C20" s="10">
        <f>+ยกมา!C19</f>
        <v>0</v>
      </c>
      <c r="D20" s="11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20" s="10">
        <f t="shared" si="0"/>
        <v>0</v>
      </c>
      <c r="F20" s="11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1</v>
      </c>
      <c r="G20" s="10">
        <f t="shared" si="1"/>
        <v>-2</v>
      </c>
      <c r="H20" s="11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</v>
      </c>
      <c r="I20" s="56">
        <v>100</v>
      </c>
      <c r="J20" s="11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100</v>
      </c>
      <c r="K20" s="15"/>
      <c r="L20" s="14">
        <v>16</v>
      </c>
      <c r="M20" s="87">
        <f>+'16'!K93</f>
        <v>0</v>
      </c>
      <c r="N20" s="87">
        <f>+'16'!K98</f>
        <v>0</v>
      </c>
      <c r="O20" s="87" t="s">
        <v>122</v>
      </c>
      <c r="P20" s="87">
        <f>+'16'!K94</f>
        <v>0</v>
      </c>
      <c r="Q20" s="87">
        <f>+'16'!K97</f>
        <v>0</v>
      </c>
      <c r="R20" s="87">
        <f>+'16'!K95</f>
        <v>0</v>
      </c>
      <c r="S20" s="87">
        <f t="shared" si="3"/>
        <v>0</v>
      </c>
      <c r="T20" s="87">
        <f>+'16'!K100</f>
        <v>0</v>
      </c>
      <c r="U20" s="88">
        <f t="shared" si="5"/>
        <v>0</v>
      </c>
      <c r="V20" s="3"/>
    </row>
    <row r="21" spans="1:22">
      <c r="A21" s="8">
        <v>17</v>
      </c>
      <c r="B21" s="9" t="s">
        <v>70</v>
      </c>
      <c r="C21" s="10">
        <f>+ยกมา!C20</f>
        <v>0</v>
      </c>
      <c r="D21" s="11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1" s="10">
        <f t="shared" si="0"/>
        <v>0</v>
      </c>
      <c r="F21" s="11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1" s="10">
        <f t="shared" si="1"/>
        <v>0</v>
      </c>
      <c r="H21" s="11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1" s="56">
        <v>120</v>
      </c>
      <c r="J21" s="11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1" s="15"/>
      <c r="L21" s="14">
        <v>17</v>
      </c>
      <c r="M21" s="46">
        <f>+'17'!K93</f>
        <v>100</v>
      </c>
      <c r="N21" s="46">
        <f>+'17'!K98</f>
        <v>0</v>
      </c>
      <c r="O21" s="46"/>
      <c r="P21" s="46">
        <f>+'17'!K94</f>
        <v>0</v>
      </c>
      <c r="Q21" s="46">
        <f>+'17'!K97</f>
        <v>0</v>
      </c>
      <c r="R21" s="46">
        <f>+'17'!K95</f>
        <v>0</v>
      </c>
      <c r="S21" s="46">
        <f t="shared" si="3"/>
        <v>100</v>
      </c>
      <c r="T21" s="46">
        <f>+'17'!K100</f>
        <v>105</v>
      </c>
      <c r="U21" s="47">
        <f t="shared" si="5"/>
        <v>5</v>
      </c>
      <c r="V21" s="3"/>
    </row>
    <row r="22" spans="1:22">
      <c r="A22" s="8">
        <v>18</v>
      </c>
      <c r="B22" s="16" t="s">
        <v>71</v>
      </c>
      <c r="C22" s="10">
        <f>+ยกมา!C21</f>
        <v>8</v>
      </c>
      <c r="D22" s="11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2" s="10">
        <f t="shared" si="0"/>
        <v>8</v>
      </c>
      <c r="F22" s="11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2" s="10">
        <f t="shared" si="1"/>
        <v>8</v>
      </c>
      <c r="H22" s="11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2" s="56">
        <v>50</v>
      </c>
      <c r="J22" s="11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2" s="15"/>
      <c r="L22" s="14">
        <v>18</v>
      </c>
      <c r="M22" s="46">
        <f>+'18'!K93</f>
        <v>405</v>
      </c>
      <c r="N22" s="46">
        <f>+'18'!K98</f>
        <v>0</v>
      </c>
      <c r="O22" s="66"/>
      <c r="P22" s="46">
        <f>+'18'!K94</f>
        <v>0</v>
      </c>
      <c r="Q22" s="46">
        <f>+'18'!K97</f>
        <v>0</v>
      </c>
      <c r="R22" s="46">
        <f>+'18'!K95</f>
        <v>0</v>
      </c>
      <c r="S22" s="46">
        <f t="shared" si="3"/>
        <v>405</v>
      </c>
      <c r="T22" s="46">
        <f>+'18'!K100</f>
        <v>405</v>
      </c>
      <c r="U22" s="47">
        <f t="shared" si="5"/>
        <v>0</v>
      </c>
      <c r="V22" s="3"/>
    </row>
    <row r="23" spans="1:22">
      <c r="A23" s="8">
        <v>19</v>
      </c>
      <c r="B23" s="16" t="s">
        <v>72</v>
      </c>
      <c r="C23" s="10">
        <f>+ยกมา!C22</f>
        <v>0</v>
      </c>
      <c r="D23" s="11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3" s="10">
        <f t="shared" si="0"/>
        <v>0</v>
      </c>
      <c r="F23" s="11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3" s="10">
        <f t="shared" si="1"/>
        <v>0</v>
      </c>
      <c r="H23" s="11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3" s="56">
        <v>120</v>
      </c>
      <c r="J23" s="11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3" s="15"/>
      <c r="L23" s="14">
        <v>19</v>
      </c>
      <c r="M23" s="46">
        <f>+'19'!K93</f>
        <v>205</v>
      </c>
      <c r="N23" s="46">
        <f>+'19'!K98</f>
        <v>0</v>
      </c>
      <c r="O23" s="66"/>
      <c r="P23" s="46">
        <f>+'19'!K94</f>
        <v>0</v>
      </c>
      <c r="Q23" s="46">
        <f>+'19'!K97</f>
        <v>0</v>
      </c>
      <c r="R23" s="46">
        <f>+'19'!K95</f>
        <v>0</v>
      </c>
      <c r="S23" s="46">
        <f t="shared" si="3"/>
        <v>205</v>
      </c>
      <c r="T23" s="46">
        <f>+'19'!K100</f>
        <v>205</v>
      </c>
      <c r="U23" s="47">
        <f t="shared" si="5"/>
        <v>0</v>
      </c>
      <c r="V23" s="3"/>
    </row>
    <row r="24" spans="1:22">
      <c r="A24" s="8">
        <v>20</v>
      </c>
      <c r="B24" s="9" t="s">
        <v>73</v>
      </c>
      <c r="C24" s="10">
        <f>+ยกมา!C23</f>
        <v>0</v>
      </c>
      <c r="D24" s="11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0</v>
      </c>
      <c r="E24" s="10">
        <f t="shared" si="0"/>
        <v>0</v>
      </c>
      <c r="F24" s="11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4" s="10">
        <f t="shared" si="1"/>
        <v>0</v>
      </c>
      <c r="H24" s="11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4" s="57">
        <v>185</v>
      </c>
      <c r="J24" s="11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4" s="15"/>
      <c r="L24" s="14">
        <v>20</v>
      </c>
      <c r="M24" s="87">
        <f>+'20'!K93</f>
        <v>0</v>
      </c>
      <c r="N24" s="87">
        <f>+'20'!K98</f>
        <v>0</v>
      </c>
      <c r="O24" s="90" t="s">
        <v>122</v>
      </c>
      <c r="P24" s="87">
        <f>+K36</f>
        <v>0</v>
      </c>
      <c r="Q24" s="87">
        <f>+'20'!K97</f>
        <v>0</v>
      </c>
      <c r="R24" s="87">
        <f>+'20'!K95</f>
        <v>0</v>
      </c>
      <c r="S24" s="87">
        <f t="shared" si="3"/>
        <v>0</v>
      </c>
      <c r="T24" s="87">
        <f>+'20'!K100</f>
        <v>0</v>
      </c>
      <c r="U24" s="88">
        <f>T24-S24</f>
        <v>0</v>
      </c>
      <c r="V24" s="3"/>
    </row>
    <row r="25" spans="1:22">
      <c r="A25" s="8">
        <v>21</v>
      </c>
      <c r="B25" s="9" t="s">
        <v>74</v>
      </c>
      <c r="C25" s="10">
        <f>+ยกมา!C24</f>
        <v>0</v>
      </c>
      <c r="D25" s="11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5" s="10">
        <f t="shared" si="0"/>
        <v>0</v>
      </c>
      <c r="F25" s="11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5" s="10">
        <f t="shared" si="1"/>
        <v>0</v>
      </c>
      <c r="H25" s="11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5" s="57">
        <v>50</v>
      </c>
      <c r="J25" s="11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5" s="15"/>
      <c r="L25" s="14">
        <v>21</v>
      </c>
      <c r="M25" s="84">
        <f>+'21'!K93</f>
        <v>0</v>
      </c>
      <c r="N25" s="84">
        <f>+'21'!K98</f>
        <v>0</v>
      </c>
      <c r="O25" s="84"/>
      <c r="P25" s="84">
        <f>+'21'!K94</f>
        <v>0</v>
      </c>
      <c r="Q25" s="84">
        <f>+'21'!K97</f>
        <v>0</v>
      </c>
      <c r="R25" s="84">
        <f>+'21'!K95</f>
        <v>0</v>
      </c>
      <c r="S25" s="84">
        <f t="shared" si="3"/>
        <v>0</v>
      </c>
      <c r="T25" s="84">
        <f>+'21'!K100</f>
        <v>0</v>
      </c>
      <c r="U25" s="85">
        <f>+T25-S25</f>
        <v>0</v>
      </c>
      <c r="V25" s="3"/>
    </row>
    <row r="26" spans="1:22">
      <c r="A26" s="8">
        <v>22</v>
      </c>
      <c r="B26" s="9" t="s">
        <v>75</v>
      </c>
      <c r="C26" s="10">
        <f>+ยกมา!C25</f>
        <v>8</v>
      </c>
      <c r="D26" s="11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6" s="10">
        <f t="shared" si="0"/>
        <v>8</v>
      </c>
      <c r="F26" s="11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6" s="10">
        <f t="shared" si="1"/>
        <v>8</v>
      </c>
      <c r="H26" s="11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6" s="57">
        <v>50</v>
      </c>
      <c r="J26" s="11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6" s="15"/>
      <c r="L26" s="14">
        <v>22</v>
      </c>
      <c r="M26" s="46">
        <f>+'22'!K93</f>
        <v>405</v>
      </c>
      <c r="N26" s="46">
        <f>+'22'!K98</f>
        <v>0</v>
      </c>
      <c r="O26" s="67"/>
      <c r="P26" s="46">
        <f>+'22'!K94</f>
        <v>0</v>
      </c>
      <c r="Q26" s="46">
        <f>+'22'!K97</f>
        <v>0</v>
      </c>
      <c r="R26" s="46">
        <f>+'22'!K95</f>
        <v>0</v>
      </c>
      <c r="S26" s="46">
        <f t="shared" si="3"/>
        <v>405</v>
      </c>
      <c r="T26" s="46">
        <f>+'22'!K100</f>
        <v>405</v>
      </c>
      <c r="U26" s="47">
        <f t="shared" ref="U26:U35" si="6">+T26-S26</f>
        <v>0</v>
      </c>
      <c r="V26" s="3"/>
    </row>
    <row r="27" spans="1:22">
      <c r="A27" s="8">
        <v>23</v>
      </c>
      <c r="B27" s="9" t="s">
        <v>76</v>
      </c>
      <c r="C27" s="10">
        <f>+ยกมา!C26</f>
        <v>7</v>
      </c>
      <c r="D27" s="11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5</v>
      </c>
      <c r="E27" s="10">
        <f t="shared" si="0"/>
        <v>12</v>
      </c>
      <c r="F27" s="11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12</v>
      </c>
      <c r="G27" s="10">
        <f t="shared" si="1"/>
        <v>-6</v>
      </c>
      <c r="H27" s="11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6</v>
      </c>
      <c r="I27" s="57">
        <v>50</v>
      </c>
      <c r="J27" s="11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300</v>
      </c>
      <c r="K27" s="15"/>
      <c r="L27" s="14">
        <v>23</v>
      </c>
      <c r="M27" s="46">
        <f>+'23'!K93</f>
        <v>210</v>
      </c>
      <c r="N27" s="46">
        <f>+'23'!K98</f>
        <v>0</v>
      </c>
      <c r="O27" s="69"/>
      <c r="P27" s="46">
        <f>+'23'!K94</f>
        <v>0</v>
      </c>
      <c r="Q27" s="46">
        <f>+'23'!K97</f>
        <v>0</v>
      </c>
      <c r="R27" s="46">
        <f>+'23'!K95</f>
        <v>0</v>
      </c>
      <c r="S27" s="46">
        <f t="shared" si="3"/>
        <v>210</v>
      </c>
      <c r="T27" s="46">
        <f>+'23'!K100</f>
        <v>210</v>
      </c>
      <c r="U27" s="47">
        <f t="shared" si="6"/>
        <v>0</v>
      </c>
      <c r="V27" s="3"/>
    </row>
    <row r="28" spans="1:22">
      <c r="A28" s="8">
        <v>24</v>
      </c>
      <c r="B28" s="9" t="s">
        <v>77</v>
      </c>
      <c r="C28" s="10">
        <f>+ยกมา!C27</f>
        <v>2</v>
      </c>
      <c r="D28" s="11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15</v>
      </c>
      <c r="E28" s="10">
        <f t="shared" si="0"/>
        <v>17</v>
      </c>
      <c r="F28" s="11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8" s="10">
        <f t="shared" si="1"/>
        <v>13</v>
      </c>
      <c r="H28" s="11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4</v>
      </c>
      <c r="I28" s="57">
        <v>50</v>
      </c>
      <c r="J28" s="11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200</v>
      </c>
      <c r="K28" s="15"/>
      <c r="L28" s="14">
        <v>24</v>
      </c>
      <c r="M28" s="46">
        <f>+'24'!K93</f>
        <v>250</v>
      </c>
      <c r="N28" s="46">
        <f>+'24'!K98</f>
        <v>0</v>
      </c>
      <c r="O28" s="46"/>
      <c r="P28" s="46">
        <f>+'24'!K94</f>
        <v>0</v>
      </c>
      <c r="Q28" s="46">
        <f>+'24'!K97</f>
        <v>0</v>
      </c>
      <c r="R28" s="46">
        <f>+'24'!K95</f>
        <v>0</v>
      </c>
      <c r="S28" s="46">
        <f t="shared" si="3"/>
        <v>250</v>
      </c>
      <c r="T28" s="46">
        <f>+'24'!K100</f>
        <v>250</v>
      </c>
      <c r="U28" s="47">
        <f t="shared" si="6"/>
        <v>0</v>
      </c>
      <c r="V28" s="3"/>
    </row>
    <row r="29" spans="1:22">
      <c r="A29" s="8">
        <v>25</v>
      </c>
      <c r="B29" s="9" t="s">
        <v>78</v>
      </c>
      <c r="C29" s="10">
        <f>+ยกมา!C28</f>
        <v>0</v>
      </c>
      <c r="D29" s="11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10</v>
      </c>
      <c r="E29" s="10">
        <f t="shared" si="0"/>
        <v>10</v>
      </c>
      <c r="F29" s="11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9" s="10">
        <f t="shared" si="1"/>
        <v>10</v>
      </c>
      <c r="H29" s="11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9" s="57">
        <v>50</v>
      </c>
      <c r="J29" s="11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9" s="15"/>
      <c r="L29" s="14">
        <v>25</v>
      </c>
      <c r="M29" s="46">
        <f>+'25'!K93</f>
        <v>360</v>
      </c>
      <c r="N29" s="46">
        <f>+'25'!K98</f>
        <v>0</v>
      </c>
      <c r="O29" s="68"/>
      <c r="P29" s="46">
        <f>+'25'!K94</f>
        <v>0</v>
      </c>
      <c r="Q29" s="46">
        <f>+'25'!K97</f>
        <v>0</v>
      </c>
      <c r="R29" s="46">
        <f>+'25'!K95</f>
        <v>0</v>
      </c>
      <c r="S29" s="46">
        <f t="shared" si="3"/>
        <v>360</v>
      </c>
      <c r="T29" s="46">
        <f>+'25'!K100</f>
        <v>360</v>
      </c>
      <c r="U29" s="47">
        <f t="shared" si="6"/>
        <v>0</v>
      </c>
      <c r="V29" s="3"/>
    </row>
    <row r="30" spans="1:22">
      <c r="A30" s="8">
        <v>26</v>
      </c>
      <c r="B30" s="9" t="s">
        <v>79</v>
      </c>
      <c r="C30" s="10">
        <f>+ยกมา!C29</f>
        <v>0</v>
      </c>
      <c r="D30" s="11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30" s="10">
        <f t="shared" si="0"/>
        <v>0</v>
      </c>
      <c r="F30" s="11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30" s="10">
        <f t="shared" si="1"/>
        <v>0</v>
      </c>
      <c r="H30" s="11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30" s="57">
        <v>50</v>
      </c>
      <c r="J30" s="11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30" s="15"/>
      <c r="L30" s="14">
        <v>26</v>
      </c>
      <c r="M30" s="46">
        <f>+'26'!K93</f>
        <v>220</v>
      </c>
      <c r="N30" s="46">
        <f>+'26'!K98</f>
        <v>50</v>
      </c>
      <c r="O30" s="69"/>
      <c r="P30" s="46">
        <f>+'26'!K94</f>
        <v>0</v>
      </c>
      <c r="Q30" s="46">
        <f>+'26'!K97</f>
        <v>0</v>
      </c>
      <c r="R30" s="46">
        <f>+'26'!K95</f>
        <v>0</v>
      </c>
      <c r="S30" s="46">
        <f t="shared" si="3"/>
        <v>170</v>
      </c>
      <c r="T30" s="46">
        <f>+'26'!K100</f>
        <v>170</v>
      </c>
      <c r="U30" s="47">
        <f t="shared" si="6"/>
        <v>0</v>
      </c>
      <c r="V30" s="3"/>
    </row>
    <row r="31" spans="1:22">
      <c r="A31" s="8">
        <v>27</v>
      </c>
      <c r="B31" s="9" t="s">
        <v>80</v>
      </c>
      <c r="C31" s="10">
        <f>+ยกมา!C30</f>
        <v>0</v>
      </c>
      <c r="D31" s="11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1" s="10">
        <f t="shared" si="0"/>
        <v>0</v>
      </c>
      <c r="F31" s="11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1" s="10">
        <f t="shared" si="1"/>
        <v>0</v>
      </c>
      <c r="H31" s="11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1" s="57">
        <v>50</v>
      </c>
      <c r="J31" s="11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1" s="15"/>
      <c r="L31" s="14">
        <v>27</v>
      </c>
      <c r="M31" s="46">
        <f>+'27'!K93</f>
        <v>460</v>
      </c>
      <c r="N31" s="46">
        <f>+'27'!K98</f>
        <v>200</v>
      </c>
      <c r="O31" s="66"/>
      <c r="P31" s="46">
        <f>+'27'!K94</f>
        <v>0</v>
      </c>
      <c r="Q31" s="46">
        <f>+'27'!K97</f>
        <v>0</v>
      </c>
      <c r="R31" s="46">
        <f>+'27'!K95</f>
        <v>0</v>
      </c>
      <c r="S31" s="46">
        <f t="shared" si="3"/>
        <v>260</v>
      </c>
      <c r="T31" s="46">
        <f>+'27'!K100</f>
        <v>260</v>
      </c>
      <c r="U31" s="47">
        <f t="shared" si="6"/>
        <v>0</v>
      </c>
      <c r="V31" s="3"/>
    </row>
    <row r="32" spans="1:22">
      <c r="A32" s="8">
        <v>28</v>
      </c>
      <c r="B32" s="9" t="s">
        <v>81</v>
      </c>
      <c r="C32" s="10">
        <f>+ยกมา!C31</f>
        <v>0</v>
      </c>
      <c r="D32" s="11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2" s="10">
        <f t="shared" si="0"/>
        <v>0</v>
      </c>
      <c r="F32" s="11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2" s="10">
        <f t="shared" si="1"/>
        <v>0</v>
      </c>
      <c r="H32" s="11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2" s="57">
        <v>50</v>
      </c>
      <c r="J32" s="11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2" s="15"/>
      <c r="L32" s="14">
        <v>28</v>
      </c>
      <c r="M32" s="84">
        <f>+'28'!K93</f>
        <v>0</v>
      </c>
      <c r="N32" s="84">
        <f>+'28'!K98</f>
        <v>0</v>
      </c>
      <c r="O32" s="111" t="s">
        <v>130</v>
      </c>
      <c r="P32" s="84">
        <f>+'28'!K94</f>
        <v>0</v>
      </c>
      <c r="Q32" s="84">
        <f>+'28'!K97</f>
        <v>0</v>
      </c>
      <c r="R32" s="84">
        <f>+'28'!K95</f>
        <v>0</v>
      </c>
      <c r="S32" s="84">
        <f t="shared" si="3"/>
        <v>0</v>
      </c>
      <c r="T32" s="84">
        <f>+'28'!K100</f>
        <v>0</v>
      </c>
      <c r="U32" s="85">
        <f t="shared" si="6"/>
        <v>0</v>
      </c>
      <c r="V32" s="3"/>
    </row>
    <row r="33" spans="1:22">
      <c r="A33" s="8">
        <v>29</v>
      </c>
      <c r="B33" s="16" t="s">
        <v>82</v>
      </c>
      <c r="C33" s="10">
        <f>+ยกมา!C32</f>
        <v>13</v>
      </c>
      <c r="D33" s="11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3" s="10">
        <f t="shared" si="0"/>
        <v>13</v>
      </c>
      <c r="F33" s="11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3" s="10">
        <f t="shared" si="1"/>
        <v>13</v>
      </c>
      <c r="H33" s="11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3" s="57">
        <v>45</v>
      </c>
      <c r="J33" s="11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3" s="15"/>
      <c r="L33" s="14">
        <v>29</v>
      </c>
      <c r="M33" s="84">
        <f>+'29'!K93</f>
        <v>0</v>
      </c>
      <c r="N33" s="84">
        <f>+'29'!K98</f>
        <v>0</v>
      </c>
      <c r="O33" s="112"/>
      <c r="P33" s="84">
        <f>+'29'!K94</f>
        <v>0</v>
      </c>
      <c r="Q33" s="84">
        <f>+'29'!K97</f>
        <v>0</v>
      </c>
      <c r="R33" s="84">
        <f>+'29'!K95</f>
        <v>0</v>
      </c>
      <c r="S33" s="84">
        <f t="shared" si="3"/>
        <v>0</v>
      </c>
      <c r="T33" s="84">
        <f>+'29'!K100</f>
        <v>0</v>
      </c>
      <c r="U33" s="85">
        <f t="shared" si="6"/>
        <v>0</v>
      </c>
      <c r="V33" s="3"/>
    </row>
    <row r="34" spans="1:22">
      <c r="A34" s="8">
        <v>30</v>
      </c>
      <c r="B34" s="16" t="s">
        <v>83</v>
      </c>
      <c r="C34" s="10">
        <f>+ยกมา!C33</f>
        <v>13</v>
      </c>
      <c r="D34" s="11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4" s="10">
        <f t="shared" si="0"/>
        <v>13</v>
      </c>
      <c r="F34" s="11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4" s="10">
        <f t="shared" si="1"/>
        <v>13</v>
      </c>
      <c r="H34" s="11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4" s="57">
        <v>200</v>
      </c>
      <c r="J34" s="11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4" s="15"/>
      <c r="L34" s="14">
        <v>30</v>
      </c>
      <c r="M34" s="84">
        <f>+'30'!K93</f>
        <v>0</v>
      </c>
      <c r="N34" s="84">
        <f>+'30'!K98</f>
        <v>0</v>
      </c>
      <c r="O34" s="112"/>
      <c r="P34" s="84">
        <f>+'30'!K94</f>
        <v>0</v>
      </c>
      <c r="Q34" s="84">
        <f>+'30'!K97</f>
        <v>0</v>
      </c>
      <c r="R34" s="84">
        <f>+'30'!K95</f>
        <v>0</v>
      </c>
      <c r="S34" s="84">
        <f t="shared" si="3"/>
        <v>0</v>
      </c>
      <c r="T34" s="84">
        <f>+'30'!K100</f>
        <v>0</v>
      </c>
      <c r="U34" s="85">
        <f t="shared" si="6"/>
        <v>0</v>
      </c>
      <c r="V34" s="3"/>
    </row>
    <row r="35" spans="1:22">
      <c r="A35" s="8">
        <v>31</v>
      </c>
      <c r="B35" s="16" t="s">
        <v>84</v>
      </c>
      <c r="C35" s="10">
        <f>+ยกมา!C34</f>
        <v>0</v>
      </c>
      <c r="D35" s="11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5" s="10">
        <f t="shared" si="0"/>
        <v>0</v>
      </c>
      <c r="F35" s="11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5" s="10">
        <f t="shared" si="1"/>
        <v>0</v>
      </c>
      <c r="H35" s="11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5" s="57">
        <v>150</v>
      </c>
      <c r="J35" s="11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5" s="15"/>
      <c r="L35" s="14">
        <v>31</v>
      </c>
      <c r="M35" s="84">
        <f>+'31'!K93</f>
        <v>0</v>
      </c>
      <c r="N35" s="84">
        <f>+'31'!K98</f>
        <v>0</v>
      </c>
      <c r="O35" s="113"/>
      <c r="P35" s="84">
        <f>+'31'!K94</f>
        <v>0</v>
      </c>
      <c r="Q35" s="84">
        <f>+'31'!K97</f>
        <v>0</v>
      </c>
      <c r="R35" s="84">
        <f>+'31'!K95</f>
        <v>0</v>
      </c>
      <c r="S35" s="84">
        <f t="shared" si="3"/>
        <v>0</v>
      </c>
      <c r="T35" s="84">
        <f>+'31'!K100</f>
        <v>0</v>
      </c>
      <c r="U35" s="85">
        <f t="shared" si="6"/>
        <v>0</v>
      </c>
      <c r="V35" s="3"/>
    </row>
    <row r="36" spans="1:22">
      <c r="A36" s="8">
        <v>32</v>
      </c>
      <c r="B36" s="16" t="s">
        <v>85</v>
      </c>
      <c r="C36" s="10">
        <f>+ยกมา!C35</f>
        <v>0</v>
      </c>
      <c r="D36" s="11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6" s="10">
        <f t="shared" si="0"/>
        <v>0</v>
      </c>
      <c r="F36" s="11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6" s="10">
        <f t="shared" si="1"/>
        <v>0</v>
      </c>
      <c r="H36" s="11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6" s="57">
        <v>250</v>
      </c>
      <c r="J36" s="11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6" s="15"/>
      <c r="L36" s="17" t="s">
        <v>7</v>
      </c>
      <c r="M36" s="18">
        <f>SUM(M5:M35)</f>
        <v>7990</v>
      </c>
      <c r="N36" s="18">
        <f t="shared" ref="N36:U36" si="7">SUM(N5:N35)</f>
        <v>1550</v>
      </c>
      <c r="O36" s="18">
        <f t="shared" si="7"/>
        <v>0</v>
      </c>
      <c r="P36" s="18">
        <f t="shared" si="7"/>
        <v>0</v>
      </c>
      <c r="Q36" s="18">
        <f t="shared" si="7"/>
        <v>0</v>
      </c>
      <c r="R36" s="18">
        <f t="shared" si="7"/>
        <v>0</v>
      </c>
      <c r="S36" s="18">
        <f t="shared" si="7"/>
        <v>6440</v>
      </c>
      <c r="T36" s="18">
        <f>SUM(T5:T35)</f>
        <v>6440</v>
      </c>
      <c r="U36" s="18">
        <f t="shared" si="7"/>
        <v>0</v>
      </c>
      <c r="V36" s="3"/>
    </row>
    <row r="37" spans="1:22">
      <c r="A37" s="8">
        <v>33</v>
      </c>
      <c r="B37" s="16" t="s">
        <v>86</v>
      </c>
      <c r="C37" s="10">
        <f>+ยกมา!C36</f>
        <v>0</v>
      </c>
      <c r="D37" s="11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7" s="10">
        <f t="shared" si="0"/>
        <v>0</v>
      </c>
      <c r="F37" s="11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7" s="10">
        <f t="shared" si="1"/>
        <v>0</v>
      </c>
      <c r="H37" s="11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7" s="57">
        <v>250</v>
      </c>
      <c r="J37" s="11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7" s="15"/>
      <c r="P37" s="19"/>
      <c r="S37" s="19"/>
      <c r="U37" s="3"/>
    </row>
    <row r="38" spans="1:22">
      <c r="A38" s="8">
        <v>34</v>
      </c>
      <c r="B38" s="16" t="s">
        <v>87</v>
      </c>
      <c r="C38" s="10">
        <f>+ยกมา!C37</f>
        <v>0</v>
      </c>
      <c r="D38" s="11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8" s="10">
        <f t="shared" si="0"/>
        <v>0</v>
      </c>
      <c r="F38" s="11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8" s="10">
        <f t="shared" si="1"/>
        <v>0</v>
      </c>
      <c r="H38" s="11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8" s="57">
        <v>250</v>
      </c>
      <c r="J38" s="11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0</v>
      </c>
      <c r="K38" s="15"/>
      <c r="M38" s="20"/>
      <c r="N38" s="19"/>
      <c r="U38" s="3"/>
    </row>
    <row r="39" spans="1:22">
      <c r="A39" s="8">
        <v>35</v>
      </c>
      <c r="B39" s="16" t="s">
        <v>88</v>
      </c>
      <c r="C39" s="10">
        <f>+ยกมา!C38</f>
        <v>1</v>
      </c>
      <c r="D39" s="11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9" s="10">
        <f t="shared" si="0"/>
        <v>1</v>
      </c>
      <c r="F39" s="11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9" s="10">
        <f t="shared" si="1"/>
        <v>1</v>
      </c>
      <c r="H39" s="11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9" s="57">
        <v>150</v>
      </c>
      <c r="J39" s="11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0</v>
      </c>
      <c r="K39" s="15"/>
      <c r="M39" s="20"/>
      <c r="N39" s="19"/>
      <c r="U39" s="3"/>
    </row>
    <row r="40" spans="1:22">
      <c r="A40" s="8">
        <v>36</v>
      </c>
      <c r="B40" s="16" t="s">
        <v>89</v>
      </c>
      <c r="C40" s="10">
        <f>+ยกมา!C39</f>
        <v>0</v>
      </c>
      <c r="D40" s="11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40" s="10">
        <f t="shared" si="0"/>
        <v>0</v>
      </c>
      <c r="F40" s="11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40" s="10">
        <f t="shared" si="1"/>
        <v>0</v>
      </c>
      <c r="H40" s="11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40" s="57">
        <v>60</v>
      </c>
      <c r="J40" s="11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40" s="15"/>
      <c r="M40" s="20"/>
      <c r="N40" s="19"/>
      <c r="U40" s="3"/>
    </row>
    <row r="41" spans="1:22">
      <c r="A41" s="8">
        <v>37</v>
      </c>
      <c r="B41" s="16" t="s">
        <v>90</v>
      </c>
      <c r="C41" s="10">
        <f>+ยกมา!C40</f>
        <v>0</v>
      </c>
      <c r="D41" s="11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1" s="10">
        <f t="shared" si="0"/>
        <v>0</v>
      </c>
      <c r="F41" s="11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1" s="10">
        <f t="shared" si="1"/>
        <v>0</v>
      </c>
      <c r="H41" s="11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1" s="57">
        <v>100</v>
      </c>
      <c r="J41" s="11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1" s="15"/>
      <c r="M41" s="20"/>
      <c r="N41" s="19"/>
      <c r="U41" s="3"/>
    </row>
    <row r="42" spans="1:22">
      <c r="A42" s="8">
        <v>38</v>
      </c>
      <c r="B42" s="16" t="s">
        <v>91</v>
      </c>
      <c r="C42" s="10">
        <f>+ยกมา!C41</f>
        <v>0</v>
      </c>
      <c r="D42" s="11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2" s="10">
        <f t="shared" si="0"/>
        <v>0</v>
      </c>
      <c r="F42" s="11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2" s="10">
        <f t="shared" si="1"/>
        <v>0</v>
      </c>
      <c r="H42" s="11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2" s="57">
        <v>200</v>
      </c>
      <c r="J42" s="11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2" s="15"/>
      <c r="M42" s="20"/>
      <c r="N42" s="19"/>
      <c r="U42" s="3"/>
    </row>
    <row r="43" spans="1:22">
      <c r="A43" s="8">
        <v>39</v>
      </c>
      <c r="B43" s="16" t="s">
        <v>92</v>
      </c>
      <c r="C43" s="10">
        <f>+ยกมา!C42</f>
        <v>0</v>
      </c>
      <c r="D43" s="11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3" s="10">
        <f t="shared" si="0"/>
        <v>0</v>
      </c>
      <c r="F43" s="11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3" s="10">
        <f t="shared" si="1"/>
        <v>0</v>
      </c>
      <c r="H43" s="11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3" s="57">
        <v>150</v>
      </c>
      <c r="J43" s="11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3" s="15"/>
      <c r="M43" s="20"/>
      <c r="N43" s="19"/>
      <c r="U43" s="3"/>
    </row>
    <row r="44" spans="1:22">
      <c r="A44" s="8">
        <v>40</v>
      </c>
      <c r="B44" s="16" t="s">
        <v>93</v>
      </c>
      <c r="C44" s="10">
        <f>+ยกมา!C43</f>
        <v>0</v>
      </c>
      <c r="D44" s="11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4" s="10">
        <f t="shared" si="0"/>
        <v>0</v>
      </c>
      <c r="F44" s="11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4" s="10">
        <f t="shared" si="1"/>
        <v>0</v>
      </c>
      <c r="H44" s="11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4" s="57">
        <v>400</v>
      </c>
      <c r="J44" s="11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4" s="15"/>
      <c r="M44" s="20"/>
      <c r="N44" s="19"/>
      <c r="U44" s="3"/>
    </row>
    <row r="45" spans="1:22">
      <c r="A45" s="8">
        <v>41</v>
      </c>
      <c r="B45" s="16" t="s">
        <v>94</v>
      </c>
      <c r="C45" s="10">
        <f>+ยกมา!C44</f>
        <v>7</v>
      </c>
      <c r="D45" s="11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5" s="10">
        <f t="shared" si="0"/>
        <v>7</v>
      </c>
      <c r="F45" s="11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5" s="10">
        <f t="shared" si="1"/>
        <v>7</v>
      </c>
      <c r="H45" s="11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5" s="57">
        <v>100</v>
      </c>
      <c r="J45" s="11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5" s="15"/>
      <c r="M45" s="20"/>
      <c r="N45" s="19"/>
      <c r="U45" s="3"/>
    </row>
    <row r="46" spans="1:22">
      <c r="A46" s="8">
        <v>42</v>
      </c>
      <c r="B46" s="16" t="s">
        <v>95</v>
      </c>
      <c r="C46" s="10">
        <f>+ยกมา!C45</f>
        <v>15</v>
      </c>
      <c r="D46" s="11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6" s="10">
        <f t="shared" si="0"/>
        <v>15</v>
      </c>
      <c r="F46" s="11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6" s="10">
        <f t="shared" si="1"/>
        <v>15</v>
      </c>
      <c r="H46" s="11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6" s="57">
        <v>300</v>
      </c>
      <c r="J46" s="11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6" s="15"/>
      <c r="M46" s="20"/>
      <c r="N46" s="19"/>
      <c r="U46" s="3"/>
    </row>
    <row r="47" spans="1:22">
      <c r="A47" s="8">
        <v>43</v>
      </c>
      <c r="B47" s="16" t="s">
        <v>96</v>
      </c>
      <c r="C47" s="10">
        <f>+ยกมา!C46</f>
        <v>8</v>
      </c>
      <c r="D47" s="11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7" s="10">
        <f t="shared" si="0"/>
        <v>8</v>
      </c>
      <c r="F47" s="11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7" s="10">
        <f t="shared" si="1"/>
        <v>8</v>
      </c>
      <c r="H47" s="11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0</v>
      </c>
      <c r="I47" s="57">
        <v>180</v>
      </c>
      <c r="J47" s="11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0</v>
      </c>
      <c r="K47" s="15"/>
      <c r="M47" s="20"/>
      <c r="N47" s="19"/>
      <c r="U47" s="3"/>
    </row>
    <row r="48" spans="1:22">
      <c r="A48" s="8">
        <v>44</v>
      </c>
      <c r="B48" s="16" t="s">
        <v>97</v>
      </c>
      <c r="C48" s="10">
        <f>+ยกมา!C47</f>
        <v>10</v>
      </c>
      <c r="D48" s="11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8" s="10">
        <f t="shared" si="0"/>
        <v>10</v>
      </c>
      <c r="F48" s="11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8" s="10">
        <f t="shared" si="1"/>
        <v>10</v>
      </c>
      <c r="H48" s="11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8" s="57">
        <v>200</v>
      </c>
      <c r="J48" s="11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8" s="15"/>
      <c r="M48" s="20"/>
      <c r="N48" s="19"/>
      <c r="U48" s="3"/>
    </row>
    <row r="49" spans="1:21">
      <c r="A49" s="8">
        <v>45</v>
      </c>
      <c r="B49" s="16" t="s">
        <v>98</v>
      </c>
      <c r="C49" s="10">
        <f>+ยกมา!C48</f>
        <v>0</v>
      </c>
      <c r="D49" s="11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9" s="10">
        <f t="shared" si="0"/>
        <v>0</v>
      </c>
      <c r="F49" s="11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9" s="10">
        <f t="shared" si="1"/>
        <v>0</v>
      </c>
      <c r="H49" s="11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9" s="57">
        <v>100</v>
      </c>
      <c r="J49" s="11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9" s="15"/>
      <c r="M49" s="20"/>
      <c r="N49" s="19"/>
      <c r="U49" s="3"/>
    </row>
    <row r="50" spans="1:21">
      <c r="A50" s="8">
        <v>46</v>
      </c>
      <c r="B50" s="16" t="s">
        <v>99</v>
      </c>
      <c r="C50" s="10">
        <f>+ยกมา!C49</f>
        <v>0</v>
      </c>
      <c r="D50" s="11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50" s="10">
        <f t="shared" si="0"/>
        <v>0</v>
      </c>
      <c r="F50" s="11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50" s="10">
        <f t="shared" si="1"/>
        <v>0</v>
      </c>
      <c r="H50" s="11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50" s="57">
        <v>150</v>
      </c>
      <c r="J50" s="11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50" s="15"/>
      <c r="M50" s="20"/>
      <c r="N50" s="19"/>
      <c r="U50" s="3"/>
    </row>
    <row r="51" spans="1:21">
      <c r="A51" s="8">
        <v>47</v>
      </c>
      <c r="B51" s="16" t="s">
        <v>100</v>
      </c>
      <c r="C51" s="10">
        <f>+ยกมา!C50</f>
        <v>0</v>
      </c>
      <c r="D51" s="11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1" s="10">
        <f t="shared" si="0"/>
        <v>0</v>
      </c>
      <c r="F51" s="11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1" s="10">
        <f t="shared" si="1"/>
        <v>0</v>
      </c>
      <c r="H51" s="11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1" s="57">
        <v>500</v>
      </c>
      <c r="J51" s="11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1" s="15"/>
      <c r="M51" s="20"/>
      <c r="N51" s="19"/>
      <c r="U51" s="3"/>
    </row>
    <row r="52" spans="1:21">
      <c r="A52" s="8">
        <v>48</v>
      </c>
      <c r="B52" s="16" t="s">
        <v>101</v>
      </c>
      <c r="C52" s="10">
        <f>+ยกมา!C51</f>
        <v>0</v>
      </c>
      <c r="D52" s="11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2" s="10">
        <f t="shared" si="0"/>
        <v>0</v>
      </c>
      <c r="F52" s="11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2" s="10">
        <f t="shared" si="1"/>
        <v>0</v>
      </c>
      <c r="H52" s="11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2" s="57">
        <v>100</v>
      </c>
      <c r="J52" s="11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2" s="15"/>
      <c r="M52" s="20"/>
      <c r="N52" s="19"/>
      <c r="U52" s="3"/>
    </row>
    <row r="53" spans="1:21">
      <c r="A53" s="8">
        <v>49</v>
      </c>
      <c r="B53" s="16" t="s">
        <v>102</v>
      </c>
      <c r="C53" s="10">
        <f>+ยกมา!C52</f>
        <v>0</v>
      </c>
      <c r="D53" s="11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3" s="10">
        <f t="shared" si="0"/>
        <v>0</v>
      </c>
      <c r="F53" s="11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3" s="10">
        <f t="shared" si="1"/>
        <v>0</v>
      </c>
      <c r="H53" s="11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3" s="57">
        <v>450</v>
      </c>
      <c r="J53" s="11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3" s="15"/>
      <c r="M53" s="20"/>
      <c r="N53" s="19"/>
      <c r="U53" s="3"/>
    </row>
    <row r="54" spans="1:21">
      <c r="A54" s="8">
        <v>50</v>
      </c>
      <c r="B54" s="16" t="s">
        <v>103</v>
      </c>
      <c r="C54" s="10">
        <f>+ยกมา!C53</f>
        <v>0</v>
      </c>
      <c r="D54" s="11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4" s="10">
        <f t="shared" si="0"/>
        <v>0</v>
      </c>
      <c r="F54" s="11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4" s="10">
        <f t="shared" si="1"/>
        <v>0</v>
      </c>
      <c r="H54" s="11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4" s="57">
        <v>400</v>
      </c>
      <c r="J54" s="11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4" s="15"/>
      <c r="M54" s="20"/>
      <c r="N54" s="19"/>
      <c r="U54" s="3"/>
    </row>
    <row r="55" spans="1:21">
      <c r="A55" s="8">
        <v>51</v>
      </c>
      <c r="B55" s="16" t="s">
        <v>104</v>
      </c>
      <c r="C55" s="10">
        <f>+ยกมา!C54</f>
        <v>0</v>
      </c>
      <c r="D55" s="11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5" s="10">
        <f t="shared" si="0"/>
        <v>0</v>
      </c>
      <c r="F55" s="11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5" s="10">
        <f t="shared" si="1"/>
        <v>0</v>
      </c>
      <c r="H55" s="11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5" s="57">
        <v>100</v>
      </c>
      <c r="J55" s="11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5" s="15"/>
      <c r="M55" s="20"/>
      <c r="N55" s="19"/>
      <c r="U55" s="3"/>
    </row>
    <row r="56" spans="1:21">
      <c r="A56" s="8">
        <v>52</v>
      </c>
      <c r="B56" s="16" t="s">
        <v>105</v>
      </c>
      <c r="C56" s="10">
        <f>+ยกมา!C55</f>
        <v>10</v>
      </c>
      <c r="D56" s="11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6" s="10">
        <f t="shared" si="0"/>
        <v>10</v>
      </c>
      <c r="F56" s="11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6" s="10">
        <f t="shared" si="1"/>
        <v>10</v>
      </c>
      <c r="H56" s="11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6" s="57">
        <v>200</v>
      </c>
      <c r="J56" s="11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6" s="15"/>
      <c r="M56" s="20"/>
      <c r="N56" s="19"/>
      <c r="U56" s="3"/>
    </row>
    <row r="57" spans="1:21">
      <c r="A57" s="8">
        <v>53</v>
      </c>
      <c r="B57" s="16" t="s">
        <v>106</v>
      </c>
      <c r="C57" s="10">
        <f>+ยกมา!C56</f>
        <v>0</v>
      </c>
      <c r="D57" s="11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7" s="10">
        <f t="shared" si="0"/>
        <v>0</v>
      </c>
      <c r="F57" s="11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7" s="10">
        <f t="shared" si="1"/>
        <v>0</v>
      </c>
      <c r="H57" s="11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7" s="57">
        <v>80</v>
      </c>
      <c r="J57" s="11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7" s="15"/>
      <c r="M57" s="20"/>
      <c r="N57" s="19"/>
      <c r="U57" s="3"/>
    </row>
    <row r="58" spans="1:21">
      <c r="A58" s="8">
        <v>54</v>
      </c>
      <c r="B58" s="16" t="s">
        <v>107</v>
      </c>
      <c r="C58" s="10">
        <f>+ยกมา!C57</f>
        <v>0</v>
      </c>
      <c r="D58" s="11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8" s="10">
        <f t="shared" si="0"/>
        <v>0</v>
      </c>
      <c r="F58" s="11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8" s="10">
        <f t="shared" si="1"/>
        <v>0</v>
      </c>
      <c r="H58" s="11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8" s="57">
        <v>80</v>
      </c>
      <c r="J58" s="11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8" s="15"/>
      <c r="M58" s="20"/>
      <c r="N58" s="19"/>
      <c r="U58" s="3"/>
    </row>
    <row r="59" spans="1:21">
      <c r="A59" s="8">
        <v>55</v>
      </c>
      <c r="B59" s="82" t="s">
        <v>108</v>
      </c>
      <c r="C59" s="10">
        <f>+ยกมา!C58</f>
        <v>9</v>
      </c>
      <c r="D59" s="11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9" s="10">
        <f t="shared" si="0"/>
        <v>9</v>
      </c>
      <c r="F59" s="11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9" s="10">
        <f t="shared" si="1"/>
        <v>9</v>
      </c>
      <c r="H59" s="11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9" s="57">
        <v>200</v>
      </c>
      <c r="J59" s="11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9" s="15"/>
      <c r="M59" s="20"/>
      <c r="N59" s="19"/>
      <c r="U59" s="3"/>
    </row>
    <row r="60" spans="1:21">
      <c r="A60" s="8">
        <v>56</v>
      </c>
      <c r="B60" s="16" t="s">
        <v>109</v>
      </c>
      <c r="C60" s="10">
        <f>+ยกมา!C59</f>
        <v>24</v>
      </c>
      <c r="D60" s="11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60" s="10">
        <f t="shared" si="0"/>
        <v>24</v>
      </c>
      <c r="F60" s="11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60" s="10">
        <f t="shared" si="1"/>
        <v>24</v>
      </c>
      <c r="H60" s="11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60" s="57">
        <v>150</v>
      </c>
      <c r="J60" s="11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60" s="15"/>
      <c r="M60" s="20"/>
      <c r="N60" s="19"/>
      <c r="U60" s="3"/>
    </row>
    <row r="61" spans="1:21">
      <c r="A61" s="8">
        <v>57</v>
      </c>
      <c r="B61" s="16" t="s">
        <v>110</v>
      </c>
      <c r="C61" s="10">
        <f>+ยกมา!C60</f>
        <v>7</v>
      </c>
      <c r="D61" s="11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1" s="10">
        <f t="shared" si="0"/>
        <v>7</v>
      </c>
      <c r="F61" s="11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1" s="10">
        <f t="shared" si="1"/>
        <v>7</v>
      </c>
      <c r="H61" s="11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1" s="57">
        <v>150</v>
      </c>
      <c r="J61" s="11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1" s="15"/>
      <c r="M61" s="20"/>
      <c r="N61" s="19"/>
      <c r="U61" s="3"/>
    </row>
    <row r="62" spans="1:21">
      <c r="A62" s="8">
        <v>58</v>
      </c>
      <c r="B62" s="16" t="s">
        <v>111</v>
      </c>
      <c r="C62" s="10">
        <f>+ยกมา!C61</f>
        <v>14</v>
      </c>
      <c r="D62" s="11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2" s="10">
        <f t="shared" si="0"/>
        <v>14</v>
      </c>
      <c r="F62" s="11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2" s="10">
        <f t="shared" si="1"/>
        <v>14</v>
      </c>
      <c r="H62" s="11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2" s="57">
        <v>150</v>
      </c>
      <c r="J62" s="11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2" s="15"/>
      <c r="M62" s="20"/>
      <c r="N62" s="19"/>
      <c r="U62" s="3"/>
    </row>
    <row r="63" spans="1:21">
      <c r="A63" s="8">
        <v>59</v>
      </c>
      <c r="B63" s="16" t="s">
        <v>112</v>
      </c>
      <c r="C63" s="10">
        <f>+ยกมา!C62</f>
        <v>5</v>
      </c>
      <c r="D63" s="11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3" s="10">
        <f t="shared" si="0"/>
        <v>5</v>
      </c>
      <c r="F63" s="11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3" s="10">
        <f t="shared" si="1"/>
        <v>5</v>
      </c>
      <c r="H63" s="11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3" s="57">
        <v>250</v>
      </c>
      <c r="J63" s="11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3" s="15"/>
      <c r="M63" s="20"/>
      <c r="N63" s="19"/>
      <c r="U63" s="3"/>
    </row>
    <row r="64" spans="1:21">
      <c r="A64" s="8">
        <v>60</v>
      </c>
      <c r="B64" s="16" t="s">
        <v>113</v>
      </c>
      <c r="C64" s="10">
        <f>+ยกมา!C63</f>
        <v>4</v>
      </c>
      <c r="D64" s="11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4" s="10">
        <f t="shared" si="0"/>
        <v>4</v>
      </c>
      <c r="F64" s="11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4" s="10">
        <f t="shared" si="1"/>
        <v>4</v>
      </c>
      <c r="H64" s="11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4" s="57">
        <v>300</v>
      </c>
      <c r="J64" s="11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4" s="15"/>
      <c r="M64" s="20"/>
      <c r="N64" s="19"/>
      <c r="U64" s="3"/>
    </row>
    <row r="65" spans="1:21">
      <c r="A65" s="8">
        <v>61</v>
      </c>
      <c r="B65" s="16" t="s">
        <v>114</v>
      </c>
      <c r="C65" s="10">
        <f>+ยกมา!C64</f>
        <v>4</v>
      </c>
      <c r="D65" s="11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5" s="10">
        <f t="shared" si="0"/>
        <v>4</v>
      </c>
      <c r="F65" s="11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5" s="10">
        <f t="shared" si="1"/>
        <v>4</v>
      </c>
      <c r="H65" s="11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5" s="57">
        <v>300</v>
      </c>
      <c r="J65" s="11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5" s="15"/>
      <c r="M65" s="20"/>
      <c r="N65" s="19"/>
      <c r="U65" s="3"/>
    </row>
    <row r="66" spans="1:21">
      <c r="A66" s="8">
        <v>62</v>
      </c>
      <c r="B66" s="16" t="s">
        <v>115</v>
      </c>
      <c r="C66" s="10">
        <f>+ยกมา!C65</f>
        <v>6</v>
      </c>
      <c r="D66" s="11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6" s="10">
        <f t="shared" si="0"/>
        <v>6</v>
      </c>
      <c r="F66" s="11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6" s="10">
        <f t="shared" si="1"/>
        <v>6</v>
      </c>
      <c r="H66" s="11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6" s="57">
        <v>300</v>
      </c>
      <c r="J66" s="11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6" s="15"/>
      <c r="M66" s="20"/>
      <c r="N66" s="19"/>
      <c r="U66" s="3"/>
    </row>
    <row r="67" spans="1:21">
      <c r="A67" s="8">
        <v>63</v>
      </c>
      <c r="B67" s="16" t="s">
        <v>117</v>
      </c>
      <c r="C67" s="10">
        <f>+ยกมา!C66</f>
        <v>2</v>
      </c>
      <c r="D67" s="11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7" s="10">
        <f t="shared" si="0"/>
        <v>2</v>
      </c>
      <c r="F67" s="11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7" s="10">
        <f t="shared" si="1"/>
        <v>2</v>
      </c>
      <c r="H67" s="11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7" s="57">
        <v>30</v>
      </c>
      <c r="J67" s="11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7" s="15"/>
      <c r="M67" s="20"/>
      <c r="N67" s="19"/>
      <c r="U67" s="3"/>
    </row>
    <row r="68" spans="1:21">
      <c r="A68" s="8">
        <v>64</v>
      </c>
      <c r="B68" s="16" t="s">
        <v>118</v>
      </c>
      <c r="C68" s="10">
        <f>+ยกมา!C67</f>
        <v>0</v>
      </c>
      <c r="D68" s="11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8" s="10">
        <f t="shared" si="0"/>
        <v>0</v>
      </c>
      <c r="F68" s="11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8" s="10">
        <f t="shared" si="1"/>
        <v>0</v>
      </c>
      <c r="H68" s="11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8" s="57">
        <v>120</v>
      </c>
      <c r="J68" s="11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8" s="15"/>
      <c r="M68" s="20"/>
      <c r="N68" s="19"/>
      <c r="U68" s="3"/>
    </row>
    <row r="69" spans="1:21">
      <c r="A69" s="8">
        <v>65</v>
      </c>
      <c r="B69" s="16" t="s">
        <v>119</v>
      </c>
      <c r="C69" s="10">
        <f>+ยกมา!C68</f>
        <v>0</v>
      </c>
      <c r="D69" s="11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9" s="10">
        <f t="shared" si="0"/>
        <v>0</v>
      </c>
      <c r="F69" s="11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9" s="10">
        <f t="shared" si="1"/>
        <v>0</v>
      </c>
      <c r="H69" s="11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9" s="56">
        <v>35</v>
      </c>
      <c r="J69" s="11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9" s="15"/>
      <c r="M69" s="20"/>
      <c r="N69" s="19"/>
      <c r="U69" s="3"/>
    </row>
    <row r="70" spans="1:21">
      <c r="A70" s="8">
        <v>66</v>
      </c>
      <c r="B70" s="16" t="s">
        <v>121</v>
      </c>
      <c r="C70" s="10">
        <f>+ยกมา!C69</f>
        <v>2</v>
      </c>
      <c r="D70" s="11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70" s="10">
        <f t="shared" ref="E70:E104" si="8">+C70+D70</f>
        <v>2</v>
      </c>
      <c r="F70" s="11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1</v>
      </c>
      <c r="G70" s="10">
        <f t="shared" ref="G70:G104" si="9">+E70-F70-H70</f>
        <v>1</v>
      </c>
      <c r="H70" s="11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70" s="57">
        <v>60</v>
      </c>
      <c r="J70" s="11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70" s="15"/>
      <c r="M70" s="20"/>
      <c r="N70" s="19"/>
      <c r="U70" s="3"/>
    </row>
    <row r="71" spans="1:21">
      <c r="A71" s="8">
        <v>67</v>
      </c>
      <c r="B71" s="16" t="s">
        <v>124</v>
      </c>
      <c r="C71" s="10">
        <f>+ยกมา!C70</f>
        <v>53</v>
      </c>
      <c r="D71" s="11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1" s="10">
        <f t="shared" si="8"/>
        <v>53</v>
      </c>
      <c r="F71" s="11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71</v>
      </c>
      <c r="G71" s="10">
        <f t="shared" si="9"/>
        <v>-21</v>
      </c>
      <c r="H71" s="11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3</v>
      </c>
      <c r="I71" s="57">
        <v>150</v>
      </c>
      <c r="J71" s="11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450</v>
      </c>
      <c r="K71" s="15"/>
      <c r="M71" s="20"/>
      <c r="N71" s="19"/>
      <c r="U71" s="3"/>
    </row>
    <row r="72" spans="1:21">
      <c r="A72" s="8">
        <v>68</v>
      </c>
      <c r="B72" s="9" t="s">
        <v>127</v>
      </c>
      <c r="C72" s="10">
        <f>+ยกมา!C71</f>
        <v>0</v>
      </c>
      <c r="D72" s="11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2" s="10">
        <f t="shared" si="8"/>
        <v>0</v>
      </c>
      <c r="F72" s="11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2" s="10">
        <f t="shared" si="9"/>
        <v>0</v>
      </c>
      <c r="H72" s="11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2" s="57">
        <v>100</v>
      </c>
      <c r="J72" s="11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2" s="15"/>
      <c r="M72" s="20"/>
      <c r="N72" s="19"/>
      <c r="U72" s="3"/>
    </row>
    <row r="73" spans="1:21">
      <c r="A73" s="8">
        <v>69</v>
      </c>
      <c r="B73" s="9" t="s">
        <v>128</v>
      </c>
      <c r="C73" s="10">
        <f>+ยกมา!C72</f>
        <v>0</v>
      </c>
      <c r="D73" s="11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3" s="10">
        <f t="shared" si="8"/>
        <v>0</v>
      </c>
      <c r="F73" s="11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3" s="10">
        <f t="shared" si="9"/>
        <v>0</v>
      </c>
      <c r="H73" s="11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3" s="56">
        <v>100</v>
      </c>
      <c r="J73" s="11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3" s="15"/>
      <c r="M73" s="20"/>
      <c r="N73" s="19"/>
      <c r="U73" s="3"/>
    </row>
    <row r="74" spans="1:21">
      <c r="A74" s="8">
        <v>70</v>
      </c>
      <c r="B74" s="9" t="s">
        <v>129</v>
      </c>
      <c r="C74" s="10">
        <f>+ยกมา!C73</f>
        <v>0</v>
      </c>
      <c r="D74" s="11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4" s="10">
        <f t="shared" si="8"/>
        <v>0</v>
      </c>
      <c r="F74" s="11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1</v>
      </c>
      <c r="G74" s="10">
        <f t="shared" si="9"/>
        <v>-1</v>
      </c>
      <c r="H74" s="11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4" s="57">
        <v>100</v>
      </c>
      <c r="J74" s="11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4" s="15"/>
      <c r="M74" s="20"/>
      <c r="N74" s="19"/>
      <c r="U74" s="3"/>
    </row>
    <row r="75" spans="1:21">
      <c r="A75" s="8">
        <v>71</v>
      </c>
      <c r="B75" s="16"/>
      <c r="C75" s="10">
        <f>+ยกมา!C74</f>
        <v>0</v>
      </c>
      <c r="D75" s="11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5" s="10">
        <f t="shared" si="8"/>
        <v>0</v>
      </c>
      <c r="F75" s="11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5" s="10">
        <f t="shared" si="9"/>
        <v>0</v>
      </c>
      <c r="H75" s="11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5" s="57"/>
      <c r="J75" s="11"/>
      <c r="K75" s="15"/>
      <c r="M75" s="20"/>
      <c r="N75" s="19"/>
      <c r="U75" s="3"/>
    </row>
    <row r="76" spans="1:21">
      <c r="A76" s="8">
        <v>72</v>
      </c>
      <c r="B76" s="16"/>
      <c r="C76" s="10">
        <f>+ยกมา!C75</f>
        <v>0</v>
      </c>
      <c r="D76" s="11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6" s="10">
        <f t="shared" si="8"/>
        <v>0</v>
      </c>
      <c r="F76" s="11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6" s="10">
        <f t="shared" si="9"/>
        <v>0</v>
      </c>
      <c r="H76" s="11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6" s="57"/>
      <c r="J76" s="11"/>
      <c r="K76" s="15"/>
      <c r="M76" s="20"/>
      <c r="N76" s="19"/>
      <c r="U76" s="3"/>
    </row>
    <row r="77" spans="1:21">
      <c r="A77" s="8">
        <v>73</v>
      </c>
      <c r="B77" s="16"/>
      <c r="C77" s="10">
        <f>+ยกมา!C76</f>
        <v>0</v>
      </c>
      <c r="D77" s="11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7" s="10">
        <f t="shared" si="8"/>
        <v>0</v>
      </c>
      <c r="F77" s="11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7" s="10">
        <f t="shared" si="9"/>
        <v>0</v>
      </c>
      <c r="H77" s="11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7" s="57"/>
      <c r="J77" s="11"/>
      <c r="K77" s="15"/>
      <c r="M77" s="20"/>
      <c r="N77" s="19"/>
      <c r="U77" s="3"/>
    </row>
    <row r="78" spans="1:21">
      <c r="A78" s="8">
        <v>74</v>
      </c>
      <c r="B78" s="16"/>
      <c r="C78" s="10">
        <f>+ยกมา!C77</f>
        <v>0</v>
      </c>
      <c r="D78" s="11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8" s="10">
        <f t="shared" si="8"/>
        <v>0</v>
      </c>
      <c r="F78" s="11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8" s="10">
        <f t="shared" si="9"/>
        <v>0</v>
      </c>
      <c r="H78" s="11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8" s="56"/>
      <c r="J78" s="11"/>
      <c r="K78" s="15"/>
      <c r="M78" s="20"/>
      <c r="N78" s="19"/>
      <c r="U78" s="3"/>
    </row>
    <row r="79" spans="1:21">
      <c r="A79" s="8">
        <v>75</v>
      </c>
      <c r="B79" s="16"/>
      <c r="C79" s="10">
        <f>+ยกมา!C78</f>
        <v>0</v>
      </c>
      <c r="D79" s="11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9" s="10">
        <f t="shared" si="8"/>
        <v>0</v>
      </c>
      <c r="F79" s="11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9" s="10">
        <f t="shared" si="9"/>
        <v>0</v>
      </c>
      <c r="H79" s="11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9" s="56"/>
      <c r="J79" s="11"/>
      <c r="K79" s="15"/>
      <c r="M79" s="20"/>
      <c r="N79" s="19"/>
      <c r="U79" s="3"/>
    </row>
    <row r="80" spans="1:21">
      <c r="A80" s="8">
        <v>76</v>
      </c>
      <c r="B80" s="16"/>
      <c r="C80" s="10">
        <f>+ยกมา!C79</f>
        <v>0</v>
      </c>
      <c r="D80" s="11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80" s="10">
        <f t="shared" si="8"/>
        <v>0</v>
      </c>
      <c r="F80" s="11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80" s="10">
        <f t="shared" si="9"/>
        <v>0</v>
      </c>
      <c r="H80" s="11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80" s="56"/>
      <c r="J80" s="11"/>
      <c r="K80" s="15"/>
      <c r="M80" s="20"/>
      <c r="N80" s="19"/>
      <c r="U80" s="3"/>
    </row>
    <row r="81" spans="1:21">
      <c r="A81" s="8">
        <v>77</v>
      </c>
      <c r="B81" s="16"/>
      <c r="C81" s="10">
        <f>+ยกมา!C80</f>
        <v>0</v>
      </c>
      <c r="D81" s="11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1" s="10">
        <f t="shared" si="8"/>
        <v>0</v>
      </c>
      <c r="F81" s="11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1" s="10">
        <f t="shared" si="9"/>
        <v>0</v>
      </c>
      <c r="H81" s="11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1" s="56"/>
      <c r="J81" s="11"/>
      <c r="K81" s="15"/>
      <c r="M81" s="20"/>
      <c r="N81" s="19"/>
      <c r="U81" s="3"/>
    </row>
    <row r="82" spans="1:21">
      <c r="A82" s="8">
        <v>78</v>
      </c>
      <c r="B82" s="16"/>
      <c r="C82" s="10">
        <f>+ยกมา!C81</f>
        <v>0</v>
      </c>
      <c r="D82" s="11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2" s="10">
        <f t="shared" si="8"/>
        <v>0</v>
      </c>
      <c r="F82" s="11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2" s="10">
        <f t="shared" si="9"/>
        <v>0</v>
      </c>
      <c r="H82" s="11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2" s="56"/>
      <c r="J82" s="11"/>
      <c r="K82" s="15"/>
      <c r="M82" s="20"/>
      <c r="N82" s="19"/>
      <c r="U82" s="3"/>
    </row>
    <row r="83" spans="1:21">
      <c r="A83" s="8">
        <v>79</v>
      </c>
      <c r="B83" s="16"/>
      <c r="C83" s="10">
        <f>+ยกมา!C82</f>
        <v>0</v>
      </c>
      <c r="D83" s="11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3" s="10">
        <f t="shared" si="8"/>
        <v>0</v>
      </c>
      <c r="F83" s="11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3" s="10">
        <f t="shared" si="9"/>
        <v>0</v>
      </c>
      <c r="H83" s="11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3" s="57"/>
      <c r="J83" s="11"/>
      <c r="K83" s="15"/>
      <c r="M83" s="20"/>
      <c r="N83" s="19"/>
      <c r="U83" s="3"/>
    </row>
    <row r="84" spans="1:21">
      <c r="A84" s="8">
        <v>80</v>
      </c>
      <c r="B84" s="16"/>
      <c r="C84" s="10">
        <f>+ยกมา!C83</f>
        <v>0</v>
      </c>
      <c r="D84" s="11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4" s="10">
        <f t="shared" si="8"/>
        <v>0</v>
      </c>
      <c r="F84" s="11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4" s="10">
        <f t="shared" si="9"/>
        <v>0</v>
      </c>
      <c r="H84" s="11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4" s="57"/>
      <c r="J84" s="11"/>
      <c r="K84" s="15"/>
      <c r="M84" s="20"/>
      <c r="N84" s="19"/>
      <c r="U84" s="3"/>
    </row>
    <row r="85" spans="1:21">
      <c r="A85" s="8">
        <v>81</v>
      </c>
      <c r="B85" s="16"/>
      <c r="C85" s="10">
        <f>+ยกมา!C84</f>
        <v>0</v>
      </c>
      <c r="D85" s="11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5" s="10">
        <f t="shared" si="8"/>
        <v>0</v>
      </c>
      <c r="F85" s="11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5" s="10">
        <f t="shared" si="9"/>
        <v>0</v>
      </c>
      <c r="H85" s="11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5" s="57"/>
      <c r="J85" s="11"/>
      <c r="K85" s="15"/>
      <c r="M85" s="20"/>
      <c r="N85" s="19"/>
      <c r="U85" s="3"/>
    </row>
    <row r="86" spans="1:21">
      <c r="A86" s="8">
        <v>82</v>
      </c>
      <c r="B86" s="16"/>
      <c r="C86" s="10">
        <f>+ยกมา!C85</f>
        <v>0</v>
      </c>
      <c r="D86" s="11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6" s="10">
        <f t="shared" si="8"/>
        <v>0</v>
      </c>
      <c r="F86" s="11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6" s="10">
        <f t="shared" si="9"/>
        <v>0</v>
      </c>
      <c r="H86" s="11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6" s="57"/>
      <c r="J86" s="11"/>
      <c r="K86" s="15"/>
      <c r="M86" s="20"/>
      <c r="N86" s="19"/>
      <c r="U86" s="3"/>
    </row>
    <row r="87" spans="1:21">
      <c r="A87" s="8">
        <v>83</v>
      </c>
      <c r="B87" s="16"/>
      <c r="C87" s="10">
        <f>+ยกมา!C86</f>
        <v>0</v>
      </c>
      <c r="D87" s="11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7" s="10">
        <f t="shared" si="8"/>
        <v>0</v>
      </c>
      <c r="F87" s="11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7" s="10">
        <f t="shared" si="9"/>
        <v>0</v>
      </c>
      <c r="H87" s="11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7" s="57"/>
      <c r="J87" s="11"/>
      <c r="K87" s="15"/>
      <c r="M87" s="20"/>
      <c r="N87" s="19"/>
      <c r="U87" s="3"/>
    </row>
    <row r="88" spans="1:21">
      <c r="A88" s="8">
        <v>84</v>
      </c>
      <c r="B88" s="16"/>
      <c r="C88" s="10">
        <f>+ยกมา!C87</f>
        <v>0</v>
      </c>
      <c r="D88" s="11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8" s="10">
        <f t="shared" si="8"/>
        <v>0</v>
      </c>
      <c r="F88" s="11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8" s="10">
        <f t="shared" si="9"/>
        <v>0</v>
      </c>
      <c r="H88" s="11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8" s="57"/>
      <c r="J88" s="11"/>
      <c r="K88" s="15"/>
      <c r="M88" s="20"/>
      <c r="N88" s="19"/>
      <c r="U88" s="3"/>
    </row>
    <row r="89" spans="1:21">
      <c r="A89" s="8">
        <v>85</v>
      </c>
      <c r="B89" s="16"/>
      <c r="C89" s="10">
        <f>+ยกมา!C88</f>
        <v>0</v>
      </c>
      <c r="D89" s="11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9" s="10">
        <f t="shared" si="8"/>
        <v>0</v>
      </c>
      <c r="F89" s="11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9" s="10">
        <f t="shared" si="9"/>
        <v>0</v>
      </c>
      <c r="H89" s="11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9" s="57"/>
      <c r="J89" s="11"/>
      <c r="K89" s="15"/>
      <c r="M89" s="20"/>
      <c r="N89" s="19"/>
      <c r="U89" s="3"/>
    </row>
    <row r="90" spans="1:21">
      <c r="A90" s="8">
        <v>86</v>
      </c>
      <c r="B90" s="16"/>
      <c r="C90" s="10">
        <f>+ยกมา!C89</f>
        <v>0</v>
      </c>
      <c r="D90" s="11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90" s="10">
        <f t="shared" si="8"/>
        <v>0</v>
      </c>
      <c r="F90" s="11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90" s="10">
        <f t="shared" si="9"/>
        <v>0</v>
      </c>
      <c r="H90" s="11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90" s="57"/>
      <c r="J90" s="11"/>
      <c r="K90" s="15"/>
      <c r="M90" s="20"/>
      <c r="N90" s="19"/>
      <c r="U90" s="3"/>
    </row>
    <row r="91" spans="1:21">
      <c r="A91" s="8">
        <v>87</v>
      </c>
      <c r="B91" s="16"/>
      <c r="C91" s="10">
        <f>+ยกมา!C90</f>
        <v>0</v>
      </c>
      <c r="D91" s="11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1" s="10">
        <f t="shared" si="8"/>
        <v>0</v>
      </c>
      <c r="F91" s="11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1" s="10">
        <f t="shared" si="9"/>
        <v>0</v>
      </c>
      <c r="H91" s="11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1" s="57"/>
      <c r="J91" s="11"/>
      <c r="K91" s="15"/>
      <c r="M91" s="20"/>
      <c r="N91" s="19"/>
      <c r="U91" s="3"/>
    </row>
    <row r="92" spans="1:21">
      <c r="A92" s="8">
        <v>88</v>
      </c>
      <c r="B92" s="9"/>
      <c r="C92" s="10">
        <f>+ยกมา!C91</f>
        <v>0</v>
      </c>
      <c r="D92" s="11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2" s="10">
        <f t="shared" si="8"/>
        <v>0</v>
      </c>
      <c r="F92" s="11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2" s="10">
        <f t="shared" si="9"/>
        <v>0</v>
      </c>
      <c r="H92" s="11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2" s="12"/>
      <c r="J92" s="11"/>
      <c r="K92" s="15"/>
      <c r="M92" s="20"/>
      <c r="N92" s="19"/>
      <c r="U92" s="3"/>
    </row>
    <row r="93" spans="1:21">
      <c r="A93" s="8">
        <v>89</v>
      </c>
      <c r="B93" s="9"/>
      <c r="C93" s="10">
        <f>+ยกมา!C92</f>
        <v>0</v>
      </c>
      <c r="D93" s="11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3" s="10">
        <f t="shared" si="8"/>
        <v>0</v>
      </c>
      <c r="F93" s="11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3" s="10">
        <f t="shared" si="9"/>
        <v>0</v>
      </c>
      <c r="H93" s="11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3" s="12"/>
      <c r="J93" s="11"/>
      <c r="K93" s="15"/>
      <c r="M93" s="20"/>
      <c r="N93" s="19"/>
      <c r="U93" s="3"/>
    </row>
    <row r="94" spans="1:21">
      <c r="A94" s="8">
        <v>90</v>
      </c>
      <c r="B94" s="9"/>
      <c r="C94" s="10">
        <f>+ยกมา!C93</f>
        <v>0</v>
      </c>
      <c r="D94" s="11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4" s="10">
        <f t="shared" si="8"/>
        <v>0</v>
      </c>
      <c r="F94" s="11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4" s="10">
        <f t="shared" si="9"/>
        <v>0</v>
      </c>
      <c r="H94" s="11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4" s="12"/>
      <c r="J94" s="11"/>
      <c r="K94" s="15"/>
      <c r="M94" s="20"/>
      <c r="N94" s="19"/>
      <c r="U94" s="3"/>
    </row>
    <row r="95" spans="1:21">
      <c r="A95" s="8">
        <v>91</v>
      </c>
      <c r="B95" s="9"/>
      <c r="C95" s="10">
        <f>+ยกมา!C94</f>
        <v>0</v>
      </c>
      <c r="D95" s="11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5" s="10">
        <f t="shared" si="8"/>
        <v>0</v>
      </c>
      <c r="F95" s="11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5" s="10">
        <f t="shared" si="9"/>
        <v>0</v>
      </c>
      <c r="H95" s="11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5" s="12"/>
      <c r="J95" s="11"/>
      <c r="K95" s="15"/>
      <c r="M95" s="20"/>
      <c r="N95" s="19"/>
      <c r="U95" s="3"/>
    </row>
    <row r="96" spans="1:21">
      <c r="A96" s="8">
        <v>92</v>
      </c>
      <c r="B96" s="9"/>
      <c r="C96" s="10">
        <f>+ยกมา!C95</f>
        <v>0</v>
      </c>
      <c r="D96" s="11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6" s="10">
        <f t="shared" si="8"/>
        <v>0</v>
      </c>
      <c r="F96" s="11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6" s="10">
        <f t="shared" si="9"/>
        <v>0</v>
      </c>
      <c r="H96" s="11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6" s="12"/>
      <c r="J96" s="11"/>
      <c r="K96" s="15"/>
      <c r="M96" s="20"/>
      <c r="N96" s="19"/>
      <c r="U96" s="3"/>
    </row>
    <row r="97" spans="1:22">
      <c r="A97" s="8">
        <v>93</v>
      </c>
      <c r="B97" s="9"/>
      <c r="C97" s="10">
        <f>+ยกมา!C96</f>
        <v>0</v>
      </c>
      <c r="D97" s="11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7" s="10">
        <f t="shared" si="8"/>
        <v>0</v>
      </c>
      <c r="F97" s="11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7" s="10">
        <f t="shared" si="9"/>
        <v>0</v>
      </c>
      <c r="H97" s="11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7" s="12"/>
      <c r="J97" s="11"/>
      <c r="K97" s="15"/>
      <c r="M97" s="20"/>
      <c r="N97" s="19"/>
      <c r="U97" s="3"/>
    </row>
    <row r="98" spans="1:22">
      <c r="A98" s="8">
        <v>94</v>
      </c>
      <c r="B98" s="9"/>
      <c r="C98" s="10">
        <f>+ยกมา!C97</f>
        <v>0</v>
      </c>
      <c r="D98" s="11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8" s="10">
        <f t="shared" si="8"/>
        <v>0</v>
      </c>
      <c r="F98" s="11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8" s="10">
        <f t="shared" si="9"/>
        <v>0</v>
      </c>
      <c r="H98" s="11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8" s="12"/>
      <c r="J98" s="11"/>
      <c r="K98" s="15"/>
      <c r="M98" s="20"/>
      <c r="N98" s="19"/>
      <c r="U98" s="3"/>
    </row>
    <row r="99" spans="1:22">
      <c r="A99" s="8">
        <v>95</v>
      </c>
      <c r="B99" s="9"/>
      <c r="C99" s="10">
        <f>+ยกมา!C98</f>
        <v>0</v>
      </c>
      <c r="D99" s="11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9" s="10">
        <f t="shared" si="8"/>
        <v>0</v>
      </c>
      <c r="F99" s="11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9" s="10">
        <f t="shared" si="9"/>
        <v>0</v>
      </c>
      <c r="H99" s="11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9" s="12"/>
      <c r="J99" s="11"/>
      <c r="K99" s="15"/>
      <c r="M99" s="20"/>
      <c r="N99" s="19"/>
      <c r="U99" s="3"/>
    </row>
    <row r="100" spans="1:22">
      <c r="A100" s="8">
        <v>96</v>
      </c>
      <c r="B100" s="9"/>
      <c r="C100" s="10">
        <f>+ยกมา!C99</f>
        <v>0</v>
      </c>
      <c r="D100" s="11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100" s="10">
        <f t="shared" si="8"/>
        <v>0</v>
      </c>
      <c r="F100" s="11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100" s="10">
        <f t="shared" si="9"/>
        <v>0</v>
      </c>
      <c r="H100" s="11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100" s="12"/>
      <c r="J100" s="11"/>
      <c r="K100" s="15"/>
      <c r="M100" s="20"/>
      <c r="N100" s="19"/>
      <c r="U100" s="3"/>
    </row>
    <row r="101" spans="1:22">
      <c r="A101" s="8">
        <v>97</v>
      </c>
      <c r="B101" s="9"/>
      <c r="C101" s="10">
        <f>+ยกมา!C100</f>
        <v>0</v>
      </c>
      <c r="D101" s="11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1" s="10">
        <f t="shared" si="8"/>
        <v>0</v>
      </c>
      <c r="F101" s="11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1" s="10">
        <f t="shared" si="9"/>
        <v>0</v>
      </c>
      <c r="H101" s="11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1" s="12"/>
      <c r="J101" s="11"/>
      <c r="K101" s="15"/>
      <c r="M101" s="20"/>
      <c r="N101" s="19"/>
      <c r="U101" s="3"/>
    </row>
    <row r="102" spans="1:22">
      <c r="A102" s="8">
        <v>98</v>
      </c>
      <c r="B102" s="9"/>
      <c r="C102" s="10">
        <f>+ยกมา!C101</f>
        <v>0</v>
      </c>
      <c r="D102" s="11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2" s="10">
        <f t="shared" ref="E102" si="10">+C102+D102</f>
        <v>0</v>
      </c>
      <c r="F102" s="11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2" s="10">
        <f t="shared" ref="G102" si="11">+E102-F102-H102</f>
        <v>0</v>
      </c>
      <c r="H102" s="11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2" s="12"/>
      <c r="J102" s="11"/>
      <c r="K102" s="15"/>
      <c r="M102" s="20"/>
      <c r="N102" s="19"/>
      <c r="U102" s="3"/>
    </row>
    <row r="103" spans="1:22">
      <c r="A103" s="8">
        <v>99</v>
      </c>
      <c r="B103" s="9"/>
      <c r="C103" s="10">
        <f>+ยกมา!C102</f>
        <v>0</v>
      </c>
      <c r="D103" s="11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3" s="10">
        <f t="shared" si="8"/>
        <v>0</v>
      </c>
      <c r="F103" s="11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3" s="10">
        <f t="shared" si="9"/>
        <v>0</v>
      </c>
      <c r="H103" s="11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3" s="12"/>
      <c r="J103" s="11"/>
      <c r="K103" s="15"/>
      <c r="M103" s="20"/>
      <c r="N103" s="19"/>
      <c r="U103" s="3"/>
    </row>
    <row r="104" spans="1:22">
      <c r="A104" s="8">
        <v>100</v>
      </c>
      <c r="B104" s="9"/>
      <c r="C104" s="10">
        <f>+ยกมา!C103</f>
        <v>0</v>
      </c>
      <c r="D104" s="11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4" s="10">
        <f t="shared" si="8"/>
        <v>0</v>
      </c>
      <c r="F104" s="11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4" s="10">
        <f t="shared" si="9"/>
        <v>0</v>
      </c>
      <c r="H104" s="11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4" s="12"/>
      <c r="J104" s="11"/>
      <c r="K104" s="15"/>
      <c r="M104" s="21"/>
      <c r="O104" s="19"/>
      <c r="U104" s="3"/>
    </row>
    <row r="105" spans="1:22">
      <c r="I105" s="2"/>
      <c r="M105" s="21"/>
      <c r="O105" s="19"/>
      <c r="U105" s="3"/>
    </row>
    <row r="106" spans="1:22" s="22" customFormat="1" ht="27.75" customHeight="1">
      <c r="A106" s="101" t="s">
        <v>23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3"/>
      <c r="M106" s="23"/>
      <c r="N106" s="23"/>
      <c r="O106" s="23"/>
      <c r="P106" s="24"/>
      <c r="Q106" s="24"/>
      <c r="R106" s="24"/>
      <c r="S106" s="24"/>
      <c r="T106" s="24"/>
      <c r="U106" s="3"/>
      <c r="V106" s="25"/>
    </row>
    <row r="107" spans="1:22" s="25" customFormat="1" ht="25.5" customHeight="1">
      <c r="A107" s="104" t="s">
        <v>24</v>
      </c>
      <c r="B107" s="105"/>
      <c r="C107" s="106" t="s">
        <v>116</v>
      </c>
      <c r="D107" s="107"/>
      <c r="E107" s="108" t="s">
        <v>25</v>
      </c>
      <c r="F107" s="109"/>
      <c r="G107" s="110" t="s">
        <v>26</v>
      </c>
      <c r="H107" s="110"/>
      <c r="I107" s="110"/>
      <c r="J107" s="26">
        <f>SUM(J5:J104)</f>
        <v>7990</v>
      </c>
      <c r="K107" s="27" t="s">
        <v>15</v>
      </c>
      <c r="M107" s="28"/>
      <c r="N107" s="28"/>
      <c r="O107" s="28"/>
      <c r="P107" s="28"/>
      <c r="Q107" s="28"/>
      <c r="R107" s="28"/>
      <c r="S107" s="28"/>
      <c r="T107" s="28"/>
      <c r="U107" s="3"/>
      <c r="V107" s="29"/>
    </row>
    <row r="108" spans="1:22" s="29" customFormat="1" ht="24.75" customHeight="1">
      <c r="A108" s="30" t="s">
        <v>27</v>
      </c>
      <c r="B108" s="31">
        <f>+J110</f>
        <v>7990</v>
      </c>
      <c r="C108" s="32" t="s">
        <v>28</v>
      </c>
      <c r="D108" s="33">
        <f>+J107</f>
        <v>7990</v>
      </c>
      <c r="E108" s="34" t="s">
        <v>13</v>
      </c>
      <c r="F108" s="35">
        <f>SUM(P36)</f>
        <v>0</v>
      </c>
      <c r="G108" s="121"/>
      <c r="H108" s="121"/>
      <c r="I108" s="121"/>
      <c r="J108" s="36"/>
      <c r="K108" s="36">
        <f>+R36</f>
        <v>0</v>
      </c>
      <c r="M108" s="3"/>
      <c r="N108" s="3"/>
      <c r="O108" s="3"/>
      <c r="P108" s="3"/>
      <c r="Q108" s="3"/>
      <c r="R108" s="3"/>
      <c r="S108" s="3"/>
      <c r="T108" s="3"/>
      <c r="U108" s="3"/>
    </row>
    <row r="109" spans="1:22" s="29" customFormat="1" ht="24.75" customHeight="1">
      <c r="A109" s="30"/>
      <c r="B109" s="31"/>
      <c r="C109" s="32" t="s">
        <v>29</v>
      </c>
      <c r="D109" s="33">
        <f>K110</f>
        <v>1550</v>
      </c>
      <c r="E109" s="34"/>
      <c r="F109" s="37">
        <v>0</v>
      </c>
      <c r="G109" s="121" t="s">
        <v>30</v>
      </c>
      <c r="H109" s="121"/>
      <c r="I109" s="121"/>
      <c r="J109" s="36">
        <f>-O36</f>
        <v>0</v>
      </c>
      <c r="K109" s="36" t="s">
        <v>29</v>
      </c>
      <c r="M109" s="3"/>
      <c r="N109" s="3"/>
      <c r="O109" s="3"/>
      <c r="P109" s="3"/>
      <c r="Q109" s="3"/>
      <c r="R109" s="3"/>
      <c r="S109" s="3"/>
      <c r="T109" s="3"/>
      <c r="U109" s="3"/>
    </row>
    <row r="110" spans="1:22" s="29" customFormat="1" ht="24.75" customHeight="1">
      <c r="A110" s="38" t="s">
        <v>11</v>
      </c>
      <c r="B110" s="31">
        <f>+D109</f>
        <v>1550</v>
      </c>
      <c r="C110" s="32"/>
      <c r="D110" s="33"/>
      <c r="E110" s="34" t="s">
        <v>31</v>
      </c>
      <c r="F110" s="37">
        <f>+Q36</f>
        <v>0</v>
      </c>
      <c r="G110" s="122" t="s">
        <v>32</v>
      </c>
      <c r="H110" s="123"/>
      <c r="I110" s="124"/>
      <c r="J110" s="36">
        <f>+J107-J108</f>
        <v>7990</v>
      </c>
      <c r="K110" s="39">
        <f>+N36</f>
        <v>1550</v>
      </c>
      <c r="M110" s="40"/>
      <c r="N110" s="3"/>
      <c r="O110" s="3"/>
      <c r="P110" s="3"/>
      <c r="Q110" s="3"/>
      <c r="R110" s="3"/>
      <c r="S110" s="3"/>
      <c r="T110" s="3"/>
      <c r="U110" s="3"/>
    </row>
    <row r="111" spans="1:22" s="29" customFormat="1" ht="24.75" customHeight="1" thickBot="1">
      <c r="A111" s="41" t="s">
        <v>33</v>
      </c>
      <c r="B111" s="31">
        <f>B108-B110</f>
        <v>6440</v>
      </c>
      <c r="C111" s="32" t="s">
        <v>33</v>
      </c>
      <c r="D111" s="33">
        <f>+D108-D109</f>
        <v>6440</v>
      </c>
      <c r="E111" s="34" t="s">
        <v>34</v>
      </c>
      <c r="F111" s="37">
        <f>SUM(F108:F110)</f>
        <v>0</v>
      </c>
      <c r="G111" s="121" t="s">
        <v>35</v>
      </c>
      <c r="H111" s="121"/>
      <c r="I111" s="121"/>
      <c r="J111" s="36">
        <f>F111</f>
        <v>0</v>
      </c>
      <c r="K111" s="42"/>
      <c r="M111" s="3"/>
      <c r="N111" s="3"/>
      <c r="O111" s="3"/>
      <c r="P111" s="3"/>
      <c r="Q111" s="3"/>
      <c r="R111" s="3"/>
      <c r="S111" s="3"/>
      <c r="T111" s="3"/>
      <c r="U111" s="3"/>
    </row>
    <row r="112" spans="1:22" s="29" customFormat="1" ht="24.75" customHeight="1" thickTop="1">
      <c r="A112" s="43"/>
      <c r="B112" s="43"/>
      <c r="C112" s="32" t="s">
        <v>36</v>
      </c>
      <c r="D112" s="33">
        <v>100000</v>
      </c>
      <c r="G112" s="114" t="s">
        <v>37</v>
      </c>
      <c r="H112" s="115"/>
      <c r="I112" s="116"/>
      <c r="J112" s="36">
        <f>J110-J111-K108-K110</f>
        <v>6440</v>
      </c>
      <c r="K112" s="42"/>
      <c r="M112" s="40"/>
      <c r="N112" s="40"/>
      <c r="O112" s="3"/>
      <c r="P112" s="3"/>
      <c r="Q112" s="3"/>
      <c r="R112" s="3"/>
      <c r="S112" s="3"/>
      <c r="T112" s="3"/>
    </row>
    <row r="113" spans="1:22" s="29" customFormat="1" ht="24.75" customHeight="1">
      <c r="A113" s="43"/>
      <c r="B113" s="43"/>
      <c r="C113" s="32" t="s">
        <v>38</v>
      </c>
      <c r="D113" s="33">
        <f>D111-D112</f>
        <v>-93560</v>
      </c>
      <c r="G113" s="114" t="s">
        <v>39</v>
      </c>
      <c r="H113" s="115"/>
      <c r="I113" s="116"/>
      <c r="J113" s="36">
        <f>+T36</f>
        <v>6440</v>
      </c>
      <c r="K113" s="42"/>
      <c r="M113" s="40"/>
      <c r="N113" s="3"/>
      <c r="O113" s="3"/>
      <c r="P113" s="3"/>
      <c r="Q113" s="3"/>
      <c r="R113" s="3"/>
      <c r="S113" s="3"/>
      <c r="T113" s="3"/>
    </row>
    <row r="114" spans="1:22" s="29" customFormat="1" ht="24.75" customHeight="1">
      <c r="A114" s="43"/>
      <c r="B114" s="43"/>
      <c r="C114" s="32" t="s">
        <v>40</v>
      </c>
      <c r="D114" s="33">
        <v>0</v>
      </c>
      <c r="G114" s="114" t="s">
        <v>41</v>
      </c>
      <c r="H114" s="115"/>
      <c r="I114" s="116"/>
      <c r="J114" s="36">
        <v>0</v>
      </c>
      <c r="K114" s="42"/>
      <c r="M114" s="40"/>
      <c r="N114" s="3"/>
      <c r="O114" s="3"/>
      <c r="P114" s="3"/>
      <c r="Q114" s="3"/>
      <c r="R114" s="3"/>
      <c r="S114" s="3"/>
      <c r="T114" s="3"/>
      <c r="U114" s="2"/>
      <c r="V114" s="2"/>
    </row>
    <row r="115" spans="1:22" ht="24.75" customHeight="1" thickBot="1">
      <c r="A115" s="43"/>
      <c r="B115" s="43"/>
      <c r="G115" s="117" t="s">
        <v>42</v>
      </c>
      <c r="H115" s="117"/>
      <c r="I115" s="117"/>
      <c r="J115" s="44">
        <f>+J113-J112</f>
        <v>0</v>
      </c>
      <c r="K115" s="77"/>
    </row>
    <row r="116" spans="1:22" ht="24.75" customHeight="1" thickBot="1">
      <c r="F116" s="118" t="s">
        <v>43</v>
      </c>
      <c r="G116" s="119"/>
      <c r="H116" s="119"/>
      <c r="I116" s="119"/>
      <c r="J116" s="119"/>
      <c r="K116" s="120"/>
    </row>
    <row r="117" spans="1:22">
      <c r="D117" s="45"/>
    </row>
  </sheetData>
  <mergeCells count="34">
    <mergeCell ref="G114:I114"/>
    <mergeCell ref="G115:I115"/>
    <mergeCell ref="F116:K116"/>
    <mergeCell ref="G108:I108"/>
    <mergeCell ref="G109:I109"/>
    <mergeCell ref="G110:I110"/>
    <mergeCell ref="G111:I111"/>
    <mergeCell ref="G112:I112"/>
    <mergeCell ref="G113:I113"/>
    <mergeCell ref="S3:S4"/>
    <mergeCell ref="T3:T4"/>
    <mergeCell ref="U3:U4"/>
    <mergeCell ref="A106:K106"/>
    <mergeCell ref="A107:B107"/>
    <mergeCell ref="C107:D107"/>
    <mergeCell ref="E107:F107"/>
    <mergeCell ref="G107:I107"/>
    <mergeCell ref="M3:M4"/>
    <mergeCell ref="N3:N4"/>
    <mergeCell ref="O3:O4"/>
    <mergeCell ref="P3:P4"/>
    <mergeCell ref="Q3:Q4"/>
    <mergeCell ref="R3:R4"/>
    <mergeCell ref="O32:O35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623F-95C6-4589-9E46-19ABFB31521A}">
  <sheetPr>
    <tabColor theme="8" tint="0.59999389629810485"/>
  </sheetPr>
  <dimension ref="A1:N106"/>
  <sheetViews>
    <sheetView workbookViewId="0">
      <pane xSplit="4" ySplit="3" topLeftCell="E94" activePane="bottomRight" state="frozen"/>
      <selection pane="topRight" activeCell="E1" sqref="E1"/>
      <selection pane="bottomLeft" activeCell="A4" sqref="A4"/>
      <selection pane="bottomRight" activeCell="I69" sqref="I69:I7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+'[1]29'!G4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+'[1]29'!G5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+'[1]29'!G6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+'[1]29'!G7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+'[1]29'!G8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+'[1]29'!G9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+'[1]29'!G10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+'[1]29'!G11</f>
        <v>23</v>
      </c>
      <c r="D11" s="75">
        <v>0</v>
      </c>
      <c r="E11" s="74">
        <f t="shared" si="0"/>
        <v>23</v>
      </c>
      <c r="F11" s="75">
        <v>0</v>
      </c>
      <c r="G11" s="74">
        <f t="shared" si="1"/>
        <v>23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+'[1]29'!G12</f>
        <v>17</v>
      </c>
      <c r="D12" s="75">
        <v>0</v>
      </c>
      <c r="E12" s="74">
        <f t="shared" si="0"/>
        <v>17</v>
      </c>
      <c r="F12" s="75">
        <v>0</v>
      </c>
      <c r="G12" s="74">
        <f t="shared" si="1"/>
        <v>17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+'[1]29'!G13</f>
        <v>11</v>
      </c>
      <c r="D13" s="75">
        <v>0</v>
      </c>
      <c r="E13" s="74">
        <f t="shared" si="0"/>
        <v>11</v>
      </c>
      <c r="F13" s="75">
        <v>0</v>
      </c>
      <c r="G13" s="74">
        <f t="shared" si="1"/>
        <v>11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+'[1]29'!G14</f>
        <v>32</v>
      </c>
      <c r="D14" s="75">
        <v>0</v>
      </c>
      <c r="E14" s="74">
        <f t="shared" si="0"/>
        <v>32</v>
      </c>
      <c r="F14" s="75">
        <v>0</v>
      </c>
      <c r="G14" s="74">
        <f t="shared" si="1"/>
        <v>32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+'[1]29'!G15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+'[1]29'!G16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+'[1]29'!G17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+'[1]29'!G18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+'[1]29'!G19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+'[1]29'!G20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+'[1]29'!G21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+'[1]29'!G22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+'[1]29'!G23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+'[1]29'!G24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+'[1]29'!G25</f>
        <v>8</v>
      </c>
      <c r="D25" s="75">
        <v>0</v>
      </c>
      <c r="E25" s="74">
        <f t="shared" si="0"/>
        <v>8</v>
      </c>
      <c r="F25" s="75">
        <v>0</v>
      </c>
      <c r="G25" s="74">
        <f t="shared" si="1"/>
        <v>8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+'[1]29'!G26</f>
        <v>7</v>
      </c>
      <c r="D26" s="75">
        <v>0</v>
      </c>
      <c r="E26" s="74">
        <f t="shared" si="0"/>
        <v>7</v>
      </c>
      <c r="F26" s="75">
        <v>0</v>
      </c>
      <c r="G26" s="74">
        <f t="shared" si="1"/>
        <v>7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+'[1]29'!G27</f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+'[1]29'!G28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+'[1]29'!G29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+'[1]29'!G30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+'[1]29'!G31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+'[1]29'!G32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+'[1]29'!G33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+'[1]29'!G34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+'[1]29'!G35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+'[1]29'!G36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+'[1]29'!G37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+'[1]29'!G38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+'[1]29'!G39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+'[1]29'!G40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+'[1]29'!G41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+'[1]29'!G42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+'[1]29'!G43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+'[1]29'!G44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+'[1]29'!G45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+'[1]29'!G46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+'[1]29'!G47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+'[1]29'!G48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+'[1]29'!G49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+'[1]29'!G50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+'[1]29'!G51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+'[1]29'!G52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+'[1]29'!G53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+'[1]29'!G54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+'[1]29'!G55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+'[1]29'!G56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+'[1]29'!G57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+'[1]29'!G58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+'[1]29'!G59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+'[1]29'!G60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+'[1]29'!G61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+'[1]29'!G62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+'[1]29'!G63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+'[1]29'!G64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+'[1]29'!G65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+'[1]29'!G66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+'[1]29'!G67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+'[1]29'!G68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+'[1]29'!G69</f>
        <v>2</v>
      </c>
      <c r="D69" s="75">
        <v>0</v>
      </c>
      <c r="E69" s="74">
        <f t="shared" si="0"/>
        <v>2</v>
      </c>
      <c r="F69" s="75">
        <v>0</v>
      </c>
      <c r="G69" s="74">
        <f t="shared" ref="G69:G90" si="4">+E69-F69-H69</f>
        <v>2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+'[1]29'!G70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+'[1]29'!G71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+'[1]29'!G72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+'[1]29'!G73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+'[1]29'!G74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+'[1]29'!G75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+'[1]29'!G76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+'[1]29'!G77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+'[1]29'!G78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+'[1]29'!G79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+'[1]29'!G80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+'[1]29'!G81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+'[1]29'!G82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+'[1]29'!G83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+'[1]29'!G84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+'[1]29'!G85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+'[1]29'!G86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+'[1]29'!G87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+'[1]29'!G88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+'[1]29'!G89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+'[1]29'!G90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I100" s="125" t="s">
        <v>39</v>
      </c>
      <c r="J100" s="126"/>
      <c r="K100" s="52">
        <v>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7:J97"/>
    <mergeCell ref="L2:L3"/>
    <mergeCell ref="M91:N91"/>
    <mergeCell ref="I93:J93"/>
    <mergeCell ref="I94:J94"/>
    <mergeCell ref="I96:J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690B-AAB5-4202-A80A-7BC0335D0F72}">
  <sheetPr>
    <tabColor rgb="FFFAA8E5"/>
  </sheetPr>
  <dimension ref="A1:N106"/>
  <sheetViews>
    <sheetView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5" sqref="C5"/>
    </sheetView>
  </sheetViews>
  <sheetFormatPr defaultRowHeight="15"/>
  <cols>
    <col min="1" max="1" width="6.140625" customWidth="1"/>
    <col min="2" max="2" width="39.7109375" bestFit="1" customWidth="1"/>
    <col min="10" max="10" width="12.8554687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9">
        <f>+ยกมา!G4</f>
        <v>-1</v>
      </c>
      <c r="D4" s="75">
        <v>10</v>
      </c>
      <c r="E4" s="74">
        <f t="shared" ref="E4:E58" si="0">C4+D4</f>
        <v>9</v>
      </c>
      <c r="F4" s="75">
        <v>0</v>
      </c>
      <c r="G4" s="74">
        <f>+E4-F4-H4</f>
        <v>8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9">
        <f>+ยกมา!G5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58" si="1">+E5-F5-H5</f>
        <v>14</v>
      </c>
      <c r="H5" s="76">
        <v>1</v>
      </c>
      <c r="I5" s="57">
        <v>60</v>
      </c>
      <c r="J5" s="71">
        <f t="shared" ref="J5:J58" si="2">+I5*H5</f>
        <v>60</v>
      </c>
      <c r="K5" s="54" t="s">
        <v>44</v>
      </c>
      <c r="L5" s="55">
        <v>0</v>
      </c>
      <c r="M5" s="45">
        <f t="shared" ref="M5:M68" si="3">SUM(J5-L5)</f>
        <v>60</v>
      </c>
    </row>
    <row r="6" spans="1:13" s="2" customFormat="1" ht="25.5">
      <c r="A6" s="8">
        <v>3</v>
      </c>
      <c r="B6" s="16" t="s">
        <v>56</v>
      </c>
      <c r="C6" s="79">
        <f>+ยกมา!G6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9">
        <f>+ยกมา!G7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9">
        <f>+ยกมา!G8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9">
        <f>+ยกมา!G9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9">
        <f>+ยกมา!G10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9">
        <f>+ยกมา!G11</f>
        <v>23</v>
      </c>
      <c r="D11" s="75">
        <v>0</v>
      </c>
      <c r="E11" s="74">
        <f t="shared" si="0"/>
        <v>23</v>
      </c>
      <c r="F11" s="75">
        <v>0</v>
      </c>
      <c r="G11" s="74">
        <f t="shared" si="1"/>
        <v>21</v>
      </c>
      <c r="H11" s="76">
        <v>2</v>
      </c>
      <c r="I11" s="57">
        <v>55</v>
      </c>
      <c r="J11" s="71">
        <f t="shared" si="2"/>
        <v>110</v>
      </c>
      <c r="K11" s="54" t="s">
        <v>44</v>
      </c>
      <c r="L11" s="55">
        <v>0</v>
      </c>
      <c r="M11" s="45">
        <f t="shared" si="3"/>
        <v>110</v>
      </c>
    </row>
    <row r="12" spans="1:13" s="2" customFormat="1" ht="25.5">
      <c r="A12" s="8">
        <v>9</v>
      </c>
      <c r="B12" s="16" t="s">
        <v>62</v>
      </c>
      <c r="C12" s="79">
        <f>+ยกมา!G12</f>
        <v>17</v>
      </c>
      <c r="D12" s="75">
        <v>10</v>
      </c>
      <c r="E12" s="74">
        <f t="shared" si="0"/>
        <v>27</v>
      </c>
      <c r="F12" s="75">
        <v>0</v>
      </c>
      <c r="G12" s="74">
        <f t="shared" si="1"/>
        <v>27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9">
        <f>+ยกมา!G13</f>
        <v>11</v>
      </c>
      <c r="D13" s="75">
        <v>0</v>
      </c>
      <c r="E13" s="74">
        <f t="shared" si="0"/>
        <v>11</v>
      </c>
      <c r="F13" s="75">
        <v>0</v>
      </c>
      <c r="G13" s="74">
        <f t="shared" si="1"/>
        <v>7</v>
      </c>
      <c r="H13" s="76">
        <v>4</v>
      </c>
      <c r="I13" s="57">
        <v>100</v>
      </c>
      <c r="J13" s="71">
        <f t="shared" si="2"/>
        <v>400</v>
      </c>
      <c r="K13" s="54" t="s">
        <v>123</v>
      </c>
      <c r="L13" s="55">
        <v>200</v>
      </c>
      <c r="M13" s="45">
        <f t="shared" si="3"/>
        <v>200</v>
      </c>
    </row>
    <row r="14" spans="1:13" s="2" customFormat="1" ht="25.5">
      <c r="A14" s="8">
        <v>11</v>
      </c>
      <c r="B14" s="9" t="s">
        <v>64</v>
      </c>
      <c r="C14" s="79">
        <f>+ยกมา!G14</f>
        <v>32</v>
      </c>
      <c r="D14" s="75">
        <v>0</v>
      </c>
      <c r="E14" s="74">
        <f t="shared" si="0"/>
        <v>32</v>
      </c>
      <c r="F14" s="75">
        <v>0</v>
      </c>
      <c r="G14" s="74">
        <f t="shared" si="1"/>
        <v>28</v>
      </c>
      <c r="H14" s="76">
        <v>4</v>
      </c>
      <c r="I14" s="57">
        <v>100</v>
      </c>
      <c r="J14" s="71">
        <f t="shared" si="2"/>
        <v>400</v>
      </c>
      <c r="K14" s="54" t="s">
        <v>123</v>
      </c>
      <c r="L14" s="55">
        <v>200</v>
      </c>
      <c r="M14" s="45">
        <f t="shared" si="3"/>
        <v>200</v>
      </c>
    </row>
    <row r="15" spans="1:13" s="2" customFormat="1" ht="25.5">
      <c r="A15" s="8">
        <v>12</v>
      </c>
      <c r="B15" s="9" t="s">
        <v>65</v>
      </c>
      <c r="C15" s="79">
        <f>+ยกมา!G15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9">
        <f>+ยกมา!G16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9">
        <f>+ยกมา!G17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15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68</v>
      </c>
      <c r="C18" s="79">
        <f>+ยกมา!G18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9">
        <f>+ยกมา!G19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9">
        <f>+ยกมา!G20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9">
        <f>+ยกมา!G21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9">
        <f>+ยกมา!G22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9">
        <f>+ยกมา!G23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9">
        <f>+ยกมา!G24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9"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9">
        <v>8</v>
      </c>
      <c r="D26" s="75">
        <v>5</v>
      </c>
      <c r="E26" s="74">
        <f t="shared" si="0"/>
        <v>13</v>
      </c>
      <c r="F26" s="75">
        <v>0</v>
      </c>
      <c r="G26" s="74">
        <f t="shared" si="1"/>
        <v>13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9">
        <v>7</v>
      </c>
      <c r="D27" s="75">
        <v>5</v>
      </c>
      <c r="E27" s="74">
        <f t="shared" si="0"/>
        <v>12</v>
      </c>
      <c r="F27" s="75">
        <v>0</v>
      </c>
      <c r="G27" s="74">
        <f t="shared" si="1"/>
        <v>12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9">
        <v>2</v>
      </c>
      <c r="D28" s="75">
        <v>5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9">
        <f>+ยกมา!G29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9">
        <f>+ยกมา!G30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9">
        <f>+ยกมา!G31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9">
        <f>+ยกมา!G32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9">
        <f>+ยกมา!G33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9">
        <f>+ยกมา!G34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9">
        <f>+ยกมา!G35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9">
        <f>+ยกมา!G36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9">
        <f>+ยกมา!G37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9">
        <f>+ยกมา!G38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9">
        <f>+ยกมา!G39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9">
        <f>+ยกมา!G40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9">
        <f>+ยกมา!G41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9">
        <f>+ยกมา!G42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9">
        <f>+ยกมา!G43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9">
        <f>+ยกมา!G44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9">
        <f>+ยกมา!G45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9">
        <f>+ยกมา!G46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9">
        <f>+ยกมา!G47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9">
        <f>+ยกมา!G48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9">
        <f>+ยกมา!G49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9">
        <f>+ยกมา!G50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9">
        <f>+ยกมา!G51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9">
        <f>+ยกมา!G52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9">
        <f>+ยกมา!G53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9">
        <f>+ยกมา!G54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9">
        <f>+ยกมา!G55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9">
        <f>+ยกมา!G56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9">
        <f>+ยกมา!G57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9">
        <f>+ยกมา!G58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9">
        <f>+ยกมา!G59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9">
        <f>+ยกมา!G60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9">
        <f>+ยกมา!G61</f>
        <v>14</v>
      </c>
      <c r="D61" s="75">
        <v>0</v>
      </c>
      <c r="E61" s="74">
        <f t="shared" si="6"/>
        <v>14</v>
      </c>
      <c r="F61" s="75">
        <v>0</v>
      </c>
      <c r="G61" s="74">
        <f t="shared" si="4"/>
        <v>14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9">
        <f>+ยกมา!G62</f>
        <v>5</v>
      </c>
      <c r="D62" s="75">
        <v>0</v>
      </c>
      <c r="E62" s="74">
        <f t="shared" si="6"/>
        <v>5</v>
      </c>
      <c r="F62" s="75">
        <v>0</v>
      </c>
      <c r="G62" s="74">
        <f t="shared" si="4"/>
        <v>5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9">
        <f>+ยกมา!G63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9">
        <f>+ยกมา!G64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9">
        <f>+ยกมา!G65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9">
        <f>+ยกมา!G66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9">
        <f>+ยกมา!G67</f>
        <v>0</v>
      </c>
      <c r="D67" s="75">
        <v>0</v>
      </c>
      <c r="E67" s="74">
        <f t="shared" si="6"/>
        <v>0</v>
      </c>
      <c r="F67" s="75">
        <v>0</v>
      </c>
      <c r="G67" s="74">
        <f t="shared" si="4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9">
        <f>+ยกมา!G68</f>
        <v>0</v>
      </c>
      <c r="D68" s="75">
        <v>0</v>
      </c>
      <c r="E68" s="74">
        <f t="shared" si="6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9">
        <f>+ยกมา!G69</f>
        <v>2</v>
      </c>
      <c r="D69" s="75">
        <v>0</v>
      </c>
      <c r="E69" s="74">
        <f t="shared" si="6"/>
        <v>2</v>
      </c>
      <c r="F69" s="75">
        <v>0</v>
      </c>
      <c r="G69" s="74">
        <f t="shared" ref="G69:G90" si="7">+E69-F69-H69</f>
        <v>2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78" si="9">SUM(J69-L69)</f>
        <v>0</v>
      </c>
    </row>
    <row r="70" spans="1:13" s="2" customFormat="1" ht="25.5">
      <c r="A70" s="8">
        <v>67</v>
      </c>
      <c r="B70" s="16" t="s">
        <v>124</v>
      </c>
      <c r="C70" s="79">
        <f>+ยกมา!G70</f>
        <v>53</v>
      </c>
      <c r="D70" s="75">
        <v>0</v>
      </c>
      <c r="E70" s="74">
        <f t="shared" si="6"/>
        <v>53</v>
      </c>
      <c r="F70" s="75">
        <v>0</v>
      </c>
      <c r="G70" s="74">
        <f t="shared" si="7"/>
        <v>53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/>
      <c r="B71" s="16"/>
      <c r="C71" s="79">
        <f>+ยกมา!G71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/>
      <c r="B72" s="16"/>
      <c r="C72" s="79">
        <f>+ยกมา!G72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/>
      <c r="B73" s="16"/>
      <c r="C73" s="79">
        <f>+ยกมา!G73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/>
      <c r="B74" s="16"/>
      <c r="C74" s="79">
        <f>+ยกมา!G74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/>
      <c r="B75" s="16"/>
      <c r="C75" s="79">
        <f>+ยกมา!G75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/>
      <c r="B76" s="16"/>
      <c r="C76" s="79">
        <f>+ยกมา!G76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/>
      <c r="B77" s="16"/>
      <c r="C77" s="79">
        <f>+ยกมา!G77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/>
      <c r="B78" s="16"/>
      <c r="C78" s="79">
        <f>+ยกมา!G78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/>
      <c r="B79" s="16"/>
      <c r="C79" s="79">
        <f>+ยกมา!G79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ref="M79:M90" si="10">SUM(J79-L79)</f>
        <v>0</v>
      </c>
    </row>
    <row r="80" spans="1:13" s="2" customFormat="1" ht="25.5">
      <c r="A80" s="8"/>
      <c r="B80" s="16"/>
      <c r="C80" s="79">
        <f>+ยกมา!G80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10"/>
        <v>0</v>
      </c>
    </row>
    <row r="81" spans="1:14" s="2" customFormat="1" ht="25.5">
      <c r="A81" s="8"/>
      <c r="B81" s="16"/>
      <c r="C81" s="79">
        <f>+ยกมา!G81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10"/>
        <v>0</v>
      </c>
    </row>
    <row r="82" spans="1:14" s="2" customFormat="1" ht="25.5">
      <c r="A82" s="8"/>
      <c r="B82" s="16"/>
      <c r="C82" s="79">
        <f>+ยกมา!G82</f>
        <v>0</v>
      </c>
      <c r="D82" s="75">
        <v>0</v>
      </c>
      <c r="E82" s="74">
        <f t="shared" ref="E82:E90" si="11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10"/>
        <v>0</v>
      </c>
      <c r="N82" s="45"/>
    </row>
    <row r="83" spans="1:14" s="2" customFormat="1" ht="25.5">
      <c r="A83" s="8"/>
      <c r="B83" s="16"/>
      <c r="C83" s="79">
        <f>+ยกมา!G83</f>
        <v>0</v>
      </c>
      <c r="D83" s="75">
        <v>0</v>
      </c>
      <c r="E83" s="74">
        <f t="shared" si="11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2">+I83*H83</f>
        <v>0</v>
      </c>
      <c r="K83" s="54" t="s">
        <v>44</v>
      </c>
      <c r="L83" s="55">
        <v>0</v>
      </c>
      <c r="M83" s="45">
        <f t="shared" si="10"/>
        <v>0</v>
      </c>
      <c r="N83" s="45"/>
    </row>
    <row r="84" spans="1:14" s="2" customFormat="1" ht="25.5">
      <c r="A84" s="8"/>
      <c r="B84" s="16"/>
      <c r="C84" s="79">
        <f>+ยกมา!G84</f>
        <v>0</v>
      </c>
      <c r="D84" s="75">
        <v>0</v>
      </c>
      <c r="E84" s="74">
        <f t="shared" si="11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2"/>
        <v>0</v>
      </c>
      <c r="K84" s="54" t="s">
        <v>44</v>
      </c>
      <c r="L84" s="55">
        <v>0</v>
      </c>
      <c r="M84" s="45">
        <f t="shared" si="10"/>
        <v>0</v>
      </c>
      <c r="N84" s="45"/>
    </row>
    <row r="85" spans="1:14" s="2" customFormat="1" ht="25.5">
      <c r="A85" s="8"/>
      <c r="B85" s="16"/>
      <c r="C85" s="79">
        <f>+ยกมา!G85</f>
        <v>0</v>
      </c>
      <c r="D85" s="75">
        <v>0</v>
      </c>
      <c r="E85" s="74">
        <f t="shared" si="11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2"/>
        <v>0</v>
      </c>
      <c r="K85" s="54" t="s">
        <v>44</v>
      </c>
      <c r="L85" s="55">
        <v>0</v>
      </c>
      <c r="M85" s="45">
        <f t="shared" si="10"/>
        <v>0</v>
      </c>
      <c r="N85" s="45"/>
    </row>
    <row r="86" spans="1:14" s="2" customFormat="1" ht="25.5">
      <c r="A86" s="8"/>
      <c r="B86" s="16"/>
      <c r="C86" s="79">
        <f>+ยกมา!G86</f>
        <v>0</v>
      </c>
      <c r="D86" s="75">
        <v>0</v>
      </c>
      <c r="E86" s="74">
        <f t="shared" si="11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2"/>
        <v>0</v>
      </c>
      <c r="K86" s="54" t="s">
        <v>44</v>
      </c>
      <c r="L86" s="55">
        <v>0</v>
      </c>
      <c r="M86" s="45">
        <f t="shared" si="10"/>
        <v>0</v>
      </c>
      <c r="N86" s="45"/>
    </row>
    <row r="87" spans="1:14" s="2" customFormat="1" ht="25.5">
      <c r="A87" s="8"/>
      <c r="B87" s="16"/>
      <c r="C87" s="79">
        <f>+ยกมา!G87</f>
        <v>0</v>
      </c>
      <c r="D87" s="75">
        <v>0</v>
      </c>
      <c r="E87" s="74">
        <f t="shared" si="11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2"/>
        <v>0</v>
      </c>
      <c r="K87" s="54" t="s">
        <v>44</v>
      </c>
      <c r="L87" s="55">
        <v>0</v>
      </c>
      <c r="M87" s="45">
        <f t="shared" si="10"/>
        <v>0</v>
      </c>
      <c r="N87" s="45"/>
    </row>
    <row r="88" spans="1:14" s="2" customFormat="1" ht="25.5">
      <c r="A88" s="8"/>
      <c r="B88" s="16"/>
      <c r="C88" s="79">
        <f>+ยกมา!G88</f>
        <v>0</v>
      </c>
      <c r="D88" s="75">
        <v>0</v>
      </c>
      <c r="E88" s="74">
        <f t="shared" si="11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2"/>
        <v>0</v>
      </c>
      <c r="K88" s="54" t="s">
        <v>44</v>
      </c>
      <c r="L88" s="55">
        <v>0</v>
      </c>
      <c r="M88" s="45">
        <f t="shared" si="10"/>
        <v>0</v>
      </c>
      <c r="N88" s="45"/>
    </row>
    <row r="89" spans="1:14" s="2" customFormat="1" ht="25.5">
      <c r="A89" s="8"/>
      <c r="B89" s="16"/>
      <c r="C89" s="79">
        <f>+ยกมา!G89</f>
        <v>0</v>
      </c>
      <c r="D89" s="75">
        <v>0</v>
      </c>
      <c r="E89" s="74">
        <f t="shared" si="11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2"/>
        <v>0</v>
      </c>
      <c r="K89" s="54" t="s">
        <v>44</v>
      </c>
      <c r="L89" s="55">
        <v>0</v>
      </c>
      <c r="M89" s="45">
        <f t="shared" si="10"/>
        <v>0</v>
      </c>
      <c r="N89" s="45"/>
    </row>
    <row r="90" spans="1:14" s="2" customFormat="1" ht="25.5">
      <c r="A90" s="8"/>
      <c r="B90" s="16"/>
      <c r="C90" s="79">
        <f>+ยกมา!G90</f>
        <v>0</v>
      </c>
      <c r="D90" s="75">
        <v>0</v>
      </c>
      <c r="E90" s="74">
        <f t="shared" si="11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2"/>
        <v>0</v>
      </c>
      <c r="K90" s="54" t="s">
        <v>44</v>
      </c>
      <c r="L90" s="55">
        <v>0</v>
      </c>
      <c r="M90" s="45">
        <f t="shared" si="10"/>
        <v>0</v>
      </c>
      <c r="N90" s="45">
        <f>SUM(M4:M90)</f>
        <v>670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1070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1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1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400</v>
      </c>
    </row>
    <row r="99" spans="1:11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670</v>
      </c>
    </row>
    <row r="100" spans="1:11" s="2" customFormat="1" ht="25.5">
      <c r="A100" s="1"/>
      <c r="C100" s="62"/>
      <c r="E100" s="62"/>
      <c r="G100" s="62"/>
      <c r="I100" s="125" t="s">
        <v>39</v>
      </c>
      <c r="J100" s="126"/>
      <c r="K100" s="52">
        <v>670</v>
      </c>
    </row>
    <row r="101" spans="1:11" s="2" customFormat="1" ht="25.5">
      <c r="A101" s="1"/>
      <c r="C101" s="62"/>
      <c r="E101" s="62"/>
      <c r="G101" s="62"/>
      <c r="I101" s="125" t="s">
        <v>41</v>
      </c>
      <c r="J101" s="126"/>
      <c r="K101" s="48">
        <f>+K100-K99</f>
        <v>0</v>
      </c>
    </row>
    <row r="102" spans="1:11" s="2" customFormat="1" ht="25.5">
      <c r="I102" s="125" t="s">
        <v>42</v>
      </c>
      <c r="J102" s="126"/>
      <c r="K102" s="48">
        <f>+K100-K99</f>
        <v>0</v>
      </c>
    </row>
    <row r="103" spans="1:11" s="2" customFormat="1" ht="24.75"/>
    <row r="104" spans="1:11" s="2" customFormat="1" ht="24.75">
      <c r="J104" s="65" t="s">
        <v>50</v>
      </c>
      <c r="K104" s="45">
        <f>+K93-K98+K101</f>
        <v>670</v>
      </c>
    </row>
    <row r="105" spans="1:11" s="2" customFormat="1" ht="24.75">
      <c r="J105" s="65" t="s">
        <v>51</v>
      </c>
      <c r="K105" s="45">
        <f>SUM(K94:K97)</f>
        <v>0</v>
      </c>
    </row>
    <row r="106" spans="1:11" s="2" customFormat="1" ht="24.75">
      <c r="J106" s="65" t="s">
        <v>52</v>
      </c>
      <c r="K106" s="45">
        <f>+K100</f>
        <v>670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90DA-7104-4446-B207-AFDAEEE9DA1A}">
  <sheetPr>
    <tabColor rgb="FFFAA8E5"/>
  </sheetPr>
  <dimension ref="A1:N106"/>
  <sheetViews>
    <sheetView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5" sqref="C15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  <col min="14" max="14" width="10.42578125" bestFit="1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3"/>
      <c r="D3" s="133"/>
      <c r="E3" s="133"/>
      <c r="F3" s="80" t="s">
        <v>19</v>
      </c>
      <c r="G3" s="133"/>
      <c r="H3" s="80" t="s">
        <v>20</v>
      </c>
      <c r="I3" s="81" t="s">
        <v>21</v>
      </c>
      <c r="J3" s="80" t="s">
        <v>22</v>
      </c>
      <c r="K3" s="133"/>
      <c r="L3" s="134"/>
    </row>
    <row r="4" spans="1:13" s="2" customFormat="1" ht="25.5">
      <c r="A4" s="8">
        <v>1</v>
      </c>
      <c r="B4" s="9" t="s">
        <v>53</v>
      </c>
      <c r="C4" s="79">
        <f>+'1'!G4</f>
        <v>8</v>
      </c>
      <c r="D4" s="75">
        <v>0</v>
      </c>
      <c r="E4" s="74">
        <f t="shared" ref="E4:E58" si="0">C4+D4</f>
        <v>8</v>
      </c>
      <c r="F4" s="75">
        <v>0</v>
      </c>
      <c r="G4" s="74">
        <f>+E4-F4-H4</f>
        <v>8</v>
      </c>
      <c r="H4" s="76">
        <v>0</v>
      </c>
      <c r="I4" s="57">
        <v>50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9">
        <f>+'1'!G5</f>
        <v>14</v>
      </c>
      <c r="D5" s="75">
        <v>0</v>
      </c>
      <c r="E5" s="74">
        <f t="shared" si="0"/>
        <v>14</v>
      </c>
      <c r="F5" s="75">
        <v>0</v>
      </c>
      <c r="G5" s="74">
        <f t="shared" ref="G5:G68" si="1">+E5-F5-H5</f>
        <v>14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38" si="3">SUM(J5-L5)</f>
        <v>0</v>
      </c>
    </row>
    <row r="6" spans="1:13" s="2" customFormat="1" ht="25.5">
      <c r="A6" s="8">
        <v>3</v>
      </c>
      <c r="B6" s="16" t="s">
        <v>56</v>
      </c>
      <c r="C6" s="79">
        <f>+'1'!G6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9">
        <f>+'1'!G7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9">
        <f>+'1'!G8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9">
        <f>+'1'!G9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9">
        <f>+'1'!G10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9">
        <f>+'1'!G11</f>
        <v>21</v>
      </c>
      <c r="D11" s="75">
        <v>0</v>
      </c>
      <c r="E11" s="74">
        <f t="shared" si="0"/>
        <v>21</v>
      </c>
      <c r="F11" s="75">
        <v>0</v>
      </c>
      <c r="G11" s="74">
        <f t="shared" si="1"/>
        <v>21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9">
        <f>+'1'!G12</f>
        <v>27</v>
      </c>
      <c r="D12" s="75">
        <v>0</v>
      </c>
      <c r="E12" s="74">
        <f t="shared" si="0"/>
        <v>27</v>
      </c>
      <c r="F12" s="75">
        <v>0</v>
      </c>
      <c r="G12" s="74">
        <f t="shared" si="1"/>
        <v>27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9">
        <f>+'1'!G13</f>
        <v>7</v>
      </c>
      <c r="D13" s="75">
        <v>0</v>
      </c>
      <c r="E13" s="74">
        <f t="shared" si="0"/>
        <v>7</v>
      </c>
      <c r="F13" s="75">
        <v>0</v>
      </c>
      <c r="G13" s="74">
        <f t="shared" si="1"/>
        <v>3</v>
      </c>
      <c r="H13" s="76">
        <v>4</v>
      </c>
      <c r="I13" s="57">
        <v>100</v>
      </c>
      <c r="J13" s="71">
        <f t="shared" si="2"/>
        <v>400</v>
      </c>
      <c r="K13" s="54" t="s">
        <v>123</v>
      </c>
      <c r="L13" s="55">
        <v>200</v>
      </c>
      <c r="M13" s="45">
        <f t="shared" si="3"/>
        <v>200</v>
      </c>
    </row>
    <row r="14" spans="1:13" s="2" customFormat="1" ht="25.5">
      <c r="A14" s="8">
        <v>11</v>
      </c>
      <c r="B14" s="9" t="s">
        <v>64</v>
      </c>
      <c r="C14" s="79">
        <f>+'1'!G14</f>
        <v>28</v>
      </c>
      <c r="D14" s="75">
        <v>0</v>
      </c>
      <c r="E14" s="74">
        <f t="shared" si="0"/>
        <v>28</v>
      </c>
      <c r="F14" s="75">
        <v>4</v>
      </c>
      <c r="G14" s="74">
        <f t="shared" si="1"/>
        <v>22</v>
      </c>
      <c r="H14" s="76">
        <v>2</v>
      </c>
      <c r="I14" s="57">
        <v>100</v>
      </c>
      <c r="J14" s="71">
        <f t="shared" si="2"/>
        <v>200</v>
      </c>
      <c r="K14" s="54" t="s">
        <v>123</v>
      </c>
      <c r="L14" s="55">
        <v>100</v>
      </c>
      <c r="M14" s="45">
        <f t="shared" si="3"/>
        <v>100</v>
      </c>
    </row>
    <row r="15" spans="1:13" s="2" customFormat="1" ht="25.5">
      <c r="A15" s="8">
        <v>12</v>
      </c>
      <c r="B15" s="9" t="s">
        <v>65</v>
      </c>
      <c r="C15" s="79">
        <f>+'1'!G15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9">
        <f>+'1'!G16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9">
        <f>+'1'!G17</f>
        <v>15</v>
      </c>
      <c r="D17" s="75">
        <v>0</v>
      </c>
      <c r="E17" s="74">
        <f>C17+D17</f>
        <v>15</v>
      </c>
      <c r="F17" s="75">
        <v>0</v>
      </c>
      <c r="G17" s="74">
        <f t="shared" si="1"/>
        <v>15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9">
        <f>+'1'!G18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9">
        <f>+'1'!G19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9">
        <f>+'1'!G20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9">
        <f>+'1'!G21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9">
        <f>+'1'!G22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9">
        <f>+'1'!G23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9">
        <f>+'1'!G24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9">
        <f>+'1'!G25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9">
        <f>+'1'!G26</f>
        <v>13</v>
      </c>
      <c r="D26" s="75">
        <v>0</v>
      </c>
      <c r="E26" s="74">
        <f t="shared" si="0"/>
        <v>13</v>
      </c>
      <c r="F26" s="75">
        <v>0</v>
      </c>
      <c r="G26" s="74">
        <f t="shared" si="1"/>
        <v>13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9">
        <f>+'1'!G27</f>
        <v>12</v>
      </c>
      <c r="D27" s="75">
        <v>0</v>
      </c>
      <c r="E27" s="74">
        <f t="shared" si="0"/>
        <v>12</v>
      </c>
      <c r="F27" s="75">
        <v>0</v>
      </c>
      <c r="G27" s="74">
        <f t="shared" si="1"/>
        <v>12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9">
        <f>+'1'!G28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9">
        <f>+'1'!G29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9">
        <f>+'1'!G30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9">
        <f>+'1'!G31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9">
        <f>+'1'!G32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9">
        <f>+'1'!G33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9">
        <f>+'1'!G34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9">
        <f>+'1'!G35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9">
        <f>+'1'!G36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9">
        <f>+'1'!G37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9">
        <f>+'1'!G38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9">
        <f>+'1'!G39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/>
    </row>
    <row r="40" spans="1:13" s="2" customFormat="1" ht="25.5">
      <c r="A40" s="8">
        <v>37</v>
      </c>
      <c r="B40" s="16" t="s">
        <v>90</v>
      </c>
      <c r="C40" s="79">
        <f>+'1'!G40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/>
    </row>
    <row r="41" spans="1:13" s="2" customFormat="1" ht="25.5">
      <c r="A41" s="8">
        <v>38</v>
      </c>
      <c r="B41" s="16" t="s">
        <v>91</v>
      </c>
      <c r="C41" s="79">
        <f>+'1'!G41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/>
    </row>
    <row r="42" spans="1:13" s="2" customFormat="1" ht="25.5">
      <c r="A42" s="8">
        <v>39</v>
      </c>
      <c r="B42" s="16" t="s">
        <v>92</v>
      </c>
      <c r="C42" s="79">
        <f>+'1'!G42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/>
    </row>
    <row r="43" spans="1:13" s="2" customFormat="1" ht="25.5">
      <c r="A43" s="8">
        <v>40</v>
      </c>
      <c r="B43" s="16" t="s">
        <v>93</v>
      </c>
      <c r="C43" s="79">
        <f>+'1'!G43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/>
    </row>
    <row r="44" spans="1:13" s="2" customFormat="1" ht="25.5">
      <c r="A44" s="8">
        <v>41</v>
      </c>
      <c r="B44" s="16" t="s">
        <v>94</v>
      </c>
      <c r="C44" s="79">
        <f>+'1'!G44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/>
    </row>
    <row r="45" spans="1:13" s="2" customFormat="1" ht="25.5">
      <c r="A45" s="8">
        <v>42</v>
      </c>
      <c r="B45" s="16" t="s">
        <v>95</v>
      </c>
      <c r="C45" s="79">
        <f>+'1'!G45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/>
    </row>
    <row r="46" spans="1:13" s="2" customFormat="1" ht="25.5">
      <c r="A46" s="8">
        <v>43</v>
      </c>
      <c r="B46" s="16" t="s">
        <v>96</v>
      </c>
      <c r="C46" s="79">
        <f>+'1'!G46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/>
    </row>
    <row r="47" spans="1:13" s="2" customFormat="1" ht="25.5">
      <c r="A47" s="8">
        <v>44</v>
      </c>
      <c r="B47" s="16" t="s">
        <v>97</v>
      </c>
      <c r="C47" s="79">
        <f>+'1'!G47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/>
    </row>
    <row r="48" spans="1:13" s="2" customFormat="1" ht="25.5">
      <c r="A48" s="8">
        <v>45</v>
      </c>
      <c r="B48" s="16" t="s">
        <v>98</v>
      </c>
      <c r="C48" s="79">
        <f>+'1'!G48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/>
    </row>
    <row r="49" spans="1:13" s="2" customFormat="1" ht="25.5">
      <c r="A49" s="8">
        <v>46</v>
      </c>
      <c r="B49" s="16" t="s">
        <v>99</v>
      </c>
      <c r="C49" s="79">
        <f>+'1'!G49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/>
    </row>
    <row r="50" spans="1:13" s="2" customFormat="1" ht="25.5">
      <c r="A50" s="8">
        <v>47</v>
      </c>
      <c r="B50" s="16" t="s">
        <v>100</v>
      </c>
      <c r="C50" s="79">
        <f>+'1'!G50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/>
    </row>
    <row r="51" spans="1:13" s="2" customFormat="1" ht="25.5">
      <c r="A51" s="8">
        <v>48</v>
      </c>
      <c r="B51" s="16" t="s">
        <v>101</v>
      </c>
      <c r="C51" s="79">
        <f>+'1'!G51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/>
    </row>
    <row r="52" spans="1:13" s="2" customFormat="1" ht="25.5">
      <c r="A52" s="8">
        <v>49</v>
      </c>
      <c r="B52" s="16" t="s">
        <v>102</v>
      </c>
      <c r="C52" s="79">
        <f>+'1'!G52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/>
    </row>
    <row r="53" spans="1:13" s="2" customFormat="1" ht="25.5">
      <c r="A53" s="8">
        <v>50</v>
      </c>
      <c r="B53" s="16" t="s">
        <v>103</v>
      </c>
      <c r="C53" s="79">
        <f>+'1'!G53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/>
    </row>
    <row r="54" spans="1:13" s="2" customFormat="1" ht="25.5">
      <c r="A54" s="8">
        <v>51</v>
      </c>
      <c r="B54" s="16" t="s">
        <v>104</v>
      </c>
      <c r="C54" s="79">
        <f>+'1'!G54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/>
    </row>
    <row r="55" spans="1:13" s="2" customFormat="1" ht="25.5">
      <c r="A55" s="8">
        <v>52</v>
      </c>
      <c r="B55" s="16" t="s">
        <v>105</v>
      </c>
      <c r="C55" s="79">
        <f>+'1'!G55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/>
    </row>
    <row r="56" spans="1:13" s="2" customFormat="1" ht="25.5">
      <c r="A56" s="8">
        <v>53</v>
      </c>
      <c r="B56" s="16" t="s">
        <v>106</v>
      </c>
      <c r="C56" s="79">
        <f>+'1'!G56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/>
    </row>
    <row r="57" spans="1:13" s="2" customFormat="1" ht="25.5">
      <c r="A57" s="8">
        <v>54</v>
      </c>
      <c r="B57" s="16" t="s">
        <v>107</v>
      </c>
      <c r="C57" s="79">
        <f>+'1'!G57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/>
    </row>
    <row r="58" spans="1:13" s="2" customFormat="1" ht="25.5">
      <c r="A58" s="8">
        <v>55</v>
      </c>
      <c r="B58" s="82" t="s">
        <v>108</v>
      </c>
      <c r="C58" s="79">
        <f>+'1'!G58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/>
    </row>
    <row r="59" spans="1:13" s="2" customFormat="1" ht="25.5">
      <c r="A59" s="8">
        <v>56</v>
      </c>
      <c r="B59" s="16" t="s">
        <v>109</v>
      </c>
      <c r="C59" s="79">
        <f>+'1'!G59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ref="J59:J68" si="4">+I59*H59</f>
        <v>0</v>
      </c>
      <c r="K59" s="54" t="s">
        <v>44</v>
      </c>
      <c r="L59" s="55">
        <v>0</v>
      </c>
      <c r="M59" s="45">
        <f t="shared" ref="M59:M68" si="5">SUM(J59-L59)</f>
        <v>0</v>
      </c>
    </row>
    <row r="60" spans="1:13" s="2" customFormat="1" ht="25.5">
      <c r="A60" s="8">
        <v>57</v>
      </c>
      <c r="B60" s="16" t="s">
        <v>110</v>
      </c>
      <c r="C60" s="79">
        <f>+'1'!G60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4"/>
        <v>0</v>
      </c>
      <c r="K60" s="54" t="s">
        <v>44</v>
      </c>
      <c r="L60" s="55">
        <v>0</v>
      </c>
      <c r="M60" s="45">
        <f t="shared" si="5"/>
        <v>0</v>
      </c>
    </row>
    <row r="61" spans="1:13" s="2" customFormat="1" ht="25.5">
      <c r="A61" s="8">
        <v>58</v>
      </c>
      <c r="B61" s="16" t="s">
        <v>111</v>
      </c>
      <c r="C61" s="79">
        <f>+'1'!G61</f>
        <v>14</v>
      </c>
      <c r="D61" s="75">
        <v>0</v>
      </c>
      <c r="E61" s="74">
        <f t="shared" si="6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4"/>
        <v>0</v>
      </c>
      <c r="K61" s="54" t="s">
        <v>44</v>
      </c>
      <c r="L61" s="55">
        <v>0</v>
      </c>
      <c r="M61" s="45">
        <f t="shared" si="5"/>
        <v>0</v>
      </c>
    </row>
    <row r="62" spans="1:13" s="2" customFormat="1" ht="25.5">
      <c r="A62" s="8">
        <v>59</v>
      </c>
      <c r="B62" s="16" t="s">
        <v>112</v>
      </c>
      <c r="C62" s="79">
        <f>+'1'!G62</f>
        <v>5</v>
      </c>
      <c r="D62" s="75">
        <v>0</v>
      </c>
      <c r="E62" s="74">
        <f t="shared" si="6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4"/>
        <v>0</v>
      </c>
      <c r="K62" s="54" t="s">
        <v>44</v>
      </c>
      <c r="L62" s="55">
        <v>0</v>
      </c>
      <c r="M62" s="45">
        <f t="shared" si="5"/>
        <v>0</v>
      </c>
    </row>
    <row r="63" spans="1:13" s="2" customFormat="1" ht="25.5">
      <c r="A63" s="8">
        <v>60</v>
      </c>
      <c r="B63" s="16" t="s">
        <v>113</v>
      </c>
      <c r="C63" s="79">
        <f>+'1'!G63</f>
        <v>4</v>
      </c>
      <c r="D63" s="75">
        <v>0</v>
      </c>
      <c r="E63" s="74">
        <f t="shared" si="6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4"/>
        <v>0</v>
      </c>
      <c r="K63" s="54" t="s">
        <v>44</v>
      </c>
      <c r="L63" s="55">
        <v>0</v>
      </c>
      <c r="M63" s="45">
        <f t="shared" si="5"/>
        <v>0</v>
      </c>
    </row>
    <row r="64" spans="1:13" s="2" customFormat="1" ht="25.5">
      <c r="A64" s="8">
        <v>61</v>
      </c>
      <c r="B64" s="16" t="s">
        <v>114</v>
      </c>
      <c r="C64" s="79">
        <f>+'1'!G64</f>
        <v>4</v>
      </c>
      <c r="D64" s="75">
        <v>0</v>
      </c>
      <c r="E64" s="74">
        <f t="shared" si="6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4"/>
        <v>0</v>
      </c>
      <c r="K64" s="54" t="s">
        <v>44</v>
      </c>
      <c r="L64" s="55">
        <v>0</v>
      </c>
      <c r="M64" s="45">
        <f t="shared" si="5"/>
        <v>0</v>
      </c>
    </row>
    <row r="65" spans="1:13" s="2" customFormat="1" ht="25.5">
      <c r="A65" s="8">
        <v>62</v>
      </c>
      <c r="B65" s="16" t="s">
        <v>115</v>
      </c>
      <c r="C65" s="79">
        <f>+'1'!G65</f>
        <v>6</v>
      </c>
      <c r="D65" s="75">
        <v>0</v>
      </c>
      <c r="E65" s="74">
        <f t="shared" si="6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4"/>
        <v>0</v>
      </c>
      <c r="K65" s="54" t="s">
        <v>44</v>
      </c>
      <c r="L65" s="55">
        <v>0</v>
      </c>
      <c r="M65" s="45">
        <f t="shared" si="5"/>
        <v>0</v>
      </c>
    </row>
    <row r="66" spans="1:13" s="2" customFormat="1" ht="25.5">
      <c r="A66" s="8">
        <v>63</v>
      </c>
      <c r="B66" s="16" t="s">
        <v>117</v>
      </c>
      <c r="C66" s="79">
        <f>+'1'!G66</f>
        <v>2</v>
      </c>
      <c r="D66" s="75">
        <v>0</v>
      </c>
      <c r="E66" s="74">
        <f t="shared" si="6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4"/>
        <v>0</v>
      </c>
      <c r="K66" s="54" t="s">
        <v>44</v>
      </c>
      <c r="L66" s="55">
        <v>0</v>
      </c>
      <c r="M66" s="45">
        <f t="shared" si="5"/>
        <v>0</v>
      </c>
    </row>
    <row r="67" spans="1:13" s="2" customFormat="1" ht="25.5">
      <c r="A67" s="8">
        <v>64</v>
      </c>
      <c r="B67" s="16" t="s">
        <v>118</v>
      </c>
      <c r="C67" s="79">
        <f>+'1'!G67</f>
        <v>0</v>
      </c>
      <c r="D67" s="75">
        <v>0</v>
      </c>
      <c r="E67" s="74">
        <f t="shared" si="6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4"/>
        <v>0</v>
      </c>
      <c r="K67" s="54" t="s">
        <v>44</v>
      </c>
      <c r="L67" s="55">
        <v>0</v>
      </c>
      <c r="M67" s="45">
        <f t="shared" si="5"/>
        <v>0</v>
      </c>
    </row>
    <row r="68" spans="1:13" s="2" customFormat="1" ht="25.5">
      <c r="A68" s="8">
        <v>65</v>
      </c>
      <c r="B68" s="16" t="s">
        <v>119</v>
      </c>
      <c r="C68" s="79">
        <f>+'1'!G68</f>
        <v>0</v>
      </c>
      <c r="D68" s="75">
        <v>0</v>
      </c>
      <c r="E68" s="74">
        <f t="shared" si="6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4"/>
        <v>0</v>
      </c>
      <c r="K68" s="54" t="s">
        <v>44</v>
      </c>
      <c r="L68" s="55">
        <v>0</v>
      </c>
      <c r="M68" s="45">
        <f t="shared" si="5"/>
        <v>0</v>
      </c>
    </row>
    <row r="69" spans="1:13" s="2" customFormat="1" ht="25.5">
      <c r="A69" s="8">
        <v>66</v>
      </c>
      <c r="B69" s="16" t="s">
        <v>121</v>
      </c>
      <c r="C69" s="79">
        <f>+'1'!G69</f>
        <v>2</v>
      </c>
      <c r="D69" s="75">
        <v>0</v>
      </c>
      <c r="E69" s="74">
        <f t="shared" si="6"/>
        <v>2</v>
      </c>
      <c r="F69" s="75">
        <v>0</v>
      </c>
      <c r="G69" s="74">
        <f t="shared" ref="G69:G90" si="7">+E69-F69-H69</f>
        <v>2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9">
        <f>+'1'!G70</f>
        <v>53</v>
      </c>
      <c r="D70" s="75">
        <v>0</v>
      </c>
      <c r="E70" s="74">
        <f t="shared" si="6"/>
        <v>53</v>
      </c>
      <c r="F70" s="75">
        <v>0</v>
      </c>
      <c r="G70" s="74">
        <f t="shared" si="7"/>
        <v>53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9">
        <f>+'1'!G71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9">
        <f>+'1'!G72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9">
        <f>+'1'!G73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9">
        <f>+'1'!G74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9">
        <f>+'1'!G75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9">
        <f>+'1'!G76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9">
        <f>+'1'!G77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9">
        <f>+'1'!G78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9">
        <f>+'1'!G79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9">
        <f>+'1'!G80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9">
        <f>+'1'!G81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9">
        <f>+'1'!G82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9">
        <f>+'1'!G83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9">
        <f>+'1'!G84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9">
        <f>+'1'!G85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9">
        <f>+'1'!G86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9">
        <f>+'1'!G87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9">
        <f>+'1'!G88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9">
        <f>+'1'!G89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>+I89*H89</f>
        <v>0</v>
      </c>
      <c r="K89" s="54" t="s">
        <v>44</v>
      </c>
      <c r="L89" s="55">
        <v>0</v>
      </c>
      <c r="M89" s="45">
        <f>SUM(J89-L89)</f>
        <v>0</v>
      </c>
      <c r="N89" s="45"/>
    </row>
    <row r="90" spans="1:14" s="2" customFormat="1" ht="25.5">
      <c r="A90" s="8">
        <v>87</v>
      </c>
      <c r="B90" s="16"/>
      <c r="C90" s="79">
        <f>+'1'!G90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300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600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1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1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300</v>
      </c>
    </row>
    <row r="99" spans="1:11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300</v>
      </c>
    </row>
    <row r="100" spans="1:11" s="2" customFormat="1" ht="25.5">
      <c r="A100" s="1"/>
      <c r="C100" s="62"/>
      <c r="E100" s="62"/>
      <c r="G100" s="62"/>
      <c r="I100" s="125" t="s">
        <v>39</v>
      </c>
      <c r="J100" s="126"/>
      <c r="K100" s="52">
        <v>300</v>
      </c>
    </row>
    <row r="101" spans="1:11" s="2" customFormat="1" ht="25.5">
      <c r="A101" s="1"/>
      <c r="C101" s="62"/>
      <c r="E101" s="62"/>
      <c r="G101" s="62"/>
      <c r="I101" s="125" t="s">
        <v>41</v>
      </c>
      <c r="J101" s="126"/>
      <c r="K101" s="48">
        <f>+K100-K99</f>
        <v>0</v>
      </c>
    </row>
    <row r="102" spans="1:11" s="2" customFormat="1" ht="25.5">
      <c r="I102" s="125" t="s">
        <v>42</v>
      </c>
      <c r="J102" s="126"/>
      <c r="K102" s="48">
        <f>+K100-K99</f>
        <v>0</v>
      </c>
    </row>
    <row r="103" spans="1:11" s="2" customFormat="1" ht="24.75"/>
    <row r="104" spans="1:11" s="2" customFormat="1" ht="24.75">
      <c r="J104" s="65" t="s">
        <v>50</v>
      </c>
      <c r="K104" s="45">
        <f>+K93-K98+K101</f>
        <v>300</v>
      </c>
    </row>
    <row r="105" spans="1:11" s="2" customFormat="1" ht="24.75">
      <c r="J105" s="65" t="s">
        <v>51</v>
      </c>
      <c r="K105" s="45">
        <f>SUM(K94:K97)</f>
        <v>0</v>
      </c>
    </row>
    <row r="106" spans="1:11" s="2" customFormat="1" ht="24.75">
      <c r="J106" s="65" t="s">
        <v>52</v>
      </c>
      <c r="K106" s="45">
        <f>+K100</f>
        <v>300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ED2C-0B95-4365-8975-4D8F017761D7}">
  <sheetPr>
    <tabColor rgb="FFFAA8E5"/>
  </sheetPr>
  <dimension ref="A1:N106"/>
  <sheetViews>
    <sheetView zoomScale="85" zoomScaleNormal="85" workbookViewId="0">
      <pane xSplit="6" ySplit="3" topLeftCell="G53" activePane="bottomRight" state="frozen"/>
      <selection pane="topRight" activeCell="G1" sqref="G1"/>
      <selection pane="bottomLeft" activeCell="A4" sqref="A4"/>
      <selection pane="bottomRight" activeCell="C75" sqref="C75"/>
    </sheetView>
  </sheetViews>
  <sheetFormatPr defaultRowHeight="15"/>
  <cols>
    <col min="1" max="1" width="6.140625" customWidth="1"/>
    <col min="2" max="2" width="34.5703125" customWidth="1"/>
    <col min="10" max="10" width="12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+'2'!G4</f>
        <v>8</v>
      </c>
      <c r="D4" s="75">
        <v>0</v>
      </c>
      <c r="E4" s="74">
        <f t="shared" ref="E4:E58" si="0">C4+D4</f>
        <v>8</v>
      </c>
      <c r="F4" s="75">
        <v>0</v>
      </c>
      <c r="G4" s="74">
        <f>+E4-F4-H4</f>
        <v>7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+'2'!G5</f>
        <v>14</v>
      </c>
      <c r="D5" s="75">
        <v>0</v>
      </c>
      <c r="E5" s="74">
        <f t="shared" si="0"/>
        <v>14</v>
      </c>
      <c r="F5" s="75">
        <v>0</v>
      </c>
      <c r="G5" s="74">
        <f t="shared" ref="G5:G58" si="1">+E5-F5-H5</f>
        <v>14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0" si="3">SUM(J5-L5)</f>
        <v>0</v>
      </c>
    </row>
    <row r="6" spans="1:13" s="2" customFormat="1" ht="25.5">
      <c r="A6" s="8">
        <v>3</v>
      </c>
      <c r="B6" s="16" t="s">
        <v>56</v>
      </c>
      <c r="C6" s="74">
        <f>+'2'!G6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+'2'!G11</f>
        <v>21</v>
      </c>
      <c r="D11" s="75">
        <v>0</v>
      </c>
      <c r="E11" s="74">
        <f t="shared" si="0"/>
        <v>21</v>
      </c>
      <c r="F11" s="75">
        <v>0</v>
      </c>
      <c r="G11" s="74">
        <f t="shared" si="1"/>
        <v>21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+'2'!G12</f>
        <v>27</v>
      </c>
      <c r="D12" s="75">
        <v>0</v>
      </c>
      <c r="E12" s="74">
        <f t="shared" si="0"/>
        <v>27</v>
      </c>
      <c r="F12" s="75">
        <v>0</v>
      </c>
      <c r="G12" s="74">
        <f t="shared" si="1"/>
        <v>27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+'2'!G13</f>
        <v>3</v>
      </c>
      <c r="D13" s="75">
        <v>0</v>
      </c>
      <c r="E13" s="74">
        <f t="shared" si="0"/>
        <v>3</v>
      </c>
      <c r="F13" s="75">
        <v>0</v>
      </c>
      <c r="G13" s="74">
        <f t="shared" si="1"/>
        <v>2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64</v>
      </c>
      <c r="C14" s="74">
        <f>+'2'!G14</f>
        <v>22</v>
      </c>
      <c r="D14" s="75">
        <v>0</v>
      </c>
      <c r="E14" s="74">
        <f t="shared" si="0"/>
        <v>22</v>
      </c>
      <c r="F14" s="75">
        <v>0</v>
      </c>
      <c r="G14" s="74">
        <f t="shared" si="1"/>
        <v>22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+'2'!G15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+'2'!G17</f>
        <v>15</v>
      </c>
      <c r="D17" s="75">
        <v>0</v>
      </c>
      <c r="E17" s="74">
        <f>C17+D17</f>
        <v>15</v>
      </c>
      <c r="F17" s="75">
        <v>0</v>
      </c>
      <c r="G17" s="74">
        <f t="shared" si="1"/>
        <v>14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68</v>
      </c>
      <c r="C18" s="74">
        <f>+'2'!G18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+'2'!G19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+'2'!G25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+'2'!G26</f>
        <v>13</v>
      </c>
      <c r="D26" s="75">
        <v>0</v>
      </c>
      <c r="E26" s="74">
        <f t="shared" si="0"/>
        <v>13</v>
      </c>
      <c r="F26" s="75">
        <v>0</v>
      </c>
      <c r="G26" s="74">
        <f t="shared" si="1"/>
        <v>13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+'2'!G27</f>
        <v>12</v>
      </c>
      <c r="D27" s="75">
        <v>0</v>
      </c>
      <c r="E27" s="74">
        <f t="shared" si="0"/>
        <v>12</v>
      </c>
      <c r="F27" s="75">
        <v>0</v>
      </c>
      <c r="G27" s="74">
        <f t="shared" si="1"/>
        <v>12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+'2'!G28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+'2'!G44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0" si="4">+E59-F59-H59</f>
        <v>24</v>
      </c>
      <c r="H59" s="76">
        <v>0</v>
      </c>
      <c r="I59" s="57">
        <v>150</v>
      </c>
      <c r="J59" s="71">
        <f t="shared" ref="J59:J60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+'2'!G61</f>
        <v>14</v>
      </c>
      <c r="D61" s="75">
        <v>0</v>
      </c>
      <c r="E61" s="74">
        <f t="shared" si="6"/>
        <v>14</v>
      </c>
      <c r="F61" s="75">
        <v>0</v>
      </c>
      <c r="G61" s="74">
        <f t="shared" ref="G61:G81" si="7">+E61-F61-H61</f>
        <v>14</v>
      </c>
      <c r="H61" s="76">
        <v>0</v>
      </c>
      <c r="I61" s="57">
        <v>400</v>
      </c>
      <c r="J61" s="71">
        <f t="shared" ref="J61:J81" si="8">+I61*H61</f>
        <v>0</v>
      </c>
      <c r="K61" s="54" t="s">
        <v>44</v>
      </c>
      <c r="L61" s="55">
        <v>0</v>
      </c>
      <c r="M61" s="45">
        <f t="shared" ref="M61:M81" si="9">SUM(J61-L61)</f>
        <v>0</v>
      </c>
    </row>
    <row r="62" spans="1:13" s="2" customFormat="1" ht="25.5">
      <c r="A62" s="8">
        <v>59</v>
      </c>
      <c r="B62" s="16" t="s">
        <v>112</v>
      </c>
      <c r="C62" s="74">
        <f>+'2'!G62</f>
        <v>5</v>
      </c>
      <c r="D62" s="75">
        <v>0</v>
      </c>
      <c r="E62" s="74">
        <f t="shared" si="6"/>
        <v>5</v>
      </c>
      <c r="F62" s="75">
        <v>0</v>
      </c>
      <c r="G62" s="74">
        <f t="shared" si="7"/>
        <v>5</v>
      </c>
      <c r="H62" s="76">
        <v>0</v>
      </c>
      <c r="I62" s="57">
        <v>250</v>
      </c>
      <c r="J62" s="71">
        <f t="shared" si="8"/>
        <v>0</v>
      </c>
      <c r="K62" s="54" t="s">
        <v>44</v>
      </c>
      <c r="L62" s="55">
        <v>0</v>
      </c>
      <c r="M62" s="45">
        <f t="shared" si="9"/>
        <v>0</v>
      </c>
    </row>
    <row r="63" spans="1:13" s="2" customFormat="1" ht="25.5">
      <c r="A63" s="8">
        <v>60</v>
      </c>
      <c r="B63" s="16" t="s">
        <v>113</v>
      </c>
      <c r="C63" s="74">
        <f>+'2'!G63</f>
        <v>4</v>
      </c>
      <c r="D63" s="75">
        <v>0</v>
      </c>
      <c r="E63" s="74">
        <f t="shared" si="6"/>
        <v>4</v>
      </c>
      <c r="F63" s="75">
        <v>0</v>
      </c>
      <c r="G63" s="74">
        <f t="shared" si="7"/>
        <v>4</v>
      </c>
      <c r="H63" s="76">
        <v>0</v>
      </c>
      <c r="I63" s="57">
        <v>300</v>
      </c>
      <c r="J63" s="71">
        <f t="shared" si="8"/>
        <v>0</v>
      </c>
      <c r="K63" s="54" t="s">
        <v>44</v>
      </c>
      <c r="L63" s="55">
        <v>0</v>
      </c>
      <c r="M63" s="45">
        <f t="shared" si="9"/>
        <v>0</v>
      </c>
    </row>
    <row r="64" spans="1:13" s="2" customFormat="1" ht="25.5">
      <c r="A64" s="8">
        <v>61</v>
      </c>
      <c r="B64" s="16" t="s">
        <v>114</v>
      </c>
      <c r="C64" s="74">
        <f>+'2'!G64</f>
        <v>4</v>
      </c>
      <c r="D64" s="75">
        <v>0</v>
      </c>
      <c r="E64" s="74">
        <f t="shared" si="6"/>
        <v>4</v>
      </c>
      <c r="F64" s="75">
        <v>0</v>
      </c>
      <c r="G64" s="74">
        <f t="shared" si="7"/>
        <v>4</v>
      </c>
      <c r="H64" s="76">
        <v>0</v>
      </c>
      <c r="I64" s="57">
        <v>300</v>
      </c>
      <c r="J64" s="71">
        <f t="shared" si="8"/>
        <v>0</v>
      </c>
      <c r="K64" s="54" t="s">
        <v>44</v>
      </c>
      <c r="L64" s="55">
        <v>0</v>
      </c>
      <c r="M64" s="45">
        <f t="shared" si="9"/>
        <v>0</v>
      </c>
    </row>
    <row r="65" spans="1:13" s="2" customFormat="1" ht="25.5">
      <c r="A65" s="8">
        <v>62</v>
      </c>
      <c r="B65" s="16" t="s">
        <v>115</v>
      </c>
      <c r="C65" s="74">
        <f>+'2'!G65</f>
        <v>6</v>
      </c>
      <c r="D65" s="75">
        <v>0</v>
      </c>
      <c r="E65" s="74">
        <f t="shared" si="6"/>
        <v>6</v>
      </c>
      <c r="F65" s="75">
        <v>0</v>
      </c>
      <c r="G65" s="74">
        <f t="shared" si="7"/>
        <v>6</v>
      </c>
      <c r="H65" s="76">
        <v>0</v>
      </c>
      <c r="I65" s="57">
        <v>300</v>
      </c>
      <c r="J65" s="71">
        <f t="shared" si="8"/>
        <v>0</v>
      </c>
      <c r="K65" s="54" t="s">
        <v>44</v>
      </c>
      <c r="L65" s="55">
        <v>0</v>
      </c>
      <c r="M65" s="45">
        <f t="shared" si="9"/>
        <v>0</v>
      </c>
    </row>
    <row r="66" spans="1:13" s="2" customFormat="1" ht="25.5">
      <c r="A66" s="8">
        <v>63</v>
      </c>
      <c r="B66" s="16" t="s">
        <v>117</v>
      </c>
      <c r="C66" s="74">
        <f>+'2'!G66</f>
        <v>2</v>
      </c>
      <c r="D66" s="75">
        <v>0</v>
      </c>
      <c r="E66" s="74">
        <f t="shared" si="6"/>
        <v>2</v>
      </c>
      <c r="F66" s="75">
        <v>0</v>
      </c>
      <c r="G66" s="74">
        <f t="shared" si="7"/>
        <v>2</v>
      </c>
      <c r="H66" s="76">
        <v>0</v>
      </c>
      <c r="I66" s="57">
        <v>30</v>
      </c>
      <c r="J66" s="71">
        <f t="shared" si="8"/>
        <v>0</v>
      </c>
      <c r="K66" s="54" t="s">
        <v>44</v>
      </c>
      <c r="L66" s="55">
        <v>0</v>
      </c>
      <c r="M66" s="45">
        <f t="shared" si="9"/>
        <v>0</v>
      </c>
    </row>
    <row r="67" spans="1:13" s="2" customFormat="1" ht="25.5">
      <c r="A67" s="8">
        <v>64</v>
      </c>
      <c r="B67" s="16" t="s">
        <v>118</v>
      </c>
      <c r="C67" s="74">
        <f>+'2'!G67</f>
        <v>0</v>
      </c>
      <c r="D67" s="75">
        <v>0</v>
      </c>
      <c r="E67" s="74">
        <f t="shared" si="6"/>
        <v>0</v>
      </c>
      <c r="F67" s="75">
        <v>0</v>
      </c>
      <c r="G67" s="74">
        <f t="shared" si="7"/>
        <v>0</v>
      </c>
      <c r="H67" s="76">
        <v>0</v>
      </c>
      <c r="I67" s="57">
        <v>120</v>
      </c>
      <c r="J67" s="71">
        <f t="shared" si="8"/>
        <v>0</v>
      </c>
      <c r="K67" s="54" t="s">
        <v>44</v>
      </c>
      <c r="L67" s="55">
        <v>0</v>
      </c>
      <c r="M67" s="45">
        <f t="shared" si="9"/>
        <v>0</v>
      </c>
    </row>
    <row r="68" spans="1:13" s="2" customFormat="1" ht="25.5">
      <c r="A68" s="8">
        <v>65</v>
      </c>
      <c r="B68" s="16" t="s">
        <v>119</v>
      </c>
      <c r="C68" s="74">
        <f>+'2'!G68</f>
        <v>0</v>
      </c>
      <c r="D68" s="75">
        <v>0</v>
      </c>
      <c r="E68" s="74">
        <f t="shared" si="6"/>
        <v>0</v>
      </c>
      <c r="F68" s="75">
        <v>0</v>
      </c>
      <c r="G68" s="74">
        <f t="shared" si="7"/>
        <v>0</v>
      </c>
      <c r="H68" s="76">
        <v>0</v>
      </c>
      <c r="I68" s="56">
        <v>35</v>
      </c>
      <c r="J68" s="71">
        <f t="shared" si="8"/>
        <v>0</v>
      </c>
      <c r="K68" s="54" t="s">
        <v>44</v>
      </c>
      <c r="L68" s="55">
        <v>0</v>
      </c>
      <c r="M68" s="45">
        <f t="shared" si="9"/>
        <v>0</v>
      </c>
    </row>
    <row r="69" spans="1:13" s="2" customFormat="1" ht="25.5">
      <c r="A69" s="8">
        <v>66</v>
      </c>
      <c r="B69" s="16" t="s">
        <v>121</v>
      </c>
      <c r="C69" s="74">
        <f>+'2'!G69</f>
        <v>2</v>
      </c>
      <c r="D69" s="75">
        <v>0</v>
      </c>
      <c r="E69" s="74">
        <f t="shared" si="6"/>
        <v>2</v>
      </c>
      <c r="F69" s="75">
        <v>0</v>
      </c>
      <c r="G69" s="74">
        <f t="shared" si="7"/>
        <v>2</v>
      </c>
      <c r="H69" s="76">
        <v>0</v>
      </c>
      <c r="I69" s="57">
        <v>60</v>
      </c>
      <c r="J69" s="71">
        <f t="shared" si="8"/>
        <v>0</v>
      </c>
      <c r="K69" s="54" t="s">
        <v>44</v>
      </c>
      <c r="L69" s="55">
        <v>0</v>
      </c>
      <c r="M69" s="45">
        <f t="shared" si="9"/>
        <v>0</v>
      </c>
    </row>
    <row r="70" spans="1:13" s="2" customFormat="1" ht="25.5">
      <c r="A70" s="8">
        <v>67</v>
      </c>
      <c r="B70" s="16" t="s">
        <v>124</v>
      </c>
      <c r="C70" s="74">
        <f>+'2'!G70</f>
        <v>53</v>
      </c>
      <c r="D70" s="75">
        <v>0</v>
      </c>
      <c r="E70" s="74">
        <f t="shared" si="6"/>
        <v>53</v>
      </c>
      <c r="F70" s="75">
        <v>0</v>
      </c>
      <c r="G70" s="74">
        <f t="shared" si="7"/>
        <v>53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4">
        <f>+'2'!G71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+'2'!G72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+'2'!G73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+'2'!G74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+'2'!G75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+'2'!G76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+'2'!G77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+'2'!G78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+'2'!G79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+'2'!G80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+'2'!G81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+'2'!G82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ref="G82:G90" si="11">+E82-F82-H82</f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ref="M82:M90" si="12">SUM(J82-L82)</f>
        <v>0</v>
      </c>
    </row>
    <row r="83" spans="1:14" s="2" customFormat="1" ht="25.5">
      <c r="A83" s="8">
        <v>80</v>
      </c>
      <c r="B83" s="16"/>
      <c r="C83" s="74">
        <f>+'2'!G83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11"/>
        <v>0</v>
      </c>
      <c r="H83" s="76">
        <v>0</v>
      </c>
      <c r="I83" s="57"/>
      <c r="J83" s="71">
        <f t="shared" ref="J83:J90" si="13">+I83*H83</f>
        <v>0</v>
      </c>
      <c r="K83" s="54" t="s">
        <v>44</v>
      </c>
      <c r="L83" s="55">
        <v>0</v>
      </c>
      <c r="M83" s="45">
        <f t="shared" si="12"/>
        <v>0</v>
      </c>
      <c r="N83" s="45"/>
    </row>
    <row r="84" spans="1:14" s="2" customFormat="1" ht="25.5">
      <c r="A84" s="8">
        <v>81</v>
      </c>
      <c r="B84" s="16"/>
      <c r="C84" s="74">
        <f>+'2'!G84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11"/>
        <v>0</v>
      </c>
      <c r="H84" s="76">
        <v>0</v>
      </c>
      <c r="I84" s="57"/>
      <c r="J84" s="71">
        <f t="shared" si="13"/>
        <v>0</v>
      </c>
      <c r="K84" s="54" t="s">
        <v>44</v>
      </c>
      <c r="L84" s="55">
        <v>0</v>
      </c>
      <c r="M84" s="45">
        <f t="shared" si="12"/>
        <v>0</v>
      </c>
      <c r="N84" s="45"/>
    </row>
    <row r="85" spans="1:14" s="2" customFormat="1" ht="25.5">
      <c r="A85" s="8">
        <v>82</v>
      </c>
      <c r="B85" s="16"/>
      <c r="C85" s="74">
        <f>+'2'!G85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11"/>
        <v>0</v>
      </c>
      <c r="H85" s="76">
        <v>0</v>
      </c>
      <c r="I85" s="57"/>
      <c r="J85" s="71">
        <f t="shared" si="13"/>
        <v>0</v>
      </c>
      <c r="K85" s="54" t="s">
        <v>44</v>
      </c>
      <c r="L85" s="55">
        <v>0</v>
      </c>
      <c r="M85" s="45">
        <f t="shared" si="12"/>
        <v>0</v>
      </c>
      <c r="N85" s="45"/>
    </row>
    <row r="86" spans="1:14" s="2" customFormat="1" ht="25.5">
      <c r="A86" s="8">
        <v>83</v>
      </c>
      <c r="B86" s="16"/>
      <c r="C86" s="74">
        <f>+'2'!G86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11"/>
        <v>0</v>
      </c>
      <c r="H86" s="76">
        <v>0</v>
      </c>
      <c r="I86" s="57"/>
      <c r="J86" s="71">
        <f t="shared" si="13"/>
        <v>0</v>
      </c>
      <c r="K86" s="54" t="s">
        <v>44</v>
      </c>
      <c r="L86" s="55">
        <v>0</v>
      </c>
      <c r="M86" s="45">
        <f t="shared" si="12"/>
        <v>0</v>
      </c>
      <c r="N86" s="45"/>
    </row>
    <row r="87" spans="1:14" s="2" customFormat="1" ht="25.5">
      <c r="A87" s="8">
        <v>84</v>
      </c>
      <c r="B87" s="16"/>
      <c r="C87" s="74">
        <f>+'2'!G87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11"/>
        <v>0</v>
      </c>
      <c r="H87" s="76">
        <v>0</v>
      </c>
      <c r="I87" s="57"/>
      <c r="J87" s="71">
        <f t="shared" si="13"/>
        <v>0</v>
      </c>
      <c r="K87" s="54" t="s">
        <v>44</v>
      </c>
      <c r="L87" s="55">
        <v>0</v>
      </c>
      <c r="M87" s="45">
        <f t="shared" si="12"/>
        <v>0</v>
      </c>
      <c r="N87" s="45"/>
    </row>
    <row r="88" spans="1:14" s="2" customFormat="1" ht="25.5">
      <c r="A88" s="8">
        <v>85</v>
      </c>
      <c r="B88" s="16"/>
      <c r="C88" s="74">
        <f>+'2'!G88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11"/>
        <v>0</v>
      </c>
      <c r="H88" s="76">
        <v>0</v>
      </c>
      <c r="I88" s="57"/>
      <c r="J88" s="71">
        <f t="shared" si="13"/>
        <v>0</v>
      </c>
      <c r="K88" s="54" t="s">
        <v>44</v>
      </c>
      <c r="L88" s="55">
        <v>0</v>
      </c>
      <c r="M88" s="45">
        <f t="shared" si="12"/>
        <v>0</v>
      </c>
      <c r="N88" s="45"/>
    </row>
    <row r="89" spans="1:14" s="2" customFormat="1" ht="25.5">
      <c r="A89" s="8">
        <v>86</v>
      </c>
      <c r="B89" s="16"/>
      <c r="C89" s="74">
        <f>+'2'!G89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11"/>
        <v>0</v>
      </c>
      <c r="H89" s="76">
        <v>0</v>
      </c>
      <c r="I89" s="57"/>
      <c r="J89" s="71">
        <f t="shared" si="13"/>
        <v>0</v>
      </c>
      <c r="K89" s="54" t="s">
        <v>44</v>
      </c>
      <c r="L89" s="55">
        <v>0</v>
      </c>
      <c r="M89" s="45">
        <f t="shared" si="12"/>
        <v>0</v>
      </c>
      <c r="N89" s="45"/>
    </row>
    <row r="90" spans="1:14" s="2" customFormat="1" ht="25.5">
      <c r="A90" s="8">
        <v>87</v>
      </c>
      <c r="B90" s="16"/>
      <c r="C90" s="74">
        <f>+'2'!G90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11"/>
        <v>0</v>
      </c>
      <c r="H90" s="76">
        <v>0</v>
      </c>
      <c r="I90" s="57"/>
      <c r="J90" s="71">
        <f t="shared" si="13"/>
        <v>0</v>
      </c>
      <c r="K90" s="54" t="s">
        <v>44</v>
      </c>
      <c r="L90" s="55">
        <v>0</v>
      </c>
      <c r="M90" s="45">
        <f t="shared" si="12"/>
        <v>0</v>
      </c>
      <c r="N90" s="45">
        <f>SUM(M4:M90)</f>
        <v>200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200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1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1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1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200</v>
      </c>
    </row>
    <row r="100" spans="1:11" s="2" customFormat="1" ht="25.5">
      <c r="A100" s="1"/>
      <c r="C100" s="62"/>
      <c r="E100" s="62"/>
      <c r="G100" s="62"/>
      <c r="I100" s="125" t="s">
        <v>39</v>
      </c>
      <c r="J100" s="126"/>
      <c r="K100" s="52">
        <v>200</v>
      </c>
    </row>
    <row r="101" spans="1:11" s="2" customFormat="1" ht="25.5">
      <c r="A101" s="1"/>
      <c r="C101" s="62"/>
      <c r="E101" s="62"/>
      <c r="G101" s="62"/>
      <c r="I101" s="125" t="s">
        <v>41</v>
      </c>
      <c r="J101" s="126"/>
      <c r="K101" s="48">
        <f>+K100-K99</f>
        <v>0</v>
      </c>
    </row>
    <row r="102" spans="1:11" s="2" customFormat="1" ht="25.5">
      <c r="I102" s="125" t="s">
        <v>42</v>
      </c>
      <c r="J102" s="126"/>
      <c r="K102" s="48">
        <f>+K100-K99</f>
        <v>0</v>
      </c>
    </row>
    <row r="103" spans="1:11" s="2" customFormat="1" ht="24.75"/>
    <row r="104" spans="1:11" s="2" customFormat="1" ht="24.75">
      <c r="J104" s="65" t="s">
        <v>50</v>
      </c>
      <c r="K104" s="45">
        <f>+K93-K98+K101</f>
        <v>200</v>
      </c>
    </row>
    <row r="105" spans="1:11" s="2" customFormat="1" ht="24.75">
      <c r="J105" s="65" t="s">
        <v>51</v>
      </c>
      <c r="K105" s="45">
        <f>SUM(K94:K97)</f>
        <v>0</v>
      </c>
    </row>
    <row r="106" spans="1:11" s="2" customFormat="1" ht="24.75">
      <c r="J106" s="65" t="s">
        <v>52</v>
      </c>
      <c r="K106" s="45">
        <f>+K100</f>
        <v>200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L2:L3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E555-3FA8-4D00-A42A-25CE5A9FEFFA}">
  <sheetPr>
    <tabColor rgb="FFFAA8E5"/>
  </sheetPr>
  <dimension ref="A1:N106"/>
  <sheetViews>
    <sheetView zoomScale="85" zoomScaleNormal="85" workbookViewId="0">
      <pane ySplit="3" topLeftCell="A55" activePane="bottomLeft" state="frozen"/>
      <selection pane="bottomLeft" activeCell="C77" sqref="C77"/>
    </sheetView>
  </sheetViews>
  <sheetFormatPr defaultRowHeight="15"/>
  <cols>
    <col min="1" max="1" width="6.140625" customWidth="1"/>
    <col min="2" max="2" width="39.7109375" bestFit="1" customWidth="1"/>
    <col min="10" max="10" width="11.42578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+'3'!G4</f>
        <v>7</v>
      </c>
      <c r="D4" s="75">
        <v>0</v>
      </c>
      <c r="E4" s="74">
        <f t="shared" ref="E4:E58" si="0">C4+D4</f>
        <v>7</v>
      </c>
      <c r="F4" s="75">
        <v>0</v>
      </c>
      <c r="G4" s="74">
        <f>+E4-F4-H4</f>
        <v>7</v>
      </c>
      <c r="H4" s="76">
        <v>0</v>
      </c>
      <c r="I4" s="57">
        <v>50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+'3'!G5</f>
        <v>14</v>
      </c>
      <c r="D5" s="75">
        <v>0</v>
      </c>
      <c r="E5" s="74">
        <f t="shared" si="0"/>
        <v>14</v>
      </c>
      <c r="F5" s="75">
        <v>0</v>
      </c>
      <c r="G5" s="74">
        <f t="shared" ref="G5:G58" si="1">+E5-F5-H5</f>
        <v>14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+'3'!G6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+'3'!G7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+'3'!G8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+'3'!G9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+'3'!G10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+'3'!G11</f>
        <v>21</v>
      </c>
      <c r="D11" s="75">
        <v>0</v>
      </c>
      <c r="E11" s="74">
        <f t="shared" si="0"/>
        <v>21</v>
      </c>
      <c r="F11" s="75">
        <v>0</v>
      </c>
      <c r="G11" s="74">
        <f t="shared" si="1"/>
        <v>21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+'3'!G12</f>
        <v>27</v>
      </c>
      <c r="D12" s="75">
        <v>0</v>
      </c>
      <c r="E12" s="74">
        <f t="shared" si="0"/>
        <v>27</v>
      </c>
      <c r="F12" s="75">
        <v>0</v>
      </c>
      <c r="G12" s="74">
        <f t="shared" si="1"/>
        <v>27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+'3'!G13</f>
        <v>2</v>
      </c>
      <c r="D13" s="75">
        <v>0</v>
      </c>
      <c r="E13" s="74">
        <f t="shared" si="0"/>
        <v>2</v>
      </c>
      <c r="F13" s="75">
        <v>0</v>
      </c>
      <c r="G13" s="74">
        <f t="shared" si="1"/>
        <v>2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+'3'!G14</f>
        <v>22</v>
      </c>
      <c r="D14" s="75">
        <v>0</v>
      </c>
      <c r="E14" s="74">
        <f t="shared" si="0"/>
        <v>22</v>
      </c>
      <c r="F14" s="75">
        <v>0</v>
      </c>
      <c r="G14" s="74">
        <f t="shared" si="1"/>
        <v>22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+'3'!G15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+'3'!G16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+'3'!G17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+'3'!G18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+'3'!G19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+'3'!G20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+'3'!G21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+'3'!G22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+'3'!G23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+'3'!G24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+'3'!G25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+'3'!G26</f>
        <v>13</v>
      </c>
      <c r="D26" s="75">
        <v>0</v>
      </c>
      <c r="E26" s="74">
        <f t="shared" si="0"/>
        <v>13</v>
      </c>
      <c r="F26" s="75">
        <v>0</v>
      </c>
      <c r="G26" s="74">
        <f t="shared" si="1"/>
        <v>13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+'3'!G27</f>
        <v>12</v>
      </c>
      <c r="D27" s="75">
        <v>0</v>
      </c>
      <c r="E27" s="74">
        <f t="shared" si="0"/>
        <v>12</v>
      </c>
      <c r="F27" s="75">
        <v>0</v>
      </c>
      <c r="G27" s="74">
        <f t="shared" si="1"/>
        <v>12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+'3'!G28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+'3'!G29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+'3'!G30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+'3'!G31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+'3'!G32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+'3'!G33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+'3'!G34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+'3'!G35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+'3'!G36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+'3'!G37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+'3'!G38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+'3'!G39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+'3'!G40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+'3'!G41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+'3'!G42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+'3'!G43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+'3'!G44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+'3'!G45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+'3'!G46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+'3'!G47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+'3'!G48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+'3'!G49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+'3'!G50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+'3'!G51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+'3'!G52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+'3'!G53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+'3'!G54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+'3'!G55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+'3'!G56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+'3'!G57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+'3'!G58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+'3'!G59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+'3'!G60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+'3'!G61</f>
        <v>14</v>
      </c>
      <c r="D61" s="75">
        <v>0</v>
      </c>
      <c r="E61" s="74">
        <f t="shared" si="6"/>
        <v>14</v>
      </c>
      <c r="F61" s="75">
        <v>0</v>
      </c>
      <c r="G61" s="74">
        <f t="shared" si="4"/>
        <v>14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+'3'!G62</f>
        <v>5</v>
      </c>
      <c r="D62" s="75">
        <v>0</v>
      </c>
      <c r="E62" s="74">
        <f t="shared" si="6"/>
        <v>5</v>
      </c>
      <c r="F62" s="75">
        <v>0</v>
      </c>
      <c r="G62" s="74">
        <f t="shared" si="4"/>
        <v>5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+'3'!G63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+'3'!G64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+'3'!G65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+'3'!G66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+'3'!G67</f>
        <v>0</v>
      </c>
      <c r="D67" s="75">
        <v>0</v>
      </c>
      <c r="E67" s="74">
        <f t="shared" si="6"/>
        <v>0</v>
      </c>
      <c r="F67" s="75">
        <v>0</v>
      </c>
      <c r="G67" s="74">
        <f t="shared" si="4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+'3'!G68</f>
        <v>0</v>
      </c>
      <c r="D68" s="75">
        <v>0</v>
      </c>
      <c r="E68" s="74">
        <f t="shared" si="6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+'3'!G69</f>
        <v>2</v>
      </c>
      <c r="D69" s="75">
        <v>0</v>
      </c>
      <c r="E69" s="74">
        <f t="shared" si="6"/>
        <v>2</v>
      </c>
      <c r="F69" s="75">
        <v>0</v>
      </c>
      <c r="G69" s="74">
        <f t="shared" ref="G69:G90" si="7">+E69-F69-H69</f>
        <v>2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4">
        <f>+'3'!G70</f>
        <v>53</v>
      </c>
      <c r="D70" s="75">
        <v>0</v>
      </c>
      <c r="E70" s="74">
        <f t="shared" si="6"/>
        <v>53</v>
      </c>
      <c r="F70" s="75">
        <v>0</v>
      </c>
      <c r="G70" s="74">
        <f t="shared" si="7"/>
        <v>52</v>
      </c>
      <c r="H70" s="76">
        <v>1</v>
      </c>
      <c r="I70" s="57">
        <v>150</v>
      </c>
      <c r="J70" s="71">
        <f t="shared" si="8"/>
        <v>150</v>
      </c>
      <c r="K70" s="54" t="s">
        <v>44</v>
      </c>
      <c r="L70" s="55">
        <v>50</v>
      </c>
      <c r="M70" s="45">
        <f t="shared" si="9"/>
        <v>100</v>
      </c>
    </row>
    <row r="71" spans="1:13" s="2" customFormat="1" ht="25.5">
      <c r="A71" s="8">
        <v>68</v>
      </c>
      <c r="B71" s="16"/>
      <c r="C71" s="74">
        <f>+'3'!G71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+'3'!G72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+'3'!G73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+'3'!G74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+'3'!G75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+'3'!G76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+'3'!G77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+'3'!G78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+'3'!G79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+'3'!G80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+'3'!G81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+'3'!G82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</row>
    <row r="83" spans="1:14" s="2" customFormat="1" ht="25.5">
      <c r="A83" s="8">
        <v>80</v>
      </c>
      <c r="B83" s="16"/>
      <c r="C83" s="74">
        <f>+'3'!G83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4">
        <f>+'3'!G84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4">
        <f>+'3'!G85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4">
        <f>+'3'!G86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4">
        <f>+'3'!G87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4">
        <f>+'3'!G88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4">
        <f>+'3'!G89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4">
        <f>+'3'!G90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100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150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1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1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50</v>
      </c>
    </row>
    <row r="99" spans="1:11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100</v>
      </c>
    </row>
    <row r="100" spans="1:11" s="2" customFormat="1" ht="25.5">
      <c r="A100" s="1"/>
      <c r="C100" s="62"/>
      <c r="E100" s="62"/>
      <c r="G100" s="62"/>
      <c r="I100" s="125" t="s">
        <v>39</v>
      </c>
      <c r="J100" s="126"/>
      <c r="K100" s="52">
        <v>100</v>
      </c>
    </row>
    <row r="101" spans="1:11" s="2" customFormat="1" ht="25.5">
      <c r="A101" s="1"/>
      <c r="C101" s="62"/>
      <c r="E101" s="62"/>
      <c r="G101" s="62"/>
      <c r="I101" s="125" t="s">
        <v>41</v>
      </c>
      <c r="J101" s="126"/>
      <c r="K101" s="48">
        <f>+K100-K99</f>
        <v>0</v>
      </c>
    </row>
    <row r="102" spans="1:11" s="2" customFormat="1" ht="25.5">
      <c r="I102" s="125" t="s">
        <v>42</v>
      </c>
      <c r="J102" s="126"/>
      <c r="K102" s="48">
        <f>+K100-K99</f>
        <v>0</v>
      </c>
    </row>
    <row r="103" spans="1:11" s="2" customFormat="1" ht="24.75"/>
    <row r="104" spans="1:11" s="2" customFormat="1" ht="24.75">
      <c r="J104" s="65" t="s">
        <v>50</v>
      </c>
      <c r="K104" s="45">
        <f>+K93-K98+K101</f>
        <v>100</v>
      </c>
    </row>
    <row r="105" spans="1:11" s="2" customFormat="1" ht="24.75">
      <c r="J105" s="65" t="s">
        <v>51</v>
      </c>
      <c r="K105" s="45">
        <f>SUM(K94:K97)</f>
        <v>0</v>
      </c>
    </row>
    <row r="106" spans="1:11" s="2" customFormat="1" ht="24.75">
      <c r="J106" s="65" t="s">
        <v>52</v>
      </c>
      <c r="K106" s="45">
        <f>+K100</f>
        <v>100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M91:N91"/>
    <mergeCell ref="I93:J93"/>
    <mergeCell ref="I94:J94"/>
    <mergeCell ref="I96:J96"/>
    <mergeCell ref="I97:J97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3DD-D1E3-4FA7-B1CD-1242751B6C1E}">
  <sheetPr>
    <tabColor rgb="FFFAA8E5"/>
  </sheetPr>
  <dimension ref="A1:N106"/>
  <sheetViews>
    <sheetView zoomScale="85" zoomScaleNormal="85" workbookViewId="0">
      <pane ySplit="3" topLeftCell="A4" activePane="bottomLeft" state="frozen"/>
      <selection pane="bottomLeft" activeCell="C74" sqref="C74"/>
    </sheetView>
  </sheetViews>
  <sheetFormatPr defaultRowHeight="15"/>
  <cols>
    <col min="1" max="1" width="6.140625" customWidth="1"/>
    <col min="2" max="2" width="39.7109375" bestFit="1" customWidth="1"/>
    <col min="10" max="10" width="11.285156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+'4'!G4</f>
        <v>7</v>
      </c>
      <c r="D4" s="75">
        <v>0</v>
      </c>
      <c r="E4" s="74">
        <f t="shared" ref="E4:E58" si="0">C4+D4</f>
        <v>7</v>
      </c>
      <c r="F4" s="75">
        <v>0</v>
      </c>
      <c r="G4" s="46">
        <f>+E4-F4-H4</f>
        <v>6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+'4'!G5</f>
        <v>14</v>
      </c>
      <c r="D5" s="75">
        <v>0</v>
      </c>
      <c r="E5" s="74">
        <f t="shared" si="0"/>
        <v>14</v>
      </c>
      <c r="F5" s="75">
        <v>0</v>
      </c>
      <c r="G5" s="74">
        <f t="shared" ref="G5:G58" si="1">+E5-F5-H5</f>
        <v>14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38" si="3">SUM(J5-L5)</f>
        <v>0</v>
      </c>
    </row>
    <row r="6" spans="1:13" s="2" customFormat="1" ht="25.5">
      <c r="A6" s="8">
        <v>3</v>
      </c>
      <c r="B6" s="16" t="s">
        <v>56</v>
      </c>
      <c r="C6" s="74">
        <f>+'4'!G6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+'4'!G7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+'4'!G8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+'4'!G9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+'4'!G10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+'4'!G11</f>
        <v>21</v>
      </c>
      <c r="D11" s="75">
        <v>0</v>
      </c>
      <c r="E11" s="74">
        <f t="shared" si="0"/>
        <v>21</v>
      </c>
      <c r="F11" s="75">
        <v>0</v>
      </c>
      <c r="G11" s="74">
        <f t="shared" si="1"/>
        <v>20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>
      <c r="A12" s="8">
        <v>9</v>
      </c>
      <c r="B12" s="16" t="s">
        <v>62</v>
      </c>
      <c r="C12" s="74">
        <f>+'4'!G12</f>
        <v>27</v>
      </c>
      <c r="D12" s="75">
        <v>0</v>
      </c>
      <c r="E12" s="74">
        <f t="shared" si="0"/>
        <v>27</v>
      </c>
      <c r="F12" s="75">
        <v>0</v>
      </c>
      <c r="G12" s="74">
        <f t="shared" si="1"/>
        <v>26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f>+'4'!G13</f>
        <v>2</v>
      </c>
      <c r="D13" s="75">
        <v>0</v>
      </c>
      <c r="E13" s="74">
        <f t="shared" si="0"/>
        <v>2</v>
      </c>
      <c r="F13" s="75">
        <v>2</v>
      </c>
      <c r="G13" s="74">
        <f t="shared" si="1"/>
        <v>-3</v>
      </c>
      <c r="H13" s="76">
        <v>3</v>
      </c>
      <c r="I13" s="57">
        <v>100</v>
      </c>
      <c r="J13" s="71">
        <f t="shared" si="2"/>
        <v>300</v>
      </c>
      <c r="K13" s="54" t="s">
        <v>123</v>
      </c>
      <c r="L13" s="55">
        <v>150</v>
      </c>
      <c r="M13" s="45">
        <f t="shared" si="3"/>
        <v>150</v>
      </c>
    </row>
    <row r="14" spans="1:13" s="2" customFormat="1" ht="25.5">
      <c r="A14" s="8">
        <v>11</v>
      </c>
      <c r="B14" s="9" t="s">
        <v>64</v>
      </c>
      <c r="C14" s="74">
        <f>+'4'!G14</f>
        <v>22</v>
      </c>
      <c r="D14" s="75">
        <v>0</v>
      </c>
      <c r="E14" s="74">
        <f t="shared" si="0"/>
        <v>22</v>
      </c>
      <c r="F14" s="75">
        <v>0</v>
      </c>
      <c r="G14" s="74">
        <f t="shared" si="1"/>
        <v>21</v>
      </c>
      <c r="H14" s="76">
        <v>1</v>
      </c>
      <c r="I14" s="57">
        <v>100</v>
      </c>
      <c r="J14" s="71">
        <f t="shared" si="2"/>
        <v>100</v>
      </c>
      <c r="K14" s="54" t="s">
        <v>44</v>
      </c>
      <c r="L14" s="55">
        <v>0</v>
      </c>
      <c r="M14" s="45">
        <f t="shared" si="3"/>
        <v>100</v>
      </c>
    </row>
    <row r="15" spans="1:13" s="2" customFormat="1" ht="25.5">
      <c r="A15" s="8">
        <v>12</v>
      </c>
      <c r="B15" s="9" t="s">
        <v>65</v>
      </c>
      <c r="C15" s="74">
        <f>+'4'!G15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+'4'!G16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+'4'!G17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13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68</v>
      </c>
      <c r="C18" s="74">
        <f>+'4'!G18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+'4'!G19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+'4'!G20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+'4'!G21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+'4'!G22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+'4'!G23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+'4'!G24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+'4'!G25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+'4'!G26</f>
        <v>13</v>
      </c>
      <c r="D26" s="75">
        <v>0</v>
      </c>
      <c r="E26" s="74">
        <f t="shared" si="0"/>
        <v>13</v>
      </c>
      <c r="F26" s="75">
        <v>0</v>
      </c>
      <c r="G26" s="74">
        <f t="shared" si="1"/>
        <v>12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>
      <c r="A27" s="8">
        <v>24</v>
      </c>
      <c r="B27" s="9" t="s">
        <v>77</v>
      </c>
      <c r="C27" s="74">
        <f>+'4'!G27</f>
        <v>12</v>
      </c>
      <c r="D27" s="75">
        <v>0</v>
      </c>
      <c r="E27" s="74">
        <f t="shared" si="0"/>
        <v>12</v>
      </c>
      <c r="F27" s="75">
        <v>0</v>
      </c>
      <c r="G27" s="74">
        <f t="shared" si="1"/>
        <v>12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+'4'!G28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+'4'!G29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+'4'!G30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+'4'!G31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+'4'!G32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+'4'!G33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+'4'!G34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+'4'!G35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+'4'!G36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+'4'!G37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+'4'!G38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+'4'!G39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/>
    </row>
    <row r="40" spans="1:13" s="2" customFormat="1" ht="25.5">
      <c r="A40" s="8">
        <v>37</v>
      </c>
      <c r="B40" s="16" t="s">
        <v>90</v>
      </c>
      <c r="C40" s="74">
        <f>+'4'!G40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/>
    </row>
    <row r="41" spans="1:13" s="2" customFormat="1" ht="25.5">
      <c r="A41" s="8">
        <v>38</v>
      </c>
      <c r="B41" s="16" t="s">
        <v>91</v>
      </c>
      <c r="C41" s="74">
        <f>+'4'!G41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/>
    </row>
    <row r="42" spans="1:13" s="2" customFormat="1" ht="25.5">
      <c r="A42" s="8">
        <v>39</v>
      </c>
      <c r="B42" s="16" t="s">
        <v>92</v>
      </c>
      <c r="C42" s="74">
        <f>+'4'!G42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/>
    </row>
    <row r="43" spans="1:13" s="2" customFormat="1" ht="25.5">
      <c r="A43" s="8">
        <v>40</v>
      </c>
      <c r="B43" s="16" t="s">
        <v>93</v>
      </c>
      <c r="C43" s="74">
        <f>+'4'!G43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/>
    </row>
    <row r="44" spans="1:13" s="2" customFormat="1" ht="25.5">
      <c r="A44" s="8">
        <v>41</v>
      </c>
      <c r="B44" s="16" t="s">
        <v>94</v>
      </c>
      <c r="C44" s="74">
        <f>+'4'!G44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/>
    </row>
    <row r="45" spans="1:13" s="2" customFormat="1" ht="25.5">
      <c r="A45" s="8">
        <v>42</v>
      </c>
      <c r="B45" s="16" t="s">
        <v>95</v>
      </c>
      <c r="C45" s="74">
        <f>+'4'!G45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/>
    </row>
    <row r="46" spans="1:13" s="2" customFormat="1" ht="25.5">
      <c r="A46" s="8">
        <v>43</v>
      </c>
      <c r="B46" s="16" t="s">
        <v>96</v>
      </c>
      <c r="C46" s="74">
        <f>+'4'!G46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/>
    </row>
    <row r="47" spans="1:13" s="2" customFormat="1" ht="25.5">
      <c r="A47" s="8">
        <v>44</v>
      </c>
      <c r="B47" s="16" t="s">
        <v>97</v>
      </c>
      <c r="C47" s="74">
        <f>+'4'!G47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/>
    </row>
    <row r="48" spans="1:13" s="2" customFormat="1" ht="25.5">
      <c r="A48" s="8">
        <v>45</v>
      </c>
      <c r="B48" s="16" t="s">
        <v>98</v>
      </c>
      <c r="C48" s="74">
        <f>+'4'!G48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/>
    </row>
    <row r="49" spans="1:13" s="2" customFormat="1" ht="25.5">
      <c r="A49" s="8">
        <v>46</v>
      </c>
      <c r="B49" s="16" t="s">
        <v>99</v>
      </c>
      <c r="C49" s="74">
        <f>+'4'!G49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/>
    </row>
    <row r="50" spans="1:13" s="2" customFormat="1" ht="25.5">
      <c r="A50" s="8">
        <v>47</v>
      </c>
      <c r="B50" s="16" t="s">
        <v>100</v>
      </c>
      <c r="C50" s="74">
        <f>+'4'!G50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/>
    </row>
    <row r="51" spans="1:13" s="2" customFormat="1" ht="25.5">
      <c r="A51" s="8">
        <v>48</v>
      </c>
      <c r="B51" s="16" t="s">
        <v>101</v>
      </c>
      <c r="C51" s="74">
        <f>+'4'!G51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/>
    </row>
    <row r="52" spans="1:13" s="2" customFormat="1" ht="25.5">
      <c r="A52" s="8">
        <v>49</v>
      </c>
      <c r="B52" s="16" t="s">
        <v>102</v>
      </c>
      <c r="C52" s="74">
        <f>+'4'!G52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/>
    </row>
    <row r="53" spans="1:13" s="2" customFormat="1" ht="25.5">
      <c r="A53" s="8">
        <v>50</v>
      </c>
      <c r="B53" s="16" t="s">
        <v>103</v>
      </c>
      <c r="C53" s="74">
        <f>+'4'!G53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/>
    </row>
    <row r="54" spans="1:13" s="2" customFormat="1" ht="25.5">
      <c r="A54" s="8">
        <v>51</v>
      </c>
      <c r="B54" s="16" t="s">
        <v>104</v>
      </c>
      <c r="C54" s="74">
        <f>+'4'!G54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/>
    </row>
    <row r="55" spans="1:13" s="2" customFormat="1" ht="25.5">
      <c r="A55" s="8">
        <v>52</v>
      </c>
      <c r="B55" s="16" t="s">
        <v>105</v>
      </c>
      <c r="C55" s="74">
        <f>+'4'!G55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/>
    </row>
    <row r="56" spans="1:13" s="2" customFormat="1" ht="25.5">
      <c r="A56" s="8">
        <v>53</v>
      </c>
      <c r="B56" s="16" t="s">
        <v>106</v>
      </c>
      <c r="C56" s="74">
        <f>+'4'!G56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/>
    </row>
    <row r="57" spans="1:13" s="2" customFormat="1" ht="25.5">
      <c r="A57" s="8">
        <v>54</v>
      </c>
      <c r="B57" s="16" t="s">
        <v>107</v>
      </c>
      <c r="C57" s="74">
        <f>+'4'!G57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/>
    </row>
    <row r="58" spans="1:13" s="2" customFormat="1" ht="25.5">
      <c r="A58" s="8">
        <v>55</v>
      </c>
      <c r="B58" s="82" t="s">
        <v>108</v>
      </c>
      <c r="C58" s="74">
        <f>+'4'!G58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/>
    </row>
    <row r="59" spans="1:13" s="2" customFormat="1" ht="25.5">
      <c r="A59" s="8">
        <v>56</v>
      </c>
      <c r="B59" s="16" t="s">
        <v>109</v>
      </c>
      <c r="C59" s="74">
        <f>+'4'!G59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ref="M59:M68" si="6">SUM(J59-L59)</f>
        <v>0</v>
      </c>
    </row>
    <row r="60" spans="1:13" s="2" customFormat="1" ht="25.5">
      <c r="A60" s="8">
        <v>57</v>
      </c>
      <c r="B60" s="16" t="s">
        <v>110</v>
      </c>
      <c r="C60" s="74">
        <f>+'4'!G60</f>
        <v>7</v>
      </c>
      <c r="D60" s="75">
        <v>0</v>
      </c>
      <c r="E60" s="74">
        <f t="shared" ref="E60:E81" si="7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6"/>
        <v>0</v>
      </c>
    </row>
    <row r="61" spans="1:13" s="2" customFormat="1" ht="25.5">
      <c r="A61" s="8">
        <v>58</v>
      </c>
      <c r="B61" s="16" t="s">
        <v>111</v>
      </c>
      <c r="C61" s="74">
        <f>+'4'!G61</f>
        <v>14</v>
      </c>
      <c r="D61" s="75">
        <v>0</v>
      </c>
      <c r="E61" s="74">
        <f t="shared" si="7"/>
        <v>14</v>
      </c>
      <c r="F61" s="75">
        <v>0</v>
      </c>
      <c r="G61" s="74">
        <f t="shared" si="4"/>
        <v>14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6"/>
        <v>0</v>
      </c>
    </row>
    <row r="62" spans="1:13" s="2" customFormat="1" ht="25.5">
      <c r="A62" s="8">
        <v>59</v>
      </c>
      <c r="B62" s="16" t="s">
        <v>112</v>
      </c>
      <c r="C62" s="74">
        <f>+'4'!G62</f>
        <v>5</v>
      </c>
      <c r="D62" s="75">
        <v>0</v>
      </c>
      <c r="E62" s="74">
        <f t="shared" si="7"/>
        <v>5</v>
      </c>
      <c r="F62" s="75">
        <v>0</v>
      </c>
      <c r="G62" s="74">
        <f t="shared" si="4"/>
        <v>5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6"/>
        <v>0</v>
      </c>
    </row>
    <row r="63" spans="1:13" s="2" customFormat="1" ht="25.5">
      <c r="A63" s="8">
        <v>60</v>
      </c>
      <c r="B63" s="16" t="s">
        <v>113</v>
      </c>
      <c r="C63" s="74">
        <f>+'4'!G63</f>
        <v>4</v>
      </c>
      <c r="D63" s="75">
        <v>0</v>
      </c>
      <c r="E63" s="74">
        <f t="shared" si="7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6"/>
        <v>0</v>
      </c>
    </row>
    <row r="64" spans="1:13" s="2" customFormat="1" ht="25.5">
      <c r="A64" s="8">
        <v>61</v>
      </c>
      <c r="B64" s="16" t="s">
        <v>114</v>
      </c>
      <c r="C64" s="74">
        <f>+'4'!G64</f>
        <v>4</v>
      </c>
      <c r="D64" s="75">
        <v>0</v>
      </c>
      <c r="E64" s="74">
        <f t="shared" si="7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6"/>
        <v>0</v>
      </c>
    </row>
    <row r="65" spans="1:13" s="2" customFormat="1" ht="25.5">
      <c r="A65" s="8">
        <v>62</v>
      </c>
      <c r="B65" s="16" t="s">
        <v>115</v>
      </c>
      <c r="C65" s="74">
        <f>+'4'!G65</f>
        <v>6</v>
      </c>
      <c r="D65" s="75">
        <v>0</v>
      </c>
      <c r="E65" s="74">
        <f t="shared" si="7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6"/>
        <v>0</v>
      </c>
    </row>
    <row r="66" spans="1:13" s="2" customFormat="1" ht="25.5">
      <c r="A66" s="8">
        <v>63</v>
      </c>
      <c r="B66" s="16" t="s">
        <v>117</v>
      </c>
      <c r="C66" s="74">
        <f>+'4'!G66</f>
        <v>2</v>
      </c>
      <c r="D66" s="75">
        <v>0</v>
      </c>
      <c r="E66" s="74">
        <f t="shared" si="7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6"/>
        <v>0</v>
      </c>
    </row>
    <row r="67" spans="1:13" s="2" customFormat="1" ht="25.5">
      <c r="A67" s="8">
        <v>64</v>
      </c>
      <c r="B67" s="16" t="s">
        <v>118</v>
      </c>
      <c r="C67" s="74">
        <f>+'4'!G67</f>
        <v>0</v>
      </c>
      <c r="D67" s="75">
        <v>0</v>
      </c>
      <c r="E67" s="74">
        <f t="shared" si="7"/>
        <v>0</v>
      </c>
      <c r="F67" s="75">
        <v>0</v>
      </c>
      <c r="G67" s="74">
        <f t="shared" si="4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6"/>
        <v>0</v>
      </c>
    </row>
    <row r="68" spans="1:13" s="2" customFormat="1" ht="25.5">
      <c r="A68" s="8">
        <v>65</v>
      </c>
      <c r="B68" s="16" t="s">
        <v>119</v>
      </c>
      <c r="C68" s="74">
        <f>+'4'!G68</f>
        <v>0</v>
      </c>
      <c r="D68" s="75">
        <v>0</v>
      </c>
      <c r="E68" s="74">
        <f t="shared" si="7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6"/>
        <v>0</v>
      </c>
    </row>
    <row r="69" spans="1:13" s="2" customFormat="1" ht="25.5">
      <c r="A69" s="8">
        <v>66</v>
      </c>
      <c r="B69" s="16" t="s">
        <v>121</v>
      </c>
      <c r="C69" s="74">
        <f>+'4'!G69</f>
        <v>2</v>
      </c>
      <c r="D69" s="75">
        <v>0</v>
      </c>
      <c r="E69" s="74">
        <f t="shared" si="7"/>
        <v>2</v>
      </c>
      <c r="F69" s="75">
        <v>0</v>
      </c>
      <c r="G69" s="74">
        <f t="shared" ref="G69:G90" si="8">+E69-F69-H69</f>
        <v>2</v>
      </c>
      <c r="H69" s="76">
        <v>0</v>
      </c>
      <c r="I69" s="57">
        <v>60</v>
      </c>
      <c r="J69" s="71">
        <f t="shared" ref="J69:J81" si="9">+I69*H69</f>
        <v>0</v>
      </c>
      <c r="K69" s="54" t="s">
        <v>44</v>
      </c>
      <c r="L69" s="55">
        <v>0</v>
      </c>
      <c r="M69" s="45">
        <f t="shared" ref="M69:M90" si="10">SUM(J69-L69)</f>
        <v>0</v>
      </c>
    </row>
    <row r="70" spans="1:13" s="2" customFormat="1" ht="25.5">
      <c r="A70" s="8">
        <v>67</v>
      </c>
      <c r="B70" s="16" t="s">
        <v>124</v>
      </c>
      <c r="C70" s="74">
        <f>+'4'!G70</f>
        <v>52</v>
      </c>
      <c r="D70" s="75">
        <v>0</v>
      </c>
      <c r="E70" s="74">
        <f t="shared" si="7"/>
        <v>52</v>
      </c>
      <c r="F70" s="75">
        <v>0</v>
      </c>
      <c r="G70" s="74">
        <f t="shared" si="8"/>
        <v>52</v>
      </c>
      <c r="H70" s="76">
        <v>0</v>
      </c>
      <c r="I70" s="57">
        <v>150</v>
      </c>
      <c r="J70" s="71">
        <f t="shared" si="9"/>
        <v>0</v>
      </c>
      <c r="K70" s="54" t="s">
        <v>44</v>
      </c>
      <c r="L70" s="55">
        <v>0</v>
      </c>
      <c r="M70" s="45">
        <f t="shared" si="10"/>
        <v>0</v>
      </c>
    </row>
    <row r="71" spans="1:13" s="2" customFormat="1" ht="25.5">
      <c r="A71" s="8">
        <v>68</v>
      </c>
      <c r="B71" s="16"/>
      <c r="C71" s="74">
        <f>+'4'!G71</f>
        <v>0</v>
      </c>
      <c r="D71" s="75">
        <v>0</v>
      </c>
      <c r="E71" s="74">
        <f t="shared" si="7"/>
        <v>0</v>
      </c>
      <c r="F71" s="75">
        <v>0</v>
      </c>
      <c r="G71" s="74">
        <f t="shared" si="8"/>
        <v>0</v>
      </c>
      <c r="H71" s="76">
        <v>0</v>
      </c>
      <c r="I71" s="57"/>
      <c r="J71" s="71">
        <f t="shared" si="9"/>
        <v>0</v>
      </c>
      <c r="K71" s="54" t="s">
        <v>44</v>
      </c>
      <c r="L71" s="55">
        <v>0</v>
      </c>
      <c r="M71" s="45">
        <f t="shared" si="10"/>
        <v>0</v>
      </c>
    </row>
    <row r="72" spans="1:13" s="2" customFormat="1" ht="25.5">
      <c r="A72" s="8">
        <v>69</v>
      </c>
      <c r="B72" s="16"/>
      <c r="C72" s="74">
        <f>+'4'!G72</f>
        <v>0</v>
      </c>
      <c r="D72" s="75">
        <v>0</v>
      </c>
      <c r="E72" s="74">
        <f t="shared" si="7"/>
        <v>0</v>
      </c>
      <c r="F72" s="75">
        <v>0</v>
      </c>
      <c r="G72" s="74">
        <f t="shared" si="8"/>
        <v>0</v>
      </c>
      <c r="H72" s="76">
        <v>0</v>
      </c>
      <c r="I72" s="56"/>
      <c r="J72" s="71">
        <f t="shared" si="9"/>
        <v>0</v>
      </c>
      <c r="K72" s="54" t="s">
        <v>44</v>
      </c>
      <c r="L72" s="55">
        <v>0</v>
      </c>
      <c r="M72" s="45">
        <f t="shared" si="10"/>
        <v>0</v>
      </c>
    </row>
    <row r="73" spans="1:13" s="2" customFormat="1" ht="25.5">
      <c r="A73" s="8">
        <v>70</v>
      </c>
      <c r="B73" s="16"/>
      <c r="C73" s="74">
        <f>+'4'!G73</f>
        <v>0</v>
      </c>
      <c r="D73" s="75">
        <v>0</v>
      </c>
      <c r="E73" s="74">
        <f t="shared" si="7"/>
        <v>0</v>
      </c>
      <c r="F73" s="75">
        <v>0</v>
      </c>
      <c r="G73" s="74">
        <f t="shared" si="8"/>
        <v>0</v>
      </c>
      <c r="H73" s="76">
        <v>0</v>
      </c>
      <c r="I73" s="57"/>
      <c r="J73" s="71">
        <f t="shared" si="9"/>
        <v>0</v>
      </c>
      <c r="K73" s="54" t="s">
        <v>44</v>
      </c>
      <c r="L73" s="55">
        <v>0</v>
      </c>
      <c r="M73" s="45">
        <f t="shared" si="10"/>
        <v>0</v>
      </c>
    </row>
    <row r="74" spans="1:13" s="2" customFormat="1" ht="25.5">
      <c r="A74" s="8">
        <v>71</v>
      </c>
      <c r="B74" s="16"/>
      <c r="C74" s="74">
        <f>+'4'!G74</f>
        <v>0</v>
      </c>
      <c r="D74" s="75">
        <v>0</v>
      </c>
      <c r="E74" s="74">
        <f t="shared" si="7"/>
        <v>0</v>
      </c>
      <c r="F74" s="75">
        <v>0</v>
      </c>
      <c r="G74" s="74">
        <f t="shared" si="8"/>
        <v>0</v>
      </c>
      <c r="H74" s="76">
        <v>0</v>
      </c>
      <c r="I74" s="57"/>
      <c r="J74" s="71">
        <f t="shared" si="9"/>
        <v>0</v>
      </c>
      <c r="K74" s="54" t="s">
        <v>44</v>
      </c>
      <c r="L74" s="55">
        <v>0</v>
      </c>
      <c r="M74" s="45">
        <f t="shared" si="10"/>
        <v>0</v>
      </c>
    </row>
    <row r="75" spans="1:13" s="2" customFormat="1" ht="25.5">
      <c r="A75" s="8">
        <v>72</v>
      </c>
      <c r="B75" s="16"/>
      <c r="C75" s="74">
        <f>+'4'!G75</f>
        <v>0</v>
      </c>
      <c r="D75" s="75">
        <v>0</v>
      </c>
      <c r="E75" s="74">
        <f t="shared" si="7"/>
        <v>0</v>
      </c>
      <c r="F75" s="75">
        <v>0</v>
      </c>
      <c r="G75" s="74">
        <f t="shared" si="8"/>
        <v>0</v>
      </c>
      <c r="H75" s="76">
        <v>0</v>
      </c>
      <c r="I75" s="57"/>
      <c r="J75" s="71">
        <f t="shared" si="9"/>
        <v>0</v>
      </c>
      <c r="K75" s="54" t="s">
        <v>44</v>
      </c>
      <c r="L75" s="55">
        <v>0</v>
      </c>
      <c r="M75" s="45">
        <f t="shared" si="10"/>
        <v>0</v>
      </c>
    </row>
    <row r="76" spans="1:13" s="2" customFormat="1" ht="25.5">
      <c r="A76" s="8">
        <v>73</v>
      </c>
      <c r="B76" s="16"/>
      <c r="C76" s="74">
        <f>+'4'!G76</f>
        <v>0</v>
      </c>
      <c r="D76" s="75">
        <v>0</v>
      </c>
      <c r="E76" s="74">
        <f t="shared" si="7"/>
        <v>0</v>
      </c>
      <c r="F76" s="75">
        <v>0</v>
      </c>
      <c r="G76" s="74">
        <f t="shared" si="8"/>
        <v>0</v>
      </c>
      <c r="H76" s="76">
        <v>0</v>
      </c>
      <c r="I76" s="57"/>
      <c r="J76" s="71">
        <f t="shared" si="9"/>
        <v>0</v>
      </c>
      <c r="K76" s="54" t="s">
        <v>44</v>
      </c>
      <c r="L76" s="55">
        <v>0</v>
      </c>
      <c r="M76" s="45">
        <f t="shared" si="10"/>
        <v>0</v>
      </c>
    </row>
    <row r="77" spans="1:13" s="2" customFormat="1" ht="25.5">
      <c r="A77" s="8">
        <v>74</v>
      </c>
      <c r="B77" s="16"/>
      <c r="C77" s="74">
        <f>+'4'!G77</f>
        <v>0</v>
      </c>
      <c r="D77" s="75">
        <v>0</v>
      </c>
      <c r="E77" s="74">
        <f t="shared" si="7"/>
        <v>0</v>
      </c>
      <c r="F77" s="75">
        <v>0</v>
      </c>
      <c r="G77" s="74">
        <f t="shared" si="8"/>
        <v>0</v>
      </c>
      <c r="H77" s="76">
        <v>0</v>
      </c>
      <c r="I77" s="56"/>
      <c r="J77" s="71">
        <f t="shared" si="9"/>
        <v>0</v>
      </c>
      <c r="K77" s="54" t="s">
        <v>44</v>
      </c>
      <c r="L77" s="55">
        <v>0</v>
      </c>
      <c r="M77" s="45">
        <f t="shared" si="10"/>
        <v>0</v>
      </c>
    </row>
    <row r="78" spans="1:13" s="2" customFormat="1" ht="25.5">
      <c r="A78" s="8">
        <v>75</v>
      </c>
      <c r="B78" s="16"/>
      <c r="C78" s="74">
        <f>+'4'!G78</f>
        <v>0</v>
      </c>
      <c r="D78" s="75">
        <v>0</v>
      </c>
      <c r="E78" s="74">
        <f t="shared" si="7"/>
        <v>0</v>
      </c>
      <c r="F78" s="75">
        <v>0</v>
      </c>
      <c r="G78" s="74">
        <f t="shared" si="8"/>
        <v>0</v>
      </c>
      <c r="H78" s="76">
        <v>0</v>
      </c>
      <c r="I78" s="56"/>
      <c r="J78" s="71">
        <f t="shared" si="9"/>
        <v>0</v>
      </c>
      <c r="K78" s="54" t="s">
        <v>44</v>
      </c>
      <c r="L78" s="55">
        <v>0</v>
      </c>
      <c r="M78" s="45">
        <f t="shared" si="10"/>
        <v>0</v>
      </c>
    </row>
    <row r="79" spans="1:13" s="2" customFormat="1" ht="25.5">
      <c r="A79" s="8">
        <v>76</v>
      </c>
      <c r="B79" s="16"/>
      <c r="C79" s="74">
        <f>+'4'!G79</f>
        <v>0</v>
      </c>
      <c r="D79" s="75">
        <v>0</v>
      </c>
      <c r="E79" s="74">
        <f t="shared" si="7"/>
        <v>0</v>
      </c>
      <c r="F79" s="75">
        <v>0</v>
      </c>
      <c r="G79" s="74">
        <f t="shared" si="8"/>
        <v>0</v>
      </c>
      <c r="H79" s="76">
        <v>0</v>
      </c>
      <c r="I79" s="56"/>
      <c r="J79" s="71">
        <f t="shared" si="9"/>
        <v>0</v>
      </c>
      <c r="K79" s="54" t="s">
        <v>44</v>
      </c>
      <c r="L79" s="55">
        <v>0</v>
      </c>
      <c r="M79" s="45">
        <f t="shared" si="10"/>
        <v>0</v>
      </c>
    </row>
    <row r="80" spans="1:13" s="2" customFormat="1" ht="25.5">
      <c r="A80" s="8">
        <v>77</v>
      </c>
      <c r="B80" s="16"/>
      <c r="C80" s="74">
        <f>+'4'!G80</f>
        <v>0</v>
      </c>
      <c r="D80" s="75">
        <v>0</v>
      </c>
      <c r="E80" s="74">
        <f t="shared" si="7"/>
        <v>0</v>
      </c>
      <c r="F80" s="75">
        <v>0</v>
      </c>
      <c r="G80" s="74">
        <f t="shared" si="8"/>
        <v>0</v>
      </c>
      <c r="H80" s="76">
        <v>0</v>
      </c>
      <c r="I80" s="56"/>
      <c r="J80" s="71">
        <f t="shared" si="9"/>
        <v>0</v>
      </c>
      <c r="K80" s="54" t="s">
        <v>44</v>
      </c>
      <c r="L80" s="55">
        <v>0</v>
      </c>
      <c r="M80" s="45">
        <f t="shared" si="10"/>
        <v>0</v>
      </c>
    </row>
    <row r="81" spans="1:14" s="2" customFormat="1" ht="25.5">
      <c r="A81" s="8">
        <v>78</v>
      </c>
      <c r="B81" s="16"/>
      <c r="C81" s="74">
        <f>+'4'!G81</f>
        <v>0</v>
      </c>
      <c r="D81" s="75">
        <v>0</v>
      </c>
      <c r="E81" s="74">
        <f t="shared" si="7"/>
        <v>0</v>
      </c>
      <c r="F81" s="75">
        <v>0</v>
      </c>
      <c r="G81" s="74">
        <f t="shared" si="8"/>
        <v>0</v>
      </c>
      <c r="H81" s="76">
        <v>0</v>
      </c>
      <c r="I81" s="56"/>
      <c r="J81" s="71">
        <f t="shared" si="9"/>
        <v>0</v>
      </c>
      <c r="K81" s="54" t="s">
        <v>44</v>
      </c>
      <c r="L81" s="55">
        <v>0</v>
      </c>
      <c r="M81" s="45">
        <f t="shared" si="10"/>
        <v>0</v>
      </c>
    </row>
    <row r="82" spans="1:14" s="2" customFormat="1" ht="25.5">
      <c r="A82" s="8">
        <v>79</v>
      </c>
      <c r="B82" s="16"/>
      <c r="C82" s="74">
        <f>+'4'!G82</f>
        <v>0</v>
      </c>
      <c r="D82" s="75">
        <v>0</v>
      </c>
      <c r="E82" s="74">
        <f t="shared" ref="E82:E90" si="11">C82+D82</f>
        <v>0</v>
      </c>
      <c r="F82" s="75">
        <v>0</v>
      </c>
      <c r="G82" s="74">
        <f t="shared" si="8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10"/>
        <v>0</v>
      </c>
      <c r="N82" s="45">
        <f>SUM(M4:M82)</f>
        <v>555</v>
      </c>
    </row>
    <row r="83" spans="1:14" s="2" customFormat="1" ht="25.5">
      <c r="A83" s="8">
        <v>80</v>
      </c>
      <c r="B83" s="16"/>
      <c r="C83" s="74">
        <f>+'4'!G83</f>
        <v>0</v>
      </c>
      <c r="D83" s="75">
        <v>0</v>
      </c>
      <c r="E83" s="74">
        <f t="shared" si="11"/>
        <v>0</v>
      </c>
      <c r="F83" s="75">
        <v>0</v>
      </c>
      <c r="G83" s="74">
        <f t="shared" si="8"/>
        <v>0</v>
      </c>
      <c r="H83" s="76">
        <v>0</v>
      </c>
      <c r="I83" s="57"/>
      <c r="J83" s="71">
        <f t="shared" ref="J83:J90" si="12">+I83*H83</f>
        <v>0</v>
      </c>
      <c r="K83" s="54" t="s">
        <v>44</v>
      </c>
      <c r="L83" s="55">
        <v>0</v>
      </c>
      <c r="M83" s="45">
        <f t="shared" si="10"/>
        <v>0</v>
      </c>
      <c r="N83" s="45"/>
    </row>
    <row r="84" spans="1:14" s="2" customFormat="1" ht="25.5">
      <c r="A84" s="8">
        <v>81</v>
      </c>
      <c r="B84" s="16"/>
      <c r="C84" s="74">
        <f>+'4'!G84</f>
        <v>0</v>
      </c>
      <c r="D84" s="75">
        <v>0</v>
      </c>
      <c r="E84" s="74">
        <f t="shared" si="11"/>
        <v>0</v>
      </c>
      <c r="F84" s="75">
        <v>0</v>
      </c>
      <c r="G84" s="74">
        <f t="shared" si="8"/>
        <v>0</v>
      </c>
      <c r="H84" s="76">
        <v>0</v>
      </c>
      <c r="I84" s="57"/>
      <c r="J84" s="71">
        <f t="shared" si="12"/>
        <v>0</v>
      </c>
      <c r="K84" s="54" t="s">
        <v>44</v>
      </c>
      <c r="L84" s="55">
        <v>0</v>
      </c>
      <c r="M84" s="45">
        <f t="shared" si="10"/>
        <v>0</v>
      </c>
      <c r="N84" s="45"/>
    </row>
    <row r="85" spans="1:14" s="2" customFormat="1" ht="25.5">
      <c r="A85" s="8">
        <v>82</v>
      </c>
      <c r="B85" s="16"/>
      <c r="C85" s="74">
        <f>+'4'!G85</f>
        <v>0</v>
      </c>
      <c r="D85" s="75">
        <v>0</v>
      </c>
      <c r="E85" s="74">
        <f t="shared" si="11"/>
        <v>0</v>
      </c>
      <c r="F85" s="75">
        <v>0</v>
      </c>
      <c r="G85" s="74">
        <f t="shared" si="8"/>
        <v>0</v>
      </c>
      <c r="H85" s="76">
        <v>0</v>
      </c>
      <c r="I85" s="57"/>
      <c r="J85" s="71">
        <f t="shared" si="12"/>
        <v>0</v>
      </c>
      <c r="K85" s="54" t="s">
        <v>44</v>
      </c>
      <c r="L85" s="55">
        <v>0</v>
      </c>
      <c r="M85" s="45">
        <f t="shared" si="10"/>
        <v>0</v>
      </c>
      <c r="N85" s="45"/>
    </row>
    <row r="86" spans="1:14" s="2" customFormat="1" ht="25.5">
      <c r="A86" s="8">
        <v>83</v>
      </c>
      <c r="B86" s="16"/>
      <c r="C86" s="74">
        <f>+'4'!G86</f>
        <v>0</v>
      </c>
      <c r="D86" s="75">
        <v>0</v>
      </c>
      <c r="E86" s="74">
        <f t="shared" si="11"/>
        <v>0</v>
      </c>
      <c r="F86" s="75">
        <v>0</v>
      </c>
      <c r="G86" s="74">
        <f t="shared" si="8"/>
        <v>0</v>
      </c>
      <c r="H86" s="76">
        <v>0</v>
      </c>
      <c r="I86" s="57"/>
      <c r="J86" s="71">
        <f t="shared" si="12"/>
        <v>0</v>
      </c>
      <c r="K86" s="54" t="s">
        <v>44</v>
      </c>
      <c r="L86" s="55">
        <v>0</v>
      </c>
      <c r="M86" s="45">
        <f t="shared" si="10"/>
        <v>0</v>
      </c>
      <c r="N86" s="45"/>
    </row>
    <row r="87" spans="1:14" s="2" customFormat="1" ht="25.5">
      <c r="A87" s="8">
        <v>84</v>
      </c>
      <c r="B87" s="16"/>
      <c r="C87" s="74">
        <f>+'4'!G87</f>
        <v>0</v>
      </c>
      <c r="D87" s="75">
        <v>0</v>
      </c>
      <c r="E87" s="74">
        <f t="shared" si="11"/>
        <v>0</v>
      </c>
      <c r="F87" s="75">
        <v>0</v>
      </c>
      <c r="G87" s="74">
        <f t="shared" si="8"/>
        <v>0</v>
      </c>
      <c r="H87" s="76">
        <v>0</v>
      </c>
      <c r="I87" s="57"/>
      <c r="J87" s="71">
        <f t="shared" si="12"/>
        <v>0</v>
      </c>
      <c r="K87" s="54" t="s">
        <v>44</v>
      </c>
      <c r="L87" s="55">
        <v>0</v>
      </c>
      <c r="M87" s="45">
        <f t="shared" si="10"/>
        <v>0</v>
      </c>
      <c r="N87" s="45"/>
    </row>
    <row r="88" spans="1:14" s="2" customFormat="1" ht="25.5">
      <c r="A88" s="8">
        <v>85</v>
      </c>
      <c r="B88" s="16"/>
      <c r="C88" s="74">
        <f>+'4'!G88</f>
        <v>0</v>
      </c>
      <c r="D88" s="75">
        <v>0</v>
      </c>
      <c r="E88" s="74">
        <f t="shared" si="11"/>
        <v>0</v>
      </c>
      <c r="F88" s="75">
        <v>0</v>
      </c>
      <c r="G88" s="74">
        <f t="shared" si="8"/>
        <v>0</v>
      </c>
      <c r="H88" s="76">
        <v>0</v>
      </c>
      <c r="I88" s="57"/>
      <c r="J88" s="71">
        <f t="shared" si="12"/>
        <v>0</v>
      </c>
      <c r="K88" s="54" t="s">
        <v>44</v>
      </c>
      <c r="L88" s="55">
        <v>0</v>
      </c>
      <c r="M88" s="45">
        <f t="shared" si="10"/>
        <v>0</v>
      </c>
      <c r="N88" s="45"/>
    </row>
    <row r="89" spans="1:14" s="2" customFormat="1" ht="25.5">
      <c r="A89" s="8">
        <v>86</v>
      </c>
      <c r="B89" s="16"/>
      <c r="C89" s="74">
        <f>+'4'!G89</f>
        <v>0</v>
      </c>
      <c r="D89" s="75">
        <v>0</v>
      </c>
      <c r="E89" s="74">
        <f t="shared" si="11"/>
        <v>0</v>
      </c>
      <c r="F89" s="75">
        <v>0</v>
      </c>
      <c r="G89" s="74">
        <f t="shared" si="8"/>
        <v>0</v>
      </c>
      <c r="H89" s="76">
        <v>0</v>
      </c>
      <c r="I89" s="57"/>
      <c r="J89" s="71">
        <f t="shared" si="12"/>
        <v>0</v>
      </c>
      <c r="K89" s="54" t="s">
        <v>44</v>
      </c>
      <c r="L89" s="55">
        <v>0</v>
      </c>
      <c r="M89" s="45">
        <f t="shared" si="10"/>
        <v>0</v>
      </c>
      <c r="N89" s="45"/>
    </row>
    <row r="90" spans="1:14" s="2" customFormat="1" ht="25.5">
      <c r="A90" s="8">
        <v>87</v>
      </c>
      <c r="B90" s="16"/>
      <c r="C90" s="74">
        <f>+'4'!G90</f>
        <v>0</v>
      </c>
      <c r="D90" s="75">
        <v>0</v>
      </c>
      <c r="E90" s="74">
        <f t="shared" si="11"/>
        <v>0</v>
      </c>
      <c r="F90" s="75">
        <v>0</v>
      </c>
      <c r="G90" s="74">
        <f t="shared" si="8"/>
        <v>0</v>
      </c>
      <c r="H90" s="76">
        <v>0</v>
      </c>
      <c r="I90" s="57"/>
      <c r="J90" s="71">
        <f t="shared" si="12"/>
        <v>0</v>
      </c>
      <c r="K90" s="54" t="s">
        <v>44</v>
      </c>
      <c r="L90" s="55">
        <v>0</v>
      </c>
      <c r="M90" s="45">
        <f t="shared" si="10"/>
        <v>0</v>
      </c>
      <c r="N90" s="45"/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705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1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1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150</v>
      </c>
    </row>
    <row r="99" spans="1:11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555</v>
      </c>
    </row>
    <row r="100" spans="1:11" s="2" customFormat="1" ht="25.5">
      <c r="A100" s="1"/>
      <c r="C100" s="62"/>
      <c r="E100" s="62"/>
      <c r="G100" s="62"/>
      <c r="I100" s="125" t="s">
        <v>39</v>
      </c>
      <c r="J100" s="126"/>
      <c r="K100" s="52">
        <v>555</v>
      </c>
    </row>
    <row r="101" spans="1:11" s="2" customFormat="1" ht="25.5">
      <c r="A101" s="1"/>
      <c r="C101" s="62"/>
      <c r="E101" s="62"/>
      <c r="G101" s="62"/>
      <c r="I101" s="125" t="s">
        <v>41</v>
      </c>
      <c r="J101" s="126"/>
      <c r="K101" s="48">
        <f>+K100-K99</f>
        <v>0</v>
      </c>
    </row>
    <row r="102" spans="1:11" s="2" customFormat="1" ht="25.5">
      <c r="I102" s="125" t="s">
        <v>42</v>
      </c>
      <c r="J102" s="126"/>
      <c r="K102" s="48">
        <f>+K100-K99</f>
        <v>0</v>
      </c>
    </row>
    <row r="103" spans="1:11" s="2" customFormat="1" ht="24.75"/>
    <row r="104" spans="1:11" s="2" customFormat="1" ht="24.75">
      <c r="J104" s="65" t="s">
        <v>50</v>
      </c>
      <c r="K104" s="45">
        <f>+K93-K98+K101</f>
        <v>555</v>
      </c>
    </row>
    <row r="105" spans="1:11" s="2" customFormat="1" ht="24.75">
      <c r="J105" s="65" t="s">
        <v>51</v>
      </c>
      <c r="K105" s="45">
        <f>SUM(K94:K97)</f>
        <v>0</v>
      </c>
    </row>
    <row r="106" spans="1:11" s="2" customFormat="1" ht="24.75">
      <c r="J106" s="65" t="s">
        <v>52</v>
      </c>
      <c r="K106" s="45">
        <f>+K100</f>
        <v>555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17E-72D4-4656-A0D8-2BA5DB7D9593}">
  <sheetPr>
    <tabColor rgb="FFFAA8E5"/>
  </sheetPr>
  <dimension ref="A1:N106"/>
  <sheetViews>
    <sheetView zoomScale="90" zoomScaleNormal="90" workbookViewId="0">
      <pane ySplit="3" topLeftCell="A4" activePane="bottomLeft" state="frozen"/>
      <selection pane="bottomLeft" activeCell="C13" sqref="C13"/>
    </sheetView>
  </sheetViews>
  <sheetFormatPr defaultRowHeight="15"/>
  <cols>
    <col min="1" max="1" width="6.140625" customWidth="1"/>
    <col min="2" max="2" width="34.5703125" customWidth="1"/>
    <col min="10" max="10" width="9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+'5'!G4</f>
        <v>6</v>
      </c>
      <c r="D4" s="75">
        <v>0</v>
      </c>
      <c r="E4" s="74">
        <f t="shared" ref="E4:E81" si="0">C4+D4</f>
        <v>6</v>
      </c>
      <c r="F4" s="75">
        <v>0</v>
      </c>
      <c r="G4" s="74">
        <f>+E4-F4-H4</f>
        <v>5</v>
      </c>
      <c r="H4" s="76">
        <v>1</v>
      </c>
      <c r="I4" s="57">
        <v>55</v>
      </c>
      <c r="J4" s="71">
        <f>+I4*H4</f>
        <v>55</v>
      </c>
      <c r="K4" s="54" t="s">
        <v>44</v>
      </c>
      <c r="L4" s="55">
        <v>0</v>
      </c>
      <c r="M4" s="45">
        <f>SUM(J4-L4)</f>
        <v>55</v>
      </c>
    </row>
    <row r="5" spans="1:13" s="2" customFormat="1" ht="25.5">
      <c r="A5" s="8">
        <v>2</v>
      </c>
      <c r="B5" s="9" t="s">
        <v>55</v>
      </c>
      <c r="C5" s="74">
        <f>+'5'!G5</f>
        <v>14</v>
      </c>
      <c r="D5" s="75">
        <v>0</v>
      </c>
      <c r="E5" s="74">
        <f t="shared" si="0"/>
        <v>14</v>
      </c>
      <c r="F5" s="75">
        <v>0</v>
      </c>
      <c r="G5" s="74">
        <f t="shared" ref="G5:G68" si="1">+E5-F5-H5</f>
        <v>14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+'5'!G6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+'5'!G7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+'5'!G8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+'5'!G9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+'5'!G10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+'5'!G11</f>
        <v>20</v>
      </c>
      <c r="D11" s="75">
        <v>0</v>
      </c>
      <c r="E11" s="74">
        <f t="shared" si="0"/>
        <v>20</v>
      </c>
      <c r="F11" s="75">
        <v>0</v>
      </c>
      <c r="G11" s="74">
        <f t="shared" si="1"/>
        <v>20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+'5'!G12</f>
        <v>26</v>
      </c>
      <c r="D12" s="75">
        <v>0</v>
      </c>
      <c r="E12" s="74">
        <f t="shared" si="0"/>
        <v>26</v>
      </c>
      <c r="F12" s="75">
        <v>0</v>
      </c>
      <c r="G12" s="74">
        <f t="shared" si="1"/>
        <v>25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f>+'5'!G13</f>
        <v>-3</v>
      </c>
      <c r="D13" s="75">
        <v>0</v>
      </c>
      <c r="E13" s="74">
        <f t="shared" si="0"/>
        <v>-3</v>
      </c>
      <c r="F13" s="75">
        <v>0</v>
      </c>
      <c r="G13" s="74">
        <f t="shared" si="1"/>
        <v>-3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+'5'!G14</f>
        <v>21</v>
      </c>
      <c r="D14" s="75">
        <v>0</v>
      </c>
      <c r="E14" s="74">
        <f t="shared" si="0"/>
        <v>21</v>
      </c>
      <c r="F14" s="75">
        <v>0</v>
      </c>
      <c r="G14" s="74">
        <f t="shared" si="1"/>
        <v>21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+'5'!G15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+'5'!G16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+'5'!G17</f>
        <v>13</v>
      </c>
      <c r="D17" s="75">
        <v>0</v>
      </c>
      <c r="E17" s="74">
        <f>C17+D17</f>
        <v>13</v>
      </c>
      <c r="F17" s="75">
        <v>0</v>
      </c>
      <c r="G17" s="74">
        <f t="shared" si="1"/>
        <v>13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+'5'!G18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+'5'!G19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+'5'!G20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+'5'!G21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+'5'!G22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+'5'!G23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+'5'!G24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+'5'!G25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+'5'!G26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12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+'5'!G27</f>
        <v>12</v>
      </c>
      <c r="D27" s="75">
        <v>0</v>
      </c>
      <c r="E27" s="74">
        <f t="shared" si="0"/>
        <v>12</v>
      </c>
      <c r="F27" s="75">
        <v>0</v>
      </c>
      <c r="G27" s="74">
        <f t="shared" si="1"/>
        <v>11</v>
      </c>
      <c r="H27" s="76">
        <v>1</v>
      </c>
      <c r="I27" s="57">
        <v>50</v>
      </c>
      <c r="J27" s="71">
        <f t="shared" si="2"/>
        <v>50</v>
      </c>
      <c r="K27" s="54" t="s">
        <v>44</v>
      </c>
      <c r="L27" s="55">
        <v>0</v>
      </c>
      <c r="M27" s="45">
        <f t="shared" si="3"/>
        <v>50</v>
      </c>
    </row>
    <row r="28" spans="1:13" s="2" customFormat="1" ht="25.5">
      <c r="A28" s="8">
        <v>25</v>
      </c>
      <c r="B28" s="9" t="s">
        <v>78</v>
      </c>
      <c r="C28" s="74">
        <f>+'5'!G28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+'5'!G29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+'5'!G30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+'5'!G31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+'5'!G32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+'5'!G33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+'5'!G34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+'5'!G35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+'5'!G36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+'5'!G37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+'5'!G38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+'5'!G39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+'5'!G40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+'5'!G41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+'5'!G42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+'5'!G43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+'5'!G44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+'5'!G45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+'5'!G46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+'5'!G47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+'5'!G48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+'5'!G49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+'5'!G50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+'5'!G51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+'5'!G52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+'5'!G53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+'5'!G54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+'5'!G55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+'5'!G56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+'5'!G57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+'5'!G58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+'5'!G59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+'5'!G60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+'5'!G61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+'5'!G62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+'5'!G63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+'5'!G64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+'5'!G65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+'5'!G66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+'5'!G67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+'5'!G68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+'5'!G69</f>
        <v>2</v>
      </c>
      <c r="D69" s="75">
        <v>0</v>
      </c>
      <c r="E69" s="74">
        <f t="shared" si="0"/>
        <v>2</v>
      </c>
      <c r="F69" s="75">
        <v>0</v>
      </c>
      <c r="G69" s="74">
        <f t="shared" ref="G69:G90" si="4">+E69-F69-H69</f>
        <v>2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+'5'!G70</f>
        <v>52</v>
      </c>
      <c r="D70" s="75">
        <v>0</v>
      </c>
      <c r="E70" s="74">
        <f t="shared" si="0"/>
        <v>52</v>
      </c>
      <c r="F70" s="75">
        <v>0</v>
      </c>
      <c r="G70" s="74">
        <f t="shared" si="4"/>
        <v>52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+'5'!G71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+'5'!G72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+'5'!G73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+'5'!G74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+'5'!G75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+'5'!G76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+'5'!G77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+'5'!G78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+'5'!G79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+'5'!G80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+'5'!G81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+'5'!G82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>
        <f>SUM(M4:M82)</f>
        <v>205</v>
      </c>
    </row>
    <row r="83" spans="1:14" s="2" customFormat="1" ht="25.5">
      <c r="A83" s="8">
        <v>80</v>
      </c>
      <c r="B83" s="16"/>
      <c r="C83" s="74">
        <f>+'5'!G83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90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+'5'!G84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+'5'!G85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+'5'!G86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+'5'!G87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+'5'!G88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+'5'!G89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+'5'!G90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 t="shared" si="8"/>
        <v>0</v>
      </c>
      <c r="K90" s="54" t="s">
        <v>44</v>
      </c>
      <c r="L90" s="55">
        <v>0</v>
      </c>
      <c r="M90" s="45">
        <f t="shared" si="6"/>
        <v>0</v>
      </c>
      <c r="N90" s="45"/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205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205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205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205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205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F94-08A7-4DFB-A672-EAEED36A7C94}">
  <sheetPr>
    <tabColor rgb="FFFF0000"/>
  </sheetPr>
  <dimension ref="A1:N106"/>
  <sheetViews>
    <sheetView zoomScale="85" zoomScaleNormal="85" workbookViewId="0">
      <pane ySplit="3" topLeftCell="A55" activePane="bottomLeft" state="frozen"/>
      <selection pane="bottomLeft" activeCell="C77" sqref="C77"/>
    </sheetView>
  </sheetViews>
  <sheetFormatPr defaultRowHeight="15"/>
  <cols>
    <col min="1" max="1" width="6.140625" customWidth="1"/>
    <col min="2" max="2" width="34.5703125" customWidth="1"/>
    <col min="10" max="10" width="10.710937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+'6'!G4</f>
        <v>5</v>
      </c>
      <c r="D4" s="75">
        <v>0</v>
      </c>
      <c r="E4" s="74">
        <f t="shared" ref="E4:E58" si="0">C4+D4</f>
        <v>5</v>
      </c>
      <c r="F4" s="75">
        <v>0</v>
      </c>
      <c r="G4" s="74">
        <f>+E4-F4-H4</f>
        <v>5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+'6'!G5</f>
        <v>14</v>
      </c>
      <c r="D5" s="75">
        <v>0</v>
      </c>
      <c r="E5" s="74">
        <f t="shared" si="0"/>
        <v>14</v>
      </c>
      <c r="F5" s="75">
        <v>0</v>
      </c>
      <c r="G5" s="74">
        <f t="shared" ref="G5:G58" si="1">+E5-F5-H5</f>
        <v>14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+'6'!G6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+'6'!G7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+'6'!G8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+'6'!G9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+'6'!G10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+'6'!G11</f>
        <v>20</v>
      </c>
      <c r="D11" s="75">
        <v>0</v>
      </c>
      <c r="E11" s="74">
        <f t="shared" si="0"/>
        <v>20</v>
      </c>
      <c r="F11" s="75">
        <v>0</v>
      </c>
      <c r="G11" s="74">
        <f t="shared" si="1"/>
        <v>20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+'6'!G12</f>
        <v>25</v>
      </c>
      <c r="D12" s="75">
        <v>0</v>
      </c>
      <c r="E12" s="74">
        <f t="shared" si="0"/>
        <v>25</v>
      </c>
      <c r="F12" s="75">
        <v>0</v>
      </c>
      <c r="G12" s="74">
        <f t="shared" si="1"/>
        <v>25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+'6'!G13</f>
        <v>-3</v>
      </c>
      <c r="D13" s="75">
        <v>0</v>
      </c>
      <c r="E13" s="74">
        <f t="shared" si="0"/>
        <v>-3</v>
      </c>
      <c r="F13" s="75">
        <v>0</v>
      </c>
      <c r="G13" s="74">
        <f t="shared" si="1"/>
        <v>-3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+'6'!G14</f>
        <v>21</v>
      </c>
      <c r="D14" s="75">
        <v>0</v>
      </c>
      <c r="E14" s="74">
        <f t="shared" si="0"/>
        <v>21</v>
      </c>
      <c r="F14" s="75">
        <v>0</v>
      </c>
      <c r="G14" s="74">
        <f t="shared" si="1"/>
        <v>21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+'6'!G15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+'6'!G16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+'6'!G17</f>
        <v>13</v>
      </c>
      <c r="D17" s="75">
        <v>0</v>
      </c>
      <c r="E17" s="74">
        <f>C17+D17</f>
        <v>13</v>
      </c>
      <c r="F17" s="75">
        <v>0</v>
      </c>
      <c r="G17" s="74">
        <f t="shared" si="1"/>
        <v>13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+'6'!G18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+'6'!G19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+'6'!G20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+'6'!G21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+'6'!G22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+'6'!G23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+'6'!G24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+'6'!G25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+'6'!G26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12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+'6'!G27</f>
        <v>11</v>
      </c>
      <c r="D27" s="75">
        <v>0</v>
      </c>
      <c r="E27" s="74">
        <f t="shared" si="0"/>
        <v>11</v>
      </c>
      <c r="F27" s="75">
        <v>0</v>
      </c>
      <c r="G27" s="74">
        <f t="shared" si="1"/>
        <v>11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+'6'!G28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+'6'!G29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+'6'!G30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+'6'!G31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+'6'!G32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+'6'!G33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+'6'!G34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+'6'!G35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+'6'!G36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+'6'!G37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+'6'!G38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+'6'!G39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+'6'!G40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+'6'!G41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+'6'!G42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+'6'!G43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+'6'!G44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+'6'!G45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+'6'!G46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+'6'!G47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+'6'!G48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+'6'!G49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+'6'!G50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+'6'!G51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+'6'!G52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+'6'!G53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+'6'!G54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+'6'!G55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+'6'!G56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+'6'!G57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+'6'!G58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+'6'!G59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+'6'!G60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+'6'!G61</f>
        <v>14</v>
      </c>
      <c r="D61" s="75">
        <v>0</v>
      </c>
      <c r="E61" s="74">
        <f t="shared" si="6"/>
        <v>14</v>
      </c>
      <c r="F61" s="75">
        <v>0</v>
      </c>
      <c r="G61" s="74">
        <f t="shared" si="4"/>
        <v>14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+'6'!G62</f>
        <v>5</v>
      </c>
      <c r="D62" s="75">
        <v>0</v>
      </c>
      <c r="E62" s="74">
        <f t="shared" si="6"/>
        <v>5</v>
      </c>
      <c r="F62" s="75">
        <v>0</v>
      </c>
      <c r="G62" s="74">
        <f t="shared" si="4"/>
        <v>5</v>
      </c>
      <c r="H62" s="76">
        <v>0</v>
      </c>
      <c r="I62" s="57">
        <v>200</v>
      </c>
      <c r="J62" s="71">
        <f t="shared" si="5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+'6'!G63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+'6'!G64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+'6'!G65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+'6'!G66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+'6'!G67</f>
        <v>0</v>
      </c>
      <c r="D67" s="75">
        <v>0</v>
      </c>
      <c r="E67" s="74">
        <f t="shared" si="6"/>
        <v>0</v>
      </c>
      <c r="F67" s="75">
        <v>0</v>
      </c>
      <c r="G67" s="74">
        <f t="shared" si="4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+'6'!G68</f>
        <v>0</v>
      </c>
      <c r="D68" s="75">
        <v>0</v>
      </c>
      <c r="E68" s="74">
        <f t="shared" si="6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+'6'!G69</f>
        <v>2</v>
      </c>
      <c r="D69" s="75">
        <v>0</v>
      </c>
      <c r="E69" s="74">
        <f t="shared" si="6"/>
        <v>2</v>
      </c>
      <c r="F69" s="75">
        <v>0</v>
      </c>
      <c r="G69" s="74">
        <f t="shared" ref="G69:G90" si="7">+E69-F69-H69</f>
        <v>2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4">
        <f>+'6'!G70</f>
        <v>52</v>
      </c>
      <c r="D70" s="75">
        <v>0</v>
      </c>
      <c r="E70" s="74">
        <f t="shared" si="6"/>
        <v>52</v>
      </c>
      <c r="F70" s="75">
        <v>0</v>
      </c>
      <c r="G70" s="74">
        <f t="shared" si="7"/>
        <v>52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4">
        <f>+'6'!G71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+'6'!G72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+'6'!G73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+'6'!G74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+'6'!G75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+'6'!G76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+'6'!G77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+'6'!G78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+'6'!G79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+'6'!G80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+'6'!G81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+'6'!G82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>
        <f>SUM(M4:M82)</f>
        <v>0</v>
      </c>
    </row>
    <row r="83" spans="1:14" s="2" customFormat="1" ht="25.5">
      <c r="A83" s="8">
        <v>80</v>
      </c>
      <c r="B83" s="16"/>
      <c r="C83" s="74">
        <f>+'6'!G83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4">
        <f>+'6'!G84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4">
        <f>+'6'!G85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4">
        <f>+'6'!G86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4">
        <f>+'6'!G87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4">
        <f>+'6'!G88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4">
        <f>+'6'!G89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4">
        <f>+'6'!G90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/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0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0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544-7DBA-47FC-9AA3-12BA22AE735E}">
  <sheetPr>
    <tabColor rgb="FFFAA8E5"/>
  </sheetPr>
  <dimension ref="A1:N106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88" sqref="C88"/>
    </sheetView>
  </sheetViews>
  <sheetFormatPr defaultRowHeight="15"/>
  <cols>
    <col min="1" max="1" width="6.140625" customWidth="1"/>
    <col min="2" max="2" width="34.5703125" customWidth="1"/>
    <col min="8" max="8" width="7.7109375" bestFit="1" customWidth="1"/>
    <col min="10" max="10" width="10.710937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v>6</v>
      </c>
      <c r="D4" s="75">
        <v>0</v>
      </c>
      <c r="E4" s="74">
        <f t="shared" ref="E4:E58" si="0">C4+D4</f>
        <v>6</v>
      </c>
      <c r="F4" s="75">
        <v>0</v>
      </c>
      <c r="G4" s="74">
        <f>+E4-F4-H4</f>
        <v>6</v>
      </c>
      <c r="H4" s="76">
        <v>0</v>
      </c>
      <c r="I4" s="57">
        <v>50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v>16</v>
      </c>
      <c r="D5" s="75">
        <v>0</v>
      </c>
      <c r="E5" s="74">
        <f t="shared" si="0"/>
        <v>16</v>
      </c>
      <c r="F5" s="75">
        <v>0</v>
      </c>
      <c r="G5" s="74">
        <f t="shared" ref="G5:G58" si="1">+E5-F5-H5</f>
        <v>16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+'7'!G6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+'7'!G9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+'7'!G10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v>27</v>
      </c>
      <c r="D11" s="75">
        <v>0</v>
      </c>
      <c r="E11" s="74">
        <f t="shared" si="0"/>
        <v>27</v>
      </c>
      <c r="F11" s="75">
        <v>0</v>
      </c>
      <c r="G11" s="74">
        <f t="shared" si="1"/>
        <v>26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>
      <c r="A12" s="8">
        <v>9</v>
      </c>
      <c r="B12" s="16" t="s">
        <v>62</v>
      </c>
      <c r="C12" s="74">
        <v>17</v>
      </c>
      <c r="D12" s="75">
        <v>0</v>
      </c>
      <c r="E12" s="74">
        <f t="shared" si="0"/>
        <v>17</v>
      </c>
      <c r="F12" s="75">
        <v>0</v>
      </c>
      <c r="G12" s="74">
        <f t="shared" si="1"/>
        <v>17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v>9</v>
      </c>
      <c r="D13" s="75">
        <v>0</v>
      </c>
      <c r="E13" s="74">
        <f t="shared" si="0"/>
        <v>9</v>
      </c>
      <c r="F13" s="75">
        <v>0</v>
      </c>
      <c r="G13" s="74">
        <f t="shared" si="1"/>
        <v>9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v>14</v>
      </c>
      <c r="D14" s="75">
        <v>0</v>
      </c>
      <c r="E14" s="74">
        <f t="shared" si="0"/>
        <v>14</v>
      </c>
      <c r="F14" s="75">
        <v>0</v>
      </c>
      <c r="G14" s="74">
        <f t="shared" si="1"/>
        <v>14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+'7'!G16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+'7'!G18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+'7'!G19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+'7'!G20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+'7'!G22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+'7'!G23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+'7'!G24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+'7'!G25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+'7'!G26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11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>
      <c r="A27" s="8">
        <v>24</v>
      </c>
      <c r="B27" s="9" t="s">
        <v>77</v>
      </c>
      <c r="C27" s="74">
        <f>+'7'!G27</f>
        <v>11</v>
      </c>
      <c r="D27" s="75">
        <v>0</v>
      </c>
      <c r="E27" s="74">
        <f t="shared" si="0"/>
        <v>11</v>
      </c>
      <c r="F27" s="75">
        <v>0</v>
      </c>
      <c r="G27" s="74">
        <f t="shared" si="1"/>
        <v>11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+'7'!G28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+'7'!G29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+'7'!G30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+'7'!G31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+'7'!G32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+'7'!G33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+'7'!G34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+'7'!G35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+'7'!G36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+'7'!G37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+'7'!G38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+'7'!G39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+'7'!G40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+'7'!G41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+'7'!G42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+'7'!G43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+'7'!G44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+'7'!G45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+'7'!G46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+'7'!G47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+'7'!G48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+'7'!G49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+'7'!G50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+'7'!G51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+'7'!G52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+'7'!G53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+'7'!G54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+'7'!G55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+'7'!G56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+'7'!G57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+'7'!G58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+'7'!G59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+'7'!G60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+'7'!G61</f>
        <v>14</v>
      </c>
      <c r="D61" s="75">
        <v>0</v>
      </c>
      <c r="E61" s="74">
        <f t="shared" si="6"/>
        <v>14</v>
      </c>
      <c r="F61" s="75">
        <v>0</v>
      </c>
      <c r="G61" s="74">
        <f t="shared" si="4"/>
        <v>14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+'7'!G62</f>
        <v>5</v>
      </c>
      <c r="D62" s="75">
        <v>0</v>
      </c>
      <c r="E62" s="74">
        <f t="shared" si="6"/>
        <v>5</v>
      </c>
      <c r="F62" s="75">
        <v>0</v>
      </c>
      <c r="G62" s="74">
        <f t="shared" si="4"/>
        <v>5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+'7'!G63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+'7'!G64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+'7'!G65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+'7'!G66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+'7'!G67</f>
        <v>0</v>
      </c>
      <c r="D67" s="75">
        <v>0</v>
      </c>
      <c r="E67" s="74">
        <f t="shared" si="6"/>
        <v>0</v>
      </c>
      <c r="F67" s="75">
        <v>0</v>
      </c>
      <c r="G67" s="74">
        <f t="shared" si="4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+'7'!G68</f>
        <v>0</v>
      </c>
      <c r="D68" s="75">
        <v>0</v>
      </c>
      <c r="E68" s="74">
        <f t="shared" si="6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+'7'!G69</f>
        <v>2</v>
      </c>
      <c r="D69" s="75">
        <v>0</v>
      </c>
      <c r="E69" s="74">
        <f t="shared" si="6"/>
        <v>2</v>
      </c>
      <c r="F69" s="75">
        <v>0</v>
      </c>
      <c r="G69" s="74">
        <f t="shared" ref="G69:G90" si="7">+E69-F69-H69</f>
        <v>2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4">
        <f>+'7'!G70</f>
        <v>52</v>
      </c>
      <c r="D70" s="75">
        <v>0</v>
      </c>
      <c r="E70" s="74">
        <f t="shared" si="6"/>
        <v>52</v>
      </c>
      <c r="F70" s="75">
        <v>0</v>
      </c>
      <c r="G70" s="74">
        <f t="shared" si="7"/>
        <v>52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4">
        <f>+'7'!G71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+'7'!G72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+'7'!G73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+'7'!G74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+'7'!G75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+'7'!G76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+'7'!G77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+'7'!G78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+'7'!G79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+'7'!G80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+'7'!G81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+'7'!G82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</row>
    <row r="83" spans="1:14" s="2" customFormat="1" ht="25.5">
      <c r="A83" s="8">
        <v>80</v>
      </c>
      <c r="B83" s="16"/>
      <c r="C83" s="74">
        <f>+'7'!G83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4">
        <f>+'7'!G84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4">
        <f>+'7'!G85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4">
        <f>+'7'!G86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4">
        <f>+'7'!G87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4">
        <f>+'7'!G88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4">
        <f>+'7'!G89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4">
        <f>+'7'!G90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105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105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105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105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105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105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D69-0749-4E37-8E1F-A05788D18E65}">
  <sheetPr>
    <tabColor rgb="FFFAA8E5"/>
  </sheetPr>
  <dimension ref="A1:N106"/>
  <sheetViews>
    <sheetView zoomScale="85" zoomScaleNormal="85" workbookViewId="0">
      <pane ySplit="3" topLeftCell="A54" activePane="bottomLeft" state="frozen"/>
      <selection pane="bottomLeft" activeCell="C76" sqref="C76"/>
    </sheetView>
  </sheetViews>
  <sheetFormatPr defaultRowHeight="15"/>
  <cols>
    <col min="1" max="1" width="6.140625" customWidth="1"/>
    <col min="2" max="2" width="34.5703125" customWidth="1"/>
    <col min="10" max="10" width="11.85546875" customWidth="1"/>
    <col min="11" max="11" width="18" customWidth="1"/>
    <col min="14" max="14" width="10.42578125" bestFit="1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+'8'!G4</f>
        <v>6</v>
      </c>
      <c r="D4" s="75">
        <v>0</v>
      </c>
      <c r="E4" s="74">
        <f t="shared" ref="E4:E66" si="0">C4+D4</f>
        <v>6</v>
      </c>
      <c r="F4" s="75">
        <v>0</v>
      </c>
      <c r="G4" s="74">
        <f>+E4-F4-H4</f>
        <v>6</v>
      </c>
      <c r="H4" s="76">
        <v>0</v>
      </c>
      <c r="I4" s="57">
        <v>50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+'8'!G5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6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+'8'!G6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+'8'!G7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+'8'!G8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+'8'!G9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+'8'!G10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+'8'!G11</f>
        <v>26</v>
      </c>
      <c r="D11" s="75">
        <v>0</v>
      </c>
      <c r="E11" s="74">
        <f t="shared" si="0"/>
        <v>26</v>
      </c>
      <c r="F11" s="75">
        <v>0</v>
      </c>
      <c r="G11" s="74">
        <f t="shared" si="1"/>
        <v>26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+'8'!G12</f>
        <v>17</v>
      </c>
      <c r="D12" s="75">
        <v>0</v>
      </c>
      <c r="E12" s="74">
        <f t="shared" si="0"/>
        <v>17</v>
      </c>
      <c r="F12" s="75">
        <v>0</v>
      </c>
      <c r="G12" s="74">
        <f t="shared" si="1"/>
        <v>15</v>
      </c>
      <c r="H12" s="76">
        <v>2</v>
      </c>
      <c r="I12" s="56">
        <v>100</v>
      </c>
      <c r="J12" s="71">
        <f t="shared" si="2"/>
        <v>200</v>
      </c>
      <c r="K12" s="54" t="s">
        <v>123</v>
      </c>
      <c r="L12" s="55">
        <v>100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f>+'8'!G13</f>
        <v>9</v>
      </c>
      <c r="D13" s="75">
        <v>0</v>
      </c>
      <c r="E13" s="74">
        <f t="shared" si="0"/>
        <v>9</v>
      </c>
      <c r="F13" s="75">
        <v>0</v>
      </c>
      <c r="G13" s="74">
        <f t="shared" si="1"/>
        <v>9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+'8'!G14</f>
        <v>14</v>
      </c>
      <c r="D14" s="75">
        <v>0</v>
      </c>
      <c r="E14" s="74">
        <f t="shared" si="0"/>
        <v>14</v>
      </c>
      <c r="F14" s="75">
        <v>0</v>
      </c>
      <c r="G14" s="74">
        <f t="shared" si="1"/>
        <v>12</v>
      </c>
      <c r="H14" s="76">
        <v>2</v>
      </c>
      <c r="I14" s="57">
        <v>100</v>
      </c>
      <c r="J14" s="71">
        <f t="shared" si="2"/>
        <v>200</v>
      </c>
      <c r="K14" s="54" t="s">
        <v>123</v>
      </c>
      <c r="L14" s="55">
        <v>100</v>
      </c>
      <c r="M14" s="45">
        <f t="shared" si="3"/>
        <v>100</v>
      </c>
    </row>
    <row r="15" spans="1:13" s="2" customFormat="1" ht="25.5">
      <c r="A15" s="8">
        <v>12</v>
      </c>
      <c r="B15" s="9" t="s">
        <v>65</v>
      </c>
      <c r="C15" s="74">
        <f>+'8'!G15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+'8'!G16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+'8'!G17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+'8'!G18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+'8'!G19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+'8'!G20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+'8'!G21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+'8'!G22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+'8'!G23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+'8'!G24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+'8'!G25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+'8'!G26</f>
        <v>11</v>
      </c>
      <c r="D26" s="75">
        <v>0</v>
      </c>
      <c r="E26" s="74">
        <f t="shared" si="0"/>
        <v>11</v>
      </c>
      <c r="F26" s="75">
        <v>0</v>
      </c>
      <c r="G26" s="74">
        <f t="shared" si="1"/>
        <v>10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>
      <c r="A27" s="8">
        <v>24</v>
      </c>
      <c r="B27" s="9" t="s">
        <v>77</v>
      </c>
      <c r="C27" s="74">
        <f>+'8'!G27</f>
        <v>11</v>
      </c>
      <c r="D27" s="75">
        <v>0</v>
      </c>
      <c r="E27" s="74">
        <f t="shared" si="0"/>
        <v>11</v>
      </c>
      <c r="F27" s="75">
        <v>0</v>
      </c>
      <c r="G27" s="74">
        <f t="shared" si="1"/>
        <v>10</v>
      </c>
      <c r="H27" s="76">
        <v>1</v>
      </c>
      <c r="I27" s="57">
        <v>50</v>
      </c>
      <c r="J27" s="71">
        <f t="shared" si="2"/>
        <v>50</v>
      </c>
      <c r="K27" s="54" t="s">
        <v>44</v>
      </c>
      <c r="L27" s="55">
        <v>0</v>
      </c>
      <c r="M27" s="45">
        <f t="shared" si="3"/>
        <v>50</v>
      </c>
    </row>
    <row r="28" spans="1:13" s="2" customFormat="1" ht="25.5">
      <c r="A28" s="8">
        <v>25</v>
      </c>
      <c r="B28" s="9" t="s">
        <v>78</v>
      </c>
      <c r="C28" s="74">
        <f>+'8'!G28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+'8'!G29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+'8'!G30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+'8'!G31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+'8'!G32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+'8'!G33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+'8'!G34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+'8'!G35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+'8'!G36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+'8'!G37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+'8'!G38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+'8'!G39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+'8'!G40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+'8'!G41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+'8'!G42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+'8'!G43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87">
        <f>+'8'!G44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+'8'!G45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+'8'!G46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+'8'!G47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+'8'!G48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+'8'!G49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+'8'!G50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+'8'!G51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+'8'!G52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+'8'!G53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+'8'!G54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+'8'!G55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+'8'!G56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+'8'!G57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+'8'!G58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+'8'!G59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+'8'!G60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+'8'!G61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87">
        <f>+'8'!G62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+'8'!G63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+'8'!G64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+'8'!G65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+'8'!G66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+'8'!G67</f>
        <v>0</v>
      </c>
      <c r="D67" s="75">
        <v>0</v>
      </c>
      <c r="E67" s="74">
        <f t="shared" ref="E67:E81" si="4">C67+D67</f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ref="J67:J68" si="5">+I67*H67</f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+'8'!G68</f>
        <v>0</v>
      </c>
      <c r="D68" s="75">
        <v>0</v>
      </c>
      <c r="E68" s="74">
        <f t="shared" si="4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87">
        <f>+'8'!G69</f>
        <v>2</v>
      </c>
      <c r="D69" s="75">
        <v>0</v>
      </c>
      <c r="E69" s="74">
        <f t="shared" si="4"/>
        <v>2</v>
      </c>
      <c r="F69" s="75">
        <v>0</v>
      </c>
      <c r="G69" s="74">
        <f t="shared" ref="G69:G90" si="6">+E69-F69-H69</f>
        <v>2</v>
      </c>
      <c r="H69" s="76">
        <v>0</v>
      </c>
      <c r="I69" s="57">
        <v>60</v>
      </c>
      <c r="J69" s="71">
        <f t="shared" ref="J69:J81" si="7">+I69*H69</f>
        <v>0</v>
      </c>
      <c r="K69" s="54" t="s">
        <v>44</v>
      </c>
      <c r="L69" s="55">
        <v>0</v>
      </c>
      <c r="M69" s="45">
        <f t="shared" ref="M69:M90" si="8">SUM(J69-L69)</f>
        <v>0</v>
      </c>
    </row>
    <row r="70" spans="1:13" s="2" customFormat="1" ht="25.5">
      <c r="A70" s="8">
        <v>67</v>
      </c>
      <c r="B70" s="16" t="s">
        <v>124</v>
      </c>
      <c r="C70" s="74">
        <f>+'8'!G70</f>
        <v>52</v>
      </c>
      <c r="D70" s="75">
        <v>0</v>
      </c>
      <c r="E70" s="74">
        <f t="shared" si="4"/>
        <v>52</v>
      </c>
      <c r="F70" s="75">
        <v>0</v>
      </c>
      <c r="G70" s="74">
        <f t="shared" si="6"/>
        <v>52</v>
      </c>
      <c r="H70" s="76">
        <v>0</v>
      </c>
      <c r="I70" s="57">
        <v>150</v>
      </c>
      <c r="J70" s="71">
        <f t="shared" si="7"/>
        <v>0</v>
      </c>
      <c r="K70" s="54" t="s">
        <v>44</v>
      </c>
      <c r="L70" s="55">
        <v>0</v>
      </c>
      <c r="M70" s="45">
        <f t="shared" si="8"/>
        <v>0</v>
      </c>
    </row>
    <row r="71" spans="1:13" s="2" customFormat="1" ht="25.5">
      <c r="A71" s="8">
        <v>68</v>
      </c>
      <c r="B71" s="16"/>
      <c r="C71" s="74">
        <f>+'8'!G71</f>
        <v>0</v>
      </c>
      <c r="D71" s="75">
        <v>0</v>
      </c>
      <c r="E71" s="74">
        <f t="shared" si="4"/>
        <v>0</v>
      </c>
      <c r="F71" s="75">
        <v>0</v>
      </c>
      <c r="G71" s="74">
        <f t="shared" si="6"/>
        <v>0</v>
      </c>
      <c r="H71" s="76">
        <v>0</v>
      </c>
      <c r="I71" s="57"/>
      <c r="J71" s="71">
        <f t="shared" si="7"/>
        <v>0</v>
      </c>
      <c r="K71" s="54" t="s">
        <v>44</v>
      </c>
      <c r="L71" s="55">
        <v>0</v>
      </c>
      <c r="M71" s="45">
        <f t="shared" si="8"/>
        <v>0</v>
      </c>
    </row>
    <row r="72" spans="1:13" s="2" customFormat="1" ht="25.5">
      <c r="A72" s="8">
        <v>69</v>
      </c>
      <c r="B72" s="16"/>
      <c r="C72" s="74">
        <f>+'8'!G72</f>
        <v>0</v>
      </c>
      <c r="D72" s="75">
        <v>0</v>
      </c>
      <c r="E72" s="74">
        <f t="shared" si="4"/>
        <v>0</v>
      </c>
      <c r="F72" s="75">
        <v>0</v>
      </c>
      <c r="G72" s="74">
        <f t="shared" si="6"/>
        <v>0</v>
      </c>
      <c r="H72" s="76">
        <v>0</v>
      </c>
      <c r="I72" s="56"/>
      <c r="J72" s="71">
        <f t="shared" si="7"/>
        <v>0</v>
      </c>
      <c r="K72" s="54" t="s">
        <v>44</v>
      </c>
      <c r="L72" s="55">
        <v>0</v>
      </c>
      <c r="M72" s="45">
        <f t="shared" si="8"/>
        <v>0</v>
      </c>
    </row>
    <row r="73" spans="1:13" s="2" customFormat="1" ht="25.5">
      <c r="A73" s="8">
        <v>70</v>
      </c>
      <c r="B73" s="16"/>
      <c r="C73" s="74">
        <f>+'8'!G73</f>
        <v>0</v>
      </c>
      <c r="D73" s="75">
        <v>0</v>
      </c>
      <c r="E73" s="74">
        <f t="shared" si="4"/>
        <v>0</v>
      </c>
      <c r="F73" s="75">
        <v>0</v>
      </c>
      <c r="G73" s="74">
        <f t="shared" si="6"/>
        <v>0</v>
      </c>
      <c r="H73" s="76">
        <v>0</v>
      </c>
      <c r="I73" s="57"/>
      <c r="J73" s="71">
        <f t="shared" si="7"/>
        <v>0</v>
      </c>
      <c r="K73" s="54" t="s">
        <v>44</v>
      </c>
      <c r="L73" s="55">
        <v>0</v>
      </c>
      <c r="M73" s="45">
        <f t="shared" si="8"/>
        <v>0</v>
      </c>
    </row>
    <row r="74" spans="1:13" s="2" customFormat="1" ht="25.5">
      <c r="A74" s="8">
        <v>71</v>
      </c>
      <c r="B74" s="16"/>
      <c r="C74" s="74">
        <f>+'8'!G74</f>
        <v>0</v>
      </c>
      <c r="D74" s="75">
        <v>0</v>
      </c>
      <c r="E74" s="74">
        <f t="shared" si="4"/>
        <v>0</v>
      </c>
      <c r="F74" s="75">
        <v>0</v>
      </c>
      <c r="G74" s="74">
        <f t="shared" si="6"/>
        <v>0</v>
      </c>
      <c r="H74" s="76">
        <v>0</v>
      </c>
      <c r="I74" s="57"/>
      <c r="J74" s="71">
        <f t="shared" si="7"/>
        <v>0</v>
      </c>
      <c r="K74" s="54" t="s">
        <v>44</v>
      </c>
      <c r="L74" s="55">
        <v>0</v>
      </c>
      <c r="M74" s="45">
        <f t="shared" si="8"/>
        <v>0</v>
      </c>
    </row>
    <row r="75" spans="1:13" s="2" customFormat="1" ht="25.5">
      <c r="A75" s="8">
        <v>72</v>
      </c>
      <c r="B75" s="16"/>
      <c r="C75" s="74">
        <f>+'8'!G75</f>
        <v>0</v>
      </c>
      <c r="D75" s="75">
        <v>0</v>
      </c>
      <c r="E75" s="74">
        <f t="shared" si="4"/>
        <v>0</v>
      </c>
      <c r="F75" s="75">
        <v>0</v>
      </c>
      <c r="G75" s="74">
        <f t="shared" si="6"/>
        <v>0</v>
      </c>
      <c r="H75" s="76">
        <v>0</v>
      </c>
      <c r="I75" s="57"/>
      <c r="J75" s="71">
        <f t="shared" si="7"/>
        <v>0</v>
      </c>
      <c r="K75" s="54" t="s">
        <v>44</v>
      </c>
      <c r="L75" s="55">
        <v>0</v>
      </c>
      <c r="M75" s="45">
        <f t="shared" si="8"/>
        <v>0</v>
      </c>
    </row>
    <row r="76" spans="1:13" s="2" customFormat="1" ht="25.5">
      <c r="A76" s="8">
        <v>73</v>
      </c>
      <c r="B76" s="16"/>
      <c r="C76" s="74">
        <f>+'8'!G76</f>
        <v>0</v>
      </c>
      <c r="D76" s="75">
        <v>0</v>
      </c>
      <c r="E76" s="74">
        <f t="shared" si="4"/>
        <v>0</v>
      </c>
      <c r="F76" s="75">
        <v>0</v>
      </c>
      <c r="G76" s="74">
        <f t="shared" si="6"/>
        <v>0</v>
      </c>
      <c r="H76" s="76">
        <v>0</v>
      </c>
      <c r="I76" s="57"/>
      <c r="J76" s="71">
        <f t="shared" si="7"/>
        <v>0</v>
      </c>
      <c r="K76" s="54" t="s">
        <v>44</v>
      </c>
      <c r="L76" s="55">
        <v>0</v>
      </c>
      <c r="M76" s="45">
        <f t="shared" si="8"/>
        <v>0</v>
      </c>
    </row>
    <row r="77" spans="1:13" s="2" customFormat="1" ht="25.5">
      <c r="A77" s="8">
        <v>74</v>
      </c>
      <c r="B77" s="16"/>
      <c r="C77" s="74">
        <f>+'8'!G77</f>
        <v>0</v>
      </c>
      <c r="D77" s="75">
        <v>0</v>
      </c>
      <c r="E77" s="74">
        <f t="shared" si="4"/>
        <v>0</v>
      </c>
      <c r="F77" s="75">
        <v>0</v>
      </c>
      <c r="G77" s="74">
        <f t="shared" si="6"/>
        <v>0</v>
      </c>
      <c r="H77" s="76">
        <v>0</v>
      </c>
      <c r="I77" s="56"/>
      <c r="J77" s="71">
        <f t="shared" si="7"/>
        <v>0</v>
      </c>
      <c r="K77" s="54" t="s">
        <v>44</v>
      </c>
      <c r="L77" s="55">
        <v>0</v>
      </c>
      <c r="M77" s="45">
        <f t="shared" si="8"/>
        <v>0</v>
      </c>
    </row>
    <row r="78" spans="1:13" s="2" customFormat="1" ht="25.5">
      <c r="A78" s="8">
        <v>75</v>
      </c>
      <c r="B78" s="16"/>
      <c r="C78" s="74">
        <f>+'8'!G78</f>
        <v>0</v>
      </c>
      <c r="D78" s="75">
        <v>0</v>
      </c>
      <c r="E78" s="74">
        <f t="shared" si="4"/>
        <v>0</v>
      </c>
      <c r="F78" s="75">
        <v>0</v>
      </c>
      <c r="G78" s="74">
        <f t="shared" si="6"/>
        <v>0</v>
      </c>
      <c r="H78" s="76">
        <v>0</v>
      </c>
      <c r="I78" s="56"/>
      <c r="J78" s="71">
        <f t="shared" si="7"/>
        <v>0</v>
      </c>
      <c r="K78" s="54" t="s">
        <v>44</v>
      </c>
      <c r="L78" s="55">
        <v>0</v>
      </c>
      <c r="M78" s="45">
        <f t="shared" si="8"/>
        <v>0</v>
      </c>
    </row>
    <row r="79" spans="1:13" s="2" customFormat="1" ht="25.5">
      <c r="A79" s="8">
        <v>76</v>
      </c>
      <c r="B79" s="16"/>
      <c r="C79" s="74">
        <f>+'8'!G79</f>
        <v>0</v>
      </c>
      <c r="D79" s="75">
        <v>0</v>
      </c>
      <c r="E79" s="74">
        <f t="shared" si="4"/>
        <v>0</v>
      </c>
      <c r="F79" s="75">
        <v>0</v>
      </c>
      <c r="G79" s="74">
        <f t="shared" si="6"/>
        <v>0</v>
      </c>
      <c r="H79" s="76">
        <v>0</v>
      </c>
      <c r="I79" s="56"/>
      <c r="J79" s="71">
        <f t="shared" si="7"/>
        <v>0</v>
      </c>
      <c r="K79" s="54" t="s">
        <v>44</v>
      </c>
      <c r="L79" s="55">
        <v>0</v>
      </c>
      <c r="M79" s="45">
        <f t="shared" si="8"/>
        <v>0</v>
      </c>
    </row>
    <row r="80" spans="1:13" s="2" customFormat="1" ht="25.5">
      <c r="A80" s="8">
        <v>77</v>
      </c>
      <c r="B80" s="16"/>
      <c r="C80" s="74">
        <f>+'8'!G80</f>
        <v>0</v>
      </c>
      <c r="D80" s="75">
        <v>0</v>
      </c>
      <c r="E80" s="74">
        <f t="shared" si="4"/>
        <v>0</v>
      </c>
      <c r="F80" s="75">
        <v>0</v>
      </c>
      <c r="G80" s="74">
        <f t="shared" si="6"/>
        <v>0</v>
      </c>
      <c r="H80" s="76">
        <v>0</v>
      </c>
      <c r="I80" s="56"/>
      <c r="J80" s="71">
        <f t="shared" si="7"/>
        <v>0</v>
      </c>
      <c r="K80" s="54" t="s">
        <v>44</v>
      </c>
      <c r="L80" s="55">
        <v>0</v>
      </c>
      <c r="M80" s="45">
        <f t="shared" si="8"/>
        <v>0</v>
      </c>
    </row>
    <row r="81" spans="1:14" s="2" customFormat="1" ht="25.5">
      <c r="A81" s="8">
        <v>78</v>
      </c>
      <c r="B81" s="16"/>
      <c r="C81" s="74">
        <f>+'8'!G81</f>
        <v>0</v>
      </c>
      <c r="D81" s="75">
        <v>0</v>
      </c>
      <c r="E81" s="74">
        <f t="shared" si="4"/>
        <v>0</v>
      </c>
      <c r="F81" s="75">
        <v>0</v>
      </c>
      <c r="G81" s="74">
        <f t="shared" si="6"/>
        <v>0</v>
      </c>
      <c r="H81" s="76">
        <v>0</v>
      </c>
      <c r="I81" s="56"/>
      <c r="J81" s="71">
        <f t="shared" si="7"/>
        <v>0</v>
      </c>
      <c r="K81" s="54" t="s">
        <v>44</v>
      </c>
      <c r="L81" s="55">
        <v>0</v>
      </c>
      <c r="M81" s="45">
        <f t="shared" si="8"/>
        <v>0</v>
      </c>
    </row>
    <row r="82" spans="1:14" s="2" customFormat="1" ht="25.5">
      <c r="A82" s="8">
        <v>79</v>
      </c>
      <c r="B82" s="16"/>
      <c r="C82" s="74">
        <f>+'8'!G82</f>
        <v>0</v>
      </c>
      <c r="D82" s="75">
        <v>0</v>
      </c>
      <c r="E82" s="74">
        <f t="shared" ref="E82:E90" si="9">C82+D82</f>
        <v>0</v>
      </c>
      <c r="F82" s="75">
        <v>0</v>
      </c>
      <c r="G82" s="74">
        <f t="shared" si="6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8"/>
        <v>0</v>
      </c>
    </row>
    <row r="83" spans="1:14" s="2" customFormat="1" ht="25.5">
      <c r="A83" s="8">
        <v>80</v>
      </c>
      <c r="B83" s="16"/>
      <c r="C83" s="74">
        <f>+'8'!G83</f>
        <v>0</v>
      </c>
      <c r="D83" s="75">
        <v>0</v>
      </c>
      <c r="E83" s="74">
        <f t="shared" si="9"/>
        <v>0</v>
      </c>
      <c r="F83" s="75">
        <v>0</v>
      </c>
      <c r="G83" s="74">
        <f t="shared" si="6"/>
        <v>0</v>
      </c>
      <c r="H83" s="76">
        <v>0</v>
      </c>
      <c r="I83" s="57"/>
      <c r="J83" s="71">
        <f t="shared" ref="J83:J90" si="10">+I83*H83</f>
        <v>0</v>
      </c>
      <c r="K83" s="54" t="s">
        <v>44</v>
      </c>
      <c r="L83" s="55">
        <v>0</v>
      </c>
      <c r="M83" s="45">
        <f t="shared" si="8"/>
        <v>0</v>
      </c>
      <c r="N83" s="45"/>
    </row>
    <row r="84" spans="1:14" s="2" customFormat="1" ht="25.5">
      <c r="A84" s="8">
        <v>81</v>
      </c>
      <c r="B84" s="16"/>
      <c r="C84" s="74">
        <f>+'8'!G84</f>
        <v>0</v>
      </c>
      <c r="D84" s="75">
        <v>0</v>
      </c>
      <c r="E84" s="74">
        <f t="shared" si="9"/>
        <v>0</v>
      </c>
      <c r="F84" s="75">
        <v>0</v>
      </c>
      <c r="G84" s="74">
        <f t="shared" si="6"/>
        <v>0</v>
      </c>
      <c r="H84" s="76">
        <v>0</v>
      </c>
      <c r="I84" s="57"/>
      <c r="J84" s="71">
        <f t="shared" si="10"/>
        <v>0</v>
      </c>
      <c r="K84" s="54" t="s">
        <v>44</v>
      </c>
      <c r="L84" s="55">
        <v>0</v>
      </c>
      <c r="M84" s="45">
        <f t="shared" si="8"/>
        <v>0</v>
      </c>
      <c r="N84" s="45"/>
    </row>
    <row r="85" spans="1:14" s="2" customFormat="1" ht="25.5">
      <c r="A85" s="8">
        <v>82</v>
      </c>
      <c r="B85" s="16"/>
      <c r="C85" s="74">
        <f>+'8'!G85</f>
        <v>0</v>
      </c>
      <c r="D85" s="75">
        <v>0</v>
      </c>
      <c r="E85" s="74">
        <f t="shared" si="9"/>
        <v>0</v>
      </c>
      <c r="F85" s="75">
        <v>0</v>
      </c>
      <c r="G85" s="74">
        <f t="shared" si="6"/>
        <v>0</v>
      </c>
      <c r="H85" s="76">
        <v>0</v>
      </c>
      <c r="I85" s="57"/>
      <c r="J85" s="71">
        <f t="shared" si="10"/>
        <v>0</v>
      </c>
      <c r="K85" s="54" t="s">
        <v>44</v>
      </c>
      <c r="L85" s="55">
        <v>0</v>
      </c>
      <c r="M85" s="45">
        <f t="shared" si="8"/>
        <v>0</v>
      </c>
      <c r="N85" s="45"/>
    </row>
    <row r="86" spans="1:14" s="2" customFormat="1" ht="25.5">
      <c r="A86" s="8">
        <v>83</v>
      </c>
      <c r="B86" s="16"/>
      <c r="C86" s="74">
        <f>+'8'!G86</f>
        <v>0</v>
      </c>
      <c r="D86" s="75">
        <v>0</v>
      </c>
      <c r="E86" s="74">
        <f t="shared" si="9"/>
        <v>0</v>
      </c>
      <c r="F86" s="75">
        <v>0</v>
      </c>
      <c r="G86" s="74">
        <f t="shared" si="6"/>
        <v>0</v>
      </c>
      <c r="H86" s="76">
        <v>0</v>
      </c>
      <c r="I86" s="57"/>
      <c r="J86" s="71">
        <f t="shared" si="10"/>
        <v>0</v>
      </c>
      <c r="K86" s="54" t="s">
        <v>44</v>
      </c>
      <c r="L86" s="55">
        <v>0</v>
      </c>
      <c r="M86" s="45">
        <f t="shared" si="8"/>
        <v>0</v>
      </c>
      <c r="N86" s="45"/>
    </row>
    <row r="87" spans="1:14" s="2" customFormat="1" ht="25.5">
      <c r="A87" s="8">
        <v>84</v>
      </c>
      <c r="B87" s="16"/>
      <c r="C87" s="74">
        <f>+'8'!G87</f>
        <v>0</v>
      </c>
      <c r="D87" s="75">
        <v>0</v>
      </c>
      <c r="E87" s="74">
        <f t="shared" si="9"/>
        <v>0</v>
      </c>
      <c r="F87" s="75">
        <v>0</v>
      </c>
      <c r="G87" s="74">
        <f t="shared" si="6"/>
        <v>0</v>
      </c>
      <c r="H87" s="76">
        <v>0</v>
      </c>
      <c r="I87" s="57"/>
      <c r="J87" s="71">
        <f t="shared" si="10"/>
        <v>0</v>
      </c>
      <c r="K87" s="54" t="s">
        <v>44</v>
      </c>
      <c r="L87" s="55">
        <v>0</v>
      </c>
      <c r="M87" s="45">
        <f t="shared" si="8"/>
        <v>0</v>
      </c>
      <c r="N87" s="45"/>
    </row>
    <row r="88" spans="1:14" s="2" customFormat="1" ht="25.5">
      <c r="A88" s="8">
        <v>85</v>
      </c>
      <c r="B88" s="16"/>
      <c r="C88" s="74">
        <f>+'8'!G88</f>
        <v>0</v>
      </c>
      <c r="D88" s="75">
        <v>0</v>
      </c>
      <c r="E88" s="74">
        <f t="shared" si="9"/>
        <v>0</v>
      </c>
      <c r="F88" s="75">
        <v>0</v>
      </c>
      <c r="G88" s="74">
        <f t="shared" si="6"/>
        <v>0</v>
      </c>
      <c r="H88" s="76">
        <v>0</v>
      </c>
      <c r="I88" s="57"/>
      <c r="J88" s="71">
        <f t="shared" si="10"/>
        <v>0</v>
      </c>
      <c r="K88" s="54" t="s">
        <v>44</v>
      </c>
      <c r="L88" s="55">
        <v>0</v>
      </c>
      <c r="M88" s="45">
        <f t="shared" si="8"/>
        <v>0</v>
      </c>
      <c r="N88" s="45"/>
    </row>
    <row r="89" spans="1:14" s="2" customFormat="1" ht="25.5">
      <c r="A89" s="8">
        <v>86</v>
      </c>
      <c r="B89" s="16"/>
      <c r="C89" s="74">
        <f>+'8'!G89</f>
        <v>0</v>
      </c>
      <c r="D89" s="75">
        <v>0</v>
      </c>
      <c r="E89" s="74">
        <f t="shared" si="9"/>
        <v>0</v>
      </c>
      <c r="F89" s="75">
        <v>0</v>
      </c>
      <c r="G89" s="74">
        <f t="shared" si="6"/>
        <v>0</v>
      </c>
      <c r="H89" s="76">
        <v>0</v>
      </c>
      <c r="I89" s="57"/>
      <c r="J89" s="71">
        <f t="shared" si="10"/>
        <v>0</v>
      </c>
      <c r="K89" s="54" t="s">
        <v>44</v>
      </c>
      <c r="L89" s="55">
        <v>0</v>
      </c>
      <c r="M89" s="45">
        <f t="shared" si="8"/>
        <v>0</v>
      </c>
      <c r="N89" s="45"/>
    </row>
    <row r="90" spans="1:14" s="2" customFormat="1" ht="25.5">
      <c r="A90" s="8">
        <v>87</v>
      </c>
      <c r="B90" s="16"/>
      <c r="C90" s="74">
        <f>+'8'!G90</f>
        <v>0</v>
      </c>
      <c r="D90" s="75">
        <v>0</v>
      </c>
      <c r="E90" s="74">
        <f t="shared" si="9"/>
        <v>0</v>
      </c>
      <c r="F90" s="75">
        <v>0</v>
      </c>
      <c r="G90" s="74">
        <f t="shared" si="6"/>
        <v>0</v>
      </c>
      <c r="H90" s="76">
        <v>0</v>
      </c>
      <c r="I90" s="57"/>
      <c r="J90" s="71">
        <f t="shared" si="10"/>
        <v>0</v>
      </c>
      <c r="K90" s="54" t="s">
        <v>44</v>
      </c>
      <c r="L90" s="55">
        <v>0</v>
      </c>
      <c r="M90" s="45">
        <f t="shared" si="8"/>
        <v>0</v>
      </c>
      <c r="N90" s="45">
        <f>SUM(M4:M90)</f>
        <v>300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500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200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300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300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300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300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F672-861F-49E2-899D-C74EDBEEF216}">
  <sheetPr>
    <tabColor rgb="FFFAA8E5"/>
  </sheetPr>
  <dimension ref="A1:N106"/>
  <sheetViews>
    <sheetView zoomScale="85" zoomScaleNormal="85" workbookViewId="0">
      <pane ySplit="3" topLeftCell="A4" activePane="bottomLeft" state="frozen"/>
      <selection pane="bottomLeft" activeCell="C76" sqref="C76"/>
    </sheetView>
  </sheetViews>
  <sheetFormatPr defaultRowHeight="15"/>
  <cols>
    <col min="1" max="1" width="6.42578125" bestFit="1" customWidth="1"/>
    <col min="2" max="2" width="39.7109375" bestFit="1" customWidth="1"/>
    <col min="3" max="8" width="10" customWidth="1"/>
    <col min="9" max="10" width="9.42578125" customWidth="1"/>
    <col min="11" max="11" width="18.85546875" customWidth="1"/>
    <col min="12" max="12" width="7.7109375" bestFit="1" customWidth="1"/>
    <col min="13" max="13" width="8.7109375" bestFit="1" customWidth="1"/>
    <col min="14" max="14" width="10.42578125" bestFit="1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+'9'!G4</f>
        <v>6</v>
      </c>
      <c r="D4" s="75">
        <v>0</v>
      </c>
      <c r="E4" s="74">
        <f t="shared" ref="E4:E65" si="0">C4+D4</f>
        <v>6</v>
      </c>
      <c r="F4" s="75">
        <v>0</v>
      </c>
      <c r="G4" s="74">
        <f>+E4-F4-H4</f>
        <v>5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+'9'!G5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+'9'!G6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+'9'!G7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+'9'!G8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+'9'!G9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+'9'!G10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+'9'!G11</f>
        <v>26</v>
      </c>
      <c r="D11" s="75">
        <v>0</v>
      </c>
      <c r="E11" s="74">
        <f t="shared" si="0"/>
        <v>26</v>
      </c>
      <c r="F11" s="75">
        <v>0</v>
      </c>
      <c r="G11" s="74">
        <f t="shared" si="1"/>
        <v>25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>
      <c r="A12" s="8">
        <v>9</v>
      </c>
      <c r="B12" s="16" t="s">
        <v>62</v>
      </c>
      <c r="C12" s="74">
        <f>+'9'!G12</f>
        <v>15</v>
      </c>
      <c r="D12" s="75">
        <v>0</v>
      </c>
      <c r="E12" s="74">
        <f t="shared" si="0"/>
        <v>15</v>
      </c>
      <c r="F12" s="75">
        <v>3</v>
      </c>
      <c r="G12" s="74">
        <f t="shared" si="1"/>
        <v>11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f>+'9'!G13</f>
        <v>9</v>
      </c>
      <c r="D13" s="75">
        <v>0</v>
      </c>
      <c r="E13" s="74">
        <f t="shared" si="0"/>
        <v>9</v>
      </c>
      <c r="F13" s="75">
        <v>0</v>
      </c>
      <c r="G13" s="74">
        <f t="shared" si="1"/>
        <v>8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64</v>
      </c>
      <c r="C14" s="74">
        <f>+'9'!G14</f>
        <v>12</v>
      </c>
      <c r="D14" s="75">
        <v>0</v>
      </c>
      <c r="E14" s="74">
        <f t="shared" si="0"/>
        <v>12</v>
      </c>
      <c r="F14" s="75">
        <v>0</v>
      </c>
      <c r="G14" s="74">
        <f t="shared" si="1"/>
        <v>12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+'9'!G15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+'9'!G16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+'9'!G17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+'9'!G18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+'9'!G19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+'9'!G20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+'9'!G21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+'9'!G22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+'9'!G23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+'9'!G24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+'9'!G25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+'9'!G26</f>
        <v>10</v>
      </c>
      <c r="D26" s="75">
        <v>0</v>
      </c>
      <c r="E26" s="74">
        <f t="shared" si="0"/>
        <v>10</v>
      </c>
      <c r="F26" s="75">
        <v>0</v>
      </c>
      <c r="G26" s="74">
        <f t="shared" si="1"/>
        <v>10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+'9'!G27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+'9'!G28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+'9'!G29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+'9'!G30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+'9'!G31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+'9'!G32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+'9'!G33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+'9'!G34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+'9'!G35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+'9'!G36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+'9'!G37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+'9'!G38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+'9'!G39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+'9'!G40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+'9'!G41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+'9'!G42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+'9'!G43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87">
        <f>+'9'!G44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+'9'!G45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+'9'!G46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+'9'!G47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+'9'!G48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+'9'!G49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+'9'!G50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+'9'!G51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+'9'!G52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+'9'!G53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+'9'!G54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+'9'!G55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+'9'!G56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+'9'!G57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+'9'!G58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+'9'!G59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200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+'9'!G60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+'9'!G61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87">
        <f>+'9'!G62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400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+'9'!G63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250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+'9'!G64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87">
        <f>+'9'!G65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+'9'!G66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ref="J66:J68" si="5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+'9'!G67</f>
        <v>0</v>
      </c>
      <c r="D67" s="75">
        <v>0</v>
      </c>
      <c r="E67" s="74">
        <f t="shared" si="4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+'9'!G68</f>
        <v>0</v>
      </c>
      <c r="D68" s="75">
        <v>0</v>
      </c>
      <c r="E68" s="74">
        <f t="shared" si="4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87">
        <f>+'9'!G69</f>
        <v>2</v>
      </c>
      <c r="D69" s="75">
        <v>0</v>
      </c>
      <c r="E69" s="74">
        <f t="shared" si="4"/>
        <v>2</v>
      </c>
      <c r="F69" s="75">
        <v>0</v>
      </c>
      <c r="G69" s="74">
        <f t="shared" ref="G69:G90" si="6">+E69-F69-H69</f>
        <v>2</v>
      </c>
      <c r="H69" s="76">
        <v>0</v>
      </c>
      <c r="I69" s="57">
        <v>60</v>
      </c>
      <c r="J69" s="71">
        <f t="shared" ref="J69:J81" si="7">+I69*H69</f>
        <v>0</v>
      </c>
      <c r="K69" s="54" t="s">
        <v>44</v>
      </c>
      <c r="L69" s="55">
        <v>0</v>
      </c>
      <c r="M69" s="45">
        <f t="shared" ref="M69:M90" si="8">SUM(J69-L69)</f>
        <v>0</v>
      </c>
    </row>
    <row r="70" spans="1:13" s="2" customFormat="1" ht="25.5">
      <c r="A70" s="8">
        <v>67</v>
      </c>
      <c r="B70" s="16" t="s">
        <v>124</v>
      </c>
      <c r="C70" s="87">
        <f>+'9'!G70</f>
        <v>52</v>
      </c>
      <c r="D70" s="75">
        <v>0</v>
      </c>
      <c r="E70" s="74">
        <f t="shared" si="4"/>
        <v>52</v>
      </c>
      <c r="F70" s="75">
        <v>0</v>
      </c>
      <c r="G70" s="74">
        <f t="shared" si="6"/>
        <v>50</v>
      </c>
      <c r="H70" s="76">
        <v>2</v>
      </c>
      <c r="I70" s="57">
        <v>150</v>
      </c>
      <c r="J70" s="71">
        <f t="shared" si="7"/>
        <v>300</v>
      </c>
      <c r="K70" s="54" t="s">
        <v>44</v>
      </c>
      <c r="L70" s="55">
        <v>100</v>
      </c>
      <c r="M70" s="45">
        <f t="shared" si="8"/>
        <v>200</v>
      </c>
    </row>
    <row r="71" spans="1:13" s="2" customFormat="1" ht="25.5">
      <c r="A71" s="8">
        <v>68</v>
      </c>
      <c r="B71" s="16"/>
      <c r="C71" s="74">
        <f>+'9'!G71</f>
        <v>0</v>
      </c>
      <c r="D71" s="75">
        <v>0</v>
      </c>
      <c r="E71" s="74">
        <f t="shared" si="4"/>
        <v>0</v>
      </c>
      <c r="F71" s="75">
        <v>0</v>
      </c>
      <c r="G71" s="74">
        <f t="shared" si="6"/>
        <v>0</v>
      </c>
      <c r="H71" s="76">
        <v>0</v>
      </c>
      <c r="I71" s="57"/>
      <c r="J71" s="71">
        <f t="shared" si="7"/>
        <v>0</v>
      </c>
      <c r="K71" s="54" t="s">
        <v>44</v>
      </c>
      <c r="L71" s="55">
        <v>0</v>
      </c>
      <c r="M71" s="45">
        <f t="shared" si="8"/>
        <v>0</v>
      </c>
    </row>
    <row r="72" spans="1:13" s="2" customFormat="1" ht="25.5">
      <c r="A72" s="8">
        <v>69</v>
      </c>
      <c r="B72" s="16"/>
      <c r="C72" s="74">
        <f>+'9'!G72</f>
        <v>0</v>
      </c>
      <c r="D72" s="75">
        <v>0</v>
      </c>
      <c r="E72" s="74">
        <f t="shared" si="4"/>
        <v>0</v>
      </c>
      <c r="F72" s="75">
        <v>0</v>
      </c>
      <c r="G72" s="74">
        <f t="shared" si="6"/>
        <v>0</v>
      </c>
      <c r="H72" s="76">
        <v>0</v>
      </c>
      <c r="I72" s="56"/>
      <c r="J72" s="71">
        <f t="shared" si="7"/>
        <v>0</v>
      </c>
      <c r="K72" s="54" t="s">
        <v>44</v>
      </c>
      <c r="L72" s="55">
        <v>0</v>
      </c>
      <c r="M72" s="45">
        <f t="shared" si="8"/>
        <v>0</v>
      </c>
    </row>
    <row r="73" spans="1:13" s="2" customFormat="1" ht="25.5">
      <c r="A73" s="8">
        <v>70</v>
      </c>
      <c r="B73" s="16"/>
      <c r="C73" s="74">
        <f>+'9'!G73</f>
        <v>0</v>
      </c>
      <c r="D73" s="75">
        <v>0</v>
      </c>
      <c r="E73" s="74">
        <f t="shared" si="4"/>
        <v>0</v>
      </c>
      <c r="F73" s="75">
        <v>0</v>
      </c>
      <c r="G73" s="74">
        <f t="shared" si="6"/>
        <v>0</v>
      </c>
      <c r="H73" s="76">
        <v>0</v>
      </c>
      <c r="I73" s="57"/>
      <c r="J73" s="71">
        <f t="shared" si="7"/>
        <v>0</v>
      </c>
      <c r="K73" s="54" t="s">
        <v>44</v>
      </c>
      <c r="L73" s="55">
        <v>0</v>
      </c>
      <c r="M73" s="45">
        <f t="shared" si="8"/>
        <v>0</v>
      </c>
    </row>
    <row r="74" spans="1:13" s="2" customFormat="1" ht="25.5">
      <c r="A74" s="8">
        <v>71</v>
      </c>
      <c r="B74" s="16"/>
      <c r="C74" s="74">
        <f>+'9'!G74</f>
        <v>0</v>
      </c>
      <c r="D74" s="75">
        <v>0</v>
      </c>
      <c r="E74" s="74">
        <f t="shared" si="4"/>
        <v>0</v>
      </c>
      <c r="F74" s="75">
        <v>0</v>
      </c>
      <c r="G74" s="74">
        <f t="shared" si="6"/>
        <v>0</v>
      </c>
      <c r="H74" s="76">
        <v>0</v>
      </c>
      <c r="I74" s="57"/>
      <c r="J74" s="71">
        <f t="shared" si="7"/>
        <v>0</v>
      </c>
      <c r="K74" s="54" t="s">
        <v>44</v>
      </c>
      <c r="L74" s="55">
        <v>0</v>
      </c>
      <c r="M74" s="45">
        <f t="shared" si="8"/>
        <v>0</v>
      </c>
    </row>
    <row r="75" spans="1:13" s="2" customFormat="1" ht="25.5">
      <c r="A75" s="8">
        <v>72</v>
      </c>
      <c r="B75" s="16"/>
      <c r="C75" s="74">
        <f>+'9'!G75</f>
        <v>0</v>
      </c>
      <c r="D75" s="75">
        <v>0</v>
      </c>
      <c r="E75" s="74">
        <f t="shared" si="4"/>
        <v>0</v>
      </c>
      <c r="F75" s="75">
        <v>0</v>
      </c>
      <c r="G75" s="74">
        <f t="shared" si="6"/>
        <v>0</v>
      </c>
      <c r="H75" s="76">
        <v>0</v>
      </c>
      <c r="I75" s="57"/>
      <c r="J75" s="71">
        <f t="shared" si="7"/>
        <v>0</v>
      </c>
      <c r="K75" s="54" t="s">
        <v>44</v>
      </c>
      <c r="L75" s="55">
        <v>0</v>
      </c>
      <c r="M75" s="45">
        <f t="shared" si="8"/>
        <v>0</v>
      </c>
    </row>
    <row r="76" spans="1:13" s="2" customFormat="1" ht="25.5">
      <c r="A76" s="8">
        <v>73</v>
      </c>
      <c r="B76" s="16"/>
      <c r="C76" s="74">
        <f>+'9'!G76</f>
        <v>0</v>
      </c>
      <c r="D76" s="75">
        <v>0</v>
      </c>
      <c r="E76" s="74">
        <f t="shared" si="4"/>
        <v>0</v>
      </c>
      <c r="F76" s="75">
        <v>0</v>
      </c>
      <c r="G76" s="74">
        <f t="shared" si="6"/>
        <v>0</v>
      </c>
      <c r="H76" s="76">
        <v>0</v>
      </c>
      <c r="I76" s="57"/>
      <c r="J76" s="71">
        <f t="shared" si="7"/>
        <v>0</v>
      </c>
      <c r="K76" s="54" t="s">
        <v>44</v>
      </c>
      <c r="L76" s="55">
        <v>0</v>
      </c>
      <c r="M76" s="45">
        <f t="shared" si="8"/>
        <v>0</v>
      </c>
    </row>
    <row r="77" spans="1:13" s="2" customFormat="1" ht="25.5">
      <c r="A77" s="8">
        <v>74</v>
      </c>
      <c r="B77" s="16"/>
      <c r="C77" s="74">
        <f>+'9'!G77</f>
        <v>0</v>
      </c>
      <c r="D77" s="75">
        <v>0</v>
      </c>
      <c r="E77" s="74">
        <f t="shared" si="4"/>
        <v>0</v>
      </c>
      <c r="F77" s="75">
        <v>0</v>
      </c>
      <c r="G77" s="74">
        <f t="shared" si="6"/>
        <v>0</v>
      </c>
      <c r="H77" s="76">
        <v>0</v>
      </c>
      <c r="I77" s="56"/>
      <c r="J77" s="71">
        <f t="shared" si="7"/>
        <v>0</v>
      </c>
      <c r="K77" s="54" t="s">
        <v>44</v>
      </c>
      <c r="L77" s="55">
        <v>0</v>
      </c>
      <c r="M77" s="45">
        <f t="shared" si="8"/>
        <v>0</v>
      </c>
    </row>
    <row r="78" spans="1:13" s="2" customFormat="1" ht="25.5">
      <c r="A78" s="8">
        <v>75</v>
      </c>
      <c r="B78" s="16"/>
      <c r="C78" s="74">
        <f>+'9'!G78</f>
        <v>0</v>
      </c>
      <c r="D78" s="75">
        <v>0</v>
      </c>
      <c r="E78" s="74">
        <f t="shared" si="4"/>
        <v>0</v>
      </c>
      <c r="F78" s="75">
        <v>0</v>
      </c>
      <c r="G78" s="74">
        <f t="shared" si="6"/>
        <v>0</v>
      </c>
      <c r="H78" s="76">
        <v>0</v>
      </c>
      <c r="I78" s="56"/>
      <c r="J78" s="71">
        <f t="shared" si="7"/>
        <v>0</v>
      </c>
      <c r="K78" s="54" t="s">
        <v>44</v>
      </c>
      <c r="L78" s="55">
        <v>0</v>
      </c>
      <c r="M78" s="45">
        <f t="shared" si="8"/>
        <v>0</v>
      </c>
    </row>
    <row r="79" spans="1:13" s="2" customFormat="1" ht="25.5">
      <c r="A79" s="8">
        <v>76</v>
      </c>
      <c r="B79" s="16"/>
      <c r="C79" s="74">
        <f>+'9'!G79</f>
        <v>0</v>
      </c>
      <c r="D79" s="75">
        <v>0</v>
      </c>
      <c r="E79" s="74">
        <f t="shared" si="4"/>
        <v>0</v>
      </c>
      <c r="F79" s="75">
        <v>0</v>
      </c>
      <c r="G79" s="74">
        <f t="shared" si="6"/>
        <v>0</v>
      </c>
      <c r="H79" s="76">
        <v>0</v>
      </c>
      <c r="I79" s="56"/>
      <c r="J79" s="71">
        <f t="shared" si="7"/>
        <v>0</v>
      </c>
      <c r="K79" s="54" t="s">
        <v>44</v>
      </c>
      <c r="L79" s="55">
        <v>0</v>
      </c>
      <c r="M79" s="45">
        <f t="shared" si="8"/>
        <v>0</v>
      </c>
    </row>
    <row r="80" spans="1:13" s="2" customFormat="1" ht="25.5">
      <c r="A80" s="8">
        <v>77</v>
      </c>
      <c r="B80" s="16"/>
      <c r="C80" s="74">
        <f>+'9'!G80</f>
        <v>0</v>
      </c>
      <c r="D80" s="75">
        <v>0</v>
      </c>
      <c r="E80" s="74">
        <f t="shared" si="4"/>
        <v>0</v>
      </c>
      <c r="F80" s="75">
        <v>0</v>
      </c>
      <c r="G80" s="74">
        <f t="shared" si="6"/>
        <v>0</v>
      </c>
      <c r="H80" s="76">
        <v>0</v>
      </c>
      <c r="I80" s="56"/>
      <c r="J80" s="71">
        <f t="shared" si="7"/>
        <v>0</v>
      </c>
      <c r="K80" s="54" t="s">
        <v>44</v>
      </c>
      <c r="L80" s="55">
        <v>0</v>
      </c>
      <c r="M80" s="45">
        <f t="shared" si="8"/>
        <v>0</v>
      </c>
    </row>
    <row r="81" spans="1:14" s="2" customFormat="1" ht="25.5">
      <c r="A81" s="8">
        <v>78</v>
      </c>
      <c r="B81" s="16"/>
      <c r="C81" s="74">
        <f>+'9'!G81</f>
        <v>0</v>
      </c>
      <c r="D81" s="75">
        <v>0</v>
      </c>
      <c r="E81" s="74">
        <f t="shared" si="4"/>
        <v>0</v>
      </c>
      <c r="F81" s="75">
        <v>0</v>
      </c>
      <c r="G81" s="74">
        <f t="shared" si="6"/>
        <v>0</v>
      </c>
      <c r="H81" s="76">
        <v>0</v>
      </c>
      <c r="I81" s="56"/>
      <c r="J81" s="71">
        <f t="shared" si="7"/>
        <v>0</v>
      </c>
      <c r="K81" s="54" t="s">
        <v>44</v>
      </c>
      <c r="L81" s="55">
        <v>0</v>
      </c>
      <c r="M81" s="45">
        <f t="shared" si="8"/>
        <v>0</v>
      </c>
    </row>
    <row r="82" spans="1:14" s="2" customFormat="1" ht="25.5">
      <c r="A82" s="8">
        <v>79</v>
      </c>
      <c r="B82" s="16"/>
      <c r="C82" s="74">
        <f>+'9'!G82</f>
        <v>0</v>
      </c>
      <c r="D82" s="75">
        <v>0</v>
      </c>
      <c r="E82" s="74">
        <f t="shared" ref="E82:E90" si="9">C82+D82</f>
        <v>0</v>
      </c>
      <c r="F82" s="75">
        <v>0</v>
      </c>
      <c r="G82" s="74">
        <f t="shared" si="6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8"/>
        <v>0</v>
      </c>
      <c r="N82" s="45"/>
    </row>
    <row r="83" spans="1:14" s="2" customFormat="1" ht="25.5">
      <c r="A83" s="8">
        <v>80</v>
      </c>
      <c r="B83" s="16"/>
      <c r="C83" s="74">
        <f>+'9'!G83</f>
        <v>0</v>
      </c>
      <c r="D83" s="75">
        <v>0</v>
      </c>
      <c r="E83" s="74">
        <f t="shared" si="9"/>
        <v>0</v>
      </c>
      <c r="F83" s="75">
        <v>0</v>
      </c>
      <c r="G83" s="74">
        <f t="shared" si="6"/>
        <v>0</v>
      </c>
      <c r="H83" s="76">
        <v>0</v>
      </c>
      <c r="I83" s="57"/>
      <c r="J83" s="71">
        <f t="shared" ref="J83:J90" si="10">+I83*H83</f>
        <v>0</v>
      </c>
      <c r="K83" s="54" t="s">
        <v>44</v>
      </c>
      <c r="L83" s="55">
        <v>0</v>
      </c>
      <c r="M83" s="45">
        <f t="shared" si="8"/>
        <v>0</v>
      </c>
      <c r="N83" s="45"/>
    </row>
    <row r="84" spans="1:14" s="2" customFormat="1" ht="25.5">
      <c r="A84" s="8">
        <v>81</v>
      </c>
      <c r="B84" s="16"/>
      <c r="C84" s="74">
        <f>+'9'!G84</f>
        <v>0</v>
      </c>
      <c r="D84" s="75">
        <v>0</v>
      </c>
      <c r="E84" s="74">
        <f t="shared" si="9"/>
        <v>0</v>
      </c>
      <c r="F84" s="75">
        <v>0</v>
      </c>
      <c r="G84" s="74">
        <f t="shared" si="6"/>
        <v>0</v>
      </c>
      <c r="H84" s="76">
        <v>0</v>
      </c>
      <c r="I84" s="57"/>
      <c r="J84" s="71">
        <f t="shared" si="10"/>
        <v>0</v>
      </c>
      <c r="K84" s="54" t="s">
        <v>44</v>
      </c>
      <c r="L84" s="55">
        <v>0</v>
      </c>
      <c r="M84" s="45">
        <f t="shared" si="8"/>
        <v>0</v>
      </c>
      <c r="N84" s="45"/>
    </row>
    <row r="85" spans="1:14" s="2" customFormat="1" ht="25.5">
      <c r="A85" s="8">
        <v>82</v>
      </c>
      <c r="B85" s="16"/>
      <c r="C85" s="74">
        <f>+'9'!G85</f>
        <v>0</v>
      </c>
      <c r="D85" s="75">
        <v>0</v>
      </c>
      <c r="E85" s="74">
        <f t="shared" si="9"/>
        <v>0</v>
      </c>
      <c r="F85" s="75">
        <v>0</v>
      </c>
      <c r="G85" s="74">
        <f t="shared" si="6"/>
        <v>0</v>
      </c>
      <c r="H85" s="76">
        <v>0</v>
      </c>
      <c r="I85" s="57"/>
      <c r="J85" s="71">
        <f t="shared" si="10"/>
        <v>0</v>
      </c>
      <c r="K85" s="54" t="s">
        <v>44</v>
      </c>
      <c r="L85" s="55">
        <v>0</v>
      </c>
      <c r="M85" s="45">
        <f t="shared" si="8"/>
        <v>0</v>
      </c>
      <c r="N85" s="45"/>
    </row>
    <row r="86" spans="1:14" s="2" customFormat="1" ht="25.5">
      <c r="A86" s="8">
        <v>83</v>
      </c>
      <c r="B86" s="16"/>
      <c r="C86" s="74">
        <f>+'9'!G86</f>
        <v>0</v>
      </c>
      <c r="D86" s="75">
        <v>0</v>
      </c>
      <c r="E86" s="74">
        <f t="shared" si="9"/>
        <v>0</v>
      </c>
      <c r="F86" s="75">
        <v>0</v>
      </c>
      <c r="G86" s="74">
        <f t="shared" si="6"/>
        <v>0</v>
      </c>
      <c r="H86" s="76">
        <v>0</v>
      </c>
      <c r="I86" s="57"/>
      <c r="J86" s="71">
        <f t="shared" si="10"/>
        <v>0</v>
      </c>
      <c r="K86" s="54" t="s">
        <v>44</v>
      </c>
      <c r="L86" s="55">
        <v>0</v>
      </c>
      <c r="M86" s="45">
        <f t="shared" si="8"/>
        <v>0</v>
      </c>
      <c r="N86" s="45"/>
    </row>
    <row r="87" spans="1:14" s="2" customFormat="1" ht="25.5">
      <c r="A87" s="8">
        <v>84</v>
      </c>
      <c r="B87" s="16"/>
      <c r="C87" s="74">
        <f>+'9'!G87</f>
        <v>0</v>
      </c>
      <c r="D87" s="75">
        <v>0</v>
      </c>
      <c r="E87" s="74">
        <f t="shared" si="9"/>
        <v>0</v>
      </c>
      <c r="F87" s="75">
        <v>0</v>
      </c>
      <c r="G87" s="74">
        <f t="shared" si="6"/>
        <v>0</v>
      </c>
      <c r="H87" s="76">
        <v>0</v>
      </c>
      <c r="I87" s="57"/>
      <c r="J87" s="71">
        <f t="shared" si="10"/>
        <v>0</v>
      </c>
      <c r="K87" s="54" t="s">
        <v>44</v>
      </c>
      <c r="L87" s="55">
        <v>0</v>
      </c>
      <c r="M87" s="45">
        <f t="shared" si="8"/>
        <v>0</v>
      </c>
      <c r="N87" s="45"/>
    </row>
    <row r="88" spans="1:14" s="2" customFormat="1" ht="25.5">
      <c r="A88" s="8">
        <v>85</v>
      </c>
      <c r="B88" s="16"/>
      <c r="C88" s="74">
        <f>+'9'!G88</f>
        <v>0</v>
      </c>
      <c r="D88" s="75">
        <v>0</v>
      </c>
      <c r="E88" s="74">
        <f t="shared" si="9"/>
        <v>0</v>
      </c>
      <c r="F88" s="75">
        <v>0</v>
      </c>
      <c r="G88" s="74">
        <f t="shared" si="6"/>
        <v>0</v>
      </c>
      <c r="H88" s="76">
        <v>0</v>
      </c>
      <c r="I88" s="57"/>
      <c r="J88" s="71">
        <f t="shared" si="10"/>
        <v>0</v>
      </c>
      <c r="K88" s="54" t="s">
        <v>44</v>
      </c>
      <c r="L88" s="55">
        <v>0</v>
      </c>
      <c r="M88" s="45">
        <f t="shared" si="8"/>
        <v>0</v>
      </c>
      <c r="N88" s="45"/>
    </row>
    <row r="89" spans="1:14" s="2" customFormat="1" ht="25.5">
      <c r="A89" s="8">
        <v>86</v>
      </c>
      <c r="B89" s="16"/>
      <c r="C89" s="74">
        <f>+'9'!G89</f>
        <v>0</v>
      </c>
      <c r="D89" s="75">
        <v>0</v>
      </c>
      <c r="E89" s="74">
        <f t="shared" si="9"/>
        <v>0</v>
      </c>
      <c r="F89" s="75">
        <v>0</v>
      </c>
      <c r="G89" s="74">
        <f t="shared" si="6"/>
        <v>0</v>
      </c>
      <c r="H89" s="76">
        <v>0</v>
      </c>
      <c r="I89" s="57"/>
      <c r="J89" s="71">
        <f t="shared" si="10"/>
        <v>0</v>
      </c>
      <c r="K89" s="54" t="s">
        <v>44</v>
      </c>
      <c r="L89" s="55">
        <v>0</v>
      </c>
      <c r="M89" s="45">
        <f t="shared" si="8"/>
        <v>0</v>
      </c>
      <c r="N89" s="45"/>
    </row>
    <row r="90" spans="1:14" s="2" customFormat="1" ht="25.5">
      <c r="A90" s="8">
        <v>87</v>
      </c>
      <c r="B90" s="16"/>
      <c r="C90" s="74">
        <f>+'9'!G90</f>
        <v>0</v>
      </c>
      <c r="D90" s="75">
        <v>0</v>
      </c>
      <c r="E90" s="74">
        <f t="shared" si="9"/>
        <v>0</v>
      </c>
      <c r="F90" s="75">
        <v>0</v>
      </c>
      <c r="G90" s="74">
        <f t="shared" si="6"/>
        <v>0</v>
      </c>
      <c r="H90" s="76">
        <v>0</v>
      </c>
      <c r="I90" s="57"/>
      <c r="J90" s="71">
        <f t="shared" si="10"/>
        <v>0</v>
      </c>
      <c r="K90" s="54" t="s">
        <v>44</v>
      </c>
      <c r="L90" s="55">
        <v>0</v>
      </c>
      <c r="M90" s="45">
        <f t="shared" si="8"/>
        <v>0</v>
      </c>
      <c r="N90" s="45">
        <f>SUM(M4:M90)</f>
        <v>505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605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100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505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505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505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505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8888-CD2A-4D7F-8566-BF6DCADA791A}">
  <sheetPr>
    <tabColor rgb="FFFAA8E5"/>
  </sheetPr>
  <dimension ref="A1:N106"/>
  <sheetViews>
    <sheetView zoomScale="90" zoomScaleNormal="90" workbookViewId="0">
      <pane ySplit="3" topLeftCell="A66" activePane="bottomLeft" state="frozen"/>
      <selection pane="bottomLeft" activeCell="C86" sqref="C86"/>
    </sheetView>
  </sheetViews>
  <sheetFormatPr defaultRowHeight="15"/>
  <cols>
    <col min="1" max="1" width="6.140625" customWidth="1"/>
    <col min="2" max="2" width="34.5703125" customWidth="1"/>
    <col min="11" max="11" width="18" customWidth="1"/>
    <col min="14" max="14" width="10.42578125" bestFit="1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+'10'!G4</f>
        <v>5</v>
      </c>
      <c r="D4" s="75">
        <v>0</v>
      </c>
      <c r="E4" s="74">
        <f t="shared" ref="E4:E65" si="0">C4+D4</f>
        <v>5</v>
      </c>
      <c r="F4" s="75">
        <v>0</v>
      </c>
      <c r="G4" s="74">
        <f>+E4-F4-H4</f>
        <v>4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+'10'!G5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5" si="1">+E5-F5-H5</f>
        <v>16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+'10'!G6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10</v>
      </c>
      <c r="H6" s="76">
        <v>1</v>
      </c>
      <c r="I6" s="56">
        <v>55</v>
      </c>
      <c r="J6" s="71">
        <f t="shared" si="2"/>
        <v>55</v>
      </c>
      <c r="K6" s="54" t="s">
        <v>44</v>
      </c>
      <c r="L6" s="55">
        <v>0</v>
      </c>
      <c r="M6" s="45">
        <f t="shared" si="3"/>
        <v>55</v>
      </c>
    </row>
    <row r="7" spans="1:13" s="2" customFormat="1" ht="25.5">
      <c r="A7" s="8">
        <v>4</v>
      </c>
      <c r="B7" s="16" t="s">
        <v>57</v>
      </c>
      <c r="C7" s="74">
        <f>+'10'!G7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+'10'!G8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+'10'!G9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+'10'!G10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+'10'!G11</f>
        <v>25</v>
      </c>
      <c r="D11" s="75">
        <v>0</v>
      </c>
      <c r="E11" s="74">
        <f t="shared" si="0"/>
        <v>25</v>
      </c>
      <c r="F11" s="75">
        <v>0</v>
      </c>
      <c r="G11" s="74">
        <f t="shared" si="1"/>
        <v>25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+'10'!G12</f>
        <v>11</v>
      </c>
      <c r="D12" s="75">
        <v>0</v>
      </c>
      <c r="E12" s="74">
        <f t="shared" si="0"/>
        <v>11</v>
      </c>
      <c r="F12" s="75">
        <v>0</v>
      </c>
      <c r="G12" s="74">
        <f t="shared" si="1"/>
        <v>11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+'10'!G13</f>
        <v>8</v>
      </c>
      <c r="D13" s="75">
        <v>0</v>
      </c>
      <c r="E13" s="74">
        <f t="shared" si="0"/>
        <v>8</v>
      </c>
      <c r="F13" s="75">
        <v>0</v>
      </c>
      <c r="G13" s="74">
        <f t="shared" si="1"/>
        <v>8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+'10'!G14</f>
        <v>12</v>
      </c>
      <c r="D14" s="75">
        <v>0</v>
      </c>
      <c r="E14" s="74">
        <f t="shared" si="0"/>
        <v>12</v>
      </c>
      <c r="F14" s="75">
        <v>4</v>
      </c>
      <c r="G14" s="74">
        <f t="shared" si="1"/>
        <v>8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+'10'!G15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+'10'!G16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+'10'!G17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+'10'!G18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+'10'!G19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+'10'!G20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+'10'!G21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+'10'!G22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+'10'!G23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+'10'!G24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+'10'!G25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+'10'!G26</f>
        <v>10</v>
      </c>
      <c r="D26" s="75">
        <v>0</v>
      </c>
      <c r="E26" s="74">
        <f t="shared" si="0"/>
        <v>10</v>
      </c>
      <c r="F26" s="75">
        <v>0</v>
      </c>
      <c r="G26" s="74">
        <f t="shared" si="1"/>
        <v>9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>
      <c r="A27" s="8">
        <v>24</v>
      </c>
      <c r="B27" s="9" t="s">
        <v>77</v>
      </c>
      <c r="C27" s="74">
        <f>+'10'!G27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9</v>
      </c>
      <c r="H27" s="76">
        <v>1</v>
      </c>
      <c r="I27" s="57">
        <v>50</v>
      </c>
      <c r="J27" s="71">
        <f t="shared" si="2"/>
        <v>50</v>
      </c>
      <c r="K27" s="54" t="s">
        <v>44</v>
      </c>
      <c r="L27" s="55">
        <v>0</v>
      </c>
      <c r="M27" s="45">
        <f t="shared" si="3"/>
        <v>50</v>
      </c>
    </row>
    <row r="28" spans="1:13" s="2" customFormat="1" ht="25.5">
      <c r="A28" s="8">
        <v>25</v>
      </c>
      <c r="B28" s="9" t="s">
        <v>78</v>
      </c>
      <c r="C28" s="74">
        <f>+'10'!G28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+'10'!G29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+'10'!G30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+'10'!G31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+'10'!G32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+'10'!G33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+'10'!G34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+'10'!G35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+'10'!G36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+'10'!G37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+'10'!G38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+'10'!G39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+'10'!G40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+'10'!G41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+'10'!G42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+'10'!G43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+'10'!G44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+'10'!G45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+'10'!G46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+'10'!G47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+'10'!G48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+'10'!G49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+'10'!G50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+'10'!G51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+'10'!G52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+'10'!G53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+'10'!G54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+'10'!G55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+'10'!G56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+'10'!G57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+'10'!G58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+'10'!G59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200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+'10'!G60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+'10'!G61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+'10'!G62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400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+'10'!G63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250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+'10'!G64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+'10'!G65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+'10'!G66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+'10'!G67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+'10'!G68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+'10'!G69</f>
        <v>2</v>
      </c>
      <c r="D69" s="75">
        <v>0</v>
      </c>
      <c r="E69" s="74">
        <f t="shared" si="4"/>
        <v>2</v>
      </c>
      <c r="F69" s="75">
        <v>0</v>
      </c>
      <c r="G69" s="74">
        <f t="shared" ref="G69:G90" si="7">+E69-F69-H69</f>
        <v>2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4">
        <f>+'10'!G70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7"/>
        <v>50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4">
        <f>+'10'!G71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+'10'!G72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+'10'!G73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+'10'!G74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+'10'!G75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+'10'!G76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+'10'!G77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+'10'!G78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+'10'!G79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+'10'!G80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+'10'!G81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+'10'!G82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4">
        <f>+'10'!G83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4">
        <f>+'10'!G84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4">
        <f>+'10'!G85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4">
        <f>+'10'!G86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4">
        <f>+'10'!G87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4">
        <f>+'10'!G88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4">
        <f>+'10'!G89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4">
        <f>+'10'!G90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205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205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205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205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205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205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5CB-EAC8-498A-A31B-6ACA7ABC88B8}">
  <sheetPr>
    <tabColor rgb="FFFAA8E5"/>
  </sheetPr>
  <dimension ref="A1:N106"/>
  <sheetViews>
    <sheetView zoomScale="85" zoomScaleNormal="85" workbookViewId="0">
      <pane ySplit="3" topLeftCell="A4" activePane="bottomLeft" state="frozen"/>
      <selection pane="bottomLeft" activeCell="C74" sqref="C74"/>
    </sheetView>
  </sheetViews>
  <sheetFormatPr defaultRowHeight="15"/>
  <cols>
    <col min="1" max="1" width="6.140625" customWidth="1"/>
    <col min="2" max="2" width="34.5703125" customWidth="1"/>
    <col min="10" max="10" width="10.42578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+'11'!G4</f>
        <v>4</v>
      </c>
      <c r="D4" s="75">
        <v>0</v>
      </c>
      <c r="E4" s="74">
        <f t="shared" ref="E4:E65" si="0">C4+D4</f>
        <v>4</v>
      </c>
      <c r="F4" s="75">
        <v>0</v>
      </c>
      <c r="G4" s="74">
        <f>+E4-F4-H4</f>
        <v>3</v>
      </c>
      <c r="H4" s="76">
        <v>1</v>
      </c>
      <c r="I4" s="15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+'11'!G5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5" si="1">+E5-F5-H5</f>
        <v>16</v>
      </c>
      <c r="H5" s="76">
        <v>0</v>
      </c>
      <c r="I5" s="15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+'11'!G6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+'11'!G7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+'11'!G8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+'11'!G9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+'11'!G10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15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+'11'!G11</f>
        <v>25</v>
      </c>
      <c r="D11" s="75">
        <v>0</v>
      </c>
      <c r="E11" s="74">
        <f t="shared" si="0"/>
        <v>25</v>
      </c>
      <c r="F11" s="75">
        <v>0</v>
      </c>
      <c r="G11" s="74">
        <f t="shared" si="1"/>
        <v>23</v>
      </c>
      <c r="H11" s="76">
        <v>2</v>
      </c>
      <c r="I11" s="15">
        <v>55</v>
      </c>
      <c r="J11" s="71">
        <f t="shared" si="2"/>
        <v>110</v>
      </c>
      <c r="K11" s="54" t="s">
        <v>44</v>
      </c>
      <c r="L11" s="55">
        <v>0</v>
      </c>
      <c r="M11" s="45">
        <f t="shared" si="3"/>
        <v>110</v>
      </c>
    </row>
    <row r="12" spans="1:13" s="2" customFormat="1" ht="25.5">
      <c r="A12" s="8">
        <v>9</v>
      </c>
      <c r="B12" s="16" t="s">
        <v>62</v>
      </c>
      <c r="C12" s="74">
        <f>+'11'!G12</f>
        <v>11</v>
      </c>
      <c r="D12" s="75">
        <v>0</v>
      </c>
      <c r="E12" s="74">
        <f t="shared" si="0"/>
        <v>11</v>
      </c>
      <c r="F12" s="75">
        <v>0</v>
      </c>
      <c r="G12" s="74">
        <f t="shared" si="1"/>
        <v>10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f>+'11'!G13</f>
        <v>8</v>
      </c>
      <c r="D13" s="75">
        <v>0</v>
      </c>
      <c r="E13" s="74">
        <f t="shared" si="0"/>
        <v>8</v>
      </c>
      <c r="F13" s="75">
        <v>0</v>
      </c>
      <c r="G13" s="74">
        <f t="shared" si="1"/>
        <v>8</v>
      </c>
      <c r="H13" s="76">
        <v>0</v>
      </c>
      <c r="I13" s="15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+'11'!G14</f>
        <v>8</v>
      </c>
      <c r="D14" s="75">
        <v>0</v>
      </c>
      <c r="E14" s="74">
        <f t="shared" si="0"/>
        <v>8</v>
      </c>
      <c r="F14" s="75">
        <v>0</v>
      </c>
      <c r="G14" s="74">
        <f t="shared" si="1"/>
        <v>8</v>
      </c>
      <c r="H14" s="76">
        <v>0</v>
      </c>
      <c r="I14" s="15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+'11'!G15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15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+'11'!G16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15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+'11'!G17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15</v>
      </c>
      <c r="H17" s="76">
        <v>1</v>
      </c>
      <c r="I17" s="15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68</v>
      </c>
      <c r="C18" s="74">
        <f>+'11'!G18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78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+'11'!G19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78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+'11'!G20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78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+'11'!G21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+'11'!G22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+'11'!G23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15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+'11'!G24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15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+'11'!G25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15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+'11'!G26</f>
        <v>9</v>
      </c>
      <c r="D26" s="75">
        <v>0</v>
      </c>
      <c r="E26" s="74">
        <f t="shared" si="0"/>
        <v>9</v>
      </c>
      <c r="F26" s="75">
        <v>0</v>
      </c>
      <c r="G26" s="74">
        <f t="shared" si="1"/>
        <v>9</v>
      </c>
      <c r="H26" s="76">
        <v>0</v>
      </c>
      <c r="I26" s="15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+'11'!G27</f>
        <v>9</v>
      </c>
      <c r="D27" s="75">
        <v>0</v>
      </c>
      <c r="E27" s="74">
        <f t="shared" si="0"/>
        <v>9</v>
      </c>
      <c r="F27" s="75">
        <v>0</v>
      </c>
      <c r="G27" s="74">
        <f t="shared" si="1"/>
        <v>9</v>
      </c>
      <c r="H27" s="76">
        <v>0</v>
      </c>
      <c r="I27" s="15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+'11'!G28</f>
        <v>7</v>
      </c>
      <c r="D28" s="75">
        <v>0</v>
      </c>
      <c r="E28" s="74">
        <f t="shared" si="0"/>
        <v>7</v>
      </c>
      <c r="F28" s="75">
        <v>0</v>
      </c>
      <c r="G28" s="74">
        <f t="shared" si="1"/>
        <v>7</v>
      </c>
      <c r="H28" s="76">
        <v>0</v>
      </c>
      <c r="I28" s="15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+'11'!G29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15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+'11'!G30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15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+'11'!G31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15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+'11'!G32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15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+'11'!G33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15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+'11'!G34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15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+'11'!G35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15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+'11'!G36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15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+'11'!G37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15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+'11'!G38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+'11'!G39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+'11'!G40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+'11'!G41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+'11'!G42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+'11'!G43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+'11'!G44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+'11'!G45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+'11'!G46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+'11'!G47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+'11'!G48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+'11'!G49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+'11'!G50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+'11'!G51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+'11'!G52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+'11'!G53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+'11'!G54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+'11'!G55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+'11'!G56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+'11'!G57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+'11'!G58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+'11'!G59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200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+'11'!G60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+'11'!G61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+'11'!G62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400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+'11'!G63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250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+'11'!G64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+'11'!G65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+'11'!G66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+'11'!G67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+'11'!G68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+'11'!G69</f>
        <v>2</v>
      </c>
      <c r="D69" s="75">
        <v>0</v>
      </c>
      <c r="E69" s="74">
        <f t="shared" si="4"/>
        <v>2</v>
      </c>
      <c r="F69" s="75">
        <v>0</v>
      </c>
      <c r="G69" s="74">
        <f t="shared" ref="G69:G90" si="7">+E69-F69-H69</f>
        <v>2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4">
        <f>+'11'!G70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7"/>
        <v>50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4">
        <f>+'11'!G71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+'11'!G72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+'11'!G73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+'11'!G74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+'11'!G75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+'11'!G76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+'11'!G77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+'11'!G78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+'11'!G79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+'11'!G80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+'11'!G81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+'11'!G82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4">
        <f>+'11'!G83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4">
        <f>+'11'!G84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4">
        <f>+'11'!G85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4">
        <f>+'11'!G86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4">
        <f>+'11'!G87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4">
        <f>+'11'!G88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4">
        <f>+'11'!G89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4">
        <f>+'11'!G90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310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310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310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305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-5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-5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305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305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85B-8AF9-4ED9-97C7-57733FCB638E}">
  <sheetPr>
    <tabColor rgb="FFFAA8E5"/>
  </sheetPr>
  <dimension ref="A1:N106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85" sqref="C85"/>
    </sheetView>
  </sheetViews>
  <sheetFormatPr defaultRowHeight="15"/>
  <cols>
    <col min="1" max="1" width="6.140625" customWidth="1"/>
    <col min="2" max="2" width="34.5703125" customWidth="1"/>
    <col min="10" max="10" width="10.1406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46">
        <f>+'12'!G4</f>
        <v>3</v>
      </c>
      <c r="D4" s="75">
        <v>10</v>
      </c>
      <c r="E4" s="74">
        <f t="shared" ref="E4:E81" si="0">C4+D4</f>
        <v>13</v>
      </c>
      <c r="F4" s="75">
        <v>0</v>
      </c>
      <c r="G4" s="74">
        <f>+E4-F4-H4</f>
        <v>12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46">
        <f>+'12'!G5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46">
        <f>+'12'!G6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87">
        <f>+'12'!G7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46">
        <f>+'12'!G8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46">
        <f>+'12'!G9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46">
        <f>+'12'!G10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46">
        <f>+'12'!G11</f>
        <v>23</v>
      </c>
      <c r="D11" s="75">
        <v>0</v>
      </c>
      <c r="E11" s="74">
        <f t="shared" si="0"/>
        <v>23</v>
      </c>
      <c r="F11" s="75">
        <v>0</v>
      </c>
      <c r="G11" s="74">
        <f t="shared" si="1"/>
        <v>19</v>
      </c>
      <c r="H11" s="76">
        <v>4</v>
      </c>
      <c r="I11" s="57">
        <v>55</v>
      </c>
      <c r="J11" s="71">
        <f t="shared" si="2"/>
        <v>220</v>
      </c>
      <c r="K11" s="54" t="s">
        <v>44</v>
      </c>
      <c r="L11" s="55">
        <v>100</v>
      </c>
      <c r="M11" s="45">
        <f t="shared" si="3"/>
        <v>120</v>
      </c>
    </row>
    <row r="12" spans="1:13" s="2" customFormat="1" ht="25.5">
      <c r="A12" s="8">
        <v>9</v>
      </c>
      <c r="B12" s="16" t="s">
        <v>62</v>
      </c>
      <c r="C12" s="46">
        <f>+'12'!G12</f>
        <v>10</v>
      </c>
      <c r="D12" s="75">
        <v>10</v>
      </c>
      <c r="E12" s="74">
        <f t="shared" si="0"/>
        <v>20</v>
      </c>
      <c r="F12" s="75">
        <v>0</v>
      </c>
      <c r="G12" s="74">
        <f t="shared" si="1"/>
        <v>19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46">
        <f>+'12'!G13</f>
        <v>8</v>
      </c>
      <c r="D13" s="75">
        <v>0</v>
      </c>
      <c r="E13" s="74">
        <f t="shared" si="0"/>
        <v>8</v>
      </c>
      <c r="F13" s="75">
        <v>0</v>
      </c>
      <c r="G13" s="74">
        <f t="shared" si="1"/>
        <v>6</v>
      </c>
      <c r="H13" s="76">
        <v>2</v>
      </c>
      <c r="I13" s="57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>
      <c r="A14" s="8">
        <v>11</v>
      </c>
      <c r="B14" s="9" t="s">
        <v>64</v>
      </c>
      <c r="C14" s="87">
        <f>+'12'!G14</f>
        <v>8</v>
      </c>
      <c r="D14" s="75">
        <v>10</v>
      </c>
      <c r="E14" s="74">
        <f t="shared" si="0"/>
        <v>18</v>
      </c>
      <c r="F14" s="75">
        <v>0</v>
      </c>
      <c r="G14" s="74">
        <f t="shared" si="1"/>
        <v>18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46">
        <f>+'12'!G15</f>
        <v>0</v>
      </c>
      <c r="D15" s="75">
        <v>5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46">
        <f>+'12'!G16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46">
        <f>+'12'!G17</f>
        <v>15</v>
      </c>
      <c r="D17" s="75">
        <v>0</v>
      </c>
      <c r="E17" s="74">
        <f>C17+D17</f>
        <v>15</v>
      </c>
      <c r="F17" s="75">
        <v>0</v>
      </c>
      <c r="G17" s="74">
        <f t="shared" si="1"/>
        <v>14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68</v>
      </c>
      <c r="C18" s="46">
        <f>+'12'!G18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46">
        <f>+'12'!G19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46">
        <f>+'12'!G20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46">
        <f>+'12'!G21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46">
        <f>+'12'!G22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46">
        <f>+'12'!G23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46">
        <f>+'12'!G24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46">
        <f>+'12'!G25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46">
        <f>+'12'!G26</f>
        <v>9</v>
      </c>
      <c r="D26" s="75">
        <v>0</v>
      </c>
      <c r="E26" s="74">
        <f t="shared" si="0"/>
        <v>9</v>
      </c>
      <c r="F26" s="75">
        <v>0</v>
      </c>
      <c r="G26" s="74">
        <f t="shared" si="1"/>
        <v>9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46">
        <f>+'12'!G27</f>
        <v>9</v>
      </c>
      <c r="D27" s="75">
        <v>10</v>
      </c>
      <c r="E27" s="74">
        <f t="shared" si="0"/>
        <v>19</v>
      </c>
      <c r="F27" s="75">
        <v>0</v>
      </c>
      <c r="G27" s="74">
        <f t="shared" si="1"/>
        <v>19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46">
        <f>+'12'!G28</f>
        <v>7</v>
      </c>
      <c r="D28" s="75">
        <v>5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46">
        <f>+'12'!G29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46">
        <f>+'12'!G30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46">
        <f>+'12'!G31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46">
        <f>+'12'!G32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46">
        <f>+'12'!G33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46">
        <f>+'12'!G34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46">
        <f>+'12'!G35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46">
        <f>+'12'!G36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46">
        <f>+'12'!G37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46">
        <f>+'12'!G38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46">
        <f>+'12'!G39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46">
        <f>+'12'!G40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46">
        <f>+'12'!G41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46">
        <f>+'12'!G42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46">
        <f>+'12'!G43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46">
        <f>+'12'!G44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46">
        <f>+'12'!G45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46">
        <f>+'12'!G46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46">
        <f>+'12'!G47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46">
        <f>+'12'!G48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46">
        <f>+'12'!G49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46">
        <f>+'12'!G50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46">
        <f>+'12'!G51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46">
        <f>+'12'!G52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46">
        <f>+'12'!G53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46">
        <f>+'12'!G54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46">
        <f>+'12'!G55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46">
        <f>+'12'!G56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46">
        <f>+'12'!G57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46">
        <f>+'12'!G58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46">
        <f>+'12'!G59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46">
        <f>+'12'!G60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46">
        <f>+'12'!G61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46">
        <f>+'12'!G62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46">
        <f>+'12'!G63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46">
        <f>+'12'!G64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46">
        <f>+'12'!G65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46">
        <f>+'12'!G66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46">
        <f>+'12'!G67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46">
        <f>+'12'!G68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46">
        <f>+'12'!G69</f>
        <v>2</v>
      </c>
      <c r="D69" s="75">
        <v>0</v>
      </c>
      <c r="E69" s="74">
        <f t="shared" si="0"/>
        <v>2</v>
      </c>
      <c r="F69" s="75">
        <v>1</v>
      </c>
      <c r="G69" s="74">
        <f t="shared" ref="G69:G90" si="4">+E69-F69-H69</f>
        <v>1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46">
        <f>+'12'!G70</f>
        <v>50</v>
      </c>
      <c r="D70" s="75">
        <v>0</v>
      </c>
      <c r="E70" s="74">
        <f t="shared" si="0"/>
        <v>50</v>
      </c>
      <c r="F70" s="75">
        <v>0</v>
      </c>
      <c r="G70" s="74">
        <f t="shared" si="4"/>
        <v>50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46">
        <f>+'12'!G71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46">
        <f>+'12'!G72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46">
        <f>+'12'!G73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46">
        <f>+'12'!G74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46">
        <f>+'12'!G75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46">
        <f>+'12'!G76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46">
        <f>+'12'!G77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46">
        <f>+'12'!G78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46">
        <f>+'12'!G79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46">
        <f>+'12'!G80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46">
        <f>+'12'!G81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46">
        <f>+'12'!G82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46">
        <f>+'12'!G83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90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46">
        <f>+'12'!G84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46">
        <f>+'12'!G85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46">
        <f>+'12'!G86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46">
        <f>+'12'!G87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46">
        <f>+'12'!G88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46">
        <f>+'12'!G89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46">
        <f>+'12'!G90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 t="shared" si="8"/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520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620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100</v>
      </c>
    </row>
    <row r="99" spans="1:14" ht="25.5">
      <c r="A99" s="1"/>
      <c r="B99" s="2"/>
      <c r="C99" s="62"/>
      <c r="D99" s="2"/>
      <c r="E99" s="62"/>
      <c r="F99" s="2"/>
      <c r="G99" s="62"/>
      <c r="H99" s="2"/>
      <c r="I99" s="125" t="s">
        <v>37</v>
      </c>
      <c r="J99" s="126"/>
      <c r="K99" s="48">
        <f>K93-K94-K95-K97-K98</f>
        <v>520</v>
      </c>
      <c r="L99" s="2"/>
      <c r="M99" s="2"/>
      <c r="N99" s="2"/>
    </row>
    <row r="100" spans="1:14" ht="25.5">
      <c r="A100" s="1"/>
      <c r="B100" s="2"/>
      <c r="C100" s="62"/>
      <c r="D100" s="2"/>
      <c r="E100" s="62"/>
      <c r="F100" s="2"/>
      <c r="G100" s="62"/>
      <c r="H100" s="2"/>
      <c r="I100" s="125" t="s">
        <v>39</v>
      </c>
      <c r="J100" s="126"/>
      <c r="K100" s="52">
        <v>520</v>
      </c>
      <c r="L100" s="2"/>
      <c r="M100" s="2"/>
      <c r="N100" s="2"/>
    </row>
    <row r="101" spans="1:14" ht="25.5">
      <c r="A101" s="1"/>
      <c r="B101" s="2"/>
      <c r="C101" s="62"/>
      <c r="D101" s="2"/>
      <c r="E101" s="62"/>
      <c r="F101" s="2"/>
      <c r="G101" s="62"/>
      <c r="H101" s="2"/>
      <c r="I101" s="125" t="s">
        <v>41</v>
      </c>
      <c r="J101" s="126"/>
      <c r="K101" s="48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25" t="s">
        <v>42</v>
      </c>
      <c r="J102" s="126"/>
      <c r="K102" s="48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520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520</v>
      </c>
    </row>
  </sheetData>
  <mergeCells count="20">
    <mergeCell ref="I101:J101"/>
    <mergeCell ref="I102:J102"/>
    <mergeCell ref="M91:N91"/>
    <mergeCell ref="I96:J96"/>
    <mergeCell ref="I97:J97"/>
    <mergeCell ref="I98:J98"/>
    <mergeCell ref="I99:J99"/>
    <mergeCell ref="I100:J100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457C-EC1E-432E-AE6E-6B51DEDB9288}">
  <sheetPr>
    <tabColor rgb="FFFF0000"/>
  </sheetPr>
  <dimension ref="A1:N106"/>
  <sheetViews>
    <sheetView zoomScale="90" zoomScaleNormal="90" workbookViewId="0">
      <pane xSplit="5" ySplit="3" topLeftCell="F91" activePane="bottomRight" state="frozen"/>
      <selection pane="topRight" activeCell="F1" sqref="F1"/>
      <selection pane="bottomLeft" activeCell="A4" sqref="A4"/>
      <selection pane="bottomRight" sqref="A1:K1"/>
    </sheetView>
  </sheetViews>
  <sheetFormatPr defaultRowHeight="15"/>
  <cols>
    <col min="1" max="1" width="6.140625" customWidth="1"/>
    <col min="2" max="2" width="34.5703125" customWidth="1"/>
    <col min="10" max="10" width="9.285156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46">
        <f>+'13'!G4</f>
        <v>12</v>
      </c>
      <c r="D4" s="75">
        <v>0</v>
      </c>
      <c r="E4" s="74">
        <f t="shared" ref="E4:E65" si="0">C4+D4</f>
        <v>12</v>
      </c>
      <c r="F4" s="75">
        <v>0</v>
      </c>
      <c r="G4" s="74">
        <f>+E4-F4-H4</f>
        <v>12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46">
        <f>+'13'!G5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5" si="1">+E5-F5-H5</f>
        <v>16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46">
        <f>+'13'!G6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46">
        <f>+'13'!G7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46">
        <f>+'13'!G8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46">
        <f>+'13'!G9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46">
        <f>+'13'!G10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46">
        <f>+'13'!G11</f>
        <v>19</v>
      </c>
      <c r="D11" s="75">
        <v>0</v>
      </c>
      <c r="E11" s="74">
        <f t="shared" si="0"/>
        <v>19</v>
      </c>
      <c r="F11" s="75">
        <v>0</v>
      </c>
      <c r="G11" s="74">
        <f t="shared" si="1"/>
        <v>19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46">
        <f>+'13'!G12</f>
        <v>19</v>
      </c>
      <c r="D12" s="75">
        <v>0</v>
      </c>
      <c r="E12" s="74">
        <f t="shared" si="0"/>
        <v>19</v>
      </c>
      <c r="F12" s="75">
        <v>0</v>
      </c>
      <c r="G12" s="74">
        <f t="shared" si="1"/>
        <v>19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46">
        <f>+'13'!G13</f>
        <v>6</v>
      </c>
      <c r="D13" s="75">
        <v>0</v>
      </c>
      <c r="E13" s="74">
        <f t="shared" si="0"/>
        <v>6</v>
      </c>
      <c r="F13" s="75">
        <v>0</v>
      </c>
      <c r="G13" s="74">
        <f t="shared" si="1"/>
        <v>6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46">
        <f>+'13'!G14</f>
        <v>18</v>
      </c>
      <c r="D14" s="75">
        <v>0</v>
      </c>
      <c r="E14" s="74">
        <f t="shared" si="0"/>
        <v>18</v>
      </c>
      <c r="F14" s="75">
        <v>0</v>
      </c>
      <c r="G14" s="74">
        <f t="shared" si="1"/>
        <v>18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46">
        <f>+'13'!G15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46">
        <f>+'13'!G16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46">
        <f>+'13'!G17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46">
        <f>+'13'!G18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46">
        <f>+'13'!G19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46">
        <f>+'13'!G20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46">
        <f>+'13'!G21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46">
        <f>+'13'!G22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46">
        <f>+'13'!G23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46">
        <f>+'13'!G24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46">
        <f>+'13'!G25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46">
        <f>+'13'!G26</f>
        <v>9</v>
      </c>
      <c r="D26" s="75">
        <v>0</v>
      </c>
      <c r="E26" s="74">
        <f t="shared" si="0"/>
        <v>9</v>
      </c>
      <c r="F26" s="75">
        <v>0</v>
      </c>
      <c r="G26" s="74">
        <f t="shared" si="1"/>
        <v>9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46">
        <f>+'13'!G27</f>
        <v>19</v>
      </c>
      <c r="D27" s="75">
        <v>0</v>
      </c>
      <c r="E27" s="74">
        <f t="shared" si="0"/>
        <v>19</v>
      </c>
      <c r="F27" s="75">
        <v>0</v>
      </c>
      <c r="G27" s="74">
        <f t="shared" si="1"/>
        <v>19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46">
        <f>+'13'!G28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46">
        <f>+'13'!G29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46">
        <f>+'13'!G30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46">
        <f>+'13'!G31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46">
        <f>+'13'!G32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46">
        <f>+'13'!G33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46">
        <f>+'13'!G34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46">
        <f>+'13'!G35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46">
        <f>+'13'!G36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46">
        <f>+'13'!G37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46">
        <f>+'13'!G38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46">
        <f>+'13'!G39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46">
        <f>+'13'!G40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46">
        <f>+'13'!G41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46">
        <f>+'13'!G42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46">
        <f>+'13'!G43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46">
        <f>+'13'!G44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46">
        <f>+'13'!G45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46">
        <f>+'13'!G46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46">
        <f>+'13'!G47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46">
        <f>+'13'!G48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46">
        <f>+'13'!G49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46">
        <f>+'13'!G50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46">
        <f>+'13'!G51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46">
        <f>+'13'!G52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46">
        <f>+'13'!G53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46">
        <f>+'13'!G54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46">
        <f>+'13'!G55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46">
        <f>+'13'!G56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46">
        <f>+'13'!G57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46">
        <f>+'13'!G58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46">
        <f>+'13'!G59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46">
        <f>+'13'!G60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46">
        <f>+'13'!G61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46">
        <f>+'13'!G62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46">
        <f>+'13'!G63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46">
        <f>+'13'!G64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46">
        <f>+'13'!G65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46">
        <f>+'13'!G66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46">
        <f>+'13'!G67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46">
        <f>+'13'!G68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46">
        <f>+'13'!G69</f>
        <v>1</v>
      </c>
      <c r="D69" s="75">
        <v>0</v>
      </c>
      <c r="E69" s="74">
        <f t="shared" si="4"/>
        <v>1</v>
      </c>
      <c r="F69" s="75">
        <v>0</v>
      </c>
      <c r="G69" s="74">
        <f t="shared" ref="G69:G90" si="7">+E69-F69-H69</f>
        <v>1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46">
        <f>+'13'!G70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7"/>
        <v>50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46">
        <f>+'13'!G71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46">
        <f>+'13'!G72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46">
        <f>+'13'!G73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46">
        <f>+'13'!G74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46">
        <f>+'13'!G75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46">
        <f>+'13'!G76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46">
        <f>+'13'!G77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46">
        <f>+'13'!G78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46">
        <f>+'13'!G79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46">
        <f>+'13'!G80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46">
        <f>+'13'!G81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46">
        <f>+'13'!G82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46">
        <f>+'13'!G83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46">
        <f>+'13'!G84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46">
        <f>+'13'!G85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46">
        <f>+'13'!G86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46">
        <f>+'13'!G87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46">
        <f>+'13'!G88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46">
        <f>+'13'!G89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46">
        <f>+'13'!G90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A100" s="1"/>
      <c r="C100" s="62"/>
      <c r="E100" s="62"/>
      <c r="G100" s="62"/>
      <c r="I100" s="125" t="s">
        <v>39</v>
      </c>
      <c r="J100" s="126"/>
      <c r="K100" s="52">
        <v>0</v>
      </c>
    </row>
    <row r="101" spans="1:14" s="2" customFormat="1" ht="25.5">
      <c r="A101" s="1"/>
      <c r="C101" s="62"/>
      <c r="E101" s="62"/>
      <c r="G101" s="62"/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0</v>
      </c>
    </row>
  </sheetData>
  <mergeCells count="20">
    <mergeCell ref="I100:J100"/>
    <mergeCell ref="I101:J101"/>
    <mergeCell ref="I102:J102"/>
    <mergeCell ref="I96:J96"/>
    <mergeCell ref="I97:J97"/>
    <mergeCell ref="I98:J98"/>
    <mergeCell ref="I99:J99"/>
    <mergeCell ref="I93:J93"/>
    <mergeCell ref="I94:J94"/>
    <mergeCell ref="M91:N91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BBCB-EAED-48E0-B937-3F9287FF88A9}">
  <sheetPr>
    <tabColor rgb="FFFAA8E5"/>
  </sheetPr>
  <dimension ref="A1:N106"/>
  <sheetViews>
    <sheetView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C79" sqref="C79"/>
    </sheetView>
  </sheetViews>
  <sheetFormatPr defaultRowHeight="15"/>
  <cols>
    <col min="1" max="1" width="6.140625" customWidth="1"/>
    <col min="2" max="2" width="34.5703125" customWidth="1"/>
    <col min="10" max="10" width="10.42578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46">
        <f>+'14'!G4</f>
        <v>12</v>
      </c>
      <c r="D4" s="75">
        <v>0</v>
      </c>
      <c r="E4" s="74">
        <f t="shared" ref="E4:E65" si="0">C4+D4</f>
        <v>12</v>
      </c>
      <c r="F4" s="75">
        <v>0</v>
      </c>
      <c r="G4" s="74">
        <f>+E4-F4-H4</f>
        <v>12</v>
      </c>
      <c r="H4" s="76">
        <v>0</v>
      </c>
      <c r="I4" s="15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46">
        <f>+'14'!G5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15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46">
        <f>+'14'!G6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46">
        <f>+'14'!G7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46">
        <f>+'14'!G8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46">
        <f>+'14'!G9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46">
        <f>+'14'!G10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15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46">
        <f>+'14'!G11</f>
        <v>19</v>
      </c>
      <c r="D11" s="75">
        <v>0</v>
      </c>
      <c r="E11" s="74">
        <f t="shared" si="0"/>
        <v>19</v>
      </c>
      <c r="F11" s="75">
        <v>0</v>
      </c>
      <c r="G11" s="74">
        <f t="shared" si="1"/>
        <v>19</v>
      </c>
      <c r="H11" s="76">
        <v>0</v>
      </c>
      <c r="I11" s="15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46">
        <f>+'14'!G12</f>
        <v>19</v>
      </c>
      <c r="D12" s="75">
        <v>0</v>
      </c>
      <c r="E12" s="74">
        <f t="shared" si="0"/>
        <v>19</v>
      </c>
      <c r="F12" s="75">
        <v>0</v>
      </c>
      <c r="G12" s="74">
        <f t="shared" si="1"/>
        <v>19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46">
        <f>+'14'!G13</f>
        <v>6</v>
      </c>
      <c r="D13" s="75">
        <v>0</v>
      </c>
      <c r="E13" s="74">
        <f t="shared" si="0"/>
        <v>6</v>
      </c>
      <c r="F13" s="75">
        <v>0</v>
      </c>
      <c r="G13" s="74">
        <f t="shared" si="1"/>
        <v>5</v>
      </c>
      <c r="H13" s="76">
        <v>1</v>
      </c>
      <c r="I13" s="15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64</v>
      </c>
      <c r="C14" s="46">
        <f>+'14'!G14</f>
        <v>18</v>
      </c>
      <c r="D14" s="75">
        <v>0</v>
      </c>
      <c r="E14" s="74">
        <f t="shared" si="0"/>
        <v>18</v>
      </c>
      <c r="F14" s="75">
        <v>0</v>
      </c>
      <c r="G14" s="74">
        <f t="shared" si="1"/>
        <v>18</v>
      </c>
      <c r="H14" s="76">
        <v>0</v>
      </c>
      <c r="I14" s="15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46">
        <f>+'14'!G15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15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46">
        <f>+'14'!G16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15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46">
        <f>+'14'!G17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15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46">
        <f>+'14'!G18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78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46">
        <f>+'14'!G19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78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46">
        <f>+'14'!G20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78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46">
        <f>+'14'!G21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46">
        <f>+'14'!G22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46">
        <f>+'14'!G23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15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46">
        <f>+'14'!G24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15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46">
        <f>+'14'!G25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15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46">
        <f>+'14'!G26</f>
        <v>9</v>
      </c>
      <c r="D26" s="75">
        <v>0</v>
      </c>
      <c r="E26" s="74">
        <f t="shared" si="0"/>
        <v>9</v>
      </c>
      <c r="F26" s="75">
        <v>0</v>
      </c>
      <c r="G26" s="74">
        <f t="shared" si="1"/>
        <v>9</v>
      </c>
      <c r="H26" s="76">
        <v>0</v>
      </c>
      <c r="I26" s="15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46">
        <f>+'14'!G27</f>
        <v>19</v>
      </c>
      <c r="D27" s="75">
        <v>0</v>
      </c>
      <c r="E27" s="74">
        <f t="shared" si="0"/>
        <v>19</v>
      </c>
      <c r="F27" s="75">
        <v>0</v>
      </c>
      <c r="G27" s="74">
        <f t="shared" si="1"/>
        <v>19</v>
      </c>
      <c r="H27" s="76">
        <v>0</v>
      </c>
      <c r="I27" s="15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46">
        <f>+'14'!G28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15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46">
        <f>+'14'!G29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15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46">
        <f>+'14'!G30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15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46">
        <f>+'14'!G31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15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46">
        <f>+'14'!G32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15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46">
        <f>+'14'!G33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15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46">
        <f>+'14'!G34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15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46">
        <f>+'14'!G35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15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46">
        <f>+'14'!G36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15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46">
        <f>+'14'!G37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15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46">
        <f>+'14'!G38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46">
        <f>+'14'!G39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46">
        <f>+'14'!G40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46">
        <f>+'14'!G41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46">
        <f>+'14'!G42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87">
        <f>+'14'!G43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87">
        <f>+'14'!G44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87">
        <f>+'14'!G45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87">
        <f>+'14'!G46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87">
        <f>+'14'!G47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46">
        <f>+'14'!G48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46">
        <f>+'14'!G49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46">
        <f>+'14'!G50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46">
        <f>+'14'!G51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46">
        <f>+'14'!G52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46">
        <f>+'14'!G53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46">
        <f>+'14'!G54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46">
        <f>+'14'!G55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46">
        <f>+'14'!G56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46">
        <f>+'14'!G57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46">
        <f>+'14'!G58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46">
        <f>+'14'!G59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46">
        <f>+'14'!G60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46">
        <f>+'14'!G61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87">
        <f>+'14'!G62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46">
        <f>+'14'!G63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46">
        <f>+'14'!G64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46">
        <f>+'14'!G65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46">
        <f>+'14'!G66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ref="J66:J68" si="5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46">
        <f>+'14'!G67</f>
        <v>0</v>
      </c>
      <c r="D67" s="75">
        <v>0</v>
      </c>
      <c r="E67" s="74">
        <f t="shared" si="4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46">
        <f>+'14'!G68</f>
        <v>0</v>
      </c>
      <c r="D68" s="75">
        <v>0</v>
      </c>
      <c r="E68" s="74">
        <f t="shared" si="4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87">
        <f>+'14'!G69</f>
        <v>1</v>
      </c>
      <c r="D69" s="75">
        <v>0</v>
      </c>
      <c r="E69" s="74">
        <f t="shared" si="4"/>
        <v>1</v>
      </c>
      <c r="F69" s="75">
        <v>0</v>
      </c>
      <c r="G69" s="74">
        <f t="shared" ref="G69:G90" si="6">+E69-F69-H69</f>
        <v>1</v>
      </c>
      <c r="H69" s="76">
        <v>0</v>
      </c>
      <c r="I69" s="57">
        <v>60</v>
      </c>
      <c r="J69" s="71">
        <f t="shared" ref="J69:J81" si="7">+I69*H69</f>
        <v>0</v>
      </c>
      <c r="K69" s="54" t="s">
        <v>44</v>
      </c>
      <c r="L69" s="55">
        <v>0</v>
      </c>
      <c r="M69" s="45">
        <f t="shared" ref="M69:M90" si="8">SUM(J69-L69)</f>
        <v>0</v>
      </c>
    </row>
    <row r="70" spans="1:13" s="2" customFormat="1" ht="25.5">
      <c r="A70" s="8">
        <v>67</v>
      </c>
      <c r="B70" s="16" t="s">
        <v>124</v>
      </c>
      <c r="C70" s="87">
        <f>+'14'!G70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6"/>
        <v>50</v>
      </c>
      <c r="H70" s="76">
        <v>0</v>
      </c>
      <c r="I70" s="57">
        <v>150</v>
      </c>
      <c r="J70" s="71">
        <f t="shared" si="7"/>
        <v>0</v>
      </c>
      <c r="K70" s="54" t="s">
        <v>44</v>
      </c>
      <c r="L70" s="55">
        <v>0</v>
      </c>
      <c r="M70" s="45">
        <f t="shared" si="8"/>
        <v>0</v>
      </c>
    </row>
    <row r="71" spans="1:13" s="2" customFormat="1" ht="25.5">
      <c r="A71" s="8">
        <v>68</v>
      </c>
      <c r="B71" s="16"/>
      <c r="C71" s="46">
        <f>+'14'!G71</f>
        <v>0</v>
      </c>
      <c r="D71" s="75">
        <v>0</v>
      </c>
      <c r="E71" s="74">
        <f t="shared" si="4"/>
        <v>0</v>
      </c>
      <c r="F71" s="75">
        <v>0</v>
      </c>
      <c r="G71" s="74">
        <f t="shared" si="6"/>
        <v>0</v>
      </c>
      <c r="H71" s="76">
        <v>0</v>
      </c>
      <c r="I71" s="57"/>
      <c r="J71" s="71">
        <f t="shared" si="7"/>
        <v>0</v>
      </c>
      <c r="K71" s="54" t="s">
        <v>44</v>
      </c>
      <c r="L71" s="55">
        <v>0</v>
      </c>
      <c r="M71" s="45">
        <f t="shared" si="8"/>
        <v>0</v>
      </c>
    </row>
    <row r="72" spans="1:13" s="2" customFormat="1" ht="25.5">
      <c r="A72" s="8">
        <v>69</v>
      </c>
      <c r="B72" s="16"/>
      <c r="C72" s="46">
        <f>+'14'!G72</f>
        <v>0</v>
      </c>
      <c r="D72" s="75">
        <v>0</v>
      </c>
      <c r="E72" s="74">
        <f t="shared" si="4"/>
        <v>0</v>
      </c>
      <c r="F72" s="75">
        <v>0</v>
      </c>
      <c r="G72" s="74">
        <f t="shared" si="6"/>
        <v>0</v>
      </c>
      <c r="H72" s="76">
        <v>0</v>
      </c>
      <c r="I72" s="56"/>
      <c r="J72" s="71">
        <f t="shared" si="7"/>
        <v>0</v>
      </c>
      <c r="K72" s="54" t="s">
        <v>44</v>
      </c>
      <c r="L72" s="55">
        <v>0</v>
      </c>
      <c r="M72" s="45">
        <f t="shared" si="8"/>
        <v>0</v>
      </c>
    </row>
    <row r="73" spans="1:13" s="2" customFormat="1" ht="25.5">
      <c r="A73" s="8">
        <v>70</v>
      </c>
      <c r="B73" s="16"/>
      <c r="C73" s="46">
        <f>+'14'!G73</f>
        <v>0</v>
      </c>
      <c r="D73" s="75">
        <v>0</v>
      </c>
      <c r="E73" s="74">
        <f t="shared" si="4"/>
        <v>0</v>
      </c>
      <c r="F73" s="75">
        <v>0</v>
      </c>
      <c r="G73" s="74">
        <f t="shared" si="6"/>
        <v>0</v>
      </c>
      <c r="H73" s="76">
        <v>0</v>
      </c>
      <c r="I73" s="57"/>
      <c r="J73" s="71">
        <f t="shared" si="7"/>
        <v>0</v>
      </c>
      <c r="K73" s="54" t="s">
        <v>44</v>
      </c>
      <c r="L73" s="55">
        <v>0</v>
      </c>
      <c r="M73" s="45">
        <f t="shared" si="8"/>
        <v>0</v>
      </c>
    </row>
    <row r="74" spans="1:13" s="2" customFormat="1" ht="25.5">
      <c r="A74" s="8">
        <v>71</v>
      </c>
      <c r="B74" s="16"/>
      <c r="C74" s="46">
        <f>+'14'!G74</f>
        <v>0</v>
      </c>
      <c r="D74" s="75">
        <v>0</v>
      </c>
      <c r="E74" s="74">
        <f t="shared" si="4"/>
        <v>0</v>
      </c>
      <c r="F74" s="75">
        <v>0</v>
      </c>
      <c r="G74" s="74">
        <f t="shared" si="6"/>
        <v>0</v>
      </c>
      <c r="H74" s="76">
        <v>0</v>
      </c>
      <c r="I74" s="57"/>
      <c r="J74" s="71">
        <f t="shared" si="7"/>
        <v>0</v>
      </c>
      <c r="K74" s="54" t="s">
        <v>44</v>
      </c>
      <c r="L74" s="55">
        <v>0</v>
      </c>
      <c r="M74" s="45">
        <f t="shared" si="8"/>
        <v>0</v>
      </c>
    </row>
    <row r="75" spans="1:13" s="2" customFormat="1" ht="25.5">
      <c r="A75" s="8">
        <v>72</v>
      </c>
      <c r="B75" s="16"/>
      <c r="C75" s="46">
        <f>+'14'!G75</f>
        <v>0</v>
      </c>
      <c r="D75" s="75">
        <v>0</v>
      </c>
      <c r="E75" s="74">
        <f t="shared" si="4"/>
        <v>0</v>
      </c>
      <c r="F75" s="75">
        <v>0</v>
      </c>
      <c r="G75" s="74">
        <f t="shared" si="6"/>
        <v>0</v>
      </c>
      <c r="H75" s="76">
        <v>0</v>
      </c>
      <c r="I75" s="57"/>
      <c r="J75" s="71">
        <f t="shared" si="7"/>
        <v>0</v>
      </c>
      <c r="K75" s="54" t="s">
        <v>44</v>
      </c>
      <c r="L75" s="55">
        <v>0</v>
      </c>
      <c r="M75" s="45">
        <f t="shared" si="8"/>
        <v>0</v>
      </c>
    </row>
    <row r="76" spans="1:13" s="2" customFormat="1" ht="25.5">
      <c r="A76" s="8">
        <v>73</v>
      </c>
      <c r="B76" s="16"/>
      <c r="C76" s="46">
        <f>+'14'!G76</f>
        <v>0</v>
      </c>
      <c r="D76" s="75">
        <v>0</v>
      </c>
      <c r="E76" s="74">
        <f t="shared" si="4"/>
        <v>0</v>
      </c>
      <c r="F76" s="75">
        <v>0</v>
      </c>
      <c r="G76" s="74">
        <f t="shared" si="6"/>
        <v>0</v>
      </c>
      <c r="H76" s="76">
        <v>0</v>
      </c>
      <c r="I76" s="57"/>
      <c r="J76" s="71">
        <f t="shared" si="7"/>
        <v>0</v>
      </c>
      <c r="K76" s="54" t="s">
        <v>44</v>
      </c>
      <c r="L76" s="55">
        <v>0</v>
      </c>
      <c r="M76" s="45">
        <f t="shared" si="8"/>
        <v>0</v>
      </c>
    </row>
    <row r="77" spans="1:13" s="2" customFormat="1" ht="25.5">
      <c r="A77" s="8">
        <v>74</v>
      </c>
      <c r="B77" s="16"/>
      <c r="C77" s="46">
        <f>+'14'!G77</f>
        <v>0</v>
      </c>
      <c r="D77" s="75">
        <v>0</v>
      </c>
      <c r="E77" s="74">
        <f t="shared" si="4"/>
        <v>0</v>
      </c>
      <c r="F77" s="75">
        <v>0</v>
      </c>
      <c r="G77" s="74">
        <f t="shared" si="6"/>
        <v>0</v>
      </c>
      <c r="H77" s="76">
        <v>0</v>
      </c>
      <c r="I77" s="56"/>
      <c r="J77" s="71">
        <f t="shared" si="7"/>
        <v>0</v>
      </c>
      <c r="K77" s="54" t="s">
        <v>44</v>
      </c>
      <c r="L77" s="55">
        <v>0</v>
      </c>
      <c r="M77" s="45">
        <f t="shared" si="8"/>
        <v>0</v>
      </c>
    </row>
    <row r="78" spans="1:13" s="2" customFormat="1" ht="25.5">
      <c r="A78" s="8">
        <v>75</v>
      </c>
      <c r="B78" s="16"/>
      <c r="C78" s="46">
        <f>+'14'!G78</f>
        <v>0</v>
      </c>
      <c r="D78" s="75">
        <v>0</v>
      </c>
      <c r="E78" s="74">
        <f t="shared" si="4"/>
        <v>0</v>
      </c>
      <c r="F78" s="75">
        <v>0</v>
      </c>
      <c r="G78" s="74">
        <f t="shared" si="6"/>
        <v>0</v>
      </c>
      <c r="H78" s="76">
        <v>0</v>
      </c>
      <c r="I78" s="56"/>
      <c r="J78" s="71">
        <f t="shared" si="7"/>
        <v>0</v>
      </c>
      <c r="K78" s="54" t="s">
        <v>44</v>
      </c>
      <c r="L78" s="55">
        <v>0</v>
      </c>
      <c r="M78" s="45">
        <f t="shared" si="8"/>
        <v>0</v>
      </c>
    </row>
    <row r="79" spans="1:13" s="2" customFormat="1" ht="25.5">
      <c r="A79" s="8">
        <v>76</v>
      </c>
      <c r="B79" s="16"/>
      <c r="C79" s="46">
        <f>+'14'!G79</f>
        <v>0</v>
      </c>
      <c r="D79" s="75">
        <v>0</v>
      </c>
      <c r="E79" s="74">
        <f t="shared" si="4"/>
        <v>0</v>
      </c>
      <c r="F79" s="75">
        <v>0</v>
      </c>
      <c r="G79" s="74">
        <f t="shared" si="6"/>
        <v>0</v>
      </c>
      <c r="H79" s="76">
        <v>0</v>
      </c>
      <c r="I79" s="56"/>
      <c r="J79" s="71">
        <f t="shared" si="7"/>
        <v>0</v>
      </c>
      <c r="K79" s="54" t="s">
        <v>44</v>
      </c>
      <c r="L79" s="55">
        <v>0</v>
      </c>
      <c r="M79" s="45">
        <f t="shared" si="8"/>
        <v>0</v>
      </c>
    </row>
    <row r="80" spans="1:13" s="2" customFormat="1" ht="25.5">
      <c r="A80" s="8">
        <v>77</v>
      </c>
      <c r="B80" s="16"/>
      <c r="C80" s="46">
        <f>+'14'!G80</f>
        <v>0</v>
      </c>
      <c r="D80" s="75">
        <v>0</v>
      </c>
      <c r="E80" s="74">
        <f t="shared" si="4"/>
        <v>0</v>
      </c>
      <c r="F80" s="75">
        <v>0</v>
      </c>
      <c r="G80" s="74">
        <f t="shared" si="6"/>
        <v>0</v>
      </c>
      <c r="H80" s="76">
        <v>0</v>
      </c>
      <c r="I80" s="56"/>
      <c r="J80" s="71">
        <f t="shared" si="7"/>
        <v>0</v>
      </c>
      <c r="K80" s="54" t="s">
        <v>44</v>
      </c>
      <c r="L80" s="55">
        <v>0</v>
      </c>
      <c r="M80" s="45">
        <f t="shared" si="8"/>
        <v>0</v>
      </c>
    </row>
    <row r="81" spans="1:14" s="2" customFormat="1" ht="25.5">
      <c r="A81" s="8">
        <v>78</v>
      </c>
      <c r="B81" s="16"/>
      <c r="C81" s="46">
        <f>+'14'!G81</f>
        <v>0</v>
      </c>
      <c r="D81" s="75">
        <v>0</v>
      </c>
      <c r="E81" s="74">
        <f t="shared" si="4"/>
        <v>0</v>
      </c>
      <c r="F81" s="75">
        <v>0</v>
      </c>
      <c r="G81" s="74">
        <f t="shared" si="6"/>
        <v>0</v>
      </c>
      <c r="H81" s="76">
        <v>0</v>
      </c>
      <c r="I81" s="56"/>
      <c r="J81" s="71">
        <f t="shared" si="7"/>
        <v>0</v>
      </c>
      <c r="K81" s="54" t="s">
        <v>44</v>
      </c>
      <c r="L81" s="55">
        <v>0</v>
      </c>
      <c r="M81" s="45">
        <f t="shared" si="8"/>
        <v>0</v>
      </c>
    </row>
    <row r="82" spans="1:14" s="2" customFormat="1" ht="25.5">
      <c r="A82" s="8">
        <v>79</v>
      </c>
      <c r="B82" s="16"/>
      <c r="C82" s="46">
        <f>+'14'!G82</f>
        <v>0</v>
      </c>
      <c r="D82" s="75">
        <v>0</v>
      </c>
      <c r="E82" s="74">
        <f t="shared" ref="E82:E90" si="9">C82+D82</f>
        <v>0</v>
      </c>
      <c r="F82" s="75">
        <v>0</v>
      </c>
      <c r="G82" s="74">
        <f t="shared" si="6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8"/>
        <v>0</v>
      </c>
      <c r="N82" s="45"/>
    </row>
    <row r="83" spans="1:14" s="2" customFormat="1" ht="25.5">
      <c r="A83" s="8">
        <v>80</v>
      </c>
      <c r="B83" s="16"/>
      <c r="C83" s="46">
        <f>+'14'!G83</f>
        <v>0</v>
      </c>
      <c r="D83" s="75">
        <v>0</v>
      </c>
      <c r="E83" s="74">
        <f t="shared" si="9"/>
        <v>0</v>
      </c>
      <c r="F83" s="75">
        <v>0</v>
      </c>
      <c r="G83" s="74">
        <f t="shared" si="6"/>
        <v>0</v>
      </c>
      <c r="H83" s="76">
        <v>0</v>
      </c>
      <c r="I83" s="57"/>
      <c r="J83" s="71">
        <f t="shared" ref="J83:J90" si="10">+I83*H83</f>
        <v>0</v>
      </c>
      <c r="K83" s="54" t="s">
        <v>44</v>
      </c>
      <c r="L83" s="55">
        <v>0</v>
      </c>
      <c r="M83" s="45">
        <f t="shared" si="8"/>
        <v>0</v>
      </c>
      <c r="N83" s="45"/>
    </row>
    <row r="84" spans="1:14" s="2" customFormat="1" ht="25.5">
      <c r="A84" s="8">
        <v>81</v>
      </c>
      <c r="B84" s="16"/>
      <c r="C84" s="46">
        <f>+'14'!G84</f>
        <v>0</v>
      </c>
      <c r="D84" s="75">
        <v>0</v>
      </c>
      <c r="E84" s="74">
        <f t="shared" si="9"/>
        <v>0</v>
      </c>
      <c r="F84" s="75">
        <v>0</v>
      </c>
      <c r="G84" s="74">
        <f t="shared" si="6"/>
        <v>0</v>
      </c>
      <c r="H84" s="76">
        <v>0</v>
      </c>
      <c r="I84" s="57"/>
      <c r="J84" s="71">
        <f t="shared" si="10"/>
        <v>0</v>
      </c>
      <c r="K84" s="54" t="s">
        <v>44</v>
      </c>
      <c r="L84" s="55">
        <v>0</v>
      </c>
      <c r="M84" s="45">
        <f t="shared" si="8"/>
        <v>0</v>
      </c>
      <c r="N84" s="45"/>
    </row>
    <row r="85" spans="1:14" s="2" customFormat="1" ht="25.5">
      <c r="A85" s="8">
        <v>82</v>
      </c>
      <c r="B85" s="16"/>
      <c r="C85" s="46">
        <f>+'14'!G85</f>
        <v>0</v>
      </c>
      <c r="D85" s="75">
        <v>0</v>
      </c>
      <c r="E85" s="74">
        <f t="shared" si="9"/>
        <v>0</v>
      </c>
      <c r="F85" s="75">
        <v>0</v>
      </c>
      <c r="G85" s="74">
        <f t="shared" si="6"/>
        <v>0</v>
      </c>
      <c r="H85" s="76">
        <v>0</v>
      </c>
      <c r="I85" s="57"/>
      <c r="J85" s="71">
        <f t="shared" si="10"/>
        <v>0</v>
      </c>
      <c r="K85" s="54" t="s">
        <v>44</v>
      </c>
      <c r="L85" s="55">
        <v>0</v>
      </c>
      <c r="M85" s="45">
        <f t="shared" si="8"/>
        <v>0</v>
      </c>
      <c r="N85" s="45"/>
    </row>
    <row r="86" spans="1:14" s="2" customFormat="1" ht="25.5">
      <c r="A86" s="8">
        <v>83</v>
      </c>
      <c r="B86" s="16"/>
      <c r="C86" s="46">
        <f>+'14'!G86</f>
        <v>0</v>
      </c>
      <c r="D86" s="75">
        <v>0</v>
      </c>
      <c r="E86" s="74">
        <f t="shared" si="9"/>
        <v>0</v>
      </c>
      <c r="F86" s="75">
        <v>0</v>
      </c>
      <c r="G86" s="74">
        <f t="shared" si="6"/>
        <v>0</v>
      </c>
      <c r="H86" s="76">
        <v>0</v>
      </c>
      <c r="I86" s="57"/>
      <c r="J86" s="71">
        <f t="shared" si="10"/>
        <v>0</v>
      </c>
      <c r="K86" s="54" t="s">
        <v>44</v>
      </c>
      <c r="L86" s="55">
        <v>0</v>
      </c>
      <c r="M86" s="45">
        <f t="shared" si="8"/>
        <v>0</v>
      </c>
      <c r="N86" s="45"/>
    </row>
    <row r="87" spans="1:14" s="2" customFormat="1" ht="25.5">
      <c r="A87" s="8">
        <v>84</v>
      </c>
      <c r="B87" s="16"/>
      <c r="C87" s="46">
        <f>+'14'!G87</f>
        <v>0</v>
      </c>
      <c r="D87" s="75">
        <v>0</v>
      </c>
      <c r="E87" s="74">
        <f t="shared" si="9"/>
        <v>0</v>
      </c>
      <c r="F87" s="75">
        <v>0</v>
      </c>
      <c r="G87" s="74">
        <f t="shared" si="6"/>
        <v>0</v>
      </c>
      <c r="H87" s="76">
        <v>0</v>
      </c>
      <c r="I87" s="57"/>
      <c r="J87" s="71">
        <f t="shared" si="10"/>
        <v>0</v>
      </c>
      <c r="K87" s="54" t="s">
        <v>44</v>
      </c>
      <c r="L87" s="55">
        <v>0</v>
      </c>
      <c r="M87" s="45">
        <f t="shared" si="8"/>
        <v>0</v>
      </c>
      <c r="N87" s="45"/>
    </row>
    <row r="88" spans="1:14" s="2" customFormat="1" ht="25.5">
      <c r="A88" s="8">
        <v>85</v>
      </c>
      <c r="B88" s="16"/>
      <c r="C88" s="46">
        <f>+'14'!G88</f>
        <v>0</v>
      </c>
      <c r="D88" s="75">
        <v>0</v>
      </c>
      <c r="E88" s="74">
        <f t="shared" si="9"/>
        <v>0</v>
      </c>
      <c r="F88" s="75">
        <v>0</v>
      </c>
      <c r="G88" s="74">
        <f t="shared" si="6"/>
        <v>0</v>
      </c>
      <c r="H88" s="76">
        <v>0</v>
      </c>
      <c r="I88" s="57"/>
      <c r="J88" s="71">
        <f t="shared" si="10"/>
        <v>0</v>
      </c>
      <c r="K88" s="54" t="s">
        <v>44</v>
      </c>
      <c r="L88" s="55">
        <v>0</v>
      </c>
      <c r="M88" s="45">
        <f t="shared" si="8"/>
        <v>0</v>
      </c>
      <c r="N88" s="45"/>
    </row>
    <row r="89" spans="1:14" s="2" customFormat="1" ht="25.5">
      <c r="A89" s="8">
        <v>86</v>
      </c>
      <c r="B89" s="16"/>
      <c r="C89" s="46">
        <f>+'14'!G89</f>
        <v>0</v>
      </c>
      <c r="D89" s="75">
        <v>0</v>
      </c>
      <c r="E89" s="74">
        <f t="shared" si="9"/>
        <v>0</v>
      </c>
      <c r="F89" s="75">
        <v>0</v>
      </c>
      <c r="G89" s="74">
        <f t="shared" si="6"/>
        <v>0</v>
      </c>
      <c r="H89" s="76">
        <v>0</v>
      </c>
      <c r="I89" s="57"/>
      <c r="J89" s="71">
        <f t="shared" si="10"/>
        <v>0</v>
      </c>
      <c r="K89" s="54" t="s">
        <v>44</v>
      </c>
      <c r="L89" s="55">
        <v>0</v>
      </c>
      <c r="M89" s="45">
        <f t="shared" si="8"/>
        <v>0</v>
      </c>
      <c r="N89" s="45"/>
    </row>
    <row r="90" spans="1:14" s="2" customFormat="1" ht="25.5">
      <c r="A90" s="8">
        <v>87</v>
      </c>
      <c r="B90" s="16"/>
      <c r="C90" s="46">
        <f>+'14'!G90</f>
        <v>0</v>
      </c>
      <c r="D90" s="75">
        <v>0</v>
      </c>
      <c r="E90" s="74">
        <f t="shared" si="9"/>
        <v>0</v>
      </c>
      <c r="F90" s="75">
        <v>0</v>
      </c>
      <c r="G90" s="74">
        <f t="shared" si="6"/>
        <v>0</v>
      </c>
      <c r="H90" s="76">
        <v>0</v>
      </c>
      <c r="I90" s="57"/>
      <c r="J90" s="71">
        <f t="shared" si="10"/>
        <v>0</v>
      </c>
      <c r="K90" s="54" t="s">
        <v>44</v>
      </c>
      <c r="L90" s="55">
        <v>0</v>
      </c>
      <c r="M90" s="45">
        <f t="shared" si="8"/>
        <v>0</v>
      </c>
      <c r="N90" s="45">
        <f>SUM(M4:M90)</f>
        <v>100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5.5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>
      <c r="A93" s="1"/>
      <c r="C93" s="62"/>
      <c r="E93" s="62"/>
      <c r="G93" s="62"/>
      <c r="H93" s="63"/>
      <c r="I93" s="129" t="s">
        <v>45</v>
      </c>
      <c r="J93" s="129"/>
      <c r="K93" s="48">
        <f>SUM(J4:J91)</f>
        <v>100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100</v>
      </c>
    </row>
    <row r="100" spans="1:14" s="2" customFormat="1" ht="25.5">
      <c r="A100" s="1"/>
      <c r="C100" s="62"/>
      <c r="E100" s="62"/>
      <c r="G100" s="62"/>
      <c r="I100" s="125" t="s">
        <v>39</v>
      </c>
      <c r="J100" s="126"/>
      <c r="K100" s="52">
        <v>100</v>
      </c>
    </row>
    <row r="101" spans="1:14" s="2" customFormat="1" ht="25.5">
      <c r="A101" s="1"/>
      <c r="C101" s="62"/>
      <c r="E101" s="62"/>
      <c r="G101" s="62"/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100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>
      <c r="J106" s="65" t="s">
        <v>52</v>
      </c>
      <c r="K106" s="45">
        <f>+K100</f>
        <v>100</v>
      </c>
    </row>
  </sheetData>
  <mergeCells count="20"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3:J93"/>
    <mergeCell ref="I94:J94"/>
    <mergeCell ref="I96:J96"/>
    <mergeCell ref="L2:L3"/>
    <mergeCell ref="I97:J97"/>
    <mergeCell ref="I98:J98"/>
    <mergeCell ref="I99:J99"/>
    <mergeCell ref="M91:N9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8D62-2650-425D-8CB7-4A4D870F9F16}">
  <sheetPr>
    <tabColor rgb="FFFFFF00"/>
  </sheetPr>
  <dimension ref="A1:N106"/>
  <sheetViews>
    <sheetView zoomScale="85" zoomScaleNormal="85" workbookViewId="0">
      <pane xSplit="4" ySplit="3" topLeftCell="E58" activePane="bottomRight" state="frozen"/>
      <selection pane="topRight" activeCell="E1" sqref="E1"/>
      <selection pane="bottomLeft" activeCell="A4" sqref="A4"/>
      <selection pane="bottomRight" sqref="A1:K1"/>
    </sheetView>
  </sheetViews>
  <sheetFormatPr defaultRowHeight="15"/>
  <cols>
    <col min="1" max="1" width="6.140625" customWidth="1"/>
    <col min="2" max="2" width="34.5703125" customWidth="1"/>
    <col min="10" max="10" width="10.285156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5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5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46">
        <f>+'15'!G4</f>
        <v>12</v>
      </c>
      <c r="D4" s="75">
        <v>0</v>
      </c>
      <c r="E4" s="74">
        <f t="shared" ref="E4:E65" si="0">C4+D4</f>
        <v>12</v>
      </c>
      <c r="F4" s="75">
        <v>0</v>
      </c>
      <c r="G4" s="74">
        <f>+E4-F4-H4</f>
        <v>12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46">
        <f>+'15'!G5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5" si="1">+E5-F5-H5</f>
        <v>16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46">
        <f>+'15'!G6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46">
        <f>+'15'!G7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46">
        <f>+'15'!G8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46">
        <f>+'15'!G9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46">
        <f>+'15'!G10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46">
        <f>+'15'!G11</f>
        <v>19</v>
      </c>
      <c r="D11" s="75">
        <v>0</v>
      </c>
      <c r="E11" s="74">
        <f t="shared" si="0"/>
        <v>19</v>
      </c>
      <c r="F11" s="75">
        <v>0</v>
      </c>
      <c r="G11" s="74">
        <f t="shared" si="1"/>
        <v>19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46">
        <f>+'15'!G12</f>
        <v>19</v>
      </c>
      <c r="D12" s="75">
        <v>0</v>
      </c>
      <c r="E12" s="74">
        <f t="shared" si="0"/>
        <v>19</v>
      </c>
      <c r="F12" s="75">
        <v>0</v>
      </c>
      <c r="G12" s="74">
        <f t="shared" si="1"/>
        <v>19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46">
        <f>+'15'!G13</f>
        <v>5</v>
      </c>
      <c r="D13" s="75">
        <v>0</v>
      </c>
      <c r="E13" s="74">
        <f t="shared" si="0"/>
        <v>5</v>
      </c>
      <c r="F13" s="75">
        <v>0</v>
      </c>
      <c r="G13" s="74">
        <f t="shared" si="1"/>
        <v>5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46">
        <f>+'15'!G14</f>
        <v>18</v>
      </c>
      <c r="D14" s="75">
        <v>0</v>
      </c>
      <c r="E14" s="74">
        <f t="shared" si="0"/>
        <v>18</v>
      </c>
      <c r="F14" s="75">
        <v>0</v>
      </c>
      <c r="G14" s="74">
        <f t="shared" si="1"/>
        <v>18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46">
        <f>+'15'!G15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46">
        <f>+'15'!G16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46">
        <f>+'15'!G17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46">
        <f>+'15'!G18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46">
        <f>+'15'!G19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46">
        <f>+'15'!G20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46">
        <f>+'15'!G21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46">
        <f>+'15'!G22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46">
        <f>+'15'!G23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46">
        <f>+'15'!G24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46">
        <f>+'15'!G25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46">
        <f>+'15'!G26</f>
        <v>9</v>
      </c>
      <c r="D26" s="75">
        <v>0</v>
      </c>
      <c r="E26" s="74">
        <f t="shared" si="0"/>
        <v>9</v>
      </c>
      <c r="F26" s="75">
        <v>0</v>
      </c>
      <c r="G26" s="74">
        <f t="shared" si="1"/>
        <v>9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46">
        <f>+'15'!G27</f>
        <v>19</v>
      </c>
      <c r="D27" s="75">
        <v>0</v>
      </c>
      <c r="E27" s="74">
        <f t="shared" si="0"/>
        <v>19</v>
      </c>
      <c r="F27" s="75">
        <v>0</v>
      </c>
      <c r="G27" s="74">
        <f t="shared" si="1"/>
        <v>19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46">
        <f>+'15'!G28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46">
        <f>+'15'!G29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46">
        <f>+'15'!G30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46">
        <f>+'15'!G31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46">
        <f>+'15'!G32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46">
        <f>+'15'!G33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46">
        <f>+'15'!G34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46">
        <f>+'15'!G35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46">
        <f>+'15'!G36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46">
        <f>+'15'!G37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46">
        <f>+'15'!G38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46">
        <f>+'15'!G39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46">
        <f>+'15'!G40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46">
        <f>+'15'!G41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46">
        <f>+'15'!G42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46">
        <f>+'15'!G43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46">
        <f>+'15'!G44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46">
        <f>+'15'!G45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46">
        <f>+'15'!G46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46">
        <f>+'15'!G47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46">
        <f>+'15'!G48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46">
        <f>+'15'!G49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46">
        <f>+'15'!G50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46">
        <f>+'15'!G51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46">
        <f>+'15'!G52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46">
        <f>+'15'!G53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46">
        <f>+'15'!G54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46">
        <f>+'15'!G55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46">
        <f>+'15'!G56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46">
        <f>+'15'!G57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46">
        <f>+'15'!G58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46">
        <f>+'15'!G59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46">
        <f>+'15'!G60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46">
        <f>+'15'!G61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46">
        <f>+'15'!G62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46">
        <f>+'15'!G63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46">
        <f>+'15'!G64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46">
        <f>+'15'!G65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46">
        <f>+'15'!G66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46">
        <f>+'15'!G67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46">
        <f>+'15'!G68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46">
        <f>+'15'!G69</f>
        <v>1</v>
      </c>
      <c r="D69" s="75">
        <v>0</v>
      </c>
      <c r="E69" s="74">
        <f t="shared" si="4"/>
        <v>1</v>
      </c>
      <c r="F69" s="75">
        <v>0</v>
      </c>
      <c r="G69" s="74">
        <f t="shared" ref="G69:G86" si="7">+E69-F69-H69</f>
        <v>1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82" si="9">SUM(J69-L69)</f>
        <v>0</v>
      </c>
    </row>
    <row r="70" spans="1:13" s="2" customFormat="1" ht="25.5">
      <c r="A70" s="8">
        <v>67</v>
      </c>
      <c r="B70" s="16" t="s">
        <v>124</v>
      </c>
      <c r="C70" s="46">
        <f>+'15'!G70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7"/>
        <v>50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46">
        <f>+'15'!G71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46">
        <f>+'15'!G72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46">
        <f>+'15'!G73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46">
        <f>+'15'!G74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46">
        <f>+'15'!G75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46">
        <f>+'15'!G76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46">
        <f>+'15'!G77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46">
        <f>+'15'!G78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46">
        <f>+'15'!G79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46">
        <f>+'15'!G80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46">
        <f>+'15'!G81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46">
        <f>+'15'!G82</f>
        <v>0</v>
      </c>
      <c r="D82" s="75">
        <v>0</v>
      </c>
      <c r="E82" s="74">
        <f t="shared" ref="E82:E86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46">
        <f>+'15'!G83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6" si="11">+I83*H83</f>
        <v>0</v>
      </c>
      <c r="K83" s="54" t="s">
        <v>44</v>
      </c>
      <c r="L83" s="55">
        <v>0</v>
      </c>
      <c r="M83" s="45">
        <f t="shared" ref="M83:M85" si="12">SUM(J83-L83)</f>
        <v>0</v>
      </c>
      <c r="N83" s="45"/>
    </row>
    <row r="84" spans="1:14" s="2" customFormat="1" ht="25.5">
      <c r="A84" s="8">
        <v>81</v>
      </c>
      <c r="B84" s="16"/>
      <c r="C84" s="46">
        <f>+'15'!G84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12"/>
        <v>0</v>
      </c>
      <c r="N84" s="45"/>
    </row>
    <row r="85" spans="1:14" s="2" customFormat="1" ht="25.5">
      <c r="A85" s="8">
        <v>82</v>
      </c>
      <c r="B85" s="16"/>
      <c r="C85" s="46">
        <f>+'15'!G85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12"/>
        <v>0</v>
      </c>
      <c r="N85" s="45"/>
    </row>
    <row r="86" spans="1:14" s="2" customFormat="1" ht="25.5">
      <c r="A86" s="8">
        <v>83</v>
      </c>
      <c r="B86" s="16"/>
      <c r="C86" s="46">
        <f>+'15'!G86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ref="M86" si="13">SUM(J86-L86)</f>
        <v>0</v>
      </c>
      <c r="N86" s="45"/>
    </row>
    <row r="87" spans="1:14" s="2" customFormat="1" ht="25.5">
      <c r="A87" s="8">
        <v>84</v>
      </c>
      <c r="B87" s="16"/>
      <c r="C87" s="46">
        <f>+'15'!G87</f>
        <v>0</v>
      </c>
      <c r="D87" s="75">
        <v>0</v>
      </c>
      <c r="E87" s="74">
        <f t="shared" ref="E87" si="14">C87+D87</f>
        <v>0</v>
      </c>
      <c r="F87" s="75">
        <v>0</v>
      </c>
      <c r="G87" s="74">
        <f t="shared" ref="G87" si="15">+E87-F87-H87</f>
        <v>0</v>
      </c>
      <c r="H87" s="76">
        <v>0</v>
      </c>
      <c r="I87" s="57"/>
      <c r="J87" s="71">
        <f t="shared" ref="J87" si="16">+I87*H87</f>
        <v>0</v>
      </c>
      <c r="K87" s="54" t="s">
        <v>44</v>
      </c>
      <c r="L87" s="55">
        <v>0</v>
      </c>
      <c r="M87" s="45">
        <f t="shared" ref="M87" si="17">SUM(J87-L87)</f>
        <v>0</v>
      </c>
      <c r="N87" s="45"/>
    </row>
    <row r="88" spans="1:14" s="2" customFormat="1" ht="25.5">
      <c r="A88" s="8">
        <v>85</v>
      </c>
      <c r="B88" s="16"/>
      <c r="C88" s="46">
        <f>+'15'!G88</f>
        <v>0</v>
      </c>
      <c r="D88" s="75">
        <v>0</v>
      </c>
      <c r="E88" s="74">
        <f t="shared" ref="E88:E90" si="18">C88+D88</f>
        <v>0</v>
      </c>
      <c r="F88" s="75">
        <v>0</v>
      </c>
      <c r="G88" s="74">
        <f t="shared" ref="G88:G90" si="19">+E88-F88-H88</f>
        <v>0</v>
      </c>
      <c r="H88" s="76">
        <v>0</v>
      </c>
      <c r="I88" s="57"/>
      <c r="J88" s="71">
        <f t="shared" ref="J88:J90" si="20">+I88*H88</f>
        <v>0</v>
      </c>
      <c r="K88" s="54" t="s">
        <v>44</v>
      </c>
      <c r="L88" s="55">
        <v>0</v>
      </c>
      <c r="M88" s="45">
        <f t="shared" ref="M88:M90" si="21">SUM(J88-L88)</f>
        <v>0</v>
      </c>
      <c r="N88" s="45"/>
    </row>
    <row r="89" spans="1:14" s="2" customFormat="1" ht="25.5">
      <c r="A89" s="8">
        <v>86</v>
      </c>
      <c r="B89" s="16"/>
      <c r="C89" s="46">
        <f>+'15'!G89</f>
        <v>0</v>
      </c>
      <c r="D89" s="75">
        <v>0</v>
      </c>
      <c r="E89" s="74">
        <f t="shared" si="18"/>
        <v>0</v>
      </c>
      <c r="F89" s="75">
        <v>0</v>
      </c>
      <c r="G89" s="74">
        <f t="shared" si="19"/>
        <v>0</v>
      </c>
      <c r="H89" s="76">
        <v>0</v>
      </c>
      <c r="I89" s="57"/>
      <c r="J89" s="71">
        <f t="shared" si="20"/>
        <v>0</v>
      </c>
      <c r="K89" s="54" t="s">
        <v>44</v>
      </c>
      <c r="L89" s="55">
        <v>0</v>
      </c>
      <c r="M89" s="45">
        <f t="shared" si="21"/>
        <v>0</v>
      </c>
      <c r="N89" s="45"/>
    </row>
    <row r="90" spans="1:14" s="2" customFormat="1" ht="25.5">
      <c r="A90" s="8">
        <v>87</v>
      </c>
      <c r="B90" s="16"/>
      <c r="C90" s="46">
        <f>+'15'!G90</f>
        <v>0</v>
      </c>
      <c r="D90" s="75">
        <v>0</v>
      </c>
      <c r="E90" s="74">
        <f t="shared" si="18"/>
        <v>0</v>
      </c>
      <c r="F90" s="75">
        <v>0</v>
      </c>
      <c r="G90" s="74">
        <f t="shared" si="19"/>
        <v>0</v>
      </c>
      <c r="H90" s="76">
        <v>0</v>
      </c>
      <c r="I90" s="57"/>
      <c r="J90" s="71">
        <f t="shared" si="20"/>
        <v>0</v>
      </c>
      <c r="K90" s="54" t="s">
        <v>44</v>
      </c>
      <c r="L90" s="55">
        <v>0</v>
      </c>
      <c r="M90" s="45">
        <f t="shared" si="21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1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1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1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1" s="2" customFormat="1" ht="25.5">
      <c r="I100" s="125" t="s">
        <v>39</v>
      </c>
      <c r="J100" s="126"/>
      <c r="K100" s="52">
        <v>0</v>
      </c>
    </row>
    <row r="101" spans="1:11" s="2" customFormat="1" ht="25.5">
      <c r="I101" s="125" t="s">
        <v>41</v>
      </c>
      <c r="J101" s="126"/>
      <c r="K101" s="48">
        <f>+K100-K99</f>
        <v>0</v>
      </c>
    </row>
    <row r="102" spans="1:11" s="2" customFormat="1" ht="25.5">
      <c r="I102" s="125" t="s">
        <v>42</v>
      </c>
      <c r="J102" s="126"/>
      <c r="K102" s="48">
        <f>+K100-K99</f>
        <v>0</v>
      </c>
    </row>
    <row r="103" spans="1:11" s="2" customFormat="1" ht="24.75"/>
    <row r="104" spans="1:11" s="2" customFormat="1" ht="24.75">
      <c r="J104" s="65" t="s">
        <v>50</v>
      </c>
      <c r="K104" s="45">
        <f>+K93-K98+K101</f>
        <v>0</v>
      </c>
    </row>
    <row r="105" spans="1:11" ht="24.75">
      <c r="I105" s="2"/>
      <c r="J105" s="65" t="s">
        <v>51</v>
      </c>
      <c r="K105" s="45">
        <f>SUM(K94:K97)</f>
        <v>0</v>
      </c>
    </row>
    <row r="106" spans="1:11" ht="24.75">
      <c r="J106" s="65" t="s">
        <v>52</v>
      </c>
      <c r="K106" s="45">
        <f>+K100</f>
        <v>0</v>
      </c>
    </row>
  </sheetData>
  <mergeCells count="20">
    <mergeCell ref="M91:N91"/>
    <mergeCell ref="I93:J93"/>
    <mergeCell ref="I101:J101"/>
    <mergeCell ref="I102:J102"/>
    <mergeCell ref="I96:J96"/>
    <mergeCell ref="I97:J97"/>
    <mergeCell ref="I98:J98"/>
    <mergeCell ref="I99:J99"/>
    <mergeCell ref="I100:J100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9390-C0FE-41F1-BD09-F6278AC1C806}">
  <sheetPr>
    <tabColor rgb="FFFAA8E5"/>
  </sheetPr>
  <dimension ref="A1:N106"/>
  <sheetViews>
    <sheetView zoomScale="90" zoomScaleNormal="90" workbookViewId="0">
      <pane ySplit="3" topLeftCell="A4" activePane="bottomLeft" state="frozen"/>
      <selection pane="bottomLeft" activeCell="C86" sqref="C86"/>
    </sheetView>
  </sheetViews>
  <sheetFormatPr defaultRowHeight="15"/>
  <cols>
    <col min="1" max="1" width="6.140625" customWidth="1"/>
    <col min="2" max="2" width="34.5703125" customWidth="1"/>
    <col min="10" max="10" width="11.5703125" customWidth="1"/>
    <col min="11" max="11" width="18" customWidth="1"/>
    <col min="14" max="14" width="10.42578125" bestFit="1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46">
        <f>+'16'!G4</f>
        <v>12</v>
      </c>
      <c r="D4" s="75">
        <v>0</v>
      </c>
      <c r="E4" s="74">
        <f t="shared" ref="E4:E65" si="0">C4+D4</f>
        <v>12</v>
      </c>
      <c r="F4" s="75">
        <v>0</v>
      </c>
      <c r="G4" s="74">
        <f>+E4-F4-H4</f>
        <v>12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46">
        <f>+'16'!G5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5" si="1">+E5-F5-H5</f>
        <v>16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46">
        <f>+'16'!G6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46">
        <f>+'16'!G7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46">
        <f>+'16'!G8</f>
        <v>12</v>
      </c>
      <c r="D8" s="75">
        <v>0</v>
      </c>
      <c r="E8" s="74">
        <f t="shared" si="0"/>
        <v>12</v>
      </c>
      <c r="F8" s="75">
        <v>12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46">
        <f>+'16'!G9</f>
        <v>10</v>
      </c>
      <c r="D9" s="75">
        <v>0</v>
      </c>
      <c r="E9" s="74">
        <f t="shared" si="0"/>
        <v>10</v>
      </c>
      <c r="F9" s="75">
        <v>10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46">
        <f>+'16'!G10</f>
        <v>9</v>
      </c>
      <c r="D10" s="75">
        <v>0</v>
      </c>
      <c r="E10" s="74">
        <f t="shared" si="0"/>
        <v>9</v>
      </c>
      <c r="F10" s="75">
        <v>9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46">
        <f>+'16'!G11</f>
        <v>19</v>
      </c>
      <c r="D11" s="75">
        <v>0</v>
      </c>
      <c r="E11" s="74">
        <f t="shared" si="0"/>
        <v>19</v>
      </c>
      <c r="F11" s="75">
        <v>0</v>
      </c>
      <c r="G11" s="74">
        <f t="shared" si="1"/>
        <v>19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46">
        <f>+'16'!G12</f>
        <v>19</v>
      </c>
      <c r="D12" s="75">
        <v>0</v>
      </c>
      <c r="E12" s="74">
        <f t="shared" si="0"/>
        <v>19</v>
      </c>
      <c r="F12" s="75">
        <v>0</v>
      </c>
      <c r="G12" s="74">
        <f t="shared" si="1"/>
        <v>19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87">
        <f>+'16'!G13</f>
        <v>5</v>
      </c>
      <c r="D13" s="75">
        <v>0</v>
      </c>
      <c r="E13" s="74">
        <f t="shared" si="0"/>
        <v>5</v>
      </c>
      <c r="F13" s="75">
        <v>0</v>
      </c>
      <c r="G13" s="74">
        <f t="shared" si="1"/>
        <v>5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46">
        <f>+'16'!G14</f>
        <v>18</v>
      </c>
      <c r="D14" s="75">
        <v>0</v>
      </c>
      <c r="E14" s="74">
        <f t="shared" si="0"/>
        <v>18</v>
      </c>
      <c r="F14" s="75">
        <v>0</v>
      </c>
      <c r="G14" s="74">
        <f t="shared" si="1"/>
        <v>18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46">
        <f>+'16'!G15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4</v>
      </c>
      <c r="H15" s="76">
        <v>1</v>
      </c>
      <c r="I15" s="57">
        <v>50</v>
      </c>
      <c r="J15" s="71">
        <f t="shared" si="2"/>
        <v>50</v>
      </c>
      <c r="K15" s="54" t="s">
        <v>44</v>
      </c>
      <c r="L15" s="55">
        <v>0</v>
      </c>
      <c r="M15" s="45">
        <f t="shared" si="3"/>
        <v>50</v>
      </c>
    </row>
    <row r="16" spans="1:13" s="2" customFormat="1" ht="25.5">
      <c r="A16" s="8">
        <v>13</v>
      </c>
      <c r="B16" s="9" t="s">
        <v>66</v>
      </c>
      <c r="C16" s="46">
        <f>+'16'!G16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46">
        <f>+'16'!G17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46">
        <f>+'16'!G18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46">
        <f>+'16'!G19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46">
        <f>+'16'!G20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46">
        <f>+'16'!G21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46">
        <f>+'16'!G22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46">
        <f>+'16'!G23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46">
        <f>+'16'!G24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46">
        <f>+'16'!G25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46">
        <f>+'16'!G26</f>
        <v>9</v>
      </c>
      <c r="D26" s="75">
        <v>0</v>
      </c>
      <c r="E26" s="74">
        <f t="shared" si="0"/>
        <v>9</v>
      </c>
      <c r="F26" s="75">
        <v>0</v>
      </c>
      <c r="G26" s="74">
        <f t="shared" si="1"/>
        <v>8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>
      <c r="A27" s="8">
        <v>24</v>
      </c>
      <c r="B27" s="9" t="s">
        <v>77</v>
      </c>
      <c r="C27" s="46">
        <f>+'16'!G27</f>
        <v>19</v>
      </c>
      <c r="D27" s="75">
        <v>0</v>
      </c>
      <c r="E27" s="74">
        <f t="shared" si="0"/>
        <v>19</v>
      </c>
      <c r="F27" s="75">
        <v>0</v>
      </c>
      <c r="G27" s="74">
        <f t="shared" si="1"/>
        <v>19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46">
        <f>+'16'!G28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46">
        <f>+'16'!G29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46">
        <f>+'16'!G30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46">
        <f>+'16'!G31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46">
        <f>+'16'!G32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46">
        <f>+'16'!G33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46">
        <f>+'16'!G34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46">
        <f>+'16'!G35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46">
        <f>+'16'!G36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46">
        <f>+'16'!G37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46">
        <f>+'16'!G38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46">
        <f>+'16'!G39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46">
        <f>+'16'!G40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46">
        <f>+'16'!G41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46">
        <f>+'16'!G42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46">
        <f>+'16'!G43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46">
        <f>+'16'!G44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46">
        <f>+'16'!G45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46">
        <f>+'16'!G46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46">
        <f>+'16'!G47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46">
        <f>+'16'!G48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46">
        <f>+'16'!G49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46">
        <f>+'16'!G50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46">
        <f>+'16'!G51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46">
        <f>+'16'!G52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46">
        <f>+'16'!G53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46">
        <f>+'16'!G54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46">
        <f>+'16'!G55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46">
        <f>+'16'!G56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46">
        <f>+'16'!G57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46">
        <f>+'16'!G58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46">
        <f>+'16'!G59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46">
        <f>+'16'!G60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46">
        <f>+'16'!G61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46">
        <f>+'16'!G62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46">
        <f>+'16'!G63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46">
        <f>+'16'!G64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46">
        <f>+'16'!G65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46">
        <f>+'16'!G66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46">
        <f>+'16'!G67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46">
        <f>+'16'!G68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46">
        <f>+'16'!G69</f>
        <v>1</v>
      </c>
      <c r="D69" s="75">
        <v>0</v>
      </c>
      <c r="E69" s="74">
        <f t="shared" si="4"/>
        <v>1</v>
      </c>
      <c r="F69" s="75">
        <v>0</v>
      </c>
      <c r="G69" s="74">
        <f t="shared" ref="G69:G90" si="7">+E69-F69-H69</f>
        <v>1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87">
        <f>+'16'!G70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7"/>
        <v>50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46">
        <f>+'16'!G71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46">
        <f>+'16'!G72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46">
        <f>+'16'!G73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46">
        <f>+'16'!G74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46">
        <f>+'16'!G75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46">
        <f>+'16'!G76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46">
        <f>+'16'!G77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46">
        <f>+'16'!G78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46">
        <f>+'16'!G79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46">
        <f>+'16'!G80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46">
        <f>+'16'!G81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46">
        <f>+'16'!G82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46">
        <f>+'16'!G83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9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46">
        <f>+'16'!G84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46">
        <f>+'16'!G85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46">
        <f>+'16'!G86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46">
        <f>+'16'!G87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46">
        <f>+'16'!G88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46">
        <f>+'16'!G89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46">
        <f>+'16'!G90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100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100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1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1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1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100</v>
      </c>
    </row>
    <row r="100" spans="1:11" s="2" customFormat="1" ht="25.5">
      <c r="I100" s="125" t="s">
        <v>39</v>
      </c>
      <c r="J100" s="126"/>
      <c r="K100" s="52">
        <v>105</v>
      </c>
    </row>
    <row r="101" spans="1:11" s="2" customFormat="1" ht="25.5">
      <c r="I101" s="125" t="s">
        <v>41</v>
      </c>
      <c r="J101" s="126"/>
      <c r="K101" s="48">
        <f>+K100-K99</f>
        <v>5</v>
      </c>
    </row>
    <row r="102" spans="1:11" s="2" customFormat="1" ht="25.5">
      <c r="I102" s="125" t="s">
        <v>42</v>
      </c>
      <c r="J102" s="126"/>
      <c r="K102" s="48">
        <f>+K100-K99</f>
        <v>5</v>
      </c>
    </row>
    <row r="103" spans="1:11" s="2" customFormat="1" ht="24.75"/>
    <row r="104" spans="1:11" s="2" customFormat="1" ht="24.75">
      <c r="J104" s="65" t="s">
        <v>50</v>
      </c>
      <c r="K104" s="45">
        <f>+K93-K98+K101</f>
        <v>105</v>
      </c>
    </row>
    <row r="105" spans="1:11" ht="24.75">
      <c r="I105" s="2"/>
      <c r="J105" s="65" t="s">
        <v>51</v>
      </c>
      <c r="K105" s="45">
        <f>SUM(K94:K97)</f>
        <v>0</v>
      </c>
    </row>
    <row r="106" spans="1:11" ht="24.75">
      <c r="J106" s="65" t="s">
        <v>52</v>
      </c>
      <c r="K106" s="45">
        <f>+K100</f>
        <v>105</v>
      </c>
    </row>
  </sheetData>
  <mergeCells count="20">
    <mergeCell ref="I101:J101"/>
    <mergeCell ref="I102:J102"/>
    <mergeCell ref="I96:J96"/>
    <mergeCell ref="I97:J97"/>
    <mergeCell ref="I98:J98"/>
    <mergeCell ref="I99:J99"/>
    <mergeCell ref="I100:J100"/>
    <mergeCell ref="I94:J94"/>
    <mergeCell ref="M91:N91"/>
    <mergeCell ref="I93:J93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F90D-785F-49CD-BEEF-38BC778852DE}">
  <sheetPr>
    <tabColor rgb="FFFAA8E5"/>
  </sheetPr>
  <dimension ref="A1:N106"/>
  <sheetViews>
    <sheetView zoomScale="90" zoomScaleNormal="90" workbookViewId="0">
      <pane ySplit="3" topLeftCell="A65" activePane="bottomLeft" state="frozen"/>
      <selection pane="bottomLeft" activeCell="C85" sqref="C8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+'17'!G4</f>
        <v>12</v>
      </c>
      <c r="D4" s="75">
        <v>0</v>
      </c>
      <c r="E4" s="74">
        <f t="shared" ref="E4:E65" si="0">C4+D4</f>
        <v>12</v>
      </c>
      <c r="F4" s="75">
        <v>0</v>
      </c>
      <c r="G4" s="74">
        <f>+E4-F4-H4</f>
        <v>11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+'17'!G5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5" si="1">+E5-F5-H5</f>
        <v>16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+'17'!G6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+'17'!G7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+'17'!G8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+'17'!G9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+'17'!G10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+'17'!G11</f>
        <v>19</v>
      </c>
      <c r="D11" s="75">
        <v>0</v>
      </c>
      <c r="E11" s="74">
        <f t="shared" si="0"/>
        <v>19</v>
      </c>
      <c r="F11" s="75">
        <v>0</v>
      </c>
      <c r="G11" s="74">
        <f t="shared" si="1"/>
        <v>18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>
      <c r="A12" s="8">
        <v>9</v>
      </c>
      <c r="B12" s="16" t="s">
        <v>62</v>
      </c>
      <c r="C12" s="74">
        <f>+'17'!G12</f>
        <v>19</v>
      </c>
      <c r="D12" s="75">
        <v>0</v>
      </c>
      <c r="E12" s="74">
        <f t="shared" si="0"/>
        <v>19</v>
      </c>
      <c r="F12" s="75">
        <v>0</v>
      </c>
      <c r="G12" s="74">
        <f t="shared" si="1"/>
        <v>18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87">
        <f>+'17'!G13</f>
        <v>5</v>
      </c>
      <c r="D13" s="75">
        <v>0</v>
      </c>
      <c r="E13" s="74">
        <f t="shared" si="0"/>
        <v>5</v>
      </c>
      <c r="F13" s="75">
        <v>0</v>
      </c>
      <c r="G13" s="74">
        <f t="shared" si="1"/>
        <v>4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64</v>
      </c>
      <c r="C14" s="74">
        <f>+'17'!G14</f>
        <v>18</v>
      </c>
      <c r="D14" s="75">
        <v>0</v>
      </c>
      <c r="E14" s="74">
        <f t="shared" si="0"/>
        <v>18</v>
      </c>
      <c r="F14" s="75">
        <v>0</v>
      </c>
      <c r="G14" s="74">
        <f t="shared" si="1"/>
        <v>18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+'17'!G15</f>
        <v>4</v>
      </c>
      <c r="D15" s="75">
        <v>0</v>
      </c>
      <c r="E15" s="74">
        <f t="shared" si="0"/>
        <v>4</v>
      </c>
      <c r="F15" s="75">
        <v>0</v>
      </c>
      <c r="G15" s="74">
        <f t="shared" si="1"/>
        <v>3</v>
      </c>
      <c r="H15" s="76">
        <v>1</v>
      </c>
      <c r="I15" s="57">
        <v>50</v>
      </c>
      <c r="J15" s="71">
        <f t="shared" si="2"/>
        <v>50</v>
      </c>
      <c r="K15" s="54" t="s">
        <v>44</v>
      </c>
      <c r="L15" s="55">
        <v>0</v>
      </c>
      <c r="M15" s="45">
        <f t="shared" si="3"/>
        <v>50</v>
      </c>
    </row>
    <row r="16" spans="1:13" s="2" customFormat="1" ht="25.5">
      <c r="A16" s="8">
        <v>13</v>
      </c>
      <c r="B16" s="9" t="s">
        <v>66</v>
      </c>
      <c r="C16" s="74">
        <f>+'17'!G16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+'17'!G17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+'17'!G18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+'17'!G19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+'17'!G20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+'17'!G21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+'17'!G22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+'17'!G23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+'17'!G24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+'17'!G25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+'17'!G26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+'17'!G27</f>
        <v>19</v>
      </c>
      <c r="D27" s="75">
        <v>0</v>
      </c>
      <c r="E27" s="74">
        <f t="shared" si="0"/>
        <v>19</v>
      </c>
      <c r="F27" s="75">
        <v>0</v>
      </c>
      <c r="G27" s="74">
        <f t="shared" si="1"/>
        <v>18</v>
      </c>
      <c r="H27" s="76">
        <v>1</v>
      </c>
      <c r="I27" s="57">
        <v>50</v>
      </c>
      <c r="J27" s="71">
        <f t="shared" si="2"/>
        <v>50</v>
      </c>
      <c r="K27" s="54" t="s">
        <v>44</v>
      </c>
      <c r="L27" s="55">
        <v>0</v>
      </c>
      <c r="M27" s="45">
        <f t="shared" si="3"/>
        <v>50</v>
      </c>
    </row>
    <row r="28" spans="1:13" s="2" customFormat="1" ht="25.5">
      <c r="A28" s="8">
        <v>25</v>
      </c>
      <c r="B28" s="9" t="s">
        <v>78</v>
      </c>
      <c r="C28" s="74">
        <f>+'17'!G28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+'17'!G29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+'17'!G30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+'17'!G31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+'17'!G32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+'17'!G33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+'17'!G34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+'17'!G35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+'17'!G36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+'17'!G37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+'17'!G38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+'17'!G39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+'17'!G40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+'17'!G41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+'17'!G42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+'17'!G43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+'17'!G44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+'17'!G45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+'17'!G46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+'17'!G47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+'17'!G48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+'17'!G49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+'17'!G50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+'17'!G51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+'17'!G52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+'17'!G53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+'17'!G54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+'17'!G55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+'17'!G56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+'17'!G57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+'17'!G58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+'17'!G59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+'17'!G60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+'17'!G61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+'17'!G62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+'17'!G63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+'17'!G64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+'17'!G65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+'17'!G66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+'17'!G67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+'17'!G68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+'17'!G69</f>
        <v>1</v>
      </c>
      <c r="D69" s="75">
        <v>0</v>
      </c>
      <c r="E69" s="74">
        <f t="shared" si="4"/>
        <v>1</v>
      </c>
      <c r="F69" s="75">
        <v>0</v>
      </c>
      <c r="G69" s="74">
        <f t="shared" ref="G69:G90" si="7">+E69-F69-H69</f>
        <v>1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4">
        <f>+'17'!G70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7"/>
        <v>50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4">
        <f>+'17'!G71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+'17'!G72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+'17'!G73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+'17'!G74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+'17'!G75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+'17'!G76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+'17'!G77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+'17'!G78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+'17'!G79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+'17'!G80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+'17'!G81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+'17'!G82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4">
        <f>+'17'!G83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9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4">
        <f>+'17'!G84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4">
        <f>+'17'!G85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4">
        <f>+'17'!G86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4">
        <f>+'17'!G87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4">
        <f>+'17'!G88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4">
        <f>+'17'!G89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4">
        <f>+'17'!G90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405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405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405</v>
      </c>
    </row>
    <row r="100" spans="1:14" s="2" customFormat="1" ht="25.5">
      <c r="I100" s="125" t="s">
        <v>39</v>
      </c>
      <c r="J100" s="126"/>
      <c r="K100" s="52">
        <v>405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405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405</v>
      </c>
    </row>
  </sheetData>
  <mergeCells count="20">
    <mergeCell ref="I100:J100"/>
    <mergeCell ref="I101:J101"/>
    <mergeCell ref="I102:J102"/>
    <mergeCell ref="I96:J96"/>
    <mergeCell ref="I97:J97"/>
    <mergeCell ref="I98:J98"/>
    <mergeCell ref="I99:J99"/>
    <mergeCell ref="L2:L3"/>
    <mergeCell ref="I93:J93"/>
    <mergeCell ref="M91:N91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D10F-C90C-4968-A73A-0393B0A000CE}">
  <sheetPr>
    <tabColor rgb="FFFAA8E5"/>
  </sheetPr>
  <dimension ref="A1:N106"/>
  <sheetViews>
    <sheetView zoomScale="90" zoomScaleNormal="90" workbookViewId="0">
      <pane ySplit="3" topLeftCell="A63" activePane="bottomLeft" state="frozen"/>
      <selection pane="bottomLeft" activeCell="C83" sqref="C83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+'18'!G4</f>
        <v>11</v>
      </c>
      <c r="D4" s="75">
        <v>0</v>
      </c>
      <c r="E4" s="74">
        <f t="shared" ref="E4:E65" si="0">C4+D4</f>
        <v>11</v>
      </c>
      <c r="F4" s="75">
        <v>0</v>
      </c>
      <c r="G4" s="74">
        <f>+E4-F4-H4</f>
        <v>10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+'18'!G5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5" si="1">+E5-F5-H5</f>
        <v>16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+'18'!G6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+'18'!G7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+'18'!G8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+'18'!G9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+'18'!G10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+'18'!G11</f>
        <v>18</v>
      </c>
      <c r="D11" s="75">
        <v>0</v>
      </c>
      <c r="E11" s="74">
        <f t="shared" si="0"/>
        <v>18</v>
      </c>
      <c r="F11" s="75">
        <v>0</v>
      </c>
      <c r="G11" s="74">
        <f t="shared" si="1"/>
        <v>17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>
      <c r="A12" s="8">
        <v>9</v>
      </c>
      <c r="B12" s="16" t="s">
        <v>62</v>
      </c>
      <c r="C12" s="87">
        <f>+'18'!G12</f>
        <v>18</v>
      </c>
      <c r="D12" s="75">
        <v>0</v>
      </c>
      <c r="E12" s="74">
        <f t="shared" si="0"/>
        <v>18</v>
      </c>
      <c r="F12" s="75">
        <v>0</v>
      </c>
      <c r="G12" s="74">
        <f t="shared" si="1"/>
        <v>18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87">
        <f>+'18'!G13</f>
        <v>4</v>
      </c>
      <c r="D13" s="75">
        <v>0</v>
      </c>
      <c r="E13" s="74">
        <f t="shared" si="0"/>
        <v>4</v>
      </c>
      <c r="F13" s="75">
        <v>0</v>
      </c>
      <c r="G13" s="74">
        <f t="shared" si="1"/>
        <v>4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+'18'!G14</f>
        <v>18</v>
      </c>
      <c r="D14" s="75">
        <v>0</v>
      </c>
      <c r="E14" s="74">
        <f t="shared" si="0"/>
        <v>18</v>
      </c>
      <c r="F14" s="75">
        <v>0</v>
      </c>
      <c r="G14" s="74">
        <f t="shared" si="1"/>
        <v>17</v>
      </c>
      <c r="H14" s="76">
        <v>1</v>
      </c>
      <c r="I14" s="57">
        <v>100</v>
      </c>
      <c r="J14" s="71">
        <f t="shared" si="2"/>
        <v>100</v>
      </c>
      <c r="K14" s="54" t="s">
        <v>44</v>
      </c>
      <c r="L14" s="55">
        <v>0</v>
      </c>
      <c r="M14" s="45">
        <f t="shared" si="3"/>
        <v>100</v>
      </c>
    </row>
    <row r="15" spans="1:13" s="2" customFormat="1" ht="25.5">
      <c r="A15" s="8">
        <v>12</v>
      </c>
      <c r="B15" s="9" t="s">
        <v>65</v>
      </c>
      <c r="C15" s="87">
        <f>+'18'!G15</f>
        <v>3</v>
      </c>
      <c r="D15" s="75">
        <v>0</v>
      </c>
      <c r="E15" s="74">
        <f t="shared" si="0"/>
        <v>3</v>
      </c>
      <c r="F15" s="75">
        <v>0</v>
      </c>
      <c r="G15" s="74">
        <f t="shared" si="1"/>
        <v>3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87">
        <f>+'18'!G16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87">
        <f>+'18'!G17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+'18'!G18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87">
        <f>+'18'!G19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+'18'!G20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+'18'!G21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+'18'!G22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+'18'!G23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+'18'!G24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+'18'!G25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+'18'!G26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+'18'!G27</f>
        <v>18</v>
      </c>
      <c r="D27" s="75">
        <v>0</v>
      </c>
      <c r="E27" s="74">
        <f t="shared" si="0"/>
        <v>18</v>
      </c>
      <c r="F27" s="75">
        <v>0</v>
      </c>
      <c r="G27" s="74">
        <f t="shared" si="1"/>
        <v>18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+'18'!G28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+'18'!G29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+'18'!G30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+'18'!G31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+'18'!G32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+'18'!G33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+'18'!G34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+'18'!G35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+'18'!G36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+'18'!G37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+'18'!G38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+'18'!G39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+'18'!G40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+'18'!G41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+'18'!G42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+'18'!G43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+'18'!G44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+'18'!G45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+'18'!G46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+'18'!G47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+'18'!G48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+'18'!G49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+'18'!G50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+'18'!G51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+'18'!G52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+'18'!G53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+'18'!G54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+'18'!G55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+'18'!G56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+'18'!G57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+'18'!G58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+'18'!G59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+'18'!G60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+'18'!G61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+'18'!G62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+'18'!G63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+'18'!G64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+'18'!G65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+'18'!G66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+'18'!G67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+'18'!G68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+'18'!G69</f>
        <v>1</v>
      </c>
      <c r="D69" s="75">
        <v>0</v>
      </c>
      <c r="E69" s="74">
        <f t="shared" si="4"/>
        <v>1</v>
      </c>
      <c r="F69" s="75">
        <v>0</v>
      </c>
      <c r="G69" s="74">
        <f t="shared" ref="G69:G90" si="7">+E69-F69-H69</f>
        <v>1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 t="s">
        <v>124</v>
      </c>
      <c r="C70" s="74">
        <f>+'18'!G70</f>
        <v>50</v>
      </c>
      <c r="D70" s="75">
        <v>0</v>
      </c>
      <c r="E70" s="74">
        <f t="shared" si="4"/>
        <v>50</v>
      </c>
      <c r="F70" s="75">
        <v>0</v>
      </c>
      <c r="G70" s="74">
        <f t="shared" si="7"/>
        <v>50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4">
        <f>+'18'!G71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4">
        <f>+'18'!G72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4">
        <f>+'18'!G73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4">
        <f>+'18'!G74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4">
        <f>+'18'!G75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4">
        <f>+'18'!G76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4">
        <f>+'18'!G77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4">
        <f>+'18'!G78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4">
        <f>+'18'!G79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4">
        <f>+'18'!G80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4">
        <f>+'18'!G81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4">
        <f>+'18'!G82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4">
        <f>+'18'!G83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9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4">
        <f>+'18'!G84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4">
        <f>+'18'!G85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4">
        <f>+'18'!G86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4">
        <f>+'18'!G87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4">
        <f>+'18'!G88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4">
        <f>+'18'!G89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4">
        <f>+'18'!G90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205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205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205</v>
      </c>
    </row>
    <row r="100" spans="1:14" s="2" customFormat="1" ht="25.5">
      <c r="I100" s="125" t="s">
        <v>39</v>
      </c>
      <c r="J100" s="126"/>
      <c r="K100" s="52">
        <v>205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205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205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0C52-5984-451C-88D9-3B979FF6D96E}">
  <sheetPr>
    <tabColor rgb="FFFFFF00"/>
  </sheetPr>
  <dimension ref="A1:N106"/>
  <sheetViews>
    <sheetView zoomScale="90" zoomScaleNormal="90" workbookViewId="0">
      <pane ySplit="3" topLeftCell="A16" activePane="bottomLeft" state="frozen"/>
      <selection pane="bottomLeft" sqref="A1:K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+'19'!G4</f>
        <v>10</v>
      </c>
      <c r="D4" s="75">
        <v>0</v>
      </c>
      <c r="E4" s="74">
        <f t="shared" ref="E4:E81" si="0">C4+D4</f>
        <v>10</v>
      </c>
      <c r="F4" s="75">
        <v>0</v>
      </c>
      <c r="G4" s="74">
        <f>+E4-F4-H4</f>
        <v>10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+'19'!G5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+'19'!G6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+'19'!G7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+'19'!G8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+'19'!G9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+'19'!G10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+'19'!G11</f>
        <v>17</v>
      </c>
      <c r="D11" s="75">
        <v>0</v>
      </c>
      <c r="E11" s="74">
        <f t="shared" si="0"/>
        <v>17</v>
      </c>
      <c r="F11" s="75">
        <v>0</v>
      </c>
      <c r="G11" s="74">
        <f t="shared" si="1"/>
        <v>17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+'19'!G12</f>
        <v>18</v>
      </c>
      <c r="D12" s="75">
        <v>0</v>
      </c>
      <c r="E12" s="74">
        <f t="shared" si="0"/>
        <v>18</v>
      </c>
      <c r="F12" s="75">
        <v>0</v>
      </c>
      <c r="G12" s="74">
        <f t="shared" si="1"/>
        <v>18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+'19'!G13</f>
        <v>4</v>
      </c>
      <c r="D13" s="75">
        <v>0</v>
      </c>
      <c r="E13" s="74">
        <f t="shared" si="0"/>
        <v>4</v>
      </c>
      <c r="F13" s="75">
        <v>0</v>
      </c>
      <c r="G13" s="74">
        <f t="shared" si="1"/>
        <v>4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+'19'!G14</f>
        <v>17</v>
      </c>
      <c r="D14" s="75">
        <v>0</v>
      </c>
      <c r="E14" s="74">
        <f t="shared" si="0"/>
        <v>17</v>
      </c>
      <c r="F14" s="75">
        <v>0</v>
      </c>
      <c r="G14" s="74">
        <f t="shared" si="1"/>
        <v>17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+'19'!G15</f>
        <v>3</v>
      </c>
      <c r="D15" s="75">
        <v>0</v>
      </c>
      <c r="E15" s="74">
        <f t="shared" si="0"/>
        <v>3</v>
      </c>
      <c r="F15" s="75">
        <v>0</v>
      </c>
      <c r="G15" s="74">
        <f t="shared" si="1"/>
        <v>3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+'19'!G16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+'19'!G17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+'19'!G18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+'19'!G19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+'19'!G20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+'19'!G21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+'19'!G22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+'19'!G23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+'19'!G24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+'19'!G25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+'19'!G26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+'19'!G27</f>
        <v>18</v>
      </c>
      <c r="D27" s="75">
        <v>0</v>
      </c>
      <c r="E27" s="74">
        <f t="shared" si="0"/>
        <v>18</v>
      </c>
      <c r="F27" s="75">
        <v>0</v>
      </c>
      <c r="G27" s="74">
        <f t="shared" si="1"/>
        <v>18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+'19'!G28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+'19'!G29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+'19'!G30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+'19'!G31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+'19'!G32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+'19'!G33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+'19'!G34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+'19'!G35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+'19'!G36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+'19'!G37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+'19'!G38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+'19'!G39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+'19'!G40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+'19'!G41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+'19'!G42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+'19'!G43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+'19'!G44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+'19'!G45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+'19'!G46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+'19'!G47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+'19'!G48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+'19'!G49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+'19'!G50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+'19'!G51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+'19'!G52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+'19'!G53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+'19'!G54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+'19'!G55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+'19'!G56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+'19'!G57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+'19'!G58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+'19'!G59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+'19'!G60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+'19'!G61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+'19'!G62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+'19'!G63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+'19'!G64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+'19'!G65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+'19'!G66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+'19'!G67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+'19'!G68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+'19'!G69</f>
        <v>1</v>
      </c>
      <c r="D69" s="75">
        <v>0</v>
      </c>
      <c r="E69" s="74">
        <f t="shared" si="0"/>
        <v>1</v>
      </c>
      <c r="F69" s="75">
        <v>0</v>
      </c>
      <c r="G69" s="74">
        <f t="shared" ref="G69:G90" si="4">+E69-F69-H69</f>
        <v>1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+'19'!G70</f>
        <v>50</v>
      </c>
      <c r="D70" s="75">
        <v>0</v>
      </c>
      <c r="E70" s="74">
        <f t="shared" si="0"/>
        <v>50</v>
      </c>
      <c r="F70" s="75">
        <v>0</v>
      </c>
      <c r="G70" s="74">
        <f t="shared" si="4"/>
        <v>50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+'19'!G71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+'19'!G72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+'19'!G73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+'19'!G74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+'19'!G75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+'19'!G76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+'19'!G77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+'19'!G78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+'19'!G79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+'19'!G80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+'19'!G81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+'19'!G82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+'19'!G83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+'19'!G84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+'19'!G85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+'19'!G86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+'19'!G87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+'19'!G88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+'19'!G89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+'19'!G90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I100" s="125" t="s">
        <v>39</v>
      </c>
      <c r="J100" s="126"/>
      <c r="K100" s="52">
        <v>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1C1B-936C-4BB6-BE5C-C49423C50A41}">
  <sheetPr>
    <tabColor rgb="FFFF0000"/>
  </sheetPr>
  <dimension ref="A1:N106"/>
  <sheetViews>
    <sheetView zoomScale="90" zoomScaleNormal="90" workbookViewId="0">
      <pane ySplit="3" topLeftCell="A94" activePane="bottomLeft" state="frozen"/>
      <selection pane="bottomLeft" sqref="A1:K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+'20'!G4</f>
        <v>10</v>
      </c>
      <c r="D4" s="75">
        <v>0</v>
      </c>
      <c r="E4" s="74">
        <f t="shared" ref="E4:E81" si="0">C4+D4</f>
        <v>10</v>
      </c>
      <c r="F4" s="75">
        <v>0</v>
      </c>
      <c r="G4" s="74">
        <f>+E4-F4-H4</f>
        <v>10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+'20'!G5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+'20'!G6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+'20'!G7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+'20'!G8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+'20'!G9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+'20'!G10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+'20'!G11</f>
        <v>17</v>
      </c>
      <c r="D11" s="75">
        <v>0</v>
      </c>
      <c r="E11" s="74">
        <f t="shared" si="0"/>
        <v>17</v>
      </c>
      <c r="F11" s="75">
        <v>0</v>
      </c>
      <c r="G11" s="74">
        <f t="shared" si="1"/>
        <v>17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+'20'!G12</f>
        <v>18</v>
      </c>
      <c r="D12" s="75">
        <v>0</v>
      </c>
      <c r="E12" s="74">
        <f t="shared" si="0"/>
        <v>18</v>
      </c>
      <c r="F12" s="75">
        <v>0</v>
      </c>
      <c r="G12" s="74">
        <f t="shared" si="1"/>
        <v>18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+'20'!G13</f>
        <v>4</v>
      </c>
      <c r="D13" s="75">
        <v>0</v>
      </c>
      <c r="E13" s="74">
        <f t="shared" si="0"/>
        <v>4</v>
      </c>
      <c r="F13" s="75">
        <v>0</v>
      </c>
      <c r="G13" s="74">
        <f t="shared" si="1"/>
        <v>4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+'20'!G14</f>
        <v>17</v>
      </c>
      <c r="D14" s="75">
        <v>0</v>
      </c>
      <c r="E14" s="74">
        <f t="shared" si="0"/>
        <v>17</v>
      </c>
      <c r="F14" s="75">
        <v>0</v>
      </c>
      <c r="G14" s="74">
        <f t="shared" si="1"/>
        <v>17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+'20'!G15</f>
        <v>3</v>
      </c>
      <c r="D15" s="75">
        <v>0</v>
      </c>
      <c r="E15" s="74">
        <f t="shared" si="0"/>
        <v>3</v>
      </c>
      <c r="F15" s="75">
        <v>0</v>
      </c>
      <c r="G15" s="74">
        <f t="shared" si="1"/>
        <v>3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+'20'!G16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+'20'!G17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+'20'!G18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+'20'!G19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+'20'!G20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+'20'!G21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+'20'!G22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+'20'!G23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+'20'!G24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+'20'!G25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+'20'!G26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+'20'!G27</f>
        <v>18</v>
      </c>
      <c r="D27" s="75">
        <v>0</v>
      </c>
      <c r="E27" s="74">
        <f t="shared" si="0"/>
        <v>18</v>
      </c>
      <c r="F27" s="75">
        <v>0</v>
      </c>
      <c r="G27" s="74">
        <f t="shared" si="1"/>
        <v>18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+'20'!G28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+'20'!G29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+'20'!G30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+'20'!G31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+'20'!G32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+'20'!G33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+'20'!G34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+'20'!G35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+'20'!G36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+'20'!G37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+'20'!G38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+'20'!G39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+'20'!G40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+'20'!G41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+'20'!G42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+'20'!G43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+'20'!G44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+'20'!G45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+'20'!G46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+'20'!G47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+'20'!G48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+'20'!G49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+'20'!G50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+'20'!G51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+'20'!G52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+'20'!G53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+'20'!G54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+'20'!G55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+'20'!G56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+'20'!G57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+'20'!G58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+'20'!G59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+'20'!G60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+'20'!G61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+'20'!G62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+'20'!G63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+'20'!G64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+'20'!G65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+'20'!G66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+'20'!G67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+'20'!G68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+'20'!G69</f>
        <v>1</v>
      </c>
      <c r="D69" s="75">
        <v>0</v>
      </c>
      <c r="E69" s="74">
        <f t="shared" si="0"/>
        <v>1</v>
      </c>
      <c r="F69" s="75">
        <v>0</v>
      </c>
      <c r="G69" s="74">
        <f t="shared" ref="G69:G90" si="4">+E69-F69-H69</f>
        <v>1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+'20'!G70</f>
        <v>50</v>
      </c>
      <c r="D70" s="75">
        <v>0</v>
      </c>
      <c r="E70" s="74">
        <f t="shared" si="0"/>
        <v>50</v>
      </c>
      <c r="F70" s="75">
        <v>0</v>
      </c>
      <c r="G70" s="74">
        <f t="shared" si="4"/>
        <v>50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+'20'!G71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+'20'!G72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+'20'!G73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+'20'!G74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+'20'!G75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+'20'!G76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+'20'!G77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+'20'!G78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+'20'!G79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+'20'!G80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+'20'!G81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+'20'!G82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+'20'!G83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+'20'!G84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+'20'!G85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+'20'!G86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+'20'!G87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+'20'!G88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+'20'!G89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+'20'!G90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I100" s="125" t="s">
        <v>39</v>
      </c>
      <c r="J100" s="126"/>
      <c r="K100" s="52">
        <v>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635E-0AC2-4F1D-B852-D206D242B89A}">
  <sheetPr>
    <tabColor rgb="FFFAA8E5"/>
  </sheetPr>
  <dimension ref="A1:N106"/>
  <sheetViews>
    <sheetView zoomScale="90" zoomScaleNormal="90" workbookViewId="0">
      <pane ySplit="3" topLeftCell="A60" activePane="bottomLeft" state="frozen"/>
      <selection pane="bottomLeft" activeCell="C80" sqref="C8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+'21'!G4</f>
        <v>10</v>
      </c>
      <c r="D4" s="75">
        <v>0</v>
      </c>
      <c r="E4" s="74">
        <f t="shared" ref="E4:E81" si="0">C4+D4</f>
        <v>10</v>
      </c>
      <c r="F4" s="75">
        <v>0</v>
      </c>
      <c r="G4" s="74">
        <f>+E4-F4-H4</f>
        <v>9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+'21'!G5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+'21'!G6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+'21'!G7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+'21'!G8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+'21'!G9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+'21'!G10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+'21'!G11</f>
        <v>17</v>
      </c>
      <c r="D11" s="75">
        <v>0</v>
      </c>
      <c r="E11" s="74">
        <f t="shared" si="0"/>
        <v>17</v>
      </c>
      <c r="F11" s="75">
        <v>0</v>
      </c>
      <c r="G11" s="74">
        <f t="shared" si="1"/>
        <v>16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>
      <c r="A12" s="8">
        <v>9</v>
      </c>
      <c r="B12" s="16" t="s">
        <v>62</v>
      </c>
      <c r="C12" s="74">
        <f>+'21'!G12</f>
        <v>18</v>
      </c>
      <c r="D12" s="75">
        <v>0</v>
      </c>
      <c r="E12" s="74">
        <f t="shared" si="0"/>
        <v>18</v>
      </c>
      <c r="F12" s="75">
        <v>0</v>
      </c>
      <c r="G12" s="74">
        <f t="shared" si="1"/>
        <v>17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f>+'21'!G13</f>
        <v>4</v>
      </c>
      <c r="D13" s="75">
        <v>0</v>
      </c>
      <c r="E13" s="74">
        <f t="shared" si="0"/>
        <v>4</v>
      </c>
      <c r="F13" s="75">
        <v>0</v>
      </c>
      <c r="G13" s="74">
        <f t="shared" si="1"/>
        <v>3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64</v>
      </c>
      <c r="C14" s="74">
        <f>+'21'!G14</f>
        <v>17</v>
      </c>
      <c r="D14" s="75">
        <v>0</v>
      </c>
      <c r="E14" s="74">
        <f t="shared" si="0"/>
        <v>17</v>
      </c>
      <c r="F14" s="75">
        <v>0</v>
      </c>
      <c r="G14" s="74">
        <f t="shared" si="1"/>
        <v>16</v>
      </c>
      <c r="H14" s="76">
        <v>1</v>
      </c>
      <c r="I14" s="57">
        <v>100</v>
      </c>
      <c r="J14" s="71">
        <f t="shared" si="2"/>
        <v>100</v>
      </c>
      <c r="K14" s="54" t="s">
        <v>44</v>
      </c>
      <c r="L14" s="55">
        <v>0</v>
      </c>
      <c r="M14" s="45">
        <f t="shared" si="3"/>
        <v>100</v>
      </c>
    </row>
    <row r="15" spans="1:13" s="2" customFormat="1" ht="25.5">
      <c r="A15" s="8">
        <v>12</v>
      </c>
      <c r="B15" s="9" t="s">
        <v>65</v>
      </c>
      <c r="C15" s="74">
        <f>+'21'!G15</f>
        <v>3</v>
      </c>
      <c r="D15" s="75">
        <v>0</v>
      </c>
      <c r="E15" s="74">
        <f t="shared" si="0"/>
        <v>3</v>
      </c>
      <c r="F15" s="75">
        <v>0</v>
      </c>
      <c r="G15" s="74">
        <f t="shared" si="1"/>
        <v>3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+'21'!G16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+'21'!G17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+'21'!G18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+'21'!G19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+'21'!G20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+'21'!G21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+'21'!G22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+'21'!G23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+'21'!G24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+'21'!G25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+'21'!G26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+'21'!G27</f>
        <v>18</v>
      </c>
      <c r="D27" s="75">
        <v>0</v>
      </c>
      <c r="E27" s="74">
        <f t="shared" si="0"/>
        <v>18</v>
      </c>
      <c r="F27" s="75">
        <v>0</v>
      </c>
      <c r="G27" s="74">
        <f t="shared" si="1"/>
        <v>18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+'21'!G28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+'21'!G29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+'21'!G30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+'21'!G31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+'21'!G32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+'21'!G33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+'21'!G34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+'21'!G35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+'21'!G36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+'21'!G37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+'21'!G38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+'21'!G39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+'21'!G40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+'21'!G41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+'21'!G42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+'21'!G43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+'21'!G44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+'21'!G45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+'21'!G46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+'21'!G47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+'21'!G48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+'21'!G49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+'21'!G50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+'21'!G51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+'21'!G52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+'21'!G53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+'21'!G54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+'21'!G55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+'21'!G56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+'21'!G57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+'21'!G58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+'21'!G59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+'21'!G60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+'21'!G61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+'21'!G62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+'21'!G63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+'21'!G64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+'21'!G65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+'21'!G66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+'21'!G67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+'21'!G68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+'21'!G69</f>
        <v>1</v>
      </c>
      <c r="D69" s="75">
        <v>0</v>
      </c>
      <c r="E69" s="74">
        <f t="shared" si="0"/>
        <v>1</v>
      </c>
      <c r="F69" s="75">
        <v>0</v>
      </c>
      <c r="G69" s="74">
        <f t="shared" ref="G69:G90" si="4">+E69-F69-H69</f>
        <v>1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+'21'!G70</f>
        <v>50</v>
      </c>
      <c r="D70" s="75">
        <v>0</v>
      </c>
      <c r="E70" s="74">
        <f t="shared" si="0"/>
        <v>50</v>
      </c>
      <c r="F70" s="75">
        <v>0</v>
      </c>
      <c r="G70" s="74">
        <f t="shared" si="4"/>
        <v>50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+'21'!G71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+'21'!G72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+'21'!G73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+'21'!G74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+'21'!G75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+'21'!G76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+'21'!G77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+'21'!G78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+'21'!G79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+'21'!G80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+'21'!G81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+'21'!G82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+'21'!G83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+'21'!G84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+'21'!G85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+'21'!G86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+'21'!G87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+'21'!G88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+'21'!G89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+'21'!G90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405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405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405</v>
      </c>
    </row>
    <row r="100" spans="1:14" s="2" customFormat="1" ht="25.5">
      <c r="I100" s="125" t="s">
        <v>39</v>
      </c>
      <c r="J100" s="126"/>
      <c r="K100" s="52">
        <v>405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405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405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1224-4486-4EAB-8381-4AF99C266C4D}">
  <sheetPr>
    <tabColor rgb="FFFAA8E5"/>
  </sheetPr>
  <dimension ref="A1:N106"/>
  <sheetViews>
    <sheetView zoomScale="90" zoomScaleNormal="90" workbookViewId="0">
      <pane ySplit="3" topLeftCell="A56" activePane="bottomLeft" state="frozen"/>
      <selection pane="bottomLeft" activeCell="C76" sqref="C76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+'22'!G4</f>
        <v>9</v>
      </c>
      <c r="D4" s="75">
        <v>0</v>
      </c>
      <c r="E4" s="74">
        <f t="shared" ref="E4:E81" si="0">C4+D4</f>
        <v>9</v>
      </c>
      <c r="F4" s="75">
        <v>0</v>
      </c>
      <c r="G4" s="74">
        <f>+E4-F4-H4</f>
        <v>8</v>
      </c>
      <c r="H4" s="76">
        <v>1</v>
      </c>
      <c r="I4" s="57">
        <v>50</v>
      </c>
      <c r="J4" s="71">
        <f>+I4*H4</f>
        <v>50</v>
      </c>
      <c r="K4" s="54" t="s">
        <v>44</v>
      </c>
      <c r="L4" s="55">
        <v>0</v>
      </c>
      <c r="M4" s="45">
        <f>SUM(J4-L4)</f>
        <v>50</v>
      </c>
    </row>
    <row r="5" spans="1:13" s="2" customFormat="1" ht="25.5">
      <c r="A5" s="8">
        <v>2</v>
      </c>
      <c r="B5" s="9" t="s">
        <v>55</v>
      </c>
      <c r="C5" s="74">
        <f>+'22'!G5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+'22'!G6</f>
        <v>10</v>
      </c>
      <c r="D6" s="75">
        <v>0</v>
      </c>
      <c r="E6" s="74">
        <f t="shared" si="0"/>
        <v>10</v>
      </c>
      <c r="F6" s="75">
        <v>0</v>
      </c>
      <c r="G6" s="74">
        <f t="shared" si="1"/>
        <v>10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+'22'!G7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+'22'!G8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+'22'!G9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+'22'!G10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+'22'!G11</f>
        <v>16</v>
      </c>
      <c r="D11" s="75">
        <v>0</v>
      </c>
      <c r="E11" s="74">
        <f t="shared" si="0"/>
        <v>16</v>
      </c>
      <c r="F11" s="75">
        <v>0</v>
      </c>
      <c r="G11" s="74">
        <f t="shared" si="1"/>
        <v>14</v>
      </c>
      <c r="H11" s="76">
        <v>2</v>
      </c>
      <c r="I11" s="57">
        <v>55</v>
      </c>
      <c r="J11" s="71">
        <f t="shared" si="2"/>
        <v>110</v>
      </c>
      <c r="K11" s="54" t="s">
        <v>44</v>
      </c>
      <c r="L11" s="55">
        <v>0</v>
      </c>
      <c r="M11" s="45">
        <f t="shared" si="3"/>
        <v>110</v>
      </c>
    </row>
    <row r="12" spans="1:13" s="2" customFormat="1" ht="25.5">
      <c r="A12" s="8">
        <v>9</v>
      </c>
      <c r="B12" s="16" t="s">
        <v>62</v>
      </c>
      <c r="C12" s="87">
        <f>+'22'!G12</f>
        <v>17</v>
      </c>
      <c r="D12" s="75">
        <v>0</v>
      </c>
      <c r="E12" s="74">
        <f t="shared" si="0"/>
        <v>17</v>
      </c>
      <c r="F12" s="75">
        <v>0</v>
      </c>
      <c r="G12" s="74">
        <f t="shared" si="1"/>
        <v>17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87">
        <f>+'22'!G13</f>
        <v>3</v>
      </c>
      <c r="D13" s="75">
        <v>0</v>
      </c>
      <c r="E13" s="74">
        <f t="shared" si="0"/>
        <v>3</v>
      </c>
      <c r="F13" s="75">
        <v>0</v>
      </c>
      <c r="G13" s="74">
        <f t="shared" si="1"/>
        <v>3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87">
        <f>+'22'!G14</f>
        <v>16</v>
      </c>
      <c r="D14" s="75">
        <v>0</v>
      </c>
      <c r="E14" s="74">
        <f t="shared" si="0"/>
        <v>16</v>
      </c>
      <c r="F14" s="75">
        <v>0</v>
      </c>
      <c r="G14" s="74">
        <f t="shared" si="1"/>
        <v>16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+'22'!G15</f>
        <v>3</v>
      </c>
      <c r="D15" s="75">
        <v>0</v>
      </c>
      <c r="E15" s="74">
        <f t="shared" si="0"/>
        <v>3</v>
      </c>
      <c r="F15" s="75">
        <v>0</v>
      </c>
      <c r="G15" s="74">
        <f t="shared" si="1"/>
        <v>3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+'22'!G16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+'22'!G17</f>
        <v>14</v>
      </c>
      <c r="D17" s="75">
        <v>0</v>
      </c>
      <c r="E17" s="74">
        <f>C17+D17</f>
        <v>14</v>
      </c>
      <c r="F17" s="75">
        <v>0</v>
      </c>
      <c r="G17" s="74">
        <f t="shared" si="1"/>
        <v>14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+'22'!G18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+'22'!G19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+'22'!G20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+'22'!G21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+'22'!G22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+'22'!G23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87">
        <f>+'22'!G24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+'22'!G25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87">
        <f>+'22'!G26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7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>
      <c r="A27" s="8">
        <v>24</v>
      </c>
      <c r="B27" s="9" t="s">
        <v>77</v>
      </c>
      <c r="C27" s="87">
        <f>+'22'!G27</f>
        <v>18</v>
      </c>
      <c r="D27" s="75">
        <v>0</v>
      </c>
      <c r="E27" s="74">
        <f t="shared" si="0"/>
        <v>18</v>
      </c>
      <c r="F27" s="75">
        <v>0</v>
      </c>
      <c r="G27" s="74">
        <f t="shared" si="1"/>
        <v>18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87">
        <f>+'22'!G28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+'22'!G29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+'22'!G30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+'22'!G31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+'22'!G32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+'22'!G33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+'22'!G34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+'22'!G35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+'22'!G36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+'22'!G37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+'22'!G38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+'22'!G39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+'22'!G40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+'22'!G41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+'22'!G42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+'22'!G43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87">
        <f>+'22'!G44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+'22'!G45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+'22'!G46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+'22'!G47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+'22'!G48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+'22'!G49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+'22'!G50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+'22'!G51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+'22'!G52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+'22'!G53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+'22'!G54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+'22'!G55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+'22'!G56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+'22'!G57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+'22'!G58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+'22'!G59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+'22'!G60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+'22'!G61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87">
        <f>+'22'!G62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+'22'!G63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+'22'!G64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+'22'!G65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+'22'!G66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+'22'!G67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+'22'!G68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87">
        <f>+'22'!G69</f>
        <v>1</v>
      </c>
      <c r="D69" s="75">
        <v>0</v>
      </c>
      <c r="E69" s="74">
        <f t="shared" si="0"/>
        <v>1</v>
      </c>
      <c r="F69" s="75">
        <v>0</v>
      </c>
      <c r="G69" s="74">
        <f t="shared" ref="G69:G90" si="4">+E69-F69-H69</f>
        <v>1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87">
        <f>+'22'!G70</f>
        <v>50</v>
      </c>
      <c r="D70" s="75">
        <v>0</v>
      </c>
      <c r="E70" s="74">
        <f t="shared" si="0"/>
        <v>50</v>
      </c>
      <c r="F70" s="75">
        <v>0</v>
      </c>
      <c r="G70" s="74">
        <f t="shared" si="4"/>
        <v>50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+'22'!G71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+'22'!G72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+'22'!G73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+'22'!G74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+'22'!G75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+'22'!G76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+'22'!G77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+'22'!G78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+'22'!G79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+'22'!G80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+'22'!G81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+'22'!G82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+'22'!G83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+'22'!G84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+'22'!G85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+'22'!G86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+'22'!G87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+'22'!G88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+'22'!G89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+'22'!G90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210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210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210</v>
      </c>
    </row>
    <row r="100" spans="1:14" s="2" customFormat="1" ht="25.5">
      <c r="I100" s="125" t="s">
        <v>39</v>
      </c>
      <c r="J100" s="126"/>
      <c r="K100" s="52">
        <v>210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210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210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3E5-8D3F-4809-AD13-FEC9F0E209D3}">
  <sheetPr>
    <tabColor rgb="FFFAA8E5"/>
  </sheetPr>
  <dimension ref="A1:N106"/>
  <sheetViews>
    <sheetView zoomScale="90" zoomScaleNormal="90" workbookViewId="0">
      <pane ySplit="3" topLeftCell="A4" activePane="bottomLeft" state="frozen"/>
      <selection pane="bottomLeft" activeCell="C85" sqref="C8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46">
        <f>+'23'!G4</f>
        <v>8</v>
      </c>
      <c r="D4" s="75">
        <v>0</v>
      </c>
      <c r="E4" s="74">
        <f t="shared" ref="E4:E81" si="0">C4+D4</f>
        <v>8</v>
      </c>
      <c r="F4" s="75">
        <v>0</v>
      </c>
      <c r="G4" s="74">
        <f>+E4-F4-H4</f>
        <v>3</v>
      </c>
      <c r="H4" s="76">
        <v>5</v>
      </c>
      <c r="I4" s="57">
        <v>50</v>
      </c>
      <c r="J4" s="71">
        <f>+I4*H4</f>
        <v>250</v>
      </c>
      <c r="K4" s="54" t="s">
        <v>44</v>
      </c>
      <c r="L4" s="55">
        <v>0</v>
      </c>
      <c r="M4" s="45">
        <f>SUM(J4-L4)</f>
        <v>250</v>
      </c>
    </row>
    <row r="5" spans="1:13" s="2" customFormat="1" ht="25.5">
      <c r="A5" s="8">
        <v>2</v>
      </c>
      <c r="B5" s="9" t="s">
        <v>55</v>
      </c>
      <c r="C5" s="46">
        <f>+'23'!G5</f>
        <v>16</v>
      </c>
      <c r="D5" s="75">
        <v>0</v>
      </c>
      <c r="E5" s="74">
        <f t="shared" si="0"/>
        <v>16</v>
      </c>
      <c r="F5" s="75">
        <v>11</v>
      </c>
      <c r="G5" s="74">
        <f t="shared" ref="G5:G68" si="1">+E5-F5-H5</f>
        <v>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46">
        <f>+'23'!G6</f>
        <v>10</v>
      </c>
      <c r="D6" s="75">
        <v>0</v>
      </c>
      <c r="E6" s="74">
        <f t="shared" si="0"/>
        <v>10</v>
      </c>
      <c r="F6" s="75">
        <v>7</v>
      </c>
      <c r="G6" s="74">
        <f t="shared" si="1"/>
        <v>3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46">
        <f>+'23'!G7</f>
        <v>28</v>
      </c>
      <c r="D7" s="75">
        <v>0</v>
      </c>
      <c r="E7" s="74">
        <f>C7+D7</f>
        <v>28</v>
      </c>
      <c r="F7" s="75">
        <v>23</v>
      </c>
      <c r="G7" s="74">
        <f t="shared" si="1"/>
        <v>5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46">
        <f>+'23'!G8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46">
        <f>+'23'!G9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46">
        <f>+'23'!G10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46">
        <f>+'23'!G11</f>
        <v>14</v>
      </c>
      <c r="D11" s="75">
        <v>0</v>
      </c>
      <c r="E11" s="74">
        <f t="shared" si="0"/>
        <v>14</v>
      </c>
      <c r="F11" s="75">
        <v>9</v>
      </c>
      <c r="G11" s="74">
        <f t="shared" si="1"/>
        <v>5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87">
        <f>+'23'!G12</f>
        <v>17</v>
      </c>
      <c r="D12" s="75">
        <v>0</v>
      </c>
      <c r="E12" s="74">
        <f t="shared" si="0"/>
        <v>17</v>
      </c>
      <c r="F12" s="75">
        <v>4</v>
      </c>
      <c r="G12" s="74">
        <f t="shared" si="1"/>
        <v>13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87">
        <f>+'23'!G13</f>
        <v>3</v>
      </c>
      <c r="D13" s="75">
        <v>0</v>
      </c>
      <c r="E13" s="74">
        <f t="shared" si="0"/>
        <v>3</v>
      </c>
      <c r="F13" s="75">
        <v>11</v>
      </c>
      <c r="G13" s="74">
        <f t="shared" si="1"/>
        <v>-8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46">
        <f>+'23'!G14</f>
        <v>16</v>
      </c>
      <c r="D14" s="75">
        <v>0</v>
      </c>
      <c r="E14" s="74">
        <f t="shared" si="0"/>
        <v>16</v>
      </c>
      <c r="F14" s="75">
        <v>15</v>
      </c>
      <c r="G14" s="74">
        <f t="shared" si="1"/>
        <v>1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46">
        <f>+'23'!G15</f>
        <v>3</v>
      </c>
      <c r="D15" s="75">
        <v>0</v>
      </c>
      <c r="E15" s="74">
        <f t="shared" si="0"/>
        <v>3</v>
      </c>
      <c r="F15" s="75">
        <v>2</v>
      </c>
      <c r="G15" s="74">
        <f t="shared" si="1"/>
        <v>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46">
        <f>+'23'!G16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46">
        <f>+'23'!G17</f>
        <v>14</v>
      </c>
      <c r="D17" s="75">
        <v>0</v>
      </c>
      <c r="E17" s="74">
        <f>C17+D17</f>
        <v>14</v>
      </c>
      <c r="F17" s="75">
        <v>14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46">
        <f>+'23'!G18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46">
        <f>+'23'!G19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46">
        <f>+'23'!G20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46">
        <f>+'23'!G21</f>
        <v>0</v>
      </c>
      <c r="D21" s="75">
        <v>0</v>
      </c>
      <c r="E21" s="74">
        <f t="shared" si="0"/>
        <v>0</v>
      </c>
      <c r="F21" s="75">
        <v>0</v>
      </c>
      <c r="G21" s="74">
        <f t="shared" si="1"/>
        <v>0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46">
        <f>+'23'!G22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46">
        <f>+'23'!G23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46">
        <f>+'23'!G24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46">
        <f>+'23'!G25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87">
        <f>+'23'!G26</f>
        <v>7</v>
      </c>
      <c r="D26" s="75">
        <v>0</v>
      </c>
      <c r="E26" s="74">
        <f t="shared" si="0"/>
        <v>7</v>
      </c>
      <c r="F26" s="75">
        <v>12</v>
      </c>
      <c r="G26" s="74">
        <f t="shared" si="1"/>
        <v>-5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87">
        <f>+'23'!G27</f>
        <v>18</v>
      </c>
      <c r="D27" s="75">
        <v>0</v>
      </c>
      <c r="E27" s="74">
        <f t="shared" si="0"/>
        <v>18</v>
      </c>
      <c r="F27" s="75">
        <v>0</v>
      </c>
      <c r="G27" s="74">
        <f t="shared" si="1"/>
        <v>18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87">
        <f>+'23'!G28</f>
        <v>12</v>
      </c>
      <c r="D28" s="75">
        <v>0</v>
      </c>
      <c r="E28" s="74">
        <f t="shared" si="0"/>
        <v>12</v>
      </c>
      <c r="F28" s="75">
        <v>0</v>
      </c>
      <c r="G28" s="74">
        <f t="shared" si="1"/>
        <v>12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46">
        <f>+'23'!G29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46">
        <f>+'23'!G30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46">
        <f>+'23'!G31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46">
        <f>+'23'!G32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46">
        <f>+'23'!G33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46">
        <f>+'23'!G34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46">
        <f>+'23'!G35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46">
        <f>+'23'!G36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46">
        <f>+'23'!G37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46">
        <f>+'23'!G38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46">
        <f>+'23'!G39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46">
        <f>+'23'!G40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46">
        <f>+'23'!G41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46">
        <f>+'23'!G42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46">
        <f>+'23'!G43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87">
        <f>+'23'!G44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87">
        <f>+'23'!G45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87">
        <f>+'23'!G46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87">
        <f>+'23'!G47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46">
        <f>+'23'!G48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46">
        <f>+'23'!G49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46">
        <f>+'23'!G50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46">
        <f>+'23'!G51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46">
        <f>+'23'!G52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46">
        <f>+'23'!G53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46">
        <f>+'23'!G54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46">
        <f>+'23'!G55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46">
        <f>+'23'!G56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46">
        <f>+'23'!G57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87">
        <f>+'23'!G58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87">
        <f>+'23'!G59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87">
        <f>+'23'!G60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87">
        <f>+'23'!G61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87">
        <f>+'23'!G62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87">
        <f>+'23'!G63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46">
        <f>+'23'!G64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87">
        <f>+'23'!G65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87">
        <f>+'23'!G66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46">
        <f>+'23'!G67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46">
        <f>+'23'!G68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87">
        <f>+'23'!G69</f>
        <v>1</v>
      </c>
      <c r="D69" s="75">
        <v>0</v>
      </c>
      <c r="E69" s="74">
        <f t="shared" si="0"/>
        <v>1</v>
      </c>
      <c r="F69" s="75">
        <v>0</v>
      </c>
      <c r="G69" s="74">
        <f t="shared" ref="G69:G90" si="4">+E69-F69-H69</f>
        <v>1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87">
        <f>+'23'!G70</f>
        <v>50</v>
      </c>
      <c r="D70" s="75">
        <v>0</v>
      </c>
      <c r="E70" s="74">
        <f t="shared" si="0"/>
        <v>50</v>
      </c>
      <c r="F70" s="75">
        <v>71</v>
      </c>
      <c r="G70" s="74">
        <f t="shared" si="4"/>
        <v>-21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46">
        <f>+'23'!G71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46">
        <f>+'23'!G72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46">
        <f>+'23'!G73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46">
        <f>+'23'!G74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46">
        <f>+'23'!G75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46">
        <f>+'23'!G76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46">
        <f>+'23'!G77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46">
        <f>+'23'!G78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46">
        <f>+'23'!G79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46">
        <f>+'23'!G80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46">
        <f>+'23'!G81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46">
        <f>+'23'!G82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46">
        <f>+'23'!G83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46">
        <f>+'23'!G84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46">
        <f>+'23'!G85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46">
        <f>+'23'!G86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46">
        <f>+'23'!G87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46">
        <f>+'23'!G88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46">
        <f>+'23'!G89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46">
        <f>+'23'!G90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250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250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250</v>
      </c>
    </row>
    <row r="100" spans="1:14" s="2" customFormat="1" ht="25.5">
      <c r="I100" s="125" t="s">
        <v>39</v>
      </c>
      <c r="J100" s="126"/>
      <c r="K100" s="52">
        <v>250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250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250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3D01-C8B5-434D-A376-CDE6EC081230}">
  <sheetPr>
    <tabColor rgb="FFFAA8E5"/>
  </sheetPr>
  <dimension ref="A1:N106"/>
  <sheetViews>
    <sheetView zoomScale="90" zoomScaleNormal="90" workbookViewId="0">
      <pane ySplit="3" topLeftCell="A64" activePane="bottomLeft" state="frozen"/>
      <selection pane="bottomLeft" activeCell="I71" sqref="I71:I73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v>0</v>
      </c>
      <c r="D4" s="75">
        <v>0</v>
      </c>
      <c r="E4" s="74">
        <f t="shared" ref="E4:E81" si="0">C4+D4</f>
        <v>0</v>
      </c>
      <c r="F4" s="75">
        <v>0</v>
      </c>
      <c r="G4" s="74">
        <f>+E4-F4-H4</f>
        <v>0</v>
      </c>
      <c r="H4" s="76">
        <v>0</v>
      </c>
      <c r="I4" s="57">
        <v>50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+'24'!G5</f>
        <v>5</v>
      </c>
      <c r="D5" s="75">
        <v>0</v>
      </c>
      <c r="E5" s="74">
        <f t="shared" si="0"/>
        <v>5</v>
      </c>
      <c r="F5" s="75">
        <v>0</v>
      </c>
      <c r="G5" s="74">
        <f t="shared" ref="G5:G68" si="1">+E5-F5-H5</f>
        <v>4</v>
      </c>
      <c r="H5" s="76">
        <v>1</v>
      </c>
      <c r="I5" s="57">
        <v>60</v>
      </c>
      <c r="J5" s="71">
        <f t="shared" ref="J5:J68" si="2">+I5*H5</f>
        <v>60</v>
      </c>
      <c r="K5" s="54" t="s">
        <v>44</v>
      </c>
      <c r="L5" s="55">
        <v>0</v>
      </c>
      <c r="M5" s="45">
        <f t="shared" ref="M5:M68" si="3">SUM(J5-L5)</f>
        <v>60</v>
      </c>
    </row>
    <row r="6" spans="1:13" s="2" customFormat="1" ht="25.5">
      <c r="A6" s="8">
        <v>3</v>
      </c>
      <c r="B6" s="16" t="s">
        <v>56</v>
      </c>
      <c r="C6" s="74">
        <v>0</v>
      </c>
      <c r="D6" s="75">
        <v>0</v>
      </c>
      <c r="E6" s="74">
        <f t="shared" si="0"/>
        <v>0</v>
      </c>
      <c r="F6" s="75">
        <v>0</v>
      </c>
      <c r="G6" s="74">
        <f t="shared" si="1"/>
        <v>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v>3</v>
      </c>
      <c r="D7" s="75">
        <v>0</v>
      </c>
      <c r="E7" s="74">
        <f>C7+D7</f>
        <v>3</v>
      </c>
      <c r="F7" s="75">
        <v>0</v>
      </c>
      <c r="G7" s="74">
        <f t="shared" si="1"/>
        <v>2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>
      <c r="A8" s="8">
        <v>5</v>
      </c>
      <c r="B8" s="16" t="s">
        <v>58</v>
      </c>
      <c r="C8" s="74">
        <f>+'24'!G8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+'24'!G9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+'24'!G10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+'24'!G11</f>
        <v>5</v>
      </c>
      <c r="D11" s="75">
        <v>0</v>
      </c>
      <c r="E11" s="74">
        <f t="shared" si="0"/>
        <v>5</v>
      </c>
      <c r="F11" s="75">
        <v>0</v>
      </c>
      <c r="G11" s="74">
        <f t="shared" si="1"/>
        <v>5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v>5</v>
      </c>
      <c r="D12" s="75">
        <v>0</v>
      </c>
      <c r="E12" s="74">
        <f t="shared" si="0"/>
        <v>5</v>
      </c>
      <c r="F12" s="75">
        <v>0</v>
      </c>
      <c r="G12" s="74">
        <f t="shared" si="1"/>
        <v>4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v>0</v>
      </c>
      <c r="D13" s="75">
        <v>0</v>
      </c>
      <c r="E13" s="74">
        <f t="shared" si="0"/>
        <v>0</v>
      </c>
      <c r="F13" s="75">
        <v>0</v>
      </c>
      <c r="G13" s="74">
        <f t="shared" si="1"/>
        <v>0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v>4</v>
      </c>
      <c r="D14" s="75">
        <v>0</v>
      </c>
      <c r="E14" s="74">
        <f t="shared" si="0"/>
        <v>4</v>
      </c>
      <c r="F14" s="75">
        <v>0</v>
      </c>
      <c r="G14" s="74">
        <f t="shared" si="1"/>
        <v>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+'24'!G16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+'24'!G17</f>
        <v>0</v>
      </c>
      <c r="D17" s="75">
        <v>0</v>
      </c>
      <c r="E17" s="74">
        <f>C17+D17</f>
        <v>0</v>
      </c>
      <c r="F17" s="75">
        <v>0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+'24'!G18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v>4</v>
      </c>
      <c r="D19" s="75">
        <v>0</v>
      </c>
      <c r="E19" s="74">
        <f t="shared" si="0"/>
        <v>4</v>
      </c>
      <c r="F19" s="75">
        <v>0</v>
      </c>
      <c r="G19" s="74">
        <f t="shared" si="1"/>
        <v>3</v>
      </c>
      <c r="H19" s="76">
        <v>1</v>
      </c>
      <c r="I19" s="56">
        <v>100</v>
      </c>
      <c r="J19" s="71">
        <f t="shared" si="2"/>
        <v>100</v>
      </c>
      <c r="K19" s="54" t="s">
        <v>44</v>
      </c>
      <c r="L19" s="55">
        <v>0</v>
      </c>
      <c r="M19" s="45">
        <f t="shared" si="3"/>
        <v>100</v>
      </c>
    </row>
    <row r="20" spans="1:13" s="2" customFormat="1" ht="25.5">
      <c r="A20" s="8">
        <v>17</v>
      </c>
      <c r="B20" s="9" t="s">
        <v>70</v>
      </c>
      <c r="C20" s="74">
        <f>+'24'!G20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v>2</v>
      </c>
      <c r="D21" s="75">
        <v>0</v>
      </c>
      <c r="E21" s="74">
        <f t="shared" si="0"/>
        <v>2</v>
      </c>
      <c r="F21" s="75">
        <v>0</v>
      </c>
      <c r="G21" s="74">
        <f t="shared" si="1"/>
        <v>2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+'24'!G22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+'24'!G23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+'24'!G24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v>1</v>
      </c>
      <c r="D25" s="75">
        <v>0</v>
      </c>
      <c r="E25" s="74">
        <f t="shared" si="0"/>
        <v>1</v>
      </c>
      <c r="F25" s="75">
        <v>0</v>
      </c>
      <c r="G25" s="74">
        <f t="shared" si="1"/>
        <v>1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v>2</v>
      </c>
      <c r="D26" s="75">
        <v>0</v>
      </c>
      <c r="E26" s="74">
        <f t="shared" si="0"/>
        <v>2</v>
      </c>
      <c r="F26" s="75">
        <v>0</v>
      </c>
      <c r="G26" s="74">
        <f t="shared" si="1"/>
        <v>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v>0</v>
      </c>
      <c r="D27" s="75">
        <v>0</v>
      </c>
      <c r="E27" s="74">
        <f t="shared" si="0"/>
        <v>0</v>
      </c>
      <c r="F27" s="75">
        <v>0</v>
      </c>
      <c r="G27" s="74">
        <f t="shared" si="1"/>
        <v>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+'24'!G29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+'24'!G30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v>1</v>
      </c>
      <c r="D31" s="75">
        <v>0</v>
      </c>
      <c r="E31" s="74">
        <f t="shared" si="0"/>
        <v>1</v>
      </c>
      <c r="F31" s="75">
        <v>0</v>
      </c>
      <c r="G31" s="74">
        <f t="shared" si="1"/>
        <v>1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+'24'!G32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+'24'!G33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+'24'!G34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+'24'!G35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+'24'!G36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+'24'!G37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+'24'!G38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+'24'!G39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+'24'!G40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+'24'!G41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+'24'!G42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+'24'!G43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+'24'!G44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+'24'!G45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+'24'!G46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+'24'!G47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+'24'!G48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+'24'!G49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+'24'!G50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+'24'!G51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+'24'!G52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+'24'!G53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+'24'!G54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+'24'!G55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+'24'!G56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+'24'!G57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+'24'!G58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+'24'!G59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+'24'!G60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+'24'!G61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+'24'!G62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+'24'!G63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+'24'!G64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+'24'!G65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v>0</v>
      </c>
      <c r="D66" s="75">
        <v>0</v>
      </c>
      <c r="E66" s="74">
        <f t="shared" si="0"/>
        <v>0</v>
      </c>
      <c r="F66" s="75">
        <v>0</v>
      </c>
      <c r="G66" s="74">
        <f t="shared" si="1"/>
        <v>0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+'24'!G67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+'24'!G68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9" t="s">
        <v>127</v>
      </c>
      <c r="C71" s="74">
        <v>1</v>
      </c>
      <c r="D71" s="75">
        <v>0</v>
      </c>
      <c r="E71" s="74">
        <f t="shared" si="0"/>
        <v>1</v>
      </c>
      <c r="F71" s="75">
        <v>0</v>
      </c>
      <c r="G71" s="74">
        <f t="shared" si="4"/>
        <v>1</v>
      </c>
      <c r="H71" s="76">
        <v>0</v>
      </c>
      <c r="I71" s="57">
        <v>100</v>
      </c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9" t="s">
        <v>128</v>
      </c>
      <c r="C72" s="74">
        <v>1</v>
      </c>
      <c r="D72" s="75">
        <v>0</v>
      </c>
      <c r="E72" s="74">
        <f t="shared" si="0"/>
        <v>1</v>
      </c>
      <c r="F72" s="75">
        <v>0</v>
      </c>
      <c r="G72" s="74">
        <f t="shared" si="4"/>
        <v>1</v>
      </c>
      <c r="H72" s="76">
        <v>0</v>
      </c>
      <c r="I72" s="56">
        <v>100</v>
      </c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9" t="s">
        <v>129</v>
      </c>
      <c r="C73" s="74">
        <v>1</v>
      </c>
      <c r="D73" s="75">
        <v>0</v>
      </c>
      <c r="E73" s="74">
        <f t="shared" si="0"/>
        <v>1</v>
      </c>
      <c r="F73" s="75">
        <v>0</v>
      </c>
      <c r="G73" s="74">
        <f t="shared" si="4"/>
        <v>1</v>
      </c>
      <c r="H73" s="76">
        <v>0</v>
      </c>
      <c r="I73" s="57">
        <v>100</v>
      </c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+'24'!G74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+'24'!G75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+'24'!G76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+'24'!G77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+'24'!G78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+'24'!G79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+'24'!G80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+'24'!G81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+'24'!G82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+'24'!G83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+'24'!G84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+'24'!G85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+'24'!G86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+'24'!G87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+'24'!G88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+'24'!G89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+'24'!G90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360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360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360</v>
      </c>
    </row>
    <row r="100" spans="1:14" s="2" customFormat="1" ht="25.5">
      <c r="I100" s="125" t="s">
        <v>39</v>
      </c>
      <c r="J100" s="126"/>
      <c r="K100" s="52">
        <v>360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360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360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AD0F-7281-4F3C-8D2A-9732300AB654}">
  <sheetPr>
    <tabColor rgb="FFFAA8E5"/>
  </sheetPr>
  <dimension ref="A1:N106"/>
  <sheetViews>
    <sheetView zoomScale="90" zoomScaleNormal="90" workbookViewId="0">
      <pane ySplit="3" topLeftCell="A67" activePane="bottomLeft" state="frozen"/>
      <selection pane="bottomLeft" activeCell="I71" sqref="I71:I73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46">
        <f>+'25'!G4</f>
        <v>0</v>
      </c>
      <c r="D4" s="75">
        <v>0</v>
      </c>
      <c r="E4" s="74">
        <f t="shared" ref="E4:E81" si="0">C4+D4</f>
        <v>0</v>
      </c>
      <c r="F4" s="75">
        <v>0</v>
      </c>
      <c r="G4" s="74">
        <f>+E4-F4-H4</f>
        <v>0</v>
      </c>
      <c r="H4" s="76">
        <v>0</v>
      </c>
      <c r="I4" s="57">
        <v>50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46">
        <f>+'25'!G5</f>
        <v>4</v>
      </c>
      <c r="D5" s="75">
        <v>0</v>
      </c>
      <c r="E5" s="74">
        <f t="shared" si="0"/>
        <v>4</v>
      </c>
      <c r="F5" s="75">
        <v>0</v>
      </c>
      <c r="G5" s="74">
        <f t="shared" ref="G5:G68" si="1">+E5-F5-H5</f>
        <v>2</v>
      </c>
      <c r="H5" s="76">
        <v>2</v>
      </c>
      <c r="I5" s="57">
        <v>60</v>
      </c>
      <c r="J5" s="71">
        <f t="shared" ref="J5:J68" si="2">+I5*H5</f>
        <v>120</v>
      </c>
      <c r="K5" s="54" t="s">
        <v>44</v>
      </c>
      <c r="L5" s="55">
        <v>0</v>
      </c>
      <c r="M5" s="45">
        <f t="shared" ref="M5:M68" si="3">SUM(J5-L5)</f>
        <v>120</v>
      </c>
    </row>
    <row r="6" spans="1:13" s="2" customFormat="1" ht="25.5">
      <c r="A6" s="8">
        <v>3</v>
      </c>
      <c r="B6" s="16" t="s">
        <v>56</v>
      </c>
      <c r="C6" s="46">
        <f>+'25'!G6</f>
        <v>0</v>
      </c>
      <c r="D6" s="75">
        <v>0</v>
      </c>
      <c r="E6" s="74">
        <f t="shared" si="0"/>
        <v>0</v>
      </c>
      <c r="F6" s="75">
        <v>0</v>
      </c>
      <c r="G6" s="74">
        <f t="shared" si="1"/>
        <v>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46">
        <f>+'25'!G7</f>
        <v>2</v>
      </c>
      <c r="D7" s="75">
        <v>0</v>
      </c>
      <c r="E7" s="74">
        <f>C7+D7</f>
        <v>2</v>
      </c>
      <c r="F7" s="75">
        <v>0</v>
      </c>
      <c r="G7" s="74">
        <f t="shared" si="1"/>
        <v>2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46">
        <f>+'25'!G8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46">
        <f>+'25'!G9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46">
        <f>+'25'!G10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46">
        <f>+'25'!G11</f>
        <v>5</v>
      </c>
      <c r="D11" s="75">
        <v>0</v>
      </c>
      <c r="E11" s="74">
        <f t="shared" si="0"/>
        <v>5</v>
      </c>
      <c r="F11" s="75">
        <v>0</v>
      </c>
      <c r="G11" s="74">
        <f t="shared" si="1"/>
        <v>5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46">
        <f>+'25'!G12</f>
        <v>4</v>
      </c>
      <c r="D12" s="75">
        <v>0</v>
      </c>
      <c r="E12" s="74">
        <f t="shared" si="0"/>
        <v>4</v>
      </c>
      <c r="F12" s="75">
        <v>0</v>
      </c>
      <c r="G12" s="74">
        <f t="shared" si="1"/>
        <v>4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46">
        <f>+'25'!G13</f>
        <v>0</v>
      </c>
      <c r="D13" s="75">
        <v>0</v>
      </c>
      <c r="E13" s="74">
        <f t="shared" si="0"/>
        <v>0</v>
      </c>
      <c r="F13" s="75">
        <v>0</v>
      </c>
      <c r="G13" s="74">
        <f t="shared" si="1"/>
        <v>0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46">
        <f>+'25'!G14</f>
        <v>4</v>
      </c>
      <c r="D14" s="75">
        <v>0</v>
      </c>
      <c r="E14" s="74">
        <f t="shared" si="0"/>
        <v>4</v>
      </c>
      <c r="F14" s="75">
        <v>0</v>
      </c>
      <c r="G14" s="74">
        <f t="shared" si="1"/>
        <v>3</v>
      </c>
      <c r="H14" s="76">
        <v>1</v>
      </c>
      <c r="I14" s="57">
        <v>100</v>
      </c>
      <c r="J14" s="71">
        <f t="shared" si="2"/>
        <v>100</v>
      </c>
      <c r="K14" s="54" t="s">
        <v>123</v>
      </c>
      <c r="L14" s="55">
        <v>50</v>
      </c>
      <c r="M14" s="45">
        <f t="shared" si="3"/>
        <v>50</v>
      </c>
    </row>
    <row r="15" spans="1:13" s="2" customFormat="1" ht="25.5">
      <c r="A15" s="8">
        <v>12</v>
      </c>
      <c r="B15" s="9" t="s">
        <v>65</v>
      </c>
      <c r="C15" s="46">
        <f>+'25'!G15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46">
        <f>+'25'!G16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46">
        <f>+'25'!G17</f>
        <v>0</v>
      </c>
      <c r="D17" s="75">
        <v>0</v>
      </c>
      <c r="E17" s="74">
        <f>C17+D17</f>
        <v>0</v>
      </c>
      <c r="F17" s="75">
        <v>0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46">
        <f>+'25'!G18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46">
        <f>+'25'!G19</f>
        <v>3</v>
      </c>
      <c r="D19" s="75">
        <v>0</v>
      </c>
      <c r="E19" s="74">
        <f t="shared" si="0"/>
        <v>3</v>
      </c>
      <c r="F19" s="75">
        <v>0</v>
      </c>
      <c r="G19" s="74">
        <f t="shared" si="1"/>
        <v>3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46">
        <f>+'25'!G20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46">
        <f>+'25'!G21</f>
        <v>2</v>
      </c>
      <c r="D21" s="75">
        <v>0</v>
      </c>
      <c r="E21" s="74">
        <f t="shared" si="0"/>
        <v>2</v>
      </c>
      <c r="F21" s="75">
        <v>0</v>
      </c>
      <c r="G21" s="74">
        <f t="shared" si="1"/>
        <v>2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46">
        <f>+'25'!G22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46">
        <f>+'25'!G23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46">
        <f>+'25'!G24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46">
        <f>+'25'!G25</f>
        <v>1</v>
      </c>
      <c r="D25" s="75">
        <v>0</v>
      </c>
      <c r="E25" s="74">
        <f t="shared" si="0"/>
        <v>1</v>
      </c>
      <c r="F25" s="75">
        <v>0</v>
      </c>
      <c r="G25" s="74">
        <f t="shared" si="1"/>
        <v>1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46">
        <f>+'25'!G26</f>
        <v>2</v>
      </c>
      <c r="D26" s="75">
        <v>0</v>
      </c>
      <c r="E26" s="74">
        <f t="shared" si="0"/>
        <v>2</v>
      </c>
      <c r="F26" s="75">
        <v>0</v>
      </c>
      <c r="G26" s="74">
        <f t="shared" si="1"/>
        <v>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46">
        <f>+'25'!G27</f>
        <v>0</v>
      </c>
      <c r="D27" s="75">
        <v>0</v>
      </c>
      <c r="E27" s="74">
        <f t="shared" si="0"/>
        <v>0</v>
      </c>
      <c r="F27" s="75">
        <v>0</v>
      </c>
      <c r="G27" s="74">
        <f t="shared" si="1"/>
        <v>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46">
        <f>+'25'!G28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46">
        <f>+'25'!G29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46">
        <f>+'25'!G30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46">
        <f>+'25'!G31</f>
        <v>1</v>
      </c>
      <c r="D31" s="75">
        <v>0</v>
      </c>
      <c r="E31" s="74">
        <f t="shared" si="0"/>
        <v>1</v>
      </c>
      <c r="F31" s="75">
        <v>0</v>
      </c>
      <c r="G31" s="74">
        <f t="shared" si="1"/>
        <v>1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46">
        <f>+'25'!G32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46">
        <f>+'25'!G33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46">
        <f>+'25'!G34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46">
        <f>+'25'!G35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46">
        <f>+'25'!G36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46">
        <f>+'25'!G37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46">
        <f>+'25'!G38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46">
        <f>+'25'!G39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46">
        <f>+'25'!G40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46">
        <f>+'25'!G41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46">
        <f>+'25'!G42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46">
        <f>+'25'!G43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46">
        <f>+'25'!G44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46">
        <f>+'25'!G45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46">
        <f>+'25'!G46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46">
        <f>+'25'!G47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46">
        <f>+'25'!G48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46">
        <f>+'25'!G49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46">
        <f>+'25'!G50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46">
        <f>+'25'!G51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46">
        <f>+'25'!G52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46">
        <f>+'25'!G53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46">
        <f>+'25'!G54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46">
        <f>+'25'!G55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46">
        <f>+'25'!G56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46">
        <f>+'25'!G57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46">
        <f>+'25'!G58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46">
        <f>+'25'!G59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46">
        <f>+'25'!G60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46">
        <f>+'25'!G61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46">
        <f>+'25'!G62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46">
        <f>+'25'!G63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46">
        <f>+'25'!G64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46">
        <f>+'25'!G65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46">
        <f>+'25'!G66</f>
        <v>0</v>
      </c>
      <c r="D66" s="75">
        <v>0</v>
      </c>
      <c r="E66" s="74">
        <f t="shared" si="0"/>
        <v>0</v>
      </c>
      <c r="F66" s="75">
        <v>0</v>
      </c>
      <c r="G66" s="74">
        <f t="shared" si="1"/>
        <v>0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46">
        <f>+'25'!G67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46">
        <f>+'25'!G68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46">
        <f>+'25'!G69</f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46">
        <f>+'25'!G70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9" t="s">
        <v>127</v>
      </c>
      <c r="C71" s="46">
        <f>+'25'!G71</f>
        <v>1</v>
      </c>
      <c r="D71" s="75">
        <v>0</v>
      </c>
      <c r="E71" s="74">
        <f t="shared" si="0"/>
        <v>1</v>
      </c>
      <c r="F71" s="75">
        <v>0</v>
      </c>
      <c r="G71" s="74">
        <f t="shared" si="4"/>
        <v>1</v>
      </c>
      <c r="H71" s="76">
        <v>0</v>
      </c>
      <c r="I71" s="57">
        <v>100</v>
      </c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9" t="s">
        <v>128</v>
      </c>
      <c r="C72" s="46">
        <f>+'25'!G72</f>
        <v>1</v>
      </c>
      <c r="D72" s="75">
        <v>0</v>
      </c>
      <c r="E72" s="74">
        <f t="shared" si="0"/>
        <v>1</v>
      </c>
      <c r="F72" s="75">
        <v>0</v>
      </c>
      <c r="G72" s="74">
        <f t="shared" si="4"/>
        <v>1</v>
      </c>
      <c r="H72" s="76">
        <v>0</v>
      </c>
      <c r="I72" s="56">
        <v>100</v>
      </c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9" t="s">
        <v>129</v>
      </c>
      <c r="C73" s="46">
        <f>+'25'!G73</f>
        <v>1</v>
      </c>
      <c r="D73" s="75">
        <v>0</v>
      </c>
      <c r="E73" s="74">
        <f t="shared" si="0"/>
        <v>1</v>
      </c>
      <c r="F73" s="75">
        <v>0</v>
      </c>
      <c r="G73" s="74">
        <f t="shared" si="4"/>
        <v>1</v>
      </c>
      <c r="H73" s="76">
        <v>0</v>
      </c>
      <c r="I73" s="57">
        <v>100</v>
      </c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46">
        <f>+'25'!G74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46">
        <f>+'25'!G75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46">
        <f>+'25'!G76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46">
        <f>+'25'!G77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46">
        <f>+'25'!G78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46">
        <f>+'25'!G79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46">
        <f>+'25'!G80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46">
        <f>+'25'!G81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46">
        <f>+'25'!G82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46">
        <f>+'25'!G83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46">
        <f>+'25'!G84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46">
        <f>+'25'!G85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46">
        <f>+'25'!G86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46">
        <f>+'25'!G87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46">
        <f>+'25'!G88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46">
        <f>+'25'!G89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46">
        <f>+'25'!G90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170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220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50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170</v>
      </c>
    </row>
    <row r="100" spans="1:14" s="2" customFormat="1" ht="25.5">
      <c r="I100" s="125" t="s">
        <v>39</v>
      </c>
      <c r="J100" s="126"/>
      <c r="K100" s="52">
        <v>170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170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170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1F7A-7A9D-4E2E-9905-9D22EAE61EF2}">
  <sheetPr>
    <tabColor rgb="FFFAA8E5"/>
  </sheetPr>
  <dimension ref="A1:N106"/>
  <sheetViews>
    <sheetView zoomScale="90" zoomScaleNormal="90" workbookViewId="0">
      <pane ySplit="3" topLeftCell="A64" activePane="bottomLeft" state="frozen"/>
      <selection pane="bottomLeft" activeCell="B71" sqref="B71:B73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+'26'!G4</f>
        <v>0</v>
      </c>
      <c r="D4" s="75">
        <v>0</v>
      </c>
      <c r="E4" s="74">
        <f t="shared" ref="E4:E81" si="0">C4+D4</f>
        <v>0</v>
      </c>
      <c r="F4" s="75">
        <v>0</v>
      </c>
      <c r="G4" s="74">
        <f>+E4-F4-H4</f>
        <v>0</v>
      </c>
      <c r="H4" s="76">
        <v>0</v>
      </c>
      <c r="I4" s="57">
        <v>50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+'26'!G5</f>
        <v>2</v>
      </c>
      <c r="D5" s="75">
        <v>0</v>
      </c>
      <c r="E5" s="74">
        <f t="shared" si="0"/>
        <v>2</v>
      </c>
      <c r="F5" s="75">
        <v>0</v>
      </c>
      <c r="G5" s="74">
        <f t="shared" ref="G5:G68" si="1">+E5-F5-H5</f>
        <v>1</v>
      </c>
      <c r="H5" s="76">
        <v>1</v>
      </c>
      <c r="I5" s="57">
        <v>60</v>
      </c>
      <c r="J5" s="71">
        <f t="shared" ref="J5:J68" si="2">+I5*H5</f>
        <v>60</v>
      </c>
      <c r="K5" s="54" t="s">
        <v>44</v>
      </c>
      <c r="L5" s="55">
        <v>0</v>
      </c>
      <c r="M5" s="45">
        <f t="shared" ref="M5:M68" si="3">SUM(J5-L5)</f>
        <v>60</v>
      </c>
    </row>
    <row r="6" spans="1:13" s="2" customFormat="1" ht="25.5">
      <c r="A6" s="8">
        <v>3</v>
      </c>
      <c r="B6" s="16" t="s">
        <v>56</v>
      </c>
      <c r="C6" s="74">
        <f>+'26'!G6</f>
        <v>0</v>
      </c>
      <c r="D6" s="75">
        <v>0</v>
      </c>
      <c r="E6" s="74">
        <f t="shared" si="0"/>
        <v>0</v>
      </c>
      <c r="F6" s="75">
        <v>0</v>
      </c>
      <c r="G6" s="74">
        <f t="shared" si="1"/>
        <v>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+'26'!G7</f>
        <v>2</v>
      </c>
      <c r="D7" s="75">
        <v>0</v>
      </c>
      <c r="E7" s="74">
        <f>C7+D7</f>
        <v>2</v>
      </c>
      <c r="F7" s="75">
        <v>0</v>
      </c>
      <c r="G7" s="74">
        <f t="shared" si="1"/>
        <v>2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+'26'!G8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+'26'!G9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+'26'!G10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+'26'!G11</f>
        <v>5</v>
      </c>
      <c r="D11" s="75">
        <v>0</v>
      </c>
      <c r="E11" s="74">
        <f t="shared" si="0"/>
        <v>5</v>
      </c>
      <c r="F11" s="75">
        <v>1</v>
      </c>
      <c r="G11" s="74">
        <f t="shared" si="1"/>
        <v>4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+'26'!G12</f>
        <v>4</v>
      </c>
      <c r="D12" s="75">
        <v>0</v>
      </c>
      <c r="E12" s="74">
        <f t="shared" si="0"/>
        <v>4</v>
      </c>
      <c r="F12" s="75">
        <v>0</v>
      </c>
      <c r="G12" s="74">
        <f t="shared" si="1"/>
        <v>2</v>
      </c>
      <c r="H12" s="76">
        <v>2</v>
      </c>
      <c r="I12" s="56">
        <v>100</v>
      </c>
      <c r="J12" s="71">
        <f t="shared" si="2"/>
        <v>200</v>
      </c>
      <c r="K12" s="54" t="s">
        <v>123</v>
      </c>
      <c r="L12" s="55">
        <v>100</v>
      </c>
      <c r="M12" s="45">
        <f t="shared" si="3"/>
        <v>100</v>
      </c>
    </row>
    <row r="13" spans="1:13" s="2" customFormat="1" ht="25.5">
      <c r="A13" s="8">
        <v>10</v>
      </c>
      <c r="B13" s="9" t="s">
        <v>63</v>
      </c>
      <c r="C13" s="74">
        <f>+'26'!G13</f>
        <v>0</v>
      </c>
      <c r="D13" s="75">
        <v>0</v>
      </c>
      <c r="E13" s="74">
        <f t="shared" si="0"/>
        <v>0</v>
      </c>
      <c r="F13" s="75">
        <v>0</v>
      </c>
      <c r="G13" s="74">
        <f t="shared" si="1"/>
        <v>0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+'26'!G14</f>
        <v>3</v>
      </c>
      <c r="D14" s="75">
        <v>0</v>
      </c>
      <c r="E14" s="74">
        <f t="shared" si="0"/>
        <v>3</v>
      </c>
      <c r="F14" s="75">
        <v>1</v>
      </c>
      <c r="G14" s="74">
        <f t="shared" si="1"/>
        <v>0</v>
      </c>
      <c r="H14" s="76">
        <v>2</v>
      </c>
      <c r="I14" s="57">
        <v>100</v>
      </c>
      <c r="J14" s="71">
        <f t="shared" si="2"/>
        <v>200</v>
      </c>
      <c r="K14" s="54" t="s">
        <v>123</v>
      </c>
      <c r="L14" s="55">
        <v>100</v>
      </c>
      <c r="M14" s="45">
        <f t="shared" si="3"/>
        <v>100</v>
      </c>
    </row>
    <row r="15" spans="1:13" s="2" customFormat="1" ht="25.5">
      <c r="A15" s="8">
        <v>12</v>
      </c>
      <c r="B15" s="9" t="s">
        <v>65</v>
      </c>
      <c r="C15" s="74">
        <f>+'26'!G15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+'26'!G16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+'26'!G17</f>
        <v>0</v>
      </c>
      <c r="D17" s="75">
        <v>0</v>
      </c>
      <c r="E17" s="74">
        <f>C17+D17</f>
        <v>0</v>
      </c>
      <c r="F17" s="75">
        <v>0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+'26'!G18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87">
        <f>+'26'!G19</f>
        <v>3</v>
      </c>
      <c r="D19" s="75">
        <v>0</v>
      </c>
      <c r="E19" s="74">
        <f t="shared" si="0"/>
        <v>3</v>
      </c>
      <c r="F19" s="75">
        <v>1</v>
      </c>
      <c r="G19" s="74">
        <f t="shared" si="1"/>
        <v>2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+'26'!G20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+'26'!G21</f>
        <v>2</v>
      </c>
      <c r="D21" s="75">
        <v>0</v>
      </c>
      <c r="E21" s="74">
        <f t="shared" si="0"/>
        <v>2</v>
      </c>
      <c r="F21" s="75">
        <v>0</v>
      </c>
      <c r="G21" s="74">
        <f t="shared" si="1"/>
        <v>2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+'26'!G22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+'26'!G23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+'26'!G24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87">
        <f>+'26'!G25</f>
        <v>1</v>
      </c>
      <c r="D25" s="75">
        <v>0</v>
      </c>
      <c r="E25" s="74">
        <f t="shared" si="0"/>
        <v>1</v>
      </c>
      <c r="F25" s="75">
        <v>0</v>
      </c>
      <c r="G25" s="74">
        <f t="shared" si="1"/>
        <v>1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87">
        <f>+'26'!G26</f>
        <v>2</v>
      </c>
      <c r="D26" s="75">
        <v>0</v>
      </c>
      <c r="E26" s="74">
        <f t="shared" si="0"/>
        <v>2</v>
      </c>
      <c r="F26" s="75">
        <v>0</v>
      </c>
      <c r="G26" s="74">
        <f t="shared" si="1"/>
        <v>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87">
        <f>+'26'!G27</f>
        <v>0</v>
      </c>
      <c r="D27" s="75">
        <v>0</v>
      </c>
      <c r="E27" s="74">
        <f t="shared" si="0"/>
        <v>0</v>
      </c>
      <c r="F27" s="75">
        <v>0</v>
      </c>
      <c r="G27" s="74">
        <f t="shared" si="1"/>
        <v>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87">
        <f>+'26'!G28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+'26'!G29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+'26'!G30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+'26'!G31</f>
        <v>1</v>
      </c>
      <c r="D31" s="75">
        <v>0</v>
      </c>
      <c r="E31" s="74">
        <f t="shared" si="0"/>
        <v>1</v>
      </c>
      <c r="F31" s="75">
        <v>0</v>
      </c>
      <c r="G31" s="74">
        <f t="shared" si="1"/>
        <v>1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87">
        <f>+'26'!G32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87">
        <f>+'26'!G33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+'26'!G34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+'26'!G35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+'26'!G36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+'26'!G37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87">
        <f>+'26'!G38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+'26'!G39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+'26'!G40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+'26'!G41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+'26'!G42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87">
        <f>+'26'!G43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87">
        <f>+'26'!G44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87">
        <f>+'26'!G45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87">
        <f>+'26'!G46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87">
        <f>+'26'!G47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+'26'!G48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+'26'!G49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+'26'!G50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87">
        <f>+'26'!G51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+'26'!G52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+'26'!G53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+'26'!G54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87">
        <f>+'26'!G55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+'26'!G56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+'26'!G57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87">
        <f>+'26'!G58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87">
        <f>+'26'!G59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87">
        <f>+'26'!G60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87">
        <f>+'26'!G61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+'26'!G62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87">
        <f>+'26'!G63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87">
        <f>+'26'!G64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87">
        <f>+'26'!G65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+'26'!G66</f>
        <v>0</v>
      </c>
      <c r="D66" s="75">
        <v>0</v>
      </c>
      <c r="E66" s="74">
        <f t="shared" si="0"/>
        <v>0</v>
      </c>
      <c r="F66" s="75">
        <v>0</v>
      </c>
      <c r="G66" s="74">
        <f t="shared" si="1"/>
        <v>0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+'26'!G67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+'26'!G68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+'26'!G69</f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+'26'!G70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9" t="s">
        <v>127</v>
      </c>
      <c r="C71" s="74">
        <f>+'26'!G71</f>
        <v>1</v>
      </c>
      <c r="D71" s="75">
        <v>0</v>
      </c>
      <c r="E71" s="74">
        <f t="shared" si="0"/>
        <v>1</v>
      </c>
      <c r="F71" s="75">
        <v>0</v>
      </c>
      <c r="G71" s="74">
        <f t="shared" si="4"/>
        <v>1</v>
      </c>
      <c r="H71" s="76">
        <v>0</v>
      </c>
      <c r="I71" s="57">
        <v>100</v>
      </c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9" t="s">
        <v>128</v>
      </c>
      <c r="C72" s="74">
        <f>+'26'!G72</f>
        <v>1</v>
      </c>
      <c r="D72" s="75">
        <v>0</v>
      </c>
      <c r="E72" s="74">
        <f t="shared" si="0"/>
        <v>1</v>
      </c>
      <c r="F72" s="75">
        <v>0</v>
      </c>
      <c r="G72" s="74">
        <f t="shared" si="4"/>
        <v>1</v>
      </c>
      <c r="H72" s="76">
        <v>0</v>
      </c>
      <c r="I72" s="56">
        <v>100</v>
      </c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9" t="s">
        <v>129</v>
      </c>
      <c r="C73" s="74">
        <f>+'26'!G73</f>
        <v>1</v>
      </c>
      <c r="D73" s="75">
        <v>0</v>
      </c>
      <c r="E73" s="74">
        <f t="shared" si="0"/>
        <v>1</v>
      </c>
      <c r="F73" s="75">
        <v>1</v>
      </c>
      <c r="G73" s="74">
        <f t="shared" si="4"/>
        <v>0</v>
      </c>
      <c r="H73" s="76">
        <v>0</v>
      </c>
      <c r="I73" s="57">
        <v>100</v>
      </c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+'26'!G74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+'26'!G75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+'26'!G76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+'26'!G77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+'26'!G78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+'26'!G79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+'26'!G80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+'26'!G81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+'26'!G82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+'26'!G83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+'26'!G84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+'26'!G85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+'26'!G86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+'26'!G87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+'26'!G88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+'26'!G89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+'26'!G90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260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460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200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260</v>
      </c>
    </row>
    <row r="100" spans="1:14" s="2" customFormat="1" ht="25.5">
      <c r="I100" s="125" t="s">
        <v>39</v>
      </c>
      <c r="J100" s="126"/>
      <c r="K100" s="52">
        <v>260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260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260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695-C562-4B14-A702-14F45648115E}">
  <dimension ref="A1:N106"/>
  <sheetViews>
    <sheetView zoomScale="90" zoomScaleNormal="90" workbookViewId="0">
      <pane ySplit="3" topLeftCell="A91" activePane="bottomLeft" state="frozen"/>
      <selection pane="bottomLeft" sqref="A1:K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+'27'!G4</f>
        <v>0</v>
      </c>
      <c r="D4" s="75">
        <v>0</v>
      </c>
      <c r="E4" s="74">
        <f t="shared" ref="E4:E81" si="0">C4+D4</f>
        <v>0</v>
      </c>
      <c r="F4" s="75">
        <v>0</v>
      </c>
      <c r="G4" s="74">
        <f>+E4-F4-H4</f>
        <v>0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+'27'!G5</f>
        <v>1</v>
      </c>
      <c r="D5" s="75">
        <v>0</v>
      </c>
      <c r="E5" s="74">
        <f t="shared" si="0"/>
        <v>1</v>
      </c>
      <c r="F5" s="75">
        <v>0</v>
      </c>
      <c r="G5" s="74">
        <f t="shared" ref="G5:G68" si="1">+E5-F5-H5</f>
        <v>1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+'27'!G6</f>
        <v>0</v>
      </c>
      <c r="D6" s="75">
        <v>0</v>
      </c>
      <c r="E6" s="74">
        <f t="shared" si="0"/>
        <v>0</v>
      </c>
      <c r="F6" s="75">
        <v>0</v>
      </c>
      <c r="G6" s="74">
        <f t="shared" si="1"/>
        <v>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+'27'!G7</f>
        <v>2</v>
      </c>
      <c r="D7" s="75">
        <v>0</v>
      </c>
      <c r="E7" s="74">
        <f>C7+D7</f>
        <v>2</v>
      </c>
      <c r="F7" s="75">
        <v>0</v>
      </c>
      <c r="G7" s="74">
        <f t="shared" si="1"/>
        <v>2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+'27'!G8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+'27'!G9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+'27'!G10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+'27'!G11</f>
        <v>4</v>
      </c>
      <c r="D11" s="75">
        <v>0</v>
      </c>
      <c r="E11" s="74">
        <f t="shared" si="0"/>
        <v>4</v>
      </c>
      <c r="F11" s="75">
        <v>0</v>
      </c>
      <c r="G11" s="74">
        <f t="shared" si="1"/>
        <v>4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+'27'!G12</f>
        <v>2</v>
      </c>
      <c r="D12" s="75">
        <v>0</v>
      </c>
      <c r="E12" s="74">
        <f t="shared" si="0"/>
        <v>2</v>
      </c>
      <c r="F12" s="75">
        <v>0</v>
      </c>
      <c r="G12" s="74">
        <f t="shared" si="1"/>
        <v>2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+'27'!G13</f>
        <v>0</v>
      </c>
      <c r="D13" s="75">
        <v>0</v>
      </c>
      <c r="E13" s="74">
        <f t="shared" si="0"/>
        <v>0</v>
      </c>
      <c r="F13" s="75">
        <v>0</v>
      </c>
      <c r="G13" s="74">
        <f t="shared" si="1"/>
        <v>0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+'27'!G14</f>
        <v>0</v>
      </c>
      <c r="D14" s="75">
        <v>0</v>
      </c>
      <c r="E14" s="74">
        <f t="shared" si="0"/>
        <v>0</v>
      </c>
      <c r="F14" s="75">
        <v>0</v>
      </c>
      <c r="G14" s="74">
        <f t="shared" si="1"/>
        <v>0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+'27'!G15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+'27'!G16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+'27'!G17</f>
        <v>0</v>
      </c>
      <c r="D17" s="75">
        <v>0</v>
      </c>
      <c r="E17" s="74">
        <f>C17+D17</f>
        <v>0</v>
      </c>
      <c r="F17" s="75">
        <v>0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+'27'!G18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+'27'!G19</f>
        <v>2</v>
      </c>
      <c r="D19" s="75">
        <v>0</v>
      </c>
      <c r="E19" s="74">
        <f t="shared" si="0"/>
        <v>2</v>
      </c>
      <c r="F19" s="75">
        <v>0</v>
      </c>
      <c r="G19" s="74">
        <f t="shared" si="1"/>
        <v>2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+'27'!G20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+'27'!G21</f>
        <v>2</v>
      </c>
      <c r="D21" s="75">
        <v>0</v>
      </c>
      <c r="E21" s="74">
        <f t="shared" si="0"/>
        <v>2</v>
      </c>
      <c r="F21" s="75">
        <v>0</v>
      </c>
      <c r="G21" s="74">
        <f t="shared" si="1"/>
        <v>2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+'27'!G22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+'27'!G23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+'27'!G24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+'27'!G25</f>
        <v>1</v>
      </c>
      <c r="D25" s="75">
        <v>0</v>
      </c>
      <c r="E25" s="74">
        <f t="shared" si="0"/>
        <v>1</v>
      </c>
      <c r="F25" s="75">
        <v>0</v>
      </c>
      <c r="G25" s="74">
        <f t="shared" si="1"/>
        <v>1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+'27'!G26</f>
        <v>2</v>
      </c>
      <c r="D26" s="75">
        <v>0</v>
      </c>
      <c r="E26" s="74">
        <f t="shared" si="0"/>
        <v>2</v>
      </c>
      <c r="F26" s="75">
        <v>0</v>
      </c>
      <c r="G26" s="74">
        <f t="shared" si="1"/>
        <v>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+'27'!G27</f>
        <v>0</v>
      </c>
      <c r="D27" s="75">
        <v>0</v>
      </c>
      <c r="E27" s="74">
        <f t="shared" si="0"/>
        <v>0</v>
      </c>
      <c r="F27" s="75">
        <v>0</v>
      </c>
      <c r="G27" s="74">
        <f t="shared" si="1"/>
        <v>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+'27'!G28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+'27'!G29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+'27'!G30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+'27'!G31</f>
        <v>1</v>
      </c>
      <c r="D31" s="75">
        <v>0</v>
      </c>
      <c r="E31" s="74">
        <f t="shared" si="0"/>
        <v>1</v>
      </c>
      <c r="F31" s="75">
        <v>0</v>
      </c>
      <c r="G31" s="74">
        <f t="shared" si="1"/>
        <v>1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+'27'!G32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+'27'!G33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+'27'!G34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+'27'!G35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+'27'!G36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+'27'!G37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+'27'!G38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+'27'!G39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+'27'!G40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+'27'!G41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+'27'!G42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+'27'!G43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+'27'!G44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+'27'!G45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+'27'!G46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+'27'!G47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+'27'!G48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+'27'!G49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+'27'!G50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+'27'!G51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+'27'!G52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+'27'!G53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+'27'!G54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+'27'!G55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+'27'!G56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+'27'!G57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+'27'!G58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+'27'!G59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+'27'!G60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+'27'!G61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+'27'!G62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+'27'!G63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+'27'!G64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+'27'!G65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+'27'!G66</f>
        <v>0</v>
      </c>
      <c r="D66" s="75">
        <v>0</v>
      </c>
      <c r="E66" s="74">
        <f t="shared" si="0"/>
        <v>0</v>
      </c>
      <c r="F66" s="75">
        <v>0</v>
      </c>
      <c r="G66" s="74">
        <f t="shared" si="1"/>
        <v>0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+'27'!G67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+'27'!G68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+'27'!G69</f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+'27'!G70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+'27'!G71</f>
        <v>1</v>
      </c>
      <c r="D71" s="75">
        <v>0</v>
      </c>
      <c r="E71" s="74">
        <f t="shared" si="0"/>
        <v>1</v>
      </c>
      <c r="F71" s="75">
        <v>0</v>
      </c>
      <c r="G71" s="74">
        <f t="shared" si="4"/>
        <v>1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+'27'!G72</f>
        <v>1</v>
      </c>
      <c r="D72" s="75">
        <v>0</v>
      </c>
      <c r="E72" s="74">
        <f t="shared" si="0"/>
        <v>1</v>
      </c>
      <c r="F72" s="75">
        <v>0</v>
      </c>
      <c r="G72" s="74">
        <f t="shared" si="4"/>
        <v>1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+'27'!G73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+'27'!G74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+'27'!G75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+'27'!G76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+'27'!G77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+'27'!G78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+'27'!G79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+'27'!G80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+'27'!G81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+'27'!G82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+'27'!G83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+'27'!G84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+'27'!G85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+'27'!G86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+'27'!G87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+'27'!G88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+'27'!G89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+'27'!G90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I100" s="125" t="s">
        <v>39</v>
      </c>
      <c r="J100" s="126"/>
      <c r="K100" s="52">
        <v>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6525-B077-48AE-B75D-C13FE33D897E}">
  <dimension ref="A1:N106"/>
  <sheetViews>
    <sheetView zoomScale="90" zoomScaleNormal="90" workbookViewId="0">
      <pane ySplit="3" topLeftCell="A91" activePane="bottomLeft" state="frozen"/>
      <selection pane="bottomLeft" sqref="A1:K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+'28'!G4</f>
        <v>0</v>
      </c>
      <c r="D4" s="75">
        <v>0</v>
      </c>
      <c r="E4" s="74">
        <f t="shared" ref="E4:E81" si="0">C4+D4</f>
        <v>0</v>
      </c>
      <c r="F4" s="75">
        <v>0</v>
      </c>
      <c r="G4" s="74">
        <f>+E4-F4-H4</f>
        <v>0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+'28'!G5</f>
        <v>1</v>
      </c>
      <c r="D5" s="75">
        <v>0</v>
      </c>
      <c r="E5" s="74">
        <f t="shared" si="0"/>
        <v>1</v>
      </c>
      <c r="F5" s="75">
        <v>0</v>
      </c>
      <c r="G5" s="74">
        <f t="shared" ref="G5:G68" si="1">+E5-F5-H5</f>
        <v>1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+'28'!G6</f>
        <v>0</v>
      </c>
      <c r="D6" s="75">
        <v>0</v>
      </c>
      <c r="E6" s="74">
        <f t="shared" si="0"/>
        <v>0</v>
      </c>
      <c r="F6" s="75">
        <v>0</v>
      </c>
      <c r="G6" s="74">
        <f t="shared" si="1"/>
        <v>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+'28'!G7</f>
        <v>2</v>
      </c>
      <c r="D7" s="75">
        <v>0</v>
      </c>
      <c r="E7" s="74">
        <f>C7+D7</f>
        <v>2</v>
      </c>
      <c r="F7" s="75">
        <v>0</v>
      </c>
      <c r="G7" s="74">
        <f t="shared" si="1"/>
        <v>2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+'28'!G8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+'28'!G9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+'28'!G10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+'28'!G11</f>
        <v>4</v>
      </c>
      <c r="D11" s="75">
        <v>0</v>
      </c>
      <c r="E11" s="74">
        <f t="shared" si="0"/>
        <v>4</v>
      </c>
      <c r="F11" s="75">
        <v>0</v>
      </c>
      <c r="G11" s="74">
        <f t="shared" si="1"/>
        <v>4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+'28'!G12</f>
        <v>2</v>
      </c>
      <c r="D12" s="75">
        <v>0</v>
      </c>
      <c r="E12" s="74">
        <f t="shared" si="0"/>
        <v>2</v>
      </c>
      <c r="F12" s="75">
        <v>0</v>
      </c>
      <c r="G12" s="74">
        <f t="shared" si="1"/>
        <v>2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+'28'!G13</f>
        <v>0</v>
      </c>
      <c r="D13" s="75">
        <v>0</v>
      </c>
      <c r="E13" s="74">
        <f t="shared" si="0"/>
        <v>0</v>
      </c>
      <c r="F13" s="75">
        <v>0</v>
      </c>
      <c r="G13" s="74">
        <f t="shared" si="1"/>
        <v>0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+'28'!G14</f>
        <v>0</v>
      </c>
      <c r="D14" s="75">
        <v>0</v>
      </c>
      <c r="E14" s="74">
        <f t="shared" si="0"/>
        <v>0</v>
      </c>
      <c r="F14" s="75">
        <v>0</v>
      </c>
      <c r="G14" s="74">
        <f t="shared" si="1"/>
        <v>0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+'28'!G15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+'28'!G16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+'28'!G17</f>
        <v>0</v>
      </c>
      <c r="D17" s="75">
        <v>0</v>
      </c>
      <c r="E17" s="74">
        <f>C17+D17</f>
        <v>0</v>
      </c>
      <c r="F17" s="75">
        <v>0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+'28'!G18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+'28'!G19</f>
        <v>2</v>
      </c>
      <c r="D19" s="75">
        <v>0</v>
      </c>
      <c r="E19" s="74">
        <f t="shared" si="0"/>
        <v>2</v>
      </c>
      <c r="F19" s="75">
        <v>0</v>
      </c>
      <c r="G19" s="74">
        <f t="shared" si="1"/>
        <v>2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+'28'!G20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+'28'!G21</f>
        <v>2</v>
      </c>
      <c r="D21" s="75">
        <v>0</v>
      </c>
      <c r="E21" s="74">
        <f t="shared" si="0"/>
        <v>2</v>
      </c>
      <c r="F21" s="75">
        <v>0</v>
      </c>
      <c r="G21" s="74">
        <f t="shared" si="1"/>
        <v>2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+'28'!G22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+'28'!G23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+'28'!G24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+'28'!G25</f>
        <v>1</v>
      </c>
      <c r="D25" s="75">
        <v>0</v>
      </c>
      <c r="E25" s="74">
        <f t="shared" si="0"/>
        <v>1</v>
      </c>
      <c r="F25" s="75">
        <v>0</v>
      </c>
      <c r="G25" s="74">
        <f t="shared" si="1"/>
        <v>1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+'28'!G26</f>
        <v>2</v>
      </c>
      <c r="D26" s="75">
        <v>0</v>
      </c>
      <c r="E26" s="74">
        <f t="shared" si="0"/>
        <v>2</v>
      </c>
      <c r="F26" s="75">
        <v>0</v>
      </c>
      <c r="G26" s="74">
        <f t="shared" si="1"/>
        <v>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+'28'!G27</f>
        <v>0</v>
      </c>
      <c r="D27" s="75">
        <v>0</v>
      </c>
      <c r="E27" s="74">
        <f t="shared" si="0"/>
        <v>0</v>
      </c>
      <c r="F27" s="75">
        <v>0</v>
      </c>
      <c r="G27" s="74">
        <f t="shared" si="1"/>
        <v>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+'28'!G28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+'28'!G29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+'28'!G30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+'28'!G31</f>
        <v>1</v>
      </c>
      <c r="D31" s="75">
        <v>0</v>
      </c>
      <c r="E31" s="74">
        <f t="shared" si="0"/>
        <v>1</v>
      </c>
      <c r="F31" s="75">
        <v>0</v>
      </c>
      <c r="G31" s="74">
        <f t="shared" si="1"/>
        <v>1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+'28'!G32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+'28'!G33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+'28'!G34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+'28'!G35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+'28'!G36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+'28'!G37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+'28'!G38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+'28'!G39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+'28'!G40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+'28'!G41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+'28'!G42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+'28'!G43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+'28'!G44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+'28'!G45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+'28'!G46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+'28'!G47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+'28'!G48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+'28'!G49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+'28'!G50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+'28'!G51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+'28'!G52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+'28'!G53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+'28'!G54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+'28'!G55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+'28'!G56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+'28'!G57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+'28'!G58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+'28'!G59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+'28'!G60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+'28'!G61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+'28'!G62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+'28'!G63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+'28'!G64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+'28'!G65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+'28'!G66</f>
        <v>0</v>
      </c>
      <c r="D66" s="75">
        <v>0</v>
      </c>
      <c r="E66" s="74">
        <f t="shared" si="0"/>
        <v>0</v>
      </c>
      <c r="F66" s="75">
        <v>0</v>
      </c>
      <c r="G66" s="74">
        <f t="shared" si="1"/>
        <v>0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+'28'!G67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+'28'!G68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+'28'!G69</f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+'28'!G70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+'28'!G71</f>
        <v>1</v>
      </c>
      <c r="D71" s="75">
        <v>0</v>
      </c>
      <c r="E71" s="74">
        <f t="shared" si="0"/>
        <v>1</v>
      </c>
      <c r="F71" s="75">
        <v>0</v>
      </c>
      <c r="G71" s="74">
        <f t="shared" si="4"/>
        <v>1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+'28'!G72</f>
        <v>1</v>
      </c>
      <c r="D72" s="75">
        <v>0</v>
      </c>
      <c r="E72" s="74">
        <f t="shared" si="0"/>
        <v>1</v>
      </c>
      <c r="F72" s="75">
        <v>0</v>
      </c>
      <c r="G72" s="74">
        <f t="shared" si="4"/>
        <v>1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+'28'!G73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+'28'!G74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+'28'!G75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+'28'!G76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+'28'!G77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+'28'!G78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+'28'!G79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+'28'!G80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+'28'!G81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+'28'!G82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+'28'!G83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+'28'!G84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+'28'!G85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+'28'!G86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+'28'!G87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+'28'!G88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+'28'!G89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+'28'!G90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I100" s="125" t="s">
        <v>39</v>
      </c>
      <c r="J100" s="126"/>
      <c r="K100" s="52">
        <v>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5E4-0B52-4612-BA1E-FB3E9FAC0B9B}">
  <dimension ref="A1:N106"/>
  <sheetViews>
    <sheetView zoomScale="90" zoomScaleNormal="90" workbookViewId="0">
      <pane ySplit="3" topLeftCell="A61" activePane="bottomLeft" state="frozen"/>
      <selection pane="bottomLeft" sqref="A1:K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+'29'!G4</f>
        <v>0</v>
      </c>
      <c r="D4" s="75">
        <v>0</v>
      </c>
      <c r="E4" s="74">
        <f t="shared" ref="E4:E81" si="0">C4+D4</f>
        <v>0</v>
      </c>
      <c r="F4" s="75">
        <v>0</v>
      </c>
      <c r="G4" s="74">
        <f>+E4-F4-H4</f>
        <v>0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+'29'!G5</f>
        <v>1</v>
      </c>
      <c r="D5" s="75">
        <v>0</v>
      </c>
      <c r="E5" s="74">
        <f t="shared" si="0"/>
        <v>1</v>
      </c>
      <c r="F5" s="75">
        <v>0</v>
      </c>
      <c r="G5" s="74">
        <f t="shared" ref="G5:G68" si="1">+E5-F5-H5</f>
        <v>1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+'29'!G6</f>
        <v>0</v>
      </c>
      <c r="D6" s="75">
        <v>0</v>
      </c>
      <c r="E6" s="74">
        <f t="shared" si="0"/>
        <v>0</v>
      </c>
      <c r="F6" s="75">
        <v>0</v>
      </c>
      <c r="G6" s="74">
        <f t="shared" si="1"/>
        <v>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+'29'!G7</f>
        <v>2</v>
      </c>
      <c r="D7" s="75">
        <v>0</v>
      </c>
      <c r="E7" s="74">
        <f>C7+D7</f>
        <v>2</v>
      </c>
      <c r="F7" s="75">
        <v>0</v>
      </c>
      <c r="G7" s="74">
        <f t="shared" si="1"/>
        <v>2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+'29'!G8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+'29'!G9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+'29'!G10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+'29'!G11</f>
        <v>4</v>
      </c>
      <c r="D11" s="75">
        <v>0</v>
      </c>
      <c r="E11" s="74">
        <f t="shared" si="0"/>
        <v>4</v>
      </c>
      <c r="F11" s="75">
        <v>0</v>
      </c>
      <c r="G11" s="74">
        <f t="shared" si="1"/>
        <v>4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+'29'!G12</f>
        <v>2</v>
      </c>
      <c r="D12" s="75">
        <v>0</v>
      </c>
      <c r="E12" s="74">
        <f t="shared" si="0"/>
        <v>2</v>
      </c>
      <c r="F12" s="75">
        <v>0</v>
      </c>
      <c r="G12" s="74">
        <f t="shared" si="1"/>
        <v>2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+'29'!G13</f>
        <v>0</v>
      </c>
      <c r="D13" s="75">
        <v>0</v>
      </c>
      <c r="E13" s="74">
        <f t="shared" si="0"/>
        <v>0</v>
      </c>
      <c r="F13" s="75">
        <v>0</v>
      </c>
      <c r="G13" s="74">
        <f t="shared" si="1"/>
        <v>0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+'29'!G14</f>
        <v>0</v>
      </c>
      <c r="D14" s="75">
        <v>0</v>
      </c>
      <c r="E14" s="74">
        <f t="shared" si="0"/>
        <v>0</v>
      </c>
      <c r="F14" s="75">
        <v>0</v>
      </c>
      <c r="G14" s="74">
        <f t="shared" si="1"/>
        <v>0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+'29'!G15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+'29'!G16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+'29'!G17</f>
        <v>0</v>
      </c>
      <c r="D17" s="75">
        <v>0</v>
      </c>
      <c r="E17" s="74">
        <f>C17+D17</f>
        <v>0</v>
      </c>
      <c r="F17" s="75">
        <v>0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+'29'!G18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+'29'!G19</f>
        <v>2</v>
      </c>
      <c r="D19" s="75">
        <v>0</v>
      </c>
      <c r="E19" s="74">
        <f t="shared" si="0"/>
        <v>2</v>
      </c>
      <c r="F19" s="75">
        <v>0</v>
      </c>
      <c r="G19" s="74">
        <f t="shared" si="1"/>
        <v>2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+'29'!G20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+'29'!G21</f>
        <v>2</v>
      </c>
      <c r="D21" s="75">
        <v>0</v>
      </c>
      <c r="E21" s="74">
        <f t="shared" si="0"/>
        <v>2</v>
      </c>
      <c r="F21" s="75">
        <v>0</v>
      </c>
      <c r="G21" s="74">
        <f t="shared" si="1"/>
        <v>2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+'29'!G22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+'29'!G23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+'29'!G24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+'29'!G25</f>
        <v>1</v>
      </c>
      <c r="D25" s="75">
        <v>0</v>
      </c>
      <c r="E25" s="74">
        <f t="shared" si="0"/>
        <v>1</v>
      </c>
      <c r="F25" s="75">
        <v>0</v>
      </c>
      <c r="G25" s="74">
        <f t="shared" si="1"/>
        <v>1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+'29'!G26</f>
        <v>2</v>
      </c>
      <c r="D26" s="75">
        <v>0</v>
      </c>
      <c r="E26" s="74">
        <f t="shared" si="0"/>
        <v>2</v>
      </c>
      <c r="F26" s="75">
        <v>0</v>
      </c>
      <c r="G26" s="74">
        <f t="shared" si="1"/>
        <v>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+'29'!G27</f>
        <v>0</v>
      </c>
      <c r="D27" s="75">
        <v>0</v>
      </c>
      <c r="E27" s="74">
        <f t="shared" si="0"/>
        <v>0</v>
      </c>
      <c r="F27" s="75">
        <v>0</v>
      </c>
      <c r="G27" s="74">
        <f t="shared" si="1"/>
        <v>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+'29'!G28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+'29'!G29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+'29'!G30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+'29'!G31</f>
        <v>1</v>
      </c>
      <c r="D31" s="75">
        <v>0</v>
      </c>
      <c r="E31" s="74">
        <f t="shared" si="0"/>
        <v>1</v>
      </c>
      <c r="F31" s="75">
        <v>0</v>
      </c>
      <c r="G31" s="74">
        <f t="shared" si="1"/>
        <v>1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+'29'!G32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+'29'!G33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+'29'!G34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+'29'!G35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+'29'!G36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+'29'!G37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+'29'!G38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+'29'!G39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+'29'!G40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+'29'!G41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+'29'!G42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+'29'!G43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+'29'!G44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+'29'!G45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+'29'!G46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+'29'!G47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+'29'!G48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+'29'!G49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+'29'!G50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+'29'!G51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+'29'!G52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+'29'!G53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+'29'!G54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+'29'!G55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+'29'!G56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+'29'!G57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+'29'!G58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+'29'!G59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+'29'!G60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+'29'!G61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+'29'!G62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+'29'!G63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+'29'!G64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+'29'!G65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+'29'!G66</f>
        <v>0</v>
      </c>
      <c r="D66" s="75">
        <v>0</v>
      </c>
      <c r="E66" s="74">
        <f t="shared" si="0"/>
        <v>0</v>
      </c>
      <c r="F66" s="75">
        <v>0</v>
      </c>
      <c r="G66" s="74">
        <f t="shared" si="1"/>
        <v>0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+'29'!G67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+'29'!G68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121</v>
      </c>
      <c r="C69" s="74">
        <f>+'29'!G69</f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124</v>
      </c>
      <c r="C70" s="74">
        <f>+'29'!G70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+'29'!G71</f>
        <v>1</v>
      </c>
      <c r="D71" s="75">
        <v>0</v>
      </c>
      <c r="E71" s="74">
        <f t="shared" si="0"/>
        <v>1</v>
      </c>
      <c r="F71" s="75">
        <v>0</v>
      </c>
      <c r="G71" s="74">
        <f t="shared" si="4"/>
        <v>1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+'29'!G72</f>
        <v>1</v>
      </c>
      <c r="D72" s="75">
        <v>0</v>
      </c>
      <c r="E72" s="74">
        <f t="shared" si="0"/>
        <v>1</v>
      </c>
      <c r="F72" s="75">
        <v>0</v>
      </c>
      <c r="G72" s="74">
        <f t="shared" si="4"/>
        <v>1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+'29'!G73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+'29'!G74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+'29'!G75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+'29'!G76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+'29'!G77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+'29'!G78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+'29'!G79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+'29'!G80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+'29'!G81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+'29'!G82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+'29'!G83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+'29'!G84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+'29'!G85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+'29'!G86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+'29'!G87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+'29'!G88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+'29'!G89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+'29'!G90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I100" s="125" t="s">
        <v>39</v>
      </c>
      <c r="J100" s="126"/>
      <c r="K100" s="52">
        <v>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CBA9-BA59-40BE-9B60-885314599569}">
  <dimension ref="A1:N106"/>
  <sheetViews>
    <sheetView zoomScale="90" zoomScaleNormal="90" workbookViewId="0">
      <pane ySplit="3" topLeftCell="A79" activePane="bottomLeft" state="frozen"/>
      <selection pane="bottomLeft" sqref="A1:K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30" t="s">
        <v>126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3" s="3" customFormat="1" ht="26.25">
      <c r="A2" s="131" t="s">
        <v>0</v>
      </c>
      <c r="B2" s="131" t="s">
        <v>4</v>
      </c>
      <c r="C2" s="131" t="s">
        <v>5</v>
      </c>
      <c r="D2" s="131" t="s">
        <v>6</v>
      </c>
      <c r="E2" s="131" t="s">
        <v>7</v>
      </c>
      <c r="F2" s="72" t="s">
        <v>8</v>
      </c>
      <c r="G2" s="131" t="s">
        <v>1</v>
      </c>
      <c r="H2" s="132" t="s">
        <v>9</v>
      </c>
      <c r="I2" s="132"/>
      <c r="J2" s="132"/>
      <c r="K2" s="131" t="s">
        <v>3</v>
      </c>
      <c r="L2" s="127" t="s">
        <v>11</v>
      </c>
    </row>
    <row r="3" spans="1:13" s="3" customFormat="1" ht="26.25">
      <c r="A3" s="131"/>
      <c r="B3" s="131"/>
      <c r="C3" s="131"/>
      <c r="D3" s="131"/>
      <c r="E3" s="131"/>
      <c r="F3" s="72" t="s">
        <v>19</v>
      </c>
      <c r="G3" s="131"/>
      <c r="H3" s="72" t="s">
        <v>20</v>
      </c>
      <c r="I3" s="73" t="s">
        <v>21</v>
      </c>
      <c r="J3" s="72" t="s">
        <v>22</v>
      </c>
      <c r="K3" s="131"/>
      <c r="L3" s="127"/>
    </row>
    <row r="4" spans="1:13" s="2" customFormat="1" ht="25.5">
      <c r="A4" s="8">
        <v>1</v>
      </c>
      <c r="B4" s="9" t="s">
        <v>53</v>
      </c>
      <c r="C4" s="74">
        <f>+'30'!G4</f>
        <v>0</v>
      </c>
      <c r="D4" s="75">
        <v>0</v>
      </c>
      <c r="E4" s="74">
        <f t="shared" ref="E4:E81" si="0">C4+D4</f>
        <v>0</v>
      </c>
      <c r="F4" s="75">
        <v>0</v>
      </c>
      <c r="G4" s="74">
        <f>+E4-F4-H4</f>
        <v>0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>
      <c r="A5" s="8">
        <v>2</v>
      </c>
      <c r="B5" s="9" t="s">
        <v>55</v>
      </c>
      <c r="C5" s="74">
        <f>+'30'!G5</f>
        <v>1</v>
      </c>
      <c r="D5" s="75">
        <v>0</v>
      </c>
      <c r="E5" s="74">
        <f t="shared" si="0"/>
        <v>1</v>
      </c>
      <c r="F5" s="75">
        <v>0</v>
      </c>
      <c r="G5" s="74">
        <f t="shared" ref="G5:G68" si="1">+E5-F5-H5</f>
        <v>1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56</v>
      </c>
      <c r="C6" s="74">
        <f>+'30'!G6</f>
        <v>0</v>
      </c>
      <c r="D6" s="75">
        <v>0</v>
      </c>
      <c r="E6" s="74">
        <f t="shared" si="0"/>
        <v>0</v>
      </c>
      <c r="F6" s="75">
        <v>0</v>
      </c>
      <c r="G6" s="74">
        <f t="shared" si="1"/>
        <v>0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>
      <c r="A7" s="8">
        <v>4</v>
      </c>
      <c r="B7" s="16" t="s">
        <v>57</v>
      </c>
      <c r="C7" s="74">
        <f>+'30'!G7</f>
        <v>2</v>
      </c>
      <c r="D7" s="75">
        <v>0</v>
      </c>
      <c r="E7" s="74">
        <f>C7+D7</f>
        <v>2</v>
      </c>
      <c r="F7" s="75">
        <v>0</v>
      </c>
      <c r="G7" s="74">
        <f t="shared" si="1"/>
        <v>2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>
      <c r="A8" s="8">
        <v>5</v>
      </c>
      <c r="B8" s="16" t="s">
        <v>58</v>
      </c>
      <c r="C8" s="74">
        <f>+'30'!G8</f>
        <v>0</v>
      </c>
      <c r="D8" s="75">
        <v>0</v>
      </c>
      <c r="E8" s="74">
        <f t="shared" si="0"/>
        <v>0</v>
      </c>
      <c r="F8" s="75">
        <v>0</v>
      </c>
      <c r="G8" s="74">
        <f t="shared" si="1"/>
        <v>0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>
      <c r="A9" s="8">
        <v>6</v>
      </c>
      <c r="B9" s="9" t="s">
        <v>59</v>
      </c>
      <c r="C9" s="74">
        <f>+'30'!G9</f>
        <v>0</v>
      </c>
      <c r="D9" s="75">
        <v>0</v>
      </c>
      <c r="E9" s="74">
        <f t="shared" si="0"/>
        <v>0</v>
      </c>
      <c r="F9" s="75">
        <v>0</v>
      </c>
      <c r="G9" s="74">
        <f t="shared" si="1"/>
        <v>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60</v>
      </c>
      <c r="C10" s="74">
        <f>+'30'!G10</f>
        <v>0</v>
      </c>
      <c r="D10" s="75">
        <v>0</v>
      </c>
      <c r="E10" s="74">
        <f t="shared" si="0"/>
        <v>0</v>
      </c>
      <c r="F10" s="75">
        <v>0</v>
      </c>
      <c r="G10" s="74">
        <f t="shared" si="1"/>
        <v>0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61</v>
      </c>
      <c r="C11" s="74">
        <f>+'30'!G11</f>
        <v>4</v>
      </c>
      <c r="D11" s="75">
        <v>0</v>
      </c>
      <c r="E11" s="74">
        <f t="shared" si="0"/>
        <v>4</v>
      </c>
      <c r="F11" s="75">
        <v>0</v>
      </c>
      <c r="G11" s="74">
        <f t="shared" si="1"/>
        <v>4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62</v>
      </c>
      <c r="C12" s="74">
        <f>+'30'!G12</f>
        <v>2</v>
      </c>
      <c r="D12" s="75">
        <v>0</v>
      </c>
      <c r="E12" s="74">
        <f t="shared" si="0"/>
        <v>2</v>
      </c>
      <c r="F12" s="75">
        <v>0</v>
      </c>
      <c r="G12" s="74">
        <f t="shared" si="1"/>
        <v>2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63</v>
      </c>
      <c r="C13" s="74">
        <f>+'30'!G13</f>
        <v>0</v>
      </c>
      <c r="D13" s="75">
        <v>0</v>
      </c>
      <c r="E13" s="74">
        <f t="shared" si="0"/>
        <v>0</v>
      </c>
      <c r="F13" s="75">
        <v>0</v>
      </c>
      <c r="G13" s="74">
        <f t="shared" si="1"/>
        <v>0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64</v>
      </c>
      <c r="C14" s="74">
        <f>+'30'!G14</f>
        <v>0</v>
      </c>
      <c r="D14" s="75">
        <v>0</v>
      </c>
      <c r="E14" s="74">
        <f t="shared" si="0"/>
        <v>0</v>
      </c>
      <c r="F14" s="75">
        <v>0</v>
      </c>
      <c r="G14" s="74">
        <f t="shared" si="1"/>
        <v>0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65</v>
      </c>
      <c r="C15" s="74">
        <f>+'30'!G15</f>
        <v>0</v>
      </c>
      <c r="D15" s="75">
        <v>0</v>
      </c>
      <c r="E15" s="74">
        <f t="shared" si="0"/>
        <v>0</v>
      </c>
      <c r="F15" s="75">
        <v>0</v>
      </c>
      <c r="G15" s="74">
        <f t="shared" si="1"/>
        <v>0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66</v>
      </c>
      <c r="C16" s="74">
        <f>+'30'!G16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67</v>
      </c>
      <c r="C17" s="74">
        <f>+'30'!G17</f>
        <v>0</v>
      </c>
      <c r="D17" s="75">
        <v>0</v>
      </c>
      <c r="E17" s="74">
        <f>C17+D17</f>
        <v>0</v>
      </c>
      <c r="F17" s="75">
        <v>0</v>
      </c>
      <c r="G17" s="74">
        <f t="shared" si="1"/>
        <v>0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68</v>
      </c>
      <c r="C18" s="74">
        <f>+'30'!G18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69</v>
      </c>
      <c r="C19" s="74">
        <f>+'30'!G19</f>
        <v>2</v>
      </c>
      <c r="D19" s="75">
        <v>0</v>
      </c>
      <c r="E19" s="74">
        <f t="shared" si="0"/>
        <v>2</v>
      </c>
      <c r="F19" s="75">
        <v>0</v>
      </c>
      <c r="G19" s="74">
        <f t="shared" si="1"/>
        <v>2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70</v>
      </c>
      <c r="C20" s="74">
        <f>+'30'!G20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71</v>
      </c>
      <c r="C21" s="74">
        <f>+'30'!G21</f>
        <v>2</v>
      </c>
      <c r="D21" s="75">
        <v>0</v>
      </c>
      <c r="E21" s="74">
        <f t="shared" si="0"/>
        <v>2</v>
      </c>
      <c r="F21" s="75">
        <v>0</v>
      </c>
      <c r="G21" s="74">
        <f t="shared" si="1"/>
        <v>2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72</v>
      </c>
      <c r="C22" s="74">
        <f>+'30'!G22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73</v>
      </c>
      <c r="C23" s="74">
        <f>+'30'!G23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74</v>
      </c>
      <c r="C24" s="74">
        <f>+'30'!G24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75</v>
      </c>
      <c r="C25" s="74">
        <f>+'30'!G25</f>
        <v>1</v>
      </c>
      <c r="D25" s="75">
        <v>0</v>
      </c>
      <c r="E25" s="74">
        <f t="shared" si="0"/>
        <v>1</v>
      </c>
      <c r="F25" s="75">
        <v>0</v>
      </c>
      <c r="G25" s="74">
        <f t="shared" si="1"/>
        <v>1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76</v>
      </c>
      <c r="C26" s="74">
        <f>+'30'!G26</f>
        <v>2</v>
      </c>
      <c r="D26" s="75">
        <v>0</v>
      </c>
      <c r="E26" s="74">
        <f t="shared" si="0"/>
        <v>2</v>
      </c>
      <c r="F26" s="75">
        <v>0</v>
      </c>
      <c r="G26" s="74">
        <f t="shared" si="1"/>
        <v>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77</v>
      </c>
      <c r="C27" s="74">
        <f>+'30'!G27</f>
        <v>0</v>
      </c>
      <c r="D27" s="75">
        <v>0</v>
      </c>
      <c r="E27" s="74">
        <f t="shared" si="0"/>
        <v>0</v>
      </c>
      <c r="F27" s="75">
        <v>0</v>
      </c>
      <c r="G27" s="74">
        <f t="shared" si="1"/>
        <v>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78</v>
      </c>
      <c r="C28" s="74">
        <f>+'30'!G28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79</v>
      </c>
      <c r="C29" s="74">
        <f>+'30'!G29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80</v>
      </c>
      <c r="C30" s="74">
        <f>+'30'!G30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81</v>
      </c>
      <c r="C31" s="74">
        <f>+'30'!G31</f>
        <v>1</v>
      </c>
      <c r="D31" s="75">
        <v>0</v>
      </c>
      <c r="E31" s="74">
        <f t="shared" si="0"/>
        <v>1</v>
      </c>
      <c r="F31" s="75">
        <v>0</v>
      </c>
      <c r="G31" s="74">
        <f t="shared" si="1"/>
        <v>1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82</v>
      </c>
      <c r="C32" s="74">
        <f>+'30'!G32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83</v>
      </c>
      <c r="C33" s="74">
        <f>+'30'!G33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84</v>
      </c>
      <c r="C34" s="74">
        <f>+'30'!G34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85</v>
      </c>
      <c r="C35" s="74">
        <f>+'30'!G35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86</v>
      </c>
      <c r="C36" s="74">
        <f>+'30'!G36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87</v>
      </c>
      <c r="C37" s="74">
        <f>+'30'!G37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88</v>
      </c>
      <c r="C38" s="74">
        <f>+'30'!G38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89</v>
      </c>
      <c r="C39" s="74">
        <f>+'30'!G39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90</v>
      </c>
      <c r="C40" s="74">
        <f>+'30'!G40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91</v>
      </c>
      <c r="C41" s="74">
        <f>+'30'!G41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92</v>
      </c>
      <c r="C42" s="74">
        <f>+'30'!G42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93</v>
      </c>
      <c r="C43" s="74">
        <f>+'30'!G43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94</v>
      </c>
      <c r="C44" s="74">
        <f>+'30'!G44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95</v>
      </c>
      <c r="C45" s="74">
        <f>+'30'!G45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96</v>
      </c>
      <c r="C46" s="74">
        <f>+'30'!G46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97</v>
      </c>
      <c r="C47" s="74">
        <f>+'30'!G47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98</v>
      </c>
      <c r="C48" s="74">
        <f>+'30'!G48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99</v>
      </c>
      <c r="C49" s="74">
        <f>+'30'!G49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100</v>
      </c>
      <c r="C50" s="74">
        <f>+'30'!G50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101</v>
      </c>
      <c r="C51" s="74">
        <f>+'30'!G51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102</v>
      </c>
      <c r="C52" s="74">
        <f>+'30'!G52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103</v>
      </c>
      <c r="C53" s="74">
        <f>+'30'!G53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104</v>
      </c>
      <c r="C54" s="74">
        <f>+'30'!G54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105</v>
      </c>
      <c r="C55" s="74">
        <f>+'30'!G55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106</v>
      </c>
      <c r="C56" s="74">
        <f>+'30'!G56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107</v>
      </c>
      <c r="C57" s="74">
        <f>+'30'!G57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>
      <c r="A58" s="8">
        <v>55</v>
      </c>
      <c r="B58" s="82" t="s">
        <v>108</v>
      </c>
      <c r="C58" s="74">
        <f>+'30'!G58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109</v>
      </c>
      <c r="C59" s="74">
        <f>+'30'!G59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110</v>
      </c>
      <c r="C60" s="74">
        <f>+'30'!G60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111</v>
      </c>
      <c r="C61" s="74">
        <f>+'30'!G61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112</v>
      </c>
      <c r="C62" s="74">
        <f>+'30'!G62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113</v>
      </c>
      <c r="C63" s="74">
        <f>+'30'!G63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114</v>
      </c>
      <c r="C64" s="74">
        <f>+'30'!G64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115</v>
      </c>
      <c r="C65" s="74">
        <f>+'30'!G65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117</v>
      </c>
      <c r="C66" s="74">
        <f>+'30'!G66</f>
        <v>0</v>
      </c>
      <c r="D66" s="75">
        <v>0</v>
      </c>
      <c r="E66" s="74">
        <f t="shared" si="0"/>
        <v>0</v>
      </c>
      <c r="F66" s="75">
        <v>0</v>
      </c>
      <c r="G66" s="74">
        <f t="shared" si="1"/>
        <v>0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118</v>
      </c>
      <c r="C67" s="74">
        <f>+'30'!G67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119</v>
      </c>
      <c r="C68" s="74">
        <f>+'30'!G68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4">
        <f>+'30'!G69</f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/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4">
        <f>+'30'!G70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/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4">
        <f>+'30'!G71</f>
        <v>1</v>
      </c>
      <c r="D71" s="75">
        <v>0</v>
      </c>
      <c r="E71" s="74">
        <f t="shared" si="0"/>
        <v>1</v>
      </c>
      <c r="F71" s="75">
        <v>0</v>
      </c>
      <c r="G71" s="74">
        <f t="shared" si="4"/>
        <v>1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4">
        <f>+'30'!G72</f>
        <v>1</v>
      </c>
      <c r="D72" s="75">
        <v>0</v>
      </c>
      <c r="E72" s="74">
        <f t="shared" si="0"/>
        <v>1</v>
      </c>
      <c r="F72" s="75">
        <v>0</v>
      </c>
      <c r="G72" s="74">
        <f t="shared" si="4"/>
        <v>1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4">
        <f>+'30'!G73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4">
        <f>+'30'!G74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4">
        <f>+'30'!G75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4">
        <f>+'30'!G76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4">
        <f>+'30'!G77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4">
        <f>+'30'!G78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4">
        <f>+'30'!G79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4">
        <f>+'30'!G80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4">
        <f>+'30'!G81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4">
        <f>+'30'!G82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4">
        <f>+'30'!G83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4">
        <f>+'30'!G84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4">
        <f>+'30'!G85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4">
        <f>+'30'!G86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4">
        <f>+'30'!G87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4">
        <f>+'30'!G88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4">
        <f>+'30'!G89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4">
        <f>+'30'!G90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8" t="s">
        <v>54</v>
      </c>
      <c r="N91" s="128"/>
    </row>
    <row r="92" spans="1:14" s="2" customFormat="1" ht="24.75">
      <c r="A92" s="1"/>
      <c r="C92" s="62"/>
      <c r="E92" s="62"/>
      <c r="G92" s="62"/>
    </row>
    <row r="93" spans="1:14" s="2" customFormat="1" ht="25.5">
      <c r="A93" s="1"/>
      <c r="C93" s="62"/>
      <c r="E93" s="62"/>
      <c r="G93" s="62"/>
      <c r="I93" s="129" t="s">
        <v>45</v>
      </c>
      <c r="J93" s="129"/>
      <c r="K93" s="48">
        <f>SUM(J4:J91)</f>
        <v>0</v>
      </c>
    </row>
    <row r="94" spans="1:14" s="2" customFormat="1" ht="25.5">
      <c r="A94" s="1"/>
      <c r="C94" s="62"/>
      <c r="E94" s="62"/>
      <c r="G94" s="62"/>
      <c r="I94" s="125" t="s">
        <v>46</v>
      </c>
      <c r="J94" s="126"/>
      <c r="K94" s="51">
        <v>0</v>
      </c>
    </row>
    <row r="95" spans="1:14" s="2" customFormat="1" ht="25.5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>
      <c r="A96" s="1"/>
      <c r="C96" s="62"/>
      <c r="E96" s="62"/>
      <c r="G96" s="62"/>
      <c r="I96" s="125" t="s">
        <v>48</v>
      </c>
      <c r="J96" s="126"/>
      <c r="K96" s="51">
        <v>0</v>
      </c>
    </row>
    <row r="97" spans="1:14" s="2" customFormat="1" ht="25.5">
      <c r="A97" s="1"/>
      <c r="C97" s="62"/>
      <c r="E97" s="62"/>
      <c r="G97" s="62"/>
      <c r="I97" s="125" t="s">
        <v>35</v>
      </c>
      <c r="J97" s="126"/>
      <c r="K97" s="51">
        <v>0</v>
      </c>
    </row>
    <row r="98" spans="1:14" s="2" customFormat="1" ht="25.5">
      <c r="A98" s="1"/>
      <c r="C98" s="62"/>
      <c r="E98" s="62"/>
      <c r="G98" s="62"/>
      <c r="I98" s="125" t="s">
        <v>49</v>
      </c>
      <c r="J98" s="126"/>
      <c r="K98" s="52">
        <f>SUM(L4:L91)</f>
        <v>0</v>
      </c>
    </row>
    <row r="99" spans="1:14" s="2" customFormat="1" ht="25.5">
      <c r="A99" s="1"/>
      <c r="C99" s="62"/>
      <c r="E99" s="62"/>
      <c r="G99" s="62"/>
      <c r="I99" s="125" t="s">
        <v>37</v>
      </c>
      <c r="J99" s="126"/>
      <c r="K99" s="48">
        <f>K93-K94-K95-K97-K98</f>
        <v>0</v>
      </c>
    </row>
    <row r="100" spans="1:14" s="2" customFormat="1" ht="25.5">
      <c r="I100" s="125" t="s">
        <v>39</v>
      </c>
      <c r="J100" s="126"/>
      <c r="K100" s="52">
        <v>0</v>
      </c>
    </row>
    <row r="101" spans="1:14" s="2" customFormat="1" ht="25.5">
      <c r="I101" s="125" t="s">
        <v>41</v>
      </c>
      <c r="J101" s="126"/>
      <c r="K101" s="48">
        <f>+K100-K99</f>
        <v>0</v>
      </c>
    </row>
    <row r="102" spans="1:14" s="2" customFormat="1" ht="25.5">
      <c r="I102" s="125" t="s">
        <v>42</v>
      </c>
      <c r="J102" s="126"/>
      <c r="K102" s="48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>
      <c r="I105" s="2"/>
      <c r="J105" s="65" t="s">
        <v>51</v>
      </c>
      <c r="K105" s="45">
        <f>SUM(K94:K97)</f>
        <v>0</v>
      </c>
    </row>
    <row r="106" spans="1:14" ht="24.7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กนกอร พุ่มนิล</cp:lastModifiedBy>
  <cp:lastPrinted>2024-02-21T03:55:28Z</cp:lastPrinted>
  <dcterms:created xsi:type="dcterms:W3CDTF">2024-01-01T09:14:00Z</dcterms:created>
  <dcterms:modified xsi:type="dcterms:W3CDTF">2024-07-02T09:21:12Z</dcterms:modified>
</cp:coreProperties>
</file>