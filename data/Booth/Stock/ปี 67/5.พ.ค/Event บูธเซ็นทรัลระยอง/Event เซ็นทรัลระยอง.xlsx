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Event บูธเซ็นทรัลระยอง\"/>
    </mc:Choice>
  </mc:AlternateContent>
  <xr:revisionPtr revIDLastSave="0" documentId="13_ncr:1_{A968B7B2-E670-4E12-9473-B3CE5BEAF585}" xr6:coauthVersionLast="47" xr6:coauthVersionMax="47" xr10:uidLastSave="{00000000-0000-0000-0000-000000000000}"/>
  <bookViews>
    <workbookView xWindow="1980" yWindow="255" windowWidth="18525" windowHeight="15060" xr2:uid="{3FF7676E-7B11-421B-8893-72209306F604}"/>
  </bookViews>
  <sheets>
    <sheet name="15-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8" i="1" l="1"/>
  <c r="K100" i="1"/>
  <c r="K102" i="1"/>
  <c r="M94" i="1"/>
  <c r="M93" i="1"/>
  <c r="J92" i="1"/>
  <c r="M92" i="1" s="1"/>
  <c r="J93" i="1"/>
  <c r="J94" i="1"/>
  <c r="G92" i="1"/>
  <c r="G94" i="1"/>
  <c r="G95" i="1"/>
  <c r="E94" i="1"/>
  <c r="E90" i="1"/>
  <c r="E91" i="1"/>
  <c r="E92" i="1"/>
  <c r="E93" i="1"/>
  <c r="G93" i="1" s="1"/>
  <c r="J89" i="1"/>
  <c r="M89" i="1" s="1"/>
  <c r="J90" i="1"/>
  <c r="M90" i="1" s="1"/>
  <c r="J91" i="1"/>
  <c r="M91" i="1" s="1"/>
  <c r="J95" i="1"/>
  <c r="K111" i="1"/>
  <c r="K103" i="1"/>
  <c r="M95" i="1"/>
  <c r="E95" i="1"/>
  <c r="G91" i="1"/>
  <c r="G90" i="1"/>
  <c r="X89" i="1"/>
  <c r="S89" i="1"/>
  <c r="U89" i="1" s="1"/>
  <c r="E89" i="1"/>
  <c r="G89" i="1" s="1"/>
  <c r="X88" i="1"/>
  <c r="S88" i="1"/>
  <c r="U88" i="1" s="1"/>
  <c r="J88" i="1"/>
  <c r="M88" i="1" s="1"/>
  <c r="E88" i="1"/>
  <c r="G88" i="1" s="1"/>
  <c r="X87" i="1"/>
  <c r="S87" i="1"/>
  <c r="U87" i="1" s="1"/>
  <c r="J87" i="1"/>
  <c r="M87" i="1" s="1"/>
  <c r="E87" i="1"/>
  <c r="G87" i="1" s="1"/>
  <c r="X86" i="1"/>
  <c r="S86" i="1"/>
  <c r="U86" i="1" s="1"/>
  <c r="J86" i="1"/>
  <c r="M86" i="1" s="1"/>
  <c r="E86" i="1"/>
  <c r="G86" i="1" s="1"/>
  <c r="X85" i="1"/>
  <c r="S85" i="1"/>
  <c r="U85" i="1" s="1"/>
  <c r="J85" i="1"/>
  <c r="M85" i="1" s="1"/>
  <c r="E85" i="1"/>
  <c r="G85" i="1" s="1"/>
  <c r="X84" i="1"/>
  <c r="S84" i="1"/>
  <c r="U84" i="1" s="1"/>
  <c r="J84" i="1"/>
  <c r="M84" i="1" s="1"/>
  <c r="E84" i="1"/>
  <c r="G84" i="1" s="1"/>
  <c r="X83" i="1"/>
  <c r="S83" i="1"/>
  <c r="U83" i="1" s="1"/>
  <c r="J83" i="1"/>
  <c r="M83" i="1" s="1"/>
  <c r="E83" i="1"/>
  <c r="G83" i="1" s="1"/>
  <c r="X82" i="1"/>
  <c r="S82" i="1"/>
  <c r="U82" i="1" s="1"/>
  <c r="J82" i="1"/>
  <c r="M82" i="1" s="1"/>
  <c r="E82" i="1"/>
  <c r="G82" i="1" s="1"/>
  <c r="X81" i="1"/>
  <c r="S81" i="1"/>
  <c r="U81" i="1" s="1"/>
  <c r="J81" i="1"/>
  <c r="M81" i="1" s="1"/>
  <c r="E81" i="1"/>
  <c r="G81" i="1" s="1"/>
  <c r="X80" i="1"/>
  <c r="S80" i="1"/>
  <c r="U80" i="1" s="1"/>
  <c r="J80" i="1"/>
  <c r="M80" i="1" s="1"/>
  <c r="E80" i="1"/>
  <c r="G80" i="1" s="1"/>
  <c r="X79" i="1"/>
  <c r="S79" i="1"/>
  <c r="U79" i="1" s="1"/>
  <c r="J79" i="1"/>
  <c r="M79" i="1" s="1"/>
  <c r="E79" i="1"/>
  <c r="G79" i="1" s="1"/>
  <c r="X78" i="1"/>
  <c r="S78" i="1"/>
  <c r="U78" i="1" s="1"/>
  <c r="J78" i="1"/>
  <c r="M78" i="1" s="1"/>
  <c r="E78" i="1"/>
  <c r="G78" i="1" s="1"/>
  <c r="X77" i="1"/>
  <c r="S77" i="1"/>
  <c r="U77" i="1" s="1"/>
  <c r="J77" i="1"/>
  <c r="M77" i="1" s="1"/>
  <c r="E77" i="1"/>
  <c r="G77" i="1" s="1"/>
  <c r="X76" i="1"/>
  <c r="S76" i="1"/>
  <c r="U76" i="1" s="1"/>
  <c r="J76" i="1"/>
  <c r="M76" i="1" s="1"/>
  <c r="E76" i="1"/>
  <c r="G76" i="1" s="1"/>
  <c r="X75" i="1"/>
  <c r="S75" i="1"/>
  <c r="U75" i="1" s="1"/>
  <c r="J75" i="1"/>
  <c r="M75" i="1" s="1"/>
  <c r="E75" i="1"/>
  <c r="G75" i="1" s="1"/>
  <c r="X74" i="1"/>
  <c r="S74" i="1"/>
  <c r="U74" i="1" s="1"/>
  <c r="J74" i="1"/>
  <c r="M74" i="1" s="1"/>
  <c r="E74" i="1"/>
  <c r="G74" i="1" s="1"/>
  <c r="X73" i="1"/>
  <c r="S73" i="1"/>
  <c r="U73" i="1" s="1"/>
  <c r="J73" i="1"/>
  <c r="M73" i="1" s="1"/>
  <c r="E73" i="1"/>
  <c r="G73" i="1" s="1"/>
  <c r="X72" i="1"/>
  <c r="S72" i="1"/>
  <c r="U72" i="1" s="1"/>
  <c r="J72" i="1"/>
  <c r="M72" i="1" s="1"/>
  <c r="E72" i="1"/>
  <c r="G72" i="1" s="1"/>
  <c r="X71" i="1"/>
  <c r="S71" i="1"/>
  <c r="U71" i="1" s="1"/>
  <c r="J71" i="1"/>
  <c r="M71" i="1" s="1"/>
  <c r="E71" i="1"/>
  <c r="G71" i="1" s="1"/>
  <c r="X70" i="1"/>
  <c r="S70" i="1"/>
  <c r="U70" i="1" s="1"/>
  <c r="J70" i="1"/>
  <c r="M70" i="1" s="1"/>
  <c r="E70" i="1"/>
  <c r="G70" i="1" s="1"/>
  <c r="X69" i="1"/>
  <c r="S69" i="1"/>
  <c r="U69" i="1" s="1"/>
  <c r="J69" i="1"/>
  <c r="M69" i="1" s="1"/>
  <c r="E69" i="1"/>
  <c r="G69" i="1" s="1"/>
  <c r="X68" i="1"/>
  <c r="S68" i="1"/>
  <c r="U68" i="1" s="1"/>
  <c r="J68" i="1"/>
  <c r="M68" i="1" s="1"/>
  <c r="E68" i="1"/>
  <c r="G68" i="1" s="1"/>
  <c r="X67" i="1"/>
  <c r="S67" i="1"/>
  <c r="U67" i="1" s="1"/>
  <c r="J67" i="1"/>
  <c r="M67" i="1" s="1"/>
  <c r="E67" i="1"/>
  <c r="G67" i="1" s="1"/>
  <c r="X66" i="1"/>
  <c r="S66" i="1"/>
  <c r="U66" i="1" s="1"/>
  <c r="J66" i="1"/>
  <c r="M66" i="1" s="1"/>
  <c r="E66" i="1"/>
  <c r="G66" i="1" s="1"/>
  <c r="X65" i="1"/>
  <c r="S65" i="1"/>
  <c r="U65" i="1" s="1"/>
  <c r="J65" i="1"/>
  <c r="M65" i="1" s="1"/>
  <c r="E65" i="1"/>
  <c r="G65" i="1" s="1"/>
  <c r="X64" i="1"/>
  <c r="S64" i="1"/>
  <c r="U64" i="1" s="1"/>
  <c r="J64" i="1"/>
  <c r="M64" i="1" s="1"/>
  <c r="E64" i="1"/>
  <c r="G64" i="1" s="1"/>
  <c r="X63" i="1"/>
  <c r="S63" i="1"/>
  <c r="U63" i="1" s="1"/>
  <c r="J63" i="1"/>
  <c r="M63" i="1" s="1"/>
  <c r="E63" i="1"/>
  <c r="G63" i="1" s="1"/>
  <c r="X62" i="1"/>
  <c r="S62" i="1"/>
  <c r="U62" i="1" s="1"/>
  <c r="J62" i="1"/>
  <c r="M62" i="1" s="1"/>
  <c r="E62" i="1"/>
  <c r="G62" i="1" s="1"/>
  <c r="X61" i="1"/>
  <c r="S61" i="1"/>
  <c r="U61" i="1" s="1"/>
  <c r="J61" i="1"/>
  <c r="M61" i="1" s="1"/>
  <c r="E61" i="1"/>
  <c r="G61" i="1" s="1"/>
  <c r="X60" i="1"/>
  <c r="S60" i="1"/>
  <c r="U60" i="1" s="1"/>
  <c r="J60" i="1"/>
  <c r="M60" i="1" s="1"/>
  <c r="E60" i="1"/>
  <c r="G60" i="1" s="1"/>
  <c r="X59" i="1"/>
  <c r="S59" i="1"/>
  <c r="U59" i="1" s="1"/>
  <c r="J59" i="1"/>
  <c r="M59" i="1" s="1"/>
  <c r="E59" i="1"/>
  <c r="G59" i="1" s="1"/>
  <c r="X58" i="1"/>
  <c r="S58" i="1"/>
  <c r="U58" i="1" s="1"/>
  <c r="J58" i="1"/>
  <c r="M58" i="1" s="1"/>
  <c r="E58" i="1"/>
  <c r="G58" i="1" s="1"/>
  <c r="X57" i="1"/>
  <c r="S57" i="1"/>
  <c r="U57" i="1" s="1"/>
  <c r="J57" i="1"/>
  <c r="M57" i="1" s="1"/>
  <c r="E57" i="1"/>
  <c r="G57" i="1" s="1"/>
  <c r="X56" i="1"/>
  <c r="S56" i="1"/>
  <c r="U56" i="1" s="1"/>
  <c r="J56" i="1"/>
  <c r="M56" i="1" s="1"/>
  <c r="E56" i="1"/>
  <c r="G56" i="1" s="1"/>
  <c r="X55" i="1"/>
  <c r="S55" i="1"/>
  <c r="U55" i="1" s="1"/>
  <c r="J55" i="1"/>
  <c r="M55" i="1" s="1"/>
  <c r="E55" i="1"/>
  <c r="G55" i="1" s="1"/>
  <c r="X54" i="1"/>
  <c r="S54" i="1"/>
  <c r="U54" i="1" s="1"/>
  <c r="J54" i="1"/>
  <c r="M54" i="1" s="1"/>
  <c r="E54" i="1"/>
  <c r="G54" i="1" s="1"/>
  <c r="X53" i="1"/>
  <c r="S53" i="1"/>
  <c r="U53" i="1" s="1"/>
  <c r="J53" i="1"/>
  <c r="M53" i="1" s="1"/>
  <c r="E53" i="1"/>
  <c r="G53" i="1" s="1"/>
  <c r="X52" i="1"/>
  <c r="S52" i="1"/>
  <c r="U52" i="1" s="1"/>
  <c r="J52" i="1"/>
  <c r="M52" i="1" s="1"/>
  <c r="E52" i="1"/>
  <c r="G52" i="1" s="1"/>
  <c r="X51" i="1"/>
  <c r="S51" i="1"/>
  <c r="U51" i="1" s="1"/>
  <c r="J51" i="1"/>
  <c r="M51" i="1" s="1"/>
  <c r="E51" i="1"/>
  <c r="G51" i="1" s="1"/>
  <c r="X50" i="1"/>
  <c r="S50" i="1"/>
  <c r="U50" i="1" s="1"/>
  <c r="J50" i="1"/>
  <c r="M50" i="1" s="1"/>
  <c r="E50" i="1"/>
  <c r="G50" i="1" s="1"/>
  <c r="X49" i="1"/>
  <c r="S49" i="1"/>
  <c r="U49" i="1" s="1"/>
  <c r="J49" i="1"/>
  <c r="M49" i="1" s="1"/>
  <c r="E49" i="1"/>
  <c r="G49" i="1" s="1"/>
  <c r="X48" i="1"/>
  <c r="S48" i="1"/>
  <c r="U48" i="1" s="1"/>
  <c r="J48" i="1"/>
  <c r="M48" i="1" s="1"/>
  <c r="E48" i="1"/>
  <c r="G48" i="1" s="1"/>
  <c r="X47" i="1"/>
  <c r="S47" i="1"/>
  <c r="U47" i="1" s="1"/>
  <c r="J47" i="1"/>
  <c r="M47" i="1" s="1"/>
  <c r="E47" i="1"/>
  <c r="G47" i="1" s="1"/>
  <c r="X46" i="1"/>
  <c r="S46" i="1"/>
  <c r="U46" i="1" s="1"/>
  <c r="J46" i="1"/>
  <c r="M46" i="1" s="1"/>
  <c r="E46" i="1"/>
  <c r="G46" i="1" s="1"/>
  <c r="X45" i="1"/>
  <c r="S45" i="1"/>
  <c r="U45" i="1" s="1"/>
  <c r="J45" i="1"/>
  <c r="M45" i="1" s="1"/>
  <c r="E45" i="1"/>
  <c r="G45" i="1" s="1"/>
  <c r="X44" i="1"/>
  <c r="S44" i="1"/>
  <c r="U44" i="1" s="1"/>
  <c r="J44" i="1"/>
  <c r="M44" i="1" s="1"/>
  <c r="E44" i="1"/>
  <c r="G44" i="1" s="1"/>
  <c r="X43" i="1"/>
  <c r="S43" i="1"/>
  <c r="U43" i="1" s="1"/>
  <c r="J43" i="1"/>
  <c r="M43" i="1" s="1"/>
  <c r="E43" i="1"/>
  <c r="G43" i="1" s="1"/>
  <c r="X42" i="1"/>
  <c r="S42" i="1"/>
  <c r="U42" i="1" s="1"/>
  <c r="J42" i="1"/>
  <c r="M42" i="1" s="1"/>
  <c r="E42" i="1"/>
  <c r="G42" i="1" s="1"/>
  <c r="X41" i="1"/>
  <c r="S41" i="1"/>
  <c r="U41" i="1" s="1"/>
  <c r="J41" i="1"/>
  <c r="M41" i="1" s="1"/>
  <c r="E41" i="1"/>
  <c r="G41" i="1" s="1"/>
  <c r="X40" i="1"/>
  <c r="S40" i="1"/>
  <c r="U40" i="1" s="1"/>
  <c r="J40" i="1"/>
  <c r="M40" i="1" s="1"/>
  <c r="E40" i="1"/>
  <c r="G40" i="1" s="1"/>
  <c r="X39" i="1"/>
  <c r="S39" i="1"/>
  <c r="U39" i="1" s="1"/>
  <c r="J39" i="1"/>
  <c r="M39" i="1" s="1"/>
  <c r="E39" i="1"/>
  <c r="G39" i="1" s="1"/>
  <c r="X38" i="1"/>
  <c r="S38" i="1"/>
  <c r="U38" i="1" s="1"/>
  <c r="J38" i="1"/>
  <c r="M38" i="1" s="1"/>
  <c r="E38" i="1"/>
  <c r="G38" i="1" s="1"/>
  <c r="X37" i="1"/>
  <c r="S37" i="1"/>
  <c r="U37" i="1" s="1"/>
  <c r="J37" i="1"/>
  <c r="M37" i="1" s="1"/>
  <c r="E37" i="1"/>
  <c r="G37" i="1" s="1"/>
  <c r="X36" i="1"/>
  <c r="S36" i="1"/>
  <c r="U36" i="1" s="1"/>
  <c r="J36" i="1"/>
  <c r="M36" i="1" s="1"/>
  <c r="E36" i="1"/>
  <c r="G36" i="1" s="1"/>
  <c r="X35" i="1"/>
  <c r="S35" i="1"/>
  <c r="U35" i="1" s="1"/>
  <c r="J35" i="1"/>
  <c r="M35" i="1" s="1"/>
  <c r="E35" i="1"/>
  <c r="G35" i="1" s="1"/>
  <c r="X34" i="1"/>
  <c r="S34" i="1"/>
  <c r="U34" i="1" s="1"/>
  <c r="J34" i="1"/>
  <c r="M34" i="1" s="1"/>
  <c r="E34" i="1"/>
  <c r="G34" i="1" s="1"/>
  <c r="X33" i="1"/>
  <c r="S33" i="1"/>
  <c r="U33" i="1" s="1"/>
  <c r="J33" i="1"/>
  <c r="M33" i="1" s="1"/>
  <c r="E33" i="1"/>
  <c r="G33" i="1" s="1"/>
  <c r="X32" i="1"/>
  <c r="S32" i="1"/>
  <c r="U32" i="1" s="1"/>
  <c r="J32" i="1"/>
  <c r="M32" i="1" s="1"/>
  <c r="E32" i="1"/>
  <c r="G32" i="1" s="1"/>
  <c r="X31" i="1"/>
  <c r="S31" i="1"/>
  <c r="U31" i="1" s="1"/>
  <c r="J31" i="1"/>
  <c r="M31" i="1" s="1"/>
  <c r="E31" i="1"/>
  <c r="G31" i="1" s="1"/>
  <c r="X30" i="1"/>
  <c r="S30" i="1"/>
  <c r="U30" i="1" s="1"/>
  <c r="J30" i="1"/>
  <c r="M30" i="1" s="1"/>
  <c r="E30" i="1"/>
  <c r="G30" i="1" s="1"/>
  <c r="X29" i="1"/>
  <c r="S29" i="1"/>
  <c r="U29" i="1" s="1"/>
  <c r="J29" i="1"/>
  <c r="M29" i="1" s="1"/>
  <c r="E29" i="1"/>
  <c r="G29" i="1" s="1"/>
  <c r="X28" i="1"/>
  <c r="S28" i="1"/>
  <c r="U28" i="1" s="1"/>
  <c r="J28" i="1"/>
  <c r="M28" i="1" s="1"/>
  <c r="E28" i="1"/>
  <c r="G28" i="1" s="1"/>
  <c r="X27" i="1"/>
  <c r="S27" i="1"/>
  <c r="U27" i="1" s="1"/>
  <c r="J27" i="1"/>
  <c r="M27" i="1" s="1"/>
  <c r="E27" i="1"/>
  <c r="G27" i="1" s="1"/>
  <c r="X26" i="1"/>
  <c r="S26" i="1"/>
  <c r="U26" i="1" s="1"/>
  <c r="J26" i="1"/>
  <c r="M26" i="1" s="1"/>
  <c r="E26" i="1"/>
  <c r="G26" i="1" s="1"/>
  <c r="X25" i="1"/>
  <c r="S25" i="1"/>
  <c r="U25" i="1" s="1"/>
  <c r="J25" i="1"/>
  <c r="M25" i="1" s="1"/>
  <c r="E25" i="1"/>
  <c r="G25" i="1" s="1"/>
  <c r="X24" i="1"/>
  <c r="S24" i="1"/>
  <c r="U24" i="1" s="1"/>
  <c r="J24" i="1"/>
  <c r="M24" i="1" s="1"/>
  <c r="E24" i="1"/>
  <c r="G24" i="1" s="1"/>
  <c r="X23" i="1"/>
  <c r="S23" i="1"/>
  <c r="U23" i="1" s="1"/>
  <c r="J23" i="1"/>
  <c r="M23" i="1" s="1"/>
  <c r="E23" i="1"/>
  <c r="G23" i="1" s="1"/>
  <c r="X22" i="1"/>
  <c r="S22" i="1"/>
  <c r="U22" i="1" s="1"/>
  <c r="J22" i="1"/>
  <c r="M22" i="1" s="1"/>
  <c r="E22" i="1"/>
  <c r="G22" i="1" s="1"/>
  <c r="X21" i="1"/>
  <c r="S21" i="1"/>
  <c r="U21" i="1" s="1"/>
  <c r="J21" i="1"/>
  <c r="M21" i="1" s="1"/>
  <c r="E21" i="1"/>
  <c r="G21" i="1" s="1"/>
  <c r="X20" i="1"/>
  <c r="S20" i="1"/>
  <c r="U20" i="1" s="1"/>
  <c r="J20" i="1"/>
  <c r="M20" i="1" s="1"/>
  <c r="E20" i="1"/>
  <c r="G20" i="1" s="1"/>
  <c r="X19" i="1"/>
  <c r="S19" i="1"/>
  <c r="U19" i="1" s="1"/>
  <c r="J19" i="1"/>
  <c r="M19" i="1" s="1"/>
  <c r="E19" i="1"/>
  <c r="G19" i="1" s="1"/>
  <c r="X18" i="1"/>
  <c r="S18" i="1"/>
  <c r="U18" i="1" s="1"/>
  <c r="J18" i="1"/>
  <c r="M18" i="1" s="1"/>
  <c r="E18" i="1"/>
  <c r="G18" i="1" s="1"/>
  <c r="X17" i="1"/>
  <c r="S17" i="1"/>
  <c r="U17" i="1" s="1"/>
  <c r="J17" i="1"/>
  <c r="M17" i="1" s="1"/>
  <c r="E17" i="1"/>
  <c r="G17" i="1" s="1"/>
  <c r="X16" i="1"/>
  <c r="S16" i="1"/>
  <c r="U16" i="1" s="1"/>
  <c r="J16" i="1"/>
  <c r="M16" i="1" s="1"/>
  <c r="E16" i="1"/>
  <c r="G16" i="1" s="1"/>
  <c r="X15" i="1"/>
  <c r="S15" i="1"/>
  <c r="U15" i="1" s="1"/>
  <c r="J15" i="1"/>
  <c r="M15" i="1" s="1"/>
  <c r="E15" i="1"/>
  <c r="G15" i="1" s="1"/>
  <c r="X14" i="1"/>
  <c r="S14" i="1"/>
  <c r="U14" i="1" s="1"/>
  <c r="J14" i="1"/>
  <c r="M14" i="1" s="1"/>
  <c r="E14" i="1"/>
  <c r="G14" i="1" s="1"/>
  <c r="X13" i="1"/>
  <c r="S13" i="1"/>
  <c r="U13" i="1" s="1"/>
  <c r="J13" i="1"/>
  <c r="M13" i="1" s="1"/>
  <c r="E13" i="1"/>
  <c r="G13" i="1" s="1"/>
  <c r="X12" i="1"/>
  <c r="S12" i="1"/>
  <c r="U12" i="1" s="1"/>
  <c r="J12" i="1"/>
  <c r="M12" i="1" s="1"/>
  <c r="E12" i="1"/>
  <c r="G12" i="1" s="1"/>
  <c r="X11" i="1"/>
  <c r="S11" i="1"/>
  <c r="U11" i="1" s="1"/>
  <c r="J11" i="1"/>
  <c r="M11" i="1" s="1"/>
  <c r="E11" i="1"/>
  <c r="G11" i="1" s="1"/>
  <c r="X10" i="1"/>
  <c r="S10" i="1"/>
  <c r="U10" i="1" s="1"/>
  <c r="J10" i="1"/>
  <c r="M10" i="1" s="1"/>
  <c r="E10" i="1"/>
  <c r="G10" i="1" s="1"/>
  <c r="X9" i="1"/>
  <c r="S9" i="1"/>
  <c r="U9" i="1" s="1"/>
  <c r="J9" i="1"/>
  <c r="M9" i="1" s="1"/>
  <c r="E9" i="1"/>
  <c r="G9" i="1" s="1"/>
  <c r="X8" i="1"/>
  <c r="S8" i="1"/>
  <c r="U8" i="1" s="1"/>
  <c r="J8" i="1"/>
  <c r="M8" i="1" s="1"/>
  <c r="E8" i="1"/>
  <c r="G8" i="1" s="1"/>
  <c r="X7" i="1"/>
  <c r="S7" i="1"/>
  <c r="U7" i="1" s="1"/>
  <c r="J7" i="1"/>
  <c r="M7" i="1" s="1"/>
  <c r="E7" i="1"/>
  <c r="G7" i="1" s="1"/>
  <c r="X6" i="1"/>
  <c r="S6" i="1"/>
  <c r="U6" i="1" s="1"/>
  <c r="J6" i="1"/>
  <c r="M6" i="1" s="1"/>
  <c r="E6" i="1"/>
  <c r="G6" i="1" s="1"/>
  <c r="X5" i="1"/>
  <c r="S5" i="1"/>
  <c r="U5" i="1" s="1"/>
  <c r="J5" i="1"/>
  <c r="M5" i="1" s="1"/>
  <c r="E5" i="1"/>
  <c r="G5" i="1" s="1"/>
  <c r="K104" i="1" l="1"/>
  <c r="K110" i="1"/>
  <c r="K107" i="1" l="1"/>
  <c r="K106" i="1"/>
  <c r="K109" i="1" l="1"/>
  <c r="K1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50AD081C-1140-45D9-8C8C-66B4250EC1D0}">
      <text>
        <r>
          <rPr>
            <b/>
            <sz val="9"/>
            <color indexed="81"/>
            <rFont val="Tahoma"/>
            <charset val="222"/>
          </rPr>
          <t>ชิม</t>
        </r>
      </text>
    </comment>
    <comment ref="F19" authorId="0" shapeId="0" xr:uid="{AF1B46D4-2BBE-47D1-87BC-7214CD49205A}">
      <text>
        <r>
          <rPr>
            <b/>
            <sz val="9"/>
            <color indexed="81"/>
            <rFont val="Tahoma"/>
            <charset val="222"/>
          </rPr>
          <t>อินฟลู</t>
        </r>
      </text>
    </comment>
    <comment ref="F42" authorId="0" shapeId="0" xr:uid="{ECF26A81-38DD-481C-9FED-80B53D4C8989}">
      <text>
        <r>
          <rPr>
            <b/>
            <sz val="9"/>
            <color indexed="81"/>
            <rFont val="Tahoma"/>
            <charset val="222"/>
          </rPr>
          <t>ให้คู่ค้า</t>
        </r>
      </text>
    </comment>
    <comment ref="F92" authorId="0" shapeId="0" xr:uid="{F7C9DC31-36FF-4456-AD53-D7EB60159646}">
      <text>
        <r>
          <rPr>
            <b/>
            <sz val="9"/>
            <color indexed="81"/>
            <rFont val="Tahoma"/>
            <charset val="222"/>
          </rPr>
          <t>อินฟลู</t>
        </r>
      </text>
    </comment>
    <comment ref="F93" authorId="0" shapeId="0" xr:uid="{B2102A01-5ABD-491C-8365-6EDCB5354909}">
      <text>
        <r>
          <rPr>
            <b/>
            <sz val="9"/>
            <color indexed="81"/>
            <rFont val="Tahoma"/>
            <charset val="222"/>
          </rPr>
          <t>ให้อินฟลู</t>
        </r>
      </text>
    </comment>
    <comment ref="L102" authorId="0" shapeId="0" xr:uid="{9613F115-958B-473E-90DD-A0F1D03D2343}">
      <text>
        <r>
          <rPr>
            <b/>
            <sz val="9"/>
            <color indexed="81"/>
            <rFont val="Tahoma"/>
            <charset val="222"/>
          </rPr>
          <t>ช้อนพลาสติก</t>
        </r>
      </text>
    </comment>
  </commentList>
</comments>
</file>

<file path=xl/sharedStrings.xml><?xml version="1.0" encoding="utf-8"?>
<sst xmlns="http://schemas.openxmlformats.org/spreadsheetml/2006/main" count="311" uniqueCount="130">
  <si>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</si>
  <si>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</si>
  <si>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</si>
  <si>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</si>
  <si>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</si>
  <si>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</si>
  <si>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</si>
  <si>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</si>
  <si>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</si>
  <si>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</si>
  <si>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</si>
  <si>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</si>
  <si>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</si>
  <si>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</si>
  <si>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</si>
  <si>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</si>
  <si>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</si>
  <si>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</si>
  <si>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</si>
  <si>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</si>
  <si>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</si>
  <si>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</si>
  <si>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</si>
  <si>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</si>
  <si>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</si>
  <si>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</si>
  <si>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</si>
  <si>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</si>
  <si>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</si>
  <si>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</si>
  <si>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</si>
  <si>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</si>
  <si>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</si>
  <si>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</si>
  <si>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</si>
  <si>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</si>
  <si>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</si>
  <si>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</si>
  <si>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</si>
  <si>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</si>
  <si>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</si>
  <si>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</si>
  <si>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</si>
  <si>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</si>
  <si>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</si>
  <si>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</si>
  <si>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</si>
  <si>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</si>
  <si>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</si>
  <si>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</si>
  <si>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</si>
  <si>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</si>
  <si>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</si>
  <si>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</si>
  <si>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</si>
  <si>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</si>
  <si>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</si>
  <si>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</si>
  <si>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</si>
  <si>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</si>
  <si>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</si>
  <si>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</si>
  <si>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</si>
  <si>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</si>
  <si>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</si>
  <si>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</si>
  <si>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</si>
  <si>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</si>
  <si>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</si>
  <si>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</si>
  <si>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</si>
  <si>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</si>
  <si>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</si>
  <si>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</si>
  <si>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</si>
  <si>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</si>
  <si>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</si>
  <si>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</si>
  <si>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</si>
  <si>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</si>
  <si>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</si>
  <si>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</si>
  <si>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</si>
  <si>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</si>
  <si>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</si>
  <si>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</si>
  <si>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</si>
  <si>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</si>
  <si>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</si>
  <si>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</si>
  <si>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</si>
  <si>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</si>
  <si>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</si>
  <si>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</si>
  <si>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</si>
  <si>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</si>
  <si>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</si>
  <si>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</si>
  <si>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</si>
  <si>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</si>
  <si>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</si>
  <si>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</si>
  <si>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</si>
  <si>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</si>
  <si>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</si>
  <si>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</si>
  <si>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</si>
  <si>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</si>
  <si>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</si>
  <si>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</si>
  <si>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</si>
  <si>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</si>
  <si>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</si>
  <si>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</si>
  <si>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</si>
  <si>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</si>
  <si>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ลด20%=1</t>
  </si>
  <si>
    <t>ลด20%=3</t>
  </si>
  <si>
    <t>ลด20%=4</t>
  </si>
  <si>
    <t>บราวน์นี่กรอบ</t>
  </si>
  <si>
    <t>เค้กลอดช่อง</t>
  </si>
  <si>
    <t>ลด5บาท=4</t>
  </si>
  <si>
    <t>วุ้นกะทิ</t>
  </si>
  <si>
    <t>เค้กแยมโรลวรรณวนัช</t>
  </si>
  <si>
    <t>ลด50%=8</t>
  </si>
  <si>
    <t>โปรคู่1</t>
  </si>
  <si>
    <t>โปรคู่7</t>
  </si>
  <si>
    <t>ลด5บาท=2</t>
  </si>
  <si>
    <t>ลด10บาท=2</t>
  </si>
  <si>
    <t>บูธเซ็นทรัลระยอง วันที่ 15-19/5/67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</si>
</sst>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9"/>
      <color indexed="81"/>
      <name val="Tahoma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43" fontId="2" fillId="0" borderId="14" xfId="1" applyFont="1" applyFill="1" applyBorder="1" applyAlignment="1">
      <alignment horizontal="center"/>
    </xf>
    <xf numFmtId="0" fontId="2" fillId="0" borderId="1" xfId="0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0" fontId="8" fillId="5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7" borderId="1" xfId="0" applyNumberFormat="1" applyFont="1" applyFill="1" applyBorder="1"/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1" fontId="10" fillId="7" borderId="1" xfId="0" applyNumberFormat="1" applyFont="1" applyFill="1" applyBorder="1"/>
    <xf numFmtId="43" fontId="10" fillId="7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D5C2-92C9-41C6-96D6-F0552746C83F}">
  <dimension ref="A1:FG182"/>
  <sheetViews>
    <sheetView tabSelected="1" zoomScale="90" zoomScaleNormal="90" workbookViewId="0">
      <pane ySplit="4" topLeftCell="A92" activePane="bottomLeft" state="frozen"/>
      <selection pane="bottomLeft" activeCell="FH100" sqref="FH100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9.625" style="51" customWidth="1"/>
    <col min="8" max="8" width="9.625" style="2" customWidth="1"/>
    <col min="9" max="9" width="8.625" style="52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68" t="s">
        <v>129</v>
      </c>
      <c r="B2" s="68"/>
      <c r="C2" s="68"/>
      <c r="D2" s="68"/>
      <c r="E2" s="68"/>
      <c r="F2" s="68"/>
      <c r="G2" s="68"/>
      <c r="H2" s="68"/>
      <c r="I2" s="68"/>
      <c r="J2" s="68"/>
      <c r="K2" s="68"/>
      <c r="O2" s="69" t="s">
        <v>0</v>
      </c>
      <c r="P2" s="69"/>
      <c r="Q2" s="69"/>
      <c r="R2" s="69"/>
      <c r="S2" s="69"/>
      <c r="T2" s="69"/>
      <c r="U2" s="69"/>
      <c r="V2" s="69"/>
      <c r="W2" s="69"/>
      <c r="X2" s="69"/>
      <c r="Y2" s="69"/>
    </row>
    <row r="3" spans="1:26" s="5" customFormat="1" ht="26.25" x14ac:dyDescent="0.55000000000000004">
      <c r="A3" s="70" t="s">
        <v>1</v>
      </c>
      <c r="B3" s="70" t="s">
        <v>2</v>
      </c>
      <c r="C3" s="66" t="s">
        <v>3</v>
      </c>
      <c r="D3" s="66" t="s">
        <v>4</v>
      </c>
      <c r="E3" s="66" t="s">
        <v>5</v>
      </c>
      <c r="F3" s="4" t="s">
        <v>6</v>
      </c>
      <c r="G3" s="71" t="s">
        <v>7</v>
      </c>
      <c r="H3" s="59" t="s">
        <v>8</v>
      </c>
      <c r="I3" s="60"/>
      <c r="J3" s="61"/>
      <c r="K3" s="62" t="s">
        <v>9</v>
      </c>
      <c r="L3" s="64" t="s">
        <v>10</v>
      </c>
      <c r="O3" s="70" t="s">
        <v>1</v>
      </c>
      <c r="P3" s="70" t="s">
        <v>2</v>
      </c>
      <c r="Q3" s="66" t="s">
        <v>3</v>
      </c>
      <c r="R3" s="66" t="s">
        <v>4</v>
      </c>
      <c r="S3" s="66" t="s">
        <v>5</v>
      </c>
      <c r="T3" s="4" t="s">
        <v>6</v>
      </c>
      <c r="U3" s="71" t="s">
        <v>7</v>
      </c>
      <c r="V3" s="59" t="s">
        <v>8</v>
      </c>
      <c r="W3" s="60"/>
      <c r="X3" s="61"/>
      <c r="Y3" s="62" t="s">
        <v>9</v>
      </c>
      <c r="Z3" s="64" t="s">
        <v>10</v>
      </c>
    </row>
    <row r="4" spans="1:26" s="5" customFormat="1" ht="27" thickBot="1" x14ac:dyDescent="0.6">
      <c r="A4" s="70"/>
      <c r="B4" s="70"/>
      <c r="C4" s="67"/>
      <c r="D4" s="67"/>
      <c r="E4" s="67"/>
      <c r="F4" s="6" t="s">
        <v>11</v>
      </c>
      <c r="G4" s="72"/>
      <c r="H4" s="7" t="s">
        <v>12</v>
      </c>
      <c r="I4" s="8" t="s">
        <v>13</v>
      </c>
      <c r="J4" s="9" t="s">
        <v>14</v>
      </c>
      <c r="K4" s="63"/>
      <c r="L4" s="64"/>
      <c r="O4" s="70"/>
      <c r="P4" s="70"/>
      <c r="Q4" s="67"/>
      <c r="R4" s="67"/>
      <c r="S4" s="67"/>
      <c r="T4" s="6" t="s">
        <v>11</v>
      </c>
      <c r="U4" s="72"/>
      <c r="V4" s="7" t="s">
        <v>12</v>
      </c>
      <c r="W4" s="8" t="s">
        <v>13</v>
      </c>
      <c r="X4" s="9" t="s">
        <v>14</v>
      </c>
      <c r="Y4" s="63"/>
      <c r="Z4" s="64"/>
    </row>
    <row r="5" spans="1:26" ht="25.5" x14ac:dyDescent="0.55000000000000004">
      <c r="A5" s="10">
        <v>1</v>
      </c>
      <c r="B5" s="11" t="s">
        <v>15</v>
      </c>
      <c r="C5" s="12">
        <v>30</v>
      </c>
      <c r="D5" s="13">
        <v>0</v>
      </c>
      <c r="E5" s="12">
        <f t="shared" ref="E5:E90" si="0">C5+D5</f>
        <v>30</v>
      </c>
      <c r="F5" s="13">
        <v>1</v>
      </c>
      <c r="G5" s="12">
        <f t="shared" ref="G5:G89" si="1">E5-F5-H5</f>
        <v>0</v>
      </c>
      <c r="H5" s="14">
        <v>29</v>
      </c>
      <c r="I5" s="15">
        <v>50</v>
      </c>
      <c r="J5" s="16">
        <f t="shared" ref="J5:J69" si="2">+I5*H5</f>
        <v>1450</v>
      </c>
      <c r="K5" s="17" t="s">
        <v>16</v>
      </c>
      <c r="L5" s="18">
        <v>0</v>
      </c>
      <c r="M5" s="19">
        <f>+J5-L5</f>
        <v>1450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20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v>30</v>
      </c>
      <c r="D6" s="13">
        <v>10</v>
      </c>
      <c r="E6" s="12">
        <f t="shared" si="0"/>
        <v>40</v>
      </c>
      <c r="F6" s="13">
        <v>0</v>
      </c>
      <c r="G6" s="21">
        <f t="shared" si="1"/>
        <v>0</v>
      </c>
      <c r="H6" s="14">
        <v>40</v>
      </c>
      <c r="I6" s="15">
        <v>100</v>
      </c>
      <c r="J6" s="16">
        <f t="shared" si="2"/>
        <v>4000</v>
      </c>
      <c r="K6" s="17" t="s">
        <v>16</v>
      </c>
      <c r="L6" s="18">
        <v>0</v>
      </c>
      <c r="M6" s="19">
        <f t="shared" ref="M6:M69" si="4">+J6-L6</f>
        <v>4000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20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19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20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19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20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16">
        <f t="shared" si="2"/>
        <v>0</v>
      </c>
      <c r="K9" s="17" t="s">
        <v>16</v>
      </c>
      <c r="L9" s="18">
        <v>0</v>
      </c>
      <c r="M9" s="19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20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16">
        <f t="shared" si="2"/>
        <v>0</v>
      </c>
      <c r="K10" s="17" t="s">
        <v>16</v>
      </c>
      <c r="L10" s="18">
        <v>0</v>
      </c>
      <c r="M10" s="19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20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2" t="s">
        <v>22</v>
      </c>
      <c r="C11" s="12"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19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20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2" t="s">
        <v>23</v>
      </c>
      <c r="C12" s="12"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0</v>
      </c>
      <c r="H12" s="14">
        <v>10</v>
      </c>
      <c r="I12" s="15">
        <v>50</v>
      </c>
      <c r="J12" s="16">
        <f t="shared" si="2"/>
        <v>500</v>
      </c>
      <c r="K12" s="17" t="s">
        <v>16</v>
      </c>
      <c r="L12" s="18">
        <v>0</v>
      </c>
      <c r="M12" s="19">
        <f t="shared" si="4"/>
        <v>500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20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2" t="s">
        <v>24</v>
      </c>
      <c r="C13" s="12"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16">
        <f t="shared" si="2"/>
        <v>0</v>
      </c>
      <c r="K13" s="17" t="s">
        <v>16</v>
      </c>
      <c r="L13" s="18">
        <v>0</v>
      </c>
      <c r="M13" s="19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3"/>
      <c r="X13" s="20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2" t="s">
        <v>25</v>
      </c>
      <c r="C14" s="12">
        <v>10</v>
      </c>
      <c r="D14" s="13">
        <v>0</v>
      </c>
      <c r="E14" s="12">
        <f t="shared" si="0"/>
        <v>10</v>
      </c>
      <c r="F14" s="13">
        <v>0</v>
      </c>
      <c r="G14" s="12">
        <f t="shared" si="1"/>
        <v>0</v>
      </c>
      <c r="H14" s="14">
        <v>10</v>
      </c>
      <c r="I14" s="15">
        <v>65</v>
      </c>
      <c r="J14" s="16">
        <f t="shared" si="2"/>
        <v>650</v>
      </c>
      <c r="K14" s="17" t="s">
        <v>16</v>
      </c>
      <c r="L14" s="18">
        <v>0</v>
      </c>
      <c r="M14" s="19">
        <f t="shared" si="4"/>
        <v>650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20">
        <f t="shared" si="6"/>
        <v>0</v>
      </c>
      <c r="Y14" s="17" t="s">
        <v>16</v>
      </c>
      <c r="Z14" s="18">
        <v>0</v>
      </c>
    </row>
    <row r="15" spans="1:26" s="27" customFormat="1" ht="25.5" x14ac:dyDescent="0.55000000000000004">
      <c r="A15" s="24">
        <v>11</v>
      </c>
      <c r="B15" s="25" t="s">
        <v>26</v>
      </c>
      <c r="C15" s="12">
        <v>5</v>
      </c>
      <c r="D15" s="13">
        <v>0</v>
      </c>
      <c r="E15" s="26">
        <f t="shared" si="0"/>
        <v>5</v>
      </c>
      <c r="F15" s="13">
        <v>0</v>
      </c>
      <c r="G15" s="26">
        <f t="shared" si="1"/>
        <v>0</v>
      </c>
      <c r="H15" s="14">
        <v>5</v>
      </c>
      <c r="I15" s="15">
        <v>50</v>
      </c>
      <c r="J15" s="16">
        <f t="shared" si="2"/>
        <v>250</v>
      </c>
      <c r="K15" s="17" t="s">
        <v>16</v>
      </c>
      <c r="L15" s="18">
        <v>0</v>
      </c>
      <c r="M15" s="19">
        <f t="shared" si="4"/>
        <v>250</v>
      </c>
      <c r="O15" s="24">
        <v>11</v>
      </c>
      <c r="P15" s="25"/>
      <c r="Q15" s="26">
        <v>0</v>
      </c>
      <c r="R15" s="28">
        <v>0</v>
      </c>
      <c r="S15" s="26">
        <f t="shared" si="5"/>
        <v>0</v>
      </c>
      <c r="T15" s="28">
        <v>0</v>
      </c>
      <c r="U15" s="26">
        <f t="shared" si="3"/>
        <v>0</v>
      </c>
      <c r="V15" s="29">
        <v>0</v>
      </c>
      <c r="W15" s="30"/>
      <c r="X15" s="31">
        <f t="shared" si="6"/>
        <v>0</v>
      </c>
      <c r="Y15" s="32" t="s">
        <v>16</v>
      </c>
      <c r="Z15" s="33">
        <v>0</v>
      </c>
    </row>
    <row r="16" spans="1:26" ht="25.5" x14ac:dyDescent="0.55000000000000004">
      <c r="A16" s="10">
        <v>12</v>
      </c>
      <c r="B16" s="11" t="s">
        <v>27</v>
      </c>
      <c r="C16" s="12">
        <v>5</v>
      </c>
      <c r="D16" s="13">
        <v>0</v>
      </c>
      <c r="E16" s="12">
        <f t="shared" si="0"/>
        <v>5</v>
      </c>
      <c r="F16" s="13">
        <v>1</v>
      </c>
      <c r="G16" s="12">
        <f t="shared" si="1"/>
        <v>0</v>
      </c>
      <c r="H16" s="14">
        <v>4</v>
      </c>
      <c r="I16" s="15">
        <v>50</v>
      </c>
      <c r="J16" s="16">
        <f t="shared" si="2"/>
        <v>200</v>
      </c>
      <c r="K16" s="17" t="s">
        <v>117</v>
      </c>
      <c r="L16" s="18">
        <v>30</v>
      </c>
      <c r="M16" s="19">
        <f t="shared" si="4"/>
        <v>170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20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0</v>
      </c>
      <c r="H17" s="14">
        <v>5</v>
      </c>
      <c r="I17" s="15">
        <v>50</v>
      </c>
      <c r="J17" s="16">
        <f t="shared" si="2"/>
        <v>250</v>
      </c>
      <c r="K17" s="17" t="s">
        <v>16</v>
      </c>
      <c r="L17" s="18">
        <v>0</v>
      </c>
      <c r="M17" s="19">
        <f t="shared" si="4"/>
        <v>250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3"/>
      <c r="X17" s="20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2" t="s">
        <v>29</v>
      </c>
      <c r="C18" s="12">
        <v>5</v>
      </c>
      <c r="D18" s="13">
        <v>0</v>
      </c>
      <c r="E18" s="12">
        <f t="shared" si="0"/>
        <v>5</v>
      </c>
      <c r="F18" s="13">
        <v>0</v>
      </c>
      <c r="G18" s="12">
        <f t="shared" si="1"/>
        <v>0</v>
      </c>
      <c r="H18" s="14">
        <v>5</v>
      </c>
      <c r="I18" s="15">
        <v>50</v>
      </c>
      <c r="J18" s="16">
        <f t="shared" si="2"/>
        <v>250</v>
      </c>
      <c r="K18" s="17" t="s">
        <v>117</v>
      </c>
      <c r="L18" s="18">
        <v>30</v>
      </c>
      <c r="M18" s="19">
        <f t="shared" si="4"/>
        <v>220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20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v>10</v>
      </c>
      <c r="D19" s="13">
        <v>0</v>
      </c>
      <c r="E19" s="12">
        <f t="shared" si="0"/>
        <v>10</v>
      </c>
      <c r="F19" s="13">
        <v>1</v>
      </c>
      <c r="G19" s="12">
        <f t="shared" si="1"/>
        <v>0</v>
      </c>
      <c r="H19" s="14">
        <v>9</v>
      </c>
      <c r="I19" s="15">
        <v>50</v>
      </c>
      <c r="J19" s="16">
        <f t="shared" si="2"/>
        <v>450</v>
      </c>
      <c r="K19" s="17" t="s">
        <v>16</v>
      </c>
      <c r="L19" s="18">
        <v>0</v>
      </c>
      <c r="M19" s="19">
        <f t="shared" si="4"/>
        <v>450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20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v>5</v>
      </c>
      <c r="D20" s="13">
        <v>0</v>
      </c>
      <c r="E20" s="12">
        <f t="shared" si="0"/>
        <v>5</v>
      </c>
      <c r="F20" s="13">
        <v>0</v>
      </c>
      <c r="G20" s="12">
        <f t="shared" si="1"/>
        <v>0</v>
      </c>
      <c r="H20" s="14">
        <v>5</v>
      </c>
      <c r="I20" s="15">
        <v>50</v>
      </c>
      <c r="J20" s="16">
        <f t="shared" si="2"/>
        <v>250</v>
      </c>
      <c r="K20" s="17" t="s">
        <v>16</v>
      </c>
      <c r="L20" s="18">
        <v>0</v>
      </c>
      <c r="M20" s="19">
        <f t="shared" si="4"/>
        <v>250</v>
      </c>
      <c r="O20" s="10">
        <v>16</v>
      </c>
      <c r="P20" s="22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34"/>
      <c r="X20" s="20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19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3"/>
      <c r="X21" s="20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v>0</v>
      </c>
      <c r="D22" s="13">
        <v>0</v>
      </c>
      <c r="E22" s="12">
        <f t="shared" si="0"/>
        <v>0</v>
      </c>
      <c r="F22" s="13">
        <v>0</v>
      </c>
      <c r="G22" s="21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19">
        <f t="shared" si="4"/>
        <v>0</v>
      </c>
      <c r="O22" s="10">
        <v>18</v>
      </c>
      <c r="P22" s="22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35"/>
      <c r="X22" s="20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0</v>
      </c>
      <c r="H23" s="14">
        <v>10</v>
      </c>
      <c r="I23" s="15">
        <v>100</v>
      </c>
      <c r="J23" s="16">
        <f t="shared" si="2"/>
        <v>1000</v>
      </c>
      <c r="K23" s="17" t="s">
        <v>16</v>
      </c>
      <c r="L23" s="18">
        <v>0</v>
      </c>
      <c r="M23" s="19">
        <f t="shared" si="4"/>
        <v>1000</v>
      </c>
      <c r="O23" s="10">
        <v>19</v>
      </c>
      <c r="P23" s="22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34"/>
      <c r="X23" s="20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16">
        <f t="shared" si="2"/>
        <v>0</v>
      </c>
      <c r="K24" s="17" t="s">
        <v>16</v>
      </c>
      <c r="L24" s="18">
        <v>0</v>
      </c>
      <c r="M24" s="19">
        <f t="shared" si="4"/>
        <v>0</v>
      </c>
      <c r="O24" s="10">
        <v>20</v>
      </c>
      <c r="P24" s="22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35"/>
      <c r="X24" s="20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16">
        <f t="shared" si="2"/>
        <v>0</v>
      </c>
      <c r="K25" s="17" t="s">
        <v>16</v>
      </c>
      <c r="L25" s="18">
        <v>0</v>
      </c>
      <c r="M25" s="19">
        <f t="shared" si="4"/>
        <v>0</v>
      </c>
      <c r="O25" s="10">
        <v>21</v>
      </c>
      <c r="P25" s="22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35"/>
      <c r="X25" s="20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16">
        <f t="shared" si="2"/>
        <v>0</v>
      </c>
      <c r="K26" s="17" t="s">
        <v>16</v>
      </c>
      <c r="L26" s="18">
        <v>0</v>
      </c>
      <c r="M26" s="19">
        <f t="shared" si="4"/>
        <v>0</v>
      </c>
      <c r="O26" s="10">
        <v>22</v>
      </c>
      <c r="P26" s="22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35"/>
      <c r="X26" s="20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2" t="s">
        <v>38</v>
      </c>
      <c r="C27" s="12"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16">
        <f t="shared" si="2"/>
        <v>0</v>
      </c>
      <c r="K27" s="17" t="s">
        <v>16</v>
      </c>
      <c r="L27" s="18">
        <v>0</v>
      </c>
      <c r="M27" s="19">
        <f t="shared" si="4"/>
        <v>0</v>
      </c>
      <c r="O27" s="10">
        <v>23</v>
      </c>
      <c r="P27" s="22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35"/>
      <c r="X27" s="20">
        <f t="shared" si="6"/>
        <v>0</v>
      </c>
      <c r="Y27" s="17" t="s">
        <v>16</v>
      </c>
      <c r="Z27" s="18">
        <v>0</v>
      </c>
    </row>
    <row r="28" spans="1:26" ht="30.75" customHeight="1" x14ac:dyDescent="0.55000000000000004">
      <c r="A28" s="10">
        <v>24</v>
      </c>
      <c r="B28" s="22" t="s">
        <v>39</v>
      </c>
      <c r="C28" s="12"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16">
        <f t="shared" si="2"/>
        <v>0</v>
      </c>
      <c r="K28" s="17" t="s">
        <v>16</v>
      </c>
      <c r="L28" s="18">
        <v>0</v>
      </c>
      <c r="M28" s="19">
        <f t="shared" si="4"/>
        <v>0</v>
      </c>
      <c r="O28" s="10">
        <v>24</v>
      </c>
      <c r="P28" s="22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35"/>
      <c r="X28" s="20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v>10</v>
      </c>
      <c r="D29" s="13">
        <v>0</v>
      </c>
      <c r="E29" s="12">
        <f t="shared" si="0"/>
        <v>10</v>
      </c>
      <c r="F29" s="13">
        <v>0</v>
      </c>
      <c r="G29" s="21">
        <f t="shared" si="1"/>
        <v>0</v>
      </c>
      <c r="H29" s="14">
        <v>10</v>
      </c>
      <c r="I29" s="15">
        <v>100</v>
      </c>
      <c r="J29" s="16">
        <f t="shared" si="2"/>
        <v>1000</v>
      </c>
      <c r="K29" s="17" t="s">
        <v>16</v>
      </c>
      <c r="L29" s="18">
        <v>0</v>
      </c>
      <c r="M29" s="19">
        <f t="shared" si="4"/>
        <v>1000</v>
      </c>
      <c r="O29" s="10">
        <v>25</v>
      </c>
      <c r="P29" s="22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34"/>
      <c r="X29" s="20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19">
        <f t="shared" si="4"/>
        <v>0</v>
      </c>
      <c r="O30" s="10">
        <v>26</v>
      </c>
      <c r="P30" s="22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35"/>
      <c r="X30" s="20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19">
        <f t="shared" si="4"/>
        <v>0</v>
      </c>
      <c r="O31" s="10">
        <v>27</v>
      </c>
      <c r="P31" s="22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34"/>
      <c r="X31" s="20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19">
        <f t="shared" si="4"/>
        <v>0</v>
      </c>
      <c r="O32" s="10">
        <v>28</v>
      </c>
      <c r="P32" s="22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35"/>
      <c r="X32" s="20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19">
        <f t="shared" si="4"/>
        <v>0</v>
      </c>
      <c r="O33" s="10">
        <v>29</v>
      </c>
      <c r="P33" s="22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35"/>
      <c r="X33" s="20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19">
        <f t="shared" si="4"/>
        <v>0</v>
      </c>
      <c r="O34" s="10">
        <v>30</v>
      </c>
      <c r="P34" s="22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35"/>
      <c r="X34" s="20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19">
        <f t="shared" si="4"/>
        <v>0</v>
      </c>
      <c r="O35" s="10">
        <v>31</v>
      </c>
      <c r="P35" s="22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34"/>
      <c r="X35" s="20">
        <f t="shared" si="6"/>
        <v>0</v>
      </c>
      <c r="Y35" s="17" t="s">
        <v>16</v>
      </c>
      <c r="Z35" s="18">
        <v>0</v>
      </c>
    </row>
    <row r="36" spans="1:26" ht="24.75" customHeight="1" x14ac:dyDescent="0.55000000000000004">
      <c r="A36" s="10">
        <v>32</v>
      </c>
      <c r="B36" s="11" t="s">
        <v>47</v>
      </c>
      <c r="C36" s="12">
        <v>0</v>
      </c>
      <c r="D36" s="13">
        <v>0</v>
      </c>
      <c r="E36" s="12">
        <f t="shared" si="0"/>
        <v>0</v>
      </c>
      <c r="F36" s="13">
        <v>0</v>
      </c>
      <c r="G36" s="21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19">
        <f t="shared" si="4"/>
        <v>0</v>
      </c>
      <c r="O36" s="10">
        <v>32</v>
      </c>
      <c r="P36" s="22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34"/>
      <c r="X36" s="20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v>20</v>
      </c>
      <c r="D37" s="13">
        <v>20</v>
      </c>
      <c r="E37" s="12">
        <f t="shared" si="0"/>
        <v>40</v>
      </c>
      <c r="F37" s="13">
        <v>0</v>
      </c>
      <c r="G37" s="21">
        <f t="shared" si="1"/>
        <v>0</v>
      </c>
      <c r="H37" s="14">
        <v>40</v>
      </c>
      <c r="I37" s="15">
        <v>100</v>
      </c>
      <c r="J37" s="16">
        <f t="shared" si="2"/>
        <v>4000</v>
      </c>
      <c r="K37" s="17" t="s">
        <v>116</v>
      </c>
      <c r="L37" s="18">
        <v>20</v>
      </c>
      <c r="M37" s="19">
        <f t="shared" si="4"/>
        <v>3980</v>
      </c>
      <c r="O37" s="10">
        <v>33</v>
      </c>
      <c r="P37" s="22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34"/>
      <c r="X37" s="20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v>10</v>
      </c>
      <c r="D38" s="13">
        <v>0</v>
      </c>
      <c r="E38" s="12">
        <f t="shared" si="0"/>
        <v>10</v>
      </c>
      <c r="F38" s="13">
        <v>0</v>
      </c>
      <c r="G38" s="21">
        <f t="shared" si="1"/>
        <v>0</v>
      </c>
      <c r="H38" s="14">
        <v>10</v>
      </c>
      <c r="I38" s="15">
        <v>50</v>
      </c>
      <c r="J38" s="16">
        <f t="shared" si="2"/>
        <v>500</v>
      </c>
      <c r="K38" s="17" t="s">
        <v>16</v>
      </c>
      <c r="L38" s="18">
        <v>0</v>
      </c>
      <c r="M38" s="19">
        <f t="shared" si="4"/>
        <v>500</v>
      </c>
      <c r="O38" s="10">
        <v>34</v>
      </c>
      <c r="P38" s="22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34"/>
      <c r="X38" s="20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v>10</v>
      </c>
      <c r="D39" s="13">
        <v>0</v>
      </c>
      <c r="E39" s="12">
        <f t="shared" si="0"/>
        <v>10</v>
      </c>
      <c r="F39" s="13">
        <v>0</v>
      </c>
      <c r="G39" s="21">
        <f t="shared" si="1"/>
        <v>0</v>
      </c>
      <c r="H39" s="14">
        <v>10</v>
      </c>
      <c r="I39" s="15">
        <v>50</v>
      </c>
      <c r="J39" s="16">
        <f t="shared" si="2"/>
        <v>500</v>
      </c>
      <c r="K39" s="17" t="s">
        <v>16</v>
      </c>
      <c r="L39" s="18">
        <v>0</v>
      </c>
      <c r="M39" s="19">
        <f t="shared" si="4"/>
        <v>500</v>
      </c>
      <c r="O39" s="10">
        <v>35</v>
      </c>
      <c r="P39" s="22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35"/>
      <c r="X39" s="20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v>10</v>
      </c>
      <c r="D40" s="13">
        <v>0</v>
      </c>
      <c r="E40" s="12">
        <f t="shared" si="0"/>
        <v>10</v>
      </c>
      <c r="F40" s="13">
        <v>0</v>
      </c>
      <c r="G40" s="21">
        <f t="shared" si="1"/>
        <v>0</v>
      </c>
      <c r="H40" s="14">
        <v>10</v>
      </c>
      <c r="I40" s="15">
        <v>50</v>
      </c>
      <c r="J40" s="16">
        <f t="shared" si="2"/>
        <v>500</v>
      </c>
      <c r="K40" s="17" t="s">
        <v>16</v>
      </c>
      <c r="L40" s="18">
        <v>0</v>
      </c>
      <c r="M40" s="19">
        <f t="shared" si="4"/>
        <v>500</v>
      </c>
      <c r="O40" s="10">
        <v>36</v>
      </c>
      <c r="P40" s="22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35"/>
      <c r="X40" s="20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v>0</v>
      </c>
      <c r="D41" s="13">
        <v>0</v>
      </c>
      <c r="E41" s="12">
        <f t="shared" si="0"/>
        <v>0</v>
      </c>
      <c r="F41" s="13">
        <v>0</v>
      </c>
      <c r="G41" s="21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19">
        <f t="shared" si="4"/>
        <v>0</v>
      </c>
      <c r="O41" s="10">
        <v>37</v>
      </c>
      <c r="P41" s="22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35"/>
      <c r="X41" s="20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v>10</v>
      </c>
      <c r="D42" s="13">
        <v>0</v>
      </c>
      <c r="E42" s="12">
        <f t="shared" si="0"/>
        <v>10</v>
      </c>
      <c r="F42" s="13">
        <v>1</v>
      </c>
      <c r="G42" s="21">
        <f t="shared" si="1"/>
        <v>0</v>
      </c>
      <c r="H42" s="14">
        <v>9</v>
      </c>
      <c r="I42" s="15">
        <v>50</v>
      </c>
      <c r="J42" s="16">
        <f t="shared" si="2"/>
        <v>450</v>
      </c>
      <c r="K42" s="17" t="s">
        <v>16</v>
      </c>
      <c r="L42" s="18">
        <v>0</v>
      </c>
      <c r="M42" s="19">
        <f t="shared" si="4"/>
        <v>450</v>
      </c>
      <c r="O42" s="10">
        <v>38</v>
      </c>
      <c r="P42" s="22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35"/>
      <c r="X42" s="20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v>5</v>
      </c>
      <c r="D43" s="13">
        <v>0</v>
      </c>
      <c r="E43" s="12">
        <f t="shared" si="0"/>
        <v>5</v>
      </c>
      <c r="F43" s="13">
        <v>0</v>
      </c>
      <c r="G43" s="21">
        <f t="shared" si="1"/>
        <v>0</v>
      </c>
      <c r="H43" s="14">
        <v>5</v>
      </c>
      <c r="I43" s="15">
        <v>50</v>
      </c>
      <c r="J43" s="16">
        <f t="shared" si="2"/>
        <v>250</v>
      </c>
      <c r="K43" s="17" t="s">
        <v>16</v>
      </c>
      <c r="L43" s="18">
        <v>0</v>
      </c>
      <c r="M43" s="19">
        <f t="shared" si="4"/>
        <v>250</v>
      </c>
      <c r="O43" s="10">
        <v>39</v>
      </c>
      <c r="P43" s="22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35"/>
      <c r="X43" s="20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v>5</v>
      </c>
      <c r="D44" s="13">
        <v>0</v>
      </c>
      <c r="E44" s="12">
        <f t="shared" si="0"/>
        <v>5</v>
      </c>
      <c r="F44" s="13">
        <v>0</v>
      </c>
      <c r="G44" s="21">
        <f t="shared" si="1"/>
        <v>0</v>
      </c>
      <c r="H44" s="14">
        <v>5</v>
      </c>
      <c r="I44" s="15">
        <v>50</v>
      </c>
      <c r="J44" s="16">
        <f t="shared" si="2"/>
        <v>250</v>
      </c>
      <c r="K44" s="17" t="s">
        <v>116</v>
      </c>
      <c r="L44" s="18">
        <v>10</v>
      </c>
      <c r="M44" s="19">
        <f t="shared" si="4"/>
        <v>240</v>
      </c>
      <c r="O44" s="10">
        <v>40</v>
      </c>
      <c r="P44" s="22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35"/>
      <c r="X44" s="20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v>0</v>
      </c>
      <c r="D45" s="13">
        <v>0</v>
      </c>
      <c r="E45" s="12">
        <f t="shared" si="0"/>
        <v>0</v>
      </c>
      <c r="F45" s="13">
        <v>0</v>
      </c>
      <c r="G45" s="21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19">
        <f t="shared" si="4"/>
        <v>0</v>
      </c>
      <c r="O45" s="10">
        <v>41</v>
      </c>
      <c r="P45" s="22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35"/>
      <c r="X45" s="20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v>10</v>
      </c>
      <c r="D46" s="13">
        <v>0</v>
      </c>
      <c r="E46" s="12">
        <f t="shared" si="0"/>
        <v>10</v>
      </c>
      <c r="F46" s="13">
        <v>0</v>
      </c>
      <c r="G46" s="21">
        <f t="shared" si="1"/>
        <v>0</v>
      </c>
      <c r="H46" s="14">
        <v>10</v>
      </c>
      <c r="I46" s="15">
        <v>50</v>
      </c>
      <c r="J46" s="16">
        <f t="shared" si="2"/>
        <v>500</v>
      </c>
      <c r="K46" s="17" t="s">
        <v>16</v>
      </c>
      <c r="L46" s="18">
        <v>0</v>
      </c>
      <c r="M46" s="19">
        <f t="shared" si="4"/>
        <v>500</v>
      </c>
      <c r="O46" s="10">
        <v>42</v>
      </c>
      <c r="P46" s="22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34"/>
      <c r="X46" s="20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v>10</v>
      </c>
      <c r="D47" s="13">
        <v>0</v>
      </c>
      <c r="E47" s="12">
        <f t="shared" si="0"/>
        <v>10</v>
      </c>
      <c r="F47" s="13">
        <v>0</v>
      </c>
      <c r="G47" s="21">
        <f t="shared" si="1"/>
        <v>0</v>
      </c>
      <c r="H47" s="14">
        <v>10</v>
      </c>
      <c r="I47" s="15">
        <v>50</v>
      </c>
      <c r="J47" s="16">
        <f t="shared" si="2"/>
        <v>500</v>
      </c>
      <c r="K47" s="17" t="s">
        <v>118</v>
      </c>
      <c r="L47" s="18">
        <v>40</v>
      </c>
      <c r="M47" s="19">
        <f t="shared" si="4"/>
        <v>460</v>
      </c>
      <c r="O47" s="10">
        <v>43</v>
      </c>
      <c r="P47" s="22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34"/>
      <c r="X47" s="20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v>0</v>
      </c>
      <c r="D48" s="13">
        <v>0</v>
      </c>
      <c r="E48" s="12">
        <f t="shared" si="0"/>
        <v>0</v>
      </c>
      <c r="F48" s="13">
        <v>0</v>
      </c>
      <c r="G48" s="21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19">
        <f t="shared" si="4"/>
        <v>0</v>
      </c>
      <c r="O48" s="10">
        <v>44</v>
      </c>
      <c r="P48" s="22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34"/>
      <c r="X48" s="20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19">
        <f t="shared" si="4"/>
        <v>0</v>
      </c>
      <c r="O49" s="10">
        <v>45</v>
      </c>
      <c r="P49" s="22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34"/>
      <c r="X49" s="20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v>10</v>
      </c>
      <c r="D50" s="13">
        <v>0</v>
      </c>
      <c r="E50" s="12">
        <f t="shared" si="0"/>
        <v>10</v>
      </c>
      <c r="F50" s="13">
        <v>0</v>
      </c>
      <c r="G50" s="12">
        <f t="shared" si="1"/>
        <v>0</v>
      </c>
      <c r="H50" s="14">
        <v>10</v>
      </c>
      <c r="I50" s="15">
        <v>120</v>
      </c>
      <c r="J50" s="16">
        <f t="shared" si="2"/>
        <v>1200</v>
      </c>
      <c r="K50" s="17" t="s">
        <v>125</v>
      </c>
      <c r="L50" s="18">
        <v>35</v>
      </c>
      <c r="M50" s="19">
        <f t="shared" si="4"/>
        <v>1165</v>
      </c>
      <c r="O50" s="10">
        <v>46</v>
      </c>
      <c r="P50" s="22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34"/>
      <c r="X50" s="20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v>5</v>
      </c>
      <c r="D51" s="13">
        <v>0</v>
      </c>
      <c r="E51" s="12">
        <f t="shared" si="0"/>
        <v>5</v>
      </c>
      <c r="F51" s="13">
        <v>0</v>
      </c>
      <c r="G51" s="12">
        <f t="shared" si="1"/>
        <v>0</v>
      </c>
      <c r="H51" s="14">
        <v>5</v>
      </c>
      <c r="I51" s="15">
        <v>120</v>
      </c>
      <c r="J51" s="16">
        <f t="shared" si="2"/>
        <v>600</v>
      </c>
      <c r="K51" s="17" t="s">
        <v>125</v>
      </c>
      <c r="L51" s="18">
        <v>35</v>
      </c>
      <c r="M51" s="19">
        <f t="shared" si="4"/>
        <v>565</v>
      </c>
      <c r="O51" s="10">
        <v>47</v>
      </c>
      <c r="P51" s="22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34"/>
      <c r="X51" s="20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v>5</v>
      </c>
      <c r="D52" s="13">
        <v>0</v>
      </c>
      <c r="E52" s="12">
        <f t="shared" si="0"/>
        <v>5</v>
      </c>
      <c r="F52" s="13">
        <v>0</v>
      </c>
      <c r="G52" s="12">
        <f t="shared" si="1"/>
        <v>0</v>
      </c>
      <c r="H52" s="14">
        <v>5</v>
      </c>
      <c r="I52" s="15">
        <v>120</v>
      </c>
      <c r="J52" s="16">
        <f t="shared" si="2"/>
        <v>600</v>
      </c>
      <c r="K52" s="17" t="s">
        <v>125</v>
      </c>
      <c r="L52" s="18">
        <v>35</v>
      </c>
      <c r="M52" s="19">
        <f t="shared" si="4"/>
        <v>565</v>
      </c>
      <c r="O52" s="10">
        <v>48</v>
      </c>
      <c r="P52" s="22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34"/>
      <c r="X52" s="20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v>5</v>
      </c>
      <c r="D53" s="13">
        <v>0</v>
      </c>
      <c r="E53" s="12">
        <f t="shared" si="0"/>
        <v>5</v>
      </c>
      <c r="F53" s="13">
        <v>0</v>
      </c>
      <c r="G53" s="12">
        <f t="shared" si="1"/>
        <v>0</v>
      </c>
      <c r="H53" s="14">
        <v>5</v>
      </c>
      <c r="I53" s="15">
        <v>120</v>
      </c>
      <c r="J53" s="16">
        <f t="shared" si="2"/>
        <v>600</v>
      </c>
      <c r="K53" s="17" t="s">
        <v>16</v>
      </c>
      <c r="L53" s="18">
        <v>0</v>
      </c>
      <c r="M53" s="19">
        <f t="shared" si="4"/>
        <v>600</v>
      </c>
      <c r="O53" s="10">
        <v>49</v>
      </c>
      <c r="P53" s="22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34"/>
      <c r="X53" s="20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19">
        <f t="shared" si="4"/>
        <v>0</v>
      </c>
      <c r="O54" s="10">
        <v>50</v>
      </c>
      <c r="P54" s="22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34"/>
      <c r="X54" s="20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v>10</v>
      </c>
      <c r="D55" s="13">
        <v>0</v>
      </c>
      <c r="E55" s="12">
        <f t="shared" si="0"/>
        <v>10</v>
      </c>
      <c r="F55" s="13">
        <v>0</v>
      </c>
      <c r="G55" s="21">
        <f t="shared" si="1"/>
        <v>0</v>
      </c>
      <c r="H55" s="14">
        <v>10</v>
      </c>
      <c r="I55" s="15">
        <v>120</v>
      </c>
      <c r="J55" s="16">
        <f t="shared" si="2"/>
        <v>1200</v>
      </c>
      <c r="K55" s="17" t="s">
        <v>126</v>
      </c>
      <c r="L55" s="18">
        <v>245</v>
      </c>
      <c r="M55" s="19">
        <f t="shared" si="4"/>
        <v>955</v>
      </c>
      <c r="O55" s="10">
        <v>51</v>
      </c>
      <c r="P55" s="22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34"/>
      <c r="X55" s="20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16">
        <f t="shared" si="2"/>
        <v>0</v>
      </c>
      <c r="K56" s="17" t="s">
        <v>16</v>
      </c>
      <c r="L56" s="18">
        <v>0</v>
      </c>
      <c r="M56" s="19">
        <f t="shared" si="4"/>
        <v>0</v>
      </c>
      <c r="O56" s="10">
        <v>52</v>
      </c>
      <c r="P56" s="22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34"/>
      <c r="X56" s="20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16">
        <f t="shared" si="2"/>
        <v>0</v>
      </c>
      <c r="K57" s="17" t="s">
        <v>16</v>
      </c>
      <c r="L57" s="18">
        <v>0</v>
      </c>
      <c r="M57" s="19">
        <f t="shared" si="4"/>
        <v>0</v>
      </c>
      <c r="O57" s="10">
        <v>53</v>
      </c>
      <c r="P57" s="22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34"/>
      <c r="X57" s="20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16">
        <f t="shared" si="2"/>
        <v>0</v>
      </c>
      <c r="K58" s="17" t="s">
        <v>16</v>
      </c>
      <c r="L58" s="18">
        <v>0</v>
      </c>
      <c r="M58" s="19">
        <f t="shared" si="4"/>
        <v>0</v>
      </c>
      <c r="O58" s="10">
        <v>54</v>
      </c>
      <c r="P58" s="22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34"/>
      <c r="X58" s="20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19">
        <f t="shared" si="4"/>
        <v>0</v>
      </c>
      <c r="O59" s="10">
        <v>55</v>
      </c>
      <c r="P59" s="22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34"/>
      <c r="X59" s="20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16">
        <f t="shared" si="2"/>
        <v>0</v>
      </c>
      <c r="K60" s="17" t="s">
        <v>16</v>
      </c>
      <c r="L60" s="18">
        <v>0</v>
      </c>
      <c r="M60" s="19">
        <f t="shared" si="4"/>
        <v>0</v>
      </c>
      <c r="O60" s="10">
        <v>56</v>
      </c>
      <c r="P60" s="22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34"/>
      <c r="X60" s="20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19">
        <f t="shared" si="4"/>
        <v>0</v>
      </c>
      <c r="O61" s="10">
        <v>57</v>
      </c>
      <c r="P61" s="22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34"/>
      <c r="X61" s="20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2" t="s">
        <v>73</v>
      </c>
      <c r="C62" s="12"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16">
        <f t="shared" si="2"/>
        <v>0</v>
      </c>
      <c r="K62" s="17" t="s">
        <v>16</v>
      </c>
      <c r="L62" s="18">
        <v>0</v>
      </c>
      <c r="M62" s="19">
        <f t="shared" si="4"/>
        <v>0</v>
      </c>
      <c r="O62" s="10">
        <v>58</v>
      </c>
      <c r="P62" s="22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34"/>
      <c r="X62" s="20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2" t="s">
        <v>74</v>
      </c>
      <c r="C63" s="12"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16">
        <f t="shared" si="2"/>
        <v>0</v>
      </c>
      <c r="K63" s="17" t="s">
        <v>16</v>
      </c>
      <c r="L63" s="18">
        <v>0</v>
      </c>
      <c r="M63" s="19">
        <f t="shared" si="4"/>
        <v>0</v>
      </c>
      <c r="O63" s="10">
        <v>59</v>
      </c>
      <c r="P63" s="22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34"/>
      <c r="X63" s="20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16">
        <f t="shared" si="2"/>
        <v>0</v>
      </c>
      <c r="K64" s="17" t="s">
        <v>16</v>
      </c>
      <c r="L64" s="18">
        <v>0</v>
      </c>
      <c r="M64" s="19">
        <f t="shared" si="4"/>
        <v>0</v>
      </c>
      <c r="O64" s="10">
        <v>60</v>
      </c>
      <c r="P64" s="22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34"/>
      <c r="X64" s="20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16">
        <f t="shared" si="2"/>
        <v>0</v>
      </c>
      <c r="K65" s="17" t="s">
        <v>16</v>
      </c>
      <c r="L65" s="18">
        <v>0</v>
      </c>
      <c r="M65" s="19">
        <f t="shared" si="4"/>
        <v>0</v>
      </c>
      <c r="O65" s="10">
        <v>61</v>
      </c>
      <c r="P65" s="22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34"/>
      <c r="X65" s="20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v>20</v>
      </c>
      <c r="D66" s="13">
        <v>0</v>
      </c>
      <c r="E66" s="12">
        <f t="shared" si="0"/>
        <v>20</v>
      </c>
      <c r="F66" s="13">
        <v>0</v>
      </c>
      <c r="G66" s="53">
        <f t="shared" si="1"/>
        <v>8</v>
      </c>
      <c r="H66" s="14">
        <v>12</v>
      </c>
      <c r="I66" s="15">
        <v>50</v>
      </c>
      <c r="J66" s="16">
        <f t="shared" si="2"/>
        <v>600</v>
      </c>
      <c r="K66" s="17" t="s">
        <v>16</v>
      </c>
      <c r="L66" s="18">
        <v>0</v>
      </c>
      <c r="M66" s="19">
        <f t="shared" si="4"/>
        <v>600</v>
      </c>
      <c r="O66" s="10">
        <v>62</v>
      </c>
      <c r="P66" s="22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34"/>
      <c r="X66" s="20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v>15</v>
      </c>
      <c r="D67" s="13">
        <v>0</v>
      </c>
      <c r="E67" s="12">
        <f t="shared" si="0"/>
        <v>15</v>
      </c>
      <c r="F67" s="13">
        <v>0</v>
      </c>
      <c r="G67" s="12">
        <f t="shared" si="1"/>
        <v>0</v>
      </c>
      <c r="H67" s="14">
        <v>15</v>
      </c>
      <c r="I67" s="15">
        <v>50</v>
      </c>
      <c r="J67" s="16">
        <f t="shared" si="2"/>
        <v>750</v>
      </c>
      <c r="K67" s="17" t="s">
        <v>16</v>
      </c>
      <c r="L67" s="18">
        <v>0</v>
      </c>
      <c r="M67" s="19">
        <f t="shared" si="4"/>
        <v>750</v>
      </c>
      <c r="O67" s="10">
        <v>63</v>
      </c>
      <c r="P67" s="22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34"/>
      <c r="X67" s="20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2" t="s">
        <v>79</v>
      </c>
      <c r="C68" s="12"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16">
        <f t="shared" si="2"/>
        <v>0</v>
      </c>
      <c r="K68" s="17" t="s">
        <v>16</v>
      </c>
      <c r="L68" s="18">
        <v>0</v>
      </c>
      <c r="M68" s="19">
        <f t="shared" si="4"/>
        <v>0</v>
      </c>
      <c r="O68" s="10">
        <v>64</v>
      </c>
      <c r="P68" s="22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34"/>
      <c r="X68" s="20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2" t="s">
        <v>80</v>
      </c>
      <c r="C69" s="12"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16">
        <f t="shared" si="2"/>
        <v>0</v>
      </c>
      <c r="K69" s="17" t="s">
        <v>16</v>
      </c>
      <c r="L69" s="18">
        <v>0</v>
      </c>
      <c r="M69" s="19">
        <f t="shared" si="4"/>
        <v>0</v>
      </c>
      <c r="O69" s="10">
        <v>65</v>
      </c>
      <c r="P69" s="22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89" si="7">S69-T69-V69</f>
        <v>0</v>
      </c>
      <c r="V69" s="14">
        <v>0</v>
      </c>
      <c r="W69" s="34"/>
      <c r="X69" s="20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2" t="s">
        <v>81</v>
      </c>
      <c r="C70" s="12">
        <v>10</v>
      </c>
      <c r="D70" s="13">
        <v>0</v>
      </c>
      <c r="E70" s="12">
        <f t="shared" si="0"/>
        <v>10</v>
      </c>
      <c r="F70" s="13">
        <v>0</v>
      </c>
      <c r="G70" s="21">
        <f t="shared" si="1"/>
        <v>0</v>
      </c>
      <c r="H70" s="14">
        <v>10</v>
      </c>
      <c r="I70" s="15">
        <v>50</v>
      </c>
      <c r="J70" s="16">
        <f t="shared" ref="J70:J95" si="8">+I70*H70</f>
        <v>500</v>
      </c>
      <c r="K70" s="17" t="s">
        <v>16</v>
      </c>
      <c r="L70" s="18">
        <v>0</v>
      </c>
      <c r="M70" s="19">
        <f t="shared" ref="M70:M89" si="9">+J70-L70</f>
        <v>500</v>
      </c>
      <c r="O70" s="10">
        <v>66</v>
      </c>
      <c r="P70" s="22"/>
      <c r="Q70" s="12">
        <v>0</v>
      </c>
      <c r="R70" s="13">
        <v>0</v>
      </c>
      <c r="S70" s="12">
        <f t="shared" ref="S70:S89" si="10">Q70+R70</f>
        <v>0</v>
      </c>
      <c r="T70" s="13">
        <v>0</v>
      </c>
      <c r="U70" s="12">
        <f t="shared" si="7"/>
        <v>0</v>
      </c>
      <c r="V70" s="14">
        <v>0</v>
      </c>
      <c r="W70" s="34"/>
      <c r="X70" s="20">
        <f t="shared" ref="X70:X89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2" t="s">
        <v>82</v>
      </c>
      <c r="C71" s="12"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16">
        <f t="shared" si="8"/>
        <v>0</v>
      </c>
      <c r="K71" s="17" t="s">
        <v>16</v>
      </c>
      <c r="L71" s="18">
        <v>0</v>
      </c>
      <c r="M71" s="19">
        <f t="shared" si="9"/>
        <v>0</v>
      </c>
      <c r="O71" s="10">
        <v>67</v>
      </c>
      <c r="P71" s="22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34"/>
      <c r="X71" s="20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2" t="s">
        <v>83</v>
      </c>
      <c r="C72" s="12"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16">
        <f t="shared" si="8"/>
        <v>0</v>
      </c>
      <c r="K72" s="17" t="s">
        <v>16</v>
      </c>
      <c r="L72" s="18">
        <v>0</v>
      </c>
      <c r="M72" s="19">
        <f t="shared" si="9"/>
        <v>0</v>
      </c>
      <c r="O72" s="10">
        <v>68</v>
      </c>
      <c r="P72" s="22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34"/>
      <c r="X72" s="20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2" t="s">
        <v>84</v>
      </c>
      <c r="C73" s="12"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15">
        <v>60</v>
      </c>
      <c r="J73" s="16">
        <f t="shared" si="8"/>
        <v>0</v>
      </c>
      <c r="K73" s="17" t="s">
        <v>16</v>
      </c>
      <c r="L73" s="18">
        <v>0</v>
      </c>
      <c r="M73" s="19">
        <f t="shared" si="9"/>
        <v>0</v>
      </c>
      <c r="O73" s="10">
        <v>69</v>
      </c>
      <c r="P73" s="22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34"/>
      <c r="X73" s="20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2" t="s">
        <v>85</v>
      </c>
      <c r="C74" s="12">
        <v>0</v>
      </c>
      <c r="D74" s="13">
        <v>0</v>
      </c>
      <c r="E74" s="12">
        <f t="shared" si="0"/>
        <v>0</v>
      </c>
      <c r="F74" s="13">
        <v>0</v>
      </c>
      <c r="G74" s="21">
        <f t="shared" si="1"/>
        <v>0</v>
      </c>
      <c r="H74" s="14">
        <v>0</v>
      </c>
      <c r="I74" s="15">
        <v>120</v>
      </c>
      <c r="J74" s="16">
        <f t="shared" si="8"/>
        <v>0</v>
      </c>
      <c r="K74" s="17" t="s">
        <v>16</v>
      </c>
      <c r="L74" s="18">
        <v>0</v>
      </c>
      <c r="M74" s="19">
        <f t="shared" si="9"/>
        <v>0</v>
      </c>
      <c r="O74" s="10">
        <v>70</v>
      </c>
      <c r="P74" s="22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34"/>
      <c r="X74" s="20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2" t="s">
        <v>86</v>
      </c>
      <c r="C75" s="12"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16">
        <f t="shared" si="8"/>
        <v>0</v>
      </c>
      <c r="K75" s="17" t="s">
        <v>16</v>
      </c>
      <c r="L75" s="18">
        <v>0</v>
      </c>
      <c r="M75" s="19">
        <f t="shared" si="9"/>
        <v>0</v>
      </c>
      <c r="O75" s="10">
        <v>71</v>
      </c>
      <c r="P75" s="22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34"/>
      <c r="X75" s="20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2" t="s">
        <v>87</v>
      </c>
      <c r="C76" s="12"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16">
        <f t="shared" si="8"/>
        <v>0</v>
      </c>
      <c r="K76" s="17" t="s">
        <v>16</v>
      </c>
      <c r="L76" s="18">
        <v>0</v>
      </c>
      <c r="M76" s="19">
        <f t="shared" si="9"/>
        <v>0</v>
      </c>
      <c r="O76" s="10">
        <v>72</v>
      </c>
      <c r="P76" s="22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34"/>
      <c r="X76" s="20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2" t="s">
        <v>88</v>
      </c>
      <c r="C77" s="12">
        <v>10</v>
      </c>
      <c r="D77" s="13">
        <v>0</v>
      </c>
      <c r="E77" s="12">
        <f t="shared" si="0"/>
        <v>10</v>
      </c>
      <c r="F77" s="13">
        <v>0</v>
      </c>
      <c r="G77" s="21">
        <f t="shared" si="1"/>
        <v>0</v>
      </c>
      <c r="H77" s="14">
        <v>10</v>
      </c>
      <c r="I77" s="15">
        <v>50</v>
      </c>
      <c r="J77" s="16">
        <f t="shared" si="8"/>
        <v>500</v>
      </c>
      <c r="K77" s="17" t="s">
        <v>16</v>
      </c>
      <c r="L77" s="18">
        <v>0</v>
      </c>
      <c r="M77" s="19">
        <f t="shared" si="9"/>
        <v>500</v>
      </c>
      <c r="O77" s="10">
        <v>73</v>
      </c>
      <c r="P77" s="22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34"/>
      <c r="X77" s="20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2" t="s">
        <v>89</v>
      </c>
      <c r="C78" s="12">
        <v>0</v>
      </c>
      <c r="D78" s="13">
        <v>0</v>
      </c>
      <c r="E78" s="12">
        <f t="shared" si="0"/>
        <v>0</v>
      </c>
      <c r="F78" s="13">
        <v>0</v>
      </c>
      <c r="G78" s="21">
        <f t="shared" si="1"/>
        <v>0</v>
      </c>
      <c r="H78" s="14">
        <v>0</v>
      </c>
      <c r="I78" s="15">
        <v>120</v>
      </c>
      <c r="J78" s="16">
        <f t="shared" si="8"/>
        <v>0</v>
      </c>
      <c r="K78" s="17" t="s">
        <v>16</v>
      </c>
      <c r="L78" s="18">
        <v>0</v>
      </c>
      <c r="M78" s="19">
        <f t="shared" si="9"/>
        <v>0</v>
      </c>
      <c r="O78" s="10">
        <v>74</v>
      </c>
      <c r="P78" s="22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34"/>
      <c r="X78" s="20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2" t="s">
        <v>90</v>
      </c>
      <c r="C79" s="12">
        <v>20</v>
      </c>
      <c r="D79" s="13">
        <v>0</v>
      </c>
      <c r="E79" s="12">
        <f t="shared" si="0"/>
        <v>20</v>
      </c>
      <c r="F79" s="13">
        <v>0</v>
      </c>
      <c r="G79" s="21">
        <f t="shared" si="1"/>
        <v>0</v>
      </c>
      <c r="H79" s="14">
        <v>20</v>
      </c>
      <c r="I79" s="15">
        <v>50</v>
      </c>
      <c r="J79" s="16">
        <f t="shared" si="8"/>
        <v>1000</v>
      </c>
      <c r="K79" s="17" t="s">
        <v>16</v>
      </c>
      <c r="L79" s="18">
        <v>0</v>
      </c>
      <c r="M79" s="19">
        <f t="shared" si="9"/>
        <v>1000</v>
      </c>
      <c r="O79" s="10">
        <v>75</v>
      </c>
      <c r="P79" s="22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34"/>
      <c r="X79" s="20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2" t="s">
        <v>91</v>
      </c>
      <c r="C80" s="12">
        <v>0</v>
      </c>
      <c r="D80" s="13">
        <v>0</v>
      </c>
      <c r="E80" s="12">
        <f t="shared" si="0"/>
        <v>0</v>
      </c>
      <c r="F80" s="13">
        <v>0</v>
      </c>
      <c r="G80" s="21">
        <f t="shared" si="1"/>
        <v>0</v>
      </c>
      <c r="H80" s="14">
        <v>0</v>
      </c>
      <c r="I80" s="15">
        <v>50</v>
      </c>
      <c r="J80" s="16">
        <f t="shared" si="8"/>
        <v>0</v>
      </c>
      <c r="K80" s="17" t="s">
        <v>16</v>
      </c>
      <c r="L80" s="18">
        <v>0</v>
      </c>
      <c r="M80" s="19">
        <f t="shared" si="9"/>
        <v>0</v>
      </c>
      <c r="O80" s="10">
        <v>76</v>
      </c>
      <c r="P80" s="22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34"/>
      <c r="X80" s="20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2" t="s">
        <v>92</v>
      </c>
      <c r="C81" s="12">
        <v>10</v>
      </c>
      <c r="D81" s="13">
        <v>0</v>
      </c>
      <c r="E81" s="12">
        <f t="shared" si="0"/>
        <v>10</v>
      </c>
      <c r="F81" s="13">
        <v>0</v>
      </c>
      <c r="G81" s="21">
        <f t="shared" si="1"/>
        <v>0</v>
      </c>
      <c r="H81" s="14">
        <v>10</v>
      </c>
      <c r="I81" s="15">
        <v>55</v>
      </c>
      <c r="J81" s="16">
        <f t="shared" si="8"/>
        <v>550</v>
      </c>
      <c r="K81" s="17" t="s">
        <v>16</v>
      </c>
      <c r="L81" s="18">
        <v>0</v>
      </c>
      <c r="M81" s="19">
        <f t="shared" si="9"/>
        <v>550</v>
      </c>
      <c r="O81" s="10">
        <v>77</v>
      </c>
      <c r="P81" s="22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34"/>
      <c r="X81" s="20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2" t="s">
        <v>93</v>
      </c>
      <c r="C82" s="12">
        <v>10</v>
      </c>
      <c r="D82" s="13">
        <v>0</v>
      </c>
      <c r="E82" s="12">
        <f t="shared" si="0"/>
        <v>10</v>
      </c>
      <c r="F82" s="13">
        <v>0</v>
      </c>
      <c r="G82" s="21">
        <f t="shared" si="1"/>
        <v>0</v>
      </c>
      <c r="H82" s="14">
        <v>10</v>
      </c>
      <c r="I82" s="15">
        <v>55</v>
      </c>
      <c r="J82" s="16">
        <f t="shared" si="8"/>
        <v>550</v>
      </c>
      <c r="K82" s="17" t="s">
        <v>16</v>
      </c>
      <c r="L82" s="18">
        <v>0</v>
      </c>
      <c r="M82" s="19">
        <f t="shared" si="9"/>
        <v>550</v>
      </c>
      <c r="O82" s="10">
        <v>78</v>
      </c>
      <c r="P82" s="22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34"/>
      <c r="X82" s="20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2" t="s">
        <v>94</v>
      </c>
      <c r="C83" s="12">
        <v>0</v>
      </c>
      <c r="D83" s="13">
        <v>0</v>
      </c>
      <c r="E83" s="12">
        <f t="shared" si="0"/>
        <v>0</v>
      </c>
      <c r="F83" s="13">
        <v>0</v>
      </c>
      <c r="G83" s="21">
        <f t="shared" si="1"/>
        <v>0</v>
      </c>
      <c r="H83" s="14">
        <v>0</v>
      </c>
      <c r="I83" s="15">
        <v>55</v>
      </c>
      <c r="J83" s="16">
        <f t="shared" si="8"/>
        <v>0</v>
      </c>
      <c r="K83" s="17" t="s">
        <v>16</v>
      </c>
      <c r="L83" s="18">
        <v>0</v>
      </c>
      <c r="M83" s="19">
        <f t="shared" si="9"/>
        <v>0</v>
      </c>
      <c r="O83" s="10">
        <v>79</v>
      </c>
      <c r="P83" s="22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34"/>
      <c r="X83" s="20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2" t="s">
        <v>95</v>
      </c>
      <c r="C84" s="12">
        <v>0</v>
      </c>
      <c r="D84" s="13">
        <v>0</v>
      </c>
      <c r="E84" s="12">
        <f t="shared" si="0"/>
        <v>0</v>
      </c>
      <c r="F84" s="13">
        <v>0</v>
      </c>
      <c r="G84" s="21">
        <f t="shared" si="1"/>
        <v>0</v>
      </c>
      <c r="H84" s="14">
        <v>0</v>
      </c>
      <c r="I84" s="15">
        <v>55</v>
      </c>
      <c r="J84" s="16">
        <f t="shared" si="8"/>
        <v>0</v>
      </c>
      <c r="K84" s="17" t="s">
        <v>16</v>
      </c>
      <c r="L84" s="18">
        <v>0</v>
      </c>
      <c r="M84" s="19">
        <f t="shared" si="9"/>
        <v>0</v>
      </c>
      <c r="O84" s="10">
        <v>80</v>
      </c>
      <c r="P84" s="22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34"/>
      <c r="X84" s="20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2" t="s">
        <v>96</v>
      </c>
      <c r="C85" s="12">
        <v>0</v>
      </c>
      <c r="D85" s="13">
        <v>0</v>
      </c>
      <c r="E85" s="12">
        <f t="shared" si="0"/>
        <v>0</v>
      </c>
      <c r="F85" s="13">
        <v>0</v>
      </c>
      <c r="G85" s="21">
        <f t="shared" si="1"/>
        <v>0</v>
      </c>
      <c r="H85" s="14">
        <v>0</v>
      </c>
      <c r="I85" s="15">
        <v>100</v>
      </c>
      <c r="J85" s="16">
        <f t="shared" si="8"/>
        <v>0</v>
      </c>
      <c r="K85" s="17" t="s">
        <v>16</v>
      </c>
      <c r="L85" s="18">
        <v>0</v>
      </c>
      <c r="M85" s="19">
        <f t="shared" si="9"/>
        <v>0</v>
      </c>
      <c r="O85" s="10">
        <v>81</v>
      </c>
      <c r="P85" s="22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34"/>
      <c r="X85" s="20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2" t="s">
        <v>97</v>
      </c>
      <c r="C86" s="12">
        <v>20</v>
      </c>
      <c r="D86" s="13">
        <v>0</v>
      </c>
      <c r="E86" s="12">
        <f t="shared" si="0"/>
        <v>20</v>
      </c>
      <c r="F86" s="13">
        <v>0</v>
      </c>
      <c r="G86" s="53">
        <f t="shared" si="1"/>
        <v>8</v>
      </c>
      <c r="H86" s="14">
        <v>12</v>
      </c>
      <c r="I86" s="15">
        <v>55</v>
      </c>
      <c r="J86" s="16">
        <f t="shared" si="8"/>
        <v>660</v>
      </c>
      <c r="K86" s="17" t="s">
        <v>127</v>
      </c>
      <c r="L86" s="18">
        <v>10</v>
      </c>
      <c r="M86" s="19">
        <f t="shared" si="9"/>
        <v>650</v>
      </c>
      <c r="O86" s="10">
        <v>82</v>
      </c>
      <c r="P86" s="22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34"/>
      <c r="X86" s="20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2" t="s">
        <v>98</v>
      </c>
      <c r="C87" s="12">
        <v>20</v>
      </c>
      <c r="D87" s="13">
        <v>0</v>
      </c>
      <c r="E87" s="12">
        <f t="shared" si="0"/>
        <v>20</v>
      </c>
      <c r="F87" s="13">
        <v>0</v>
      </c>
      <c r="G87" s="53">
        <f t="shared" si="1"/>
        <v>7</v>
      </c>
      <c r="H87" s="14">
        <v>13</v>
      </c>
      <c r="I87" s="15">
        <v>60</v>
      </c>
      <c r="J87" s="16">
        <f t="shared" si="8"/>
        <v>780</v>
      </c>
      <c r="K87" s="17" t="s">
        <v>128</v>
      </c>
      <c r="L87" s="18">
        <v>20</v>
      </c>
      <c r="M87" s="19">
        <f t="shared" si="9"/>
        <v>760</v>
      </c>
      <c r="O87" s="10">
        <v>83</v>
      </c>
      <c r="P87" s="22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34"/>
      <c r="X87" s="20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2" t="s">
        <v>99</v>
      </c>
      <c r="C88" s="12">
        <v>20</v>
      </c>
      <c r="D88" s="13">
        <v>20</v>
      </c>
      <c r="E88" s="12">
        <f t="shared" si="0"/>
        <v>40</v>
      </c>
      <c r="F88" s="13">
        <v>0</v>
      </c>
      <c r="G88" s="53">
        <f t="shared" si="1"/>
        <v>3</v>
      </c>
      <c r="H88" s="14">
        <v>37</v>
      </c>
      <c r="I88" s="15">
        <v>100</v>
      </c>
      <c r="J88" s="16">
        <f t="shared" si="8"/>
        <v>3700</v>
      </c>
      <c r="K88" s="17" t="s">
        <v>16</v>
      </c>
      <c r="L88" s="18">
        <v>0</v>
      </c>
      <c r="M88" s="19">
        <f t="shared" si="9"/>
        <v>3700</v>
      </c>
      <c r="O88" s="10">
        <v>84</v>
      </c>
      <c r="P88" s="22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34"/>
      <c r="X88" s="20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2" t="s">
        <v>100</v>
      </c>
      <c r="C89" s="12"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16">
        <f t="shared" si="8"/>
        <v>0</v>
      </c>
      <c r="K89" s="17" t="s">
        <v>16</v>
      </c>
      <c r="L89" s="18">
        <v>0</v>
      </c>
      <c r="M89" s="19">
        <f t="shared" si="9"/>
        <v>0</v>
      </c>
      <c r="O89" s="10">
        <v>85</v>
      </c>
      <c r="P89" s="22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34"/>
      <c r="X89" s="20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2" t="s">
        <v>119</v>
      </c>
      <c r="C90" s="12">
        <v>10</v>
      </c>
      <c r="D90" s="13">
        <v>0</v>
      </c>
      <c r="E90" s="12">
        <f t="shared" si="0"/>
        <v>10</v>
      </c>
      <c r="F90" s="13">
        <v>0</v>
      </c>
      <c r="G90" s="53">
        <f t="shared" ref="G90:G95" si="12">E90-F90-H90</f>
        <v>5</v>
      </c>
      <c r="H90" s="14">
        <v>5</v>
      </c>
      <c r="I90" s="15">
        <v>50</v>
      </c>
      <c r="J90" s="16">
        <f t="shared" si="8"/>
        <v>250</v>
      </c>
      <c r="K90" s="17" t="s">
        <v>16</v>
      </c>
      <c r="L90" s="18">
        <v>0</v>
      </c>
      <c r="M90" s="19">
        <f t="shared" ref="M90:M95" si="13">+J90-L90</f>
        <v>250</v>
      </c>
    </row>
    <row r="91" spans="1:26" ht="25.5" x14ac:dyDescent="0.55000000000000004">
      <c r="A91" s="10">
        <v>87</v>
      </c>
      <c r="B91" s="22" t="s">
        <v>120</v>
      </c>
      <c r="C91" s="12">
        <v>40</v>
      </c>
      <c r="D91" s="13">
        <v>200</v>
      </c>
      <c r="E91" s="12">
        <f t="shared" ref="E91:E94" si="14">C91+D91</f>
        <v>240</v>
      </c>
      <c r="F91" s="13">
        <v>26</v>
      </c>
      <c r="G91" s="12">
        <f t="shared" si="12"/>
        <v>0</v>
      </c>
      <c r="H91" s="14">
        <v>214</v>
      </c>
      <c r="I91" s="15">
        <v>40</v>
      </c>
      <c r="J91" s="16">
        <f t="shared" si="8"/>
        <v>8560</v>
      </c>
      <c r="K91" s="17" t="s">
        <v>121</v>
      </c>
      <c r="L91" s="18">
        <v>20</v>
      </c>
      <c r="M91" s="19">
        <f t="shared" si="13"/>
        <v>8540</v>
      </c>
    </row>
    <row r="92" spans="1:26" ht="25.5" x14ac:dyDescent="0.55000000000000004">
      <c r="A92" s="10">
        <v>88</v>
      </c>
      <c r="B92" s="22" t="s">
        <v>122</v>
      </c>
      <c r="C92" s="12">
        <v>10</v>
      </c>
      <c r="D92" s="13">
        <v>0</v>
      </c>
      <c r="E92" s="12">
        <f t="shared" si="14"/>
        <v>10</v>
      </c>
      <c r="F92" s="13">
        <v>1</v>
      </c>
      <c r="G92" s="12">
        <f t="shared" si="12"/>
        <v>0</v>
      </c>
      <c r="H92" s="14">
        <v>9</v>
      </c>
      <c r="I92" s="15">
        <v>40</v>
      </c>
      <c r="J92" s="16">
        <f t="shared" si="8"/>
        <v>360</v>
      </c>
      <c r="K92" s="17" t="s">
        <v>16</v>
      </c>
      <c r="L92" s="18">
        <v>0</v>
      </c>
      <c r="M92" s="19">
        <f t="shared" si="13"/>
        <v>360</v>
      </c>
    </row>
    <row r="93" spans="1:26" ht="25.5" x14ac:dyDescent="0.55000000000000004">
      <c r="A93" s="10">
        <v>89</v>
      </c>
      <c r="B93" s="22" t="s">
        <v>123</v>
      </c>
      <c r="C93" s="12">
        <v>10</v>
      </c>
      <c r="D93" s="13">
        <v>0</v>
      </c>
      <c r="E93" s="12">
        <f t="shared" si="14"/>
        <v>10</v>
      </c>
      <c r="F93" s="13">
        <v>1</v>
      </c>
      <c r="G93" s="12">
        <f t="shared" si="12"/>
        <v>0</v>
      </c>
      <c r="H93" s="14">
        <v>9</v>
      </c>
      <c r="I93" s="15">
        <v>40</v>
      </c>
      <c r="J93" s="16">
        <f t="shared" si="8"/>
        <v>360</v>
      </c>
      <c r="K93" s="17" t="s">
        <v>124</v>
      </c>
      <c r="L93" s="18">
        <v>160</v>
      </c>
      <c r="M93" s="19">
        <f t="shared" si="13"/>
        <v>200</v>
      </c>
    </row>
    <row r="94" spans="1:26" ht="25.5" x14ac:dyDescent="0.55000000000000004">
      <c r="A94" s="10"/>
      <c r="B94" s="22"/>
      <c r="C94" s="12">
        <v>0</v>
      </c>
      <c r="D94" s="13">
        <v>0</v>
      </c>
      <c r="E94" s="12">
        <f t="shared" si="14"/>
        <v>0</v>
      </c>
      <c r="F94" s="13">
        <v>0</v>
      </c>
      <c r="G94" s="12">
        <f t="shared" si="12"/>
        <v>0</v>
      </c>
      <c r="H94" s="14">
        <v>0</v>
      </c>
      <c r="I94" s="15"/>
      <c r="J94" s="16">
        <f t="shared" si="8"/>
        <v>0</v>
      </c>
      <c r="K94" s="17" t="s">
        <v>16</v>
      </c>
      <c r="L94" s="18">
        <v>0</v>
      </c>
      <c r="M94" s="19">
        <f t="shared" si="13"/>
        <v>0</v>
      </c>
    </row>
    <row r="95" spans="1:26" ht="25.5" x14ac:dyDescent="0.55000000000000004">
      <c r="A95" s="10"/>
      <c r="B95" s="22"/>
      <c r="C95" s="12">
        <v>0</v>
      </c>
      <c r="D95" s="13">
        <v>0</v>
      </c>
      <c r="E95" s="12">
        <f t="shared" ref="E95" si="15">C95+D95</f>
        <v>0</v>
      </c>
      <c r="F95" s="13">
        <v>0</v>
      </c>
      <c r="G95" s="12">
        <f t="shared" si="12"/>
        <v>0</v>
      </c>
      <c r="H95" s="14">
        <v>0</v>
      </c>
      <c r="I95" s="15"/>
      <c r="J95" s="16">
        <f t="shared" si="8"/>
        <v>0</v>
      </c>
      <c r="K95" s="17" t="s">
        <v>16</v>
      </c>
      <c r="L95" s="18">
        <v>0</v>
      </c>
      <c r="M95" s="19">
        <f t="shared" si="13"/>
        <v>0</v>
      </c>
    </row>
    <row r="96" spans="1:26" ht="25.5" x14ac:dyDescent="0.55000000000000004">
      <c r="A96" s="1"/>
      <c r="C96" s="36"/>
      <c r="D96" s="37"/>
      <c r="E96" s="36"/>
      <c r="F96" s="37"/>
      <c r="G96" s="36"/>
      <c r="H96" s="36"/>
      <c r="I96" s="38"/>
      <c r="J96" s="40"/>
      <c r="K96" s="40"/>
      <c r="L96" s="18">
        <v>0</v>
      </c>
      <c r="M96" s="65" t="s">
        <v>101</v>
      </c>
      <c r="N96" s="65"/>
      <c r="Z96" s="19"/>
    </row>
    <row r="97" spans="1:163" ht="25.5" customHeight="1" x14ac:dyDescent="0.5">
      <c r="A97" s="1"/>
      <c r="C97" s="36"/>
      <c r="D97" s="37"/>
      <c r="E97" s="36"/>
      <c r="F97" s="37"/>
      <c r="G97" s="36"/>
      <c r="H97" s="56" t="s">
        <v>102</v>
      </c>
      <c r="I97" s="57"/>
      <c r="J97" s="41" t="s">
        <v>16</v>
      </c>
      <c r="K97" s="39"/>
      <c r="L97" s="19"/>
      <c r="Z97" s="19"/>
    </row>
    <row r="98" spans="1:163" ht="25.5" x14ac:dyDescent="0.55000000000000004">
      <c r="A98" s="1"/>
      <c r="C98" s="42"/>
      <c r="E98" s="42"/>
      <c r="G98" s="42"/>
      <c r="H98" s="43"/>
      <c r="I98" s="58" t="s">
        <v>103</v>
      </c>
      <c r="J98" s="58"/>
      <c r="K98" s="44">
        <f>SUM(J5:J95)</f>
        <v>41020</v>
      </c>
    </row>
    <row r="99" spans="1:163" ht="25.5" x14ac:dyDescent="0.55000000000000004">
      <c r="A99" s="1"/>
      <c r="C99" s="42"/>
      <c r="E99" s="42"/>
      <c r="G99" s="42"/>
      <c r="I99" s="54" t="s">
        <v>104</v>
      </c>
      <c r="J99" s="55"/>
      <c r="K99" s="47">
        <v>0</v>
      </c>
    </row>
    <row r="100" spans="1:163" ht="25.5" x14ac:dyDescent="0.55000000000000004">
      <c r="A100" s="1"/>
      <c r="C100" s="42"/>
      <c r="E100" s="42"/>
      <c r="G100" s="42"/>
      <c r="I100" s="45" t="s">
        <v>105</v>
      </c>
      <c r="J100" s="46"/>
      <c r="K100" s="47">
        <f>SUM(L100:FH100)</f>
        <v>17000</v>
      </c>
      <c r="M100" s="2">
        <v>100</v>
      </c>
      <c r="N100" s="2">
        <v>100</v>
      </c>
      <c r="O100" s="2">
        <v>100</v>
      </c>
      <c r="P100" s="2">
        <v>100</v>
      </c>
      <c r="Q100" s="2">
        <v>100</v>
      </c>
      <c r="R100" s="2">
        <v>120</v>
      </c>
      <c r="S100" s="2">
        <v>105</v>
      </c>
      <c r="T100" s="2">
        <v>100</v>
      </c>
      <c r="U100" s="2">
        <v>50</v>
      </c>
      <c r="V100" s="2">
        <v>35</v>
      </c>
      <c r="W100" s="2">
        <v>50</v>
      </c>
      <c r="X100" s="2">
        <v>90</v>
      </c>
      <c r="Y100" s="2">
        <v>95</v>
      </c>
      <c r="Z100" s="2">
        <v>160</v>
      </c>
      <c r="AA100" s="2">
        <v>200</v>
      </c>
      <c r="AB100" s="2">
        <v>360</v>
      </c>
      <c r="AC100" s="2">
        <v>245</v>
      </c>
      <c r="AD100" s="2">
        <v>120</v>
      </c>
      <c r="AE100" s="2">
        <v>300</v>
      </c>
      <c r="AF100" s="2">
        <v>240</v>
      </c>
      <c r="AG100" s="2">
        <v>155</v>
      </c>
      <c r="AH100" s="2">
        <v>100</v>
      </c>
      <c r="AI100" s="2">
        <v>100</v>
      </c>
      <c r="AJ100" s="2">
        <v>80</v>
      </c>
      <c r="AK100" s="2">
        <v>50</v>
      </c>
      <c r="AL100" s="2">
        <v>100</v>
      </c>
      <c r="AM100" s="2">
        <v>50</v>
      </c>
      <c r="AN100" s="2">
        <v>110</v>
      </c>
      <c r="AO100" s="2">
        <v>50</v>
      </c>
      <c r="AP100" s="2">
        <v>100</v>
      </c>
      <c r="AQ100" s="2">
        <v>100</v>
      </c>
      <c r="AR100" s="2">
        <v>50</v>
      </c>
      <c r="AS100" s="2">
        <v>60</v>
      </c>
      <c r="AT100" s="2">
        <v>100</v>
      </c>
      <c r="AU100" s="2">
        <v>100</v>
      </c>
      <c r="AV100" s="2">
        <v>50</v>
      </c>
      <c r="AW100" s="2">
        <v>50</v>
      </c>
      <c r="AX100" s="2">
        <v>100</v>
      </c>
      <c r="AY100" s="2">
        <v>375</v>
      </c>
      <c r="AZ100" s="2">
        <v>50</v>
      </c>
      <c r="BA100" s="2">
        <v>100</v>
      </c>
      <c r="BB100" s="2">
        <v>300</v>
      </c>
      <c r="BC100" s="2">
        <v>50</v>
      </c>
      <c r="BD100" s="2">
        <v>42</v>
      </c>
      <c r="BE100" s="2">
        <v>208</v>
      </c>
      <c r="BF100" s="2">
        <v>50</v>
      </c>
      <c r="BG100" s="2">
        <v>100</v>
      </c>
      <c r="BH100" s="2">
        <v>100</v>
      </c>
      <c r="BI100" s="2">
        <v>50</v>
      </c>
      <c r="BJ100" s="2">
        <v>200</v>
      </c>
      <c r="BK100" s="2">
        <v>205</v>
      </c>
      <c r="BL100" s="2">
        <v>100</v>
      </c>
      <c r="BM100" s="2">
        <v>100</v>
      </c>
      <c r="BN100" s="2">
        <v>100</v>
      </c>
      <c r="BO100" s="2">
        <v>55</v>
      </c>
      <c r="BP100" s="2">
        <v>150</v>
      </c>
      <c r="BQ100" s="2">
        <v>195</v>
      </c>
      <c r="BR100" s="2">
        <v>50</v>
      </c>
      <c r="BS100" s="2">
        <v>50</v>
      </c>
      <c r="BT100" s="2">
        <v>50</v>
      </c>
      <c r="BU100" s="2">
        <v>50</v>
      </c>
      <c r="BV100" s="2">
        <v>255</v>
      </c>
      <c r="BW100" s="2">
        <v>150</v>
      </c>
      <c r="BX100" s="2">
        <v>100</v>
      </c>
      <c r="BY100" s="2">
        <v>50</v>
      </c>
      <c r="BZ100" s="2">
        <v>50</v>
      </c>
      <c r="CA100" s="2">
        <v>100</v>
      </c>
      <c r="CB100" s="2">
        <v>50</v>
      </c>
      <c r="CC100" s="2">
        <v>200</v>
      </c>
      <c r="CD100" s="2">
        <v>105</v>
      </c>
      <c r="CE100" s="2">
        <v>35</v>
      </c>
      <c r="CF100" s="2">
        <v>40</v>
      </c>
      <c r="CG100" s="2">
        <v>80</v>
      </c>
      <c r="CH100" s="2">
        <v>90</v>
      </c>
      <c r="CI100" s="2">
        <v>300</v>
      </c>
      <c r="CJ100" s="2">
        <v>305</v>
      </c>
      <c r="CK100" s="2">
        <v>80</v>
      </c>
      <c r="CL100" s="2">
        <v>80</v>
      </c>
      <c r="CM100" s="2">
        <v>40</v>
      </c>
      <c r="CN100" s="2">
        <v>40</v>
      </c>
      <c r="CO100" s="2">
        <v>40</v>
      </c>
      <c r="CP100" s="2">
        <v>100</v>
      </c>
      <c r="CQ100" s="2">
        <v>40</v>
      </c>
      <c r="CR100" s="2">
        <v>40</v>
      </c>
      <c r="CS100" s="2">
        <v>120</v>
      </c>
      <c r="CT100" s="2">
        <v>40</v>
      </c>
      <c r="CU100" s="2">
        <v>90</v>
      </c>
      <c r="CV100" s="2">
        <v>100</v>
      </c>
      <c r="CW100" s="2">
        <v>40</v>
      </c>
      <c r="CX100" s="2">
        <v>150</v>
      </c>
      <c r="CY100" s="2">
        <v>95</v>
      </c>
      <c r="CZ100" s="2">
        <v>160</v>
      </c>
      <c r="DA100" s="2">
        <v>190</v>
      </c>
      <c r="DB100" s="2">
        <v>210</v>
      </c>
      <c r="DC100" s="2">
        <v>95</v>
      </c>
      <c r="DD100" s="2">
        <v>80</v>
      </c>
      <c r="DE100" s="2">
        <v>100</v>
      </c>
      <c r="DF100" s="2">
        <v>100</v>
      </c>
      <c r="DG100" s="2">
        <v>40</v>
      </c>
      <c r="DH100" s="2">
        <v>50</v>
      </c>
      <c r="DI100" s="2">
        <v>95</v>
      </c>
      <c r="DJ100" s="2">
        <v>40</v>
      </c>
      <c r="DK100" s="2">
        <v>190</v>
      </c>
      <c r="DL100" s="2">
        <v>875</v>
      </c>
      <c r="DM100" s="2">
        <v>200</v>
      </c>
      <c r="DN100" s="2">
        <v>145</v>
      </c>
      <c r="DO100" s="2">
        <v>160</v>
      </c>
      <c r="DP100" s="2">
        <v>80</v>
      </c>
      <c r="DQ100" s="2">
        <v>80</v>
      </c>
      <c r="DR100" s="2">
        <v>40</v>
      </c>
      <c r="DS100" s="2">
        <v>50</v>
      </c>
      <c r="DT100" s="2">
        <v>50</v>
      </c>
      <c r="DU100" s="2">
        <v>40</v>
      </c>
      <c r="DV100" s="2">
        <v>100</v>
      </c>
      <c r="DW100" s="2">
        <v>100</v>
      </c>
      <c r="DX100" s="2">
        <v>150</v>
      </c>
      <c r="DY100" s="2">
        <v>200</v>
      </c>
      <c r="DZ100" s="2">
        <v>200</v>
      </c>
      <c r="EA100" s="2">
        <v>40</v>
      </c>
      <c r="EB100" s="2">
        <v>200</v>
      </c>
      <c r="EC100" s="2">
        <v>120</v>
      </c>
      <c r="ED100" s="2">
        <v>80</v>
      </c>
      <c r="EE100" s="2">
        <v>100</v>
      </c>
      <c r="EF100" s="2">
        <v>40</v>
      </c>
      <c r="EG100" s="2">
        <v>120</v>
      </c>
      <c r="EH100" s="2">
        <v>170</v>
      </c>
      <c r="EI100" s="2">
        <v>20</v>
      </c>
      <c r="EJ100" s="2">
        <v>60</v>
      </c>
      <c r="EK100" s="2">
        <v>120</v>
      </c>
      <c r="EL100" s="2">
        <v>200</v>
      </c>
      <c r="EM100" s="2">
        <v>40</v>
      </c>
      <c r="EN100" s="2">
        <v>90</v>
      </c>
      <c r="EO100" s="2">
        <v>40</v>
      </c>
      <c r="EP100" s="2">
        <v>150</v>
      </c>
      <c r="EQ100" s="2">
        <v>40</v>
      </c>
      <c r="ER100" s="2">
        <v>120</v>
      </c>
      <c r="ES100" s="2">
        <v>80</v>
      </c>
      <c r="ET100" s="2">
        <v>40</v>
      </c>
      <c r="EU100" s="2">
        <v>120</v>
      </c>
      <c r="EV100" s="2">
        <v>40</v>
      </c>
      <c r="EW100" s="2">
        <v>80</v>
      </c>
      <c r="EX100" s="2">
        <v>40</v>
      </c>
      <c r="EY100" s="2">
        <v>40</v>
      </c>
      <c r="EZ100" s="2">
        <v>120</v>
      </c>
      <c r="FA100" s="2">
        <v>120</v>
      </c>
      <c r="FB100" s="2">
        <v>120</v>
      </c>
      <c r="FC100" s="2">
        <v>120</v>
      </c>
      <c r="FD100" s="2">
        <v>220</v>
      </c>
      <c r="FE100" s="2">
        <v>40</v>
      </c>
      <c r="FF100" s="2">
        <v>200</v>
      </c>
      <c r="FG100" s="2">
        <v>40</v>
      </c>
    </row>
    <row r="101" spans="1:163" ht="25.5" x14ac:dyDescent="0.55000000000000004">
      <c r="A101" s="1"/>
      <c r="C101" s="42"/>
      <c r="E101" s="42"/>
      <c r="G101" s="42"/>
      <c r="I101" s="54" t="s">
        <v>106</v>
      </c>
      <c r="J101" s="55"/>
      <c r="K101" s="47">
        <v>0</v>
      </c>
    </row>
    <row r="102" spans="1:163" ht="25.5" x14ac:dyDescent="0.55000000000000004">
      <c r="A102" s="1"/>
      <c r="C102" s="42"/>
      <c r="E102" s="42"/>
      <c r="G102" s="2"/>
      <c r="I102" s="54" t="s">
        <v>107</v>
      </c>
      <c r="J102" s="55"/>
      <c r="K102" s="47">
        <f>SUM(L102:P102)</f>
        <v>36</v>
      </c>
      <c r="L102" s="2">
        <v>36</v>
      </c>
    </row>
    <row r="103" spans="1:163" ht="25.5" x14ac:dyDescent="0.55000000000000004">
      <c r="A103" s="1"/>
      <c r="C103" s="42"/>
      <c r="E103" s="42"/>
      <c r="G103" s="42"/>
      <c r="I103" s="54" t="s">
        <v>108</v>
      </c>
      <c r="J103" s="55"/>
      <c r="K103" s="48">
        <f>SUM(L5:L96)</f>
        <v>690</v>
      </c>
    </row>
    <row r="104" spans="1:163" ht="25.5" x14ac:dyDescent="0.55000000000000004">
      <c r="A104" s="1"/>
      <c r="C104" s="42"/>
      <c r="E104" s="42"/>
      <c r="G104" s="42"/>
      <c r="I104" s="54" t="s">
        <v>109</v>
      </c>
      <c r="J104" s="55"/>
      <c r="K104" s="44">
        <f>K98-K99-K100-K102-K103</f>
        <v>23294</v>
      </c>
      <c r="M104" s="49"/>
    </row>
    <row r="105" spans="1:163" ht="25.5" x14ac:dyDescent="0.55000000000000004">
      <c r="A105" s="1"/>
      <c r="C105" s="42"/>
      <c r="E105" s="42"/>
      <c r="G105" s="42"/>
      <c r="I105" s="54" t="s">
        <v>110</v>
      </c>
      <c r="J105" s="55"/>
      <c r="K105" s="48">
        <v>22894</v>
      </c>
    </row>
    <row r="106" spans="1:163" ht="25.5" x14ac:dyDescent="0.55000000000000004">
      <c r="A106" s="1"/>
      <c r="C106" s="42"/>
      <c r="E106" s="42"/>
      <c r="G106" s="42"/>
      <c r="I106" s="54" t="s">
        <v>111</v>
      </c>
      <c r="J106" s="55"/>
      <c r="K106" s="44">
        <f>+K105-K104</f>
        <v>-400</v>
      </c>
    </row>
    <row r="107" spans="1:163" ht="25.5" x14ac:dyDescent="0.55000000000000004">
      <c r="G107" s="2"/>
      <c r="I107" s="54" t="s">
        <v>112</v>
      </c>
      <c r="J107" s="55"/>
      <c r="K107" s="44">
        <f>+K105-K104</f>
        <v>-400</v>
      </c>
    </row>
    <row r="108" spans="1:163" x14ac:dyDescent="0.5">
      <c r="G108" s="2"/>
      <c r="I108" s="2"/>
    </row>
    <row r="109" spans="1:163" x14ac:dyDescent="0.5">
      <c r="G109" s="2"/>
      <c r="I109" s="2"/>
      <c r="J109" s="50" t="s">
        <v>113</v>
      </c>
      <c r="K109" s="49">
        <f>+K98-K103+K106</f>
        <v>39930</v>
      </c>
    </row>
    <row r="110" spans="1:163" x14ac:dyDescent="0.5">
      <c r="G110" s="2"/>
      <c r="I110" s="2"/>
      <c r="J110" s="2" t="s">
        <v>114</v>
      </c>
      <c r="K110" s="49">
        <f>SUM(K99:K102)</f>
        <v>17036</v>
      </c>
    </row>
    <row r="111" spans="1:163" x14ac:dyDescent="0.5">
      <c r="G111" s="2"/>
      <c r="I111" s="2"/>
      <c r="J111" s="2" t="s">
        <v>115</v>
      </c>
      <c r="K111" s="49">
        <f>+K105</f>
        <v>22894</v>
      </c>
    </row>
    <row r="112" spans="1:163" x14ac:dyDescent="0.5">
      <c r="G112" s="2"/>
      <c r="I112" s="2"/>
      <c r="K112" s="49">
        <f>+K109-K110-K111</f>
        <v>0</v>
      </c>
    </row>
    <row r="113" s="2" customFormat="1" x14ac:dyDescent="0.5"/>
    <row r="114" s="2" customFormat="1" x14ac:dyDescent="0.5"/>
    <row r="115" s="2" customFormat="1" x14ac:dyDescent="0.5"/>
    <row r="116" s="2" customFormat="1" x14ac:dyDescent="0.5"/>
    <row r="117" s="2" customFormat="1" x14ac:dyDescent="0.5"/>
    <row r="118" s="2" customFormat="1" x14ac:dyDescent="0.5"/>
    <row r="119" s="2" customFormat="1" x14ac:dyDescent="0.5"/>
    <row r="120" s="2" customFormat="1" x14ac:dyDescent="0.5"/>
    <row r="121" s="2" customFormat="1" x14ac:dyDescent="0.5"/>
    <row r="122" s="2" customFormat="1" x14ac:dyDescent="0.5"/>
    <row r="123" s="2" customFormat="1" x14ac:dyDescent="0.5"/>
    <row r="124" s="2" customFormat="1" x14ac:dyDescent="0.5"/>
    <row r="125" s="2" customFormat="1" x14ac:dyDescent="0.5"/>
    <row r="126" s="2" customFormat="1" x14ac:dyDescent="0.5"/>
    <row r="127" s="2" customFormat="1" x14ac:dyDescent="0.5"/>
    <row r="128" s="2" customFormat="1" x14ac:dyDescent="0.5"/>
    <row r="129" s="2" customFormat="1" x14ac:dyDescent="0.5"/>
    <row r="130" s="2" customFormat="1" x14ac:dyDescent="0.5"/>
    <row r="131" s="2" customFormat="1" x14ac:dyDescent="0.5"/>
    <row r="132" s="2" customFormat="1" x14ac:dyDescent="0.5"/>
    <row r="133" s="2" customFormat="1" x14ac:dyDescent="0.5"/>
    <row r="134" s="2" customFormat="1" x14ac:dyDescent="0.5"/>
    <row r="135" s="2" customFormat="1" x14ac:dyDescent="0.5"/>
    <row r="136" s="2" customFormat="1" x14ac:dyDescent="0.5"/>
    <row r="137" s="2" customFormat="1" x14ac:dyDescent="0.5"/>
    <row r="138" s="2" customFormat="1" x14ac:dyDescent="0.5"/>
    <row r="139" s="2" customFormat="1" x14ac:dyDescent="0.5"/>
    <row r="140" s="2" customFormat="1" x14ac:dyDescent="0.5"/>
    <row r="141" s="2" customFormat="1" x14ac:dyDescent="0.5"/>
    <row r="142" s="2" customFormat="1" x14ac:dyDescent="0.5"/>
    <row r="143" s="2" customFormat="1" x14ac:dyDescent="0.5"/>
    <row r="144" s="2" customFormat="1" x14ac:dyDescent="0.5"/>
    <row r="145" s="2" customFormat="1" x14ac:dyDescent="0.5"/>
    <row r="146" s="2" customFormat="1" x14ac:dyDescent="0.5"/>
    <row r="147" s="2" customFormat="1" x14ac:dyDescent="0.5"/>
    <row r="148" s="2" customFormat="1" x14ac:dyDescent="0.5"/>
    <row r="149" s="2" customFormat="1" x14ac:dyDescent="0.5"/>
    <row r="150" s="2" customFormat="1" x14ac:dyDescent="0.5"/>
    <row r="151" s="2" customFormat="1" x14ac:dyDescent="0.5"/>
    <row r="152" s="2" customFormat="1" x14ac:dyDescent="0.5"/>
    <row r="153" s="2" customFormat="1" x14ac:dyDescent="0.5"/>
    <row r="154" s="2" customFormat="1" x14ac:dyDescent="0.5"/>
    <row r="155" s="2" customFormat="1" x14ac:dyDescent="0.5"/>
    <row r="156" s="2" customFormat="1" x14ac:dyDescent="0.5"/>
    <row r="157" s="2" customFormat="1" x14ac:dyDescent="0.5"/>
    <row r="158" s="2" customFormat="1" x14ac:dyDescent="0.5"/>
    <row r="159" s="2" customFormat="1" x14ac:dyDescent="0.5"/>
    <row r="160" s="2" customFormat="1" x14ac:dyDescent="0.5"/>
    <row r="161" s="2" customFormat="1" x14ac:dyDescent="0.5"/>
    <row r="162" s="2" customFormat="1" x14ac:dyDescent="0.5"/>
    <row r="163" s="2" customFormat="1" x14ac:dyDescent="0.5"/>
    <row r="164" s="2" customFormat="1" x14ac:dyDescent="0.5"/>
    <row r="165" s="2" customFormat="1" x14ac:dyDescent="0.5"/>
    <row r="166" s="2" customFormat="1" x14ac:dyDescent="0.5"/>
    <row r="167" s="2" customFormat="1" x14ac:dyDescent="0.5"/>
    <row r="168" s="2" customFormat="1" x14ac:dyDescent="0.5"/>
    <row r="169" s="2" customFormat="1" x14ac:dyDescent="0.5"/>
    <row r="170" s="2" customFormat="1" x14ac:dyDescent="0.5"/>
    <row r="171" s="2" customFormat="1" x14ac:dyDescent="0.5"/>
    <row r="172" s="2" customFormat="1" x14ac:dyDescent="0.5"/>
    <row r="173" s="2" customFormat="1" x14ac:dyDescent="0.5"/>
    <row r="174" s="2" customFormat="1" x14ac:dyDescent="0.5"/>
    <row r="175" s="2" customFormat="1" x14ac:dyDescent="0.5"/>
    <row r="176" s="2" customFormat="1" x14ac:dyDescent="0.5"/>
    <row r="177" s="2" customFormat="1" x14ac:dyDescent="0.5"/>
    <row r="178" s="2" customFormat="1" x14ac:dyDescent="0.5"/>
    <row r="179" s="2" customFormat="1" x14ac:dyDescent="0.5"/>
    <row r="180" s="2" customFormat="1" x14ac:dyDescent="0.5"/>
    <row r="181" s="2" customFormat="1" x14ac:dyDescent="0.5"/>
    <row r="182" s="2" customFormat="1" x14ac:dyDescent="0.5"/>
  </sheetData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M96:N96"/>
    <mergeCell ref="S3:S4"/>
    <mergeCell ref="I104:J104"/>
    <mergeCell ref="I105:J105"/>
    <mergeCell ref="I106:J106"/>
    <mergeCell ref="I107:J107"/>
    <mergeCell ref="H97:I97"/>
    <mergeCell ref="I98:J98"/>
    <mergeCell ref="I99:J99"/>
    <mergeCell ref="I101:J101"/>
    <mergeCell ref="I102:J102"/>
    <mergeCell ref="I103:J10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15-19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2024-03-05T06:45:13Z</dcterms:created>
  <dcterms:modified xsi:type="dcterms:W3CDTF">2024-06-06T09:49:39Z</dcterms:modified>
</cp:coreProperties>
</file>