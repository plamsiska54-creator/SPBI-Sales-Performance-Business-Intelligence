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"/>
    </mc:Choice>
  </mc:AlternateContent>
  <xr:revisionPtr revIDLastSave="0" documentId="13_ncr:1_{241734B9-C2F0-4C4D-9848-85E2E78AAC41}" xr6:coauthVersionLast="47" xr6:coauthVersionMax="47" xr10:uidLastSave="{00000000-0000-0000-0000-000000000000}"/>
  <bookViews>
    <workbookView xWindow="-120" yWindow="-120" windowWidth="29040" windowHeight="1584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สรุปการขาย" sheetId="109" r:id="rId4"/>
    <sheet name="ค่าเช่าบูธ" sheetId="111" r:id="rId5"/>
    <sheet name="ค่าแรงพนักงาน" sheetId="110" r:id="rId6"/>
    <sheet name="ยกมา" sheetId="74" r:id="rId7"/>
    <sheet name="29" sheetId="77" r:id="rId8"/>
    <sheet name="30" sheetId="129" r:id="rId9"/>
    <sheet name="1" sheetId="130" r:id="rId10"/>
    <sheet name="2" sheetId="131" r:id="rId11"/>
    <sheet name="3" sheetId="132" r:id="rId12"/>
    <sheet name="4" sheetId="133" r:id="rId13"/>
    <sheet name="5" sheetId="134" r:id="rId14"/>
    <sheet name="6" sheetId="135" r:id="rId15"/>
    <sheet name="7" sheetId="136" r:id="rId16"/>
    <sheet name="8" sheetId="137" r:id="rId17"/>
    <sheet name="9" sheetId="138" r:id="rId18"/>
    <sheet name="10" sheetId="139" r:id="rId19"/>
    <sheet name="31" sheetId="64" state="hidden" r:id="rId20"/>
  </sheets>
  <externalReferences>
    <externalReference r:id="rId21"/>
  </externalReferences>
  <definedNames>
    <definedName name="_xlnm._FilterDatabase" localSheetId="9" hidden="1">'1'!$A$1:$S$77</definedName>
    <definedName name="_xlnm._FilterDatabase" localSheetId="18" hidden="1">'10'!$A$1:$S$77</definedName>
    <definedName name="_xlnm._FilterDatabase" localSheetId="10" hidden="1">'2'!$A$1:$S$77</definedName>
    <definedName name="_xlnm._FilterDatabase" localSheetId="7" hidden="1">'29'!$A$1:$S$77</definedName>
    <definedName name="_xlnm._FilterDatabase" localSheetId="11" hidden="1">'3'!$A$1:$S$77</definedName>
    <definedName name="_xlnm._FilterDatabase" localSheetId="8" hidden="1">'30'!$A$1:$S$77</definedName>
    <definedName name="_xlnm._FilterDatabase" localSheetId="19" hidden="1">'31'!$A$1:$Y$216</definedName>
    <definedName name="_xlnm._FilterDatabase" localSheetId="12" hidden="1">'4'!$A$1:$S$77</definedName>
    <definedName name="_xlnm._FilterDatabase" localSheetId="13" hidden="1">'5'!$A$1:$S$77</definedName>
    <definedName name="_xlnm._FilterDatabase" localSheetId="14" hidden="1">'6'!$A$1:$S$77</definedName>
    <definedName name="_xlnm._FilterDatabase" localSheetId="15" hidden="1">'7'!$A$1:$S$77</definedName>
    <definedName name="_xlnm._FilterDatabase" localSheetId="16" hidden="1">'8'!$A$1:$S$77</definedName>
    <definedName name="_xlnm._FilterDatabase" localSheetId="17" hidden="1">'9'!$A$1:$S$77</definedName>
    <definedName name="_xlnm._FilterDatabase" localSheetId="0" hidden="1">'DATA POS'!$A$1:$J$536</definedName>
    <definedName name="_xlnm._FilterDatabase" localSheetId="6" hidden="1">ยกมา!$A$1:$S$77</definedName>
    <definedName name="_xlnm._FilterDatabase" localSheetId="2" hidden="1">สรุป!$A$4:$AC$75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66" i="8" l="1"/>
  <c r="AB17" i="8"/>
  <c r="Z17" i="8"/>
  <c r="X17" i="8"/>
  <c r="Y17" i="8"/>
  <c r="W17" i="8"/>
  <c r="V17" i="8"/>
  <c r="U17" i="8"/>
  <c r="S17" i="8"/>
  <c r="R17" i="8"/>
  <c r="K59" i="8"/>
  <c r="Y6" i="8" l="1"/>
  <c r="W6" i="8"/>
  <c r="V6" i="8"/>
  <c r="U7" i="8"/>
  <c r="T6" i="8"/>
  <c r="S6" i="8"/>
  <c r="R6" i="8"/>
  <c r="Y5" i="8"/>
  <c r="W5" i="8"/>
  <c r="V5" i="8"/>
  <c r="U5" i="8"/>
  <c r="T5" i="8"/>
  <c r="S5" i="8"/>
  <c r="R5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Y16" i="8"/>
  <c r="W16" i="8"/>
  <c r="V16" i="8"/>
  <c r="U16" i="8"/>
  <c r="T16" i="8"/>
  <c r="S16" i="8"/>
  <c r="R16" i="8"/>
  <c r="K26" i="8"/>
  <c r="K27" i="8"/>
  <c r="K28" i="8"/>
  <c r="K29" i="8"/>
  <c r="K30" i="8"/>
  <c r="K31" i="8"/>
  <c r="K32" i="8"/>
  <c r="K33" i="8"/>
  <c r="J33" i="8" s="1"/>
  <c r="K34" i="8"/>
  <c r="K35" i="8"/>
  <c r="K36" i="8"/>
  <c r="K37" i="8"/>
  <c r="K38" i="8"/>
  <c r="K39" i="8"/>
  <c r="K40" i="8"/>
  <c r="K41" i="8"/>
  <c r="J41" i="8" s="1"/>
  <c r="K42" i="8"/>
  <c r="K43" i="8"/>
  <c r="K44" i="8"/>
  <c r="K45" i="8"/>
  <c r="K46" i="8"/>
  <c r="K47" i="8"/>
  <c r="K48" i="8"/>
  <c r="K49" i="8"/>
  <c r="J49" i="8" s="1"/>
  <c r="K50" i="8"/>
  <c r="K51" i="8"/>
  <c r="K52" i="8"/>
  <c r="K53" i="8"/>
  <c r="K54" i="8"/>
  <c r="K55" i="8"/>
  <c r="K56" i="8"/>
  <c r="K57" i="8"/>
  <c r="J57" i="8" s="1"/>
  <c r="K58" i="8"/>
  <c r="K60" i="8"/>
  <c r="K61" i="8"/>
  <c r="K62" i="8"/>
  <c r="K63" i="8"/>
  <c r="K64" i="8"/>
  <c r="K6" i="8"/>
  <c r="K7" i="8"/>
  <c r="J7" i="8" s="1"/>
  <c r="K8" i="8"/>
  <c r="K9" i="8"/>
  <c r="K10" i="8"/>
  <c r="K11" i="8"/>
  <c r="J11" i="8" s="1"/>
  <c r="K12" i="8"/>
  <c r="K13" i="8"/>
  <c r="J13" i="8" s="1"/>
  <c r="K14" i="8"/>
  <c r="K15" i="8"/>
  <c r="J15" i="8" s="1"/>
  <c r="K16" i="8"/>
  <c r="K17" i="8"/>
  <c r="K18" i="8"/>
  <c r="K19" i="8"/>
  <c r="J19" i="8" s="1"/>
  <c r="K20" i="8"/>
  <c r="K21" i="8"/>
  <c r="J21" i="8" s="1"/>
  <c r="K22" i="8"/>
  <c r="J22" i="8" s="1"/>
  <c r="K23" i="8"/>
  <c r="J23" i="8" s="1"/>
  <c r="K24" i="8"/>
  <c r="K25" i="8"/>
  <c r="J25" i="8"/>
  <c r="J26" i="8"/>
  <c r="J27" i="8"/>
  <c r="J28" i="8"/>
  <c r="J29" i="8"/>
  <c r="J30" i="8"/>
  <c r="J31" i="8"/>
  <c r="J32" i="8"/>
  <c r="J34" i="8"/>
  <c r="J35" i="8"/>
  <c r="J36" i="8"/>
  <c r="J37" i="8"/>
  <c r="J38" i="8"/>
  <c r="J39" i="8"/>
  <c r="J40" i="8"/>
  <c r="J42" i="8"/>
  <c r="J43" i="8"/>
  <c r="J44" i="8"/>
  <c r="J45" i="8"/>
  <c r="J46" i="8"/>
  <c r="J47" i="8"/>
  <c r="J48" i="8"/>
  <c r="J50" i="8"/>
  <c r="J51" i="8"/>
  <c r="J52" i="8"/>
  <c r="J53" i="8"/>
  <c r="J54" i="8"/>
  <c r="J55" i="8"/>
  <c r="J56" i="8"/>
  <c r="J58" i="8"/>
  <c r="J59" i="8"/>
  <c r="J60" i="8"/>
  <c r="J61" i="8"/>
  <c r="J62" i="8"/>
  <c r="J63" i="8"/>
  <c r="J6" i="8"/>
  <c r="J8" i="8"/>
  <c r="J9" i="8"/>
  <c r="J10" i="8"/>
  <c r="J12" i="8"/>
  <c r="J14" i="8"/>
  <c r="J16" i="8"/>
  <c r="J17" i="8"/>
  <c r="J18" i="8"/>
  <c r="J20" i="8"/>
  <c r="J24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" i="8"/>
  <c r="F7" i="8"/>
  <c r="F8" i="8"/>
  <c r="F9" i="8"/>
  <c r="F10" i="8"/>
  <c r="F11" i="8"/>
  <c r="F12" i="8"/>
  <c r="F13" i="8"/>
  <c r="F14" i="8"/>
  <c r="F15" i="8"/>
  <c r="F16" i="8"/>
  <c r="F17" i="8"/>
  <c r="P54" i="139"/>
  <c r="P55" i="139"/>
  <c r="P56" i="139"/>
  <c r="P57" i="139"/>
  <c r="P58" i="139"/>
  <c r="P59" i="139"/>
  <c r="P60" i="139"/>
  <c r="P61" i="139"/>
  <c r="P62" i="139"/>
  <c r="P63" i="139"/>
  <c r="P64" i="139"/>
  <c r="M56" i="139"/>
  <c r="M57" i="139"/>
  <c r="M58" i="139"/>
  <c r="M59" i="139"/>
  <c r="M60" i="139"/>
  <c r="M61" i="139"/>
  <c r="M62" i="139"/>
  <c r="M63" i="139"/>
  <c r="M64" i="139"/>
  <c r="M65" i="139"/>
  <c r="J56" i="139"/>
  <c r="J57" i="139"/>
  <c r="J58" i="139"/>
  <c r="J59" i="139"/>
  <c r="J60" i="139"/>
  <c r="J61" i="139"/>
  <c r="J62" i="139"/>
  <c r="J63" i="139"/>
  <c r="J64" i="139"/>
  <c r="G57" i="139"/>
  <c r="G58" i="139"/>
  <c r="G59" i="139"/>
  <c r="G60" i="139"/>
  <c r="G61" i="139"/>
  <c r="G62" i="139"/>
  <c r="G63" i="139"/>
  <c r="G64" i="139"/>
  <c r="E6" i="139"/>
  <c r="E7" i="139"/>
  <c r="E8" i="139"/>
  <c r="E9" i="139"/>
  <c r="E10" i="139"/>
  <c r="E11" i="139"/>
  <c r="E12" i="139"/>
  <c r="E13" i="139"/>
  <c r="E14" i="139"/>
  <c r="E15" i="139"/>
  <c r="E16" i="139"/>
  <c r="E17" i="139"/>
  <c r="E18" i="139"/>
  <c r="E19" i="139"/>
  <c r="E20" i="139"/>
  <c r="E21" i="139"/>
  <c r="E22" i="139"/>
  <c r="E23" i="139"/>
  <c r="E24" i="139"/>
  <c r="E25" i="139"/>
  <c r="E27" i="139"/>
  <c r="E28" i="139"/>
  <c r="E29" i="139"/>
  <c r="E30" i="139"/>
  <c r="E31" i="139"/>
  <c r="E32" i="139"/>
  <c r="E33" i="139"/>
  <c r="E34" i="139"/>
  <c r="E35" i="139"/>
  <c r="E36" i="139"/>
  <c r="E37" i="139"/>
  <c r="E38" i="139"/>
  <c r="E39" i="139"/>
  <c r="E40" i="139"/>
  <c r="E41" i="139"/>
  <c r="E42" i="139"/>
  <c r="E43" i="139"/>
  <c r="E44" i="139"/>
  <c r="E45" i="139"/>
  <c r="E46" i="139"/>
  <c r="E47" i="139"/>
  <c r="E48" i="139"/>
  <c r="E49" i="139"/>
  <c r="E50" i="139"/>
  <c r="E51" i="139"/>
  <c r="E52" i="139"/>
  <c r="E53" i="139"/>
  <c r="E54" i="139"/>
  <c r="E55" i="139"/>
  <c r="E56" i="139"/>
  <c r="E57" i="139"/>
  <c r="E58" i="139"/>
  <c r="E59" i="139"/>
  <c r="E60" i="139"/>
  <c r="E61" i="139"/>
  <c r="E62" i="139"/>
  <c r="E63" i="139"/>
  <c r="E5" i="139"/>
  <c r="P49" i="138"/>
  <c r="P50" i="137"/>
  <c r="E6" i="138"/>
  <c r="E8" i="138"/>
  <c r="E9" i="138"/>
  <c r="E10" i="138"/>
  <c r="E11" i="138"/>
  <c r="E12" i="138"/>
  <c r="E13" i="138"/>
  <c r="E14" i="138"/>
  <c r="E16" i="138"/>
  <c r="E17" i="138"/>
  <c r="E18" i="138"/>
  <c r="E19" i="138"/>
  <c r="E20" i="138"/>
  <c r="E21" i="138"/>
  <c r="E22" i="138"/>
  <c r="E23" i="138"/>
  <c r="E24" i="138"/>
  <c r="E25" i="138"/>
  <c r="E26" i="138"/>
  <c r="E27" i="138"/>
  <c r="E28" i="138"/>
  <c r="E29" i="138"/>
  <c r="E30" i="138"/>
  <c r="E32" i="138"/>
  <c r="E33" i="138"/>
  <c r="E34" i="138"/>
  <c r="E36" i="138"/>
  <c r="E37" i="138"/>
  <c r="E38" i="138"/>
  <c r="E39" i="138"/>
  <c r="E40" i="138"/>
  <c r="E41" i="138"/>
  <c r="E43" i="138"/>
  <c r="E44" i="138"/>
  <c r="E45" i="138"/>
  <c r="E46" i="138"/>
  <c r="E47" i="138"/>
  <c r="E49" i="138"/>
  <c r="E52" i="138"/>
  <c r="E53" i="138"/>
  <c r="E54" i="138"/>
  <c r="E55" i="138"/>
  <c r="E56" i="138"/>
  <c r="E57" i="138"/>
  <c r="E58" i="138"/>
  <c r="E59" i="138"/>
  <c r="E60" i="138"/>
  <c r="E61" i="138"/>
  <c r="E62" i="138"/>
  <c r="E5" i="138"/>
  <c r="E6" i="137"/>
  <c r="E8" i="137"/>
  <c r="E9" i="137"/>
  <c r="E10" i="137"/>
  <c r="E11" i="137"/>
  <c r="E12" i="137"/>
  <c r="E13" i="137"/>
  <c r="E14" i="137"/>
  <c r="E16" i="137"/>
  <c r="E17" i="137"/>
  <c r="E18" i="137"/>
  <c r="E19" i="137"/>
  <c r="E20" i="137"/>
  <c r="E21" i="137"/>
  <c r="E22" i="137"/>
  <c r="E23" i="137"/>
  <c r="E24" i="137"/>
  <c r="E25" i="137"/>
  <c r="E26" i="137"/>
  <c r="E27" i="137"/>
  <c r="E28" i="137"/>
  <c r="E29" i="137"/>
  <c r="E30" i="137"/>
  <c r="E31" i="137"/>
  <c r="E32" i="137"/>
  <c r="E33" i="137"/>
  <c r="E34" i="137"/>
  <c r="E35" i="137"/>
  <c r="E36" i="137"/>
  <c r="E37" i="137"/>
  <c r="E38" i="137"/>
  <c r="E39" i="137"/>
  <c r="E40" i="137"/>
  <c r="E41" i="137"/>
  <c r="E42" i="137"/>
  <c r="E43" i="137"/>
  <c r="E44" i="137"/>
  <c r="E45" i="137"/>
  <c r="E46" i="137"/>
  <c r="E47" i="137"/>
  <c r="E49" i="137"/>
  <c r="E52" i="137"/>
  <c r="E53" i="137"/>
  <c r="E54" i="137"/>
  <c r="E55" i="137"/>
  <c r="E56" i="137"/>
  <c r="E57" i="137"/>
  <c r="E58" i="137"/>
  <c r="E59" i="137"/>
  <c r="E60" i="137"/>
  <c r="E61" i="137"/>
  <c r="E62" i="137"/>
  <c r="E5" i="137"/>
  <c r="U6" i="8"/>
  <c r="E6" i="136"/>
  <c r="E7" i="136"/>
  <c r="E8" i="136"/>
  <c r="E9" i="136"/>
  <c r="E10" i="136"/>
  <c r="E11" i="136"/>
  <c r="E12" i="136"/>
  <c r="E13" i="136"/>
  <c r="E14" i="136"/>
  <c r="E15" i="136"/>
  <c r="E16" i="136"/>
  <c r="E17" i="136"/>
  <c r="E18" i="136"/>
  <c r="E19" i="136"/>
  <c r="E20" i="136"/>
  <c r="E21" i="136"/>
  <c r="E22" i="136"/>
  <c r="E23" i="136"/>
  <c r="E24" i="136"/>
  <c r="E25" i="136"/>
  <c r="E26" i="136"/>
  <c r="E27" i="136"/>
  <c r="E28" i="136"/>
  <c r="E29" i="136"/>
  <c r="E30" i="136"/>
  <c r="E31" i="136"/>
  <c r="E32" i="136"/>
  <c r="E33" i="136"/>
  <c r="E34" i="136"/>
  <c r="E35" i="136"/>
  <c r="E36" i="136"/>
  <c r="E37" i="136"/>
  <c r="E38" i="136"/>
  <c r="E39" i="136"/>
  <c r="E40" i="136"/>
  <c r="E41" i="136"/>
  <c r="E42" i="136"/>
  <c r="E43" i="136"/>
  <c r="E44" i="136"/>
  <c r="E45" i="136"/>
  <c r="E46" i="136"/>
  <c r="E47" i="136"/>
  <c r="E48" i="136"/>
  <c r="E49" i="136"/>
  <c r="E50" i="136"/>
  <c r="E51" i="136"/>
  <c r="E52" i="136"/>
  <c r="E53" i="136"/>
  <c r="E54" i="136"/>
  <c r="E55" i="136"/>
  <c r="E56" i="136"/>
  <c r="E57" i="136"/>
  <c r="E58" i="136"/>
  <c r="E59" i="136"/>
  <c r="E60" i="136"/>
  <c r="E61" i="136"/>
  <c r="E62" i="136"/>
  <c r="E63" i="136"/>
  <c r="E64" i="136"/>
  <c r="E5" i="136"/>
  <c r="E6" i="135"/>
  <c r="E7" i="135"/>
  <c r="E8" i="135"/>
  <c r="E9" i="135"/>
  <c r="E10" i="135"/>
  <c r="E11" i="135"/>
  <c r="E12" i="135"/>
  <c r="E13" i="135"/>
  <c r="E14" i="135"/>
  <c r="E15" i="135"/>
  <c r="E16" i="135"/>
  <c r="E17" i="135"/>
  <c r="E18" i="135"/>
  <c r="E19" i="135"/>
  <c r="E20" i="135"/>
  <c r="E21" i="135"/>
  <c r="E22" i="135"/>
  <c r="E23" i="135"/>
  <c r="E24" i="135"/>
  <c r="E25" i="135"/>
  <c r="E26" i="135"/>
  <c r="E27" i="135"/>
  <c r="E28" i="135"/>
  <c r="E29" i="135"/>
  <c r="E30" i="135"/>
  <c r="E31" i="135"/>
  <c r="E32" i="135"/>
  <c r="E33" i="135"/>
  <c r="E34" i="135"/>
  <c r="E35" i="135"/>
  <c r="E36" i="135"/>
  <c r="E37" i="135"/>
  <c r="E38" i="135"/>
  <c r="E39" i="135"/>
  <c r="E40" i="135"/>
  <c r="E41" i="135"/>
  <c r="E42" i="135"/>
  <c r="E43" i="135"/>
  <c r="E44" i="135"/>
  <c r="E45" i="135"/>
  <c r="E46" i="135"/>
  <c r="E47" i="135"/>
  <c r="E48" i="135"/>
  <c r="E49" i="135"/>
  <c r="E51" i="135"/>
  <c r="E52" i="135"/>
  <c r="E53" i="135"/>
  <c r="E54" i="135"/>
  <c r="E55" i="135"/>
  <c r="E56" i="135"/>
  <c r="E57" i="135"/>
  <c r="E58" i="135"/>
  <c r="E59" i="135"/>
  <c r="E60" i="135"/>
  <c r="E61" i="135"/>
  <c r="E62" i="135"/>
  <c r="E63" i="135"/>
  <c r="E64" i="135"/>
  <c r="E5" i="135"/>
  <c r="E6" i="134"/>
  <c r="E7" i="134"/>
  <c r="E8" i="134"/>
  <c r="E9" i="134"/>
  <c r="E10" i="134"/>
  <c r="E11" i="134"/>
  <c r="E12" i="134"/>
  <c r="E13" i="134"/>
  <c r="E14" i="134"/>
  <c r="E15" i="134"/>
  <c r="E16" i="134"/>
  <c r="E17" i="134"/>
  <c r="E18" i="134"/>
  <c r="E19" i="134"/>
  <c r="E20" i="134"/>
  <c r="E21" i="134"/>
  <c r="E22" i="134"/>
  <c r="E23" i="134"/>
  <c r="E24" i="134"/>
  <c r="E25" i="134"/>
  <c r="E26" i="134"/>
  <c r="E27" i="134"/>
  <c r="E28" i="134"/>
  <c r="E29" i="134"/>
  <c r="E30" i="134"/>
  <c r="E31" i="134"/>
  <c r="E32" i="134"/>
  <c r="E33" i="134"/>
  <c r="E34" i="134"/>
  <c r="E35" i="134"/>
  <c r="E36" i="134"/>
  <c r="E37" i="134"/>
  <c r="E38" i="134"/>
  <c r="E39" i="134"/>
  <c r="E40" i="134"/>
  <c r="E41" i="134"/>
  <c r="E42" i="134"/>
  <c r="E43" i="134"/>
  <c r="E44" i="134"/>
  <c r="E45" i="134"/>
  <c r="E46" i="134"/>
  <c r="E47" i="134"/>
  <c r="E48" i="134"/>
  <c r="E49" i="134"/>
  <c r="E50" i="134"/>
  <c r="E51" i="134"/>
  <c r="E52" i="134"/>
  <c r="E53" i="134"/>
  <c r="E54" i="134"/>
  <c r="E55" i="134"/>
  <c r="E56" i="134"/>
  <c r="E57" i="134"/>
  <c r="E58" i="134"/>
  <c r="E59" i="134"/>
  <c r="E60" i="134"/>
  <c r="E61" i="134"/>
  <c r="E5" i="134"/>
  <c r="E6" i="133"/>
  <c r="E7" i="133"/>
  <c r="E8" i="133"/>
  <c r="E9" i="133"/>
  <c r="E10" i="133"/>
  <c r="E11" i="133"/>
  <c r="E12" i="133"/>
  <c r="E13" i="133"/>
  <c r="E14" i="133"/>
  <c r="E15" i="133"/>
  <c r="E16" i="133"/>
  <c r="E17" i="133"/>
  <c r="E18" i="133"/>
  <c r="E19" i="133"/>
  <c r="E20" i="133"/>
  <c r="E21" i="133"/>
  <c r="E22" i="133"/>
  <c r="E23" i="133"/>
  <c r="E24" i="133"/>
  <c r="E25" i="133"/>
  <c r="E26" i="133"/>
  <c r="E27" i="133"/>
  <c r="E28" i="133"/>
  <c r="E29" i="133"/>
  <c r="E30" i="133"/>
  <c r="E31" i="133"/>
  <c r="E32" i="133"/>
  <c r="E33" i="133"/>
  <c r="E34" i="133"/>
  <c r="E35" i="133"/>
  <c r="E36" i="133"/>
  <c r="E37" i="133"/>
  <c r="E38" i="133"/>
  <c r="E39" i="133"/>
  <c r="E40" i="133"/>
  <c r="E41" i="133"/>
  <c r="E42" i="133"/>
  <c r="E43" i="133"/>
  <c r="E44" i="133"/>
  <c r="E45" i="133"/>
  <c r="E46" i="133"/>
  <c r="E47" i="133"/>
  <c r="E48" i="133"/>
  <c r="E49" i="133"/>
  <c r="E50" i="133"/>
  <c r="E51" i="133"/>
  <c r="E52" i="133"/>
  <c r="E53" i="133"/>
  <c r="E54" i="133"/>
  <c r="E55" i="133"/>
  <c r="E56" i="133"/>
  <c r="E57" i="133"/>
  <c r="E58" i="133"/>
  <c r="E59" i="133"/>
  <c r="E60" i="133"/>
  <c r="E61" i="133"/>
  <c r="E62" i="133"/>
  <c r="E63" i="133"/>
  <c r="E64" i="133"/>
  <c r="E5" i="133"/>
  <c r="E6" i="132"/>
  <c r="E7" i="132"/>
  <c r="E8" i="132"/>
  <c r="E9" i="132"/>
  <c r="E10" i="132"/>
  <c r="E11" i="132"/>
  <c r="E12" i="132"/>
  <c r="E13" i="132"/>
  <c r="E14" i="132"/>
  <c r="E15" i="132"/>
  <c r="E16" i="132"/>
  <c r="E17" i="132"/>
  <c r="E18" i="132"/>
  <c r="E19" i="132"/>
  <c r="E20" i="132"/>
  <c r="E21" i="132"/>
  <c r="E22" i="132"/>
  <c r="E23" i="132"/>
  <c r="E24" i="132"/>
  <c r="E25" i="132"/>
  <c r="E26" i="132"/>
  <c r="E27" i="132"/>
  <c r="E28" i="132"/>
  <c r="E29" i="132"/>
  <c r="E30" i="132"/>
  <c r="E31" i="132"/>
  <c r="E32" i="132"/>
  <c r="E33" i="132"/>
  <c r="E34" i="132"/>
  <c r="E35" i="132"/>
  <c r="E36" i="132"/>
  <c r="E37" i="132"/>
  <c r="E38" i="132"/>
  <c r="E39" i="132"/>
  <c r="E40" i="132"/>
  <c r="E41" i="132"/>
  <c r="E42" i="132"/>
  <c r="E43" i="132"/>
  <c r="E44" i="132"/>
  <c r="E45" i="132"/>
  <c r="E46" i="132"/>
  <c r="E47" i="132"/>
  <c r="E48" i="132"/>
  <c r="E49" i="132"/>
  <c r="E50" i="132"/>
  <c r="E51" i="132"/>
  <c r="E52" i="132"/>
  <c r="E53" i="132"/>
  <c r="E54" i="132"/>
  <c r="E55" i="132"/>
  <c r="E56" i="132"/>
  <c r="E57" i="132"/>
  <c r="E58" i="132"/>
  <c r="E59" i="132"/>
  <c r="E60" i="132"/>
  <c r="E61" i="132"/>
  <c r="E62" i="132"/>
  <c r="E63" i="132"/>
  <c r="E64" i="132"/>
  <c r="E65" i="132"/>
  <c r="E5" i="132"/>
  <c r="E6" i="131"/>
  <c r="E7" i="131"/>
  <c r="E8" i="131"/>
  <c r="E9" i="131"/>
  <c r="E10" i="131"/>
  <c r="E11" i="131"/>
  <c r="E12" i="131"/>
  <c r="E13" i="131"/>
  <c r="E14" i="131"/>
  <c r="E15" i="131"/>
  <c r="E16" i="131"/>
  <c r="E17" i="131"/>
  <c r="E18" i="131"/>
  <c r="E19" i="131"/>
  <c r="E20" i="131"/>
  <c r="E21" i="131"/>
  <c r="E22" i="131"/>
  <c r="E23" i="131"/>
  <c r="E24" i="131"/>
  <c r="E25" i="131"/>
  <c r="E26" i="131"/>
  <c r="E27" i="131"/>
  <c r="E28" i="131"/>
  <c r="E29" i="131"/>
  <c r="E30" i="131"/>
  <c r="E31" i="131"/>
  <c r="E32" i="131"/>
  <c r="E33" i="131"/>
  <c r="E34" i="131"/>
  <c r="E35" i="131"/>
  <c r="E36" i="131"/>
  <c r="E37" i="131"/>
  <c r="E38" i="131"/>
  <c r="E39" i="131"/>
  <c r="E40" i="131"/>
  <c r="E41" i="131"/>
  <c r="E42" i="131"/>
  <c r="E43" i="131"/>
  <c r="E44" i="131"/>
  <c r="E45" i="131"/>
  <c r="E46" i="131"/>
  <c r="E47" i="131"/>
  <c r="E48" i="131"/>
  <c r="E49" i="131"/>
  <c r="E50" i="131"/>
  <c r="E51" i="131"/>
  <c r="E52" i="131"/>
  <c r="E53" i="131"/>
  <c r="E54" i="131"/>
  <c r="E55" i="131"/>
  <c r="E56" i="131"/>
  <c r="E57" i="131"/>
  <c r="E58" i="131"/>
  <c r="E59" i="131"/>
  <c r="E60" i="131"/>
  <c r="E61" i="131"/>
  <c r="E62" i="131"/>
  <c r="E63" i="131"/>
  <c r="E64" i="131"/>
  <c r="E5" i="131"/>
  <c r="P59" i="130" l="1"/>
  <c r="P60" i="130"/>
  <c r="P61" i="130"/>
  <c r="P62" i="130"/>
  <c r="P63" i="130"/>
  <c r="P64" i="130"/>
  <c r="P65" i="130"/>
  <c r="E6" i="130"/>
  <c r="E7" i="130"/>
  <c r="E8" i="130"/>
  <c r="E9" i="130"/>
  <c r="E10" i="130"/>
  <c r="E11" i="130"/>
  <c r="E12" i="130"/>
  <c r="E14" i="130"/>
  <c r="E15" i="130"/>
  <c r="E16" i="130"/>
  <c r="E17" i="130"/>
  <c r="E18" i="130"/>
  <c r="E19" i="130"/>
  <c r="E20" i="130"/>
  <c r="E21" i="130"/>
  <c r="E22" i="130"/>
  <c r="E23" i="130"/>
  <c r="E24" i="130"/>
  <c r="E25" i="130"/>
  <c r="E26" i="130"/>
  <c r="E27" i="130"/>
  <c r="E28" i="130"/>
  <c r="E29" i="130"/>
  <c r="E30" i="130"/>
  <c r="E31" i="130"/>
  <c r="E32" i="130"/>
  <c r="E33" i="130"/>
  <c r="E34" i="130"/>
  <c r="E35" i="130"/>
  <c r="E36" i="130"/>
  <c r="E37" i="130"/>
  <c r="E38" i="130"/>
  <c r="E39" i="130"/>
  <c r="E40" i="130"/>
  <c r="E41" i="130"/>
  <c r="E42" i="130"/>
  <c r="E43" i="130"/>
  <c r="E44" i="130"/>
  <c r="E45" i="130"/>
  <c r="E46" i="130"/>
  <c r="E47" i="130"/>
  <c r="E48" i="130"/>
  <c r="E49" i="130"/>
  <c r="E50" i="130"/>
  <c r="E51" i="130"/>
  <c r="E52" i="130"/>
  <c r="E53" i="130"/>
  <c r="E54" i="130"/>
  <c r="E55" i="130"/>
  <c r="E56" i="130"/>
  <c r="E57" i="130"/>
  <c r="E58" i="130"/>
  <c r="E59" i="130"/>
  <c r="E60" i="130"/>
  <c r="E61" i="130"/>
  <c r="E62" i="130"/>
  <c r="E63" i="130"/>
  <c r="E64" i="130"/>
  <c r="E5" i="130"/>
  <c r="E6" i="129"/>
  <c r="E7" i="129"/>
  <c r="E8" i="129"/>
  <c r="E9" i="129"/>
  <c r="E10" i="129"/>
  <c r="E11" i="129"/>
  <c r="E12" i="129"/>
  <c r="E13" i="129"/>
  <c r="E14" i="129"/>
  <c r="E15" i="129"/>
  <c r="E16" i="129"/>
  <c r="E17" i="129"/>
  <c r="E18" i="129"/>
  <c r="E19" i="129"/>
  <c r="E20" i="129"/>
  <c r="E21" i="129"/>
  <c r="E22" i="129"/>
  <c r="E23" i="129"/>
  <c r="E24" i="129"/>
  <c r="E25" i="129"/>
  <c r="E26" i="129"/>
  <c r="E27" i="129"/>
  <c r="E28" i="129"/>
  <c r="E29" i="129"/>
  <c r="E30" i="129"/>
  <c r="E31" i="129"/>
  <c r="E32" i="129"/>
  <c r="E33" i="129"/>
  <c r="E34" i="129"/>
  <c r="E35" i="129"/>
  <c r="E36" i="129"/>
  <c r="E37" i="129"/>
  <c r="E38" i="129"/>
  <c r="E39" i="129"/>
  <c r="E40" i="129"/>
  <c r="E41" i="129"/>
  <c r="E42" i="129"/>
  <c r="E43" i="129"/>
  <c r="E44" i="129"/>
  <c r="E45" i="129"/>
  <c r="E46" i="129"/>
  <c r="E47" i="129"/>
  <c r="E48" i="129"/>
  <c r="E49" i="129"/>
  <c r="E50" i="129"/>
  <c r="E51" i="129"/>
  <c r="E52" i="129"/>
  <c r="E53" i="129"/>
  <c r="E54" i="129"/>
  <c r="E55" i="129"/>
  <c r="E56" i="129"/>
  <c r="E57" i="129"/>
  <c r="E58" i="129"/>
  <c r="E59" i="129"/>
  <c r="E60" i="129"/>
  <c r="E61" i="129"/>
  <c r="E62" i="129"/>
  <c r="E63" i="129"/>
  <c r="E64" i="129"/>
  <c r="E5" i="129"/>
  <c r="F63" i="8"/>
  <c r="F64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Y8" i="8"/>
  <c r="V8" i="8"/>
  <c r="U8" i="8"/>
  <c r="T8" i="8"/>
  <c r="Y7" i="8"/>
  <c r="V7" i="8"/>
  <c r="T7" i="8"/>
  <c r="P26" i="8"/>
  <c r="P27" i="8"/>
  <c r="P30" i="8"/>
  <c r="P32" i="8"/>
  <c r="P33" i="8"/>
  <c r="P34" i="8"/>
  <c r="P37" i="8"/>
  <c r="P38" i="8"/>
  <c r="P40" i="8"/>
  <c r="P42" i="8"/>
  <c r="P43" i="8"/>
  <c r="P44" i="8"/>
  <c r="P45" i="8"/>
  <c r="P46" i="8"/>
  <c r="P48" i="8"/>
  <c r="P49" i="8"/>
  <c r="P50" i="8"/>
  <c r="P51" i="8"/>
  <c r="P53" i="8"/>
  <c r="P54" i="8"/>
  <c r="P56" i="8"/>
  <c r="P58" i="8"/>
  <c r="P59" i="8"/>
  <c r="P6" i="8"/>
  <c r="P7" i="8"/>
  <c r="P8" i="8"/>
  <c r="P12" i="8"/>
  <c r="P13" i="8"/>
  <c r="P16" i="8"/>
  <c r="P21" i="8"/>
  <c r="P22" i="8"/>
  <c r="P23" i="8"/>
  <c r="K5" i="8"/>
  <c r="J24" i="74"/>
  <c r="J25" i="74"/>
  <c r="J26" i="74"/>
  <c r="J27" i="74"/>
  <c r="J28" i="74"/>
  <c r="J29" i="74"/>
  <c r="J30" i="74"/>
  <c r="J31" i="74"/>
  <c r="J32" i="74"/>
  <c r="J33" i="74"/>
  <c r="J34" i="74"/>
  <c r="J35" i="74"/>
  <c r="J36" i="74"/>
  <c r="J37" i="74"/>
  <c r="J38" i="74"/>
  <c r="J39" i="74"/>
  <c r="J40" i="74"/>
  <c r="J41" i="74"/>
  <c r="J42" i="74"/>
  <c r="J43" i="74"/>
  <c r="J44" i="74"/>
  <c r="J45" i="74"/>
  <c r="J46" i="74"/>
  <c r="J47" i="74"/>
  <c r="J48" i="74"/>
  <c r="J49" i="74"/>
  <c r="J50" i="74"/>
  <c r="J51" i="74"/>
  <c r="J52" i="74"/>
  <c r="J53" i="74"/>
  <c r="J54" i="74"/>
  <c r="J55" i="74"/>
  <c r="J56" i="74"/>
  <c r="J57" i="74"/>
  <c r="J58" i="74"/>
  <c r="J59" i="74"/>
  <c r="J60" i="74"/>
  <c r="J61" i="74"/>
  <c r="J62" i="74"/>
  <c r="J63" i="74"/>
  <c r="J64" i="74"/>
  <c r="J65" i="74"/>
  <c r="J6" i="74"/>
  <c r="J7" i="74"/>
  <c r="J8" i="74"/>
  <c r="J9" i="74"/>
  <c r="J10" i="74"/>
  <c r="J11" i="74"/>
  <c r="J12" i="74"/>
  <c r="J13" i="74"/>
  <c r="J14" i="74"/>
  <c r="J15" i="74"/>
  <c r="J16" i="74"/>
  <c r="J17" i="74"/>
  <c r="J18" i="74"/>
  <c r="J19" i="74"/>
  <c r="J20" i="74"/>
  <c r="J21" i="74"/>
  <c r="J22" i="74"/>
  <c r="J23" i="74"/>
  <c r="J5" i="74"/>
  <c r="I5" i="8"/>
  <c r="H5" i="8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" i="74"/>
  <c r="G7" i="74"/>
  <c r="G8" i="74"/>
  <c r="G9" i="74"/>
  <c r="G10" i="74"/>
  <c r="G11" i="74"/>
  <c r="G12" i="74"/>
  <c r="G13" i="74"/>
  <c r="G14" i="74"/>
  <c r="G15" i="74"/>
  <c r="G16" i="74"/>
  <c r="G17" i="74"/>
  <c r="G18" i="74"/>
  <c r="G19" i="74"/>
  <c r="G5" i="74"/>
  <c r="F5" i="8"/>
  <c r="G5" i="8" s="1"/>
  <c r="E5" i="74"/>
  <c r="J56" i="77"/>
  <c r="J57" i="77"/>
  <c r="J58" i="77"/>
  <c r="J59" i="77"/>
  <c r="J60" i="77"/>
  <c r="J61" i="77"/>
  <c r="J62" i="77"/>
  <c r="J63" i="77"/>
  <c r="J64" i="77"/>
  <c r="G6" i="77"/>
  <c r="G7" i="77"/>
  <c r="G8" i="77"/>
  <c r="G9" i="77"/>
  <c r="G10" i="77"/>
  <c r="G11" i="77"/>
  <c r="G12" i="77"/>
  <c r="G13" i="77"/>
  <c r="G14" i="77"/>
  <c r="G15" i="77"/>
  <c r="G16" i="77"/>
  <c r="G17" i="77"/>
  <c r="G18" i="77"/>
  <c r="G19" i="77"/>
  <c r="G20" i="77"/>
  <c r="G21" i="77"/>
  <c r="G22" i="77"/>
  <c r="G23" i="77"/>
  <c r="G24" i="77"/>
  <c r="G25" i="77"/>
  <c r="G26" i="77"/>
  <c r="G27" i="77"/>
  <c r="G28" i="77"/>
  <c r="G29" i="77"/>
  <c r="G30" i="77"/>
  <c r="G31" i="77"/>
  <c r="G32" i="77"/>
  <c r="G33" i="77"/>
  <c r="G34" i="77"/>
  <c r="G35" i="77"/>
  <c r="G36" i="77"/>
  <c r="G37" i="77"/>
  <c r="G38" i="77"/>
  <c r="G39" i="77"/>
  <c r="G40" i="77"/>
  <c r="G41" i="77"/>
  <c r="G42" i="77"/>
  <c r="G43" i="77"/>
  <c r="G44" i="77"/>
  <c r="G45" i="77"/>
  <c r="G46" i="77"/>
  <c r="G47" i="77"/>
  <c r="G48" i="77"/>
  <c r="G49" i="77"/>
  <c r="G50" i="77"/>
  <c r="G51" i="77"/>
  <c r="G52" i="77"/>
  <c r="G53" i="77"/>
  <c r="G54" i="77"/>
  <c r="J54" i="77" s="1"/>
  <c r="G55" i="77"/>
  <c r="J55" i="77" s="1"/>
  <c r="G56" i="77"/>
  <c r="G57" i="77"/>
  <c r="G58" i="77"/>
  <c r="G59" i="77"/>
  <c r="G60" i="77"/>
  <c r="G61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M5" i="77"/>
  <c r="P5" i="77" s="1"/>
  <c r="E5" i="77"/>
  <c r="G5" i="77" s="1"/>
  <c r="J5" i="77" s="1"/>
  <c r="M5" i="74"/>
  <c r="P5" i="74" s="1"/>
  <c r="H65" i="8"/>
  <c r="G65" i="8"/>
  <c r="P60" i="8"/>
  <c r="P61" i="8"/>
  <c r="P62" i="8"/>
  <c r="P64" i="8"/>
  <c r="P20" i="8" l="1"/>
  <c r="P25" i="8"/>
  <c r="P24" i="8"/>
  <c r="P41" i="8"/>
  <c r="P10" i="8"/>
  <c r="P9" i="8"/>
  <c r="P52" i="8"/>
  <c r="P57" i="8"/>
  <c r="P36" i="8"/>
  <c r="P35" i="8"/>
  <c r="P29" i="8"/>
  <c r="P28" i="8"/>
  <c r="P18" i="8"/>
  <c r="P17" i="8"/>
  <c r="P15" i="8"/>
  <c r="P14" i="8"/>
  <c r="J64" i="8"/>
  <c r="J5" i="8"/>
  <c r="P63" i="8"/>
  <c r="P55" i="8"/>
  <c r="P47" i="8"/>
  <c r="P39" i="8"/>
  <c r="P31" i="8"/>
  <c r="P19" i="8"/>
  <c r="P11" i="8"/>
  <c r="P5" i="8"/>
  <c r="E18" i="74" l="1"/>
  <c r="E19" i="74"/>
  <c r="E20" i="74"/>
  <c r="E21" i="74"/>
  <c r="E22" i="74"/>
  <c r="E23" i="74"/>
  <c r="E24" i="74"/>
  <c r="E25" i="74"/>
  <c r="E26" i="74"/>
  <c r="E27" i="74"/>
  <c r="E28" i="74"/>
  <c r="E29" i="74"/>
  <c r="E30" i="74"/>
  <c r="E31" i="74"/>
  <c r="E32" i="74"/>
  <c r="E33" i="74"/>
  <c r="E34" i="74"/>
  <c r="E35" i="74"/>
  <c r="E36" i="74"/>
  <c r="E37" i="74"/>
  <c r="E38" i="74"/>
  <c r="E39" i="74"/>
  <c r="E40" i="74"/>
  <c r="E41" i="74"/>
  <c r="E42" i="74"/>
  <c r="E43" i="74"/>
  <c r="E44" i="74"/>
  <c r="E45" i="74"/>
  <c r="E46" i="74"/>
  <c r="E47" i="74"/>
  <c r="E48" i="74"/>
  <c r="E49" i="74"/>
  <c r="E50" i="74"/>
  <c r="E51" i="74"/>
  <c r="E52" i="74"/>
  <c r="E53" i="74"/>
  <c r="E54" i="74"/>
  <c r="E55" i="74"/>
  <c r="E56" i="74"/>
  <c r="E57" i="74"/>
  <c r="E58" i="74"/>
  <c r="E59" i="74"/>
  <c r="E60" i="74"/>
  <c r="E61" i="74"/>
  <c r="E62" i="74"/>
  <c r="E63" i="74"/>
  <c r="E64" i="74"/>
  <c r="E65" i="74"/>
  <c r="E6" i="74"/>
  <c r="E7" i="74"/>
  <c r="E8" i="74"/>
  <c r="E9" i="74"/>
  <c r="E10" i="74"/>
  <c r="E11" i="74"/>
  <c r="E12" i="74"/>
  <c r="E13" i="74"/>
  <c r="E14" i="74"/>
  <c r="E15" i="74"/>
  <c r="E16" i="74"/>
  <c r="E17" i="74"/>
  <c r="N73" i="139"/>
  <c r="N70" i="139"/>
  <c r="M67" i="139"/>
  <c r="R65" i="139"/>
  <c r="R64" i="139"/>
  <c r="R63" i="139"/>
  <c r="R62" i="139"/>
  <c r="R61" i="139"/>
  <c r="R60" i="139"/>
  <c r="R59" i="139"/>
  <c r="R58" i="139"/>
  <c r="R57" i="139"/>
  <c r="R56" i="139"/>
  <c r="G56" i="139"/>
  <c r="R55" i="139"/>
  <c r="M55" i="139"/>
  <c r="G55" i="139"/>
  <c r="J55" i="139" s="1"/>
  <c r="R54" i="139"/>
  <c r="M54" i="139"/>
  <c r="G54" i="139"/>
  <c r="J54" i="139" s="1"/>
  <c r="R53" i="139"/>
  <c r="P53" i="139"/>
  <c r="M53" i="139"/>
  <c r="G53" i="139"/>
  <c r="J53" i="139" s="1"/>
  <c r="R52" i="139"/>
  <c r="M52" i="139"/>
  <c r="P52" i="139" s="1"/>
  <c r="G52" i="139"/>
  <c r="J52" i="139" s="1"/>
  <c r="R51" i="139"/>
  <c r="M51" i="139"/>
  <c r="P51" i="139" s="1"/>
  <c r="G51" i="139"/>
  <c r="J51" i="139" s="1"/>
  <c r="R50" i="139"/>
  <c r="M50" i="139"/>
  <c r="P50" i="139" s="1"/>
  <c r="G50" i="139"/>
  <c r="J50" i="139" s="1"/>
  <c r="R49" i="139"/>
  <c r="P49" i="139"/>
  <c r="M49" i="139"/>
  <c r="G49" i="139"/>
  <c r="J49" i="139" s="1"/>
  <c r="R48" i="139"/>
  <c r="M48" i="139"/>
  <c r="P48" i="139" s="1"/>
  <c r="G48" i="139"/>
  <c r="J48" i="139" s="1"/>
  <c r="R47" i="139"/>
  <c r="M47" i="139"/>
  <c r="P47" i="139" s="1"/>
  <c r="G47" i="139"/>
  <c r="J47" i="139" s="1"/>
  <c r="R46" i="139"/>
  <c r="M46" i="139"/>
  <c r="P46" i="139" s="1"/>
  <c r="G46" i="139"/>
  <c r="J46" i="139" s="1"/>
  <c r="M45" i="139"/>
  <c r="P45" i="139" s="1"/>
  <c r="G45" i="139"/>
  <c r="J45" i="139" s="1"/>
  <c r="R44" i="139"/>
  <c r="P44" i="139"/>
  <c r="M44" i="139"/>
  <c r="J44" i="139"/>
  <c r="G44" i="139"/>
  <c r="R43" i="139"/>
  <c r="M43" i="139"/>
  <c r="P43" i="139" s="1"/>
  <c r="G43" i="139"/>
  <c r="J43" i="139" s="1"/>
  <c r="R42" i="139"/>
  <c r="P42" i="139"/>
  <c r="M42" i="139"/>
  <c r="J42" i="139"/>
  <c r="G42" i="139"/>
  <c r="R41" i="139"/>
  <c r="M41" i="139"/>
  <c r="P41" i="139" s="1"/>
  <c r="G41" i="139"/>
  <c r="J41" i="139" s="1"/>
  <c r="R40" i="139"/>
  <c r="M40" i="139"/>
  <c r="P40" i="139" s="1"/>
  <c r="G40" i="139"/>
  <c r="J40" i="139" s="1"/>
  <c r="R39" i="139"/>
  <c r="M39" i="139"/>
  <c r="P39" i="139" s="1"/>
  <c r="G39" i="139"/>
  <c r="J39" i="139" s="1"/>
  <c r="R38" i="139"/>
  <c r="M38" i="139"/>
  <c r="P38" i="139" s="1"/>
  <c r="G38" i="139"/>
  <c r="J38" i="139" s="1"/>
  <c r="R37" i="139"/>
  <c r="M37" i="139"/>
  <c r="P37" i="139" s="1"/>
  <c r="G37" i="139"/>
  <c r="J37" i="139" s="1"/>
  <c r="R36" i="139"/>
  <c r="P36" i="139"/>
  <c r="M36" i="139"/>
  <c r="G36" i="139"/>
  <c r="J36" i="139" s="1"/>
  <c r="R35" i="139"/>
  <c r="M35" i="139"/>
  <c r="P35" i="139" s="1"/>
  <c r="G35" i="139"/>
  <c r="J35" i="139" s="1"/>
  <c r="R34" i="139"/>
  <c r="P34" i="139"/>
  <c r="M34" i="139"/>
  <c r="G34" i="139"/>
  <c r="J34" i="139" s="1"/>
  <c r="R33" i="139"/>
  <c r="M33" i="139"/>
  <c r="P33" i="139" s="1"/>
  <c r="G33" i="139"/>
  <c r="J33" i="139" s="1"/>
  <c r="R32" i="139"/>
  <c r="M32" i="139"/>
  <c r="P32" i="139" s="1"/>
  <c r="G32" i="139"/>
  <c r="J32" i="139" s="1"/>
  <c r="R31" i="139"/>
  <c r="M31" i="139"/>
  <c r="P31" i="139" s="1"/>
  <c r="G31" i="139"/>
  <c r="J31" i="139" s="1"/>
  <c r="R30" i="139"/>
  <c r="M30" i="139"/>
  <c r="P30" i="139" s="1"/>
  <c r="J30" i="139"/>
  <c r="G30" i="139"/>
  <c r="R29" i="139"/>
  <c r="M29" i="139"/>
  <c r="P29" i="139" s="1"/>
  <c r="J29" i="139"/>
  <c r="G29" i="139"/>
  <c r="R28" i="139"/>
  <c r="P28" i="139"/>
  <c r="M28" i="139"/>
  <c r="G28" i="139"/>
  <c r="J28" i="139" s="1"/>
  <c r="R27" i="139"/>
  <c r="P27" i="139"/>
  <c r="M27" i="139"/>
  <c r="G27" i="139"/>
  <c r="J27" i="139" s="1"/>
  <c r="R26" i="139"/>
  <c r="P26" i="139"/>
  <c r="M26" i="139"/>
  <c r="R25" i="139"/>
  <c r="M25" i="139"/>
  <c r="P25" i="139" s="1"/>
  <c r="G25" i="139"/>
  <c r="J25" i="139" s="1"/>
  <c r="R24" i="139"/>
  <c r="M24" i="139"/>
  <c r="P24" i="139" s="1"/>
  <c r="G24" i="139"/>
  <c r="J24" i="139" s="1"/>
  <c r="R23" i="139"/>
  <c r="M23" i="139"/>
  <c r="P23" i="139" s="1"/>
  <c r="G23" i="139"/>
  <c r="J23" i="139" s="1"/>
  <c r="R22" i="139"/>
  <c r="M22" i="139"/>
  <c r="P22" i="139" s="1"/>
  <c r="J22" i="139"/>
  <c r="G22" i="139"/>
  <c r="R21" i="139"/>
  <c r="M21" i="139"/>
  <c r="P21" i="139" s="1"/>
  <c r="G21" i="139"/>
  <c r="J21" i="139" s="1"/>
  <c r="R20" i="139"/>
  <c r="M20" i="139"/>
  <c r="P20" i="139" s="1"/>
  <c r="G20" i="139"/>
  <c r="J20" i="139" s="1"/>
  <c r="R19" i="139"/>
  <c r="M19" i="139"/>
  <c r="P19" i="139" s="1"/>
  <c r="G19" i="139"/>
  <c r="J19" i="139" s="1"/>
  <c r="R18" i="139"/>
  <c r="P18" i="139"/>
  <c r="M18" i="139"/>
  <c r="G18" i="139"/>
  <c r="J18" i="139" s="1"/>
  <c r="R17" i="139"/>
  <c r="M17" i="139"/>
  <c r="P17" i="139" s="1"/>
  <c r="G17" i="139"/>
  <c r="J17" i="139" s="1"/>
  <c r="R16" i="139"/>
  <c r="P16" i="139"/>
  <c r="M16" i="139"/>
  <c r="G16" i="139"/>
  <c r="J16" i="139" s="1"/>
  <c r="R15" i="139"/>
  <c r="M15" i="139"/>
  <c r="P15" i="139" s="1"/>
  <c r="G15" i="139"/>
  <c r="J15" i="139" s="1"/>
  <c r="R14" i="139"/>
  <c r="M14" i="139"/>
  <c r="P14" i="139" s="1"/>
  <c r="J14" i="139"/>
  <c r="G14" i="139"/>
  <c r="R13" i="139"/>
  <c r="M13" i="139"/>
  <c r="P13" i="139" s="1"/>
  <c r="G13" i="139"/>
  <c r="J13" i="139" s="1"/>
  <c r="R12" i="139"/>
  <c r="M12" i="139"/>
  <c r="P12" i="139" s="1"/>
  <c r="G12" i="139"/>
  <c r="J12" i="139" s="1"/>
  <c r="R11" i="139"/>
  <c r="P11" i="139"/>
  <c r="M11" i="139"/>
  <c r="G11" i="139"/>
  <c r="J11" i="139" s="1"/>
  <c r="R10" i="139"/>
  <c r="M10" i="139"/>
  <c r="P10" i="139" s="1"/>
  <c r="J10" i="139"/>
  <c r="G10" i="139"/>
  <c r="R9" i="139"/>
  <c r="M9" i="139"/>
  <c r="P9" i="139" s="1"/>
  <c r="G9" i="139"/>
  <c r="J9" i="139" s="1"/>
  <c r="R8" i="139"/>
  <c r="P8" i="139"/>
  <c r="M8" i="139"/>
  <c r="G8" i="139"/>
  <c r="J8" i="139" s="1"/>
  <c r="R7" i="139"/>
  <c r="M7" i="139"/>
  <c r="P7" i="139" s="1"/>
  <c r="G7" i="139"/>
  <c r="J7" i="139" s="1"/>
  <c r="R6" i="139"/>
  <c r="M6" i="139"/>
  <c r="P6" i="139" s="1"/>
  <c r="G6" i="139"/>
  <c r="J6" i="139" s="1"/>
  <c r="R5" i="139"/>
  <c r="M5" i="139"/>
  <c r="P5" i="139" s="1"/>
  <c r="G5" i="139"/>
  <c r="J5" i="139" s="1"/>
  <c r="N73" i="138"/>
  <c r="S15" i="8" s="1"/>
  <c r="N70" i="138"/>
  <c r="W15" i="8" s="1"/>
  <c r="M67" i="138"/>
  <c r="R65" i="138"/>
  <c r="R64" i="138"/>
  <c r="R63" i="138"/>
  <c r="R62" i="138"/>
  <c r="R61" i="138"/>
  <c r="R60" i="138"/>
  <c r="R59" i="138"/>
  <c r="R58" i="138"/>
  <c r="M58" i="138"/>
  <c r="P58" i="138" s="1"/>
  <c r="G58" i="138"/>
  <c r="J58" i="138" s="1"/>
  <c r="R57" i="138"/>
  <c r="P57" i="138"/>
  <c r="M57" i="138"/>
  <c r="G57" i="138"/>
  <c r="J57" i="138" s="1"/>
  <c r="R56" i="138"/>
  <c r="M56" i="138"/>
  <c r="P56" i="138" s="1"/>
  <c r="G56" i="138"/>
  <c r="J56" i="138" s="1"/>
  <c r="R55" i="138"/>
  <c r="P55" i="138"/>
  <c r="M55" i="138"/>
  <c r="G55" i="138"/>
  <c r="J55" i="138" s="1"/>
  <c r="R54" i="138"/>
  <c r="M54" i="138"/>
  <c r="P54" i="138" s="1"/>
  <c r="G54" i="138"/>
  <c r="J54" i="138" s="1"/>
  <c r="R53" i="138"/>
  <c r="M53" i="138"/>
  <c r="P53" i="138" s="1"/>
  <c r="G53" i="138"/>
  <c r="J53" i="138" s="1"/>
  <c r="R52" i="138"/>
  <c r="M52" i="138"/>
  <c r="P52" i="138" s="1"/>
  <c r="G52" i="138"/>
  <c r="J52" i="138" s="1"/>
  <c r="R51" i="138"/>
  <c r="M51" i="138"/>
  <c r="P51" i="138" s="1"/>
  <c r="R50" i="138"/>
  <c r="M50" i="138"/>
  <c r="P50" i="138" s="1"/>
  <c r="R49" i="138"/>
  <c r="M49" i="138"/>
  <c r="J49" i="138"/>
  <c r="G49" i="138"/>
  <c r="R48" i="138"/>
  <c r="M48" i="138"/>
  <c r="P48" i="138" s="1"/>
  <c r="R47" i="138"/>
  <c r="M47" i="138"/>
  <c r="P47" i="138" s="1"/>
  <c r="J47" i="138"/>
  <c r="G47" i="138"/>
  <c r="R46" i="138"/>
  <c r="M46" i="138"/>
  <c r="P46" i="138" s="1"/>
  <c r="G46" i="138"/>
  <c r="J46" i="138" s="1"/>
  <c r="M45" i="138"/>
  <c r="P45" i="138" s="1"/>
  <c r="G45" i="138"/>
  <c r="J45" i="138" s="1"/>
  <c r="R44" i="138"/>
  <c r="M44" i="138"/>
  <c r="P44" i="138" s="1"/>
  <c r="G44" i="138"/>
  <c r="J44" i="138" s="1"/>
  <c r="R43" i="138"/>
  <c r="M43" i="138"/>
  <c r="P43" i="138" s="1"/>
  <c r="G43" i="138"/>
  <c r="J43" i="138" s="1"/>
  <c r="R42" i="138"/>
  <c r="P42" i="138"/>
  <c r="M42" i="138"/>
  <c r="G42" i="138"/>
  <c r="J42" i="138" s="1"/>
  <c r="R41" i="138"/>
  <c r="M41" i="138"/>
  <c r="P41" i="138" s="1"/>
  <c r="G41" i="138"/>
  <c r="J41" i="138" s="1"/>
  <c r="R40" i="138"/>
  <c r="M40" i="138"/>
  <c r="P40" i="138" s="1"/>
  <c r="G40" i="138"/>
  <c r="J40" i="138" s="1"/>
  <c r="R39" i="138"/>
  <c r="M39" i="138"/>
  <c r="P39" i="138" s="1"/>
  <c r="G39" i="138"/>
  <c r="J39" i="138" s="1"/>
  <c r="R38" i="138"/>
  <c r="M38" i="138"/>
  <c r="P38" i="138" s="1"/>
  <c r="J38" i="138"/>
  <c r="G38" i="138"/>
  <c r="R37" i="138"/>
  <c r="M37" i="138"/>
  <c r="P37" i="138" s="1"/>
  <c r="J37" i="138"/>
  <c r="G37" i="138"/>
  <c r="R36" i="138"/>
  <c r="P36" i="138"/>
  <c r="M36" i="138"/>
  <c r="G36" i="138"/>
  <c r="J36" i="138" s="1"/>
  <c r="R35" i="138"/>
  <c r="M35" i="138"/>
  <c r="P35" i="138" s="1"/>
  <c r="G35" i="138"/>
  <c r="J35" i="138" s="1"/>
  <c r="R34" i="138"/>
  <c r="P34" i="138"/>
  <c r="M34" i="138"/>
  <c r="J34" i="138"/>
  <c r="G34" i="138"/>
  <c r="R33" i="138"/>
  <c r="M33" i="138"/>
  <c r="P33" i="138" s="1"/>
  <c r="G33" i="138"/>
  <c r="J33" i="138" s="1"/>
  <c r="R32" i="138"/>
  <c r="P32" i="138"/>
  <c r="M32" i="138"/>
  <c r="G32" i="138"/>
  <c r="J32" i="138" s="1"/>
  <c r="R31" i="138"/>
  <c r="M31" i="138"/>
  <c r="P31" i="138" s="1"/>
  <c r="R30" i="138"/>
  <c r="M30" i="138"/>
  <c r="P30" i="138" s="1"/>
  <c r="J30" i="138"/>
  <c r="G30" i="138"/>
  <c r="R29" i="138"/>
  <c r="M29" i="138"/>
  <c r="P29" i="138" s="1"/>
  <c r="J29" i="138"/>
  <c r="G29" i="138"/>
  <c r="R28" i="138"/>
  <c r="M28" i="138"/>
  <c r="P28" i="138" s="1"/>
  <c r="G28" i="138"/>
  <c r="J28" i="138" s="1"/>
  <c r="R27" i="138"/>
  <c r="P27" i="138"/>
  <c r="M27" i="138"/>
  <c r="G27" i="138"/>
  <c r="J27" i="138" s="1"/>
  <c r="R26" i="138"/>
  <c r="M26" i="138"/>
  <c r="P26" i="138" s="1"/>
  <c r="J26" i="138"/>
  <c r="E26" i="139" s="1"/>
  <c r="G26" i="139" s="1"/>
  <c r="J26" i="139" s="1"/>
  <c r="G26" i="138"/>
  <c r="R25" i="138"/>
  <c r="M25" i="138"/>
  <c r="P25" i="138" s="1"/>
  <c r="G25" i="138"/>
  <c r="J25" i="138" s="1"/>
  <c r="R24" i="138"/>
  <c r="M24" i="138"/>
  <c r="P24" i="138" s="1"/>
  <c r="G24" i="138"/>
  <c r="J24" i="138" s="1"/>
  <c r="R23" i="138"/>
  <c r="M23" i="138"/>
  <c r="P23" i="138" s="1"/>
  <c r="G23" i="138"/>
  <c r="J23" i="138" s="1"/>
  <c r="R22" i="138"/>
  <c r="M22" i="138"/>
  <c r="P22" i="138" s="1"/>
  <c r="G22" i="138"/>
  <c r="J22" i="138" s="1"/>
  <c r="R21" i="138"/>
  <c r="M21" i="138"/>
  <c r="P21" i="138" s="1"/>
  <c r="G21" i="138"/>
  <c r="J21" i="138" s="1"/>
  <c r="R20" i="138"/>
  <c r="P20" i="138"/>
  <c r="M20" i="138"/>
  <c r="G20" i="138"/>
  <c r="J20" i="138" s="1"/>
  <c r="R19" i="138"/>
  <c r="P19" i="138"/>
  <c r="M19" i="138"/>
  <c r="G19" i="138"/>
  <c r="J19" i="138" s="1"/>
  <c r="R18" i="138"/>
  <c r="M18" i="138"/>
  <c r="P18" i="138" s="1"/>
  <c r="J18" i="138"/>
  <c r="G18" i="138"/>
  <c r="R17" i="138"/>
  <c r="M17" i="138"/>
  <c r="P17" i="138" s="1"/>
  <c r="G17" i="138"/>
  <c r="J17" i="138" s="1"/>
  <c r="R16" i="138"/>
  <c r="M16" i="138"/>
  <c r="P16" i="138" s="1"/>
  <c r="G16" i="138"/>
  <c r="J16" i="138" s="1"/>
  <c r="R15" i="138"/>
  <c r="M15" i="138"/>
  <c r="P15" i="138" s="1"/>
  <c r="R14" i="138"/>
  <c r="M14" i="138"/>
  <c r="P14" i="138" s="1"/>
  <c r="G14" i="138"/>
  <c r="J14" i="138" s="1"/>
  <c r="R13" i="138"/>
  <c r="M13" i="138"/>
  <c r="P13" i="138" s="1"/>
  <c r="G13" i="138"/>
  <c r="J13" i="138" s="1"/>
  <c r="R12" i="138"/>
  <c r="M12" i="138"/>
  <c r="P12" i="138" s="1"/>
  <c r="G12" i="138"/>
  <c r="J12" i="138" s="1"/>
  <c r="R11" i="138"/>
  <c r="P11" i="138"/>
  <c r="M11" i="138"/>
  <c r="G11" i="138"/>
  <c r="J11" i="138" s="1"/>
  <c r="R10" i="138"/>
  <c r="M10" i="138"/>
  <c r="P10" i="138" s="1"/>
  <c r="G10" i="138"/>
  <c r="J10" i="138" s="1"/>
  <c r="R9" i="138"/>
  <c r="M9" i="138"/>
  <c r="P9" i="138" s="1"/>
  <c r="G9" i="138"/>
  <c r="J9" i="138" s="1"/>
  <c r="R8" i="138"/>
  <c r="P8" i="138"/>
  <c r="M8" i="138"/>
  <c r="G8" i="138"/>
  <c r="J8" i="138" s="1"/>
  <c r="R7" i="138"/>
  <c r="M7" i="138"/>
  <c r="P7" i="138" s="1"/>
  <c r="R6" i="138"/>
  <c r="M6" i="138"/>
  <c r="P6" i="138" s="1"/>
  <c r="G6" i="138"/>
  <c r="J6" i="138" s="1"/>
  <c r="R5" i="138"/>
  <c r="M5" i="138"/>
  <c r="P5" i="138" s="1"/>
  <c r="G5" i="138"/>
  <c r="J5" i="138" s="1"/>
  <c r="N73" i="137"/>
  <c r="S14" i="8" s="1"/>
  <c r="N70" i="137"/>
  <c r="W14" i="8" s="1"/>
  <c r="M67" i="137"/>
  <c r="R65" i="137"/>
  <c r="R64" i="137"/>
  <c r="R63" i="137"/>
  <c r="R62" i="137"/>
  <c r="R61" i="137"/>
  <c r="R60" i="137"/>
  <c r="R59" i="137"/>
  <c r="R58" i="137"/>
  <c r="M58" i="137"/>
  <c r="P58" i="137" s="1"/>
  <c r="J58" i="137"/>
  <c r="G58" i="137"/>
  <c r="R57" i="137"/>
  <c r="M57" i="137"/>
  <c r="P57" i="137" s="1"/>
  <c r="G57" i="137"/>
  <c r="J57" i="137" s="1"/>
  <c r="R56" i="137"/>
  <c r="P56" i="137"/>
  <c r="M56" i="137"/>
  <c r="J56" i="137"/>
  <c r="G56" i="137"/>
  <c r="R55" i="137"/>
  <c r="P55" i="137"/>
  <c r="M55" i="137"/>
  <c r="G55" i="137"/>
  <c r="J55" i="137" s="1"/>
  <c r="R54" i="137"/>
  <c r="P54" i="137"/>
  <c r="M54" i="137"/>
  <c r="G54" i="137"/>
  <c r="J54" i="137" s="1"/>
  <c r="R53" i="137"/>
  <c r="M53" i="137"/>
  <c r="P53" i="137" s="1"/>
  <c r="G53" i="137"/>
  <c r="J53" i="137" s="1"/>
  <c r="R52" i="137"/>
  <c r="M52" i="137"/>
  <c r="P52" i="137" s="1"/>
  <c r="G52" i="137"/>
  <c r="J52" i="137" s="1"/>
  <c r="R51" i="137"/>
  <c r="M51" i="137"/>
  <c r="P51" i="137" s="1"/>
  <c r="G51" i="137"/>
  <c r="J51" i="137" s="1"/>
  <c r="E51" i="138" s="1"/>
  <c r="G51" i="138" s="1"/>
  <c r="J51" i="138" s="1"/>
  <c r="R50" i="137"/>
  <c r="M50" i="137"/>
  <c r="R49" i="137"/>
  <c r="M49" i="137"/>
  <c r="P49" i="137" s="1"/>
  <c r="J49" i="137"/>
  <c r="G49" i="137"/>
  <c r="R48" i="137"/>
  <c r="M48" i="137"/>
  <c r="P48" i="137" s="1"/>
  <c r="R47" i="137"/>
  <c r="P47" i="137"/>
  <c r="M47" i="137"/>
  <c r="G47" i="137"/>
  <c r="J47" i="137" s="1"/>
  <c r="R46" i="137"/>
  <c r="P46" i="137"/>
  <c r="M46" i="137"/>
  <c r="G46" i="137"/>
  <c r="J46" i="137" s="1"/>
  <c r="M45" i="137"/>
  <c r="P45" i="137" s="1"/>
  <c r="G45" i="137"/>
  <c r="J45" i="137" s="1"/>
  <c r="R44" i="137"/>
  <c r="M44" i="137"/>
  <c r="P44" i="137" s="1"/>
  <c r="G44" i="137"/>
  <c r="J44" i="137" s="1"/>
  <c r="R43" i="137"/>
  <c r="P43" i="137"/>
  <c r="M43" i="137"/>
  <c r="G43" i="137"/>
  <c r="J43" i="137" s="1"/>
  <c r="R42" i="137"/>
  <c r="M42" i="137"/>
  <c r="P42" i="137" s="1"/>
  <c r="G42" i="137"/>
  <c r="J42" i="137" s="1"/>
  <c r="E42" i="138" s="1"/>
  <c r="R41" i="137"/>
  <c r="P41" i="137"/>
  <c r="M41" i="137"/>
  <c r="G41" i="137"/>
  <c r="J41" i="137" s="1"/>
  <c r="R40" i="137"/>
  <c r="M40" i="137"/>
  <c r="P40" i="137" s="1"/>
  <c r="G40" i="137"/>
  <c r="J40" i="137" s="1"/>
  <c r="R39" i="137"/>
  <c r="M39" i="137"/>
  <c r="P39" i="137" s="1"/>
  <c r="G39" i="137"/>
  <c r="J39" i="137" s="1"/>
  <c r="R38" i="137"/>
  <c r="M38" i="137"/>
  <c r="P38" i="137" s="1"/>
  <c r="G38" i="137"/>
  <c r="J38" i="137" s="1"/>
  <c r="R37" i="137"/>
  <c r="M37" i="137"/>
  <c r="P37" i="137" s="1"/>
  <c r="G37" i="137"/>
  <c r="J37" i="137" s="1"/>
  <c r="R36" i="137"/>
  <c r="M36" i="137"/>
  <c r="P36" i="137" s="1"/>
  <c r="G36" i="137"/>
  <c r="J36" i="137" s="1"/>
  <c r="R35" i="137"/>
  <c r="P35" i="137"/>
  <c r="M35" i="137"/>
  <c r="J35" i="137"/>
  <c r="E35" i="138" s="1"/>
  <c r="G35" i="137"/>
  <c r="R34" i="137"/>
  <c r="M34" i="137"/>
  <c r="P34" i="137" s="1"/>
  <c r="G34" i="137"/>
  <c r="J34" i="137" s="1"/>
  <c r="R33" i="137"/>
  <c r="M33" i="137"/>
  <c r="P33" i="137" s="1"/>
  <c r="G33" i="137"/>
  <c r="J33" i="137" s="1"/>
  <c r="R32" i="137"/>
  <c r="M32" i="137"/>
  <c r="P32" i="137" s="1"/>
  <c r="G32" i="137"/>
  <c r="J32" i="137" s="1"/>
  <c r="R31" i="137"/>
  <c r="M31" i="137"/>
  <c r="P31" i="137" s="1"/>
  <c r="G31" i="137"/>
  <c r="J31" i="137" s="1"/>
  <c r="E31" i="138" s="1"/>
  <c r="G31" i="138" s="1"/>
  <c r="J31" i="138" s="1"/>
  <c r="R30" i="137"/>
  <c r="M30" i="137"/>
  <c r="P30" i="137" s="1"/>
  <c r="G30" i="137"/>
  <c r="J30" i="137" s="1"/>
  <c r="R29" i="137"/>
  <c r="M29" i="137"/>
  <c r="P29" i="137" s="1"/>
  <c r="G29" i="137"/>
  <c r="J29" i="137" s="1"/>
  <c r="R28" i="137"/>
  <c r="M28" i="137"/>
  <c r="P28" i="137" s="1"/>
  <c r="G28" i="137"/>
  <c r="J28" i="137" s="1"/>
  <c r="R27" i="137"/>
  <c r="P27" i="137"/>
  <c r="M27" i="137"/>
  <c r="J27" i="137"/>
  <c r="G27" i="137"/>
  <c r="R26" i="137"/>
  <c r="P26" i="137"/>
  <c r="M26" i="137"/>
  <c r="G26" i="137"/>
  <c r="J26" i="137" s="1"/>
  <c r="R25" i="137"/>
  <c r="P25" i="137"/>
  <c r="M25" i="137"/>
  <c r="G25" i="137"/>
  <c r="J25" i="137" s="1"/>
  <c r="R24" i="137"/>
  <c r="M24" i="137"/>
  <c r="P24" i="137" s="1"/>
  <c r="G24" i="137"/>
  <c r="J24" i="137" s="1"/>
  <c r="R23" i="137"/>
  <c r="M23" i="137"/>
  <c r="P23" i="137" s="1"/>
  <c r="G23" i="137"/>
  <c r="J23" i="137" s="1"/>
  <c r="R22" i="137"/>
  <c r="M22" i="137"/>
  <c r="P22" i="137" s="1"/>
  <c r="G22" i="137"/>
  <c r="J22" i="137" s="1"/>
  <c r="R21" i="137"/>
  <c r="M21" i="137"/>
  <c r="P21" i="137" s="1"/>
  <c r="G21" i="137"/>
  <c r="J21" i="137" s="1"/>
  <c r="R20" i="137"/>
  <c r="M20" i="137"/>
  <c r="P20" i="137" s="1"/>
  <c r="G20" i="137"/>
  <c r="J20" i="137" s="1"/>
  <c r="R19" i="137"/>
  <c r="P19" i="137"/>
  <c r="M19" i="137"/>
  <c r="J19" i="137"/>
  <c r="G19" i="137"/>
  <c r="R18" i="137"/>
  <c r="M18" i="137"/>
  <c r="P18" i="137" s="1"/>
  <c r="G18" i="137"/>
  <c r="J18" i="137" s="1"/>
  <c r="R17" i="137"/>
  <c r="M17" i="137"/>
  <c r="P17" i="137" s="1"/>
  <c r="G17" i="137"/>
  <c r="J17" i="137" s="1"/>
  <c r="R16" i="137"/>
  <c r="M16" i="137"/>
  <c r="P16" i="137" s="1"/>
  <c r="G16" i="137"/>
  <c r="J16" i="137" s="1"/>
  <c r="R15" i="137"/>
  <c r="M15" i="137"/>
  <c r="P15" i="137" s="1"/>
  <c r="R14" i="137"/>
  <c r="M14" i="137"/>
  <c r="P14" i="137" s="1"/>
  <c r="G14" i="137"/>
  <c r="J14" i="137" s="1"/>
  <c r="R13" i="137"/>
  <c r="M13" i="137"/>
  <c r="P13" i="137" s="1"/>
  <c r="G13" i="137"/>
  <c r="J13" i="137" s="1"/>
  <c r="R12" i="137"/>
  <c r="M12" i="137"/>
  <c r="P12" i="137" s="1"/>
  <c r="J12" i="137"/>
  <c r="G12" i="137"/>
  <c r="R11" i="137"/>
  <c r="M11" i="137"/>
  <c r="P11" i="137" s="1"/>
  <c r="G11" i="137"/>
  <c r="J11" i="137" s="1"/>
  <c r="R10" i="137"/>
  <c r="P10" i="137"/>
  <c r="M10" i="137"/>
  <c r="G10" i="137"/>
  <c r="J10" i="137" s="1"/>
  <c r="R9" i="137"/>
  <c r="P9" i="137"/>
  <c r="M9" i="137"/>
  <c r="G9" i="137"/>
  <c r="J9" i="137" s="1"/>
  <c r="R8" i="137"/>
  <c r="M8" i="137"/>
  <c r="P8" i="137" s="1"/>
  <c r="G8" i="137"/>
  <c r="J8" i="137" s="1"/>
  <c r="R7" i="137"/>
  <c r="M7" i="137"/>
  <c r="P7" i="137" s="1"/>
  <c r="R6" i="137"/>
  <c r="M6" i="137"/>
  <c r="P6" i="137" s="1"/>
  <c r="G6" i="137"/>
  <c r="J6" i="137" s="1"/>
  <c r="R5" i="137"/>
  <c r="M5" i="137"/>
  <c r="P5" i="137" s="1"/>
  <c r="G5" i="137"/>
  <c r="J5" i="137" s="1"/>
  <c r="N73" i="136"/>
  <c r="S13" i="8" s="1"/>
  <c r="N70" i="136"/>
  <c r="W13" i="8" s="1"/>
  <c r="M67" i="136"/>
  <c r="R65" i="136"/>
  <c r="R64" i="136"/>
  <c r="R63" i="136"/>
  <c r="R62" i="136"/>
  <c r="R61" i="136"/>
  <c r="R60" i="136"/>
  <c r="R59" i="136"/>
  <c r="R58" i="136"/>
  <c r="M58" i="136"/>
  <c r="P58" i="136" s="1"/>
  <c r="G58" i="136"/>
  <c r="J58" i="136" s="1"/>
  <c r="R57" i="136"/>
  <c r="P57" i="136"/>
  <c r="M57" i="136"/>
  <c r="G57" i="136"/>
  <c r="J57" i="136" s="1"/>
  <c r="R56" i="136"/>
  <c r="M56" i="136"/>
  <c r="P56" i="136" s="1"/>
  <c r="G56" i="136"/>
  <c r="J56" i="136" s="1"/>
  <c r="R55" i="136"/>
  <c r="M55" i="136"/>
  <c r="P55" i="136" s="1"/>
  <c r="G55" i="136"/>
  <c r="J55" i="136" s="1"/>
  <c r="R54" i="136"/>
  <c r="M54" i="136"/>
  <c r="P54" i="136" s="1"/>
  <c r="G54" i="136"/>
  <c r="J54" i="136" s="1"/>
  <c r="R53" i="136"/>
  <c r="M53" i="136"/>
  <c r="P53" i="136" s="1"/>
  <c r="G53" i="136"/>
  <c r="J53" i="136" s="1"/>
  <c r="R52" i="136"/>
  <c r="M52" i="136"/>
  <c r="P52" i="136" s="1"/>
  <c r="G52" i="136"/>
  <c r="J52" i="136" s="1"/>
  <c r="R51" i="136"/>
  <c r="M51" i="136"/>
  <c r="P51" i="136" s="1"/>
  <c r="G51" i="136"/>
  <c r="J51" i="136" s="1"/>
  <c r="E51" i="137" s="1"/>
  <c r="R50" i="136"/>
  <c r="M50" i="136"/>
  <c r="P50" i="136" s="1"/>
  <c r="G50" i="136"/>
  <c r="J50" i="136" s="1"/>
  <c r="E50" i="137" s="1"/>
  <c r="G50" i="137" s="1"/>
  <c r="J50" i="137" s="1"/>
  <c r="E50" i="138" s="1"/>
  <c r="G50" i="138" s="1"/>
  <c r="J50" i="138" s="1"/>
  <c r="R49" i="136"/>
  <c r="M49" i="136"/>
  <c r="P49" i="136" s="1"/>
  <c r="G49" i="136"/>
  <c r="J49" i="136" s="1"/>
  <c r="R48" i="136"/>
  <c r="M48" i="136"/>
  <c r="P48" i="136" s="1"/>
  <c r="G48" i="136"/>
  <c r="J48" i="136" s="1"/>
  <c r="E48" i="137" s="1"/>
  <c r="G48" i="137" s="1"/>
  <c r="J48" i="137" s="1"/>
  <c r="E48" i="138" s="1"/>
  <c r="G48" i="138" s="1"/>
  <c r="J48" i="138" s="1"/>
  <c r="R47" i="136"/>
  <c r="M47" i="136"/>
  <c r="P47" i="136" s="1"/>
  <c r="G47" i="136"/>
  <c r="J47" i="136" s="1"/>
  <c r="R46" i="136"/>
  <c r="M46" i="136"/>
  <c r="P46" i="136" s="1"/>
  <c r="G46" i="136"/>
  <c r="J46" i="136" s="1"/>
  <c r="M45" i="136"/>
  <c r="P45" i="136" s="1"/>
  <c r="G45" i="136"/>
  <c r="J45" i="136" s="1"/>
  <c r="R44" i="136"/>
  <c r="M44" i="136"/>
  <c r="P44" i="136" s="1"/>
  <c r="G44" i="136"/>
  <c r="J44" i="136" s="1"/>
  <c r="R43" i="136"/>
  <c r="M43" i="136"/>
  <c r="P43" i="136" s="1"/>
  <c r="G43" i="136"/>
  <c r="J43" i="136" s="1"/>
  <c r="R42" i="136"/>
  <c r="M42" i="136"/>
  <c r="P42" i="136" s="1"/>
  <c r="J42" i="136"/>
  <c r="G42" i="136"/>
  <c r="R41" i="136"/>
  <c r="M41" i="136"/>
  <c r="P41" i="136" s="1"/>
  <c r="G41" i="136"/>
  <c r="J41" i="136" s="1"/>
  <c r="R40" i="136"/>
  <c r="M40" i="136"/>
  <c r="P40" i="136" s="1"/>
  <c r="J40" i="136"/>
  <c r="G40" i="136"/>
  <c r="R39" i="136"/>
  <c r="M39" i="136"/>
  <c r="P39" i="136" s="1"/>
  <c r="G39" i="136"/>
  <c r="J39" i="136" s="1"/>
  <c r="R38" i="136"/>
  <c r="M38" i="136"/>
  <c r="P38" i="136" s="1"/>
  <c r="J38" i="136"/>
  <c r="G38" i="136"/>
  <c r="R37" i="136"/>
  <c r="M37" i="136"/>
  <c r="P37" i="136" s="1"/>
  <c r="G37" i="136"/>
  <c r="J37" i="136" s="1"/>
  <c r="R36" i="136"/>
  <c r="P36" i="136"/>
  <c r="M36" i="136"/>
  <c r="J36" i="136"/>
  <c r="G36" i="136"/>
  <c r="R35" i="136"/>
  <c r="M35" i="136"/>
  <c r="P35" i="136" s="1"/>
  <c r="G35" i="136"/>
  <c r="J35" i="136" s="1"/>
  <c r="R34" i="136"/>
  <c r="M34" i="136"/>
  <c r="P34" i="136" s="1"/>
  <c r="J34" i="136"/>
  <c r="G34" i="136"/>
  <c r="R33" i="136"/>
  <c r="M33" i="136"/>
  <c r="P33" i="136" s="1"/>
  <c r="G33" i="136"/>
  <c r="J33" i="136" s="1"/>
  <c r="R32" i="136"/>
  <c r="M32" i="136"/>
  <c r="P32" i="136" s="1"/>
  <c r="J32" i="136"/>
  <c r="G32" i="136"/>
  <c r="R31" i="136"/>
  <c r="M31" i="136"/>
  <c r="P31" i="136" s="1"/>
  <c r="G31" i="136"/>
  <c r="J31" i="136" s="1"/>
  <c r="R30" i="136"/>
  <c r="M30" i="136"/>
  <c r="P30" i="136" s="1"/>
  <c r="G30" i="136"/>
  <c r="J30" i="136" s="1"/>
  <c r="R29" i="136"/>
  <c r="M29" i="136"/>
  <c r="P29" i="136" s="1"/>
  <c r="G29" i="136"/>
  <c r="J29" i="136" s="1"/>
  <c r="R28" i="136"/>
  <c r="M28" i="136"/>
  <c r="P28" i="136" s="1"/>
  <c r="G28" i="136"/>
  <c r="J28" i="136" s="1"/>
  <c r="R27" i="136"/>
  <c r="M27" i="136"/>
  <c r="P27" i="136" s="1"/>
  <c r="G27" i="136"/>
  <c r="J27" i="136" s="1"/>
  <c r="R26" i="136"/>
  <c r="P26" i="136"/>
  <c r="M26" i="136"/>
  <c r="J26" i="136"/>
  <c r="G26" i="136"/>
  <c r="R25" i="136"/>
  <c r="M25" i="136"/>
  <c r="P25" i="136" s="1"/>
  <c r="G25" i="136"/>
  <c r="J25" i="136" s="1"/>
  <c r="R24" i="136"/>
  <c r="M24" i="136"/>
  <c r="P24" i="136" s="1"/>
  <c r="J24" i="136"/>
  <c r="G24" i="136"/>
  <c r="R23" i="136"/>
  <c r="M23" i="136"/>
  <c r="P23" i="136" s="1"/>
  <c r="G23" i="136"/>
  <c r="J23" i="136" s="1"/>
  <c r="R22" i="136"/>
  <c r="P22" i="136"/>
  <c r="M22" i="136"/>
  <c r="J22" i="136"/>
  <c r="G22" i="136"/>
  <c r="R21" i="136"/>
  <c r="M21" i="136"/>
  <c r="P21" i="136" s="1"/>
  <c r="G21" i="136"/>
  <c r="J21" i="136" s="1"/>
  <c r="R20" i="136"/>
  <c r="P20" i="136"/>
  <c r="M20" i="136"/>
  <c r="J20" i="136"/>
  <c r="G20" i="136"/>
  <c r="R19" i="136"/>
  <c r="M19" i="136"/>
  <c r="P19" i="136" s="1"/>
  <c r="G19" i="136"/>
  <c r="J19" i="136" s="1"/>
  <c r="R18" i="136"/>
  <c r="M18" i="136"/>
  <c r="P18" i="136" s="1"/>
  <c r="G18" i="136"/>
  <c r="J18" i="136" s="1"/>
  <c r="R17" i="136"/>
  <c r="M17" i="136"/>
  <c r="P17" i="136" s="1"/>
  <c r="G17" i="136"/>
  <c r="J17" i="136" s="1"/>
  <c r="R16" i="136"/>
  <c r="P16" i="136"/>
  <c r="M16" i="136"/>
  <c r="J16" i="136"/>
  <c r="G16" i="136"/>
  <c r="R15" i="136"/>
  <c r="M15" i="136"/>
  <c r="P15" i="136" s="1"/>
  <c r="G15" i="136"/>
  <c r="J15" i="136" s="1"/>
  <c r="E15" i="137" s="1"/>
  <c r="G15" i="137" s="1"/>
  <c r="J15" i="137" s="1"/>
  <c r="E15" i="138" s="1"/>
  <c r="G15" i="138" s="1"/>
  <c r="J15" i="138" s="1"/>
  <c r="R14" i="136"/>
  <c r="M14" i="136"/>
  <c r="P14" i="136" s="1"/>
  <c r="G14" i="136"/>
  <c r="J14" i="136" s="1"/>
  <c r="R13" i="136"/>
  <c r="M13" i="136"/>
  <c r="P13" i="136" s="1"/>
  <c r="G13" i="136"/>
  <c r="J13" i="136" s="1"/>
  <c r="R12" i="136"/>
  <c r="P12" i="136"/>
  <c r="M12" i="136"/>
  <c r="G12" i="136"/>
  <c r="J12" i="136" s="1"/>
  <c r="R11" i="136"/>
  <c r="M11" i="136"/>
  <c r="P11" i="136" s="1"/>
  <c r="G11" i="136"/>
  <c r="J11" i="136" s="1"/>
  <c r="R10" i="136"/>
  <c r="M10" i="136"/>
  <c r="P10" i="136" s="1"/>
  <c r="J10" i="136"/>
  <c r="G10" i="136"/>
  <c r="R9" i="136"/>
  <c r="M9" i="136"/>
  <c r="P9" i="136" s="1"/>
  <c r="G9" i="136"/>
  <c r="J9" i="136" s="1"/>
  <c r="R8" i="136"/>
  <c r="M8" i="136"/>
  <c r="P8" i="136" s="1"/>
  <c r="G8" i="136"/>
  <c r="J8" i="136" s="1"/>
  <c r="R7" i="136"/>
  <c r="M7" i="136"/>
  <c r="P7" i="136" s="1"/>
  <c r="G7" i="136"/>
  <c r="J7" i="136" s="1"/>
  <c r="E7" i="137" s="1"/>
  <c r="G7" i="137" s="1"/>
  <c r="J7" i="137" s="1"/>
  <c r="E7" i="138" s="1"/>
  <c r="G7" i="138" s="1"/>
  <c r="J7" i="138" s="1"/>
  <c r="R6" i="136"/>
  <c r="P6" i="136"/>
  <c r="M6" i="136"/>
  <c r="J6" i="136"/>
  <c r="G6" i="136"/>
  <c r="R5" i="136"/>
  <c r="M5" i="136"/>
  <c r="P5" i="136" s="1"/>
  <c r="G5" i="136"/>
  <c r="J5" i="136" s="1"/>
  <c r="N73" i="135"/>
  <c r="S12" i="8" s="1"/>
  <c r="N70" i="135"/>
  <c r="W12" i="8" s="1"/>
  <c r="M67" i="135"/>
  <c r="R65" i="135"/>
  <c r="R64" i="135"/>
  <c r="R63" i="135"/>
  <c r="R62" i="135"/>
  <c r="R61" i="135"/>
  <c r="R60" i="135"/>
  <c r="R59" i="135"/>
  <c r="R58" i="135"/>
  <c r="M58" i="135"/>
  <c r="P58" i="135" s="1"/>
  <c r="G58" i="135"/>
  <c r="J58" i="135" s="1"/>
  <c r="R57" i="135"/>
  <c r="M57" i="135"/>
  <c r="P57" i="135" s="1"/>
  <c r="G57" i="135"/>
  <c r="J57" i="135" s="1"/>
  <c r="R56" i="135"/>
  <c r="M56" i="135"/>
  <c r="P56" i="135" s="1"/>
  <c r="G56" i="135"/>
  <c r="J56" i="135" s="1"/>
  <c r="R55" i="135"/>
  <c r="M55" i="135"/>
  <c r="P55" i="135" s="1"/>
  <c r="G55" i="135"/>
  <c r="J55" i="135" s="1"/>
  <c r="R54" i="135"/>
  <c r="M54" i="135"/>
  <c r="P54" i="135" s="1"/>
  <c r="G54" i="135"/>
  <c r="J54" i="135" s="1"/>
  <c r="R53" i="135"/>
  <c r="M53" i="135"/>
  <c r="P53" i="135" s="1"/>
  <c r="G53" i="135"/>
  <c r="J53" i="135" s="1"/>
  <c r="R52" i="135"/>
  <c r="M52" i="135"/>
  <c r="P52" i="135" s="1"/>
  <c r="G52" i="135"/>
  <c r="J52" i="135" s="1"/>
  <c r="R51" i="135"/>
  <c r="M51" i="135"/>
  <c r="P51" i="135" s="1"/>
  <c r="G51" i="135"/>
  <c r="J51" i="135" s="1"/>
  <c r="R50" i="135"/>
  <c r="M50" i="135"/>
  <c r="P50" i="135" s="1"/>
  <c r="R49" i="135"/>
  <c r="M49" i="135"/>
  <c r="P49" i="135" s="1"/>
  <c r="J49" i="135"/>
  <c r="G49" i="135"/>
  <c r="R48" i="135"/>
  <c r="M48" i="135"/>
  <c r="P48" i="135" s="1"/>
  <c r="G48" i="135"/>
  <c r="J48" i="135" s="1"/>
  <c r="R47" i="135"/>
  <c r="M47" i="135"/>
  <c r="P47" i="135" s="1"/>
  <c r="G47" i="135"/>
  <c r="J47" i="135" s="1"/>
  <c r="R46" i="135"/>
  <c r="M46" i="135"/>
  <c r="P46" i="135" s="1"/>
  <c r="G46" i="135"/>
  <c r="J46" i="135" s="1"/>
  <c r="M45" i="135"/>
  <c r="P45" i="135" s="1"/>
  <c r="G45" i="135"/>
  <c r="J45" i="135" s="1"/>
  <c r="R44" i="135"/>
  <c r="M44" i="135"/>
  <c r="P44" i="135" s="1"/>
  <c r="J44" i="135"/>
  <c r="G44" i="135"/>
  <c r="R43" i="135"/>
  <c r="M43" i="135"/>
  <c r="P43" i="135" s="1"/>
  <c r="G43" i="135"/>
  <c r="J43" i="135" s="1"/>
  <c r="R42" i="135"/>
  <c r="M42" i="135"/>
  <c r="P42" i="135" s="1"/>
  <c r="J42" i="135"/>
  <c r="G42" i="135"/>
  <c r="R41" i="135"/>
  <c r="M41" i="135"/>
  <c r="P41" i="135" s="1"/>
  <c r="G41" i="135"/>
  <c r="J41" i="135" s="1"/>
  <c r="R40" i="135"/>
  <c r="P40" i="135"/>
  <c r="M40" i="135"/>
  <c r="G40" i="135"/>
  <c r="J40" i="135" s="1"/>
  <c r="R39" i="135"/>
  <c r="M39" i="135"/>
  <c r="P39" i="135" s="1"/>
  <c r="G39" i="135"/>
  <c r="J39" i="135" s="1"/>
  <c r="R38" i="135"/>
  <c r="M38" i="135"/>
  <c r="P38" i="135" s="1"/>
  <c r="J38" i="135"/>
  <c r="G38" i="135"/>
  <c r="R37" i="135"/>
  <c r="M37" i="135"/>
  <c r="P37" i="135" s="1"/>
  <c r="G37" i="135"/>
  <c r="J37" i="135" s="1"/>
  <c r="R36" i="135"/>
  <c r="P36" i="135"/>
  <c r="M36" i="135"/>
  <c r="J36" i="135"/>
  <c r="G36" i="135"/>
  <c r="R35" i="135"/>
  <c r="M35" i="135"/>
  <c r="P35" i="135" s="1"/>
  <c r="G35" i="135"/>
  <c r="J35" i="135" s="1"/>
  <c r="R34" i="135"/>
  <c r="M34" i="135"/>
  <c r="P34" i="135" s="1"/>
  <c r="J34" i="135"/>
  <c r="G34" i="135"/>
  <c r="R33" i="135"/>
  <c r="M33" i="135"/>
  <c r="P33" i="135" s="1"/>
  <c r="G33" i="135"/>
  <c r="J33" i="135" s="1"/>
  <c r="R32" i="135"/>
  <c r="M32" i="135"/>
  <c r="P32" i="135" s="1"/>
  <c r="G32" i="135"/>
  <c r="J32" i="135" s="1"/>
  <c r="R31" i="135"/>
  <c r="M31" i="135"/>
  <c r="P31" i="135" s="1"/>
  <c r="G31" i="135"/>
  <c r="J31" i="135" s="1"/>
  <c r="R30" i="135"/>
  <c r="M30" i="135"/>
  <c r="P30" i="135" s="1"/>
  <c r="G30" i="135"/>
  <c r="J30" i="135" s="1"/>
  <c r="R29" i="135"/>
  <c r="M29" i="135"/>
  <c r="P29" i="135" s="1"/>
  <c r="G29" i="135"/>
  <c r="J29" i="135" s="1"/>
  <c r="R28" i="135"/>
  <c r="M28" i="135"/>
  <c r="P28" i="135" s="1"/>
  <c r="G28" i="135"/>
  <c r="J28" i="135" s="1"/>
  <c r="R27" i="135"/>
  <c r="M27" i="135"/>
  <c r="P27" i="135" s="1"/>
  <c r="G27" i="135"/>
  <c r="J27" i="135" s="1"/>
  <c r="R26" i="135"/>
  <c r="M26" i="135"/>
  <c r="P26" i="135" s="1"/>
  <c r="G26" i="135"/>
  <c r="J26" i="135" s="1"/>
  <c r="R25" i="135"/>
  <c r="M25" i="135"/>
  <c r="P25" i="135" s="1"/>
  <c r="G25" i="135"/>
  <c r="J25" i="135" s="1"/>
  <c r="R24" i="135"/>
  <c r="P24" i="135"/>
  <c r="M24" i="135"/>
  <c r="G24" i="135"/>
  <c r="J24" i="135" s="1"/>
  <c r="R23" i="135"/>
  <c r="M23" i="135"/>
  <c r="P23" i="135" s="1"/>
  <c r="G23" i="135"/>
  <c r="J23" i="135" s="1"/>
  <c r="R22" i="135"/>
  <c r="M22" i="135"/>
  <c r="P22" i="135" s="1"/>
  <c r="G22" i="135"/>
  <c r="J22" i="135" s="1"/>
  <c r="R21" i="135"/>
  <c r="M21" i="135"/>
  <c r="P21" i="135" s="1"/>
  <c r="G21" i="135"/>
  <c r="J21" i="135" s="1"/>
  <c r="R20" i="135"/>
  <c r="M20" i="135"/>
  <c r="P20" i="135" s="1"/>
  <c r="G20" i="135"/>
  <c r="J20" i="135" s="1"/>
  <c r="R19" i="135"/>
  <c r="M19" i="135"/>
  <c r="P19" i="135" s="1"/>
  <c r="G19" i="135"/>
  <c r="J19" i="135" s="1"/>
  <c r="R18" i="135"/>
  <c r="M18" i="135"/>
  <c r="P18" i="135" s="1"/>
  <c r="G18" i="135"/>
  <c r="J18" i="135" s="1"/>
  <c r="R17" i="135"/>
  <c r="M17" i="135"/>
  <c r="P17" i="135" s="1"/>
  <c r="G17" i="135"/>
  <c r="J17" i="135" s="1"/>
  <c r="R16" i="135"/>
  <c r="M16" i="135"/>
  <c r="P16" i="135" s="1"/>
  <c r="G16" i="135"/>
  <c r="J16" i="135" s="1"/>
  <c r="R15" i="135"/>
  <c r="M15" i="135"/>
  <c r="P15" i="135" s="1"/>
  <c r="G15" i="135"/>
  <c r="J15" i="135" s="1"/>
  <c r="R14" i="135"/>
  <c r="M14" i="135"/>
  <c r="P14" i="135" s="1"/>
  <c r="G14" i="135"/>
  <c r="J14" i="135" s="1"/>
  <c r="R13" i="135"/>
  <c r="M13" i="135"/>
  <c r="P13" i="135" s="1"/>
  <c r="G13" i="135"/>
  <c r="J13" i="135" s="1"/>
  <c r="R12" i="135"/>
  <c r="P12" i="135"/>
  <c r="M12" i="135"/>
  <c r="G12" i="135"/>
  <c r="J12" i="135" s="1"/>
  <c r="R11" i="135"/>
  <c r="P11" i="135"/>
  <c r="M11" i="135"/>
  <c r="G11" i="135"/>
  <c r="J11" i="135" s="1"/>
  <c r="R10" i="135"/>
  <c r="P10" i="135"/>
  <c r="M10" i="135"/>
  <c r="G10" i="135"/>
  <c r="J10" i="135" s="1"/>
  <c r="R9" i="135"/>
  <c r="M9" i="135"/>
  <c r="P9" i="135" s="1"/>
  <c r="G9" i="135"/>
  <c r="J9" i="135" s="1"/>
  <c r="R8" i="135"/>
  <c r="M8" i="135"/>
  <c r="P8" i="135" s="1"/>
  <c r="G8" i="135"/>
  <c r="J8" i="135" s="1"/>
  <c r="R7" i="135"/>
  <c r="M7" i="135"/>
  <c r="P7" i="135" s="1"/>
  <c r="G7" i="135"/>
  <c r="J7" i="135" s="1"/>
  <c r="R6" i="135"/>
  <c r="M6" i="135"/>
  <c r="P6" i="135" s="1"/>
  <c r="G6" i="135"/>
  <c r="J6" i="135" s="1"/>
  <c r="R5" i="135"/>
  <c r="M5" i="135"/>
  <c r="P5" i="135" s="1"/>
  <c r="G5" i="135"/>
  <c r="J5" i="135" s="1"/>
  <c r="N73" i="134"/>
  <c r="S11" i="8" s="1"/>
  <c r="N70" i="134"/>
  <c r="W11" i="8" s="1"/>
  <c r="M67" i="134"/>
  <c r="R65" i="134"/>
  <c r="R64" i="134"/>
  <c r="R63" i="134"/>
  <c r="R62" i="134"/>
  <c r="R61" i="134"/>
  <c r="R60" i="134"/>
  <c r="R59" i="134"/>
  <c r="R58" i="134"/>
  <c r="M58" i="134"/>
  <c r="P58" i="134" s="1"/>
  <c r="G58" i="134"/>
  <c r="J58" i="134" s="1"/>
  <c r="R57" i="134"/>
  <c r="M57" i="134"/>
  <c r="P57" i="134" s="1"/>
  <c r="G57" i="134"/>
  <c r="J57" i="134" s="1"/>
  <c r="R56" i="134"/>
  <c r="M56" i="134"/>
  <c r="P56" i="134" s="1"/>
  <c r="G56" i="134"/>
  <c r="J56" i="134" s="1"/>
  <c r="R55" i="134"/>
  <c r="M55" i="134"/>
  <c r="P55" i="134" s="1"/>
  <c r="G55" i="134"/>
  <c r="J55" i="134" s="1"/>
  <c r="R54" i="134"/>
  <c r="P54" i="134"/>
  <c r="M54" i="134"/>
  <c r="G54" i="134"/>
  <c r="J54" i="134" s="1"/>
  <c r="R53" i="134"/>
  <c r="M53" i="134"/>
  <c r="P53" i="134" s="1"/>
  <c r="G53" i="134"/>
  <c r="J53" i="134" s="1"/>
  <c r="R52" i="134"/>
  <c r="M52" i="134"/>
  <c r="P52" i="134" s="1"/>
  <c r="G52" i="134"/>
  <c r="J52" i="134" s="1"/>
  <c r="R51" i="134"/>
  <c r="P51" i="134"/>
  <c r="M51" i="134"/>
  <c r="G51" i="134"/>
  <c r="J51" i="134" s="1"/>
  <c r="R50" i="134"/>
  <c r="M50" i="134"/>
  <c r="P50" i="134" s="1"/>
  <c r="G50" i="134"/>
  <c r="J50" i="134" s="1"/>
  <c r="E50" i="135" s="1"/>
  <c r="G50" i="135" s="1"/>
  <c r="J50" i="135" s="1"/>
  <c r="R49" i="134"/>
  <c r="M49" i="134"/>
  <c r="P49" i="134" s="1"/>
  <c r="G49" i="134"/>
  <c r="J49" i="134" s="1"/>
  <c r="R48" i="134"/>
  <c r="M48" i="134"/>
  <c r="P48" i="134" s="1"/>
  <c r="G48" i="134"/>
  <c r="J48" i="134" s="1"/>
  <c r="R47" i="134"/>
  <c r="M47" i="134"/>
  <c r="P47" i="134" s="1"/>
  <c r="G47" i="134"/>
  <c r="J47" i="134" s="1"/>
  <c r="R46" i="134"/>
  <c r="M46" i="134"/>
  <c r="P46" i="134" s="1"/>
  <c r="G46" i="134"/>
  <c r="J46" i="134" s="1"/>
  <c r="P45" i="134"/>
  <c r="M45" i="134"/>
  <c r="G45" i="134"/>
  <c r="J45" i="134" s="1"/>
  <c r="R44" i="134"/>
  <c r="M44" i="134"/>
  <c r="P44" i="134" s="1"/>
  <c r="G44" i="134"/>
  <c r="J44" i="134" s="1"/>
  <c r="R43" i="134"/>
  <c r="M43" i="134"/>
  <c r="P43" i="134" s="1"/>
  <c r="J43" i="134"/>
  <c r="G43" i="134"/>
  <c r="R42" i="134"/>
  <c r="M42" i="134"/>
  <c r="P42" i="134" s="1"/>
  <c r="G42" i="134"/>
  <c r="J42" i="134" s="1"/>
  <c r="R41" i="134"/>
  <c r="M41" i="134"/>
  <c r="P41" i="134" s="1"/>
  <c r="G41" i="134"/>
  <c r="J41" i="134" s="1"/>
  <c r="R40" i="134"/>
  <c r="M40" i="134"/>
  <c r="P40" i="134" s="1"/>
  <c r="G40" i="134"/>
  <c r="J40" i="134" s="1"/>
  <c r="R39" i="134"/>
  <c r="M39" i="134"/>
  <c r="P39" i="134" s="1"/>
  <c r="J39" i="134"/>
  <c r="G39" i="134"/>
  <c r="R38" i="134"/>
  <c r="M38" i="134"/>
  <c r="P38" i="134" s="1"/>
  <c r="G38" i="134"/>
  <c r="J38" i="134" s="1"/>
  <c r="R37" i="134"/>
  <c r="P37" i="134"/>
  <c r="M37" i="134"/>
  <c r="G37" i="134"/>
  <c r="J37" i="134" s="1"/>
  <c r="R36" i="134"/>
  <c r="M36" i="134"/>
  <c r="P36" i="134" s="1"/>
  <c r="G36" i="134"/>
  <c r="J36" i="134" s="1"/>
  <c r="R35" i="134"/>
  <c r="M35" i="134"/>
  <c r="P35" i="134" s="1"/>
  <c r="G35" i="134"/>
  <c r="J35" i="134" s="1"/>
  <c r="R34" i="134"/>
  <c r="P34" i="134"/>
  <c r="M34" i="134"/>
  <c r="G34" i="134"/>
  <c r="J34" i="134" s="1"/>
  <c r="R33" i="134"/>
  <c r="M33" i="134"/>
  <c r="P33" i="134" s="1"/>
  <c r="G33" i="134"/>
  <c r="J33" i="134" s="1"/>
  <c r="R32" i="134"/>
  <c r="M32" i="134"/>
  <c r="P32" i="134" s="1"/>
  <c r="G32" i="134"/>
  <c r="J32" i="134" s="1"/>
  <c r="R31" i="134"/>
  <c r="M31" i="134"/>
  <c r="P31" i="134" s="1"/>
  <c r="G31" i="134"/>
  <c r="J31" i="134" s="1"/>
  <c r="R30" i="134"/>
  <c r="P30" i="134"/>
  <c r="M30" i="134"/>
  <c r="G30" i="134"/>
  <c r="J30" i="134" s="1"/>
  <c r="R29" i="134"/>
  <c r="M29" i="134"/>
  <c r="P29" i="134" s="1"/>
  <c r="G29" i="134"/>
  <c r="J29" i="134" s="1"/>
  <c r="R28" i="134"/>
  <c r="M28" i="134"/>
  <c r="P28" i="134" s="1"/>
  <c r="G28" i="134"/>
  <c r="J28" i="134" s="1"/>
  <c r="R27" i="134"/>
  <c r="M27" i="134"/>
  <c r="P27" i="134" s="1"/>
  <c r="J27" i="134"/>
  <c r="G27" i="134"/>
  <c r="R26" i="134"/>
  <c r="M26" i="134"/>
  <c r="P26" i="134" s="1"/>
  <c r="G26" i="134"/>
  <c r="J26" i="134" s="1"/>
  <c r="R25" i="134"/>
  <c r="P25" i="134"/>
  <c r="M25" i="134"/>
  <c r="G25" i="134"/>
  <c r="J25" i="134" s="1"/>
  <c r="R24" i="134"/>
  <c r="M24" i="134"/>
  <c r="P24" i="134" s="1"/>
  <c r="G24" i="134"/>
  <c r="J24" i="134" s="1"/>
  <c r="R23" i="134"/>
  <c r="M23" i="134"/>
  <c r="P23" i="134" s="1"/>
  <c r="G23" i="134"/>
  <c r="J23" i="134" s="1"/>
  <c r="R22" i="134"/>
  <c r="M22" i="134"/>
  <c r="P22" i="134" s="1"/>
  <c r="G22" i="134"/>
  <c r="J22" i="134" s="1"/>
  <c r="R21" i="134"/>
  <c r="P21" i="134"/>
  <c r="M21" i="134"/>
  <c r="G21" i="134"/>
  <c r="J21" i="134" s="1"/>
  <c r="R20" i="134"/>
  <c r="M20" i="134"/>
  <c r="P20" i="134" s="1"/>
  <c r="G20" i="134"/>
  <c r="J20" i="134" s="1"/>
  <c r="R19" i="134"/>
  <c r="M19" i="134"/>
  <c r="P19" i="134" s="1"/>
  <c r="J19" i="134"/>
  <c r="G19" i="134"/>
  <c r="R18" i="134"/>
  <c r="P18" i="134"/>
  <c r="M18" i="134"/>
  <c r="G18" i="134"/>
  <c r="J18" i="134" s="1"/>
  <c r="R17" i="134"/>
  <c r="M17" i="134"/>
  <c r="P17" i="134" s="1"/>
  <c r="G17" i="134"/>
  <c r="J17" i="134" s="1"/>
  <c r="R16" i="134"/>
  <c r="M16" i="134"/>
  <c r="P16" i="134" s="1"/>
  <c r="G16" i="134"/>
  <c r="J16" i="134" s="1"/>
  <c r="R15" i="134"/>
  <c r="M15" i="134"/>
  <c r="P15" i="134" s="1"/>
  <c r="J15" i="134"/>
  <c r="G15" i="134"/>
  <c r="R14" i="134"/>
  <c r="M14" i="134"/>
  <c r="P14" i="134" s="1"/>
  <c r="G14" i="134"/>
  <c r="J14" i="134" s="1"/>
  <c r="R13" i="134"/>
  <c r="P13" i="134"/>
  <c r="M13" i="134"/>
  <c r="G13" i="134"/>
  <c r="J13" i="134" s="1"/>
  <c r="R12" i="134"/>
  <c r="M12" i="134"/>
  <c r="P12" i="134" s="1"/>
  <c r="G12" i="134"/>
  <c r="J12" i="134" s="1"/>
  <c r="R11" i="134"/>
  <c r="M11" i="134"/>
  <c r="P11" i="134" s="1"/>
  <c r="G11" i="134"/>
  <c r="J11" i="134" s="1"/>
  <c r="R10" i="134"/>
  <c r="M10" i="134"/>
  <c r="P10" i="134" s="1"/>
  <c r="G10" i="134"/>
  <c r="J10" i="134" s="1"/>
  <c r="R9" i="134"/>
  <c r="M9" i="134"/>
  <c r="P9" i="134" s="1"/>
  <c r="G9" i="134"/>
  <c r="J9" i="134" s="1"/>
  <c r="R8" i="134"/>
  <c r="M8" i="134"/>
  <c r="P8" i="134" s="1"/>
  <c r="G8" i="134"/>
  <c r="J8" i="134" s="1"/>
  <c r="R7" i="134"/>
  <c r="M7" i="134"/>
  <c r="P7" i="134" s="1"/>
  <c r="G7" i="134"/>
  <c r="J7" i="134" s="1"/>
  <c r="R6" i="134"/>
  <c r="P6" i="134"/>
  <c r="M6" i="134"/>
  <c r="G6" i="134"/>
  <c r="J6" i="134" s="1"/>
  <c r="R5" i="134"/>
  <c r="P5" i="134"/>
  <c r="M5" i="134"/>
  <c r="G5" i="134"/>
  <c r="J5" i="134" s="1"/>
  <c r="N73" i="133"/>
  <c r="S10" i="8" s="1"/>
  <c r="N70" i="133"/>
  <c r="W10" i="8" s="1"/>
  <c r="M67" i="133"/>
  <c r="R65" i="133"/>
  <c r="R64" i="133"/>
  <c r="R63" i="133"/>
  <c r="R62" i="133"/>
  <c r="R61" i="133"/>
  <c r="R60" i="133"/>
  <c r="R59" i="133"/>
  <c r="R58" i="133"/>
  <c r="M58" i="133"/>
  <c r="P58" i="133" s="1"/>
  <c r="G58" i="133"/>
  <c r="J58" i="133" s="1"/>
  <c r="R57" i="133"/>
  <c r="M57" i="133"/>
  <c r="P57" i="133" s="1"/>
  <c r="G57" i="133"/>
  <c r="J57" i="133" s="1"/>
  <c r="R56" i="133"/>
  <c r="M56" i="133"/>
  <c r="P56" i="133" s="1"/>
  <c r="G56" i="133"/>
  <c r="J56" i="133" s="1"/>
  <c r="R55" i="133"/>
  <c r="P55" i="133"/>
  <c r="M55" i="133"/>
  <c r="G55" i="133"/>
  <c r="J55" i="133" s="1"/>
  <c r="R54" i="133"/>
  <c r="M54" i="133"/>
  <c r="P54" i="133" s="1"/>
  <c r="G54" i="133"/>
  <c r="J54" i="133" s="1"/>
  <c r="R53" i="133"/>
  <c r="M53" i="133"/>
  <c r="P53" i="133" s="1"/>
  <c r="G53" i="133"/>
  <c r="J53" i="133" s="1"/>
  <c r="R52" i="133"/>
  <c r="M52" i="133"/>
  <c r="P52" i="133" s="1"/>
  <c r="G52" i="133"/>
  <c r="J52" i="133" s="1"/>
  <c r="R51" i="133"/>
  <c r="M51" i="133"/>
  <c r="P51" i="133" s="1"/>
  <c r="G51" i="133"/>
  <c r="J51" i="133" s="1"/>
  <c r="R50" i="133"/>
  <c r="M50" i="133"/>
  <c r="P50" i="133" s="1"/>
  <c r="G50" i="133"/>
  <c r="J50" i="133" s="1"/>
  <c r="R49" i="133"/>
  <c r="M49" i="133"/>
  <c r="P49" i="133" s="1"/>
  <c r="G49" i="133"/>
  <c r="J49" i="133" s="1"/>
  <c r="R48" i="133"/>
  <c r="M48" i="133"/>
  <c r="P48" i="133" s="1"/>
  <c r="G48" i="133"/>
  <c r="J48" i="133" s="1"/>
  <c r="R47" i="133"/>
  <c r="P47" i="133"/>
  <c r="M47" i="133"/>
  <c r="G47" i="133"/>
  <c r="J47" i="133" s="1"/>
  <c r="R46" i="133"/>
  <c r="M46" i="133"/>
  <c r="P46" i="133" s="1"/>
  <c r="G46" i="133"/>
  <c r="J46" i="133" s="1"/>
  <c r="M45" i="133"/>
  <c r="P45" i="133" s="1"/>
  <c r="G45" i="133"/>
  <c r="J45" i="133" s="1"/>
  <c r="R44" i="133"/>
  <c r="M44" i="133"/>
  <c r="P44" i="133" s="1"/>
  <c r="G44" i="133"/>
  <c r="J44" i="133" s="1"/>
  <c r="R43" i="133"/>
  <c r="M43" i="133"/>
  <c r="P43" i="133" s="1"/>
  <c r="G43" i="133"/>
  <c r="J43" i="133" s="1"/>
  <c r="R42" i="133"/>
  <c r="P42" i="133"/>
  <c r="M42" i="133"/>
  <c r="G42" i="133"/>
  <c r="J42" i="133" s="1"/>
  <c r="R41" i="133"/>
  <c r="M41" i="133"/>
  <c r="P41" i="133" s="1"/>
  <c r="G41" i="133"/>
  <c r="J41" i="133" s="1"/>
  <c r="R40" i="133"/>
  <c r="P40" i="133"/>
  <c r="M40" i="133"/>
  <c r="G40" i="133"/>
  <c r="J40" i="133" s="1"/>
  <c r="R39" i="133"/>
  <c r="M39" i="133"/>
  <c r="P39" i="133" s="1"/>
  <c r="G39" i="133"/>
  <c r="J39" i="133" s="1"/>
  <c r="R38" i="133"/>
  <c r="M38" i="133"/>
  <c r="P38" i="133" s="1"/>
  <c r="G38" i="133"/>
  <c r="J38" i="133" s="1"/>
  <c r="R37" i="133"/>
  <c r="M37" i="133"/>
  <c r="P37" i="133" s="1"/>
  <c r="G37" i="133"/>
  <c r="J37" i="133" s="1"/>
  <c r="R36" i="133"/>
  <c r="M36" i="133"/>
  <c r="P36" i="133" s="1"/>
  <c r="G36" i="133"/>
  <c r="J36" i="133" s="1"/>
  <c r="R35" i="133"/>
  <c r="M35" i="133"/>
  <c r="P35" i="133" s="1"/>
  <c r="G35" i="133"/>
  <c r="J35" i="133" s="1"/>
  <c r="R34" i="133"/>
  <c r="M34" i="133"/>
  <c r="P34" i="133" s="1"/>
  <c r="G34" i="133"/>
  <c r="J34" i="133" s="1"/>
  <c r="R33" i="133"/>
  <c r="M33" i="133"/>
  <c r="P33" i="133" s="1"/>
  <c r="G33" i="133"/>
  <c r="J33" i="133" s="1"/>
  <c r="R32" i="133"/>
  <c r="P32" i="133"/>
  <c r="M32" i="133"/>
  <c r="G32" i="133"/>
  <c r="J32" i="133" s="1"/>
  <c r="R31" i="133"/>
  <c r="M31" i="133"/>
  <c r="P31" i="133" s="1"/>
  <c r="G31" i="133"/>
  <c r="J31" i="133" s="1"/>
  <c r="R30" i="133"/>
  <c r="M30" i="133"/>
  <c r="P30" i="133" s="1"/>
  <c r="G30" i="133"/>
  <c r="J30" i="133" s="1"/>
  <c r="R29" i="133"/>
  <c r="M29" i="133"/>
  <c r="P29" i="133" s="1"/>
  <c r="G29" i="133"/>
  <c r="J29" i="133" s="1"/>
  <c r="R28" i="133"/>
  <c r="M28" i="133"/>
  <c r="P28" i="133" s="1"/>
  <c r="G28" i="133"/>
  <c r="J28" i="133" s="1"/>
  <c r="R27" i="133"/>
  <c r="M27" i="133"/>
  <c r="P27" i="133" s="1"/>
  <c r="G27" i="133"/>
  <c r="J27" i="133" s="1"/>
  <c r="R26" i="133"/>
  <c r="M26" i="133"/>
  <c r="P26" i="133" s="1"/>
  <c r="G26" i="133"/>
  <c r="J26" i="133" s="1"/>
  <c r="R25" i="133"/>
  <c r="M25" i="133"/>
  <c r="P25" i="133" s="1"/>
  <c r="G25" i="133"/>
  <c r="J25" i="133" s="1"/>
  <c r="R24" i="133"/>
  <c r="P24" i="133"/>
  <c r="M24" i="133"/>
  <c r="G24" i="133"/>
  <c r="J24" i="133" s="1"/>
  <c r="R23" i="133"/>
  <c r="M23" i="133"/>
  <c r="P23" i="133" s="1"/>
  <c r="G23" i="133"/>
  <c r="J23" i="133" s="1"/>
  <c r="R22" i="133"/>
  <c r="M22" i="133"/>
  <c r="P22" i="133" s="1"/>
  <c r="J22" i="133"/>
  <c r="G22" i="133"/>
  <c r="R21" i="133"/>
  <c r="M21" i="133"/>
  <c r="P21" i="133" s="1"/>
  <c r="G21" i="133"/>
  <c r="J21" i="133" s="1"/>
  <c r="R20" i="133"/>
  <c r="M20" i="133"/>
  <c r="P20" i="133" s="1"/>
  <c r="G20" i="133"/>
  <c r="J20" i="133" s="1"/>
  <c r="R19" i="133"/>
  <c r="P19" i="133"/>
  <c r="M19" i="133"/>
  <c r="G19" i="133"/>
  <c r="J19" i="133" s="1"/>
  <c r="R18" i="133"/>
  <c r="P18" i="133"/>
  <c r="M18" i="133"/>
  <c r="J18" i="133"/>
  <c r="G18" i="133"/>
  <c r="R17" i="133"/>
  <c r="M17" i="133"/>
  <c r="P17" i="133" s="1"/>
  <c r="G17" i="133"/>
  <c r="J17" i="133" s="1"/>
  <c r="R16" i="133"/>
  <c r="M16" i="133"/>
  <c r="P16" i="133" s="1"/>
  <c r="G16" i="133"/>
  <c r="J16" i="133" s="1"/>
  <c r="R15" i="133"/>
  <c r="M15" i="133"/>
  <c r="P15" i="133" s="1"/>
  <c r="G15" i="133"/>
  <c r="J15" i="133" s="1"/>
  <c r="R14" i="133"/>
  <c r="M14" i="133"/>
  <c r="P14" i="133" s="1"/>
  <c r="J14" i="133"/>
  <c r="G14" i="133"/>
  <c r="R13" i="133"/>
  <c r="M13" i="133"/>
  <c r="P13" i="133" s="1"/>
  <c r="G13" i="133"/>
  <c r="J13" i="133" s="1"/>
  <c r="R12" i="133"/>
  <c r="P12" i="133"/>
  <c r="M12" i="133"/>
  <c r="J12" i="133"/>
  <c r="G12" i="133"/>
  <c r="R11" i="133"/>
  <c r="M11" i="133"/>
  <c r="P11" i="133" s="1"/>
  <c r="G11" i="133"/>
  <c r="J11" i="133" s="1"/>
  <c r="R10" i="133"/>
  <c r="M10" i="133"/>
  <c r="P10" i="133" s="1"/>
  <c r="G10" i="133"/>
  <c r="J10" i="133" s="1"/>
  <c r="R9" i="133"/>
  <c r="M9" i="133"/>
  <c r="P9" i="133" s="1"/>
  <c r="G9" i="133"/>
  <c r="J9" i="133" s="1"/>
  <c r="R8" i="133"/>
  <c r="P8" i="133"/>
  <c r="M8" i="133"/>
  <c r="G8" i="133"/>
  <c r="J8" i="133" s="1"/>
  <c r="R7" i="133"/>
  <c r="M7" i="133"/>
  <c r="P7" i="133" s="1"/>
  <c r="G7" i="133"/>
  <c r="J7" i="133" s="1"/>
  <c r="R6" i="133"/>
  <c r="M6" i="133"/>
  <c r="P6" i="133" s="1"/>
  <c r="J6" i="133"/>
  <c r="G6" i="133"/>
  <c r="R5" i="133"/>
  <c r="M5" i="133"/>
  <c r="P5" i="133" s="1"/>
  <c r="G5" i="133"/>
  <c r="J5" i="133" s="1"/>
  <c r="N73" i="132"/>
  <c r="S9" i="8" s="1"/>
  <c r="N70" i="132"/>
  <c r="W9" i="8" s="1"/>
  <c r="M67" i="132"/>
  <c r="R65" i="132"/>
  <c r="R64" i="132"/>
  <c r="R63" i="132"/>
  <c r="R62" i="132"/>
  <c r="R61" i="132"/>
  <c r="R60" i="132"/>
  <c r="R59" i="132"/>
  <c r="R58" i="132"/>
  <c r="M58" i="132"/>
  <c r="P58" i="132" s="1"/>
  <c r="G58" i="132"/>
  <c r="J58" i="132" s="1"/>
  <c r="R57" i="132"/>
  <c r="M57" i="132"/>
  <c r="P57" i="132" s="1"/>
  <c r="J57" i="132"/>
  <c r="G57" i="132"/>
  <c r="R56" i="132"/>
  <c r="M56" i="132"/>
  <c r="P56" i="132" s="1"/>
  <c r="J56" i="132"/>
  <c r="G56" i="132"/>
  <c r="R55" i="132"/>
  <c r="M55" i="132"/>
  <c r="P55" i="132" s="1"/>
  <c r="J55" i="132"/>
  <c r="G55" i="132"/>
  <c r="R54" i="132"/>
  <c r="M54" i="132"/>
  <c r="P54" i="132" s="1"/>
  <c r="G54" i="132"/>
  <c r="J54" i="132" s="1"/>
  <c r="R53" i="132"/>
  <c r="P53" i="132"/>
  <c r="M53" i="132"/>
  <c r="G53" i="132"/>
  <c r="J53" i="132" s="1"/>
  <c r="R52" i="132"/>
  <c r="M52" i="132"/>
  <c r="P52" i="132" s="1"/>
  <c r="G52" i="132"/>
  <c r="J52" i="132" s="1"/>
  <c r="R51" i="132"/>
  <c r="P51" i="132"/>
  <c r="M51" i="132"/>
  <c r="G51" i="132"/>
  <c r="J51" i="132" s="1"/>
  <c r="R50" i="132"/>
  <c r="M50" i="132"/>
  <c r="P50" i="132" s="1"/>
  <c r="G50" i="132"/>
  <c r="J50" i="132" s="1"/>
  <c r="R49" i="132"/>
  <c r="M49" i="132"/>
  <c r="P49" i="132" s="1"/>
  <c r="G49" i="132"/>
  <c r="J49" i="132" s="1"/>
  <c r="R48" i="132"/>
  <c r="M48" i="132"/>
  <c r="P48" i="132" s="1"/>
  <c r="G48" i="132"/>
  <c r="J48" i="132" s="1"/>
  <c r="R47" i="132"/>
  <c r="M47" i="132"/>
  <c r="P47" i="132" s="1"/>
  <c r="J47" i="132"/>
  <c r="G47" i="132"/>
  <c r="R46" i="132"/>
  <c r="P46" i="132"/>
  <c r="M46" i="132"/>
  <c r="G46" i="132"/>
  <c r="J46" i="132" s="1"/>
  <c r="M45" i="132"/>
  <c r="P45" i="132" s="1"/>
  <c r="G45" i="132"/>
  <c r="J45" i="132" s="1"/>
  <c r="R44" i="132"/>
  <c r="M44" i="132"/>
  <c r="P44" i="132" s="1"/>
  <c r="G44" i="132"/>
  <c r="J44" i="132" s="1"/>
  <c r="R43" i="132"/>
  <c r="M43" i="132"/>
  <c r="P43" i="132" s="1"/>
  <c r="G43" i="132"/>
  <c r="J43" i="132" s="1"/>
  <c r="R42" i="132"/>
  <c r="M42" i="132"/>
  <c r="P42" i="132" s="1"/>
  <c r="G42" i="132"/>
  <c r="J42" i="132" s="1"/>
  <c r="R41" i="132"/>
  <c r="P41" i="132"/>
  <c r="M41" i="132"/>
  <c r="G41" i="132"/>
  <c r="J41" i="132" s="1"/>
  <c r="R40" i="132"/>
  <c r="M40" i="132"/>
  <c r="P40" i="132" s="1"/>
  <c r="G40" i="132"/>
  <c r="J40" i="132" s="1"/>
  <c r="R39" i="132"/>
  <c r="M39" i="132"/>
  <c r="P39" i="132" s="1"/>
  <c r="G39" i="132"/>
  <c r="J39" i="132" s="1"/>
  <c r="R38" i="132"/>
  <c r="M38" i="132"/>
  <c r="P38" i="132" s="1"/>
  <c r="G38" i="132"/>
  <c r="J38" i="132" s="1"/>
  <c r="R37" i="132"/>
  <c r="M37" i="132"/>
  <c r="P37" i="132" s="1"/>
  <c r="G37" i="132"/>
  <c r="J37" i="132" s="1"/>
  <c r="R36" i="132"/>
  <c r="M36" i="132"/>
  <c r="P36" i="132" s="1"/>
  <c r="J36" i="132"/>
  <c r="G36" i="132"/>
  <c r="R35" i="132"/>
  <c r="M35" i="132"/>
  <c r="P35" i="132" s="1"/>
  <c r="J35" i="132"/>
  <c r="G35" i="132"/>
  <c r="R34" i="132"/>
  <c r="P34" i="132"/>
  <c r="M34" i="132"/>
  <c r="G34" i="132"/>
  <c r="J34" i="132" s="1"/>
  <c r="R33" i="132"/>
  <c r="M33" i="132"/>
  <c r="P33" i="132" s="1"/>
  <c r="G33" i="132"/>
  <c r="J33" i="132" s="1"/>
  <c r="R32" i="132"/>
  <c r="P32" i="132"/>
  <c r="M32" i="132"/>
  <c r="G32" i="132"/>
  <c r="J32" i="132" s="1"/>
  <c r="R31" i="132"/>
  <c r="M31" i="132"/>
  <c r="P31" i="132" s="1"/>
  <c r="G31" i="132"/>
  <c r="J31" i="132" s="1"/>
  <c r="R30" i="132"/>
  <c r="M30" i="132"/>
  <c r="P30" i="132" s="1"/>
  <c r="G30" i="132"/>
  <c r="J30" i="132" s="1"/>
  <c r="R29" i="132"/>
  <c r="M29" i="132"/>
  <c r="P29" i="132" s="1"/>
  <c r="G29" i="132"/>
  <c r="J29" i="132" s="1"/>
  <c r="R28" i="132"/>
  <c r="M28" i="132"/>
  <c r="P28" i="132" s="1"/>
  <c r="G28" i="132"/>
  <c r="J28" i="132" s="1"/>
  <c r="R27" i="132"/>
  <c r="M27" i="132"/>
  <c r="P27" i="132" s="1"/>
  <c r="G27" i="132"/>
  <c r="J27" i="132" s="1"/>
  <c r="R26" i="132"/>
  <c r="P26" i="132"/>
  <c r="M26" i="132"/>
  <c r="G26" i="132"/>
  <c r="J26" i="132" s="1"/>
  <c r="R25" i="132"/>
  <c r="M25" i="132"/>
  <c r="P25" i="132" s="1"/>
  <c r="G25" i="132"/>
  <c r="J25" i="132" s="1"/>
  <c r="R24" i="132"/>
  <c r="P24" i="132"/>
  <c r="M24" i="132"/>
  <c r="G24" i="132"/>
  <c r="J24" i="132" s="1"/>
  <c r="R23" i="132"/>
  <c r="M23" i="132"/>
  <c r="P23" i="132" s="1"/>
  <c r="G23" i="132"/>
  <c r="J23" i="132" s="1"/>
  <c r="R22" i="132"/>
  <c r="M22" i="132"/>
  <c r="P22" i="132" s="1"/>
  <c r="G22" i="132"/>
  <c r="J22" i="132" s="1"/>
  <c r="R21" i="132"/>
  <c r="M21" i="132"/>
  <c r="P21" i="132" s="1"/>
  <c r="G21" i="132"/>
  <c r="J21" i="132" s="1"/>
  <c r="R20" i="132"/>
  <c r="M20" i="132"/>
  <c r="P20" i="132" s="1"/>
  <c r="G20" i="132"/>
  <c r="J20" i="132" s="1"/>
  <c r="R19" i="132"/>
  <c r="M19" i="132"/>
  <c r="P19" i="132" s="1"/>
  <c r="G19" i="132"/>
  <c r="J19" i="132" s="1"/>
  <c r="R18" i="132"/>
  <c r="M18" i="132"/>
  <c r="P18" i="132" s="1"/>
  <c r="G18" i="132"/>
  <c r="J18" i="132" s="1"/>
  <c r="R17" i="132"/>
  <c r="M17" i="132"/>
  <c r="P17" i="132" s="1"/>
  <c r="G17" i="132"/>
  <c r="J17" i="132" s="1"/>
  <c r="R16" i="132"/>
  <c r="M16" i="132"/>
  <c r="P16" i="132" s="1"/>
  <c r="G16" i="132"/>
  <c r="J16" i="132" s="1"/>
  <c r="R15" i="132"/>
  <c r="M15" i="132"/>
  <c r="P15" i="132" s="1"/>
  <c r="G15" i="132"/>
  <c r="J15" i="132" s="1"/>
  <c r="R14" i="132"/>
  <c r="M14" i="132"/>
  <c r="P14" i="132" s="1"/>
  <c r="G14" i="132"/>
  <c r="J14" i="132" s="1"/>
  <c r="R13" i="132"/>
  <c r="M13" i="132"/>
  <c r="P13" i="132" s="1"/>
  <c r="G13" i="132"/>
  <c r="J13" i="132" s="1"/>
  <c r="R12" i="132"/>
  <c r="M12" i="132"/>
  <c r="P12" i="132" s="1"/>
  <c r="G12" i="132"/>
  <c r="J12" i="132" s="1"/>
  <c r="R11" i="132"/>
  <c r="M11" i="132"/>
  <c r="P11" i="132" s="1"/>
  <c r="G11" i="132"/>
  <c r="J11" i="132" s="1"/>
  <c r="R10" i="132"/>
  <c r="P10" i="132"/>
  <c r="M10" i="132"/>
  <c r="J10" i="132"/>
  <c r="G10" i="132"/>
  <c r="R9" i="132"/>
  <c r="P9" i="132"/>
  <c r="M9" i="132"/>
  <c r="G9" i="132"/>
  <c r="J9" i="132" s="1"/>
  <c r="R8" i="132"/>
  <c r="M8" i="132"/>
  <c r="P8" i="132" s="1"/>
  <c r="G8" i="132"/>
  <c r="J8" i="132" s="1"/>
  <c r="R7" i="132"/>
  <c r="M7" i="132"/>
  <c r="P7" i="132" s="1"/>
  <c r="G7" i="132"/>
  <c r="J7" i="132" s="1"/>
  <c r="R6" i="132"/>
  <c r="M6" i="132"/>
  <c r="P6" i="132" s="1"/>
  <c r="G6" i="132"/>
  <c r="J6" i="132" s="1"/>
  <c r="R5" i="132"/>
  <c r="M5" i="132"/>
  <c r="P5" i="132" s="1"/>
  <c r="N73" i="131"/>
  <c r="S8" i="8" s="1"/>
  <c r="N70" i="131"/>
  <c r="W8" i="8" s="1"/>
  <c r="M67" i="131"/>
  <c r="R65" i="131"/>
  <c r="R64" i="131"/>
  <c r="R63" i="131"/>
  <c r="R62" i="131"/>
  <c r="R61" i="131"/>
  <c r="R60" i="131"/>
  <c r="R59" i="131"/>
  <c r="R58" i="131"/>
  <c r="M58" i="131"/>
  <c r="P58" i="131" s="1"/>
  <c r="G58" i="131"/>
  <c r="J58" i="131" s="1"/>
  <c r="R57" i="131"/>
  <c r="P57" i="131"/>
  <c r="M57" i="131"/>
  <c r="G57" i="131"/>
  <c r="J57" i="131" s="1"/>
  <c r="R56" i="131"/>
  <c r="M56" i="131"/>
  <c r="P56" i="131" s="1"/>
  <c r="G56" i="131"/>
  <c r="J56" i="131" s="1"/>
  <c r="R55" i="131"/>
  <c r="M55" i="131"/>
  <c r="P55" i="131" s="1"/>
  <c r="G55" i="131"/>
  <c r="J55" i="131" s="1"/>
  <c r="R54" i="131"/>
  <c r="M54" i="131"/>
  <c r="P54" i="131" s="1"/>
  <c r="G54" i="131"/>
  <c r="J54" i="131" s="1"/>
  <c r="R53" i="131"/>
  <c r="M53" i="131"/>
  <c r="P53" i="131" s="1"/>
  <c r="G53" i="131"/>
  <c r="J53" i="131" s="1"/>
  <c r="R52" i="131"/>
  <c r="M52" i="131"/>
  <c r="P52" i="131" s="1"/>
  <c r="G52" i="131"/>
  <c r="J52" i="131" s="1"/>
  <c r="R51" i="131"/>
  <c r="M51" i="131"/>
  <c r="P51" i="131" s="1"/>
  <c r="G51" i="131"/>
  <c r="J51" i="131" s="1"/>
  <c r="R50" i="131"/>
  <c r="M50" i="131"/>
  <c r="P50" i="131" s="1"/>
  <c r="G50" i="131"/>
  <c r="J50" i="131" s="1"/>
  <c r="R49" i="131"/>
  <c r="M49" i="131"/>
  <c r="P49" i="131" s="1"/>
  <c r="G49" i="131"/>
  <c r="J49" i="131" s="1"/>
  <c r="R48" i="131"/>
  <c r="M48" i="131"/>
  <c r="P48" i="131" s="1"/>
  <c r="G48" i="131"/>
  <c r="J48" i="131" s="1"/>
  <c r="R47" i="131"/>
  <c r="M47" i="131"/>
  <c r="P47" i="131" s="1"/>
  <c r="G47" i="131"/>
  <c r="J47" i="131" s="1"/>
  <c r="R46" i="131"/>
  <c r="P46" i="131"/>
  <c r="M46" i="131"/>
  <c r="G46" i="131"/>
  <c r="J46" i="131" s="1"/>
  <c r="M45" i="131"/>
  <c r="P45" i="131" s="1"/>
  <c r="G45" i="131"/>
  <c r="J45" i="131" s="1"/>
  <c r="R44" i="131"/>
  <c r="M44" i="131"/>
  <c r="P44" i="131" s="1"/>
  <c r="G44" i="131"/>
  <c r="J44" i="131" s="1"/>
  <c r="R43" i="131"/>
  <c r="M43" i="131"/>
  <c r="G43" i="131"/>
  <c r="J43" i="131" s="1"/>
  <c r="R42" i="131"/>
  <c r="P42" i="131"/>
  <c r="M42" i="131"/>
  <c r="G42" i="131"/>
  <c r="J42" i="131" s="1"/>
  <c r="R41" i="131"/>
  <c r="M41" i="131"/>
  <c r="P41" i="131" s="1"/>
  <c r="G41" i="131"/>
  <c r="J41" i="131" s="1"/>
  <c r="R40" i="131"/>
  <c r="M40" i="131"/>
  <c r="P40" i="131" s="1"/>
  <c r="G40" i="131"/>
  <c r="J40" i="131" s="1"/>
  <c r="R39" i="131"/>
  <c r="M39" i="131"/>
  <c r="P39" i="131" s="1"/>
  <c r="G39" i="131"/>
  <c r="J39" i="131" s="1"/>
  <c r="R38" i="131"/>
  <c r="M38" i="131"/>
  <c r="P38" i="131" s="1"/>
  <c r="G38" i="131"/>
  <c r="J38" i="131" s="1"/>
  <c r="R37" i="131"/>
  <c r="M37" i="131"/>
  <c r="P37" i="131" s="1"/>
  <c r="G37" i="131"/>
  <c r="J37" i="131" s="1"/>
  <c r="R36" i="131"/>
  <c r="M36" i="131"/>
  <c r="P36" i="131" s="1"/>
  <c r="G36" i="131"/>
  <c r="J36" i="131" s="1"/>
  <c r="R35" i="131"/>
  <c r="M35" i="131"/>
  <c r="P35" i="131" s="1"/>
  <c r="G35" i="131"/>
  <c r="J35" i="131" s="1"/>
  <c r="R34" i="131"/>
  <c r="M34" i="131"/>
  <c r="P34" i="131" s="1"/>
  <c r="J34" i="131"/>
  <c r="G34" i="131"/>
  <c r="R33" i="131"/>
  <c r="M33" i="131"/>
  <c r="P33" i="131" s="1"/>
  <c r="G33" i="131"/>
  <c r="J33" i="131" s="1"/>
  <c r="R32" i="131"/>
  <c r="P32" i="131"/>
  <c r="M32" i="131"/>
  <c r="G32" i="131"/>
  <c r="J32" i="131" s="1"/>
  <c r="R31" i="131"/>
  <c r="M31" i="131"/>
  <c r="P31" i="131" s="1"/>
  <c r="G31" i="131"/>
  <c r="J31" i="131" s="1"/>
  <c r="R30" i="131"/>
  <c r="M30" i="131"/>
  <c r="P30" i="131" s="1"/>
  <c r="G30" i="131"/>
  <c r="J30" i="131" s="1"/>
  <c r="R29" i="131"/>
  <c r="M29" i="131"/>
  <c r="P29" i="131" s="1"/>
  <c r="G29" i="131"/>
  <c r="J29" i="131" s="1"/>
  <c r="R28" i="131"/>
  <c r="M28" i="131"/>
  <c r="P28" i="131" s="1"/>
  <c r="G28" i="131"/>
  <c r="J28" i="131" s="1"/>
  <c r="R27" i="131"/>
  <c r="M27" i="131"/>
  <c r="P27" i="131" s="1"/>
  <c r="G27" i="131"/>
  <c r="J27" i="131" s="1"/>
  <c r="R26" i="131"/>
  <c r="M26" i="131"/>
  <c r="P26" i="131" s="1"/>
  <c r="G26" i="131"/>
  <c r="J26" i="131" s="1"/>
  <c r="R25" i="131"/>
  <c r="P25" i="131"/>
  <c r="M25" i="131"/>
  <c r="G25" i="131"/>
  <c r="J25" i="131" s="1"/>
  <c r="R24" i="131"/>
  <c r="P24" i="131"/>
  <c r="M24" i="131"/>
  <c r="G24" i="131"/>
  <c r="J24" i="131" s="1"/>
  <c r="R23" i="131"/>
  <c r="M23" i="131"/>
  <c r="P23" i="131" s="1"/>
  <c r="G23" i="131"/>
  <c r="J23" i="131" s="1"/>
  <c r="R22" i="131"/>
  <c r="M22" i="131"/>
  <c r="P22" i="131" s="1"/>
  <c r="G22" i="131"/>
  <c r="J22" i="131" s="1"/>
  <c r="R21" i="131"/>
  <c r="M21" i="131"/>
  <c r="P21" i="131" s="1"/>
  <c r="G21" i="131"/>
  <c r="J21" i="131" s="1"/>
  <c r="R20" i="131"/>
  <c r="M20" i="131"/>
  <c r="P20" i="131" s="1"/>
  <c r="G20" i="131"/>
  <c r="J20" i="131" s="1"/>
  <c r="R19" i="131"/>
  <c r="M19" i="131"/>
  <c r="P19" i="131" s="1"/>
  <c r="G19" i="131"/>
  <c r="J19" i="131" s="1"/>
  <c r="R18" i="131"/>
  <c r="P18" i="131"/>
  <c r="M18" i="131"/>
  <c r="G18" i="131"/>
  <c r="J18" i="131" s="1"/>
  <c r="R17" i="131"/>
  <c r="M17" i="131"/>
  <c r="P17" i="131" s="1"/>
  <c r="G17" i="131"/>
  <c r="J17" i="131" s="1"/>
  <c r="R16" i="131"/>
  <c r="M16" i="131"/>
  <c r="P16" i="131" s="1"/>
  <c r="G16" i="131"/>
  <c r="J16" i="131" s="1"/>
  <c r="R15" i="131"/>
  <c r="M15" i="131"/>
  <c r="P15" i="131" s="1"/>
  <c r="G15" i="131"/>
  <c r="J15" i="131" s="1"/>
  <c r="R14" i="131"/>
  <c r="M14" i="131"/>
  <c r="P14" i="131" s="1"/>
  <c r="G14" i="131"/>
  <c r="J14" i="131" s="1"/>
  <c r="R13" i="131"/>
  <c r="M13" i="131"/>
  <c r="P13" i="131" s="1"/>
  <c r="G13" i="131"/>
  <c r="J13" i="131" s="1"/>
  <c r="R12" i="131"/>
  <c r="M12" i="131"/>
  <c r="P12" i="131" s="1"/>
  <c r="G12" i="131"/>
  <c r="J12" i="131" s="1"/>
  <c r="R11" i="131"/>
  <c r="M11" i="131"/>
  <c r="P11" i="131" s="1"/>
  <c r="G11" i="131"/>
  <c r="J11" i="131" s="1"/>
  <c r="R10" i="131"/>
  <c r="P10" i="131"/>
  <c r="M10" i="131"/>
  <c r="G10" i="131"/>
  <c r="J10" i="131" s="1"/>
  <c r="R9" i="131"/>
  <c r="P9" i="131"/>
  <c r="M9" i="131"/>
  <c r="G9" i="131"/>
  <c r="J9" i="131" s="1"/>
  <c r="R8" i="131"/>
  <c r="P8" i="131"/>
  <c r="M8" i="131"/>
  <c r="G8" i="131"/>
  <c r="J8" i="131" s="1"/>
  <c r="R7" i="131"/>
  <c r="M7" i="131"/>
  <c r="P7" i="131" s="1"/>
  <c r="G7" i="131"/>
  <c r="J7" i="131" s="1"/>
  <c r="R6" i="131"/>
  <c r="M6" i="131"/>
  <c r="P6" i="131" s="1"/>
  <c r="G6" i="131"/>
  <c r="J6" i="131" s="1"/>
  <c r="R5" i="131"/>
  <c r="M5" i="131"/>
  <c r="P5" i="131" s="1"/>
  <c r="G5" i="131"/>
  <c r="J5" i="131" s="1"/>
  <c r="G5" i="132" s="1"/>
  <c r="J5" i="132" s="1"/>
  <c r="N73" i="130"/>
  <c r="S7" i="8" s="1"/>
  <c r="N70" i="130"/>
  <c r="W7" i="8" s="1"/>
  <c r="M67" i="130"/>
  <c r="R65" i="130"/>
  <c r="R64" i="130"/>
  <c r="R63" i="130"/>
  <c r="R62" i="130"/>
  <c r="R61" i="130"/>
  <c r="R60" i="130"/>
  <c r="R59" i="130"/>
  <c r="R58" i="130"/>
  <c r="M58" i="130"/>
  <c r="P58" i="130" s="1"/>
  <c r="G58" i="130"/>
  <c r="J58" i="130" s="1"/>
  <c r="R57" i="130"/>
  <c r="M57" i="130"/>
  <c r="P57" i="130" s="1"/>
  <c r="G57" i="130"/>
  <c r="J57" i="130" s="1"/>
  <c r="R56" i="130"/>
  <c r="M56" i="130"/>
  <c r="P56" i="130" s="1"/>
  <c r="G56" i="130"/>
  <c r="J56" i="130" s="1"/>
  <c r="R55" i="130"/>
  <c r="M55" i="130"/>
  <c r="P55" i="130" s="1"/>
  <c r="J55" i="130"/>
  <c r="G55" i="130"/>
  <c r="R54" i="130"/>
  <c r="M54" i="130"/>
  <c r="P54" i="130" s="1"/>
  <c r="G54" i="130"/>
  <c r="J54" i="130" s="1"/>
  <c r="R53" i="130"/>
  <c r="P53" i="130"/>
  <c r="M53" i="130"/>
  <c r="G53" i="130"/>
  <c r="J53" i="130" s="1"/>
  <c r="R52" i="130"/>
  <c r="M52" i="130"/>
  <c r="P52" i="130" s="1"/>
  <c r="G52" i="130"/>
  <c r="J52" i="130" s="1"/>
  <c r="R51" i="130"/>
  <c r="M51" i="130"/>
  <c r="P51" i="130" s="1"/>
  <c r="G51" i="130"/>
  <c r="J51" i="130" s="1"/>
  <c r="R50" i="130"/>
  <c r="M50" i="130"/>
  <c r="P50" i="130" s="1"/>
  <c r="G50" i="130"/>
  <c r="J50" i="130" s="1"/>
  <c r="R49" i="130"/>
  <c r="M49" i="130"/>
  <c r="P49" i="130" s="1"/>
  <c r="G49" i="130"/>
  <c r="J49" i="130" s="1"/>
  <c r="R48" i="130"/>
  <c r="M48" i="130"/>
  <c r="P48" i="130" s="1"/>
  <c r="G48" i="130"/>
  <c r="J48" i="130" s="1"/>
  <c r="R47" i="130"/>
  <c r="M47" i="130"/>
  <c r="P47" i="130" s="1"/>
  <c r="G47" i="130"/>
  <c r="J47" i="130" s="1"/>
  <c r="R46" i="130"/>
  <c r="M46" i="130"/>
  <c r="P46" i="130" s="1"/>
  <c r="G46" i="130"/>
  <c r="J46" i="130" s="1"/>
  <c r="M45" i="130"/>
  <c r="P45" i="130" s="1"/>
  <c r="G45" i="130"/>
  <c r="J45" i="130" s="1"/>
  <c r="R44" i="130"/>
  <c r="M44" i="130"/>
  <c r="P44" i="130" s="1"/>
  <c r="J44" i="130"/>
  <c r="G44" i="130"/>
  <c r="R43" i="130"/>
  <c r="M43" i="130"/>
  <c r="P43" i="130" s="1"/>
  <c r="G43" i="130"/>
  <c r="J43" i="130" s="1"/>
  <c r="R42" i="130"/>
  <c r="M42" i="130"/>
  <c r="P42" i="130" s="1"/>
  <c r="J42" i="130"/>
  <c r="G42" i="130"/>
  <c r="R41" i="130"/>
  <c r="M41" i="130"/>
  <c r="P41" i="130" s="1"/>
  <c r="G41" i="130"/>
  <c r="J41" i="130" s="1"/>
  <c r="R40" i="130"/>
  <c r="M40" i="130"/>
  <c r="P40" i="130" s="1"/>
  <c r="G40" i="130"/>
  <c r="J40" i="130" s="1"/>
  <c r="R39" i="130"/>
  <c r="M39" i="130"/>
  <c r="P39" i="130" s="1"/>
  <c r="G39" i="130"/>
  <c r="J39" i="130" s="1"/>
  <c r="R38" i="130"/>
  <c r="M38" i="130"/>
  <c r="P38" i="130" s="1"/>
  <c r="G38" i="130"/>
  <c r="J38" i="130" s="1"/>
  <c r="R37" i="130"/>
  <c r="M37" i="130"/>
  <c r="P37" i="130" s="1"/>
  <c r="G37" i="130"/>
  <c r="J37" i="130" s="1"/>
  <c r="R36" i="130"/>
  <c r="M36" i="130"/>
  <c r="P36" i="130" s="1"/>
  <c r="G36" i="130"/>
  <c r="J36" i="130" s="1"/>
  <c r="R35" i="130"/>
  <c r="M35" i="130"/>
  <c r="P35" i="130" s="1"/>
  <c r="G35" i="130"/>
  <c r="J35" i="130" s="1"/>
  <c r="R34" i="130"/>
  <c r="M34" i="130"/>
  <c r="P34" i="130" s="1"/>
  <c r="G34" i="130"/>
  <c r="J34" i="130" s="1"/>
  <c r="R33" i="130"/>
  <c r="M33" i="130"/>
  <c r="P33" i="130" s="1"/>
  <c r="G33" i="130"/>
  <c r="J33" i="130" s="1"/>
  <c r="R32" i="130"/>
  <c r="M32" i="130"/>
  <c r="P32" i="130" s="1"/>
  <c r="G32" i="130"/>
  <c r="J32" i="130" s="1"/>
  <c r="R31" i="130"/>
  <c r="M31" i="130"/>
  <c r="P31" i="130" s="1"/>
  <c r="G31" i="130"/>
  <c r="J31" i="130" s="1"/>
  <c r="R30" i="130"/>
  <c r="M30" i="130"/>
  <c r="P30" i="130" s="1"/>
  <c r="J30" i="130"/>
  <c r="G30" i="130"/>
  <c r="R29" i="130"/>
  <c r="M29" i="130"/>
  <c r="P29" i="130" s="1"/>
  <c r="G29" i="130"/>
  <c r="J29" i="130" s="1"/>
  <c r="R28" i="130"/>
  <c r="M28" i="130"/>
  <c r="P28" i="130" s="1"/>
  <c r="J28" i="130"/>
  <c r="G28" i="130"/>
  <c r="R27" i="130"/>
  <c r="M27" i="130"/>
  <c r="G27" i="130"/>
  <c r="J27" i="130" s="1"/>
  <c r="R26" i="130"/>
  <c r="M26" i="130"/>
  <c r="P26" i="130" s="1"/>
  <c r="J26" i="130"/>
  <c r="G26" i="130"/>
  <c r="R25" i="130"/>
  <c r="M25" i="130"/>
  <c r="P25" i="130" s="1"/>
  <c r="G25" i="130"/>
  <c r="J25" i="130" s="1"/>
  <c r="R24" i="130"/>
  <c r="M24" i="130"/>
  <c r="G24" i="130"/>
  <c r="J24" i="130" s="1"/>
  <c r="R23" i="130"/>
  <c r="M23" i="130"/>
  <c r="G23" i="130"/>
  <c r="J23" i="130" s="1"/>
  <c r="R22" i="130"/>
  <c r="M22" i="130"/>
  <c r="J22" i="130"/>
  <c r="G22" i="130"/>
  <c r="R21" i="130"/>
  <c r="M21" i="130"/>
  <c r="P21" i="130" s="1"/>
  <c r="G21" i="130"/>
  <c r="J21" i="130" s="1"/>
  <c r="R20" i="130"/>
  <c r="P20" i="130"/>
  <c r="M20" i="130"/>
  <c r="G20" i="130"/>
  <c r="J20" i="130" s="1"/>
  <c r="R19" i="130"/>
  <c r="M19" i="130"/>
  <c r="P19" i="130" s="1"/>
  <c r="G19" i="130"/>
  <c r="J19" i="130" s="1"/>
  <c r="R18" i="130"/>
  <c r="P18" i="130"/>
  <c r="M18" i="130"/>
  <c r="G18" i="130"/>
  <c r="J18" i="130" s="1"/>
  <c r="R17" i="130"/>
  <c r="M17" i="130"/>
  <c r="P17" i="130" s="1"/>
  <c r="G17" i="130"/>
  <c r="J17" i="130" s="1"/>
  <c r="R16" i="130"/>
  <c r="M16" i="130"/>
  <c r="P16" i="130" s="1"/>
  <c r="G16" i="130"/>
  <c r="J16" i="130" s="1"/>
  <c r="R15" i="130"/>
  <c r="M15" i="130"/>
  <c r="P15" i="130" s="1"/>
  <c r="G15" i="130"/>
  <c r="J15" i="130" s="1"/>
  <c r="R14" i="130"/>
  <c r="M14" i="130"/>
  <c r="P14" i="130" s="1"/>
  <c r="G14" i="130"/>
  <c r="J14" i="130" s="1"/>
  <c r="R13" i="130"/>
  <c r="M13" i="130"/>
  <c r="P13" i="130" s="1"/>
  <c r="G13" i="130"/>
  <c r="J13" i="130" s="1"/>
  <c r="R12" i="130"/>
  <c r="M12" i="130"/>
  <c r="P12" i="130" s="1"/>
  <c r="G12" i="130"/>
  <c r="J12" i="130" s="1"/>
  <c r="R11" i="130"/>
  <c r="M11" i="130"/>
  <c r="P11" i="130" s="1"/>
  <c r="G11" i="130"/>
  <c r="J11" i="130" s="1"/>
  <c r="R10" i="130"/>
  <c r="P10" i="130"/>
  <c r="M10" i="130"/>
  <c r="G10" i="130"/>
  <c r="J10" i="130" s="1"/>
  <c r="R9" i="130"/>
  <c r="M9" i="130"/>
  <c r="P9" i="130" s="1"/>
  <c r="G9" i="130"/>
  <c r="J9" i="130" s="1"/>
  <c r="R8" i="130"/>
  <c r="M8" i="130"/>
  <c r="P8" i="130" s="1"/>
  <c r="G8" i="130"/>
  <c r="J8" i="130" s="1"/>
  <c r="R7" i="130"/>
  <c r="M7" i="130"/>
  <c r="P7" i="130" s="1"/>
  <c r="G7" i="130"/>
  <c r="J7" i="130" s="1"/>
  <c r="R6" i="130"/>
  <c r="M6" i="130"/>
  <c r="P6" i="130" s="1"/>
  <c r="G6" i="130"/>
  <c r="J6" i="130" s="1"/>
  <c r="R5" i="130"/>
  <c r="M5" i="130"/>
  <c r="P5" i="130" s="1"/>
  <c r="G5" i="130"/>
  <c r="J5" i="130" s="1"/>
  <c r="N73" i="129"/>
  <c r="N70" i="129"/>
  <c r="M67" i="129"/>
  <c r="R65" i="129"/>
  <c r="R64" i="129"/>
  <c r="R63" i="129"/>
  <c r="R62" i="129"/>
  <c r="R61" i="129"/>
  <c r="R60" i="129"/>
  <c r="R59" i="129"/>
  <c r="R58" i="129"/>
  <c r="M58" i="129"/>
  <c r="G58" i="129"/>
  <c r="J58" i="129" s="1"/>
  <c r="R57" i="129"/>
  <c r="M57" i="129"/>
  <c r="P57" i="129" s="1"/>
  <c r="G57" i="129"/>
  <c r="J57" i="129" s="1"/>
  <c r="R56" i="129"/>
  <c r="M56" i="129"/>
  <c r="P56" i="129" s="1"/>
  <c r="J56" i="129"/>
  <c r="G56" i="129"/>
  <c r="R55" i="129"/>
  <c r="M55" i="129"/>
  <c r="P55" i="129" s="1"/>
  <c r="J55" i="129"/>
  <c r="G55" i="129"/>
  <c r="R54" i="129"/>
  <c r="M54" i="129"/>
  <c r="G54" i="129"/>
  <c r="J54" i="129" s="1"/>
  <c r="R53" i="129"/>
  <c r="P53" i="129"/>
  <c r="M53" i="129"/>
  <c r="G53" i="129"/>
  <c r="J53" i="129" s="1"/>
  <c r="R52" i="129"/>
  <c r="M52" i="129"/>
  <c r="P52" i="129" s="1"/>
  <c r="G52" i="129"/>
  <c r="J52" i="129" s="1"/>
  <c r="R51" i="129"/>
  <c r="M51" i="129"/>
  <c r="P51" i="129" s="1"/>
  <c r="G51" i="129"/>
  <c r="J51" i="129" s="1"/>
  <c r="R50" i="129"/>
  <c r="M50" i="129"/>
  <c r="P50" i="129" s="1"/>
  <c r="G50" i="129"/>
  <c r="J50" i="129" s="1"/>
  <c r="R49" i="129"/>
  <c r="P49" i="129"/>
  <c r="M49" i="129"/>
  <c r="G49" i="129"/>
  <c r="J49" i="129" s="1"/>
  <c r="R48" i="129"/>
  <c r="M48" i="129"/>
  <c r="P48" i="129" s="1"/>
  <c r="J48" i="129"/>
  <c r="G48" i="129"/>
  <c r="R47" i="129"/>
  <c r="P47" i="129"/>
  <c r="M47" i="129"/>
  <c r="J47" i="129"/>
  <c r="G47" i="129"/>
  <c r="R46" i="129"/>
  <c r="M46" i="129"/>
  <c r="P46" i="129" s="1"/>
  <c r="G46" i="129"/>
  <c r="J46" i="129" s="1"/>
  <c r="M45" i="129"/>
  <c r="G45" i="129"/>
  <c r="J45" i="129" s="1"/>
  <c r="R44" i="129"/>
  <c r="P44" i="129"/>
  <c r="M44" i="129"/>
  <c r="J44" i="129"/>
  <c r="G44" i="129"/>
  <c r="R43" i="129"/>
  <c r="M43" i="129"/>
  <c r="P43" i="129" s="1"/>
  <c r="G43" i="129"/>
  <c r="J43" i="129" s="1"/>
  <c r="R42" i="129"/>
  <c r="M42" i="129"/>
  <c r="G42" i="129"/>
  <c r="J42" i="129" s="1"/>
  <c r="R41" i="129"/>
  <c r="M41" i="129"/>
  <c r="G41" i="129"/>
  <c r="J41" i="129" s="1"/>
  <c r="R40" i="129"/>
  <c r="P40" i="129"/>
  <c r="M40" i="129"/>
  <c r="G40" i="129"/>
  <c r="J40" i="129" s="1"/>
  <c r="R39" i="129"/>
  <c r="M39" i="129"/>
  <c r="P39" i="129" s="1"/>
  <c r="G39" i="129"/>
  <c r="J39" i="129" s="1"/>
  <c r="R38" i="129"/>
  <c r="M38" i="129"/>
  <c r="P38" i="129" s="1"/>
  <c r="J38" i="129"/>
  <c r="G38" i="129"/>
  <c r="R37" i="129"/>
  <c r="M37" i="129"/>
  <c r="G37" i="129"/>
  <c r="J37" i="129" s="1"/>
  <c r="R36" i="129"/>
  <c r="M36" i="129"/>
  <c r="P36" i="129" s="1"/>
  <c r="J36" i="129"/>
  <c r="G36" i="129"/>
  <c r="R35" i="129"/>
  <c r="M35" i="129"/>
  <c r="P35" i="129" s="1"/>
  <c r="G35" i="129"/>
  <c r="J35" i="129" s="1"/>
  <c r="R34" i="129"/>
  <c r="M34" i="129"/>
  <c r="G34" i="129"/>
  <c r="J34" i="129" s="1"/>
  <c r="R33" i="129"/>
  <c r="M33" i="129"/>
  <c r="P33" i="129" s="1"/>
  <c r="G33" i="129"/>
  <c r="J33" i="129" s="1"/>
  <c r="R32" i="129"/>
  <c r="P32" i="129"/>
  <c r="M32" i="129"/>
  <c r="G32" i="129"/>
  <c r="J32" i="129" s="1"/>
  <c r="R31" i="129"/>
  <c r="M31" i="129"/>
  <c r="P31" i="129" s="1"/>
  <c r="G31" i="129"/>
  <c r="J31" i="129" s="1"/>
  <c r="R30" i="129"/>
  <c r="M30" i="129"/>
  <c r="P30" i="129" s="1"/>
  <c r="J30" i="129"/>
  <c r="G30" i="129"/>
  <c r="R29" i="129"/>
  <c r="M29" i="129"/>
  <c r="P29" i="129" s="1"/>
  <c r="G29" i="129"/>
  <c r="J29" i="129" s="1"/>
  <c r="R28" i="129"/>
  <c r="M28" i="129"/>
  <c r="P28" i="129" s="1"/>
  <c r="J28" i="129"/>
  <c r="G28" i="129"/>
  <c r="R27" i="129"/>
  <c r="M27" i="129"/>
  <c r="P27" i="129" s="1"/>
  <c r="G27" i="129"/>
  <c r="J27" i="129" s="1"/>
  <c r="R26" i="129"/>
  <c r="M26" i="129"/>
  <c r="P26" i="129" s="1"/>
  <c r="G26" i="129"/>
  <c r="J26" i="129" s="1"/>
  <c r="R25" i="129"/>
  <c r="P25" i="129"/>
  <c r="M25" i="129"/>
  <c r="G25" i="129"/>
  <c r="J25" i="129" s="1"/>
  <c r="R24" i="129"/>
  <c r="P24" i="129"/>
  <c r="M24" i="129"/>
  <c r="G24" i="129"/>
  <c r="J24" i="129" s="1"/>
  <c r="R23" i="129"/>
  <c r="M23" i="129"/>
  <c r="P23" i="129" s="1"/>
  <c r="G23" i="129"/>
  <c r="J23" i="129" s="1"/>
  <c r="R22" i="129"/>
  <c r="M22" i="129"/>
  <c r="P22" i="129" s="1"/>
  <c r="J22" i="129"/>
  <c r="G22" i="129"/>
  <c r="R21" i="129"/>
  <c r="M21" i="129"/>
  <c r="P21" i="129" s="1"/>
  <c r="G21" i="129"/>
  <c r="J21" i="129" s="1"/>
  <c r="R20" i="129"/>
  <c r="M20" i="129"/>
  <c r="J20" i="129"/>
  <c r="G20" i="129"/>
  <c r="R19" i="129"/>
  <c r="M19" i="129"/>
  <c r="P19" i="129" s="1"/>
  <c r="G19" i="129"/>
  <c r="J19" i="129" s="1"/>
  <c r="R18" i="129"/>
  <c r="P18" i="129"/>
  <c r="M18" i="129"/>
  <c r="G18" i="129"/>
  <c r="J18" i="129" s="1"/>
  <c r="R17" i="129"/>
  <c r="M17" i="129"/>
  <c r="P17" i="129" s="1"/>
  <c r="G17" i="129"/>
  <c r="J17" i="129" s="1"/>
  <c r="R16" i="129"/>
  <c r="M16" i="129"/>
  <c r="P16" i="129" s="1"/>
  <c r="G16" i="129"/>
  <c r="J16" i="129" s="1"/>
  <c r="R15" i="129"/>
  <c r="M15" i="129"/>
  <c r="P15" i="129" s="1"/>
  <c r="G15" i="129"/>
  <c r="J15" i="129" s="1"/>
  <c r="R14" i="129"/>
  <c r="M14" i="129"/>
  <c r="P14" i="129" s="1"/>
  <c r="J14" i="129"/>
  <c r="G14" i="129"/>
  <c r="R13" i="129"/>
  <c r="M13" i="129"/>
  <c r="P13" i="129" s="1"/>
  <c r="G13" i="129"/>
  <c r="J13" i="129" s="1"/>
  <c r="E13" i="130" s="1"/>
  <c r="R12" i="129"/>
  <c r="M12" i="129"/>
  <c r="P12" i="129" s="1"/>
  <c r="J12" i="129"/>
  <c r="G12" i="129"/>
  <c r="R11" i="129"/>
  <c r="M11" i="129"/>
  <c r="P11" i="129" s="1"/>
  <c r="G11" i="129"/>
  <c r="J11" i="129" s="1"/>
  <c r="R10" i="129"/>
  <c r="M10" i="129"/>
  <c r="P10" i="129" s="1"/>
  <c r="G10" i="129"/>
  <c r="J10" i="129" s="1"/>
  <c r="R9" i="129"/>
  <c r="M9" i="129"/>
  <c r="P9" i="129" s="1"/>
  <c r="G9" i="129"/>
  <c r="J9" i="129" s="1"/>
  <c r="R8" i="129"/>
  <c r="M8" i="129"/>
  <c r="G8" i="129"/>
  <c r="J8" i="129" s="1"/>
  <c r="R7" i="129"/>
  <c r="M7" i="129"/>
  <c r="P7" i="129" s="1"/>
  <c r="G7" i="129"/>
  <c r="J7" i="129" s="1"/>
  <c r="R6" i="129"/>
  <c r="M6" i="129"/>
  <c r="P6" i="129" s="1"/>
  <c r="J6" i="129"/>
  <c r="G6" i="129"/>
  <c r="R5" i="129"/>
  <c r="M5" i="129"/>
  <c r="G5" i="129"/>
  <c r="J5" i="129" s="1"/>
  <c r="N73" i="77"/>
  <c r="N70" i="77"/>
  <c r="M67" i="77"/>
  <c r="R65" i="77"/>
  <c r="R64" i="77"/>
  <c r="R63" i="77"/>
  <c r="R62" i="77"/>
  <c r="R61" i="77"/>
  <c r="R60" i="77"/>
  <c r="R59" i="77"/>
  <c r="R58" i="77"/>
  <c r="M58" i="77"/>
  <c r="P58" i="77" s="1"/>
  <c r="R57" i="77"/>
  <c r="M57" i="77"/>
  <c r="R56" i="77"/>
  <c r="M56" i="77"/>
  <c r="R55" i="77"/>
  <c r="M55" i="77"/>
  <c r="R54" i="77"/>
  <c r="M54" i="77"/>
  <c r="P54" i="77" s="1"/>
  <c r="R53" i="77"/>
  <c r="M53" i="77"/>
  <c r="J53" i="77"/>
  <c r="R52" i="77"/>
  <c r="M52" i="77"/>
  <c r="J52" i="77"/>
  <c r="R51" i="77"/>
  <c r="M51" i="77"/>
  <c r="J51" i="77"/>
  <c r="R50" i="77"/>
  <c r="M50" i="77"/>
  <c r="J50" i="77"/>
  <c r="R49" i="77"/>
  <c r="M49" i="77"/>
  <c r="J49" i="77"/>
  <c r="R48" i="77"/>
  <c r="M48" i="77"/>
  <c r="J48" i="77"/>
  <c r="R47" i="77"/>
  <c r="M47" i="77"/>
  <c r="J47" i="77"/>
  <c r="R46" i="77"/>
  <c r="P46" i="77"/>
  <c r="M46" i="77"/>
  <c r="J46" i="77"/>
  <c r="M45" i="77"/>
  <c r="P45" i="77" s="1"/>
  <c r="J45" i="77"/>
  <c r="R44" i="77"/>
  <c r="M44" i="77"/>
  <c r="P44" i="77" s="1"/>
  <c r="J44" i="77"/>
  <c r="R43" i="77"/>
  <c r="M43" i="77"/>
  <c r="P43" i="77" s="1"/>
  <c r="J43" i="77"/>
  <c r="R42" i="77"/>
  <c r="M42" i="77"/>
  <c r="P42" i="77" s="1"/>
  <c r="J42" i="77"/>
  <c r="R41" i="77"/>
  <c r="P41" i="77"/>
  <c r="M41" i="77"/>
  <c r="J41" i="77"/>
  <c r="R40" i="77"/>
  <c r="M40" i="77"/>
  <c r="J40" i="77"/>
  <c r="R39" i="77"/>
  <c r="M39" i="77"/>
  <c r="J39" i="77"/>
  <c r="R38" i="77"/>
  <c r="M38" i="77"/>
  <c r="J38" i="77"/>
  <c r="R37" i="77"/>
  <c r="P37" i="77"/>
  <c r="M37" i="77"/>
  <c r="J37" i="77"/>
  <c r="R36" i="77"/>
  <c r="M36" i="77"/>
  <c r="J36" i="77"/>
  <c r="R35" i="77"/>
  <c r="M35" i="77"/>
  <c r="J35" i="77"/>
  <c r="R34" i="77"/>
  <c r="M34" i="77"/>
  <c r="P34" i="77" s="1"/>
  <c r="J34" i="77"/>
  <c r="R33" i="77"/>
  <c r="M33" i="77"/>
  <c r="J33" i="77"/>
  <c r="R32" i="77"/>
  <c r="M32" i="77"/>
  <c r="J32" i="77"/>
  <c r="R31" i="77"/>
  <c r="M31" i="77"/>
  <c r="J31" i="77"/>
  <c r="R30" i="77"/>
  <c r="M30" i="77"/>
  <c r="J30" i="77"/>
  <c r="R29" i="77"/>
  <c r="M29" i="77"/>
  <c r="J29" i="77"/>
  <c r="R28" i="77"/>
  <c r="M28" i="77"/>
  <c r="J28" i="77"/>
  <c r="R27" i="77"/>
  <c r="P27" i="77"/>
  <c r="M27" i="77"/>
  <c r="J27" i="77"/>
  <c r="R26" i="77"/>
  <c r="M26" i="77"/>
  <c r="J26" i="77"/>
  <c r="R25" i="77"/>
  <c r="M25" i="77"/>
  <c r="J25" i="77"/>
  <c r="R24" i="77"/>
  <c r="M24" i="77"/>
  <c r="P24" i="77" s="1"/>
  <c r="J24" i="77"/>
  <c r="R23" i="77"/>
  <c r="M23" i="77"/>
  <c r="P23" i="77" s="1"/>
  <c r="J23" i="77"/>
  <c r="R22" i="77"/>
  <c r="M22" i="77"/>
  <c r="P22" i="77" s="1"/>
  <c r="J22" i="77"/>
  <c r="R21" i="77"/>
  <c r="M21" i="77"/>
  <c r="J21" i="77"/>
  <c r="R20" i="77"/>
  <c r="M20" i="77"/>
  <c r="P20" i="77" s="1"/>
  <c r="J20" i="77"/>
  <c r="R19" i="77"/>
  <c r="M19" i="77"/>
  <c r="J19" i="77"/>
  <c r="R18" i="77"/>
  <c r="M18" i="77"/>
  <c r="J18" i="77"/>
  <c r="R17" i="77"/>
  <c r="M17" i="77"/>
  <c r="J17" i="77"/>
  <c r="R16" i="77"/>
  <c r="M16" i="77"/>
  <c r="J16" i="77"/>
  <c r="R15" i="77"/>
  <c r="M15" i="77"/>
  <c r="J15" i="77"/>
  <c r="R14" i="77"/>
  <c r="M14" i="77"/>
  <c r="J14" i="77"/>
  <c r="R13" i="77"/>
  <c r="M13" i="77"/>
  <c r="J13" i="77"/>
  <c r="R12" i="77"/>
  <c r="M12" i="77"/>
  <c r="J12" i="77"/>
  <c r="R11" i="77"/>
  <c r="M11" i="77"/>
  <c r="J11" i="77"/>
  <c r="R10" i="77"/>
  <c r="M10" i="77"/>
  <c r="J10" i="77"/>
  <c r="R9" i="77"/>
  <c r="M9" i="77"/>
  <c r="J9" i="77"/>
  <c r="R8" i="77"/>
  <c r="M8" i="77"/>
  <c r="P8" i="77" s="1"/>
  <c r="J8" i="77"/>
  <c r="R7" i="77"/>
  <c r="P7" i="77"/>
  <c r="M7" i="77"/>
  <c r="J7" i="77"/>
  <c r="R6" i="77"/>
  <c r="M6" i="77"/>
  <c r="J6" i="77"/>
  <c r="R5" i="77"/>
  <c r="R66" i="139" l="1"/>
  <c r="R66" i="138"/>
  <c r="R66" i="137"/>
  <c r="R66" i="136"/>
  <c r="R66" i="135"/>
  <c r="N68" i="134"/>
  <c r="N74" i="134" s="1"/>
  <c r="N77" i="134" s="1"/>
  <c r="R66" i="134"/>
  <c r="R66" i="133"/>
  <c r="R66" i="132"/>
  <c r="P43" i="131"/>
  <c r="R66" i="131"/>
  <c r="P27" i="130"/>
  <c r="P24" i="130"/>
  <c r="P23" i="130"/>
  <c r="P22" i="130"/>
  <c r="R66" i="130"/>
  <c r="P54" i="129"/>
  <c r="P42" i="129"/>
  <c r="P58" i="129"/>
  <c r="P45" i="129"/>
  <c r="P41" i="129"/>
  <c r="P37" i="129"/>
  <c r="P34" i="129"/>
  <c r="P20" i="129"/>
  <c r="R66" i="129"/>
  <c r="P8" i="129"/>
  <c r="P5" i="129"/>
  <c r="M5" i="8"/>
  <c r="P53" i="77"/>
  <c r="P52" i="77"/>
  <c r="P57" i="77"/>
  <c r="P56" i="77"/>
  <c r="P55" i="77"/>
  <c r="P51" i="77"/>
  <c r="P50" i="77"/>
  <c r="P49" i="77"/>
  <c r="P48" i="77"/>
  <c r="P39" i="77"/>
  <c r="P40" i="77"/>
  <c r="P38" i="77"/>
  <c r="P36" i="77"/>
  <c r="P35" i="77"/>
  <c r="P33" i="77"/>
  <c r="P47" i="77"/>
  <c r="P32" i="77"/>
  <c r="P31" i="77"/>
  <c r="P30" i="77"/>
  <c r="P29" i="77"/>
  <c r="P28" i="77"/>
  <c r="P26" i="77"/>
  <c r="P25" i="77"/>
  <c r="P21" i="77"/>
  <c r="P19" i="77"/>
  <c r="P18" i="77"/>
  <c r="P17" i="77"/>
  <c r="P16" i="77"/>
  <c r="P15" i="77"/>
  <c r="P14" i="77"/>
  <c r="P13" i="77"/>
  <c r="P12" i="77"/>
  <c r="P11" i="77"/>
  <c r="P10" i="77"/>
  <c r="P9" i="77"/>
  <c r="R66" i="77"/>
  <c r="P6" i="77"/>
  <c r="N68" i="139"/>
  <c r="N68" i="138"/>
  <c r="N68" i="137"/>
  <c r="N68" i="136"/>
  <c r="N68" i="135"/>
  <c r="N68" i="133"/>
  <c r="N68" i="132"/>
  <c r="N68" i="131"/>
  <c r="N68" i="130"/>
  <c r="N68" i="129"/>
  <c r="N68" i="77"/>
  <c r="N74" i="139" l="1"/>
  <c r="N77" i="139" s="1"/>
  <c r="N74" i="138"/>
  <c r="N77" i="138" s="1"/>
  <c r="R15" i="8"/>
  <c r="N74" i="137"/>
  <c r="N77" i="137" s="1"/>
  <c r="R14" i="8"/>
  <c r="N74" i="136"/>
  <c r="N77" i="136" s="1"/>
  <c r="R13" i="8"/>
  <c r="N74" i="135"/>
  <c r="N77" i="135" s="1"/>
  <c r="R12" i="8"/>
  <c r="R11" i="8"/>
  <c r="N76" i="134"/>
  <c r="N74" i="133"/>
  <c r="N77" i="133" s="1"/>
  <c r="R10" i="8"/>
  <c r="N74" i="132"/>
  <c r="N77" i="132" s="1"/>
  <c r="R9" i="8"/>
  <c r="N74" i="131"/>
  <c r="N77" i="131" s="1"/>
  <c r="R8" i="8"/>
  <c r="N74" i="130"/>
  <c r="N77" i="130" s="1"/>
  <c r="R7" i="8"/>
  <c r="N74" i="129"/>
  <c r="N77" i="129" s="1"/>
  <c r="N74" i="77"/>
  <c r="N77" i="77" s="1"/>
  <c r="N76" i="139" l="1"/>
  <c r="N76" i="138"/>
  <c r="N76" i="137"/>
  <c r="N76" i="136"/>
  <c r="N76" i="135"/>
  <c r="N76" i="133"/>
  <c r="N76" i="132"/>
  <c r="N76" i="131"/>
  <c r="N76" i="130"/>
  <c r="N76" i="129"/>
  <c r="N76" i="77"/>
  <c r="AB15" i="8"/>
  <c r="AB16" i="8" l="1"/>
  <c r="X16" i="8"/>
  <c r="Z16" i="8" l="1"/>
  <c r="AC16" i="8" s="1"/>
  <c r="X12" i="8"/>
  <c r="Z12" i="8" s="1"/>
  <c r="X14" i="8"/>
  <c r="Z14" i="8" s="1"/>
  <c r="X11" i="8"/>
  <c r="Z11" i="8" s="1"/>
  <c r="X10" i="8"/>
  <c r="Z10" i="8" s="1"/>
  <c r="X9" i="8"/>
  <c r="Z9" i="8" s="1"/>
  <c r="X13" i="8"/>
  <c r="Z13" i="8" s="1"/>
  <c r="X15" i="8"/>
  <c r="Z15" i="8" l="1"/>
  <c r="AC15" i="8" s="1"/>
  <c r="R5" i="74"/>
  <c r="M6" i="74"/>
  <c r="P6" i="74" s="1"/>
  <c r="R6" i="74"/>
  <c r="M7" i="74"/>
  <c r="P7" i="74" s="1"/>
  <c r="R7" i="74"/>
  <c r="M8" i="74"/>
  <c r="P8" i="74" s="1"/>
  <c r="R8" i="74"/>
  <c r="M9" i="74"/>
  <c r="P9" i="74" s="1"/>
  <c r="R9" i="74"/>
  <c r="M10" i="74"/>
  <c r="P10" i="74" s="1"/>
  <c r="R10" i="74"/>
  <c r="M11" i="74"/>
  <c r="P11" i="74" s="1"/>
  <c r="R11" i="74"/>
  <c r="M12" i="74"/>
  <c r="P12" i="74" s="1"/>
  <c r="R12" i="74"/>
  <c r="M13" i="74"/>
  <c r="P13" i="74" s="1"/>
  <c r="R13" i="74"/>
  <c r="M14" i="74"/>
  <c r="P14" i="74" s="1"/>
  <c r="R14" i="74"/>
  <c r="M15" i="74"/>
  <c r="P15" i="74" s="1"/>
  <c r="R15" i="74"/>
  <c r="M16" i="74"/>
  <c r="P16" i="74" s="1"/>
  <c r="R16" i="74"/>
  <c r="M17" i="74"/>
  <c r="P17" i="74" s="1"/>
  <c r="R17" i="74"/>
  <c r="M18" i="74"/>
  <c r="P18" i="74" s="1"/>
  <c r="R18" i="74"/>
  <c r="M19" i="74"/>
  <c r="P19" i="74" s="1"/>
  <c r="R19" i="74"/>
  <c r="M20" i="74"/>
  <c r="P20" i="74" s="1"/>
  <c r="R20" i="74"/>
  <c r="M21" i="74"/>
  <c r="P21" i="74" s="1"/>
  <c r="R21" i="74"/>
  <c r="M22" i="74"/>
  <c r="P22" i="74" s="1"/>
  <c r="R22" i="74"/>
  <c r="M23" i="74"/>
  <c r="P23" i="74" s="1"/>
  <c r="R23" i="74"/>
  <c r="M24" i="74"/>
  <c r="P24" i="74" s="1"/>
  <c r="R24" i="74"/>
  <c r="M25" i="74"/>
  <c r="P25" i="74" s="1"/>
  <c r="R25" i="74"/>
  <c r="M26" i="74"/>
  <c r="P26" i="74" s="1"/>
  <c r="R26" i="74"/>
  <c r="M27" i="74"/>
  <c r="P27" i="74" s="1"/>
  <c r="R27" i="74"/>
  <c r="M28" i="74"/>
  <c r="P28" i="74" s="1"/>
  <c r="R28" i="74"/>
  <c r="M29" i="74"/>
  <c r="P29" i="74" s="1"/>
  <c r="R29" i="74"/>
  <c r="M30" i="74"/>
  <c r="P30" i="74" s="1"/>
  <c r="R30" i="74"/>
  <c r="M31" i="74"/>
  <c r="P31" i="74" s="1"/>
  <c r="R31" i="74"/>
  <c r="M32" i="74"/>
  <c r="P32" i="74" s="1"/>
  <c r="R32" i="74"/>
  <c r="M33" i="74"/>
  <c r="P33" i="74" s="1"/>
  <c r="R33" i="74"/>
  <c r="M34" i="74"/>
  <c r="P34" i="74" s="1"/>
  <c r="R34" i="74"/>
  <c r="M35" i="74"/>
  <c r="P35" i="74" s="1"/>
  <c r="R35" i="74"/>
  <c r="M36" i="74"/>
  <c r="P36" i="74" s="1"/>
  <c r="R36" i="74"/>
  <c r="M37" i="74"/>
  <c r="P37" i="74" s="1"/>
  <c r="R37" i="74"/>
  <c r="M38" i="74"/>
  <c r="P38" i="74" s="1"/>
  <c r="R38" i="74"/>
  <c r="M39" i="74"/>
  <c r="P39" i="74" s="1"/>
  <c r="R39" i="74"/>
  <c r="M40" i="74"/>
  <c r="P40" i="74" s="1"/>
  <c r="R40" i="74"/>
  <c r="M41" i="74"/>
  <c r="P41" i="74" s="1"/>
  <c r="R41" i="74"/>
  <c r="M42" i="74"/>
  <c r="P42" i="74" s="1"/>
  <c r="R42" i="74"/>
  <c r="M43" i="74"/>
  <c r="P43" i="74" s="1"/>
  <c r="R43" i="74"/>
  <c r="M44" i="74"/>
  <c r="P44" i="74" s="1"/>
  <c r="R44" i="74"/>
  <c r="M45" i="74"/>
  <c r="P45" i="74" s="1"/>
  <c r="M46" i="74"/>
  <c r="P46" i="74" s="1"/>
  <c r="R46" i="74"/>
  <c r="M47" i="74"/>
  <c r="P47" i="74" s="1"/>
  <c r="R47" i="74"/>
  <c r="M48" i="74"/>
  <c r="P48" i="74" s="1"/>
  <c r="R48" i="74"/>
  <c r="M49" i="74"/>
  <c r="P49" i="74" s="1"/>
  <c r="R49" i="74"/>
  <c r="M50" i="74"/>
  <c r="P50" i="74" s="1"/>
  <c r="R50" i="74"/>
  <c r="M51" i="74"/>
  <c r="P51" i="74" s="1"/>
  <c r="R51" i="74"/>
  <c r="M52" i="74"/>
  <c r="P52" i="74"/>
  <c r="R52" i="74"/>
  <c r="M53" i="74"/>
  <c r="P53" i="74"/>
  <c r="R53" i="74"/>
  <c r="M54" i="74"/>
  <c r="P54" i="74"/>
  <c r="R54" i="74"/>
  <c r="M55" i="74"/>
  <c r="P55" i="74" s="1"/>
  <c r="R55" i="74"/>
  <c r="M56" i="74"/>
  <c r="P56" i="74" s="1"/>
  <c r="R56" i="74"/>
  <c r="M57" i="74"/>
  <c r="P57" i="74" s="1"/>
  <c r="R57" i="74"/>
  <c r="M58" i="74"/>
  <c r="P58" i="74" s="1"/>
  <c r="R58" i="74"/>
  <c r="R59" i="74"/>
  <c r="R60" i="74"/>
  <c r="R61" i="74"/>
  <c r="R62" i="74"/>
  <c r="R63" i="74"/>
  <c r="R64" i="74"/>
  <c r="R65" i="74"/>
  <c r="C14" i="111"/>
  <c r="C15" i="111" s="1"/>
  <c r="D8" i="111"/>
  <c r="I3" i="111" s="1"/>
  <c r="C8" i="111"/>
  <c r="E4" i="111"/>
  <c r="E5" i="111"/>
  <c r="E6" i="111"/>
  <c r="E7" i="111"/>
  <c r="E3" i="111"/>
  <c r="C3" i="110"/>
  <c r="C4" i="110"/>
  <c r="C6" i="110" s="1"/>
  <c r="C4" i="109" s="1"/>
  <c r="C5" i="110"/>
  <c r="C7" i="109"/>
  <c r="X7" i="8" l="1"/>
  <c r="E8" i="111"/>
  <c r="I2" i="111"/>
  <c r="I4" i="111"/>
  <c r="X8" i="8" l="1"/>
  <c r="X6" i="8"/>
  <c r="AB14" i="8" l="1"/>
  <c r="AB13" i="8"/>
  <c r="AB12" i="8"/>
  <c r="AB11" i="8"/>
  <c r="AB10" i="8"/>
  <c r="AB9" i="8"/>
  <c r="AB8" i="8"/>
  <c r="AB6" i="8"/>
  <c r="M67" i="74"/>
  <c r="AB5" i="8" l="1"/>
  <c r="AB7" i="8"/>
  <c r="P66" i="8"/>
  <c r="C3" i="109" s="1"/>
  <c r="C8" i="109" s="1"/>
  <c r="G3" i="109" s="1"/>
  <c r="X5" i="8" l="1"/>
  <c r="G2" i="109"/>
  <c r="G4" i="109" s="1"/>
  <c r="N73" i="74" l="1"/>
  <c r="N70" i="74"/>
  <c r="N68" i="74"/>
  <c r="R66" i="74" l="1"/>
  <c r="Z5" i="8" l="1"/>
  <c r="AC5" i="8" s="1"/>
  <c r="N74" i="74"/>
  <c r="N77" i="74" l="1"/>
  <c r="N76" i="74"/>
  <c r="T17" i="8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N204" i="64" l="1"/>
  <c r="X107" i="64"/>
  <c r="J206" i="64" s="1"/>
  <c r="K207" i="64" s="1"/>
  <c r="K213" i="64" l="1"/>
  <c r="K215" i="64" s="1"/>
  <c r="K216" i="64" l="1"/>
  <c r="AA17" i="8" l="1"/>
  <c r="N67" i="8"/>
  <c r="M68" i="8"/>
  <c r="H67" i="8"/>
  <c r="M72" i="8"/>
  <c r="H69" i="8"/>
  <c r="AC12" i="8"/>
  <c r="AC14" i="8"/>
  <c r="AC11" i="8"/>
  <c r="AC13" i="8"/>
  <c r="AC10" i="8" l="1"/>
  <c r="AC9" i="8"/>
  <c r="Z7" i="8"/>
  <c r="AC7" i="8" s="1"/>
  <c r="Z8" i="8"/>
  <c r="AC8" i="8" s="1"/>
  <c r="Z6" i="8"/>
  <c r="AC6" i="8" s="1"/>
  <c r="N69" i="8"/>
  <c r="F68" i="8" s="1"/>
  <c r="C69" i="8" s="1"/>
  <c r="H70" i="8"/>
  <c r="M70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M69" i="8" l="1"/>
  <c r="F67" i="8"/>
  <c r="F70" i="8" s="1"/>
  <c r="F72" i="8" s="1"/>
  <c r="C67" i="8" l="1"/>
  <c r="C70" i="8" s="1"/>
  <c r="M71" i="8"/>
  <c r="M74" i="8" s="1"/>
</calcChain>
</file>

<file path=xl/sharedStrings.xml><?xml version="1.0" encoding="utf-8"?>
<sst xmlns="http://schemas.openxmlformats.org/spreadsheetml/2006/main" count="8819" uniqueCount="1459">
  <si>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</si>
  <si>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</si>
  <si>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</si>
  <si>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</si>
  <si>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</si>
  <si>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</si>
  <si>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</si>
  <si>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</si>
  <si>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</si>
  <si>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</si>
  <si>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</si>
  <si>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</si>
  <si>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</si>
  <si>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</si>
  <si>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</si>
  <si>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</si>
  <si>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</si>
  <si>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</si>
  <si>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</si>
  <si>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</si>
  <si>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</si>
  <si>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</si>
  <si>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</si>
  <si>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</si>
  <si>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</si>
  <si>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</si>
  <si>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</si>
  <si>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</si>
  <si>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</si>
  <si>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</si>
  <si>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</si>
  <si>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</si>
  <si>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</si>
  <si>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</si>
  <si>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</si>
  <si>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</si>
  <si>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</si>
  <si>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</si>
  <si>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</si>
  <si>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</si>
  <si>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</si>
  <si>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</si>
  <si>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</si>
  <si>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</si>
  <si>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</si>
  <si>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</si>
  <si>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</si>
  <si>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</si>
  <si>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</si>
  <si>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</si>
  <si>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</si>
  <si>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</si>
  <si>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</si>
  <si>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</si>
  <si>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</si>
  <si>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</si>
  <si>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</si>
  <si>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</si>
  <si>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</si>
  <si>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</si>
  <si>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</si>
  <si>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</si>
  <si>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</si>
  <si>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</si>
  <si>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</si>
  <si>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</si>
  <si>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</si>
  <si>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</si>
  <si>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</si>
  <si>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</si>
  <si>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</si>
  <si>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</si>
  <si>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</si>
  <si>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</si>
  <si>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</si>
  <si>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</si>
  <si>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</si>
  <si>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</si>
  <si>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</si>
  <si>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</si>
  <si>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</si>
  <si>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</si>
  <si>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</si>
  <si>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</si>
  <si>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</si>
  <si>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</si>
  <si>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</si>
  <si>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</si>
  <si>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</si>
  <si>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</si>
  <si>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</si>
  <si>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</si>
  <si>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</si>
  <si>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</si>
  <si>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</si>
  <si>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</si>
  <si>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</si>
  <si>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</si>
  <si>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</si>
  <si>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</si>
  <si>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</si>
  <si>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</si>
  <si>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</si>
  <si>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</si>
  <si>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</si>
  <si>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</si>
  <si>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</si>
  <si>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</si>
  <si>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</si>
  <si>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</si>
  <si>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</si>
  <si>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</si>
  <si>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</si>
  <si>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</si>
  <si>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</si>
  <si>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</si>
  <si>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</si>
  <si>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</si>
  <si>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</si>
  <si>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</si>
  <si>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</si>
  <si>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</si>
  <si>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</si>
  <si>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</si>
  <si>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</si>
  <si>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</si>
  <si>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</si>
  <si>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</si>
  <si>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</si>
  <si>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</si>
  <si>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</si>
  <si>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</si>
  <si>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</si>
  <si>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</si>
  <si>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</si>
  <si>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</si>
  <si>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</si>
  <si>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</si>
  <si>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</si>
  <si>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</si>
  <si>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</si>
  <si>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</si>
  <si>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</si>
  <si>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</si>
  <si>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</si>
  <si>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</si>
  <si>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</si>
  <si>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</si>
  <si>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</si>
  <si>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</si>
  <si>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</si>
  <si>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</si>
  <si>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</si>
  <si>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</si>
  <si>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</si>
  <si>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</si>
  <si>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</si>
  <si>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</si>
  <si>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</si>
  <si>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</si>
  <si>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</si>
  <si>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</si>
  <si>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</si>
  <si>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</si>
  <si>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</si>
  <si>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</si>
  <si>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</si>
  <si>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</si>
  <si>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</si>
  <si>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</si>
  <si>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</si>
  <si>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</si>
  <si>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</si>
  <si>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</si>
  <si>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</si>
  <si>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</si>
  <si>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</si>
  <si>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</si>
  <si>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</si>
  <si>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</si>
  <si>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</si>
  <si>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</si>
  <si>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</si>
  <si>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</si>
  <si>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</si>
  <si>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</si>
  <si>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</si>
  <si>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</si>
  <si>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</si>
  <si>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</si>
  <si>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</si>
  <si>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</si>
  <si>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</si>
  <si>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</si>
  <si>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</si>
  <si>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</si>
  <si>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</si>
  <si>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</si>
  <si>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</si>
  <si>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</si>
  <si>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</si>
  <si>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</si>
  <si>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</si>
  <si>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</si>
  <si>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</si>
  <si>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</si>
  <si>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</si>
  <si>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</si>
  <si>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</si>
  <si>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</si>
  <si>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</si>
  <si>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</si>
  <si>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</si>
  <si>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</si>
  <si>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</si>
  <si>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</si>
  <si>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</si>
  <si>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</si>
  <si>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</si>
  <si>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</si>
  <si>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</si>
  <si>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</si>
  <si>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</si>
  <si>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</si>
  <si>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</si>
  <si>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</si>
  <si>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</si>
  <si>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</si>
  <si>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</si>
  <si>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</si>
  <si>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</si>
  <si>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</si>
  <si>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</si>
  <si>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</si>
  <si>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</si>
  <si>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</si>
  <si>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</si>
  <si>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</si>
  <si>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</si>
  <si>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</si>
  <si>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</si>
  <si>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</si>
  <si>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</si>
  <si>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</si>
  <si>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</si>
  <si>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</si>
  <si>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</si>
  <si>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</si>
  <si>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</si>
  <si>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</si>
  <si>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</si>
  <si>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</si>
  <si>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</si>
  <si>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</si>
  <si>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</si>
  <si>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</si>
  <si>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</si>
  <si>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</si>
  <si>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</si>
  <si>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</si>
  <si>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</si>
  <si>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</si>
  <si>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</si>
  <si>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</si>
  <si>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</si>
  <si>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</si>
  <si>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</si>
  <si>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</si>
  <si>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</si>
  <si>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</si>
  <si>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</si>
  <si>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</si>
  <si>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</si>
  <si>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</si>
  <si>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</si>
  <si>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</si>
  <si>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</si>
  <si>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</si>
  <si>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</si>
  <si>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</si>
  <si>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</si>
  <si>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</si>
  <si>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</si>
  <si>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</si>
  <si>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</si>
  <si>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</si>
  <si>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</si>
  <si>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</si>
  <si>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</si>
  <si>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</si>
  <si>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</si>
  <si>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</si>
  <si>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</si>
  <si>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</si>
  <si>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</si>
  <si>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</si>
  <si>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</si>
  <si>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</si>
  <si>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</si>
  <si>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</si>
  <si>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</si>
  <si>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</si>
  <si>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</si>
  <si>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</si>
  <si>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</si>
  <si>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</si>
  <si>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</si>
  <si>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</si>
  <si>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</si>
  <si>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</si>
  <si>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</si>
  <si>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</si>
  <si>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</si>
  <si>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</si>
  <si>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</si>
  <si>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</si>
  <si>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</si>
  <si>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</si>
  <si>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</si>
  <si>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</si>
  <si>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</si>
  <si>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</si>
  <si>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</si>
  <si>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</si>
  <si>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</si>
  <si>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</si>
  <si>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</si>
  <si>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</si>
  <si>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</si>
  <si>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</si>
  <si>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</si>
  <si>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</si>
  <si>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</si>
  <si>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</si>
  <si>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</si>
  <si>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</si>
  <si>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</si>
  <si>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</si>
  <si>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</si>
  <si>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</si>
  <si>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</si>
  <si>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</si>
  <si>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</si>
  <si>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</si>
  <si>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</si>
  <si>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</si>
  <si>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</si>
  <si>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</si>
  <si>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</si>
  <si>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</si>
  <si>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</si>
  <si>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</si>
  <si>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</si>
  <si>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</si>
  <si>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</si>
  <si>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</si>
  <si>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</si>
  <si>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</si>
  <si>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</si>
  <si>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</si>
  <si>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</si>
  <si>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</si>
  <si>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</si>
  <si>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</si>
  <si>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</si>
  <si>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</si>
  <si>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</si>
  <si>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</si>
  <si>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</si>
  <si>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</si>
  <si>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</si>
  <si>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</si>
  <si>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</si>
  <si>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</si>
  <si>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</si>
  <si>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</si>
  <si>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</si>
  <si>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</si>
  <si>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</si>
  <si>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</si>
  <si>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</si>
  <si>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</si>
  <si>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</si>
  <si>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</si>
  <si>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</si>
  <si>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</si>
  <si>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</si>
  <si>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</si>
  <si>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</si>
  <si>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</si>
  <si>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</si>
  <si>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</si>
  <si>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</si>
  <si>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</si>
  <si>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</si>
  <si>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</si>
  <si>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</si>
  <si>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</si>
  <si>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</si>
  <si>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</si>
  <si>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</si>
  <si>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</si>
  <si>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</si>
  <si>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</si>
  <si>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</si>
  <si>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</si>
  <si>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</si>
  <si>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</si>
  <si>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</si>
  <si>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</si>
  <si>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</si>
  <si>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</si>
  <si>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</si>
  <si>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</si>
  <si>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</si>
  <si>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</si>
  <si>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</si>
  <si>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</si>
  <si>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</si>
  <si>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</si>
  <si>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</si>
  <si>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</si>
  <si>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</si>
  <si>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</si>
  <si>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</si>
  <si>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</si>
  <si>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</si>
  <si>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</si>
  <si>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</si>
  <si>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</si>
  <si>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</si>
  <si>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</si>
  <si>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</si>
  <si>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</si>
  <si>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</si>
  <si>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</si>
  <si>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</si>
  <si>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</si>
  <si>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</si>
  <si>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</si>
  <si>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</si>
  <si>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</si>
  <si>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</si>
  <si>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</si>
  <si>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</si>
  <si>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</si>
  <si>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</si>
  <si>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</si>
  <si>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</si>
  <si>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</si>
  <si>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</si>
  <si>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</si>
  <si>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</si>
  <si>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</si>
  <si>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</si>
  <si>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</si>
  <si>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</si>
  <si>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</si>
  <si>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</si>
  <si>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</si>
  <si>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</si>
  <si>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</si>
  <si>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</si>
  <si>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</si>
  <si>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</si>
  <si>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</si>
  <si>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</si>
  <si>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</si>
  <si>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</si>
  <si>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</si>
  <si>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</si>
  <si>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</si>
  <si>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</si>
  <si>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</si>
  <si>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</si>
  <si>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</si>
  <si>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</si>
  <si>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</si>
  <si>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</si>
  <si>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</si>
  <si>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</si>
  <si>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</si>
  <si>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</si>
  <si>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</si>
  <si>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</si>
  <si>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</si>
  <si>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</si>
  <si>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</si>
  <si>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</si>
  <si>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</si>
  <si>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</si>
  <si>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</si>
  <si>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</si>
  <si>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</si>
  <si>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</si>
  <si>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</si>
  <si>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</si>
  <si>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</si>
  <si>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</si>
  <si>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</si>
  <si>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</si>
  <si>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</si>
  <si>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</si>
  <si>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</si>
  <si>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</si>
  <si>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</si>
  <si>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</si>
  <si>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</si>
  <si>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</si>
  <si>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</si>
  <si>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</si>
  <si>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</si>
  <si>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</si>
  <si>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</si>
  <si>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</si>
  <si>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</si>
  <si>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</si>
  <si>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</si>
  <si>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</si>
  <si>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</si>
  <si>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</si>
  <si>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</si>
  <si>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</si>
  <si>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</si>
  <si>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</si>
  <si>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</si>
  <si>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</si>
  <si>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</si>
  <si>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</si>
  <si>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</si>
  <si>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</si>
  <si>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</si>
  <si>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</si>
  <si>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</si>
  <si>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</si>
  <si>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</si>
  <si>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</si>
  <si>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</si>
  <si>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</si>
  <si>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</si>
  <si>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</si>
  <si>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</si>
  <si>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</si>
  <si>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</si>
  <si>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</si>
  <si>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</si>
  <si>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</si>
  <si>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</si>
  <si>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</si>
  <si>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</si>
  <si>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</si>
  <si>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</si>
  <si>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</si>
  <si>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</si>
  <si>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</si>
  <si>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</si>
  <si>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</si>
  <si>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</si>
  <si>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</si>
  <si>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</si>
  <si>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</si>
  <si>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</si>
  <si>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</si>
  <si>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</si>
  <si>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</si>
  <si>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</si>
  <si>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</si>
  <si>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</si>
  <si>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</si>
  <si>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</si>
  <si>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</si>
  <si>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</si>
  <si>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</si>
  <si>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</si>
  <si>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</si>
  <si>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</si>
  <si>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</si>
  <si>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</si>
  <si>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</si>
  <si>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</si>
  <si>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</si>
  <si>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</si>
  <si>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</si>
  <si>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</si>
  <si>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</si>
  <si>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</si>
  <si>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</si>
  <si>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</si>
  <si>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</si>
  <si>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</si>
  <si>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</si>
  <si>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</si>
  <si>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</si>
  <si>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</si>
  <si>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</si>
  <si>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</si>
  <si>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</si>
  <si>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</si>
  <si>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</si>
  <si>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</si>
  <si>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</si>
  <si>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</si>
  <si>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</si>
  <si>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</si>
  <si>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</si>
  <si>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</si>
  <si>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</si>
  <si>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</si>
  <si>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</si>
  <si>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</si>
  <si>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</si>
  <si>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</si>
  <si>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</si>
  <si>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</si>
  <si>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</si>
  <si>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</si>
  <si>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</si>
  <si>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</si>
  <si>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</si>
  <si>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</si>
  <si>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</si>
  <si>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</si>
  <si>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</si>
  <si>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</si>
  <si>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</si>
  <si>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</si>
  <si>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</si>
  <si>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</si>
  <si>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</si>
  <si>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</si>
  <si>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</si>
  <si>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</si>
  <si>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</si>
  <si>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</si>
  <si>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</si>
  <si>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</si>
  <si>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</si>
  <si>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</si>
  <si>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</si>
  <si>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</si>
  <si>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</si>
  <si>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</si>
  <si>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</si>
  <si>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</si>
  <si>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</si>
  <si>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</si>
  <si>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</si>
  <si>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</si>
  <si>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</si>
  <si>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</si>
  <si>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</si>
  <si>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</si>
  <si>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</si>
  <si>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</si>
  <si>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</si>
  <si>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</si>
  <si>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</si>
  <si>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</si>
  <si>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</si>
  <si>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</si>
  <si>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</si>
  <si>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</si>
  <si>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</si>
  <si>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</si>
  <si>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</si>
  <si>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</si>
  <si>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</si>
  <si>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</si>
  <si>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</si>
  <si>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</si>
  <si>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</si>
  <si>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</si>
  <si>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</si>
  <si>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</si>
  <si>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</si>
  <si>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</si>
  <si>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</si>
  <si>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</si>
  <si>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</si>
  <si>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</si>
  <si>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</si>
  <si>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</si>
  <si>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</si>
  <si>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</si>
  <si>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</si>
  <si>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</si>
  <si>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</si>
  <si>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</si>
  <si>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</si>
  <si>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</si>
  <si>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</si>
  <si>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</si>
  <si>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</si>
  <si>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</si>
  <si>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</si>
  <si>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</si>
  <si>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</si>
  <si>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</si>
  <si>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</si>
  <si>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</si>
  <si>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</si>
  <si>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</si>
  <si>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</si>
  <si>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</si>
  <si>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</si>
  <si>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</si>
  <si>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</si>
  <si>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</si>
  <si>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</si>
  <si>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</si>
  <si>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</si>
  <si>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</si>
  <si>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</si>
  <si>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</si>
  <si>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</si>
  <si>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</si>
  <si>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</si>
  <si>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</si>
  <si>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</si>
  <si>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</si>
  <si>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</si>
  <si>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</si>
  <si>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</si>
  <si>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</si>
  <si>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</si>
  <si>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</si>
  <si>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</si>
  <si>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</si>
  <si>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</si>
  <si>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</si>
  <si>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</si>
  <si>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</si>
  <si>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</si>
  <si>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</si>
  <si>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</si>
  <si>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</si>
  <si>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</si>
  <si>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</si>
  <si>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</si>
  <si>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</si>
  <si>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</si>
  <si>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</si>
  <si>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</si>
  <si>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</si>
  <si>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</si>
  <si>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</si>
  <si>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</si>
  <si>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</si>
  <si>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</si>
  <si>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</si>
  <si>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</si>
  <si>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</si>
  <si>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</si>
  <si>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</si>
  <si>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</si>
  <si>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</si>
  <si>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</si>
  <si>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</si>
  <si>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</si>
  <si>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</si>
  <si>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</si>
  <si>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</si>
  <si>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</si>
  <si>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</si>
  <si>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</si>
  <si>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</si>
  <si>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</si>
  <si>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</si>
  <si>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</si>
  <si>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</si>
  <si>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</si>
  <si>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</si>
  <si>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</si>
  <si>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</si>
  <si>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</si>
  <si>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</si>
  <si>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</si>
  <si>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</si>
  <si>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</si>
  <si>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</si>
  <si>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</si>
  <si>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</si>
  <si>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</si>
  <si>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</si>
  <si>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</si>
  <si>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</si>
  <si>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</si>
  <si>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</si>
  <si>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</si>
  <si>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</si>
  <si>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</si>
  <si>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</si>
  <si>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</si>
  <si>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</si>
  <si>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</si>
  <si>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</si>
  <si>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</si>
  <si>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</si>
  <si>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</si>
  <si>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</si>
  <si>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</si>
  <si>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</si>
  <si>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</si>
  <si>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</si>
  <si>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</si>
  <si>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</si>
  <si>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</si>
  <si>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</si>
  <si>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</si>
  <si>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</si>
  <si>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</si>
  <si>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</si>
  <si>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</si>
  <si>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</si>
  <si>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</si>
  <si>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</si>
  <si>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</si>
  <si>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</si>
  <si>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</si>
  <si>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</si>
  <si>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</si>
  <si>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</si>
  <si>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</si>
  <si>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</si>
  <si>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</si>
  <si>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</si>
  <si>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</si>
  <si>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</si>
  <si>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</si>
  <si>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</si>
  <si>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</si>
  <si>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</si>
  <si>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</si>
  <si>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</si>
  <si>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</si>
  <si>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</si>
  <si>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</si>
  <si>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</si>
  <si>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</si>
  <si>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</si>
  <si>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</si>
  <si>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</si>
  <si>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</si>
  <si>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</si>
  <si>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</si>
  <si>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</si>
  <si>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</si>
  <si>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</si>
  <si>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</si>
  <si>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</si>
  <si>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</si>
  <si>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</si>
  <si>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</si>
  <si>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</si>
  <si>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</si>
  <si>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</si>
  <si>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</si>
  <si>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</si>
  <si>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</si>
  <si>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</si>
  <si>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</si>
  <si>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</si>
  <si>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</si>
  <si>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</si>
  <si>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</si>
  <si>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</si>
  <si>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</si>
  <si>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</si>
  <si>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</si>
  <si>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</si>
  <si>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</si>
  <si>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</si>
  <si>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</si>
  <si>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</si>
  <si>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</si>
  <si>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</si>
  <si>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</si>
  <si>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</si>
  <si>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</si>
  <si>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</si>
  <si>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</si>
  <si>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</si>
  <si>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</si>
  <si>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</si>
  <si>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</si>
  <si>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</si>
  <si>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</si>
  <si>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</si>
  <si>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</si>
  <si>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</si>
  <si>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</si>
  <si>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</si>
  <si>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</si>
  <si>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</si>
  <si>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</si>
  <si>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</si>
  <si>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</si>
  <si>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</si>
  <si>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</si>
  <si>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</si>
  <si>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</si>
  <si>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</si>
  <si>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</si>
  <si>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</si>
  <si>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</si>
  <si>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</si>
  <si>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</si>
  <si>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</si>
  <si>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</si>
  <si>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</si>
  <si>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</si>
  <si>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</si>
  <si>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</si>
  <si>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</si>
  <si>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</si>
  <si>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</si>
  <si>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</si>
  <si>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</si>
  <si>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</si>
  <si>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</si>
  <si>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</si>
  <si>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</si>
  <si>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</si>
  <si>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</si>
  <si>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</si>
  <si>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</si>
  <si>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</si>
  <si>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</si>
  <si>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</si>
  <si>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</si>
  <si>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</si>
  <si>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</si>
  <si>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</si>
  <si>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</si>
  <si>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</si>
  <si>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</si>
  <si>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</si>
  <si>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</si>
  <si>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</si>
  <si>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</si>
  <si>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</si>
  <si>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</si>
  <si>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</si>
  <si>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</si>
  <si>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</si>
  <si>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</si>
  <si>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</si>
  <si>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</si>
  <si>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</si>
  <si>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</si>
  <si>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</si>
  <si>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</si>
  <si>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</si>
  <si>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</si>
  <si>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</si>
  <si>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</si>
  <si>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</si>
  <si>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</si>
  <si>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</si>
  <si>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</si>
  <si>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</si>
  <si>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</si>
  <si>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</si>
  <si>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</si>
  <si>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</si>
  <si>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</si>
  <si>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</si>
  <si>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</si>
  <si>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</si>
  <si>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</si>
  <si>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</si>
  <si>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</si>
  <si>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</si>
  <si>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</si>
  <si>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</si>
  <si>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</si>
  <si>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</si>
  <si>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</si>
  <si>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</si>
  <si>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</si>
  <si>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</si>
  <si>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</si>
  <si>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</si>
  <si>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</si>
  <si>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</si>
  <si>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</si>
  <si>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</si>
  <si>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</si>
  <si>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</si>
  <si>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</si>
  <si>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</si>
  <si>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</si>
  <si>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</si>
  <si>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</si>
  <si>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</si>
  <si>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</si>
  <si>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</si>
  <si>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</si>
  <si>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</si>
  <si>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</si>
  <si>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</si>
  <si>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</si>
  <si>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</si>
  <si>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</si>
  <si>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</si>
  <si>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</si>
  <si>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</si>
  <si>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</si>
  <si>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</si>
  <si>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</si>
  <si>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</si>
  <si>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</si>
  <si>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</si>
  <si>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</si>
  <si>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</si>
  <si>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</si>
  <si>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</si>
  <si>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</si>
  <si>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</si>
  <si>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</si>
  <si>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</si>
  <si>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</si>
  <si>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</si>
  <si>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</si>
  <si>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</si>
  <si>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</si>
  <si>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</si>
  <si>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</si>
  <si>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</si>
  <si>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</si>
  <si>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</si>
  <si>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</si>
  <si>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</si>
  <si>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</si>
  <si>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</si>
  <si>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</si>
  <si>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</si>
  <si>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</si>
  <si>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</si>
  <si>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</si>
  <si>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</si>
  <si>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</si>
  <si>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</si>
  <si>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</si>
  <si>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</si>
  <si>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</si>
  <si>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</si>
  <si>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</si>
  <si>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</si>
  <si>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</si>
  <si>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</si>
  <si>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</si>
  <si>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</si>
  <si>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</si>
  <si>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</si>
  <si>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</si>
  <si>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</si>
  <si>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</si>
  <si>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</si>
  <si>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</si>
  <si>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</si>
  <si>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</si>
  <si>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</si>
  <si>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</si>
  <si>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</si>
  <si>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</si>
  <si>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</si>
  <si>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</si>
  <si>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</si>
  <si>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</si>
  <si>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</si>
  <si>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</si>
  <si>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</si>
  <si>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</si>
  <si>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</si>
  <si>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</si>
  <si>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</si>
  <si>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</si>
  <si>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</si>
  <si>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</si>
  <si>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</si>
  <si>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</si>
  <si>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</si>
  <si>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</si>
  <si>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</si>
  <si>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</si>
  <si>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</si>
  <si>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</si>
  <si>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</si>
  <si>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</si>
  <si>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</si>
  <si>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</si>
  <si>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</si>
  <si>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</si>
  <si>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</si>
  <si>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</si>
  <si>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</si>
  <si>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</si>
  <si>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</si>
  <si>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</si>
  <si>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</si>
  <si>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</si>
  <si>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</si>
  <si>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</si>
  <si>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</si>
  <si>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</si>
  <si>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</si>
  <si>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</si>
  <si>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</si>
  <si>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</si>
  <si>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</si>
  <si>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</si>
  <si>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</si>
  <si>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</si>
  <si>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</si>
  <si>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</si>
  <si>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</si>
  <si>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</si>
  <si>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</si>
  <si>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</si>
  <si>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</si>
  <si>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</si>
  <si>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</si>
  <si>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</si>
  <si>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</si>
  <si>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</si>
  <si>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</si>
  <si>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</si>
  <si>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</si>
  <si>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</si>
  <si>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</si>
  <si>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</si>
  <si>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</si>
  <si>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</si>
  <si>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</si>
  <si>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</si>
  <si>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</si>
  <si>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</si>
  <si>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</si>
  <si>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</si>
  <si>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</si>
  <si>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</si>
  <si>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</si>
  <si>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</si>
  <si>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</si>
  <si>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</si>
  <si>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</si>
  <si>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</si>
  <si>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</si>
  <si>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</si>
  <si>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</si>
  <si>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</si>
  <si>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</si>
  <si>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</si>
  <si>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</si>
  <si>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</si>
  <si>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</si>
  <si>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</si>
  <si>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</si>
  <si>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</si>
  <si>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</si>
  <si>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</si>
  <si>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</si>
  <si>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</si>
  <si>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</si>
  <si>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</si>
  <si>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</si>
  <si>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</si>
  <si>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</si>
  <si>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</si>
  <si>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</si>
  <si>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</si>
  <si>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</si>
  <si>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</si>
  <si>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</si>
  <si>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</si>
  <si>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</si>
  <si>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</si>
  <si>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</si>
  <si>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</si>
  <si>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</si>
  <si>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</si>
  <si>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</si>
  <si>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</si>
  <si>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</si>
  <si>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</si>
  <si>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</si>
  <si>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</si>
  <si>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</si>
  <si>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</si>
  <si>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</si>
  <si>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</si>
  <si>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</si>
  <si>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</si>
  <si>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</si>
  <si>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</si>
  <si>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</si>
  <si>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</si>
  <si>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</si>
  <si>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</si>
  <si>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</si>
  <si>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</si>
  <si>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</si>
  <si>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</si>
  <si>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</si>
  <si>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</si>
  <si>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</si>
  <si>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</si>
  <si>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</si>
  <si>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</si>
  <si>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</si>
  <si>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</si>
  <si>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</si>
  <si>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</si>
  <si>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</si>
  <si>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</si>
  <si>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</si>
  <si>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</si>
  <si>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</si>
  <si>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</si>
  <si>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</si>
  <si>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</si>
  <si>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</si>
  <si>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</si>
  <si>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</si>
  <si>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</si>
  <si>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</si>
  <si>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</si>
  <si>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</si>
  <si>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</si>
  <si>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</si>
  <si>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</si>
  <si>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</si>
  <si>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</si>
  <si>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</si>
  <si>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</si>
  <si>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</si>
  <si>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</si>
  <si>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</si>
  <si>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</si>
  <si>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</si>
  <si>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</si>
  <si>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</si>
  <si>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</si>
  <si>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</si>
  <si>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</si>
  <si>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</si>
  <si>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</si>
  <si>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</si>
  <si>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</si>
  <si>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</si>
  <si>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</si>
  <si>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</si>
  <si>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</si>
  <si>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</si>
  <si>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</si>
  <si>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</si>
  <si>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</si>
  <si>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</si>
  <si>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</si>
  <si>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</si>
  <si>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</si>
  <si>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</si>
  <si>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</si>
  <si>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</si>
  <si>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</si>
  <si>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</si>
  <si>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</si>
  <si>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</si>
  <si>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</si>
  <si>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</si>
  <si>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</si>
  <si>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</si>
  <si>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</si>
  <si>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</si>
  <si>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</si>
  <si>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</si>
  <si>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</si>
  <si>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</si>
  <si>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</si>
  <si>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</si>
  <si>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</si>
  <si>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</si>
  <si>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</si>
  <si>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</si>
  <si>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</si>
  <si>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</si>
  <si>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</si>
  <si>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</si>
  <si>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</si>
  <si>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</si>
  <si>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</si>
  <si>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</si>
  <si>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</si>
  <si>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</si>
  <si>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</si>
  <si>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</si>
  <si>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</si>
  <si>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</si>
  <si>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</si>
  <si>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</si>
  <si>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</si>
  <si>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</si>
  <si>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</si>
  <si>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</si>
  <si>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</si>
  <si>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</si>
  <si>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</si>
  <si>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</si>
  <si>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</si>
  <si>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</si>
  <si>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</si>
  <si>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</si>
  <si>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</si>
  <si>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</si>
  <si>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</si>
  <si>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</si>
  <si>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</si>
  <si>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</si>
  <si>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</si>
  <si>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</si>
  <si>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</si>
  <si>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</si>
  <si>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</si>
  <si>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</si>
  <si>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</si>
  <si>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</si>
  <si>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</si>
  <si>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</si>
  <si>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</si>
  <si>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</si>
  <si>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</si>
  <si>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</si>
  <si>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</si>
  <si>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</si>
  <si>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</si>
  <si>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</si>
  <si>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</si>
  <si>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</si>
  <si>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</si>
  <si>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</si>
  <si>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</si>
  <si>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</si>
  <si>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</si>
  <si>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</si>
  <si>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</si>
  <si>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</si>
  <si>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</si>
  <si>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</si>
  <si>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</si>
  <si>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</si>
  <si>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</si>
  <si>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</si>
  <si>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</si>
  <si>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</si>
  <si>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</si>
  <si>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</si>
  <si>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</si>
  <si>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</si>
  <si>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</si>
  <si>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</si>
  <si>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</si>
  <si>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</si>
  <si>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</si>
  <si>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</si>
  <si>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</si>
  <si>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</si>
  <si>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</si>
  <si>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</si>
  <si>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</si>
  <si>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</si>
  <si>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</si>
  <si>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</si>
  <si>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</si>
  <si>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</si>
  <si>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คุกกี้ฮ่องกงหอมเจียว</t>
  </si>
  <si>
    <t>บูธ EVENT งานเกษตรแฟร์กำแพงแสน 30 พ.ย. 67 - 10 ธ.ค. 67</t>
  </si>
  <si>
    <t>ยอดเงินสด</t>
  </si>
  <si>
    <t>เงินทอน 3,000 บาท</t>
  </si>
  <si>
    <t>ค่าไฟ</t>
  </si>
  <si>
    <t>สรุปค่าใช้จ่าย คำนวนกำไร</t>
  </si>
  <si>
    <t>NO</t>
  </si>
  <si>
    <t>ต้นทุนขนม</t>
  </si>
  <si>
    <t>ค่าแรงพนักงาน</t>
  </si>
  <si>
    <t>ค่าอินฟลูเอนเซอร์</t>
  </si>
  <si>
    <t>ค่าเข้างานประมูลล็อค 19 คน</t>
  </si>
  <si>
    <t>ค่านายหน้า</t>
  </si>
  <si>
    <t>ค่าเช่า 1</t>
  </si>
  <si>
    <t>ค่าเช่า 2</t>
  </si>
  <si>
    <t>ค่าเช่า 3</t>
  </si>
  <si>
    <t>ค่าเช่า 4</t>
  </si>
  <si>
    <t>ค่าเช่า 5</t>
  </si>
  <si>
    <t>แจม</t>
  </si>
  <si>
    <t>พี่น้อย</t>
  </si>
  <si>
    <t>กาน</t>
  </si>
  <si>
    <t>No.</t>
  </si>
  <si>
    <t>ชื่อ</t>
  </si>
  <si>
    <t>ค่าแรง</t>
  </si>
  <si>
    <t>วันละ 600 บาท = 11 วัน</t>
  </si>
  <si>
    <t>วันละ 400 บาท = 11 วัน</t>
  </si>
  <si>
    <t>วันละ 600 บาท = 7 วัน</t>
  </si>
  <si>
    <t>บาท</t>
  </si>
  <si>
    <t>ยอดรวม</t>
  </si>
  <si>
    <t>รายชื่อพนักงานที่ทำงานเกษตรแฟร์ ปี 2567</t>
  </si>
  <si>
    <t>ยอดขาย</t>
  </si>
  <si>
    <t>ยอดค่าใช้จ่าย</t>
  </si>
  <si>
    <t>สรุปกำไร</t>
  </si>
  <si>
    <t>ค่าเช่า OTOP</t>
  </si>
  <si>
    <t>ค่าเช่าบูธ</t>
  </si>
  <si>
    <t>ขายบูธ</t>
  </si>
  <si>
    <t>กำไร</t>
  </si>
  <si>
    <t>โซน 1</t>
  </si>
  <si>
    <t>รายการเช่า - ขาย ล็อคงานเกษตรแฟร์</t>
  </si>
  <si>
    <t>ค่าใช้จ่ายเพิ่มเติม การประมูลล็อค</t>
  </si>
  <si>
    <t>ค่าแรง 19 คน เฉลี่ยคนล่ะ 500 บาท</t>
  </si>
  <si>
    <t>ค่าใช้จ่าย + ค่าเช่า</t>
  </si>
  <si>
    <t>รายได้ขายล็อค</t>
  </si>
  <si>
    <t>สรุปกำไรขายล็อค</t>
  </si>
  <si>
    <t>เค้กลอดช่องน้ำตาลโตนด 100 กรัม</t>
  </si>
  <si>
    <t>เค้กแอปเปิ้ล 70 กรัม</t>
  </si>
  <si>
    <t xml:space="preserve">ชิฟฟ่อน 8 ชิ้น ขนุนล้วน  </t>
  </si>
  <si>
    <t>ชิฟฟ่อนเค้กรสเผือก 240 กรัม</t>
  </si>
  <si>
    <t>1004055</t>
  </si>
  <si>
    <t>ชิฟฟ่อนเค้ก รวมรส (3 ชิ้น)</t>
  </si>
  <si>
    <t>ชิฟฟ่อนเค้ก รวมรส (6 ชิ้น)</t>
  </si>
  <si>
    <t>ชิฟฟ่อน สอดไส้ (ล) 5 ชิ้น ครีมมะพร้าว</t>
  </si>
  <si>
    <t>ขนมปังกรอบรสคาราเมล 65 กรัม</t>
  </si>
  <si>
    <t>ขนมเปี๊ยะฟักถั่วไข่เค็ม 450 กรัม</t>
  </si>
  <si>
    <t>ขนมเปี๊ยะถั่วฝอยทองไข่เค็ม 450 กรัม</t>
  </si>
  <si>
    <t>ทาร์ตไข่คาราเมล 50 กรัม</t>
  </si>
  <si>
    <t>ทาร์ตทุเรียนครีมกะทิ 65 กรัม</t>
  </si>
  <si>
    <t>เค้กทุเรียน 90  กรัม</t>
  </si>
  <si>
    <t>ทุเรียนชีสพาย 85  กรัม</t>
  </si>
  <si>
    <t>เค้กโมลเทนช็อกโกแลต 75 กรัม</t>
  </si>
  <si>
    <t>เค้กทอร์ต้าเทเนรินา 50 กรัม</t>
  </si>
  <si>
    <t>ชิฟฟ่อนเค้กทุเรียน 240 กรัม</t>
  </si>
  <si>
    <t>ชิฟฟ่อนเค้กรสสับปรด 240 กรัม</t>
  </si>
  <si>
    <t>แถม 1</t>
  </si>
  <si>
    <t>แถม 2</t>
  </si>
  <si>
    <t>แถม 3</t>
  </si>
  <si>
    <t>แถม</t>
  </si>
  <si>
    <t>ค่าแรง 29-30 = 2,800 บาท ค่าเบี้ยเลี้ยงอบขนม  900 บาท คืนลูกค้า 10 บาท</t>
  </si>
  <si>
    <t>จัดกระเช้า 1</t>
  </si>
  <si>
    <t>โยกคุณาวรรณ 50</t>
  </si>
  <si>
    <t xml:space="preserve">จัดชิม 6 </t>
  </si>
  <si>
    <t>โยกคุณาวรรณ 30</t>
  </si>
  <si>
    <t>ค่าแรง 1-2 =2,800 บาท ซื้อดินสอ + ปากกา 30 บาท</t>
  </si>
  <si>
    <t>เบิกให้พัฒนา 1</t>
  </si>
  <si>
    <t>ขนมแตก 1</t>
  </si>
  <si>
    <t>เบิกชิม 7</t>
  </si>
  <si>
    <t xml:space="preserve">ค่าแรง </t>
  </si>
  <si>
    <t>ขนมขึ้นรา 1</t>
  </si>
  <si>
    <t>ค่าแรง 1,400 บาท ค่าธรรมเนียม 28 บาท</t>
  </si>
  <si>
    <t>เบิกชิม 1</t>
  </si>
  <si>
    <t>แถม 11</t>
  </si>
  <si>
    <t>หมดอายุ</t>
  </si>
  <si>
    <t xml:space="preserve">แถม 95 </t>
  </si>
  <si>
    <t>ครีมฮอนวนิลาคาราเมล</t>
  </si>
  <si>
    <t>ชิม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</si>
</sst>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3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16"/>
      <color theme="1"/>
      <name val="AngsanaUPC"/>
      <family val="1"/>
    </font>
    <font>
      <b/>
      <sz val="16"/>
      <color theme="1"/>
      <name val="AngsanaUPC"/>
      <family val="1"/>
    </font>
    <font>
      <sz val="20"/>
      <color theme="1"/>
      <name val="Angsana New"/>
      <family val="1"/>
    </font>
    <font>
      <b/>
      <sz val="24"/>
      <color theme="1"/>
      <name val="AngsanaUPC"/>
      <family val="1"/>
    </font>
    <font>
      <b/>
      <sz val="24"/>
      <color rgb="FFFF0000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 style="thin">
        <color rgb="FFFD3D3D"/>
      </top>
      <bottom style="double">
        <color rgb="FFFD3D3D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3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49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9" fontId="19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horizontal="center"/>
    </xf>
    <xf numFmtId="0" fontId="26" fillId="0" borderId="0" xfId="0" applyFont="1"/>
    <xf numFmtId="0" fontId="22" fillId="0" borderId="0" xfId="0" applyFont="1" applyAlignment="1">
      <alignment horizontal="center"/>
    </xf>
    <xf numFmtId="43" fontId="22" fillId="0" borderId="0" xfId="1" applyFont="1"/>
    <xf numFmtId="0" fontId="24" fillId="0" borderId="0" xfId="0" applyFont="1" applyAlignment="1">
      <alignment horizontal="right"/>
    </xf>
    <xf numFmtId="43" fontId="24" fillId="0" borderId="29" xfId="1" applyFont="1" applyBorder="1"/>
    <xf numFmtId="0" fontId="24" fillId="21" borderId="0" xfId="0" applyFont="1" applyFill="1" applyAlignment="1">
      <alignment horizontal="center"/>
    </xf>
    <xf numFmtId="0" fontId="27" fillId="0" borderId="0" xfId="0" applyFont="1"/>
    <xf numFmtId="43" fontId="27" fillId="0" borderId="0" xfId="1" applyFont="1"/>
    <xf numFmtId="0" fontId="2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3" fontId="27" fillId="0" borderId="0" xfId="0" applyNumberFormat="1" applyFont="1"/>
    <xf numFmtId="0" fontId="28" fillId="17" borderId="0" xfId="0" applyFont="1" applyFill="1" applyAlignment="1">
      <alignment horizontal="left"/>
    </xf>
    <xf numFmtId="43" fontId="28" fillId="17" borderId="0" xfId="0" applyNumberFormat="1" applyFont="1" applyFill="1" applyAlignment="1">
      <alignment horizontal="center"/>
    </xf>
    <xf numFmtId="43" fontId="28" fillId="17" borderId="0" xfId="0" applyNumberFormat="1" applyFont="1" applyFill="1"/>
    <xf numFmtId="0" fontId="5" fillId="22" borderId="0" xfId="0" applyFont="1" applyFill="1" applyAlignment="1">
      <alignment horizontal="center"/>
    </xf>
    <xf numFmtId="0" fontId="24" fillId="22" borderId="0" xfId="0" applyFont="1" applyFill="1" applyAlignment="1">
      <alignment horizontal="center"/>
    </xf>
    <xf numFmtId="0" fontId="29" fillId="0" borderId="0" xfId="0" applyFont="1"/>
    <xf numFmtId="43" fontId="24" fillId="0" borderId="30" xfId="0" applyNumberFormat="1" applyFont="1" applyBorder="1"/>
    <xf numFmtId="0" fontId="24" fillId="23" borderId="0" xfId="0" applyFont="1" applyFill="1" applyAlignment="1">
      <alignment horizontal="center"/>
    </xf>
    <xf numFmtId="43" fontId="22" fillId="23" borderId="0" xfId="0" applyNumberFormat="1" applyFont="1" applyFill="1"/>
    <xf numFmtId="43" fontId="24" fillId="23" borderId="30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10" fillId="18" borderId="1" xfId="1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30" fillId="0" borderId="0" xfId="0" applyNumberFormat="1" applyFont="1" applyAlignment="1">
      <alignment horizontal="center"/>
    </xf>
    <xf numFmtId="43" fontId="31" fillId="11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6" fillId="0" borderId="0" xfId="0" applyNumberFormat="1" applyFont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CCFF"/>
      <color rgb="FFFD3D3D"/>
      <color rgb="FF99FFCC"/>
      <color rgb="FFFFFFCC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52;&#3615;&#3621;&#3660;&#3591;&#3634;&#3609;&#3610;&#3641;&#3658;&#3595;%202/Stock/&#3611;&#3637;%2068/&#3648;&#3604;&#3639;&#3629;&#3609;%20&#3608;.&#3588;.%2068/&#3610;&#3641;&#3608;%20&#3611;&#3605;&#3607;.%20&#3588;&#3640;&#3603;&#3634;&#3623;&#3619;&#3619;&#3603;%20&#3648;&#3604;&#3639;&#3629;&#3609;%20&#3608;.&#3588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/>
      <sheetData sheetId="4">
        <row r="65">
          <cell r="H65">
            <v>0</v>
          </cell>
        </row>
      </sheetData>
      <sheetData sheetId="5">
        <row r="65">
          <cell r="H65">
            <v>0</v>
          </cell>
        </row>
      </sheetData>
      <sheetData sheetId="6">
        <row r="65">
          <cell r="H65">
            <v>0</v>
          </cell>
        </row>
      </sheetData>
      <sheetData sheetId="7">
        <row r="65">
          <cell r="H65">
            <v>0</v>
          </cell>
        </row>
      </sheetData>
      <sheetData sheetId="8">
        <row r="65">
          <cell r="H65">
            <v>0</v>
          </cell>
        </row>
      </sheetData>
      <sheetData sheetId="9">
        <row r="65">
          <cell r="H65">
            <v>0</v>
          </cell>
        </row>
      </sheetData>
      <sheetData sheetId="10">
        <row r="65">
          <cell r="H65">
            <v>0</v>
          </cell>
        </row>
      </sheetData>
      <sheetData sheetId="11">
        <row r="65">
          <cell r="H65">
            <v>0</v>
          </cell>
        </row>
      </sheetData>
      <sheetData sheetId="12">
        <row r="65">
          <cell r="H65">
            <v>0</v>
          </cell>
        </row>
      </sheetData>
      <sheetData sheetId="13">
        <row r="65">
          <cell r="H65">
            <v>0</v>
          </cell>
        </row>
      </sheetData>
      <sheetData sheetId="14">
        <row r="65">
          <cell r="H65">
            <v>0</v>
          </cell>
        </row>
      </sheetData>
      <sheetData sheetId="15">
        <row r="65">
          <cell r="H65">
            <v>0</v>
          </cell>
        </row>
      </sheetData>
      <sheetData sheetId="16">
        <row r="65">
          <cell r="H65">
            <v>0</v>
          </cell>
        </row>
      </sheetData>
      <sheetData sheetId="17">
        <row r="65">
          <cell r="H65">
            <v>0</v>
          </cell>
        </row>
      </sheetData>
      <sheetData sheetId="18">
        <row r="65">
          <cell r="H65">
            <v>0</v>
          </cell>
        </row>
      </sheetData>
      <sheetData sheetId="19">
        <row r="65">
          <cell r="H65">
            <v>0</v>
          </cell>
        </row>
      </sheetData>
      <sheetData sheetId="20">
        <row r="65">
          <cell r="H65">
            <v>0</v>
          </cell>
        </row>
      </sheetData>
      <sheetData sheetId="21">
        <row r="65">
          <cell r="H65">
            <v>0</v>
          </cell>
        </row>
      </sheetData>
      <sheetData sheetId="22">
        <row r="65">
          <cell r="H65">
            <v>0</v>
          </cell>
        </row>
      </sheetData>
      <sheetData sheetId="23">
        <row r="65">
          <cell r="H65">
            <v>0</v>
          </cell>
        </row>
      </sheetData>
      <sheetData sheetId="24">
        <row r="65">
          <cell r="H65">
            <v>0</v>
          </cell>
        </row>
      </sheetData>
      <sheetData sheetId="25">
        <row r="65">
          <cell r="H65">
            <v>0</v>
          </cell>
        </row>
      </sheetData>
      <sheetData sheetId="26">
        <row r="65">
          <cell r="H65">
            <v>0</v>
          </cell>
        </row>
      </sheetData>
      <sheetData sheetId="27">
        <row r="65">
          <cell r="H65">
            <v>0</v>
          </cell>
        </row>
      </sheetData>
      <sheetData sheetId="28">
        <row r="65">
          <cell r="H65">
            <v>0</v>
          </cell>
        </row>
      </sheetData>
      <sheetData sheetId="29">
        <row r="65">
          <cell r="H65">
            <v>0</v>
          </cell>
        </row>
      </sheetData>
      <sheetData sheetId="30">
        <row r="65">
          <cell r="H65">
            <v>0</v>
          </cell>
        </row>
      </sheetData>
      <sheetData sheetId="31">
        <row r="65">
          <cell r="H65">
            <v>0</v>
          </cell>
        </row>
      </sheetData>
      <sheetData sheetId="32">
        <row r="65">
          <cell r="H65">
            <v>0</v>
          </cell>
        </row>
      </sheetData>
      <sheetData sheetId="33">
        <row r="65">
          <cell r="H65">
            <v>0</v>
          </cell>
        </row>
      </sheetData>
      <sheetData sheetId="34">
        <row r="65">
          <cell r="H65">
            <v>0</v>
          </cell>
        </row>
      </sheetData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A74" sqref="A66:XFD74"/>
      <selection pane="bottomLeft" activeCell="A74" sqref="A66:XFD74"/>
    </sheetView>
  </sheetViews>
  <sheetFormatPr defaultRowHeight="14.25" x14ac:dyDescent="0.2"/>
  <cols>
    <col min="1" max="1" width="21.375" style="80" customWidth="1"/>
    <col min="2" max="2" width="42.875" style="80" customWidth="1"/>
    <col min="3" max="3" width="21.375" style="80" customWidth="1"/>
    <col min="4" max="4" width="14.25" style="81" customWidth="1"/>
    <col min="5" max="6" width="11.375" style="82" customWidth="1"/>
    <col min="7" max="8" width="11.375" style="83" customWidth="1"/>
    <col min="9" max="9" width="71.375" style="80" customWidth="1"/>
    <col min="10" max="10" width="14.25" style="84" customWidth="1"/>
    <col min="11" max="256" width="8.75" style="79"/>
    <col min="257" max="257" width="21.375" style="79" customWidth="1"/>
    <col min="258" max="258" width="42.875" style="79" customWidth="1"/>
    <col min="259" max="259" width="21.375" style="79" customWidth="1"/>
    <col min="260" max="260" width="14.25" style="79" customWidth="1"/>
    <col min="261" max="264" width="11.375" style="79" customWidth="1"/>
    <col min="265" max="265" width="71.375" style="79" customWidth="1"/>
    <col min="266" max="266" width="14.25" style="79" customWidth="1"/>
    <col min="267" max="512" width="8.75" style="79"/>
    <col min="513" max="513" width="21.375" style="79" customWidth="1"/>
    <col min="514" max="514" width="42.875" style="79" customWidth="1"/>
    <col min="515" max="515" width="21.375" style="79" customWidth="1"/>
    <col min="516" max="516" width="14.25" style="79" customWidth="1"/>
    <col min="517" max="520" width="11.375" style="79" customWidth="1"/>
    <col min="521" max="521" width="71.375" style="79" customWidth="1"/>
    <col min="522" max="522" width="14.25" style="79" customWidth="1"/>
    <col min="523" max="768" width="8.75" style="79"/>
    <col min="769" max="769" width="21.375" style="79" customWidth="1"/>
    <col min="770" max="770" width="42.875" style="79" customWidth="1"/>
    <col min="771" max="771" width="21.375" style="79" customWidth="1"/>
    <col min="772" max="772" width="14.25" style="79" customWidth="1"/>
    <col min="773" max="776" width="11.375" style="79" customWidth="1"/>
    <col min="777" max="777" width="71.375" style="79" customWidth="1"/>
    <col min="778" max="778" width="14.25" style="79" customWidth="1"/>
    <col min="779" max="1024" width="8.75" style="79"/>
    <col min="1025" max="1025" width="21.375" style="79" customWidth="1"/>
    <col min="1026" max="1026" width="42.875" style="79" customWidth="1"/>
    <col min="1027" max="1027" width="21.375" style="79" customWidth="1"/>
    <col min="1028" max="1028" width="14.25" style="79" customWidth="1"/>
    <col min="1029" max="1032" width="11.375" style="79" customWidth="1"/>
    <col min="1033" max="1033" width="71.375" style="79" customWidth="1"/>
    <col min="1034" max="1034" width="14.25" style="79" customWidth="1"/>
    <col min="1035" max="1280" width="8.75" style="79"/>
    <col min="1281" max="1281" width="21.375" style="79" customWidth="1"/>
    <col min="1282" max="1282" width="42.875" style="79" customWidth="1"/>
    <col min="1283" max="1283" width="21.375" style="79" customWidth="1"/>
    <col min="1284" max="1284" width="14.25" style="79" customWidth="1"/>
    <col min="1285" max="1288" width="11.375" style="79" customWidth="1"/>
    <col min="1289" max="1289" width="71.375" style="79" customWidth="1"/>
    <col min="1290" max="1290" width="14.25" style="79" customWidth="1"/>
    <col min="1291" max="1536" width="8.75" style="79"/>
    <col min="1537" max="1537" width="21.375" style="79" customWidth="1"/>
    <col min="1538" max="1538" width="42.875" style="79" customWidth="1"/>
    <col min="1539" max="1539" width="21.375" style="79" customWidth="1"/>
    <col min="1540" max="1540" width="14.25" style="79" customWidth="1"/>
    <col min="1541" max="1544" width="11.375" style="79" customWidth="1"/>
    <col min="1545" max="1545" width="71.375" style="79" customWidth="1"/>
    <col min="1546" max="1546" width="14.25" style="79" customWidth="1"/>
    <col min="1547" max="1792" width="8.75" style="79"/>
    <col min="1793" max="1793" width="21.375" style="79" customWidth="1"/>
    <col min="1794" max="1794" width="42.875" style="79" customWidth="1"/>
    <col min="1795" max="1795" width="21.375" style="79" customWidth="1"/>
    <col min="1796" max="1796" width="14.25" style="79" customWidth="1"/>
    <col min="1797" max="1800" width="11.375" style="79" customWidth="1"/>
    <col min="1801" max="1801" width="71.375" style="79" customWidth="1"/>
    <col min="1802" max="1802" width="14.25" style="79" customWidth="1"/>
    <col min="1803" max="2048" width="8.75" style="79"/>
    <col min="2049" max="2049" width="21.375" style="79" customWidth="1"/>
    <col min="2050" max="2050" width="42.875" style="79" customWidth="1"/>
    <col min="2051" max="2051" width="21.375" style="79" customWidth="1"/>
    <col min="2052" max="2052" width="14.25" style="79" customWidth="1"/>
    <col min="2053" max="2056" width="11.375" style="79" customWidth="1"/>
    <col min="2057" max="2057" width="71.375" style="79" customWidth="1"/>
    <col min="2058" max="2058" width="14.25" style="79" customWidth="1"/>
    <col min="2059" max="2304" width="8.75" style="79"/>
    <col min="2305" max="2305" width="21.375" style="79" customWidth="1"/>
    <col min="2306" max="2306" width="42.875" style="79" customWidth="1"/>
    <col min="2307" max="2307" width="21.375" style="79" customWidth="1"/>
    <col min="2308" max="2308" width="14.25" style="79" customWidth="1"/>
    <col min="2309" max="2312" width="11.375" style="79" customWidth="1"/>
    <col min="2313" max="2313" width="71.375" style="79" customWidth="1"/>
    <col min="2314" max="2314" width="14.25" style="79" customWidth="1"/>
    <col min="2315" max="2560" width="8.75" style="79"/>
    <col min="2561" max="2561" width="21.375" style="79" customWidth="1"/>
    <col min="2562" max="2562" width="42.875" style="79" customWidth="1"/>
    <col min="2563" max="2563" width="21.375" style="79" customWidth="1"/>
    <col min="2564" max="2564" width="14.25" style="79" customWidth="1"/>
    <col min="2565" max="2568" width="11.375" style="79" customWidth="1"/>
    <col min="2569" max="2569" width="71.375" style="79" customWidth="1"/>
    <col min="2570" max="2570" width="14.25" style="79" customWidth="1"/>
    <col min="2571" max="2816" width="8.75" style="79"/>
    <col min="2817" max="2817" width="21.375" style="79" customWidth="1"/>
    <col min="2818" max="2818" width="42.875" style="79" customWidth="1"/>
    <col min="2819" max="2819" width="21.375" style="79" customWidth="1"/>
    <col min="2820" max="2820" width="14.25" style="79" customWidth="1"/>
    <col min="2821" max="2824" width="11.375" style="79" customWidth="1"/>
    <col min="2825" max="2825" width="71.375" style="79" customWidth="1"/>
    <col min="2826" max="2826" width="14.25" style="79" customWidth="1"/>
    <col min="2827" max="3072" width="8.75" style="79"/>
    <col min="3073" max="3073" width="21.375" style="79" customWidth="1"/>
    <col min="3074" max="3074" width="42.875" style="79" customWidth="1"/>
    <col min="3075" max="3075" width="21.375" style="79" customWidth="1"/>
    <col min="3076" max="3076" width="14.25" style="79" customWidth="1"/>
    <col min="3077" max="3080" width="11.375" style="79" customWidth="1"/>
    <col min="3081" max="3081" width="71.375" style="79" customWidth="1"/>
    <col min="3082" max="3082" width="14.25" style="79" customWidth="1"/>
    <col min="3083" max="3328" width="8.75" style="79"/>
    <col min="3329" max="3329" width="21.375" style="79" customWidth="1"/>
    <col min="3330" max="3330" width="42.875" style="79" customWidth="1"/>
    <col min="3331" max="3331" width="21.375" style="79" customWidth="1"/>
    <col min="3332" max="3332" width="14.25" style="79" customWidth="1"/>
    <col min="3333" max="3336" width="11.375" style="79" customWidth="1"/>
    <col min="3337" max="3337" width="71.375" style="79" customWidth="1"/>
    <col min="3338" max="3338" width="14.25" style="79" customWidth="1"/>
    <col min="3339" max="3584" width="8.75" style="79"/>
    <col min="3585" max="3585" width="21.375" style="79" customWidth="1"/>
    <col min="3586" max="3586" width="42.875" style="79" customWidth="1"/>
    <col min="3587" max="3587" width="21.375" style="79" customWidth="1"/>
    <col min="3588" max="3588" width="14.25" style="79" customWidth="1"/>
    <col min="3589" max="3592" width="11.375" style="79" customWidth="1"/>
    <col min="3593" max="3593" width="71.375" style="79" customWidth="1"/>
    <col min="3594" max="3594" width="14.25" style="79" customWidth="1"/>
    <col min="3595" max="3840" width="8.75" style="79"/>
    <col min="3841" max="3841" width="21.375" style="79" customWidth="1"/>
    <col min="3842" max="3842" width="42.875" style="79" customWidth="1"/>
    <col min="3843" max="3843" width="21.375" style="79" customWidth="1"/>
    <col min="3844" max="3844" width="14.25" style="79" customWidth="1"/>
    <col min="3845" max="3848" width="11.375" style="79" customWidth="1"/>
    <col min="3849" max="3849" width="71.375" style="79" customWidth="1"/>
    <col min="3850" max="3850" width="14.25" style="79" customWidth="1"/>
    <col min="3851" max="4096" width="8.75" style="79"/>
    <col min="4097" max="4097" width="21.375" style="79" customWidth="1"/>
    <col min="4098" max="4098" width="42.875" style="79" customWidth="1"/>
    <col min="4099" max="4099" width="21.375" style="79" customWidth="1"/>
    <col min="4100" max="4100" width="14.25" style="79" customWidth="1"/>
    <col min="4101" max="4104" width="11.375" style="79" customWidth="1"/>
    <col min="4105" max="4105" width="71.375" style="79" customWidth="1"/>
    <col min="4106" max="4106" width="14.25" style="79" customWidth="1"/>
    <col min="4107" max="4352" width="8.75" style="79"/>
    <col min="4353" max="4353" width="21.375" style="79" customWidth="1"/>
    <col min="4354" max="4354" width="42.875" style="79" customWidth="1"/>
    <col min="4355" max="4355" width="21.375" style="79" customWidth="1"/>
    <col min="4356" max="4356" width="14.25" style="79" customWidth="1"/>
    <col min="4357" max="4360" width="11.375" style="79" customWidth="1"/>
    <col min="4361" max="4361" width="71.375" style="79" customWidth="1"/>
    <col min="4362" max="4362" width="14.25" style="79" customWidth="1"/>
    <col min="4363" max="4608" width="8.75" style="79"/>
    <col min="4609" max="4609" width="21.375" style="79" customWidth="1"/>
    <col min="4610" max="4610" width="42.875" style="79" customWidth="1"/>
    <col min="4611" max="4611" width="21.375" style="79" customWidth="1"/>
    <col min="4612" max="4612" width="14.25" style="79" customWidth="1"/>
    <col min="4613" max="4616" width="11.375" style="79" customWidth="1"/>
    <col min="4617" max="4617" width="71.375" style="79" customWidth="1"/>
    <col min="4618" max="4618" width="14.25" style="79" customWidth="1"/>
    <col min="4619" max="4864" width="8.75" style="79"/>
    <col min="4865" max="4865" width="21.375" style="79" customWidth="1"/>
    <col min="4866" max="4866" width="42.875" style="79" customWidth="1"/>
    <col min="4867" max="4867" width="21.375" style="79" customWidth="1"/>
    <col min="4868" max="4868" width="14.25" style="79" customWidth="1"/>
    <col min="4869" max="4872" width="11.375" style="79" customWidth="1"/>
    <col min="4873" max="4873" width="71.375" style="79" customWidth="1"/>
    <col min="4874" max="4874" width="14.25" style="79" customWidth="1"/>
    <col min="4875" max="5120" width="8.75" style="79"/>
    <col min="5121" max="5121" width="21.375" style="79" customWidth="1"/>
    <col min="5122" max="5122" width="42.875" style="79" customWidth="1"/>
    <col min="5123" max="5123" width="21.375" style="79" customWidth="1"/>
    <col min="5124" max="5124" width="14.25" style="79" customWidth="1"/>
    <col min="5125" max="5128" width="11.375" style="79" customWidth="1"/>
    <col min="5129" max="5129" width="71.375" style="79" customWidth="1"/>
    <col min="5130" max="5130" width="14.25" style="79" customWidth="1"/>
    <col min="5131" max="5376" width="8.75" style="79"/>
    <col min="5377" max="5377" width="21.375" style="79" customWidth="1"/>
    <col min="5378" max="5378" width="42.875" style="79" customWidth="1"/>
    <col min="5379" max="5379" width="21.375" style="79" customWidth="1"/>
    <col min="5380" max="5380" width="14.25" style="79" customWidth="1"/>
    <col min="5381" max="5384" width="11.375" style="79" customWidth="1"/>
    <col min="5385" max="5385" width="71.375" style="79" customWidth="1"/>
    <col min="5386" max="5386" width="14.25" style="79" customWidth="1"/>
    <col min="5387" max="5632" width="8.75" style="79"/>
    <col min="5633" max="5633" width="21.375" style="79" customWidth="1"/>
    <col min="5634" max="5634" width="42.875" style="79" customWidth="1"/>
    <col min="5635" max="5635" width="21.375" style="79" customWidth="1"/>
    <col min="5636" max="5636" width="14.25" style="79" customWidth="1"/>
    <col min="5637" max="5640" width="11.375" style="79" customWidth="1"/>
    <col min="5641" max="5641" width="71.375" style="79" customWidth="1"/>
    <col min="5642" max="5642" width="14.25" style="79" customWidth="1"/>
    <col min="5643" max="5888" width="8.75" style="79"/>
    <col min="5889" max="5889" width="21.375" style="79" customWidth="1"/>
    <col min="5890" max="5890" width="42.875" style="79" customWidth="1"/>
    <col min="5891" max="5891" width="21.375" style="79" customWidth="1"/>
    <col min="5892" max="5892" width="14.25" style="79" customWidth="1"/>
    <col min="5893" max="5896" width="11.375" style="79" customWidth="1"/>
    <col min="5897" max="5897" width="71.375" style="79" customWidth="1"/>
    <col min="5898" max="5898" width="14.25" style="79" customWidth="1"/>
    <col min="5899" max="6144" width="8.75" style="79"/>
    <col min="6145" max="6145" width="21.375" style="79" customWidth="1"/>
    <col min="6146" max="6146" width="42.875" style="79" customWidth="1"/>
    <col min="6147" max="6147" width="21.375" style="79" customWidth="1"/>
    <col min="6148" max="6148" width="14.25" style="79" customWidth="1"/>
    <col min="6149" max="6152" width="11.375" style="79" customWidth="1"/>
    <col min="6153" max="6153" width="71.375" style="79" customWidth="1"/>
    <col min="6154" max="6154" width="14.25" style="79" customWidth="1"/>
    <col min="6155" max="6400" width="8.75" style="79"/>
    <col min="6401" max="6401" width="21.375" style="79" customWidth="1"/>
    <col min="6402" max="6402" width="42.875" style="79" customWidth="1"/>
    <col min="6403" max="6403" width="21.375" style="79" customWidth="1"/>
    <col min="6404" max="6404" width="14.25" style="79" customWidth="1"/>
    <col min="6405" max="6408" width="11.375" style="79" customWidth="1"/>
    <col min="6409" max="6409" width="71.375" style="79" customWidth="1"/>
    <col min="6410" max="6410" width="14.25" style="79" customWidth="1"/>
    <col min="6411" max="6656" width="8.75" style="79"/>
    <col min="6657" max="6657" width="21.375" style="79" customWidth="1"/>
    <col min="6658" max="6658" width="42.875" style="79" customWidth="1"/>
    <col min="6659" max="6659" width="21.375" style="79" customWidth="1"/>
    <col min="6660" max="6660" width="14.25" style="79" customWidth="1"/>
    <col min="6661" max="6664" width="11.375" style="79" customWidth="1"/>
    <col min="6665" max="6665" width="71.375" style="79" customWidth="1"/>
    <col min="6666" max="6666" width="14.25" style="79" customWidth="1"/>
    <col min="6667" max="6912" width="8.75" style="79"/>
    <col min="6913" max="6913" width="21.375" style="79" customWidth="1"/>
    <col min="6914" max="6914" width="42.875" style="79" customWidth="1"/>
    <col min="6915" max="6915" width="21.375" style="79" customWidth="1"/>
    <col min="6916" max="6916" width="14.25" style="79" customWidth="1"/>
    <col min="6917" max="6920" width="11.375" style="79" customWidth="1"/>
    <col min="6921" max="6921" width="71.375" style="79" customWidth="1"/>
    <col min="6922" max="6922" width="14.25" style="79" customWidth="1"/>
    <col min="6923" max="7168" width="8.75" style="79"/>
    <col min="7169" max="7169" width="21.375" style="79" customWidth="1"/>
    <col min="7170" max="7170" width="42.875" style="79" customWidth="1"/>
    <col min="7171" max="7171" width="21.375" style="79" customWidth="1"/>
    <col min="7172" max="7172" width="14.25" style="79" customWidth="1"/>
    <col min="7173" max="7176" width="11.375" style="79" customWidth="1"/>
    <col min="7177" max="7177" width="71.375" style="79" customWidth="1"/>
    <col min="7178" max="7178" width="14.25" style="79" customWidth="1"/>
    <col min="7179" max="7424" width="8.75" style="79"/>
    <col min="7425" max="7425" width="21.375" style="79" customWidth="1"/>
    <col min="7426" max="7426" width="42.875" style="79" customWidth="1"/>
    <col min="7427" max="7427" width="21.375" style="79" customWidth="1"/>
    <col min="7428" max="7428" width="14.25" style="79" customWidth="1"/>
    <col min="7429" max="7432" width="11.375" style="79" customWidth="1"/>
    <col min="7433" max="7433" width="71.375" style="79" customWidth="1"/>
    <col min="7434" max="7434" width="14.25" style="79" customWidth="1"/>
    <col min="7435" max="7680" width="8.75" style="79"/>
    <col min="7681" max="7681" width="21.375" style="79" customWidth="1"/>
    <col min="7682" max="7682" width="42.875" style="79" customWidth="1"/>
    <col min="7683" max="7683" width="21.375" style="79" customWidth="1"/>
    <col min="7684" max="7684" width="14.25" style="79" customWidth="1"/>
    <col min="7685" max="7688" width="11.375" style="79" customWidth="1"/>
    <col min="7689" max="7689" width="71.375" style="79" customWidth="1"/>
    <col min="7690" max="7690" width="14.25" style="79" customWidth="1"/>
    <col min="7691" max="7936" width="8.75" style="79"/>
    <col min="7937" max="7937" width="21.375" style="79" customWidth="1"/>
    <col min="7938" max="7938" width="42.875" style="79" customWidth="1"/>
    <col min="7939" max="7939" width="21.375" style="79" customWidth="1"/>
    <col min="7940" max="7940" width="14.25" style="79" customWidth="1"/>
    <col min="7941" max="7944" width="11.375" style="79" customWidth="1"/>
    <col min="7945" max="7945" width="71.375" style="79" customWidth="1"/>
    <col min="7946" max="7946" width="14.25" style="79" customWidth="1"/>
    <col min="7947" max="8192" width="8.75" style="79"/>
    <col min="8193" max="8193" width="21.375" style="79" customWidth="1"/>
    <col min="8194" max="8194" width="42.875" style="79" customWidth="1"/>
    <col min="8195" max="8195" width="21.375" style="79" customWidth="1"/>
    <col min="8196" max="8196" width="14.25" style="79" customWidth="1"/>
    <col min="8197" max="8200" width="11.375" style="79" customWidth="1"/>
    <col min="8201" max="8201" width="71.375" style="79" customWidth="1"/>
    <col min="8202" max="8202" width="14.25" style="79" customWidth="1"/>
    <col min="8203" max="8448" width="8.75" style="79"/>
    <col min="8449" max="8449" width="21.375" style="79" customWidth="1"/>
    <col min="8450" max="8450" width="42.875" style="79" customWidth="1"/>
    <col min="8451" max="8451" width="21.375" style="79" customWidth="1"/>
    <col min="8452" max="8452" width="14.25" style="79" customWidth="1"/>
    <col min="8453" max="8456" width="11.375" style="79" customWidth="1"/>
    <col min="8457" max="8457" width="71.375" style="79" customWidth="1"/>
    <col min="8458" max="8458" width="14.25" style="79" customWidth="1"/>
    <col min="8459" max="8704" width="8.75" style="79"/>
    <col min="8705" max="8705" width="21.375" style="79" customWidth="1"/>
    <col min="8706" max="8706" width="42.875" style="79" customWidth="1"/>
    <col min="8707" max="8707" width="21.375" style="79" customWidth="1"/>
    <col min="8708" max="8708" width="14.25" style="79" customWidth="1"/>
    <col min="8709" max="8712" width="11.375" style="79" customWidth="1"/>
    <col min="8713" max="8713" width="71.375" style="79" customWidth="1"/>
    <col min="8714" max="8714" width="14.25" style="79" customWidth="1"/>
    <col min="8715" max="8960" width="8.75" style="79"/>
    <col min="8961" max="8961" width="21.375" style="79" customWidth="1"/>
    <col min="8962" max="8962" width="42.875" style="79" customWidth="1"/>
    <col min="8963" max="8963" width="21.375" style="79" customWidth="1"/>
    <col min="8964" max="8964" width="14.25" style="79" customWidth="1"/>
    <col min="8965" max="8968" width="11.375" style="79" customWidth="1"/>
    <col min="8969" max="8969" width="71.375" style="79" customWidth="1"/>
    <col min="8970" max="8970" width="14.25" style="79" customWidth="1"/>
    <col min="8971" max="9216" width="8.75" style="79"/>
    <col min="9217" max="9217" width="21.375" style="79" customWidth="1"/>
    <col min="9218" max="9218" width="42.875" style="79" customWidth="1"/>
    <col min="9219" max="9219" width="21.375" style="79" customWidth="1"/>
    <col min="9220" max="9220" width="14.25" style="79" customWidth="1"/>
    <col min="9221" max="9224" width="11.375" style="79" customWidth="1"/>
    <col min="9225" max="9225" width="71.375" style="79" customWidth="1"/>
    <col min="9226" max="9226" width="14.25" style="79" customWidth="1"/>
    <col min="9227" max="9472" width="8.75" style="79"/>
    <col min="9473" max="9473" width="21.375" style="79" customWidth="1"/>
    <col min="9474" max="9474" width="42.875" style="79" customWidth="1"/>
    <col min="9475" max="9475" width="21.375" style="79" customWidth="1"/>
    <col min="9476" max="9476" width="14.25" style="79" customWidth="1"/>
    <col min="9477" max="9480" width="11.375" style="79" customWidth="1"/>
    <col min="9481" max="9481" width="71.375" style="79" customWidth="1"/>
    <col min="9482" max="9482" width="14.25" style="79" customWidth="1"/>
    <col min="9483" max="9728" width="8.75" style="79"/>
    <col min="9729" max="9729" width="21.375" style="79" customWidth="1"/>
    <col min="9730" max="9730" width="42.875" style="79" customWidth="1"/>
    <col min="9731" max="9731" width="21.375" style="79" customWidth="1"/>
    <col min="9732" max="9732" width="14.25" style="79" customWidth="1"/>
    <col min="9733" max="9736" width="11.375" style="79" customWidth="1"/>
    <col min="9737" max="9737" width="71.375" style="79" customWidth="1"/>
    <col min="9738" max="9738" width="14.25" style="79" customWidth="1"/>
    <col min="9739" max="9984" width="8.75" style="79"/>
    <col min="9985" max="9985" width="21.375" style="79" customWidth="1"/>
    <col min="9986" max="9986" width="42.875" style="79" customWidth="1"/>
    <col min="9987" max="9987" width="21.375" style="79" customWidth="1"/>
    <col min="9988" max="9988" width="14.25" style="79" customWidth="1"/>
    <col min="9989" max="9992" width="11.375" style="79" customWidth="1"/>
    <col min="9993" max="9993" width="71.375" style="79" customWidth="1"/>
    <col min="9994" max="9994" width="14.25" style="79" customWidth="1"/>
    <col min="9995" max="10240" width="8.75" style="79"/>
    <col min="10241" max="10241" width="21.375" style="79" customWidth="1"/>
    <col min="10242" max="10242" width="42.875" style="79" customWidth="1"/>
    <col min="10243" max="10243" width="21.375" style="79" customWidth="1"/>
    <col min="10244" max="10244" width="14.25" style="79" customWidth="1"/>
    <col min="10245" max="10248" width="11.375" style="79" customWidth="1"/>
    <col min="10249" max="10249" width="71.375" style="79" customWidth="1"/>
    <col min="10250" max="10250" width="14.25" style="79" customWidth="1"/>
    <col min="10251" max="10496" width="8.75" style="79"/>
    <col min="10497" max="10497" width="21.375" style="79" customWidth="1"/>
    <col min="10498" max="10498" width="42.875" style="79" customWidth="1"/>
    <col min="10499" max="10499" width="21.375" style="79" customWidth="1"/>
    <col min="10500" max="10500" width="14.25" style="79" customWidth="1"/>
    <col min="10501" max="10504" width="11.375" style="79" customWidth="1"/>
    <col min="10505" max="10505" width="71.375" style="79" customWidth="1"/>
    <col min="10506" max="10506" width="14.25" style="79" customWidth="1"/>
    <col min="10507" max="10752" width="8.75" style="79"/>
    <col min="10753" max="10753" width="21.375" style="79" customWidth="1"/>
    <col min="10754" max="10754" width="42.875" style="79" customWidth="1"/>
    <col min="10755" max="10755" width="21.375" style="79" customWidth="1"/>
    <col min="10756" max="10756" width="14.25" style="79" customWidth="1"/>
    <col min="10757" max="10760" width="11.375" style="79" customWidth="1"/>
    <col min="10761" max="10761" width="71.375" style="79" customWidth="1"/>
    <col min="10762" max="10762" width="14.25" style="79" customWidth="1"/>
    <col min="10763" max="11008" width="8.75" style="79"/>
    <col min="11009" max="11009" width="21.375" style="79" customWidth="1"/>
    <col min="11010" max="11010" width="42.875" style="79" customWidth="1"/>
    <col min="11011" max="11011" width="21.375" style="79" customWidth="1"/>
    <col min="11012" max="11012" width="14.25" style="79" customWidth="1"/>
    <col min="11013" max="11016" width="11.375" style="79" customWidth="1"/>
    <col min="11017" max="11017" width="71.375" style="79" customWidth="1"/>
    <col min="11018" max="11018" width="14.25" style="79" customWidth="1"/>
    <col min="11019" max="11264" width="8.75" style="79"/>
    <col min="11265" max="11265" width="21.375" style="79" customWidth="1"/>
    <col min="11266" max="11266" width="42.875" style="79" customWidth="1"/>
    <col min="11267" max="11267" width="21.375" style="79" customWidth="1"/>
    <col min="11268" max="11268" width="14.25" style="79" customWidth="1"/>
    <col min="11269" max="11272" width="11.375" style="79" customWidth="1"/>
    <col min="11273" max="11273" width="71.375" style="79" customWidth="1"/>
    <col min="11274" max="11274" width="14.25" style="79" customWidth="1"/>
    <col min="11275" max="11520" width="8.75" style="79"/>
    <col min="11521" max="11521" width="21.375" style="79" customWidth="1"/>
    <col min="11522" max="11522" width="42.875" style="79" customWidth="1"/>
    <col min="11523" max="11523" width="21.375" style="79" customWidth="1"/>
    <col min="11524" max="11524" width="14.25" style="79" customWidth="1"/>
    <col min="11525" max="11528" width="11.375" style="79" customWidth="1"/>
    <col min="11529" max="11529" width="71.375" style="79" customWidth="1"/>
    <col min="11530" max="11530" width="14.25" style="79" customWidth="1"/>
    <col min="11531" max="11776" width="8.75" style="79"/>
    <col min="11777" max="11777" width="21.375" style="79" customWidth="1"/>
    <col min="11778" max="11778" width="42.875" style="79" customWidth="1"/>
    <col min="11779" max="11779" width="21.375" style="79" customWidth="1"/>
    <col min="11780" max="11780" width="14.25" style="79" customWidth="1"/>
    <col min="11781" max="11784" width="11.375" style="79" customWidth="1"/>
    <col min="11785" max="11785" width="71.375" style="79" customWidth="1"/>
    <col min="11786" max="11786" width="14.25" style="79" customWidth="1"/>
    <col min="11787" max="12032" width="8.75" style="79"/>
    <col min="12033" max="12033" width="21.375" style="79" customWidth="1"/>
    <col min="12034" max="12034" width="42.875" style="79" customWidth="1"/>
    <col min="12035" max="12035" width="21.375" style="79" customWidth="1"/>
    <col min="12036" max="12036" width="14.25" style="79" customWidth="1"/>
    <col min="12037" max="12040" width="11.375" style="79" customWidth="1"/>
    <col min="12041" max="12041" width="71.375" style="79" customWidth="1"/>
    <col min="12042" max="12042" width="14.25" style="79" customWidth="1"/>
    <col min="12043" max="12288" width="8.75" style="79"/>
    <col min="12289" max="12289" width="21.375" style="79" customWidth="1"/>
    <col min="12290" max="12290" width="42.875" style="79" customWidth="1"/>
    <col min="12291" max="12291" width="21.375" style="79" customWidth="1"/>
    <col min="12292" max="12292" width="14.25" style="79" customWidth="1"/>
    <col min="12293" max="12296" width="11.375" style="79" customWidth="1"/>
    <col min="12297" max="12297" width="71.375" style="79" customWidth="1"/>
    <col min="12298" max="12298" width="14.25" style="79" customWidth="1"/>
    <col min="12299" max="12544" width="8.75" style="79"/>
    <col min="12545" max="12545" width="21.375" style="79" customWidth="1"/>
    <col min="12546" max="12546" width="42.875" style="79" customWidth="1"/>
    <col min="12547" max="12547" width="21.375" style="79" customWidth="1"/>
    <col min="12548" max="12548" width="14.25" style="79" customWidth="1"/>
    <col min="12549" max="12552" width="11.375" style="79" customWidth="1"/>
    <col min="12553" max="12553" width="71.375" style="79" customWidth="1"/>
    <col min="12554" max="12554" width="14.25" style="79" customWidth="1"/>
    <col min="12555" max="12800" width="8.75" style="79"/>
    <col min="12801" max="12801" width="21.375" style="79" customWidth="1"/>
    <col min="12802" max="12802" width="42.875" style="79" customWidth="1"/>
    <col min="12803" max="12803" width="21.375" style="79" customWidth="1"/>
    <col min="12804" max="12804" width="14.25" style="79" customWidth="1"/>
    <col min="12805" max="12808" width="11.375" style="79" customWidth="1"/>
    <col min="12809" max="12809" width="71.375" style="79" customWidth="1"/>
    <col min="12810" max="12810" width="14.25" style="79" customWidth="1"/>
    <col min="12811" max="13056" width="8.75" style="79"/>
    <col min="13057" max="13057" width="21.375" style="79" customWidth="1"/>
    <col min="13058" max="13058" width="42.875" style="79" customWidth="1"/>
    <col min="13059" max="13059" width="21.375" style="79" customWidth="1"/>
    <col min="13060" max="13060" width="14.25" style="79" customWidth="1"/>
    <col min="13061" max="13064" width="11.375" style="79" customWidth="1"/>
    <col min="13065" max="13065" width="71.375" style="79" customWidth="1"/>
    <col min="13066" max="13066" width="14.25" style="79" customWidth="1"/>
    <col min="13067" max="13312" width="8.75" style="79"/>
    <col min="13313" max="13313" width="21.375" style="79" customWidth="1"/>
    <col min="13314" max="13314" width="42.875" style="79" customWidth="1"/>
    <col min="13315" max="13315" width="21.375" style="79" customWidth="1"/>
    <col min="13316" max="13316" width="14.25" style="79" customWidth="1"/>
    <col min="13317" max="13320" width="11.375" style="79" customWidth="1"/>
    <col min="13321" max="13321" width="71.375" style="79" customWidth="1"/>
    <col min="13322" max="13322" width="14.25" style="79" customWidth="1"/>
    <col min="13323" max="13568" width="8.75" style="79"/>
    <col min="13569" max="13569" width="21.375" style="79" customWidth="1"/>
    <col min="13570" max="13570" width="42.875" style="79" customWidth="1"/>
    <col min="13571" max="13571" width="21.375" style="79" customWidth="1"/>
    <col min="13572" max="13572" width="14.25" style="79" customWidth="1"/>
    <col min="13573" max="13576" width="11.375" style="79" customWidth="1"/>
    <col min="13577" max="13577" width="71.375" style="79" customWidth="1"/>
    <col min="13578" max="13578" width="14.25" style="79" customWidth="1"/>
    <col min="13579" max="13824" width="8.75" style="79"/>
    <col min="13825" max="13825" width="21.375" style="79" customWidth="1"/>
    <col min="13826" max="13826" width="42.875" style="79" customWidth="1"/>
    <col min="13827" max="13827" width="21.375" style="79" customWidth="1"/>
    <col min="13828" max="13828" width="14.25" style="79" customWidth="1"/>
    <col min="13829" max="13832" width="11.375" style="79" customWidth="1"/>
    <col min="13833" max="13833" width="71.375" style="79" customWidth="1"/>
    <col min="13834" max="13834" width="14.25" style="79" customWidth="1"/>
    <col min="13835" max="14080" width="8.75" style="79"/>
    <col min="14081" max="14081" width="21.375" style="79" customWidth="1"/>
    <col min="14082" max="14082" width="42.875" style="79" customWidth="1"/>
    <col min="14083" max="14083" width="21.375" style="79" customWidth="1"/>
    <col min="14084" max="14084" width="14.25" style="79" customWidth="1"/>
    <col min="14085" max="14088" width="11.375" style="79" customWidth="1"/>
    <col min="14089" max="14089" width="71.375" style="79" customWidth="1"/>
    <col min="14090" max="14090" width="14.25" style="79" customWidth="1"/>
    <col min="14091" max="14336" width="8.75" style="79"/>
    <col min="14337" max="14337" width="21.375" style="79" customWidth="1"/>
    <col min="14338" max="14338" width="42.875" style="79" customWidth="1"/>
    <col min="14339" max="14339" width="21.375" style="79" customWidth="1"/>
    <col min="14340" max="14340" width="14.25" style="79" customWidth="1"/>
    <col min="14341" max="14344" width="11.375" style="79" customWidth="1"/>
    <col min="14345" max="14345" width="71.375" style="79" customWidth="1"/>
    <col min="14346" max="14346" width="14.25" style="79" customWidth="1"/>
    <col min="14347" max="14592" width="8.75" style="79"/>
    <col min="14593" max="14593" width="21.375" style="79" customWidth="1"/>
    <col min="14594" max="14594" width="42.875" style="79" customWidth="1"/>
    <col min="14595" max="14595" width="21.375" style="79" customWidth="1"/>
    <col min="14596" max="14596" width="14.25" style="79" customWidth="1"/>
    <col min="14597" max="14600" width="11.375" style="79" customWidth="1"/>
    <col min="14601" max="14601" width="71.375" style="79" customWidth="1"/>
    <col min="14602" max="14602" width="14.25" style="79" customWidth="1"/>
    <col min="14603" max="14848" width="8.75" style="79"/>
    <col min="14849" max="14849" width="21.375" style="79" customWidth="1"/>
    <col min="14850" max="14850" width="42.875" style="79" customWidth="1"/>
    <col min="14851" max="14851" width="21.375" style="79" customWidth="1"/>
    <col min="14852" max="14852" width="14.25" style="79" customWidth="1"/>
    <col min="14853" max="14856" width="11.375" style="79" customWidth="1"/>
    <col min="14857" max="14857" width="71.375" style="79" customWidth="1"/>
    <col min="14858" max="14858" width="14.25" style="79" customWidth="1"/>
    <col min="14859" max="15104" width="8.75" style="79"/>
    <col min="15105" max="15105" width="21.375" style="79" customWidth="1"/>
    <col min="15106" max="15106" width="42.875" style="79" customWidth="1"/>
    <col min="15107" max="15107" width="21.375" style="79" customWidth="1"/>
    <col min="15108" max="15108" width="14.25" style="79" customWidth="1"/>
    <col min="15109" max="15112" width="11.375" style="79" customWidth="1"/>
    <col min="15113" max="15113" width="71.375" style="79" customWidth="1"/>
    <col min="15114" max="15114" width="14.25" style="79" customWidth="1"/>
    <col min="15115" max="15360" width="8.75" style="79"/>
    <col min="15361" max="15361" width="21.375" style="79" customWidth="1"/>
    <col min="15362" max="15362" width="42.875" style="79" customWidth="1"/>
    <col min="15363" max="15363" width="21.375" style="79" customWidth="1"/>
    <col min="15364" max="15364" width="14.25" style="79" customWidth="1"/>
    <col min="15365" max="15368" width="11.375" style="79" customWidth="1"/>
    <col min="15369" max="15369" width="71.375" style="79" customWidth="1"/>
    <col min="15370" max="15370" width="14.25" style="79" customWidth="1"/>
    <col min="15371" max="15616" width="8.75" style="79"/>
    <col min="15617" max="15617" width="21.375" style="79" customWidth="1"/>
    <col min="15618" max="15618" width="42.875" style="79" customWidth="1"/>
    <col min="15619" max="15619" width="21.375" style="79" customWidth="1"/>
    <col min="15620" max="15620" width="14.25" style="79" customWidth="1"/>
    <col min="15621" max="15624" width="11.375" style="79" customWidth="1"/>
    <col min="15625" max="15625" width="71.375" style="79" customWidth="1"/>
    <col min="15626" max="15626" width="14.25" style="79" customWidth="1"/>
    <col min="15627" max="15872" width="8.75" style="79"/>
    <col min="15873" max="15873" width="21.375" style="79" customWidth="1"/>
    <col min="15874" max="15874" width="42.875" style="79" customWidth="1"/>
    <col min="15875" max="15875" width="21.375" style="79" customWidth="1"/>
    <col min="15876" max="15876" width="14.25" style="79" customWidth="1"/>
    <col min="15877" max="15880" width="11.375" style="79" customWidth="1"/>
    <col min="15881" max="15881" width="71.375" style="79" customWidth="1"/>
    <col min="15882" max="15882" width="14.25" style="79" customWidth="1"/>
    <col min="15883" max="16128" width="8.75" style="79"/>
    <col min="16129" max="16129" width="21.375" style="79" customWidth="1"/>
    <col min="16130" max="16130" width="42.875" style="79" customWidth="1"/>
    <col min="16131" max="16131" width="21.375" style="79" customWidth="1"/>
    <col min="16132" max="16132" width="14.25" style="79" customWidth="1"/>
    <col min="16133" max="16136" width="11.375" style="79" customWidth="1"/>
    <col min="16137" max="16137" width="71.375" style="79" customWidth="1"/>
    <col min="16138" max="16138" width="14.25" style="79" customWidth="1"/>
    <col min="16139" max="16384" width="8.75" style="79"/>
  </cols>
  <sheetData>
    <row r="1" spans="1:10" x14ac:dyDescent="0.2">
      <c r="A1" s="78" t="s">
        <v>417</v>
      </c>
      <c r="B1" s="78" t="s">
        <v>418</v>
      </c>
      <c r="C1" s="78" t="s">
        <v>419</v>
      </c>
      <c r="D1" s="78" t="s">
        <v>420</v>
      </c>
      <c r="E1" s="78" t="s">
        <v>421</v>
      </c>
      <c r="F1" s="78" t="s">
        <v>422</v>
      </c>
      <c r="G1" s="78" t="s">
        <v>423</v>
      </c>
      <c r="H1" s="78" t="s">
        <v>424</v>
      </c>
      <c r="I1" s="78" t="s">
        <v>9</v>
      </c>
      <c r="J1" s="78" t="s">
        <v>425</v>
      </c>
    </row>
    <row r="2" spans="1:10" x14ac:dyDescent="0.2">
      <c r="A2" s="80" t="s">
        <v>426</v>
      </c>
      <c r="B2" s="80" t="s">
        <v>427</v>
      </c>
      <c r="C2" s="80" t="s">
        <v>428</v>
      </c>
      <c r="D2" s="81" t="s">
        <v>429</v>
      </c>
      <c r="E2" s="82" t="s">
        <v>430</v>
      </c>
      <c r="F2" s="82" t="s">
        <v>431</v>
      </c>
      <c r="G2" s="83" t="s">
        <v>432</v>
      </c>
      <c r="H2" s="83" t="s">
        <v>432</v>
      </c>
      <c r="I2" s="80" t="s">
        <v>426</v>
      </c>
      <c r="J2" s="84" t="s">
        <v>433</v>
      </c>
    </row>
    <row r="3" spans="1:10" x14ac:dyDescent="0.2">
      <c r="A3" s="80" t="s">
        <v>434</v>
      </c>
      <c r="B3" s="80" t="s">
        <v>435</v>
      </c>
      <c r="C3" s="80" t="s">
        <v>428</v>
      </c>
      <c r="D3" s="81" t="s">
        <v>436</v>
      </c>
      <c r="E3" s="82" t="s">
        <v>437</v>
      </c>
      <c r="F3" s="82" t="s">
        <v>431</v>
      </c>
      <c r="G3" s="83" t="s">
        <v>432</v>
      </c>
      <c r="H3" s="83" t="s">
        <v>432</v>
      </c>
      <c r="I3" s="80" t="s">
        <v>426</v>
      </c>
      <c r="J3" s="84" t="s">
        <v>433</v>
      </c>
    </row>
    <row r="4" spans="1:10" x14ac:dyDescent="0.2">
      <c r="A4" s="80" t="s">
        <v>438</v>
      </c>
      <c r="B4" s="80" t="s">
        <v>439</v>
      </c>
      <c r="C4" s="80" t="s">
        <v>428</v>
      </c>
      <c r="D4" s="81" t="s">
        <v>429</v>
      </c>
      <c r="E4" s="82" t="s">
        <v>440</v>
      </c>
      <c r="F4" s="82" t="s">
        <v>431</v>
      </c>
      <c r="G4" s="83" t="s">
        <v>432</v>
      </c>
      <c r="H4" s="83" t="s">
        <v>432</v>
      </c>
      <c r="I4" s="80" t="s">
        <v>426</v>
      </c>
      <c r="J4" s="84" t="s">
        <v>433</v>
      </c>
    </row>
    <row r="5" spans="1:10" x14ac:dyDescent="0.2">
      <c r="A5" s="80" t="s">
        <v>441</v>
      </c>
      <c r="B5" s="80" t="s">
        <v>442</v>
      </c>
      <c r="C5" s="80" t="s">
        <v>443</v>
      </c>
      <c r="D5" s="81" t="s">
        <v>444</v>
      </c>
      <c r="E5" s="82" t="s">
        <v>445</v>
      </c>
      <c r="F5" s="82" t="s">
        <v>431</v>
      </c>
      <c r="G5" s="83" t="s">
        <v>432</v>
      </c>
      <c r="H5" s="83" t="s">
        <v>432</v>
      </c>
      <c r="I5" s="80" t="s">
        <v>426</v>
      </c>
      <c r="J5" s="84" t="s">
        <v>433</v>
      </c>
    </row>
    <row r="6" spans="1:10" x14ac:dyDescent="0.2">
      <c r="A6" s="80" t="s">
        <v>446</v>
      </c>
      <c r="B6" s="80" t="s">
        <v>447</v>
      </c>
      <c r="C6" s="80" t="s">
        <v>428</v>
      </c>
      <c r="D6" s="81" t="s">
        <v>429</v>
      </c>
      <c r="E6" s="82" t="s">
        <v>448</v>
      </c>
      <c r="F6" s="82" t="s">
        <v>431</v>
      </c>
      <c r="G6" s="83" t="s">
        <v>432</v>
      </c>
      <c r="H6" s="83" t="s">
        <v>432</v>
      </c>
      <c r="I6" s="80" t="s">
        <v>426</v>
      </c>
      <c r="J6" s="84" t="s">
        <v>433</v>
      </c>
    </row>
    <row r="7" spans="1:10" x14ac:dyDescent="0.2">
      <c r="A7" s="80" t="s">
        <v>449</v>
      </c>
      <c r="B7" s="80" t="s">
        <v>450</v>
      </c>
      <c r="C7" s="80" t="s">
        <v>451</v>
      </c>
      <c r="D7" s="81" t="s">
        <v>429</v>
      </c>
      <c r="E7" s="82" t="s">
        <v>452</v>
      </c>
      <c r="F7" s="82" t="s">
        <v>431</v>
      </c>
      <c r="G7" s="83" t="s">
        <v>432</v>
      </c>
      <c r="H7" s="83" t="s">
        <v>432</v>
      </c>
      <c r="I7" s="80" t="s">
        <v>426</v>
      </c>
      <c r="J7" s="84" t="s">
        <v>433</v>
      </c>
    </row>
    <row r="8" spans="1:10" x14ac:dyDescent="0.2">
      <c r="A8" s="80" t="s">
        <v>453</v>
      </c>
      <c r="B8" s="80" t="s">
        <v>454</v>
      </c>
      <c r="C8" s="80" t="s">
        <v>451</v>
      </c>
      <c r="D8" s="81" t="s">
        <v>429</v>
      </c>
      <c r="E8" s="82" t="s">
        <v>452</v>
      </c>
      <c r="F8" s="82" t="s">
        <v>431</v>
      </c>
      <c r="G8" s="83" t="s">
        <v>432</v>
      </c>
      <c r="H8" s="83" t="s">
        <v>432</v>
      </c>
      <c r="I8" s="80" t="s">
        <v>426</v>
      </c>
      <c r="J8" s="84" t="s">
        <v>433</v>
      </c>
    </row>
    <row r="9" spans="1:10" x14ac:dyDescent="0.2">
      <c r="A9" s="80" t="s">
        <v>455</v>
      </c>
      <c r="B9" s="80" t="s">
        <v>456</v>
      </c>
      <c r="C9" s="80" t="s">
        <v>451</v>
      </c>
      <c r="D9" s="81" t="s">
        <v>429</v>
      </c>
      <c r="E9" s="82" t="s">
        <v>452</v>
      </c>
      <c r="F9" s="82" t="s">
        <v>431</v>
      </c>
      <c r="G9" s="83" t="s">
        <v>432</v>
      </c>
      <c r="H9" s="83" t="s">
        <v>432</v>
      </c>
      <c r="I9" s="80" t="s">
        <v>426</v>
      </c>
      <c r="J9" s="84" t="s">
        <v>433</v>
      </c>
    </row>
    <row r="10" spans="1:10" x14ac:dyDescent="0.2">
      <c r="A10" s="80" t="s">
        <v>457</v>
      </c>
      <c r="B10" s="80" t="s">
        <v>458</v>
      </c>
      <c r="C10" s="80" t="s">
        <v>451</v>
      </c>
      <c r="D10" s="81" t="s">
        <v>429</v>
      </c>
      <c r="E10" s="82" t="s">
        <v>452</v>
      </c>
      <c r="F10" s="82" t="s">
        <v>431</v>
      </c>
      <c r="G10" s="83" t="s">
        <v>432</v>
      </c>
      <c r="H10" s="83" t="s">
        <v>432</v>
      </c>
      <c r="I10" s="80" t="s">
        <v>426</v>
      </c>
      <c r="J10" s="84" t="s">
        <v>433</v>
      </c>
    </row>
    <row r="11" spans="1:10" x14ac:dyDescent="0.2">
      <c r="A11" s="80" t="s">
        <v>459</v>
      </c>
      <c r="B11" s="80" t="s">
        <v>460</v>
      </c>
      <c r="C11" s="80" t="s">
        <v>451</v>
      </c>
      <c r="D11" s="81" t="s">
        <v>429</v>
      </c>
      <c r="E11" s="82" t="s">
        <v>452</v>
      </c>
      <c r="F11" s="82" t="s">
        <v>431</v>
      </c>
      <c r="G11" s="83" t="s">
        <v>432</v>
      </c>
      <c r="H11" s="83" t="s">
        <v>432</v>
      </c>
      <c r="I11" s="80" t="s">
        <v>426</v>
      </c>
      <c r="J11" s="84" t="s">
        <v>433</v>
      </c>
    </row>
    <row r="12" spans="1:10" x14ac:dyDescent="0.2">
      <c r="A12" s="80" t="s">
        <v>461</v>
      </c>
      <c r="B12" s="80" t="s">
        <v>462</v>
      </c>
      <c r="C12" s="80" t="s">
        <v>451</v>
      </c>
      <c r="D12" s="81" t="s">
        <v>429</v>
      </c>
      <c r="E12" s="82" t="s">
        <v>452</v>
      </c>
      <c r="F12" s="82" t="s">
        <v>431</v>
      </c>
      <c r="G12" s="83" t="s">
        <v>432</v>
      </c>
      <c r="H12" s="83" t="s">
        <v>432</v>
      </c>
      <c r="I12" s="80" t="s">
        <v>426</v>
      </c>
      <c r="J12" s="84" t="s">
        <v>433</v>
      </c>
    </row>
    <row r="13" spans="1:10" x14ac:dyDescent="0.2">
      <c r="A13" s="80" t="s">
        <v>463</v>
      </c>
      <c r="B13" s="80" t="s">
        <v>464</v>
      </c>
      <c r="C13" s="80" t="s">
        <v>451</v>
      </c>
      <c r="D13" s="81" t="s">
        <v>429</v>
      </c>
      <c r="E13" s="82" t="s">
        <v>452</v>
      </c>
      <c r="F13" s="82" t="s">
        <v>431</v>
      </c>
      <c r="G13" s="83" t="s">
        <v>432</v>
      </c>
      <c r="H13" s="83" t="s">
        <v>432</v>
      </c>
      <c r="I13" s="80" t="s">
        <v>426</v>
      </c>
      <c r="J13" s="84" t="s">
        <v>433</v>
      </c>
    </row>
    <row r="14" spans="1:10" x14ac:dyDescent="0.2">
      <c r="A14" s="80" t="s">
        <v>465</v>
      </c>
      <c r="B14" s="80" t="s">
        <v>466</v>
      </c>
      <c r="C14" s="80" t="s">
        <v>451</v>
      </c>
      <c r="D14" s="81" t="s">
        <v>429</v>
      </c>
      <c r="E14" s="82" t="s">
        <v>452</v>
      </c>
      <c r="F14" s="82" t="s">
        <v>431</v>
      </c>
      <c r="G14" s="83" t="s">
        <v>432</v>
      </c>
      <c r="H14" s="83" t="s">
        <v>432</v>
      </c>
      <c r="I14" s="80" t="s">
        <v>426</v>
      </c>
      <c r="J14" s="84" t="s">
        <v>433</v>
      </c>
    </row>
    <row r="15" spans="1:10" x14ac:dyDescent="0.2">
      <c r="A15" s="80" t="s">
        <v>467</v>
      </c>
      <c r="B15" s="80" t="s">
        <v>468</v>
      </c>
      <c r="C15" s="80" t="s">
        <v>451</v>
      </c>
      <c r="D15" s="81" t="s">
        <v>429</v>
      </c>
      <c r="E15" s="82" t="s">
        <v>452</v>
      </c>
      <c r="F15" s="82" t="s">
        <v>431</v>
      </c>
      <c r="G15" s="83" t="s">
        <v>432</v>
      </c>
      <c r="H15" s="83" t="s">
        <v>432</v>
      </c>
      <c r="I15" s="80" t="s">
        <v>426</v>
      </c>
      <c r="J15" s="84" t="s">
        <v>433</v>
      </c>
    </row>
    <row r="16" spans="1:10" x14ac:dyDescent="0.2">
      <c r="A16" s="80" t="s">
        <v>469</v>
      </c>
      <c r="B16" s="80" t="s">
        <v>470</v>
      </c>
      <c r="C16" s="80" t="s">
        <v>451</v>
      </c>
      <c r="D16" s="81" t="s">
        <v>429</v>
      </c>
      <c r="E16" s="82" t="s">
        <v>452</v>
      </c>
      <c r="F16" s="82" t="s">
        <v>431</v>
      </c>
      <c r="G16" s="83" t="s">
        <v>432</v>
      </c>
      <c r="H16" s="83" t="s">
        <v>432</v>
      </c>
      <c r="I16" s="80" t="s">
        <v>426</v>
      </c>
      <c r="J16" s="84" t="s">
        <v>433</v>
      </c>
    </row>
    <row r="17" spans="1:10" x14ac:dyDescent="0.2">
      <c r="A17" s="80" t="s">
        <v>471</v>
      </c>
      <c r="B17" s="80" t="s">
        <v>472</v>
      </c>
      <c r="C17" s="80" t="s">
        <v>451</v>
      </c>
      <c r="D17" s="81" t="s">
        <v>429</v>
      </c>
      <c r="E17" s="82" t="s">
        <v>452</v>
      </c>
      <c r="F17" s="82" t="s">
        <v>431</v>
      </c>
      <c r="G17" s="83" t="s">
        <v>432</v>
      </c>
      <c r="H17" s="83" t="s">
        <v>432</v>
      </c>
      <c r="I17" s="80" t="s">
        <v>426</v>
      </c>
      <c r="J17" s="84" t="s">
        <v>433</v>
      </c>
    </row>
    <row r="18" spans="1:10" x14ac:dyDescent="0.2">
      <c r="A18" s="80" t="s">
        <v>473</v>
      </c>
      <c r="B18" s="80" t="s">
        <v>474</v>
      </c>
      <c r="C18" s="80" t="s">
        <v>451</v>
      </c>
      <c r="D18" s="81" t="s">
        <v>429</v>
      </c>
      <c r="E18" s="82" t="s">
        <v>452</v>
      </c>
      <c r="F18" s="82" t="s">
        <v>431</v>
      </c>
      <c r="G18" s="83" t="s">
        <v>432</v>
      </c>
      <c r="H18" s="83" t="s">
        <v>432</v>
      </c>
      <c r="I18" s="80" t="s">
        <v>426</v>
      </c>
      <c r="J18" s="84" t="s">
        <v>433</v>
      </c>
    </row>
    <row r="19" spans="1:10" x14ac:dyDescent="0.2">
      <c r="A19" s="80" t="s">
        <v>475</v>
      </c>
      <c r="B19" s="80" t="s">
        <v>476</v>
      </c>
      <c r="C19" s="80" t="s">
        <v>451</v>
      </c>
      <c r="D19" s="81" t="s">
        <v>429</v>
      </c>
      <c r="E19" s="82" t="s">
        <v>452</v>
      </c>
      <c r="F19" s="82" t="s">
        <v>431</v>
      </c>
      <c r="G19" s="83" t="s">
        <v>432</v>
      </c>
      <c r="H19" s="83" t="s">
        <v>432</v>
      </c>
      <c r="I19" s="80" t="s">
        <v>426</v>
      </c>
      <c r="J19" s="84" t="s">
        <v>433</v>
      </c>
    </row>
    <row r="20" spans="1:10" x14ac:dyDescent="0.2">
      <c r="A20" s="80" t="s">
        <v>477</v>
      </c>
      <c r="B20" s="80" t="s">
        <v>478</v>
      </c>
      <c r="C20" s="80" t="s">
        <v>451</v>
      </c>
      <c r="D20" s="81" t="s">
        <v>429</v>
      </c>
      <c r="E20" s="82" t="s">
        <v>452</v>
      </c>
      <c r="F20" s="82" t="s">
        <v>431</v>
      </c>
      <c r="G20" s="83" t="s">
        <v>432</v>
      </c>
      <c r="H20" s="83" t="s">
        <v>432</v>
      </c>
      <c r="I20" s="80" t="s">
        <v>426</v>
      </c>
      <c r="J20" s="84" t="s">
        <v>433</v>
      </c>
    </row>
    <row r="21" spans="1:10" x14ac:dyDescent="0.2">
      <c r="A21" s="80" t="s">
        <v>479</v>
      </c>
      <c r="B21" s="80" t="s">
        <v>480</v>
      </c>
      <c r="C21" s="80" t="s">
        <v>451</v>
      </c>
      <c r="D21" s="81" t="s">
        <v>429</v>
      </c>
      <c r="E21" s="82" t="s">
        <v>452</v>
      </c>
      <c r="F21" s="82" t="s">
        <v>431</v>
      </c>
      <c r="G21" s="83" t="s">
        <v>432</v>
      </c>
      <c r="H21" s="83" t="s">
        <v>432</v>
      </c>
      <c r="I21" s="80" t="s">
        <v>426</v>
      </c>
      <c r="J21" s="84" t="s">
        <v>433</v>
      </c>
    </row>
    <row r="22" spans="1:10" x14ac:dyDescent="0.2">
      <c r="A22" s="80" t="s">
        <v>481</v>
      </c>
      <c r="B22" s="80" t="s">
        <v>482</v>
      </c>
      <c r="C22" s="80" t="s">
        <v>451</v>
      </c>
      <c r="D22" s="81" t="s">
        <v>429</v>
      </c>
      <c r="E22" s="82" t="s">
        <v>452</v>
      </c>
      <c r="F22" s="82" t="s">
        <v>431</v>
      </c>
      <c r="G22" s="83" t="s">
        <v>432</v>
      </c>
      <c r="H22" s="83" t="s">
        <v>432</v>
      </c>
      <c r="I22" s="80" t="s">
        <v>426</v>
      </c>
      <c r="J22" s="84" t="s">
        <v>433</v>
      </c>
    </row>
    <row r="23" spans="1:10" x14ac:dyDescent="0.2">
      <c r="A23" s="80" t="s">
        <v>483</v>
      </c>
      <c r="B23" s="80" t="s">
        <v>484</v>
      </c>
      <c r="C23" s="80" t="s">
        <v>451</v>
      </c>
      <c r="D23" s="81" t="s">
        <v>429</v>
      </c>
      <c r="E23" s="82" t="s">
        <v>452</v>
      </c>
      <c r="F23" s="82" t="s">
        <v>431</v>
      </c>
      <c r="G23" s="83" t="s">
        <v>432</v>
      </c>
      <c r="H23" s="83" t="s">
        <v>432</v>
      </c>
      <c r="I23" s="80" t="s">
        <v>426</v>
      </c>
      <c r="J23" s="84" t="s">
        <v>433</v>
      </c>
    </row>
    <row r="24" spans="1:10" x14ac:dyDescent="0.2">
      <c r="A24" s="80" t="s">
        <v>485</v>
      </c>
      <c r="B24" s="80" t="s">
        <v>486</v>
      </c>
      <c r="C24" s="80" t="s">
        <v>451</v>
      </c>
      <c r="D24" s="81" t="s">
        <v>429</v>
      </c>
      <c r="E24" s="82" t="s">
        <v>452</v>
      </c>
      <c r="F24" s="82" t="s">
        <v>431</v>
      </c>
      <c r="G24" s="83" t="s">
        <v>432</v>
      </c>
      <c r="H24" s="83" t="s">
        <v>432</v>
      </c>
      <c r="I24" s="80" t="s">
        <v>426</v>
      </c>
      <c r="J24" s="84" t="s">
        <v>433</v>
      </c>
    </row>
    <row r="25" spans="1:10" x14ac:dyDescent="0.2">
      <c r="A25" s="80" t="s">
        <v>487</v>
      </c>
      <c r="B25" s="80" t="s">
        <v>488</v>
      </c>
      <c r="C25" s="80" t="s">
        <v>451</v>
      </c>
      <c r="D25" s="81" t="s">
        <v>429</v>
      </c>
      <c r="E25" s="82" t="s">
        <v>452</v>
      </c>
      <c r="F25" s="82" t="s">
        <v>431</v>
      </c>
      <c r="G25" s="83" t="s">
        <v>432</v>
      </c>
      <c r="H25" s="83" t="s">
        <v>432</v>
      </c>
      <c r="I25" s="80" t="s">
        <v>426</v>
      </c>
      <c r="J25" s="84" t="s">
        <v>433</v>
      </c>
    </row>
    <row r="26" spans="1:10" x14ac:dyDescent="0.2">
      <c r="A26" s="80" t="s">
        <v>489</v>
      </c>
      <c r="B26" s="80" t="s">
        <v>490</v>
      </c>
      <c r="C26" s="80" t="s">
        <v>451</v>
      </c>
      <c r="D26" s="81" t="s">
        <v>429</v>
      </c>
      <c r="E26" s="82" t="s">
        <v>452</v>
      </c>
      <c r="F26" s="82" t="s">
        <v>431</v>
      </c>
      <c r="G26" s="83" t="s">
        <v>432</v>
      </c>
      <c r="H26" s="83" t="s">
        <v>432</v>
      </c>
      <c r="I26" s="80" t="s">
        <v>426</v>
      </c>
      <c r="J26" s="84" t="s">
        <v>433</v>
      </c>
    </row>
    <row r="27" spans="1:10" x14ac:dyDescent="0.2">
      <c r="A27" s="80" t="s">
        <v>491</v>
      </c>
      <c r="B27" s="80" t="s">
        <v>492</v>
      </c>
      <c r="C27" s="80" t="s">
        <v>451</v>
      </c>
      <c r="D27" s="81" t="s">
        <v>429</v>
      </c>
      <c r="E27" s="82" t="s">
        <v>452</v>
      </c>
      <c r="F27" s="82" t="s">
        <v>431</v>
      </c>
      <c r="G27" s="83" t="s">
        <v>432</v>
      </c>
      <c r="H27" s="83" t="s">
        <v>432</v>
      </c>
      <c r="I27" s="80" t="s">
        <v>426</v>
      </c>
      <c r="J27" s="84" t="s">
        <v>433</v>
      </c>
    </row>
    <row r="28" spans="1:10" x14ac:dyDescent="0.2">
      <c r="A28" s="80" t="s">
        <v>493</v>
      </c>
      <c r="B28" s="80" t="s">
        <v>494</v>
      </c>
      <c r="C28" s="80" t="s">
        <v>451</v>
      </c>
      <c r="D28" s="81" t="s">
        <v>429</v>
      </c>
      <c r="E28" s="82" t="s">
        <v>452</v>
      </c>
      <c r="F28" s="82" t="s">
        <v>431</v>
      </c>
      <c r="G28" s="83" t="s">
        <v>432</v>
      </c>
      <c r="H28" s="83" t="s">
        <v>432</v>
      </c>
      <c r="I28" s="80" t="s">
        <v>426</v>
      </c>
      <c r="J28" s="84" t="s">
        <v>433</v>
      </c>
    </row>
    <row r="29" spans="1:10" x14ac:dyDescent="0.2">
      <c r="A29" s="80" t="s">
        <v>495</v>
      </c>
      <c r="B29" s="80" t="s">
        <v>496</v>
      </c>
      <c r="C29" s="80" t="s">
        <v>451</v>
      </c>
      <c r="D29" s="81" t="s">
        <v>429</v>
      </c>
      <c r="E29" s="82" t="s">
        <v>452</v>
      </c>
      <c r="F29" s="82" t="s">
        <v>431</v>
      </c>
      <c r="G29" s="83" t="s">
        <v>432</v>
      </c>
      <c r="H29" s="83" t="s">
        <v>432</v>
      </c>
      <c r="I29" s="80" t="s">
        <v>426</v>
      </c>
      <c r="J29" s="84" t="s">
        <v>433</v>
      </c>
    </row>
    <row r="30" spans="1:10" x14ac:dyDescent="0.2">
      <c r="A30" s="80" t="s">
        <v>497</v>
      </c>
      <c r="B30" s="80" t="s">
        <v>498</v>
      </c>
      <c r="C30" s="80" t="s">
        <v>451</v>
      </c>
      <c r="D30" s="81" t="s">
        <v>429</v>
      </c>
      <c r="E30" s="82" t="s">
        <v>452</v>
      </c>
      <c r="F30" s="82" t="s">
        <v>431</v>
      </c>
      <c r="G30" s="83" t="s">
        <v>432</v>
      </c>
      <c r="H30" s="83" t="s">
        <v>432</v>
      </c>
      <c r="I30" s="80" t="s">
        <v>426</v>
      </c>
      <c r="J30" s="84" t="s">
        <v>433</v>
      </c>
    </row>
    <row r="31" spans="1:10" x14ac:dyDescent="0.2">
      <c r="A31" s="80" t="s">
        <v>499</v>
      </c>
      <c r="B31" s="80" t="s">
        <v>500</v>
      </c>
      <c r="C31" s="80" t="s">
        <v>451</v>
      </c>
      <c r="D31" s="81" t="s">
        <v>429</v>
      </c>
      <c r="E31" s="82" t="s">
        <v>452</v>
      </c>
      <c r="F31" s="82" t="s">
        <v>431</v>
      </c>
      <c r="G31" s="83" t="s">
        <v>432</v>
      </c>
      <c r="H31" s="83" t="s">
        <v>432</v>
      </c>
      <c r="I31" s="80" t="s">
        <v>426</v>
      </c>
      <c r="J31" s="84" t="s">
        <v>433</v>
      </c>
    </row>
    <row r="32" spans="1:10" x14ac:dyDescent="0.2">
      <c r="A32" s="80" t="s">
        <v>501</v>
      </c>
      <c r="B32" s="80" t="s">
        <v>502</v>
      </c>
      <c r="C32" s="80" t="s">
        <v>451</v>
      </c>
      <c r="D32" s="81" t="s">
        <v>429</v>
      </c>
      <c r="E32" s="82" t="s">
        <v>452</v>
      </c>
      <c r="F32" s="82" t="s">
        <v>431</v>
      </c>
      <c r="G32" s="83" t="s">
        <v>432</v>
      </c>
      <c r="H32" s="83" t="s">
        <v>432</v>
      </c>
      <c r="I32" s="80" t="s">
        <v>426</v>
      </c>
      <c r="J32" s="84" t="s">
        <v>433</v>
      </c>
    </row>
    <row r="33" spans="1:10" x14ac:dyDescent="0.2">
      <c r="A33" s="80" t="s">
        <v>503</v>
      </c>
      <c r="B33" s="80" t="s">
        <v>504</v>
      </c>
      <c r="C33" s="80" t="s">
        <v>451</v>
      </c>
      <c r="D33" s="81" t="s">
        <v>429</v>
      </c>
      <c r="E33" s="82" t="s">
        <v>452</v>
      </c>
      <c r="F33" s="82" t="s">
        <v>431</v>
      </c>
      <c r="G33" s="83" t="s">
        <v>432</v>
      </c>
      <c r="H33" s="83" t="s">
        <v>432</v>
      </c>
      <c r="I33" s="80" t="s">
        <v>426</v>
      </c>
      <c r="J33" s="84" t="s">
        <v>433</v>
      </c>
    </row>
    <row r="34" spans="1:10" x14ac:dyDescent="0.2">
      <c r="A34" s="80" t="s">
        <v>505</v>
      </c>
      <c r="B34" s="80" t="s">
        <v>506</v>
      </c>
      <c r="C34" s="80" t="s">
        <v>451</v>
      </c>
      <c r="D34" s="81" t="s">
        <v>429</v>
      </c>
      <c r="E34" s="82" t="s">
        <v>452</v>
      </c>
      <c r="F34" s="82" t="s">
        <v>431</v>
      </c>
      <c r="G34" s="83" t="s">
        <v>432</v>
      </c>
      <c r="H34" s="83" t="s">
        <v>432</v>
      </c>
      <c r="I34" s="80" t="s">
        <v>426</v>
      </c>
      <c r="J34" s="84" t="s">
        <v>433</v>
      </c>
    </row>
    <row r="35" spans="1:10" x14ac:dyDescent="0.2">
      <c r="A35" s="80" t="s">
        <v>507</v>
      </c>
      <c r="B35" s="80" t="s">
        <v>508</v>
      </c>
      <c r="C35" s="80" t="s">
        <v>451</v>
      </c>
      <c r="D35" s="81" t="s">
        <v>429</v>
      </c>
      <c r="E35" s="82" t="s">
        <v>452</v>
      </c>
      <c r="F35" s="82" t="s">
        <v>431</v>
      </c>
      <c r="G35" s="83" t="s">
        <v>432</v>
      </c>
      <c r="H35" s="83" t="s">
        <v>432</v>
      </c>
      <c r="I35" s="80" t="s">
        <v>426</v>
      </c>
      <c r="J35" s="84" t="s">
        <v>433</v>
      </c>
    </row>
    <row r="36" spans="1:10" x14ac:dyDescent="0.2">
      <c r="A36" s="80" t="s">
        <v>509</v>
      </c>
      <c r="B36" s="80" t="s">
        <v>510</v>
      </c>
      <c r="C36" s="80" t="s">
        <v>451</v>
      </c>
      <c r="D36" s="81" t="s">
        <v>429</v>
      </c>
      <c r="E36" s="82" t="s">
        <v>452</v>
      </c>
      <c r="F36" s="82" t="s">
        <v>431</v>
      </c>
      <c r="G36" s="83" t="s">
        <v>432</v>
      </c>
      <c r="H36" s="83" t="s">
        <v>432</v>
      </c>
      <c r="I36" s="80" t="s">
        <v>426</v>
      </c>
      <c r="J36" s="84" t="s">
        <v>433</v>
      </c>
    </row>
    <row r="37" spans="1:10" x14ac:dyDescent="0.2">
      <c r="A37" s="80" t="s">
        <v>511</v>
      </c>
      <c r="B37" s="80" t="s">
        <v>512</v>
      </c>
      <c r="C37" s="80" t="s">
        <v>451</v>
      </c>
      <c r="D37" s="81" t="s">
        <v>429</v>
      </c>
      <c r="E37" s="82" t="s">
        <v>452</v>
      </c>
      <c r="F37" s="82" t="s">
        <v>431</v>
      </c>
      <c r="G37" s="83" t="s">
        <v>432</v>
      </c>
      <c r="H37" s="83" t="s">
        <v>432</v>
      </c>
      <c r="I37" s="80" t="s">
        <v>426</v>
      </c>
      <c r="J37" s="84" t="s">
        <v>433</v>
      </c>
    </row>
    <row r="38" spans="1:10" x14ac:dyDescent="0.2">
      <c r="A38" s="80" t="s">
        <v>513</v>
      </c>
      <c r="B38" s="80" t="s">
        <v>514</v>
      </c>
      <c r="C38" s="80" t="s">
        <v>451</v>
      </c>
      <c r="D38" s="81" t="s">
        <v>429</v>
      </c>
      <c r="E38" s="82" t="s">
        <v>452</v>
      </c>
      <c r="F38" s="82" t="s">
        <v>431</v>
      </c>
      <c r="G38" s="83" t="s">
        <v>432</v>
      </c>
      <c r="H38" s="83" t="s">
        <v>432</v>
      </c>
      <c r="I38" s="80" t="s">
        <v>426</v>
      </c>
      <c r="J38" s="84" t="s">
        <v>433</v>
      </c>
    </row>
    <row r="39" spans="1:10" x14ac:dyDescent="0.2">
      <c r="A39" s="80" t="s">
        <v>515</v>
      </c>
      <c r="B39" s="80" t="s">
        <v>516</v>
      </c>
      <c r="C39" s="80" t="s">
        <v>451</v>
      </c>
      <c r="D39" s="81" t="s">
        <v>429</v>
      </c>
      <c r="E39" s="82" t="s">
        <v>452</v>
      </c>
      <c r="F39" s="82" t="s">
        <v>431</v>
      </c>
      <c r="G39" s="83" t="s">
        <v>432</v>
      </c>
      <c r="H39" s="83" t="s">
        <v>432</v>
      </c>
      <c r="I39" s="80" t="s">
        <v>426</v>
      </c>
      <c r="J39" s="84" t="s">
        <v>433</v>
      </c>
    </row>
    <row r="40" spans="1:10" x14ac:dyDescent="0.2">
      <c r="A40" s="80" t="s">
        <v>517</v>
      </c>
      <c r="B40" s="80" t="s">
        <v>518</v>
      </c>
      <c r="C40" s="80" t="s">
        <v>451</v>
      </c>
      <c r="D40" s="81" t="s">
        <v>429</v>
      </c>
      <c r="E40" s="82" t="s">
        <v>452</v>
      </c>
      <c r="F40" s="82" t="s">
        <v>431</v>
      </c>
      <c r="G40" s="83" t="s">
        <v>432</v>
      </c>
      <c r="H40" s="83" t="s">
        <v>432</v>
      </c>
      <c r="I40" s="80" t="s">
        <v>426</v>
      </c>
      <c r="J40" s="84" t="s">
        <v>433</v>
      </c>
    </row>
    <row r="41" spans="1:10" x14ac:dyDescent="0.2">
      <c r="A41" s="80" t="s">
        <v>519</v>
      </c>
      <c r="B41" s="80" t="s">
        <v>520</v>
      </c>
      <c r="C41" s="80" t="s">
        <v>451</v>
      </c>
      <c r="D41" s="81" t="s">
        <v>429</v>
      </c>
      <c r="E41" s="82" t="s">
        <v>452</v>
      </c>
      <c r="F41" s="82" t="s">
        <v>431</v>
      </c>
      <c r="G41" s="83" t="s">
        <v>432</v>
      </c>
      <c r="H41" s="83" t="s">
        <v>432</v>
      </c>
      <c r="I41" s="80" t="s">
        <v>426</v>
      </c>
      <c r="J41" s="84" t="s">
        <v>433</v>
      </c>
    </row>
    <row r="42" spans="1:10" x14ac:dyDescent="0.2">
      <c r="A42" s="80" t="s">
        <v>521</v>
      </c>
      <c r="B42" s="80" t="s">
        <v>522</v>
      </c>
      <c r="C42" s="80" t="s">
        <v>451</v>
      </c>
      <c r="D42" s="81" t="s">
        <v>429</v>
      </c>
      <c r="E42" s="82" t="s">
        <v>452</v>
      </c>
      <c r="F42" s="82" t="s">
        <v>431</v>
      </c>
      <c r="G42" s="83" t="s">
        <v>432</v>
      </c>
      <c r="H42" s="83" t="s">
        <v>432</v>
      </c>
      <c r="I42" s="80" t="s">
        <v>426</v>
      </c>
      <c r="J42" s="84" t="s">
        <v>433</v>
      </c>
    </row>
    <row r="43" spans="1:10" x14ac:dyDescent="0.2">
      <c r="A43" s="80" t="s">
        <v>523</v>
      </c>
      <c r="B43" s="80" t="s">
        <v>524</v>
      </c>
      <c r="C43" s="80" t="s">
        <v>451</v>
      </c>
      <c r="D43" s="81" t="s">
        <v>429</v>
      </c>
      <c r="E43" s="82" t="s">
        <v>452</v>
      </c>
      <c r="F43" s="82" t="s">
        <v>431</v>
      </c>
      <c r="G43" s="83" t="s">
        <v>432</v>
      </c>
      <c r="H43" s="83" t="s">
        <v>432</v>
      </c>
      <c r="I43" s="80" t="s">
        <v>426</v>
      </c>
      <c r="J43" s="84" t="s">
        <v>433</v>
      </c>
    </row>
    <row r="44" spans="1:10" x14ac:dyDescent="0.2">
      <c r="A44" s="80" t="s">
        <v>525</v>
      </c>
      <c r="B44" s="80" t="s">
        <v>526</v>
      </c>
      <c r="C44" s="80" t="s">
        <v>451</v>
      </c>
      <c r="D44" s="81" t="s">
        <v>429</v>
      </c>
      <c r="E44" s="82" t="s">
        <v>452</v>
      </c>
      <c r="F44" s="82" t="s">
        <v>431</v>
      </c>
      <c r="G44" s="83" t="s">
        <v>432</v>
      </c>
      <c r="H44" s="83" t="s">
        <v>432</v>
      </c>
      <c r="I44" s="80" t="s">
        <v>426</v>
      </c>
      <c r="J44" s="84" t="s">
        <v>433</v>
      </c>
    </row>
    <row r="45" spans="1:10" x14ac:dyDescent="0.2">
      <c r="A45" s="80" t="s">
        <v>527</v>
      </c>
      <c r="B45" s="80" t="s">
        <v>528</v>
      </c>
      <c r="C45" s="80" t="s">
        <v>451</v>
      </c>
      <c r="D45" s="81" t="s">
        <v>429</v>
      </c>
      <c r="E45" s="82" t="s">
        <v>452</v>
      </c>
      <c r="F45" s="82" t="s">
        <v>431</v>
      </c>
      <c r="G45" s="83" t="s">
        <v>432</v>
      </c>
      <c r="H45" s="83" t="s">
        <v>432</v>
      </c>
      <c r="I45" s="80" t="s">
        <v>426</v>
      </c>
      <c r="J45" s="84" t="s">
        <v>433</v>
      </c>
    </row>
    <row r="46" spans="1:10" x14ac:dyDescent="0.2">
      <c r="A46" s="80" t="s">
        <v>529</v>
      </c>
      <c r="B46" s="80" t="s">
        <v>530</v>
      </c>
      <c r="C46" s="80" t="s">
        <v>451</v>
      </c>
      <c r="D46" s="81" t="s">
        <v>429</v>
      </c>
      <c r="E46" s="82" t="s">
        <v>452</v>
      </c>
      <c r="F46" s="82" t="s">
        <v>431</v>
      </c>
      <c r="G46" s="83" t="s">
        <v>432</v>
      </c>
      <c r="H46" s="83" t="s">
        <v>432</v>
      </c>
      <c r="I46" s="80" t="s">
        <v>426</v>
      </c>
      <c r="J46" s="84" t="s">
        <v>433</v>
      </c>
    </row>
    <row r="47" spans="1:10" x14ac:dyDescent="0.2">
      <c r="A47" s="80" t="s">
        <v>531</v>
      </c>
      <c r="B47" s="80" t="s">
        <v>532</v>
      </c>
      <c r="C47" s="80" t="s">
        <v>451</v>
      </c>
      <c r="D47" s="81" t="s">
        <v>429</v>
      </c>
      <c r="E47" s="82" t="s">
        <v>452</v>
      </c>
      <c r="F47" s="82" t="s">
        <v>431</v>
      </c>
      <c r="G47" s="83" t="s">
        <v>432</v>
      </c>
      <c r="H47" s="83" t="s">
        <v>432</v>
      </c>
      <c r="I47" s="80" t="s">
        <v>426</v>
      </c>
      <c r="J47" s="84" t="s">
        <v>433</v>
      </c>
    </row>
    <row r="48" spans="1:10" x14ac:dyDescent="0.2">
      <c r="A48" s="80" t="s">
        <v>533</v>
      </c>
      <c r="B48" s="80" t="s">
        <v>534</v>
      </c>
      <c r="C48" s="80" t="s">
        <v>451</v>
      </c>
      <c r="D48" s="81" t="s">
        <v>429</v>
      </c>
      <c r="E48" s="82" t="s">
        <v>452</v>
      </c>
      <c r="F48" s="82" t="s">
        <v>431</v>
      </c>
      <c r="G48" s="83" t="s">
        <v>432</v>
      </c>
      <c r="H48" s="83" t="s">
        <v>432</v>
      </c>
      <c r="I48" s="80" t="s">
        <v>426</v>
      </c>
      <c r="J48" s="84" t="s">
        <v>433</v>
      </c>
    </row>
    <row r="49" spans="1:10" x14ac:dyDescent="0.2">
      <c r="A49" s="80" t="s">
        <v>535</v>
      </c>
      <c r="B49" s="80" t="s">
        <v>536</v>
      </c>
      <c r="C49" s="80" t="s">
        <v>451</v>
      </c>
      <c r="D49" s="81" t="s">
        <v>429</v>
      </c>
      <c r="E49" s="82" t="s">
        <v>452</v>
      </c>
      <c r="F49" s="82" t="s">
        <v>431</v>
      </c>
      <c r="G49" s="83" t="s">
        <v>432</v>
      </c>
      <c r="H49" s="83" t="s">
        <v>432</v>
      </c>
      <c r="I49" s="80" t="s">
        <v>426</v>
      </c>
      <c r="J49" s="84" t="s">
        <v>433</v>
      </c>
    </row>
    <row r="50" spans="1:10" x14ac:dyDescent="0.2">
      <c r="A50" s="80" t="s">
        <v>537</v>
      </c>
      <c r="B50" s="80" t="s">
        <v>538</v>
      </c>
      <c r="C50" s="80" t="s">
        <v>451</v>
      </c>
      <c r="D50" s="81" t="s">
        <v>429</v>
      </c>
      <c r="E50" s="82" t="s">
        <v>452</v>
      </c>
      <c r="F50" s="82" t="s">
        <v>431</v>
      </c>
      <c r="G50" s="83" t="s">
        <v>432</v>
      </c>
      <c r="H50" s="83" t="s">
        <v>432</v>
      </c>
      <c r="I50" s="80" t="s">
        <v>426</v>
      </c>
      <c r="J50" s="84" t="s">
        <v>433</v>
      </c>
    </row>
    <row r="51" spans="1:10" x14ac:dyDescent="0.2">
      <c r="A51" s="80" t="s">
        <v>539</v>
      </c>
      <c r="B51" s="80" t="s">
        <v>540</v>
      </c>
      <c r="C51" s="80" t="s">
        <v>443</v>
      </c>
      <c r="D51" s="81" t="s">
        <v>429</v>
      </c>
      <c r="E51" s="82" t="s">
        <v>541</v>
      </c>
      <c r="F51" s="82" t="s">
        <v>431</v>
      </c>
      <c r="G51" s="83" t="s">
        <v>432</v>
      </c>
      <c r="H51" s="83" t="s">
        <v>432</v>
      </c>
      <c r="I51" s="80" t="s">
        <v>426</v>
      </c>
      <c r="J51" s="84" t="s">
        <v>433</v>
      </c>
    </row>
    <row r="52" spans="1:10" x14ac:dyDescent="0.2">
      <c r="A52" s="80" t="s">
        <v>542</v>
      </c>
      <c r="B52" s="80" t="s">
        <v>543</v>
      </c>
      <c r="C52" s="80" t="s">
        <v>428</v>
      </c>
      <c r="D52" s="81" t="s">
        <v>544</v>
      </c>
      <c r="E52" s="82" t="s">
        <v>431</v>
      </c>
      <c r="F52" s="82" t="s">
        <v>431</v>
      </c>
      <c r="G52" s="83" t="s">
        <v>432</v>
      </c>
      <c r="H52" s="83" t="s">
        <v>432</v>
      </c>
      <c r="I52" s="80" t="s">
        <v>426</v>
      </c>
      <c r="J52" s="84" t="s">
        <v>433</v>
      </c>
    </row>
    <row r="53" spans="1:10" x14ac:dyDescent="0.2">
      <c r="A53" s="80" t="s">
        <v>545</v>
      </c>
      <c r="B53" s="80" t="s">
        <v>546</v>
      </c>
      <c r="C53" s="80" t="s">
        <v>547</v>
      </c>
      <c r="D53" s="81" t="s">
        <v>429</v>
      </c>
      <c r="E53" s="82" t="s">
        <v>548</v>
      </c>
      <c r="F53" s="82" t="s">
        <v>431</v>
      </c>
      <c r="G53" s="83" t="s">
        <v>432</v>
      </c>
      <c r="H53" s="83" t="s">
        <v>432</v>
      </c>
      <c r="I53" s="80" t="s">
        <v>426</v>
      </c>
      <c r="J53" s="84" t="s">
        <v>433</v>
      </c>
    </row>
    <row r="54" spans="1:10" x14ac:dyDescent="0.2">
      <c r="A54" s="80" t="s">
        <v>549</v>
      </c>
      <c r="B54" s="80" t="s">
        <v>550</v>
      </c>
      <c r="C54" s="80" t="s">
        <v>547</v>
      </c>
      <c r="D54" s="81" t="s">
        <v>429</v>
      </c>
      <c r="E54" s="82" t="s">
        <v>551</v>
      </c>
      <c r="F54" s="82" t="s">
        <v>431</v>
      </c>
      <c r="G54" s="83" t="s">
        <v>432</v>
      </c>
      <c r="H54" s="83" t="s">
        <v>432</v>
      </c>
      <c r="I54" s="80" t="s">
        <v>426</v>
      </c>
      <c r="J54" s="84" t="s">
        <v>433</v>
      </c>
    </row>
    <row r="55" spans="1:10" x14ac:dyDescent="0.2">
      <c r="A55" s="80" t="s">
        <v>552</v>
      </c>
      <c r="B55" s="80" t="s">
        <v>553</v>
      </c>
      <c r="C55" s="80" t="s">
        <v>547</v>
      </c>
      <c r="D55" s="81" t="s">
        <v>429</v>
      </c>
      <c r="E55" s="82" t="s">
        <v>554</v>
      </c>
      <c r="F55" s="82" t="s">
        <v>431</v>
      </c>
      <c r="G55" s="83" t="s">
        <v>432</v>
      </c>
      <c r="H55" s="83" t="s">
        <v>432</v>
      </c>
      <c r="I55" s="80" t="s">
        <v>426</v>
      </c>
      <c r="J55" s="84" t="s">
        <v>433</v>
      </c>
    </row>
    <row r="56" spans="1:10" x14ac:dyDescent="0.2">
      <c r="A56" s="80" t="s">
        <v>555</v>
      </c>
      <c r="B56" s="80" t="s">
        <v>306</v>
      </c>
      <c r="C56" s="80" t="s">
        <v>556</v>
      </c>
      <c r="D56" s="81" t="s">
        <v>429</v>
      </c>
      <c r="E56" s="82" t="s">
        <v>431</v>
      </c>
      <c r="F56" s="82" t="s">
        <v>431</v>
      </c>
      <c r="G56" s="83" t="s">
        <v>432</v>
      </c>
      <c r="H56" s="83" t="s">
        <v>432</v>
      </c>
      <c r="I56" s="80" t="s">
        <v>426</v>
      </c>
      <c r="J56" s="84" t="s">
        <v>433</v>
      </c>
    </row>
    <row r="57" spans="1:10" x14ac:dyDescent="0.2">
      <c r="A57" s="80" t="s">
        <v>557</v>
      </c>
      <c r="B57" s="80" t="s">
        <v>558</v>
      </c>
      <c r="C57" s="80" t="s">
        <v>556</v>
      </c>
      <c r="D57" s="81" t="s">
        <v>429</v>
      </c>
      <c r="E57" s="82" t="s">
        <v>431</v>
      </c>
      <c r="F57" s="82" t="s">
        <v>431</v>
      </c>
      <c r="G57" s="83" t="s">
        <v>432</v>
      </c>
      <c r="H57" s="83" t="s">
        <v>432</v>
      </c>
      <c r="I57" s="80" t="s">
        <v>426</v>
      </c>
      <c r="J57" s="84" t="s">
        <v>433</v>
      </c>
    </row>
    <row r="58" spans="1:10" x14ac:dyDescent="0.2">
      <c r="A58" s="80" t="s">
        <v>559</v>
      </c>
      <c r="B58" s="80" t="s">
        <v>316</v>
      </c>
      <c r="C58" s="80" t="s">
        <v>560</v>
      </c>
      <c r="D58" s="81" t="s">
        <v>561</v>
      </c>
      <c r="E58" s="82" t="s">
        <v>554</v>
      </c>
      <c r="F58" s="82" t="s">
        <v>431</v>
      </c>
      <c r="G58" s="83" t="s">
        <v>432</v>
      </c>
      <c r="H58" s="83" t="s">
        <v>432</v>
      </c>
      <c r="I58" s="80" t="s">
        <v>426</v>
      </c>
      <c r="J58" s="84" t="s">
        <v>433</v>
      </c>
    </row>
    <row r="59" spans="1:10" x14ac:dyDescent="0.2">
      <c r="A59" s="80" t="s">
        <v>562</v>
      </c>
      <c r="B59" s="80" t="s">
        <v>266</v>
      </c>
      <c r="C59" s="80" t="s">
        <v>560</v>
      </c>
      <c r="D59" s="81" t="s">
        <v>561</v>
      </c>
      <c r="E59" s="82" t="s">
        <v>563</v>
      </c>
      <c r="F59" s="82" t="s">
        <v>431</v>
      </c>
      <c r="G59" s="83" t="s">
        <v>432</v>
      </c>
      <c r="H59" s="83" t="s">
        <v>432</v>
      </c>
      <c r="I59" s="80" t="s">
        <v>426</v>
      </c>
      <c r="J59" s="84" t="s">
        <v>433</v>
      </c>
    </row>
    <row r="60" spans="1:10" x14ac:dyDescent="0.2">
      <c r="A60" s="80" t="s">
        <v>564</v>
      </c>
      <c r="B60" s="80" t="s">
        <v>260</v>
      </c>
      <c r="C60" s="80" t="s">
        <v>560</v>
      </c>
      <c r="D60" s="81" t="s">
        <v>561</v>
      </c>
      <c r="E60" s="82" t="s">
        <v>563</v>
      </c>
      <c r="F60" s="82" t="s">
        <v>431</v>
      </c>
      <c r="G60" s="83" t="s">
        <v>432</v>
      </c>
      <c r="H60" s="83" t="s">
        <v>432</v>
      </c>
      <c r="I60" s="80" t="s">
        <v>426</v>
      </c>
      <c r="J60" s="84" t="s">
        <v>433</v>
      </c>
    </row>
    <row r="61" spans="1:10" x14ac:dyDescent="0.2">
      <c r="A61" s="80" t="s">
        <v>565</v>
      </c>
      <c r="B61" s="80" t="s">
        <v>410</v>
      </c>
      <c r="C61" s="80" t="s">
        <v>560</v>
      </c>
      <c r="D61" s="81" t="s">
        <v>561</v>
      </c>
      <c r="E61" s="82" t="s">
        <v>566</v>
      </c>
      <c r="F61" s="82" t="s">
        <v>431</v>
      </c>
      <c r="G61" s="83" t="s">
        <v>432</v>
      </c>
      <c r="H61" s="83" t="s">
        <v>432</v>
      </c>
      <c r="I61" s="80" t="s">
        <v>426</v>
      </c>
      <c r="J61" s="84" t="s">
        <v>433</v>
      </c>
    </row>
    <row r="62" spans="1:10" x14ac:dyDescent="0.2">
      <c r="A62" s="80" t="s">
        <v>567</v>
      </c>
      <c r="B62" s="80" t="s">
        <v>261</v>
      </c>
      <c r="C62" s="80" t="s">
        <v>560</v>
      </c>
      <c r="D62" s="81" t="s">
        <v>561</v>
      </c>
      <c r="E62" s="82" t="s">
        <v>568</v>
      </c>
      <c r="F62" s="82" t="s">
        <v>431</v>
      </c>
      <c r="G62" s="83" t="s">
        <v>432</v>
      </c>
      <c r="H62" s="83" t="s">
        <v>432</v>
      </c>
      <c r="I62" s="80" t="s">
        <v>426</v>
      </c>
      <c r="J62" s="84" t="s">
        <v>433</v>
      </c>
    </row>
    <row r="63" spans="1:10" x14ac:dyDescent="0.2">
      <c r="A63" s="80" t="s">
        <v>569</v>
      </c>
      <c r="B63" s="80" t="s">
        <v>267</v>
      </c>
      <c r="C63" s="80" t="s">
        <v>560</v>
      </c>
      <c r="D63" s="81" t="s">
        <v>561</v>
      </c>
      <c r="E63" s="82" t="s">
        <v>568</v>
      </c>
      <c r="F63" s="82" t="s">
        <v>431</v>
      </c>
      <c r="G63" s="83" t="s">
        <v>432</v>
      </c>
      <c r="H63" s="83" t="s">
        <v>432</v>
      </c>
      <c r="I63" s="80" t="s">
        <v>426</v>
      </c>
      <c r="J63" s="84" t="s">
        <v>433</v>
      </c>
    </row>
    <row r="64" spans="1:10" x14ac:dyDescent="0.2">
      <c r="A64" s="80" t="s">
        <v>570</v>
      </c>
      <c r="B64" s="80" t="s">
        <v>262</v>
      </c>
      <c r="C64" s="80" t="s">
        <v>560</v>
      </c>
      <c r="D64" s="81" t="s">
        <v>561</v>
      </c>
      <c r="E64" s="82" t="s">
        <v>571</v>
      </c>
      <c r="F64" s="82" t="s">
        <v>431</v>
      </c>
      <c r="G64" s="83" t="s">
        <v>432</v>
      </c>
      <c r="H64" s="83" t="s">
        <v>432</v>
      </c>
      <c r="I64" s="80" t="s">
        <v>426</v>
      </c>
      <c r="J64" s="84" t="s">
        <v>433</v>
      </c>
    </row>
    <row r="65" spans="1:10" x14ac:dyDescent="0.2">
      <c r="A65" s="80" t="s">
        <v>572</v>
      </c>
      <c r="B65" s="80" t="s">
        <v>269</v>
      </c>
      <c r="C65" s="80" t="s">
        <v>560</v>
      </c>
      <c r="D65" s="81" t="s">
        <v>561</v>
      </c>
      <c r="E65" s="82" t="s">
        <v>573</v>
      </c>
      <c r="F65" s="82" t="s">
        <v>431</v>
      </c>
      <c r="G65" s="83" t="s">
        <v>432</v>
      </c>
      <c r="H65" s="83" t="s">
        <v>432</v>
      </c>
      <c r="I65" s="80" t="s">
        <v>426</v>
      </c>
      <c r="J65" s="84" t="s">
        <v>433</v>
      </c>
    </row>
    <row r="66" spans="1:10" x14ac:dyDescent="0.2">
      <c r="A66" s="80" t="s">
        <v>574</v>
      </c>
      <c r="B66" s="80" t="s">
        <v>575</v>
      </c>
      <c r="C66" s="80" t="s">
        <v>560</v>
      </c>
      <c r="D66" s="81" t="s">
        <v>561</v>
      </c>
      <c r="E66" s="82" t="s">
        <v>554</v>
      </c>
      <c r="F66" s="82" t="s">
        <v>431</v>
      </c>
      <c r="G66" s="83" t="s">
        <v>432</v>
      </c>
      <c r="H66" s="83" t="s">
        <v>432</v>
      </c>
      <c r="I66" s="80" t="s">
        <v>426</v>
      </c>
      <c r="J66" s="84" t="s">
        <v>433</v>
      </c>
    </row>
    <row r="67" spans="1:10" x14ac:dyDescent="0.2">
      <c r="A67" s="80" t="s">
        <v>576</v>
      </c>
      <c r="B67" s="80" t="s">
        <v>264</v>
      </c>
      <c r="C67" s="80" t="s">
        <v>560</v>
      </c>
      <c r="D67" s="81" t="s">
        <v>561</v>
      </c>
      <c r="E67" s="82" t="s">
        <v>568</v>
      </c>
      <c r="F67" s="82" t="s">
        <v>431</v>
      </c>
      <c r="G67" s="83" t="s">
        <v>432</v>
      </c>
      <c r="H67" s="83" t="s">
        <v>432</v>
      </c>
      <c r="I67" s="80" t="s">
        <v>426</v>
      </c>
      <c r="J67" s="84" t="s">
        <v>433</v>
      </c>
    </row>
    <row r="68" spans="1:10" x14ac:dyDescent="0.2">
      <c r="A68" s="80" t="s">
        <v>577</v>
      </c>
      <c r="B68" s="80" t="s">
        <v>578</v>
      </c>
      <c r="C68" s="80" t="s">
        <v>560</v>
      </c>
      <c r="D68" s="81" t="s">
        <v>561</v>
      </c>
      <c r="E68" s="82" t="s">
        <v>568</v>
      </c>
      <c r="F68" s="82" t="s">
        <v>431</v>
      </c>
      <c r="G68" s="83" t="s">
        <v>432</v>
      </c>
      <c r="H68" s="83" t="s">
        <v>432</v>
      </c>
      <c r="I68" s="80" t="s">
        <v>426</v>
      </c>
      <c r="J68" s="84" t="s">
        <v>433</v>
      </c>
    </row>
    <row r="69" spans="1:10" x14ac:dyDescent="0.2">
      <c r="A69" s="80" t="s">
        <v>579</v>
      </c>
      <c r="B69" s="80" t="s">
        <v>580</v>
      </c>
      <c r="C69" s="80" t="s">
        <v>581</v>
      </c>
      <c r="D69" s="81" t="s">
        <v>582</v>
      </c>
      <c r="E69" s="82" t="s">
        <v>583</v>
      </c>
      <c r="F69" s="82" t="s">
        <v>431</v>
      </c>
      <c r="G69" s="83" t="s">
        <v>432</v>
      </c>
      <c r="H69" s="83" t="s">
        <v>432</v>
      </c>
      <c r="I69" s="80" t="s">
        <v>426</v>
      </c>
      <c r="J69" s="84" t="s">
        <v>584</v>
      </c>
    </row>
    <row r="70" spans="1:10" x14ac:dyDescent="0.2">
      <c r="A70" s="80" t="s">
        <v>585</v>
      </c>
      <c r="B70" s="80" t="s">
        <v>416</v>
      </c>
      <c r="C70" s="80" t="s">
        <v>547</v>
      </c>
      <c r="D70" s="81" t="s">
        <v>429</v>
      </c>
      <c r="E70" s="82" t="s">
        <v>586</v>
      </c>
      <c r="F70" s="82" t="s">
        <v>431</v>
      </c>
      <c r="G70" s="83" t="s">
        <v>432</v>
      </c>
      <c r="H70" s="83" t="s">
        <v>432</v>
      </c>
      <c r="I70" s="80" t="s">
        <v>426</v>
      </c>
      <c r="J70" s="84" t="s">
        <v>433</v>
      </c>
    </row>
    <row r="71" spans="1:10" x14ac:dyDescent="0.2">
      <c r="A71" s="80" t="s">
        <v>587</v>
      </c>
      <c r="B71" s="80" t="s">
        <v>588</v>
      </c>
      <c r="C71" s="80" t="s">
        <v>589</v>
      </c>
      <c r="D71" s="81" t="s">
        <v>429</v>
      </c>
      <c r="E71" s="82" t="s">
        <v>448</v>
      </c>
      <c r="F71" s="82" t="s">
        <v>431</v>
      </c>
      <c r="G71" s="83" t="s">
        <v>432</v>
      </c>
      <c r="H71" s="83" t="s">
        <v>432</v>
      </c>
      <c r="I71" s="80" t="s">
        <v>426</v>
      </c>
      <c r="J71" s="84" t="s">
        <v>433</v>
      </c>
    </row>
    <row r="72" spans="1:10" x14ac:dyDescent="0.2">
      <c r="A72" s="80" t="s">
        <v>590</v>
      </c>
      <c r="B72" s="80" t="s">
        <v>298</v>
      </c>
      <c r="C72" s="80" t="s">
        <v>581</v>
      </c>
      <c r="D72" s="81" t="s">
        <v>429</v>
      </c>
      <c r="E72" s="82" t="s">
        <v>554</v>
      </c>
      <c r="F72" s="82" t="s">
        <v>431</v>
      </c>
      <c r="G72" s="83" t="s">
        <v>432</v>
      </c>
      <c r="H72" s="83" t="s">
        <v>432</v>
      </c>
      <c r="I72" s="80" t="s">
        <v>426</v>
      </c>
      <c r="J72" s="84" t="s">
        <v>433</v>
      </c>
    </row>
    <row r="73" spans="1:10" x14ac:dyDescent="0.2">
      <c r="A73" s="80" t="s">
        <v>591</v>
      </c>
      <c r="B73" s="80" t="s">
        <v>363</v>
      </c>
      <c r="C73" s="80" t="s">
        <v>556</v>
      </c>
      <c r="D73" s="81" t="s">
        <v>561</v>
      </c>
      <c r="E73" s="82" t="s">
        <v>566</v>
      </c>
      <c r="F73" s="82" t="s">
        <v>431</v>
      </c>
      <c r="G73" s="83" t="s">
        <v>432</v>
      </c>
      <c r="H73" s="83" t="s">
        <v>432</v>
      </c>
      <c r="I73" s="80" t="s">
        <v>426</v>
      </c>
      <c r="J73" s="84" t="s">
        <v>433</v>
      </c>
    </row>
    <row r="74" spans="1:10" x14ac:dyDescent="0.2">
      <c r="A74" s="80" t="s">
        <v>592</v>
      </c>
      <c r="B74" s="80" t="s">
        <v>593</v>
      </c>
      <c r="C74" s="80" t="s">
        <v>556</v>
      </c>
      <c r="D74" s="81" t="s">
        <v>561</v>
      </c>
      <c r="E74" s="82" t="s">
        <v>571</v>
      </c>
      <c r="F74" s="82" t="s">
        <v>431</v>
      </c>
      <c r="G74" s="83" t="s">
        <v>432</v>
      </c>
      <c r="H74" s="83" t="s">
        <v>432</v>
      </c>
      <c r="I74" s="80" t="s">
        <v>426</v>
      </c>
      <c r="J74" s="84" t="s">
        <v>433</v>
      </c>
    </row>
    <row r="75" spans="1:10" x14ac:dyDescent="0.2">
      <c r="A75" s="80" t="s">
        <v>594</v>
      </c>
      <c r="B75" s="80" t="s">
        <v>595</v>
      </c>
      <c r="C75" s="80" t="s">
        <v>547</v>
      </c>
      <c r="D75" s="81" t="s">
        <v>429</v>
      </c>
      <c r="E75" s="82" t="s">
        <v>586</v>
      </c>
      <c r="F75" s="82" t="s">
        <v>431</v>
      </c>
      <c r="G75" s="83" t="s">
        <v>432</v>
      </c>
      <c r="H75" s="83" t="s">
        <v>432</v>
      </c>
      <c r="I75" s="80" t="s">
        <v>426</v>
      </c>
      <c r="J75" s="84" t="s">
        <v>433</v>
      </c>
    </row>
    <row r="76" spans="1:10" x14ac:dyDescent="0.2">
      <c r="A76" s="80" t="s">
        <v>596</v>
      </c>
      <c r="B76" s="80" t="s">
        <v>353</v>
      </c>
      <c r="C76" s="80" t="s">
        <v>556</v>
      </c>
      <c r="D76" s="81" t="s">
        <v>429</v>
      </c>
      <c r="E76" s="82" t="s">
        <v>431</v>
      </c>
      <c r="F76" s="82" t="s">
        <v>431</v>
      </c>
      <c r="G76" s="83" t="s">
        <v>432</v>
      </c>
      <c r="H76" s="83" t="s">
        <v>432</v>
      </c>
      <c r="I76" s="80" t="s">
        <v>426</v>
      </c>
      <c r="J76" s="84" t="s">
        <v>433</v>
      </c>
    </row>
    <row r="77" spans="1:10" x14ac:dyDescent="0.2">
      <c r="A77" s="80" t="s">
        <v>597</v>
      </c>
      <c r="B77" s="80" t="s">
        <v>354</v>
      </c>
      <c r="C77" s="80" t="s">
        <v>556</v>
      </c>
      <c r="D77" s="81" t="s">
        <v>429</v>
      </c>
      <c r="E77" s="82" t="s">
        <v>598</v>
      </c>
      <c r="F77" s="82" t="s">
        <v>431</v>
      </c>
      <c r="G77" s="83" t="s">
        <v>432</v>
      </c>
      <c r="H77" s="83" t="s">
        <v>432</v>
      </c>
      <c r="I77" s="80" t="s">
        <v>599</v>
      </c>
      <c r="J77" s="84" t="s">
        <v>433</v>
      </c>
    </row>
    <row r="78" spans="1:10" x14ac:dyDescent="0.2">
      <c r="A78" s="80" t="s">
        <v>600</v>
      </c>
      <c r="B78" s="80" t="s">
        <v>246</v>
      </c>
      <c r="C78" s="80" t="s">
        <v>589</v>
      </c>
      <c r="D78" s="81" t="s">
        <v>601</v>
      </c>
      <c r="E78" s="82" t="s">
        <v>430</v>
      </c>
      <c r="F78" s="82" t="s">
        <v>431</v>
      </c>
      <c r="G78" s="83" t="s">
        <v>432</v>
      </c>
      <c r="H78" s="83" t="s">
        <v>432</v>
      </c>
      <c r="I78" s="80" t="s">
        <v>426</v>
      </c>
      <c r="J78" s="84" t="s">
        <v>433</v>
      </c>
    </row>
    <row r="79" spans="1:10" x14ac:dyDescent="0.2">
      <c r="A79" s="80" t="s">
        <v>602</v>
      </c>
      <c r="B79" s="80" t="s">
        <v>357</v>
      </c>
      <c r="C79" s="80" t="s">
        <v>556</v>
      </c>
      <c r="D79" s="81" t="s">
        <v>429</v>
      </c>
      <c r="E79" s="82" t="s">
        <v>603</v>
      </c>
      <c r="F79" s="82" t="s">
        <v>431</v>
      </c>
      <c r="G79" s="83" t="s">
        <v>432</v>
      </c>
      <c r="H79" s="83" t="s">
        <v>432</v>
      </c>
      <c r="I79" s="80" t="s">
        <v>426</v>
      </c>
      <c r="J79" s="84" t="s">
        <v>433</v>
      </c>
    </row>
    <row r="80" spans="1:10" x14ac:dyDescent="0.2">
      <c r="A80" s="80" t="s">
        <v>604</v>
      </c>
      <c r="B80" s="80" t="s">
        <v>376</v>
      </c>
      <c r="C80" s="80" t="s">
        <v>589</v>
      </c>
      <c r="D80" s="81" t="s">
        <v>429</v>
      </c>
      <c r="E80" s="82" t="s">
        <v>603</v>
      </c>
      <c r="F80" s="82" t="s">
        <v>431</v>
      </c>
      <c r="G80" s="83" t="s">
        <v>432</v>
      </c>
      <c r="H80" s="83" t="s">
        <v>432</v>
      </c>
      <c r="I80" s="80" t="s">
        <v>605</v>
      </c>
      <c r="J80" s="84" t="s">
        <v>433</v>
      </c>
    </row>
    <row r="81" spans="1:10" x14ac:dyDescent="0.2">
      <c r="A81" s="80" t="s">
        <v>606</v>
      </c>
      <c r="B81" s="80" t="s">
        <v>377</v>
      </c>
      <c r="C81" s="80" t="s">
        <v>589</v>
      </c>
      <c r="D81" s="81" t="s">
        <v>429</v>
      </c>
      <c r="E81" s="82" t="s">
        <v>603</v>
      </c>
      <c r="F81" s="82" t="s">
        <v>431</v>
      </c>
      <c r="G81" s="83" t="s">
        <v>432</v>
      </c>
      <c r="H81" s="83" t="s">
        <v>432</v>
      </c>
      <c r="I81" s="80" t="s">
        <v>605</v>
      </c>
      <c r="J81" s="84" t="s">
        <v>433</v>
      </c>
    </row>
    <row r="82" spans="1:10" x14ac:dyDescent="0.2">
      <c r="A82" s="80" t="s">
        <v>607</v>
      </c>
      <c r="B82" s="80" t="s">
        <v>411</v>
      </c>
      <c r="C82" s="80" t="s">
        <v>556</v>
      </c>
      <c r="D82" s="81" t="s">
        <v>429</v>
      </c>
      <c r="E82" s="82" t="s">
        <v>608</v>
      </c>
      <c r="F82" s="82" t="s">
        <v>431</v>
      </c>
      <c r="G82" s="83" t="s">
        <v>432</v>
      </c>
      <c r="H82" s="83" t="s">
        <v>432</v>
      </c>
      <c r="I82" s="80" t="s">
        <v>609</v>
      </c>
      <c r="J82" s="84" t="s">
        <v>433</v>
      </c>
    </row>
    <row r="83" spans="1:10" x14ac:dyDescent="0.2">
      <c r="A83" s="80" t="s">
        <v>610</v>
      </c>
      <c r="B83" s="80" t="s">
        <v>611</v>
      </c>
      <c r="C83" s="80" t="s">
        <v>589</v>
      </c>
      <c r="D83" s="81" t="s">
        <v>561</v>
      </c>
      <c r="E83" s="82" t="s">
        <v>541</v>
      </c>
      <c r="F83" s="82" t="s">
        <v>431</v>
      </c>
      <c r="G83" s="83" t="s">
        <v>432</v>
      </c>
      <c r="H83" s="83" t="s">
        <v>432</v>
      </c>
      <c r="I83" s="80" t="s">
        <v>426</v>
      </c>
      <c r="J83" s="84" t="s">
        <v>433</v>
      </c>
    </row>
    <row r="84" spans="1:10" x14ac:dyDescent="0.2">
      <c r="A84" s="80" t="s">
        <v>612</v>
      </c>
      <c r="B84" s="80" t="s">
        <v>280</v>
      </c>
      <c r="C84" s="80" t="s">
        <v>589</v>
      </c>
      <c r="D84" s="81" t="s">
        <v>613</v>
      </c>
      <c r="E84" s="82" t="s">
        <v>586</v>
      </c>
      <c r="F84" s="82" t="s">
        <v>431</v>
      </c>
      <c r="G84" s="83" t="s">
        <v>432</v>
      </c>
      <c r="H84" s="83" t="s">
        <v>432</v>
      </c>
      <c r="I84" s="80" t="s">
        <v>426</v>
      </c>
      <c r="J84" s="84" t="s">
        <v>433</v>
      </c>
    </row>
    <row r="85" spans="1:10" x14ac:dyDescent="0.2">
      <c r="A85" s="80" t="s">
        <v>614</v>
      </c>
      <c r="B85" s="80" t="s">
        <v>615</v>
      </c>
      <c r="C85" s="80" t="s">
        <v>589</v>
      </c>
      <c r="D85" s="81" t="s">
        <v>429</v>
      </c>
      <c r="E85" s="82" t="s">
        <v>554</v>
      </c>
      <c r="F85" s="82" t="s">
        <v>431</v>
      </c>
      <c r="G85" s="83" t="s">
        <v>432</v>
      </c>
      <c r="H85" s="83" t="s">
        <v>432</v>
      </c>
      <c r="I85" s="80" t="s">
        <v>426</v>
      </c>
      <c r="J85" s="84" t="s">
        <v>433</v>
      </c>
    </row>
    <row r="86" spans="1:10" x14ac:dyDescent="0.2">
      <c r="A86" s="80" t="s">
        <v>616</v>
      </c>
      <c r="B86" s="80" t="s">
        <v>395</v>
      </c>
      <c r="C86" s="80" t="s">
        <v>589</v>
      </c>
      <c r="D86" s="81" t="s">
        <v>429</v>
      </c>
      <c r="E86" s="82" t="s">
        <v>563</v>
      </c>
      <c r="F86" s="82" t="s">
        <v>431</v>
      </c>
      <c r="G86" s="83" t="s">
        <v>432</v>
      </c>
      <c r="H86" s="83" t="s">
        <v>432</v>
      </c>
      <c r="I86" s="80" t="s">
        <v>426</v>
      </c>
      <c r="J86" s="84" t="s">
        <v>433</v>
      </c>
    </row>
    <row r="87" spans="1:10" x14ac:dyDescent="0.2">
      <c r="A87" s="80" t="s">
        <v>617</v>
      </c>
      <c r="B87" s="80" t="s">
        <v>394</v>
      </c>
      <c r="C87" s="80" t="s">
        <v>589</v>
      </c>
      <c r="D87" s="81" t="s">
        <v>429</v>
      </c>
      <c r="E87" s="82" t="s">
        <v>554</v>
      </c>
      <c r="F87" s="82" t="s">
        <v>431</v>
      </c>
      <c r="G87" s="83" t="s">
        <v>432</v>
      </c>
      <c r="H87" s="83" t="s">
        <v>432</v>
      </c>
      <c r="I87" s="80" t="s">
        <v>426</v>
      </c>
      <c r="J87" s="84" t="s">
        <v>433</v>
      </c>
    </row>
    <row r="88" spans="1:10" x14ac:dyDescent="0.2">
      <c r="A88" s="80" t="s">
        <v>618</v>
      </c>
      <c r="B88" s="80" t="s">
        <v>396</v>
      </c>
      <c r="C88" s="80" t="s">
        <v>589</v>
      </c>
      <c r="D88" s="81" t="s">
        <v>429</v>
      </c>
      <c r="E88" s="82" t="s">
        <v>563</v>
      </c>
      <c r="F88" s="82" t="s">
        <v>431</v>
      </c>
      <c r="G88" s="83" t="s">
        <v>432</v>
      </c>
      <c r="H88" s="83" t="s">
        <v>432</v>
      </c>
      <c r="I88" s="80" t="s">
        <v>426</v>
      </c>
      <c r="J88" s="84" t="s">
        <v>433</v>
      </c>
    </row>
    <row r="89" spans="1:10" x14ac:dyDescent="0.2">
      <c r="A89" s="80" t="s">
        <v>619</v>
      </c>
      <c r="B89" s="80" t="s">
        <v>393</v>
      </c>
      <c r="C89" s="80" t="s">
        <v>589</v>
      </c>
      <c r="D89" s="81" t="s">
        <v>429</v>
      </c>
      <c r="E89" s="82" t="s">
        <v>554</v>
      </c>
      <c r="F89" s="82" t="s">
        <v>431</v>
      </c>
      <c r="G89" s="83" t="s">
        <v>432</v>
      </c>
      <c r="H89" s="83" t="s">
        <v>432</v>
      </c>
      <c r="I89" s="80" t="s">
        <v>426</v>
      </c>
      <c r="J89" s="84" t="s">
        <v>433</v>
      </c>
    </row>
    <row r="90" spans="1:10" x14ac:dyDescent="0.2">
      <c r="A90" s="80" t="s">
        <v>620</v>
      </c>
      <c r="B90" s="80" t="s">
        <v>621</v>
      </c>
      <c r="C90" s="80" t="s">
        <v>589</v>
      </c>
      <c r="D90" s="81" t="s">
        <v>561</v>
      </c>
      <c r="E90" s="82" t="s">
        <v>622</v>
      </c>
      <c r="F90" s="82" t="s">
        <v>431</v>
      </c>
      <c r="G90" s="83" t="s">
        <v>432</v>
      </c>
      <c r="H90" s="83" t="s">
        <v>432</v>
      </c>
      <c r="I90" s="80" t="s">
        <v>426</v>
      </c>
      <c r="J90" s="84" t="s">
        <v>433</v>
      </c>
    </row>
    <row r="91" spans="1:10" x14ac:dyDescent="0.2">
      <c r="A91" s="80" t="s">
        <v>623</v>
      </c>
      <c r="B91" s="80" t="s">
        <v>624</v>
      </c>
      <c r="C91" s="80" t="s">
        <v>589</v>
      </c>
      <c r="D91" s="81" t="s">
        <v>561</v>
      </c>
      <c r="E91" s="82" t="s">
        <v>622</v>
      </c>
      <c r="F91" s="82" t="s">
        <v>431</v>
      </c>
      <c r="G91" s="83" t="s">
        <v>432</v>
      </c>
      <c r="H91" s="83" t="s">
        <v>432</v>
      </c>
      <c r="I91" s="80" t="s">
        <v>426</v>
      </c>
      <c r="J91" s="84" t="s">
        <v>433</v>
      </c>
    </row>
    <row r="92" spans="1:10" x14ac:dyDescent="0.2">
      <c r="A92" s="80" t="s">
        <v>625</v>
      </c>
      <c r="B92" s="80" t="s">
        <v>384</v>
      </c>
      <c r="C92" s="80" t="s">
        <v>589</v>
      </c>
      <c r="D92" s="81" t="s">
        <v>561</v>
      </c>
      <c r="E92" s="82" t="s">
        <v>622</v>
      </c>
      <c r="F92" s="82" t="s">
        <v>431</v>
      </c>
      <c r="G92" s="83" t="s">
        <v>432</v>
      </c>
      <c r="H92" s="83" t="s">
        <v>432</v>
      </c>
      <c r="I92" s="80" t="s">
        <v>426</v>
      </c>
      <c r="J92" s="84" t="s">
        <v>433</v>
      </c>
    </row>
    <row r="93" spans="1:10" x14ac:dyDescent="0.2">
      <c r="A93" s="80" t="s">
        <v>626</v>
      </c>
      <c r="B93" s="80" t="s">
        <v>385</v>
      </c>
      <c r="C93" s="80" t="s">
        <v>589</v>
      </c>
      <c r="D93" s="81" t="s">
        <v>561</v>
      </c>
      <c r="E93" s="82" t="s">
        <v>622</v>
      </c>
      <c r="F93" s="82" t="s">
        <v>431</v>
      </c>
      <c r="G93" s="83" t="s">
        <v>432</v>
      </c>
      <c r="H93" s="83" t="s">
        <v>432</v>
      </c>
      <c r="I93" s="80" t="s">
        <v>426</v>
      </c>
      <c r="J93" s="84" t="s">
        <v>433</v>
      </c>
    </row>
    <row r="94" spans="1:10" x14ac:dyDescent="0.2">
      <c r="A94" s="80" t="s">
        <v>627</v>
      </c>
      <c r="B94" s="80" t="s">
        <v>628</v>
      </c>
      <c r="C94" s="80" t="s">
        <v>589</v>
      </c>
      <c r="D94" s="81" t="s">
        <v>561</v>
      </c>
      <c r="E94" s="82" t="s">
        <v>622</v>
      </c>
      <c r="F94" s="82" t="s">
        <v>431</v>
      </c>
      <c r="G94" s="83" t="s">
        <v>432</v>
      </c>
      <c r="H94" s="83" t="s">
        <v>432</v>
      </c>
      <c r="I94" s="80" t="s">
        <v>426</v>
      </c>
      <c r="J94" s="84" t="s">
        <v>433</v>
      </c>
    </row>
    <row r="95" spans="1:10" x14ac:dyDescent="0.2">
      <c r="A95" s="80" t="s">
        <v>629</v>
      </c>
      <c r="B95" s="80" t="s">
        <v>630</v>
      </c>
      <c r="C95" s="80" t="s">
        <v>589</v>
      </c>
      <c r="D95" s="81" t="s">
        <v>561</v>
      </c>
      <c r="E95" s="82" t="s">
        <v>622</v>
      </c>
      <c r="F95" s="82" t="s">
        <v>431</v>
      </c>
      <c r="G95" s="83" t="s">
        <v>432</v>
      </c>
      <c r="H95" s="83" t="s">
        <v>432</v>
      </c>
      <c r="I95" s="80" t="s">
        <v>426</v>
      </c>
      <c r="J95" s="84" t="s">
        <v>433</v>
      </c>
    </row>
    <row r="96" spans="1:10" x14ac:dyDescent="0.2">
      <c r="A96" s="80" t="s">
        <v>631</v>
      </c>
      <c r="B96" s="80" t="s">
        <v>632</v>
      </c>
      <c r="C96" s="80" t="s">
        <v>633</v>
      </c>
      <c r="D96" s="81" t="s">
        <v>429</v>
      </c>
      <c r="E96" s="82" t="s">
        <v>634</v>
      </c>
      <c r="F96" s="82" t="s">
        <v>431</v>
      </c>
      <c r="G96" s="83" t="s">
        <v>432</v>
      </c>
      <c r="H96" s="83" t="s">
        <v>432</v>
      </c>
      <c r="I96" s="80" t="s">
        <v>426</v>
      </c>
      <c r="J96" s="84" t="s">
        <v>433</v>
      </c>
    </row>
    <row r="97" spans="1:10" x14ac:dyDescent="0.2">
      <c r="A97" s="80" t="s">
        <v>635</v>
      </c>
      <c r="B97" s="80" t="s">
        <v>364</v>
      </c>
      <c r="C97" s="80" t="s">
        <v>426</v>
      </c>
      <c r="D97" s="81" t="s">
        <v>636</v>
      </c>
      <c r="E97" s="82" t="s">
        <v>573</v>
      </c>
      <c r="F97" s="82" t="s">
        <v>431</v>
      </c>
      <c r="G97" s="83" t="s">
        <v>432</v>
      </c>
      <c r="H97" s="83" t="s">
        <v>432</v>
      </c>
      <c r="I97" s="80" t="s">
        <v>426</v>
      </c>
      <c r="J97" s="84" t="s">
        <v>433</v>
      </c>
    </row>
    <row r="98" spans="1:10" x14ac:dyDescent="0.2">
      <c r="A98" s="80" t="s">
        <v>637</v>
      </c>
      <c r="B98" s="80" t="s">
        <v>415</v>
      </c>
      <c r="C98" s="80" t="s">
        <v>556</v>
      </c>
      <c r="D98" s="81" t="s">
        <v>429</v>
      </c>
      <c r="E98" s="82" t="s">
        <v>603</v>
      </c>
      <c r="F98" s="82" t="s">
        <v>431</v>
      </c>
      <c r="G98" s="83" t="s">
        <v>432</v>
      </c>
      <c r="H98" s="83" t="s">
        <v>432</v>
      </c>
      <c r="I98" s="80" t="s">
        <v>426</v>
      </c>
      <c r="J98" s="84" t="s">
        <v>433</v>
      </c>
    </row>
    <row r="99" spans="1:10" x14ac:dyDescent="0.2">
      <c r="A99" s="80" t="s">
        <v>638</v>
      </c>
      <c r="B99" s="80" t="s">
        <v>397</v>
      </c>
      <c r="C99" s="80" t="s">
        <v>589</v>
      </c>
      <c r="D99" s="81" t="s">
        <v>429</v>
      </c>
      <c r="E99" s="82" t="s">
        <v>603</v>
      </c>
      <c r="F99" s="82" t="s">
        <v>431</v>
      </c>
      <c r="G99" s="83" t="s">
        <v>432</v>
      </c>
      <c r="H99" s="83" t="s">
        <v>432</v>
      </c>
      <c r="I99" s="80" t="s">
        <v>426</v>
      </c>
      <c r="J99" s="84" t="s">
        <v>433</v>
      </c>
    </row>
    <row r="100" spans="1:10" x14ac:dyDescent="0.2">
      <c r="A100" s="80" t="s">
        <v>639</v>
      </c>
      <c r="B100" s="80" t="s">
        <v>640</v>
      </c>
      <c r="C100" s="80" t="s">
        <v>641</v>
      </c>
      <c r="D100" s="81" t="s">
        <v>561</v>
      </c>
      <c r="E100" s="82" t="s">
        <v>452</v>
      </c>
      <c r="F100" s="82" t="s">
        <v>431</v>
      </c>
      <c r="G100" s="83" t="s">
        <v>432</v>
      </c>
      <c r="H100" s="83" t="s">
        <v>432</v>
      </c>
      <c r="I100" s="80" t="s">
        <v>426</v>
      </c>
      <c r="J100" s="84" t="s">
        <v>433</v>
      </c>
    </row>
    <row r="101" spans="1:10" x14ac:dyDescent="0.2">
      <c r="A101" s="80" t="s">
        <v>642</v>
      </c>
      <c r="B101" s="80" t="s">
        <v>643</v>
      </c>
      <c r="C101" s="80" t="s">
        <v>641</v>
      </c>
      <c r="D101" s="81" t="s">
        <v>429</v>
      </c>
      <c r="E101" s="82" t="s">
        <v>644</v>
      </c>
      <c r="F101" s="82" t="s">
        <v>431</v>
      </c>
      <c r="G101" s="83" t="s">
        <v>432</v>
      </c>
      <c r="H101" s="83" t="s">
        <v>432</v>
      </c>
      <c r="I101" s="80" t="s">
        <v>426</v>
      </c>
      <c r="J101" s="84" t="s">
        <v>433</v>
      </c>
    </row>
    <row r="102" spans="1:10" x14ac:dyDescent="0.2">
      <c r="A102" s="80" t="s">
        <v>645</v>
      </c>
      <c r="B102" s="80" t="s">
        <v>646</v>
      </c>
      <c r="C102" s="80" t="s">
        <v>641</v>
      </c>
      <c r="D102" s="81" t="s">
        <v>561</v>
      </c>
      <c r="E102" s="82" t="s">
        <v>647</v>
      </c>
      <c r="F102" s="82" t="s">
        <v>431</v>
      </c>
      <c r="G102" s="83" t="s">
        <v>432</v>
      </c>
      <c r="H102" s="83" t="s">
        <v>432</v>
      </c>
      <c r="I102" s="80" t="s">
        <v>426</v>
      </c>
      <c r="J102" s="84" t="s">
        <v>433</v>
      </c>
    </row>
    <row r="103" spans="1:10" x14ac:dyDescent="0.2">
      <c r="A103" s="80" t="s">
        <v>648</v>
      </c>
      <c r="B103" s="80" t="s">
        <v>649</v>
      </c>
      <c r="C103" s="80" t="s">
        <v>641</v>
      </c>
      <c r="D103" s="81" t="s">
        <v>561</v>
      </c>
      <c r="E103" s="82" t="s">
        <v>566</v>
      </c>
      <c r="F103" s="82" t="s">
        <v>431</v>
      </c>
      <c r="G103" s="83" t="s">
        <v>432</v>
      </c>
      <c r="H103" s="83" t="s">
        <v>432</v>
      </c>
      <c r="I103" s="80" t="s">
        <v>426</v>
      </c>
      <c r="J103" s="84" t="s">
        <v>433</v>
      </c>
    </row>
    <row r="104" spans="1:10" x14ac:dyDescent="0.2">
      <c r="A104" s="80" t="s">
        <v>650</v>
      </c>
      <c r="B104" s="80" t="s">
        <v>651</v>
      </c>
      <c r="C104" s="80" t="s">
        <v>641</v>
      </c>
      <c r="D104" s="81" t="s">
        <v>561</v>
      </c>
      <c r="E104" s="82" t="s">
        <v>644</v>
      </c>
      <c r="F104" s="82" t="s">
        <v>431</v>
      </c>
      <c r="G104" s="83" t="s">
        <v>432</v>
      </c>
      <c r="H104" s="83" t="s">
        <v>432</v>
      </c>
      <c r="I104" s="80" t="s">
        <v>426</v>
      </c>
      <c r="J104" s="84" t="s">
        <v>433</v>
      </c>
    </row>
    <row r="105" spans="1:10" x14ac:dyDescent="0.2">
      <c r="A105" s="80" t="s">
        <v>652</v>
      </c>
      <c r="B105" s="80" t="s">
        <v>653</v>
      </c>
      <c r="C105" s="80" t="s">
        <v>641</v>
      </c>
      <c r="D105" s="81" t="s">
        <v>561</v>
      </c>
      <c r="E105" s="82" t="s">
        <v>644</v>
      </c>
      <c r="F105" s="82" t="s">
        <v>431</v>
      </c>
      <c r="G105" s="83" t="s">
        <v>432</v>
      </c>
      <c r="H105" s="83" t="s">
        <v>432</v>
      </c>
      <c r="I105" s="80" t="s">
        <v>426</v>
      </c>
      <c r="J105" s="84" t="s">
        <v>433</v>
      </c>
    </row>
    <row r="106" spans="1:10" x14ac:dyDescent="0.2">
      <c r="A106" s="80" t="s">
        <v>654</v>
      </c>
      <c r="B106" s="80" t="s">
        <v>655</v>
      </c>
      <c r="C106" s="80" t="s">
        <v>641</v>
      </c>
      <c r="D106" s="81" t="s">
        <v>561</v>
      </c>
      <c r="E106" s="82" t="s">
        <v>644</v>
      </c>
      <c r="F106" s="82" t="s">
        <v>431</v>
      </c>
      <c r="G106" s="83" t="s">
        <v>432</v>
      </c>
      <c r="H106" s="83" t="s">
        <v>432</v>
      </c>
      <c r="I106" s="80" t="s">
        <v>426</v>
      </c>
      <c r="J106" s="84" t="s">
        <v>433</v>
      </c>
    </row>
    <row r="107" spans="1:10" x14ac:dyDescent="0.2">
      <c r="A107" s="80" t="s">
        <v>656</v>
      </c>
      <c r="B107" s="80" t="s">
        <v>657</v>
      </c>
      <c r="C107" s="80" t="s">
        <v>641</v>
      </c>
      <c r="D107" s="81" t="s">
        <v>561</v>
      </c>
      <c r="E107" s="82" t="s">
        <v>568</v>
      </c>
      <c r="F107" s="82" t="s">
        <v>431</v>
      </c>
      <c r="G107" s="83" t="s">
        <v>432</v>
      </c>
      <c r="H107" s="83" t="s">
        <v>432</v>
      </c>
      <c r="I107" s="80" t="s">
        <v>426</v>
      </c>
      <c r="J107" s="84" t="s">
        <v>433</v>
      </c>
    </row>
    <row r="108" spans="1:10" x14ac:dyDescent="0.2">
      <c r="A108" s="80" t="s">
        <v>658</v>
      </c>
      <c r="B108" s="80" t="s">
        <v>659</v>
      </c>
      <c r="C108" s="80" t="s">
        <v>641</v>
      </c>
      <c r="D108" s="81" t="s">
        <v>561</v>
      </c>
      <c r="E108" s="82" t="s">
        <v>647</v>
      </c>
      <c r="F108" s="82" t="s">
        <v>431</v>
      </c>
      <c r="G108" s="83" t="s">
        <v>432</v>
      </c>
      <c r="H108" s="83" t="s">
        <v>432</v>
      </c>
      <c r="I108" s="80" t="s">
        <v>426</v>
      </c>
      <c r="J108" s="84" t="s">
        <v>433</v>
      </c>
    </row>
    <row r="109" spans="1:10" x14ac:dyDescent="0.2">
      <c r="A109" s="80" t="s">
        <v>660</v>
      </c>
      <c r="B109" s="80" t="s">
        <v>661</v>
      </c>
      <c r="C109" s="80" t="s">
        <v>641</v>
      </c>
      <c r="D109" s="81" t="s">
        <v>561</v>
      </c>
      <c r="E109" s="82" t="s">
        <v>644</v>
      </c>
      <c r="F109" s="82" t="s">
        <v>431</v>
      </c>
      <c r="G109" s="83" t="s">
        <v>432</v>
      </c>
      <c r="H109" s="83" t="s">
        <v>432</v>
      </c>
      <c r="I109" s="80" t="s">
        <v>426</v>
      </c>
      <c r="J109" s="84" t="s">
        <v>433</v>
      </c>
    </row>
    <row r="110" spans="1:10" x14ac:dyDescent="0.2">
      <c r="A110" s="80" t="s">
        <v>662</v>
      </c>
      <c r="B110" s="80" t="s">
        <v>663</v>
      </c>
      <c r="C110" s="80" t="s">
        <v>641</v>
      </c>
      <c r="D110" s="81" t="s">
        <v>561</v>
      </c>
      <c r="E110" s="82" t="s">
        <v>647</v>
      </c>
      <c r="F110" s="82" t="s">
        <v>431</v>
      </c>
      <c r="G110" s="83" t="s">
        <v>432</v>
      </c>
      <c r="H110" s="83" t="s">
        <v>432</v>
      </c>
      <c r="I110" s="80" t="s">
        <v>426</v>
      </c>
      <c r="J110" s="84" t="s">
        <v>433</v>
      </c>
    </row>
    <row r="111" spans="1:10" x14ac:dyDescent="0.2">
      <c r="A111" s="80" t="s">
        <v>664</v>
      </c>
      <c r="B111" s="80" t="s">
        <v>665</v>
      </c>
      <c r="C111" s="80" t="s">
        <v>641</v>
      </c>
      <c r="D111" s="81" t="s">
        <v>561</v>
      </c>
      <c r="E111" s="82" t="s">
        <v>566</v>
      </c>
      <c r="F111" s="82" t="s">
        <v>431</v>
      </c>
      <c r="G111" s="83" t="s">
        <v>432</v>
      </c>
      <c r="H111" s="83" t="s">
        <v>432</v>
      </c>
      <c r="I111" s="80" t="s">
        <v>426</v>
      </c>
      <c r="J111" s="84" t="s">
        <v>433</v>
      </c>
    </row>
    <row r="112" spans="1:10" x14ac:dyDescent="0.2">
      <c r="A112" s="80" t="s">
        <v>666</v>
      </c>
      <c r="B112" s="80" t="s">
        <v>667</v>
      </c>
      <c r="C112" s="80" t="s">
        <v>641</v>
      </c>
      <c r="D112" s="81" t="s">
        <v>561</v>
      </c>
      <c r="E112" s="82" t="s">
        <v>568</v>
      </c>
      <c r="F112" s="82" t="s">
        <v>431</v>
      </c>
      <c r="G112" s="83" t="s">
        <v>432</v>
      </c>
      <c r="H112" s="83" t="s">
        <v>432</v>
      </c>
      <c r="I112" s="80" t="s">
        <v>426</v>
      </c>
      <c r="J112" s="84" t="s">
        <v>433</v>
      </c>
    </row>
    <row r="113" spans="1:10" x14ac:dyDescent="0.2">
      <c r="A113" s="80" t="s">
        <v>668</v>
      </c>
      <c r="B113" s="80" t="s">
        <v>669</v>
      </c>
      <c r="C113" s="80" t="s">
        <v>641</v>
      </c>
      <c r="D113" s="81" t="s">
        <v>561</v>
      </c>
      <c r="E113" s="82" t="s">
        <v>670</v>
      </c>
      <c r="F113" s="82" t="s">
        <v>431</v>
      </c>
      <c r="G113" s="83" t="s">
        <v>432</v>
      </c>
      <c r="H113" s="83" t="s">
        <v>432</v>
      </c>
      <c r="I113" s="80" t="s">
        <v>426</v>
      </c>
      <c r="J113" s="84" t="s">
        <v>433</v>
      </c>
    </row>
    <row r="114" spans="1:10" x14ac:dyDescent="0.2">
      <c r="A114" s="80" t="s">
        <v>671</v>
      </c>
      <c r="B114" s="80" t="s">
        <v>672</v>
      </c>
      <c r="C114" s="80" t="s">
        <v>641</v>
      </c>
      <c r="D114" s="81" t="s">
        <v>561</v>
      </c>
      <c r="E114" s="82" t="s">
        <v>647</v>
      </c>
      <c r="F114" s="82" t="s">
        <v>431</v>
      </c>
      <c r="G114" s="83" t="s">
        <v>432</v>
      </c>
      <c r="H114" s="83" t="s">
        <v>432</v>
      </c>
      <c r="I114" s="80" t="s">
        <v>426</v>
      </c>
      <c r="J114" s="84" t="s">
        <v>433</v>
      </c>
    </row>
    <row r="115" spans="1:10" x14ac:dyDescent="0.2">
      <c r="A115" s="80" t="s">
        <v>673</v>
      </c>
      <c r="B115" s="80" t="s">
        <v>674</v>
      </c>
      <c r="C115" s="80" t="s">
        <v>641</v>
      </c>
      <c r="D115" s="81" t="s">
        <v>561</v>
      </c>
      <c r="E115" s="82" t="s">
        <v>675</v>
      </c>
      <c r="F115" s="82" t="s">
        <v>431</v>
      </c>
      <c r="G115" s="83" t="s">
        <v>432</v>
      </c>
      <c r="H115" s="83" t="s">
        <v>432</v>
      </c>
      <c r="I115" s="80" t="s">
        <v>426</v>
      </c>
      <c r="J115" s="84" t="s">
        <v>433</v>
      </c>
    </row>
    <row r="116" spans="1:10" x14ac:dyDescent="0.2">
      <c r="A116" s="80" t="s">
        <v>676</v>
      </c>
      <c r="B116" s="80" t="s">
        <v>677</v>
      </c>
      <c r="C116" s="80" t="s">
        <v>641</v>
      </c>
      <c r="D116" s="81" t="s">
        <v>561</v>
      </c>
      <c r="E116" s="82" t="s">
        <v>647</v>
      </c>
      <c r="F116" s="82" t="s">
        <v>431</v>
      </c>
      <c r="G116" s="83" t="s">
        <v>432</v>
      </c>
      <c r="H116" s="83" t="s">
        <v>432</v>
      </c>
      <c r="I116" s="80" t="s">
        <v>426</v>
      </c>
      <c r="J116" s="84" t="s">
        <v>433</v>
      </c>
    </row>
    <row r="117" spans="1:10" x14ac:dyDescent="0.2">
      <c r="A117" s="80" t="s">
        <v>678</v>
      </c>
      <c r="B117" s="80" t="s">
        <v>679</v>
      </c>
      <c r="C117" s="80" t="s">
        <v>641</v>
      </c>
      <c r="D117" s="81" t="s">
        <v>561</v>
      </c>
      <c r="E117" s="82" t="s">
        <v>571</v>
      </c>
      <c r="F117" s="82" t="s">
        <v>431</v>
      </c>
      <c r="G117" s="83" t="s">
        <v>432</v>
      </c>
      <c r="H117" s="83" t="s">
        <v>432</v>
      </c>
      <c r="I117" s="80" t="s">
        <v>426</v>
      </c>
      <c r="J117" s="84" t="s">
        <v>433</v>
      </c>
    </row>
    <row r="118" spans="1:10" x14ac:dyDescent="0.2">
      <c r="A118" s="80" t="s">
        <v>680</v>
      </c>
      <c r="B118" s="80" t="s">
        <v>681</v>
      </c>
      <c r="C118" s="80" t="s">
        <v>641</v>
      </c>
      <c r="D118" s="81" t="s">
        <v>561</v>
      </c>
      <c r="E118" s="82" t="s">
        <v>563</v>
      </c>
      <c r="F118" s="82" t="s">
        <v>431</v>
      </c>
      <c r="G118" s="83" t="s">
        <v>432</v>
      </c>
      <c r="H118" s="83" t="s">
        <v>432</v>
      </c>
      <c r="I118" s="80" t="s">
        <v>426</v>
      </c>
      <c r="J118" s="84" t="s">
        <v>433</v>
      </c>
    </row>
    <row r="119" spans="1:10" x14ac:dyDescent="0.2">
      <c r="A119" s="80" t="s">
        <v>682</v>
      </c>
      <c r="B119" s="80" t="s">
        <v>683</v>
      </c>
      <c r="C119" s="80" t="s">
        <v>641</v>
      </c>
      <c r="D119" s="81" t="s">
        <v>561</v>
      </c>
      <c r="E119" s="82" t="s">
        <v>563</v>
      </c>
      <c r="F119" s="82" t="s">
        <v>431</v>
      </c>
      <c r="G119" s="83" t="s">
        <v>432</v>
      </c>
      <c r="H119" s="83" t="s">
        <v>432</v>
      </c>
      <c r="I119" s="80" t="s">
        <v>426</v>
      </c>
      <c r="J119" s="84" t="s">
        <v>433</v>
      </c>
    </row>
    <row r="120" spans="1:10" x14ac:dyDescent="0.2">
      <c r="A120" s="80" t="s">
        <v>684</v>
      </c>
      <c r="B120" s="80" t="s">
        <v>685</v>
      </c>
      <c r="C120" s="80" t="s">
        <v>641</v>
      </c>
      <c r="D120" s="81" t="s">
        <v>561</v>
      </c>
      <c r="E120" s="82" t="s">
        <v>554</v>
      </c>
      <c r="F120" s="82" t="s">
        <v>431</v>
      </c>
      <c r="G120" s="83" t="s">
        <v>432</v>
      </c>
      <c r="H120" s="83" t="s">
        <v>432</v>
      </c>
      <c r="I120" s="80" t="s">
        <v>426</v>
      </c>
      <c r="J120" s="84" t="s">
        <v>433</v>
      </c>
    </row>
    <row r="121" spans="1:10" x14ac:dyDescent="0.2">
      <c r="A121" s="80" t="s">
        <v>686</v>
      </c>
      <c r="B121" s="80" t="s">
        <v>687</v>
      </c>
      <c r="C121" s="80" t="s">
        <v>641</v>
      </c>
      <c r="D121" s="81" t="s">
        <v>561</v>
      </c>
      <c r="E121" s="82" t="s">
        <v>430</v>
      </c>
      <c r="F121" s="82" t="s">
        <v>431</v>
      </c>
      <c r="G121" s="83" t="s">
        <v>432</v>
      </c>
      <c r="H121" s="83" t="s">
        <v>432</v>
      </c>
      <c r="I121" s="80" t="s">
        <v>426</v>
      </c>
      <c r="J121" s="84" t="s">
        <v>433</v>
      </c>
    </row>
    <row r="122" spans="1:10" x14ac:dyDescent="0.2">
      <c r="A122" s="80" t="s">
        <v>688</v>
      </c>
      <c r="B122" s="80" t="s">
        <v>689</v>
      </c>
      <c r="C122" s="80" t="s">
        <v>641</v>
      </c>
      <c r="D122" s="81" t="s">
        <v>561</v>
      </c>
      <c r="E122" s="82" t="s">
        <v>563</v>
      </c>
      <c r="F122" s="82" t="s">
        <v>431</v>
      </c>
      <c r="G122" s="83" t="s">
        <v>432</v>
      </c>
      <c r="H122" s="83" t="s">
        <v>432</v>
      </c>
      <c r="I122" s="80" t="s">
        <v>426</v>
      </c>
      <c r="J122" s="84" t="s">
        <v>433</v>
      </c>
    </row>
    <row r="123" spans="1:10" x14ac:dyDescent="0.2">
      <c r="A123" s="80" t="s">
        <v>690</v>
      </c>
      <c r="B123" s="80" t="s">
        <v>691</v>
      </c>
      <c r="C123" s="80" t="s">
        <v>641</v>
      </c>
      <c r="D123" s="81" t="s">
        <v>561</v>
      </c>
      <c r="E123" s="82" t="s">
        <v>548</v>
      </c>
      <c r="F123" s="82" t="s">
        <v>431</v>
      </c>
      <c r="G123" s="83" t="s">
        <v>432</v>
      </c>
      <c r="H123" s="83" t="s">
        <v>432</v>
      </c>
      <c r="I123" s="80" t="s">
        <v>426</v>
      </c>
      <c r="J123" s="84" t="s">
        <v>433</v>
      </c>
    </row>
    <row r="124" spans="1:10" x14ac:dyDescent="0.2">
      <c r="A124" s="80" t="s">
        <v>692</v>
      </c>
      <c r="B124" s="80" t="s">
        <v>693</v>
      </c>
      <c r="C124" s="80" t="s">
        <v>641</v>
      </c>
      <c r="D124" s="81" t="s">
        <v>561</v>
      </c>
      <c r="E124" s="82" t="s">
        <v>608</v>
      </c>
      <c r="F124" s="82" t="s">
        <v>431</v>
      </c>
      <c r="G124" s="83" t="s">
        <v>432</v>
      </c>
      <c r="H124" s="83" t="s">
        <v>432</v>
      </c>
      <c r="I124" s="80" t="s">
        <v>426</v>
      </c>
      <c r="J124" s="84" t="s">
        <v>433</v>
      </c>
    </row>
    <row r="125" spans="1:10" x14ac:dyDescent="0.2">
      <c r="A125" s="80" t="s">
        <v>694</v>
      </c>
      <c r="B125" s="80" t="s">
        <v>695</v>
      </c>
      <c r="C125" s="80" t="s">
        <v>641</v>
      </c>
      <c r="D125" s="81" t="s">
        <v>561</v>
      </c>
      <c r="E125" s="82" t="s">
        <v>568</v>
      </c>
      <c r="F125" s="82" t="s">
        <v>431</v>
      </c>
      <c r="G125" s="83" t="s">
        <v>432</v>
      </c>
      <c r="H125" s="83" t="s">
        <v>432</v>
      </c>
      <c r="I125" s="80" t="s">
        <v>426</v>
      </c>
      <c r="J125" s="84" t="s">
        <v>433</v>
      </c>
    </row>
    <row r="126" spans="1:10" x14ac:dyDescent="0.2">
      <c r="A126" s="80" t="s">
        <v>696</v>
      </c>
      <c r="B126" s="80" t="s">
        <v>697</v>
      </c>
      <c r="C126" s="80" t="s">
        <v>641</v>
      </c>
      <c r="D126" s="81" t="s">
        <v>561</v>
      </c>
      <c r="E126" s="82" t="s">
        <v>566</v>
      </c>
      <c r="F126" s="82" t="s">
        <v>431</v>
      </c>
      <c r="G126" s="83" t="s">
        <v>432</v>
      </c>
      <c r="H126" s="83" t="s">
        <v>432</v>
      </c>
      <c r="I126" s="80" t="s">
        <v>426</v>
      </c>
      <c r="J126" s="84" t="s">
        <v>433</v>
      </c>
    </row>
    <row r="127" spans="1:10" x14ac:dyDescent="0.2">
      <c r="A127" s="80" t="s">
        <v>698</v>
      </c>
      <c r="B127" s="80" t="s">
        <v>699</v>
      </c>
      <c r="C127" s="80" t="s">
        <v>641</v>
      </c>
      <c r="D127" s="81" t="s">
        <v>561</v>
      </c>
      <c r="E127" s="82" t="s">
        <v>566</v>
      </c>
      <c r="F127" s="82" t="s">
        <v>431</v>
      </c>
      <c r="G127" s="83" t="s">
        <v>432</v>
      </c>
      <c r="H127" s="83" t="s">
        <v>432</v>
      </c>
      <c r="I127" s="80" t="s">
        <v>426</v>
      </c>
      <c r="J127" s="84" t="s">
        <v>433</v>
      </c>
    </row>
    <row r="128" spans="1:10" x14ac:dyDescent="0.2">
      <c r="A128" s="80" t="s">
        <v>700</v>
      </c>
      <c r="B128" s="80" t="s">
        <v>701</v>
      </c>
      <c r="C128" s="80" t="s">
        <v>641</v>
      </c>
      <c r="D128" s="81" t="s">
        <v>561</v>
      </c>
      <c r="E128" s="82" t="s">
        <v>573</v>
      </c>
      <c r="F128" s="82" t="s">
        <v>431</v>
      </c>
      <c r="G128" s="83" t="s">
        <v>432</v>
      </c>
      <c r="H128" s="83" t="s">
        <v>432</v>
      </c>
      <c r="I128" s="80" t="s">
        <v>426</v>
      </c>
      <c r="J128" s="84" t="s">
        <v>433</v>
      </c>
    </row>
    <row r="129" spans="1:10" x14ac:dyDescent="0.2">
      <c r="A129" s="80" t="s">
        <v>702</v>
      </c>
      <c r="B129" s="80" t="s">
        <v>703</v>
      </c>
      <c r="C129" s="80" t="s">
        <v>641</v>
      </c>
      <c r="D129" s="81" t="s">
        <v>561</v>
      </c>
      <c r="E129" s="82" t="s">
        <v>554</v>
      </c>
      <c r="F129" s="82" t="s">
        <v>431</v>
      </c>
      <c r="G129" s="83" t="s">
        <v>432</v>
      </c>
      <c r="H129" s="83" t="s">
        <v>432</v>
      </c>
      <c r="I129" s="80" t="s">
        <v>426</v>
      </c>
      <c r="J129" s="84" t="s">
        <v>433</v>
      </c>
    </row>
    <row r="130" spans="1:10" x14ac:dyDescent="0.2">
      <c r="A130" s="80" t="s">
        <v>704</v>
      </c>
      <c r="B130" s="80" t="s">
        <v>705</v>
      </c>
      <c r="C130" s="80" t="s">
        <v>641</v>
      </c>
      <c r="D130" s="81" t="s">
        <v>561</v>
      </c>
      <c r="E130" s="82" t="s">
        <v>573</v>
      </c>
      <c r="F130" s="82" t="s">
        <v>431</v>
      </c>
      <c r="G130" s="83" t="s">
        <v>432</v>
      </c>
      <c r="H130" s="83" t="s">
        <v>432</v>
      </c>
      <c r="I130" s="80" t="s">
        <v>426</v>
      </c>
      <c r="J130" s="84" t="s">
        <v>433</v>
      </c>
    </row>
    <row r="131" spans="1:10" x14ac:dyDescent="0.2">
      <c r="A131" s="80" t="s">
        <v>706</v>
      </c>
      <c r="B131" s="80" t="s">
        <v>707</v>
      </c>
      <c r="C131" s="80" t="s">
        <v>641</v>
      </c>
      <c r="D131" s="81" t="s">
        <v>561</v>
      </c>
      <c r="E131" s="82" t="s">
        <v>708</v>
      </c>
      <c r="F131" s="82" t="s">
        <v>431</v>
      </c>
      <c r="G131" s="83" t="s">
        <v>432</v>
      </c>
      <c r="H131" s="83" t="s">
        <v>432</v>
      </c>
      <c r="I131" s="80" t="s">
        <v>426</v>
      </c>
      <c r="J131" s="84" t="s">
        <v>433</v>
      </c>
    </row>
    <row r="132" spans="1:10" x14ac:dyDescent="0.2">
      <c r="A132" s="80" t="s">
        <v>709</v>
      </c>
      <c r="B132" s="80" t="s">
        <v>710</v>
      </c>
      <c r="C132" s="80" t="s">
        <v>641</v>
      </c>
      <c r="D132" s="81" t="s">
        <v>561</v>
      </c>
      <c r="E132" s="82" t="s">
        <v>634</v>
      </c>
      <c r="F132" s="82" t="s">
        <v>431</v>
      </c>
      <c r="G132" s="83" t="s">
        <v>432</v>
      </c>
      <c r="H132" s="83" t="s">
        <v>432</v>
      </c>
      <c r="I132" s="80" t="s">
        <v>426</v>
      </c>
      <c r="J132" s="84" t="s">
        <v>433</v>
      </c>
    </row>
    <row r="133" spans="1:10" x14ac:dyDescent="0.2">
      <c r="A133" s="80" t="s">
        <v>711</v>
      </c>
      <c r="B133" s="80" t="s">
        <v>712</v>
      </c>
      <c r="C133" s="80" t="s">
        <v>641</v>
      </c>
      <c r="D133" s="81" t="s">
        <v>561</v>
      </c>
      <c r="E133" s="82" t="s">
        <v>448</v>
      </c>
      <c r="F133" s="82" t="s">
        <v>431</v>
      </c>
      <c r="G133" s="83" t="s">
        <v>432</v>
      </c>
      <c r="H133" s="83" t="s">
        <v>432</v>
      </c>
      <c r="I133" s="80" t="s">
        <v>426</v>
      </c>
      <c r="J133" s="84" t="s">
        <v>433</v>
      </c>
    </row>
    <row r="134" spans="1:10" x14ac:dyDescent="0.2">
      <c r="A134" s="80" t="s">
        <v>713</v>
      </c>
      <c r="B134" s="80" t="s">
        <v>714</v>
      </c>
      <c r="C134" s="80" t="s">
        <v>641</v>
      </c>
      <c r="D134" s="81" t="s">
        <v>561</v>
      </c>
      <c r="E134" s="82" t="s">
        <v>586</v>
      </c>
      <c r="F134" s="82" t="s">
        <v>431</v>
      </c>
      <c r="G134" s="83" t="s">
        <v>432</v>
      </c>
      <c r="H134" s="83" t="s">
        <v>432</v>
      </c>
      <c r="I134" s="80" t="s">
        <v>426</v>
      </c>
      <c r="J134" s="84" t="s">
        <v>433</v>
      </c>
    </row>
    <row r="135" spans="1:10" x14ac:dyDescent="0.2">
      <c r="A135" s="80" t="s">
        <v>715</v>
      </c>
      <c r="B135" s="80" t="s">
        <v>716</v>
      </c>
      <c r="C135" s="80" t="s">
        <v>641</v>
      </c>
      <c r="D135" s="81" t="s">
        <v>561</v>
      </c>
      <c r="E135" s="82" t="s">
        <v>563</v>
      </c>
      <c r="F135" s="82" t="s">
        <v>431</v>
      </c>
      <c r="G135" s="83" t="s">
        <v>432</v>
      </c>
      <c r="H135" s="83" t="s">
        <v>432</v>
      </c>
      <c r="I135" s="80" t="s">
        <v>426</v>
      </c>
      <c r="J135" s="84" t="s">
        <v>433</v>
      </c>
    </row>
    <row r="136" spans="1:10" x14ac:dyDescent="0.2">
      <c r="A136" s="80" t="s">
        <v>717</v>
      </c>
      <c r="B136" s="80" t="s">
        <v>718</v>
      </c>
      <c r="C136" s="80" t="s">
        <v>641</v>
      </c>
      <c r="D136" s="81" t="s">
        <v>561</v>
      </c>
      <c r="E136" s="82" t="s">
        <v>563</v>
      </c>
      <c r="F136" s="82" t="s">
        <v>431</v>
      </c>
      <c r="G136" s="83" t="s">
        <v>432</v>
      </c>
      <c r="H136" s="83" t="s">
        <v>432</v>
      </c>
      <c r="I136" s="80" t="s">
        <v>426</v>
      </c>
      <c r="J136" s="84" t="s">
        <v>433</v>
      </c>
    </row>
    <row r="137" spans="1:10" x14ac:dyDescent="0.2">
      <c r="A137" s="80" t="s">
        <v>719</v>
      </c>
      <c r="B137" s="80" t="s">
        <v>720</v>
      </c>
      <c r="C137" s="80" t="s">
        <v>641</v>
      </c>
      <c r="D137" s="81" t="s">
        <v>429</v>
      </c>
      <c r="E137" s="82" t="s">
        <v>608</v>
      </c>
      <c r="F137" s="82" t="s">
        <v>431</v>
      </c>
      <c r="G137" s="83" t="s">
        <v>432</v>
      </c>
      <c r="H137" s="83" t="s">
        <v>432</v>
      </c>
      <c r="I137" s="80" t="s">
        <v>426</v>
      </c>
      <c r="J137" s="84" t="s">
        <v>433</v>
      </c>
    </row>
    <row r="138" spans="1:10" x14ac:dyDescent="0.2">
      <c r="A138" s="80" t="s">
        <v>721</v>
      </c>
      <c r="B138" s="80" t="s">
        <v>722</v>
      </c>
      <c r="C138" s="80" t="s">
        <v>641</v>
      </c>
      <c r="D138" s="81" t="s">
        <v>429</v>
      </c>
      <c r="E138" s="82" t="s">
        <v>586</v>
      </c>
      <c r="F138" s="82" t="s">
        <v>431</v>
      </c>
      <c r="G138" s="83" t="s">
        <v>432</v>
      </c>
      <c r="H138" s="83" t="s">
        <v>432</v>
      </c>
      <c r="I138" s="80" t="s">
        <v>426</v>
      </c>
      <c r="J138" s="84" t="s">
        <v>433</v>
      </c>
    </row>
    <row r="139" spans="1:10" x14ac:dyDescent="0.2">
      <c r="A139" s="80" t="s">
        <v>723</v>
      </c>
      <c r="B139" s="80" t="s">
        <v>724</v>
      </c>
      <c r="C139" s="80" t="s">
        <v>641</v>
      </c>
      <c r="D139" s="81" t="s">
        <v>429</v>
      </c>
      <c r="E139" s="82" t="s">
        <v>586</v>
      </c>
      <c r="F139" s="82" t="s">
        <v>431</v>
      </c>
      <c r="G139" s="83" t="s">
        <v>432</v>
      </c>
      <c r="H139" s="83" t="s">
        <v>432</v>
      </c>
      <c r="I139" s="80" t="s">
        <v>426</v>
      </c>
      <c r="J139" s="84" t="s">
        <v>433</v>
      </c>
    </row>
    <row r="140" spans="1:10" x14ac:dyDescent="0.2">
      <c r="A140" s="80" t="s">
        <v>725</v>
      </c>
      <c r="B140" s="80" t="s">
        <v>726</v>
      </c>
      <c r="C140" s="80" t="s">
        <v>556</v>
      </c>
      <c r="D140" s="81" t="s">
        <v>429</v>
      </c>
      <c r="E140" s="82" t="s">
        <v>554</v>
      </c>
      <c r="F140" s="82" t="s">
        <v>431</v>
      </c>
      <c r="G140" s="83" t="s">
        <v>432</v>
      </c>
      <c r="H140" s="83" t="s">
        <v>432</v>
      </c>
      <c r="I140" s="80" t="s">
        <v>426</v>
      </c>
      <c r="J140" s="84" t="s">
        <v>433</v>
      </c>
    </row>
    <row r="141" spans="1:10" x14ac:dyDescent="0.2">
      <c r="A141" s="80" t="s">
        <v>727</v>
      </c>
      <c r="B141" s="80" t="s">
        <v>728</v>
      </c>
      <c r="C141" s="80" t="s">
        <v>589</v>
      </c>
      <c r="D141" s="81" t="s">
        <v>429</v>
      </c>
      <c r="E141" s="82" t="s">
        <v>603</v>
      </c>
      <c r="F141" s="82" t="s">
        <v>431</v>
      </c>
      <c r="G141" s="83" t="s">
        <v>432</v>
      </c>
      <c r="H141" s="83" t="s">
        <v>432</v>
      </c>
      <c r="I141" s="80" t="s">
        <v>426</v>
      </c>
      <c r="J141" s="84" t="s">
        <v>433</v>
      </c>
    </row>
    <row r="142" spans="1:10" x14ac:dyDescent="0.2">
      <c r="A142" s="80" t="s">
        <v>729</v>
      </c>
      <c r="B142" s="80" t="s">
        <v>730</v>
      </c>
      <c r="C142" s="80" t="s">
        <v>641</v>
      </c>
      <c r="D142" s="81" t="s">
        <v>429</v>
      </c>
      <c r="E142" s="82" t="s">
        <v>571</v>
      </c>
      <c r="F142" s="82" t="s">
        <v>431</v>
      </c>
      <c r="G142" s="83" t="s">
        <v>432</v>
      </c>
      <c r="H142" s="83" t="s">
        <v>432</v>
      </c>
      <c r="I142" s="80" t="s">
        <v>426</v>
      </c>
      <c r="J142" s="84" t="s">
        <v>433</v>
      </c>
    </row>
    <row r="143" spans="1:10" x14ac:dyDescent="0.2">
      <c r="A143" s="80" t="s">
        <v>731</v>
      </c>
      <c r="B143" s="80" t="s">
        <v>732</v>
      </c>
      <c r="C143" s="80" t="s">
        <v>641</v>
      </c>
      <c r="D143" s="81" t="s">
        <v>561</v>
      </c>
      <c r="E143" s="82" t="s">
        <v>603</v>
      </c>
      <c r="F143" s="82" t="s">
        <v>431</v>
      </c>
      <c r="G143" s="83" t="s">
        <v>432</v>
      </c>
      <c r="H143" s="83" t="s">
        <v>432</v>
      </c>
      <c r="I143" s="80" t="s">
        <v>426</v>
      </c>
      <c r="J143" s="84" t="s">
        <v>433</v>
      </c>
    </row>
    <row r="144" spans="1:10" x14ac:dyDescent="0.2">
      <c r="A144" s="80" t="s">
        <v>733</v>
      </c>
      <c r="B144" s="80" t="s">
        <v>734</v>
      </c>
      <c r="C144" s="80" t="s">
        <v>641</v>
      </c>
      <c r="D144" s="81" t="s">
        <v>561</v>
      </c>
      <c r="E144" s="82" t="s">
        <v>554</v>
      </c>
      <c r="F144" s="82" t="s">
        <v>431</v>
      </c>
      <c r="G144" s="83" t="s">
        <v>432</v>
      </c>
      <c r="H144" s="83" t="s">
        <v>432</v>
      </c>
      <c r="I144" s="80" t="s">
        <v>426</v>
      </c>
      <c r="J144" s="84" t="s">
        <v>433</v>
      </c>
    </row>
    <row r="145" spans="1:10" x14ac:dyDescent="0.2">
      <c r="A145" s="80" t="s">
        <v>735</v>
      </c>
      <c r="B145" s="80" t="s">
        <v>736</v>
      </c>
      <c r="C145" s="80" t="s">
        <v>641</v>
      </c>
      <c r="D145" s="81" t="s">
        <v>429</v>
      </c>
      <c r="E145" s="82" t="s">
        <v>586</v>
      </c>
      <c r="F145" s="82" t="s">
        <v>431</v>
      </c>
      <c r="G145" s="83" t="s">
        <v>432</v>
      </c>
      <c r="H145" s="83" t="s">
        <v>432</v>
      </c>
      <c r="I145" s="80" t="s">
        <v>426</v>
      </c>
      <c r="J145" s="84" t="s">
        <v>433</v>
      </c>
    </row>
    <row r="146" spans="1:10" x14ac:dyDescent="0.2">
      <c r="A146" s="80" t="s">
        <v>737</v>
      </c>
      <c r="B146" s="80" t="s">
        <v>738</v>
      </c>
      <c r="C146" s="80" t="s">
        <v>641</v>
      </c>
      <c r="D146" s="81" t="s">
        <v>601</v>
      </c>
      <c r="E146" s="82" t="s">
        <v>603</v>
      </c>
      <c r="F146" s="82" t="s">
        <v>431</v>
      </c>
      <c r="G146" s="83" t="s">
        <v>432</v>
      </c>
      <c r="H146" s="83" t="s">
        <v>432</v>
      </c>
      <c r="I146" s="80" t="s">
        <v>426</v>
      </c>
      <c r="J146" s="84" t="s">
        <v>433</v>
      </c>
    </row>
    <row r="147" spans="1:10" x14ac:dyDescent="0.2">
      <c r="A147" s="80" t="s">
        <v>739</v>
      </c>
      <c r="B147" s="80" t="s">
        <v>740</v>
      </c>
      <c r="C147" s="80" t="s">
        <v>641</v>
      </c>
      <c r="D147" s="81" t="s">
        <v>429</v>
      </c>
      <c r="E147" s="82" t="s">
        <v>741</v>
      </c>
      <c r="F147" s="82" t="s">
        <v>431</v>
      </c>
      <c r="G147" s="83" t="s">
        <v>432</v>
      </c>
      <c r="H147" s="83" t="s">
        <v>432</v>
      </c>
      <c r="I147" s="80" t="s">
        <v>426</v>
      </c>
      <c r="J147" s="84" t="s">
        <v>433</v>
      </c>
    </row>
    <row r="148" spans="1:10" x14ac:dyDescent="0.2">
      <c r="A148" s="80" t="s">
        <v>742</v>
      </c>
      <c r="B148" s="80" t="s">
        <v>743</v>
      </c>
      <c r="C148" s="80" t="s">
        <v>641</v>
      </c>
      <c r="D148" s="81" t="s">
        <v>444</v>
      </c>
      <c r="E148" s="82" t="s">
        <v>744</v>
      </c>
      <c r="F148" s="82" t="s">
        <v>431</v>
      </c>
      <c r="G148" s="83" t="s">
        <v>432</v>
      </c>
      <c r="H148" s="83" t="s">
        <v>432</v>
      </c>
      <c r="I148" s="80" t="s">
        <v>426</v>
      </c>
      <c r="J148" s="84" t="s">
        <v>433</v>
      </c>
    </row>
    <row r="149" spans="1:10" x14ac:dyDescent="0.2">
      <c r="A149" s="80" t="s">
        <v>745</v>
      </c>
      <c r="B149" s="80" t="s">
        <v>746</v>
      </c>
      <c r="C149" s="80" t="s">
        <v>641</v>
      </c>
      <c r="D149" s="81" t="s">
        <v>429</v>
      </c>
      <c r="E149" s="82" t="s">
        <v>541</v>
      </c>
      <c r="F149" s="82" t="s">
        <v>431</v>
      </c>
      <c r="G149" s="83" t="s">
        <v>432</v>
      </c>
      <c r="H149" s="83" t="s">
        <v>432</v>
      </c>
      <c r="I149" s="80" t="s">
        <v>426</v>
      </c>
      <c r="J149" s="84" t="s">
        <v>433</v>
      </c>
    </row>
    <row r="150" spans="1:10" x14ac:dyDescent="0.2">
      <c r="A150" s="80" t="s">
        <v>747</v>
      </c>
      <c r="B150" s="80" t="s">
        <v>748</v>
      </c>
      <c r="C150" s="80" t="s">
        <v>641</v>
      </c>
      <c r="D150" s="81" t="s">
        <v>429</v>
      </c>
      <c r="E150" s="82" t="s">
        <v>749</v>
      </c>
      <c r="F150" s="82" t="s">
        <v>431</v>
      </c>
      <c r="G150" s="83" t="s">
        <v>432</v>
      </c>
      <c r="H150" s="83" t="s">
        <v>432</v>
      </c>
      <c r="I150" s="80" t="s">
        <v>426</v>
      </c>
      <c r="J150" s="84" t="s">
        <v>433</v>
      </c>
    </row>
    <row r="151" spans="1:10" x14ac:dyDescent="0.2">
      <c r="A151" s="80" t="s">
        <v>750</v>
      </c>
      <c r="B151" s="80" t="s">
        <v>751</v>
      </c>
      <c r="C151" s="80" t="s">
        <v>641</v>
      </c>
      <c r="D151" s="81" t="s">
        <v>444</v>
      </c>
      <c r="E151" s="82" t="s">
        <v>541</v>
      </c>
      <c r="F151" s="82" t="s">
        <v>431</v>
      </c>
      <c r="G151" s="83" t="s">
        <v>432</v>
      </c>
      <c r="H151" s="83" t="s">
        <v>432</v>
      </c>
      <c r="I151" s="80" t="s">
        <v>426</v>
      </c>
      <c r="J151" s="84" t="s">
        <v>433</v>
      </c>
    </row>
    <row r="152" spans="1:10" x14ac:dyDescent="0.2">
      <c r="A152" s="80" t="s">
        <v>752</v>
      </c>
      <c r="B152" s="80" t="s">
        <v>753</v>
      </c>
      <c r="C152" s="80" t="s">
        <v>641</v>
      </c>
      <c r="D152" s="81" t="s">
        <v>444</v>
      </c>
      <c r="E152" s="82" t="s">
        <v>452</v>
      </c>
      <c r="F152" s="82" t="s">
        <v>431</v>
      </c>
      <c r="G152" s="83" t="s">
        <v>432</v>
      </c>
      <c r="H152" s="83" t="s">
        <v>432</v>
      </c>
      <c r="I152" s="80" t="s">
        <v>426</v>
      </c>
      <c r="J152" s="84" t="s">
        <v>433</v>
      </c>
    </row>
    <row r="153" spans="1:10" x14ac:dyDescent="0.2">
      <c r="A153" s="80" t="s">
        <v>754</v>
      </c>
      <c r="B153" s="80" t="s">
        <v>755</v>
      </c>
      <c r="C153" s="80" t="s">
        <v>641</v>
      </c>
      <c r="D153" s="81" t="s">
        <v>444</v>
      </c>
      <c r="E153" s="82" t="s">
        <v>452</v>
      </c>
      <c r="F153" s="82" t="s">
        <v>431</v>
      </c>
      <c r="G153" s="83" t="s">
        <v>432</v>
      </c>
      <c r="H153" s="83" t="s">
        <v>432</v>
      </c>
      <c r="I153" s="80" t="s">
        <v>426</v>
      </c>
      <c r="J153" s="84" t="s">
        <v>433</v>
      </c>
    </row>
    <row r="154" spans="1:10" x14ac:dyDescent="0.2">
      <c r="A154" s="80" t="s">
        <v>756</v>
      </c>
      <c r="B154" s="80" t="s">
        <v>757</v>
      </c>
      <c r="C154" s="80" t="s">
        <v>641</v>
      </c>
      <c r="D154" s="81" t="s">
        <v>444</v>
      </c>
      <c r="E154" s="82" t="s">
        <v>452</v>
      </c>
      <c r="F154" s="82" t="s">
        <v>431</v>
      </c>
      <c r="G154" s="83" t="s">
        <v>432</v>
      </c>
      <c r="H154" s="83" t="s">
        <v>432</v>
      </c>
      <c r="I154" s="80" t="s">
        <v>426</v>
      </c>
      <c r="J154" s="84" t="s">
        <v>433</v>
      </c>
    </row>
    <row r="155" spans="1:10" x14ac:dyDescent="0.2">
      <c r="A155" s="80" t="s">
        <v>758</v>
      </c>
      <c r="B155" s="80" t="s">
        <v>759</v>
      </c>
      <c r="C155" s="80" t="s">
        <v>641</v>
      </c>
      <c r="D155" s="81" t="s">
        <v>601</v>
      </c>
      <c r="E155" s="82" t="s">
        <v>548</v>
      </c>
      <c r="F155" s="82" t="s">
        <v>431</v>
      </c>
      <c r="G155" s="83" t="s">
        <v>432</v>
      </c>
      <c r="H155" s="83" t="s">
        <v>432</v>
      </c>
      <c r="I155" s="80" t="s">
        <v>426</v>
      </c>
      <c r="J155" s="84" t="s">
        <v>433</v>
      </c>
    </row>
    <row r="156" spans="1:10" x14ac:dyDescent="0.2">
      <c r="A156" s="80" t="s">
        <v>760</v>
      </c>
      <c r="B156" s="80" t="s">
        <v>761</v>
      </c>
      <c r="C156" s="80" t="s">
        <v>641</v>
      </c>
      <c r="D156" s="81" t="s">
        <v>429</v>
      </c>
      <c r="E156" s="82" t="s">
        <v>563</v>
      </c>
      <c r="F156" s="82" t="s">
        <v>431</v>
      </c>
      <c r="G156" s="83" t="s">
        <v>432</v>
      </c>
      <c r="H156" s="83" t="s">
        <v>432</v>
      </c>
      <c r="I156" s="80" t="s">
        <v>426</v>
      </c>
      <c r="J156" s="84" t="s">
        <v>433</v>
      </c>
    </row>
    <row r="157" spans="1:10" x14ac:dyDescent="0.2">
      <c r="A157" s="80" t="s">
        <v>762</v>
      </c>
      <c r="B157" s="80" t="s">
        <v>763</v>
      </c>
      <c r="C157" s="80" t="s">
        <v>641</v>
      </c>
      <c r="D157" s="81" t="s">
        <v>601</v>
      </c>
      <c r="E157" s="82" t="s">
        <v>563</v>
      </c>
      <c r="F157" s="82" t="s">
        <v>431</v>
      </c>
      <c r="G157" s="83" t="s">
        <v>432</v>
      </c>
      <c r="H157" s="83" t="s">
        <v>432</v>
      </c>
      <c r="I157" s="80" t="s">
        <v>426</v>
      </c>
      <c r="J157" s="84" t="s">
        <v>433</v>
      </c>
    </row>
    <row r="158" spans="1:10" x14ac:dyDescent="0.2">
      <c r="A158" s="80" t="s">
        <v>764</v>
      </c>
      <c r="B158" s="80" t="s">
        <v>765</v>
      </c>
      <c r="C158" s="80" t="s">
        <v>641</v>
      </c>
      <c r="D158" s="81" t="s">
        <v>601</v>
      </c>
      <c r="E158" s="82" t="s">
        <v>766</v>
      </c>
      <c r="F158" s="82" t="s">
        <v>431</v>
      </c>
      <c r="G158" s="83" t="s">
        <v>432</v>
      </c>
      <c r="H158" s="83" t="s">
        <v>432</v>
      </c>
      <c r="I158" s="80" t="s">
        <v>426</v>
      </c>
      <c r="J158" s="84" t="s">
        <v>433</v>
      </c>
    </row>
    <row r="159" spans="1:10" x14ac:dyDescent="0.2">
      <c r="A159" s="80" t="s">
        <v>767</v>
      </c>
      <c r="B159" s="80" t="s">
        <v>768</v>
      </c>
      <c r="C159" s="80" t="s">
        <v>641</v>
      </c>
      <c r="D159" s="81" t="s">
        <v>561</v>
      </c>
      <c r="E159" s="82" t="s">
        <v>769</v>
      </c>
      <c r="F159" s="82" t="s">
        <v>431</v>
      </c>
      <c r="G159" s="83" t="s">
        <v>432</v>
      </c>
      <c r="H159" s="83" t="s">
        <v>432</v>
      </c>
      <c r="I159" s="80" t="s">
        <v>426</v>
      </c>
      <c r="J159" s="84" t="s">
        <v>433</v>
      </c>
    </row>
    <row r="160" spans="1:10" x14ac:dyDescent="0.2">
      <c r="A160" s="80" t="s">
        <v>770</v>
      </c>
      <c r="B160" s="80" t="s">
        <v>771</v>
      </c>
      <c r="C160" s="80" t="s">
        <v>641</v>
      </c>
      <c r="D160" s="81" t="s">
        <v>561</v>
      </c>
      <c r="E160" s="82" t="s">
        <v>622</v>
      </c>
      <c r="F160" s="82" t="s">
        <v>431</v>
      </c>
      <c r="G160" s="83" t="s">
        <v>432</v>
      </c>
      <c r="H160" s="83" t="s">
        <v>432</v>
      </c>
      <c r="I160" s="80" t="s">
        <v>426</v>
      </c>
      <c r="J160" s="84" t="s">
        <v>433</v>
      </c>
    </row>
    <row r="161" spans="1:10" x14ac:dyDescent="0.2">
      <c r="A161" s="80" t="s">
        <v>772</v>
      </c>
      <c r="B161" s="80" t="s">
        <v>773</v>
      </c>
      <c r="C161" s="80" t="s">
        <v>641</v>
      </c>
      <c r="D161" s="81" t="s">
        <v>561</v>
      </c>
      <c r="E161" s="82" t="s">
        <v>769</v>
      </c>
      <c r="F161" s="82" t="s">
        <v>431</v>
      </c>
      <c r="G161" s="83" t="s">
        <v>432</v>
      </c>
      <c r="H161" s="83" t="s">
        <v>432</v>
      </c>
      <c r="I161" s="80" t="s">
        <v>426</v>
      </c>
      <c r="J161" s="84" t="s">
        <v>433</v>
      </c>
    </row>
    <row r="162" spans="1:10" x14ac:dyDescent="0.2">
      <c r="A162" s="80" t="s">
        <v>774</v>
      </c>
      <c r="B162" s="80" t="s">
        <v>775</v>
      </c>
      <c r="C162" s="80" t="s">
        <v>641</v>
      </c>
      <c r="D162" s="81" t="s">
        <v>582</v>
      </c>
      <c r="E162" s="82" t="s">
        <v>554</v>
      </c>
      <c r="F162" s="82" t="s">
        <v>431</v>
      </c>
      <c r="G162" s="83" t="s">
        <v>432</v>
      </c>
      <c r="H162" s="83" t="s">
        <v>432</v>
      </c>
      <c r="I162" s="80" t="s">
        <v>426</v>
      </c>
      <c r="J162" s="84" t="s">
        <v>433</v>
      </c>
    </row>
    <row r="163" spans="1:10" x14ac:dyDescent="0.2">
      <c r="A163" s="80" t="s">
        <v>776</v>
      </c>
      <c r="B163" s="80" t="s">
        <v>777</v>
      </c>
      <c r="C163" s="80" t="s">
        <v>641</v>
      </c>
      <c r="D163" s="81" t="s">
        <v>429</v>
      </c>
      <c r="E163" s="82" t="s">
        <v>430</v>
      </c>
      <c r="F163" s="82" t="s">
        <v>431</v>
      </c>
      <c r="G163" s="83" t="s">
        <v>432</v>
      </c>
      <c r="H163" s="83" t="s">
        <v>432</v>
      </c>
      <c r="I163" s="80" t="s">
        <v>426</v>
      </c>
      <c r="J163" s="84" t="s">
        <v>433</v>
      </c>
    </row>
    <row r="164" spans="1:10" x14ac:dyDescent="0.2">
      <c r="A164" s="80" t="s">
        <v>778</v>
      </c>
      <c r="B164" s="80" t="s">
        <v>779</v>
      </c>
      <c r="C164" s="80" t="s">
        <v>641</v>
      </c>
      <c r="D164" s="81" t="s">
        <v>429</v>
      </c>
      <c r="E164" s="82" t="s">
        <v>448</v>
      </c>
      <c r="F164" s="82" t="s">
        <v>431</v>
      </c>
      <c r="G164" s="83" t="s">
        <v>432</v>
      </c>
      <c r="H164" s="83" t="s">
        <v>432</v>
      </c>
      <c r="I164" s="80" t="s">
        <v>426</v>
      </c>
      <c r="J164" s="84" t="s">
        <v>433</v>
      </c>
    </row>
    <row r="165" spans="1:10" x14ac:dyDescent="0.2">
      <c r="A165" s="80" t="s">
        <v>780</v>
      </c>
      <c r="B165" s="80" t="s">
        <v>781</v>
      </c>
      <c r="C165" s="80" t="s">
        <v>641</v>
      </c>
      <c r="D165" s="81" t="s">
        <v>601</v>
      </c>
      <c r="E165" s="82" t="s">
        <v>448</v>
      </c>
      <c r="F165" s="82" t="s">
        <v>431</v>
      </c>
      <c r="G165" s="83" t="s">
        <v>432</v>
      </c>
      <c r="H165" s="83" t="s">
        <v>432</v>
      </c>
      <c r="I165" s="80" t="s">
        <v>426</v>
      </c>
      <c r="J165" s="84" t="s">
        <v>433</v>
      </c>
    </row>
    <row r="166" spans="1:10" x14ac:dyDescent="0.2">
      <c r="A166" s="80" t="s">
        <v>782</v>
      </c>
      <c r="B166" s="80" t="s">
        <v>783</v>
      </c>
      <c r="C166" s="80" t="s">
        <v>641</v>
      </c>
      <c r="D166" s="81" t="s">
        <v>613</v>
      </c>
      <c r="E166" s="82" t="s">
        <v>603</v>
      </c>
      <c r="F166" s="82" t="s">
        <v>431</v>
      </c>
      <c r="G166" s="83" t="s">
        <v>432</v>
      </c>
      <c r="H166" s="83" t="s">
        <v>432</v>
      </c>
      <c r="I166" s="80" t="s">
        <v>426</v>
      </c>
      <c r="J166" s="84" t="s">
        <v>433</v>
      </c>
    </row>
    <row r="167" spans="1:10" x14ac:dyDescent="0.2">
      <c r="A167" s="80" t="s">
        <v>784</v>
      </c>
      <c r="B167" s="80" t="s">
        <v>785</v>
      </c>
      <c r="C167" s="80" t="s">
        <v>641</v>
      </c>
      <c r="D167" s="81" t="s">
        <v>561</v>
      </c>
      <c r="E167" s="82" t="s">
        <v>786</v>
      </c>
      <c r="F167" s="82" t="s">
        <v>431</v>
      </c>
      <c r="G167" s="83" t="s">
        <v>432</v>
      </c>
      <c r="H167" s="83" t="s">
        <v>432</v>
      </c>
      <c r="I167" s="80" t="s">
        <v>426</v>
      </c>
      <c r="J167" s="84" t="s">
        <v>433</v>
      </c>
    </row>
    <row r="168" spans="1:10" x14ac:dyDescent="0.2">
      <c r="A168" s="80" t="s">
        <v>787</v>
      </c>
      <c r="B168" s="80" t="s">
        <v>788</v>
      </c>
      <c r="C168" s="80" t="s">
        <v>641</v>
      </c>
      <c r="D168" s="81" t="s">
        <v>561</v>
      </c>
      <c r="E168" s="82" t="s">
        <v>541</v>
      </c>
      <c r="F168" s="82" t="s">
        <v>431</v>
      </c>
      <c r="G168" s="83" t="s">
        <v>432</v>
      </c>
      <c r="H168" s="83" t="s">
        <v>432</v>
      </c>
      <c r="I168" s="80" t="s">
        <v>426</v>
      </c>
      <c r="J168" s="84" t="s">
        <v>433</v>
      </c>
    </row>
    <row r="169" spans="1:10" x14ac:dyDescent="0.2">
      <c r="A169" s="80" t="s">
        <v>789</v>
      </c>
      <c r="B169" s="80" t="s">
        <v>790</v>
      </c>
      <c r="C169" s="80" t="s">
        <v>641</v>
      </c>
      <c r="D169" s="81" t="s">
        <v>613</v>
      </c>
      <c r="E169" s="82" t="s">
        <v>791</v>
      </c>
      <c r="F169" s="82" t="s">
        <v>431</v>
      </c>
      <c r="G169" s="83" t="s">
        <v>432</v>
      </c>
      <c r="H169" s="83" t="s">
        <v>432</v>
      </c>
      <c r="I169" s="80" t="s">
        <v>426</v>
      </c>
      <c r="J169" s="84" t="s">
        <v>433</v>
      </c>
    </row>
    <row r="170" spans="1:10" x14ac:dyDescent="0.2">
      <c r="A170" s="80" t="s">
        <v>792</v>
      </c>
      <c r="B170" s="80" t="s">
        <v>793</v>
      </c>
      <c r="C170" s="80" t="s">
        <v>641</v>
      </c>
      <c r="D170" s="81" t="s">
        <v>561</v>
      </c>
      <c r="E170" s="82" t="s">
        <v>586</v>
      </c>
      <c r="F170" s="82" t="s">
        <v>431</v>
      </c>
      <c r="G170" s="83" t="s">
        <v>432</v>
      </c>
      <c r="H170" s="83" t="s">
        <v>432</v>
      </c>
      <c r="I170" s="80" t="s">
        <v>426</v>
      </c>
      <c r="J170" s="84" t="s">
        <v>433</v>
      </c>
    </row>
    <row r="171" spans="1:10" x14ac:dyDescent="0.2">
      <c r="A171" s="80" t="s">
        <v>794</v>
      </c>
      <c r="B171" s="80" t="s">
        <v>795</v>
      </c>
      <c r="C171" s="80" t="s">
        <v>641</v>
      </c>
      <c r="D171" s="81" t="s">
        <v>613</v>
      </c>
      <c r="E171" s="82" t="s">
        <v>608</v>
      </c>
      <c r="F171" s="82" t="s">
        <v>431</v>
      </c>
      <c r="G171" s="83" t="s">
        <v>432</v>
      </c>
      <c r="H171" s="83" t="s">
        <v>432</v>
      </c>
      <c r="I171" s="80" t="s">
        <v>426</v>
      </c>
      <c r="J171" s="84" t="s">
        <v>433</v>
      </c>
    </row>
    <row r="172" spans="1:10" x14ac:dyDescent="0.2">
      <c r="A172" s="80" t="s">
        <v>796</v>
      </c>
      <c r="B172" s="80" t="s">
        <v>797</v>
      </c>
      <c r="C172" s="80" t="s">
        <v>641</v>
      </c>
      <c r="D172" s="81" t="s">
        <v>613</v>
      </c>
      <c r="E172" s="82" t="s">
        <v>548</v>
      </c>
      <c r="F172" s="82" t="s">
        <v>431</v>
      </c>
      <c r="G172" s="83" t="s">
        <v>432</v>
      </c>
      <c r="H172" s="83" t="s">
        <v>432</v>
      </c>
      <c r="I172" s="80" t="s">
        <v>426</v>
      </c>
      <c r="J172" s="84" t="s">
        <v>433</v>
      </c>
    </row>
    <row r="173" spans="1:10" x14ac:dyDescent="0.2">
      <c r="A173" s="80" t="s">
        <v>798</v>
      </c>
      <c r="B173" s="80" t="s">
        <v>799</v>
      </c>
      <c r="C173" s="80" t="s">
        <v>641</v>
      </c>
      <c r="D173" s="81" t="s">
        <v>800</v>
      </c>
      <c r="E173" s="82" t="s">
        <v>448</v>
      </c>
      <c r="F173" s="82" t="s">
        <v>431</v>
      </c>
      <c r="G173" s="83" t="s">
        <v>432</v>
      </c>
      <c r="H173" s="83" t="s">
        <v>432</v>
      </c>
      <c r="I173" s="80" t="s">
        <v>426</v>
      </c>
      <c r="J173" s="84" t="s">
        <v>433</v>
      </c>
    </row>
    <row r="174" spans="1:10" x14ac:dyDescent="0.2">
      <c r="A174" s="80" t="s">
        <v>801</v>
      </c>
      <c r="B174" s="80" t="s">
        <v>802</v>
      </c>
      <c r="C174" s="80" t="s">
        <v>641</v>
      </c>
      <c r="D174" s="81" t="s">
        <v>561</v>
      </c>
      <c r="E174" s="82" t="s">
        <v>541</v>
      </c>
      <c r="F174" s="82" t="s">
        <v>431</v>
      </c>
      <c r="G174" s="83" t="s">
        <v>432</v>
      </c>
      <c r="H174" s="83" t="s">
        <v>432</v>
      </c>
      <c r="I174" s="80" t="s">
        <v>426</v>
      </c>
      <c r="J174" s="84" t="s">
        <v>433</v>
      </c>
    </row>
    <row r="175" spans="1:10" x14ac:dyDescent="0.2">
      <c r="A175" s="80" t="s">
        <v>803</v>
      </c>
      <c r="B175" s="80" t="s">
        <v>804</v>
      </c>
      <c r="C175" s="80" t="s">
        <v>641</v>
      </c>
      <c r="D175" s="81" t="s">
        <v>601</v>
      </c>
      <c r="E175" s="82" t="s">
        <v>634</v>
      </c>
      <c r="F175" s="82" t="s">
        <v>431</v>
      </c>
      <c r="G175" s="83" t="s">
        <v>432</v>
      </c>
      <c r="H175" s="83" t="s">
        <v>432</v>
      </c>
      <c r="I175" s="80" t="s">
        <v>426</v>
      </c>
      <c r="J175" s="84" t="s">
        <v>433</v>
      </c>
    </row>
    <row r="176" spans="1:10" x14ac:dyDescent="0.2">
      <c r="A176" s="80" t="s">
        <v>805</v>
      </c>
      <c r="B176" s="80" t="s">
        <v>806</v>
      </c>
      <c r="C176" s="80" t="s">
        <v>641</v>
      </c>
      <c r="D176" s="81" t="s">
        <v>561</v>
      </c>
      <c r="E176" s="82" t="s">
        <v>791</v>
      </c>
      <c r="F176" s="82" t="s">
        <v>431</v>
      </c>
      <c r="G176" s="83" t="s">
        <v>432</v>
      </c>
      <c r="H176" s="83" t="s">
        <v>432</v>
      </c>
      <c r="I176" s="80" t="s">
        <v>426</v>
      </c>
      <c r="J176" s="84" t="s">
        <v>433</v>
      </c>
    </row>
    <row r="177" spans="1:10" x14ac:dyDescent="0.2">
      <c r="A177" s="80" t="s">
        <v>807</v>
      </c>
      <c r="B177" s="80" t="s">
        <v>808</v>
      </c>
      <c r="C177" s="80" t="s">
        <v>641</v>
      </c>
      <c r="D177" s="81" t="s">
        <v>561</v>
      </c>
      <c r="E177" s="82" t="s">
        <v>586</v>
      </c>
      <c r="F177" s="82" t="s">
        <v>431</v>
      </c>
      <c r="G177" s="83" t="s">
        <v>432</v>
      </c>
      <c r="H177" s="83" t="s">
        <v>432</v>
      </c>
      <c r="I177" s="80" t="s">
        <v>426</v>
      </c>
      <c r="J177" s="84" t="s">
        <v>433</v>
      </c>
    </row>
    <row r="178" spans="1:10" x14ac:dyDescent="0.2">
      <c r="A178" s="80" t="s">
        <v>809</v>
      </c>
      <c r="B178" s="80" t="s">
        <v>810</v>
      </c>
      <c r="C178" s="80" t="s">
        <v>641</v>
      </c>
      <c r="D178" s="81" t="s">
        <v>561</v>
      </c>
      <c r="E178" s="82" t="s">
        <v>608</v>
      </c>
      <c r="F178" s="82" t="s">
        <v>431</v>
      </c>
      <c r="G178" s="83" t="s">
        <v>432</v>
      </c>
      <c r="H178" s="83" t="s">
        <v>432</v>
      </c>
      <c r="I178" s="80" t="s">
        <v>426</v>
      </c>
      <c r="J178" s="84" t="s">
        <v>433</v>
      </c>
    </row>
    <row r="179" spans="1:10" x14ac:dyDescent="0.2">
      <c r="A179" s="80" t="s">
        <v>811</v>
      </c>
      <c r="B179" s="80" t="s">
        <v>812</v>
      </c>
      <c r="C179" s="80" t="s">
        <v>641</v>
      </c>
      <c r="D179" s="81" t="s">
        <v>561</v>
      </c>
      <c r="E179" s="82" t="s">
        <v>448</v>
      </c>
      <c r="F179" s="82" t="s">
        <v>431</v>
      </c>
      <c r="G179" s="83" t="s">
        <v>432</v>
      </c>
      <c r="H179" s="83" t="s">
        <v>432</v>
      </c>
      <c r="I179" s="80" t="s">
        <v>426</v>
      </c>
      <c r="J179" s="84" t="s">
        <v>433</v>
      </c>
    </row>
    <row r="180" spans="1:10" x14ac:dyDescent="0.2">
      <c r="A180" s="80" t="s">
        <v>813</v>
      </c>
      <c r="B180" s="80" t="s">
        <v>814</v>
      </c>
      <c r="C180" s="80" t="s">
        <v>641</v>
      </c>
      <c r="D180" s="81" t="s">
        <v>601</v>
      </c>
      <c r="E180" s="82" t="s">
        <v>554</v>
      </c>
      <c r="F180" s="82" t="s">
        <v>431</v>
      </c>
      <c r="G180" s="83" t="s">
        <v>432</v>
      </c>
      <c r="H180" s="83" t="s">
        <v>432</v>
      </c>
      <c r="I180" s="80" t="s">
        <v>426</v>
      </c>
      <c r="J180" s="84" t="s">
        <v>433</v>
      </c>
    </row>
    <row r="181" spans="1:10" x14ac:dyDescent="0.2">
      <c r="A181" s="80" t="s">
        <v>815</v>
      </c>
      <c r="B181" s="80" t="s">
        <v>816</v>
      </c>
      <c r="C181" s="80" t="s">
        <v>641</v>
      </c>
      <c r="D181" s="81" t="s">
        <v>601</v>
      </c>
      <c r="E181" s="82" t="s">
        <v>554</v>
      </c>
      <c r="F181" s="82" t="s">
        <v>431</v>
      </c>
      <c r="G181" s="83" t="s">
        <v>432</v>
      </c>
      <c r="H181" s="83" t="s">
        <v>432</v>
      </c>
      <c r="I181" s="80" t="s">
        <v>426</v>
      </c>
      <c r="J181" s="84" t="s">
        <v>433</v>
      </c>
    </row>
    <row r="182" spans="1:10" x14ac:dyDescent="0.2">
      <c r="A182" s="80" t="s">
        <v>817</v>
      </c>
      <c r="B182" s="80" t="s">
        <v>818</v>
      </c>
      <c r="C182" s="80" t="s">
        <v>641</v>
      </c>
      <c r="D182" s="81" t="s">
        <v>601</v>
      </c>
      <c r="E182" s="82" t="s">
        <v>554</v>
      </c>
      <c r="F182" s="82" t="s">
        <v>431</v>
      </c>
      <c r="G182" s="83" t="s">
        <v>432</v>
      </c>
      <c r="H182" s="83" t="s">
        <v>432</v>
      </c>
      <c r="I182" s="80" t="s">
        <v>426</v>
      </c>
      <c r="J182" s="84" t="s">
        <v>433</v>
      </c>
    </row>
    <row r="183" spans="1:10" x14ac:dyDescent="0.2">
      <c r="A183" s="80" t="s">
        <v>819</v>
      </c>
      <c r="B183" s="80" t="s">
        <v>820</v>
      </c>
      <c r="C183" s="80" t="s">
        <v>641</v>
      </c>
      <c r="D183" s="81" t="s">
        <v>601</v>
      </c>
      <c r="E183" s="82" t="s">
        <v>554</v>
      </c>
      <c r="F183" s="82" t="s">
        <v>431</v>
      </c>
      <c r="G183" s="83" t="s">
        <v>432</v>
      </c>
      <c r="H183" s="83" t="s">
        <v>432</v>
      </c>
      <c r="I183" s="80" t="s">
        <v>426</v>
      </c>
      <c r="J183" s="84" t="s">
        <v>433</v>
      </c>
    </row>
    <row r="184" spans="1:10" x14ac:dyDescent="0.2">
      <c r="A184" s="80" t="s">
        <v>821</v>
      </c>
      <c r="B184" s="80" t="s">
        <v>822</v>
      </c>
      <c r="C184" s="80" t="s">
        <v>641</v>
      </c>
      <c r="D184" s="81" t="s">
        <v>601</v>
      </c>
      <c r="E184" s="82" t="s">
        <v>554</v>
      </c>
      <c r="F184" s="82" t="s">
        <v>431</v>
      </c>
      <c r="G184" s="83" t="s">
        <v>432</v>
      </c>
      <c r="H184" s="83" t="s">
        <v>432</v>
      </c>
      <c r="I184" s="80" t="s">
        <v>426</v>
      </c>
      <c r="J184" s="84" t="s">
        <v>433</v>
      </c>
    </row>
    <row r="185" spans="1:10" x14ac:dyDescent="0.2">
      <c r="A185" s="80" t="s">
        <v>823</v>
      </c>
      <c r="B185" s="80" t="s">
        <v>824</v>
      </c>
      <c r="C185" s="80" t="s">
        <v>641</v>
      </c>
      <c r="D185" s="81" t="s">
        <v>601</v>
      </c>
      <c r="E185" s="82" t="s">
        <v>554</v>
      </c>
      <c r="F185" s="82" t="s">
        <v>431</v>
      </c>
      <c r="G185" s="83" t="s">
        <v>432</v>
      </c>
      <c r="H185" s="83" t="s">
        <v>432</v>
      </c>
      <c r="I185" s="80" t="s">
        <v>426</v>
      </c>
      <c r="J185" s="84" t="s">
        <v>433</v>
      </c>
    </row>
    <row r="186" spans="1:10" x14ac:dyDescent="0.2">
      <c r="A186" s="80" t="s">
        <v>825</v>
      </c>
      <c r="B186" s="80" t="s">
        <v>826</v>
      </c>
      <c r="C186" s="80" t="s">
        <v>641</v>
      </c>
      <c r="D186" s="81" t="s">
        <v>561</v>
      </c>
      <c r="E186" s="82" t="s">
        <v>448</v>
      </c>
      <c r="F186" s="82" t="s">
        <v>431</v>
      </c>
      <c r="G186" s="83" t="s">
        <v>432</v>
      </c>
      <c r="H186" s="83" t="s">
        <v>432</v>
      </c>
      <c r="I186" s="80" t="s">
        <v>426</v>
      </c>
      <c r="J186" s="84" t="s">
        <v>433</v>
      </c>
    </row>
    <row r="187" spans="1:10" x14ac:dyDescent="0.2">
      <c r="A187" s="80" t="s">
        <v>827</v>
      </c>
      <c r="B187" s="80" t="s">
        <v>828</v>
      </c>
      <c r="C187" s="80" t="s">
        <v>641</v>
      </c>
      <c r="D187" s="81" t="s">
        <v>561</v>
      </c>
      <c r="E187" s="82" t="s">
        <v>448</v>
      </c>
      <c r="F187" s="82" t="s">
        <v>431</v>
      </c>
      <c r="G187" s="83" t="s">
        <v>432</v>
      </c>
      <c r="H187" s="83" t="s">
        <v>432</v>
      </c>
      <c r="I187" s="80" t="s">
        <v>426</v>
      </c>
      <c r="J187" s="84" t="s">
        <v>433</v>
      </c>
    </row>
    <row r="188" spans="1:10" x14ac:dyDescent="0.2">
      <c r="A188" s="80" t="s">
        <v>829</v>
      </c>
      <c r="B188" s="80" t="s">
        <v>830</v>
      </c>
      <c r="C188" s="80" t="s">
        <v>641</v>
      </c>
      <c r="D188" s="81" t="s">
        <v>561</v>
      </c>
      <c r="E188" s="82" t="s">
        <v>448</v>
      </c>
      <c r="F188" s="82" t="s">
        <v>431</v>
      </c>
      <c r="G188" s="83" t="s">
        <v>432</v>
      </c>
      <c r="H188" s="83" t="s">
        <v>432</v>
      </c>
      <c r="I188" s="80" t="s">
        <v>426</v>
      </c>
      <c r="J188" s="84" t="s">
        <v>433</v>
      </c>
    </row>
    <row r="189" spans="1:10" x14ac:dyDescent="0.2">
      <c r="A189" s="80" t="s">
        <v>831</v>
      </c>
      <c r="B189" s="80" t="s">
        <v>832</v>
      </c>
      <c r="C189" s="80" t="s">
        <v>641</v>
      </c>
      <c r="D189" s="81" t="s">
        <v>561</v>
      </c>
      <c r="E189" s="82" t="s">
        <v>448</v>
      </c>
      <c r="F189" s="82" t="s">
        <v>431</v>
      </c>
      <c r="G189" s="83" t="s">
        <v>432</v>
      </c>
      <c r="H189" s="83" t="s">
        <v>432</v>
      </c>
      <c r="I189" s="80" t="s">
        <v>426</v>
      </c>
      <c r="J189" s="84" t="s">
        <v>433</v>
      </c>
    </row>
    <row r="190" spans="1:10" x14ac:dyDescent="0.2">
      <c r="A190" s="80" t="s">
        <v>833</v>
      </c>
      <c r="B190" s="80" t="s">
        <v>834</v>
      </c>
      <c r="C190" s="80" t="s">
        <v>641</v>
      </c>
      <c r="D190" s="81" t="s">
        <v>561</v>
      </c>
      <c r="E190" s="82" t="s">
        <v>448</v>
      </c>
      <c r="F190" s="82" t="s">
        <v>431</v>
      </c>
      <c r="G190" s="83" t="s">
        <v>432</v>
      </c>
      <c r="H190" s="83" t="s">
        <v>432</v>
      </c>
      <c r="I190" s="80" t="s">
        <v>426</v>
      </c>
      <c r="J190" s="84" t="s">
        <v>433</v>
      </c>
    </row>
    <row r="191" spans="1:10" x14ac:dyDescent="0.2">
      <c r="A191" s="80" t="s">
        <v>835</v>
      </c>
      <c r="B191" s="80" t="s">
        <v>836</v>
      </c>
      <c r="C191" s="80" t="s">
        <v>641</v>
      </c>
      <c r="D191" s="81" t="s">
        <v>561</v>
      </c>
      <c r="E191" s="82" t="s">
        <v>448</v>
      </c>
      <c r="F191" s="82" t="s">
        <v>431</v>
      </c>
      <c r="G191" s="83" t="s">
        <v>432</v>
      </c>
      <c r="H191" s="83" t="s">
        <v>432</v>
      </c>
      <c r="I191" s="80" t="s">
        <v>426</v>
      </c>
      <c r="J191" s="84" t="s">
        <v>433</v>
      </c>
    </row>
    <row r="192" spans="1:10" x14ac:dyDescent="0.2">
      <c r="A192" s="80" t="s">
        <v>837</v>
      </c>
      <c r="B192" s="80" t="s">
        <v>838</v>
      </c>
      <c r="C192" s="80" t="s">
        <v>641</v>
      </c>
      <c r="D192" s="81" t="s">
        <v>561</v>
      </c>
      <c r="E192" s="82" t="s">
        <v>448</v>
      </c>
      <c r="F192" s="82" t="s">
        <v>431</v>
      </c>
      <c r="G192" s="83" t="s">
        <v>432</v>
      </c>
      <c r="H192" s="83" t="s">
        <v>432</v>
      </c>
      <c r="I192" s="80" t="s">
        <v>426</v>
      </c>
      <c r="J192" s="84" t="s">
        <v>433</v>
      </c>
    </row>
    <row r="193" spans="1:10" x14ac:dyDescent="0.2">
      <c r="A193" s="80" t="s">
        <v>839</v>
      </c>
      <c r="B193" s="80" t="s">
        <v>840</v>
      </c>
      <c r="C193" s="80" t="s">
        <v>641</v>
      </c>
      <c r="D193" s="81" t="s">
        <v>429</v>
      </c>
      <c r="E193" s="82" t="s">
        <v>608</v>
      </c>
      <c r="F193" s="82" t="s">
        <v>431</v>
      </c>
      <c r="G193" s="83" t="s">
        <v>432</v>
      </c>
      <c r="H193" s="83" t="s">
        <v>432</v>
      </c>
      <c r="I193" s="80" t="s">
        <v>426</v>
      </c>
      <c r="J193" s="84" t="s">
        <v>433</v>
      </c>
    </row>
    <row r="194" spans="1:10" x14ac:dyDescent="0.2">
      <c r="A194" s="80" t="s">
        <v>841</v>
      </c>
      <c r="B194" s="80" t="s">
        <v>842</v>
      </c>
      <c r="C194" s="80" t="s">
        <v>641</v>
      </c>
      <c r="D194" s="81" t="s">
        <v>429</v>
      </c>
      <c r="E194" s="82" t="s">
        <v>603</v>
      </c>
      <c r="F194" s="82" t="s">
        <v>431</v>
      </c>
      <c r="G194" s="83" t="s">
        <v>432</v>
      </c>
      <c r="H194" s="83" t="s">
        <v>432</v>
      </c>
      <c r="I194" s="80" t="s">
        <v>426</v>
      </c>
      <c r="J194" s="84" t="s">
        <v>433</v>
      </c>
    </row>
    <row r="195" spans="1:10" x14ac:dyDescent="0.2">
      <c r="A195" s="80" t="s">
        <v>843</v>
      </c>
      <c r="B195" s="80" t="s">
        <v>844</v>
      </c>
      <c r="C195" s="80" t="s">
        <v>641</v>
      </c>
      <c r="D195" s="81" t="s">
        <v>429</v>
      </c>
      <c r="E195" s="82" t="s">
        <v>554</v>
      </c>
      <c r="F195" s="82" t="s">
        <v>431</v>
      </c>
      <c r="G195" s="83" t="s">
        <v>432</v>
      </c>
      <c r="H195" s="83" t="s">
        <v>432</v>
      </c>
      <c r="I195" s="80" t="s">
        <v>426</v>
      </c>
      <c r="J195" s="84" t="s">
        <v>433</v>
      </c>
    </row>
    <row r="196" spans="1:10" x14ac:dyDescent="0.2">
      <c r="A196" s="80" t="s">
        <v>845</v>
      </c>
      <c r="B196" s="80" t="s">
        <v>846</v>
      </c>
      <c r="C196" s="80" t="s">
        <v>641</v>
      </c>
      <c r="D196" s="81" t="s">
        <v>429</v>
      </c>
      <c r="E196" s="82" t="s">
        <v>548</v>
      </c>
      <c r="F196" s="82" t="s">
        <v>431</v>
      </c>
      <c r="G196" s="83" t="s">
        <v>432</v>
      </c>
      <c r="H196" s="83" t="s">
        <v>432</v>
      </c>
      <c r="I196" s="80" t="s">
        <v>426</v>
      </c>
      <c r="J196" s="84" t="s">
        <v>433</v>
      </c>
    </row>
    <row r="197" spans="1:10" x14ac:dyDescent="0.2">
      <c r="A197" s="80" t="s">
        <v>847</v>
      </c>
      <c r="B197" s="80" t="s">
        <v>848</v>
      </c>
      <c r="C197" s="80" t="s">
        <v>641</v>
      </c>
      <c r="D197" s="81" t="s">
        <v>561</v>
      </c>
      <c r="E197" s="82" t="s">
        <v>647</v>
      </c>
      <c r="F197" s="82" t="s">
        <v>431</v>
      </c>
      <c r="G197" s="83" t="s">
        <v>432</v>
      </c>
      <c r="H197" s="83" t="s">
        <v>432</v>
      </c>
      <c r="I197" s="80" t="s">
        <v>426</v>
      </c>
      <c r="J197" s="84" t="s">
        <v>433</v>
      </c>
    </row>
    <row r="198" spans="1:10" x14ac:dyDescent="0.2">
      <c r="A198" s="80" t="s">
        <v>849</v>
      </c>
      <c r="B198" s="80" t="s">
        <v>409</v>
      </c>
      <c r="C198" s="80" t="s">
        <v>443</v>
      </c>
      <c r="D198" s="81" t="s">
        <v>429</v>
      </c>
      <c r="E198" s="82" t="s">
        <v>541</v>
      </c>
      <c r="F198" s="82" t="s">
        <v>431</v>
      </c>
      <c r="G198" s="83" t="s">
        <v>432</v>
      </c>
      <c r="H198" s="83" t="s">
        <v>432</v>
      </c>
      <c r="I198" s="80" t="s">
        <v>426</v>
      </c>
      <c r="J198" s="84" t="s">
        <v>433</v>
      </c>
    </row>
    <row r="199" spans="1:10" x14ac:dyDescent="0.2">
      <c r="A199" s="80" t="s">
        <v>850</v>
      </c>
      <c r="B199" s="80" t="s">
        <v>851</v>
      </c>
      <c r="C199" s="80" t="s">
        <v>428</v>
      </c>
      <c r="D199" s="81" t="s">
        <v>429</v>
      </c>
      <c r="E199" s="82" t="s">
        <v>431</v>
      </c>
      <c r="F199" s="82" t="s">
        <v>431</v>
      </c>
      <c r="G199" s="83" t="s">
        <v>432</v>
      </c>
      <c r="H199" s="83" t="s">
        <v>432</v>
      </c>
      <c r="I199" s="80" t="s">
        <v>426</v>
      </c>
      <c r="J199" s="84" t="s">
        <v>433</v>
      </c>
    </row>
    <row r="200" spans="1:10" x14ac:dyDescent="0.2">
      <c r="A200" s="80" t="s">
        <v>852</v>
      </c>
      <c r="B200" s="80" t="s">
        <v>263</v>
      </c>
      <c r="C200" s="80" t="s">
        <v>560</v>
      </c>
      <c r="D200" s="81" t="s">
        <v>429</v>
      </c>
      <c r="E200" s="82" t="s">
        <v>563</v>
      </c>
      <c r="F200" s="82" t="s">
        <v>431</v>
      </c>
      <c r="G200" s="83" t="s">
        <v>432</v>
      </c>
      <c r="H200" s="83" t="s">
        <v>432</v>
      </c>
      <c r="I200" s="80" t="s">
        <v>426</v>
      </c>
      <c r="J200" s="84" t="s">
        <v>433</v>
      </c>
    </row>
    <row r="201" spans="1:10" x14ac:dyDescent="0.2">
      <c r="A201" s="80" t="s">
        <v>853</v>
      </c>
      <c r="B201" s="80" t="s">
        <v>398</v>
      </c>
      <c r="C201" s="80" t="s">
        <v>589</v>
      </c>
      <c r="D201" s="81" t="s">
        <v>429</v>
      </c>
      <c r="E201" s="82" t="s">
        <v>448</v>
      </c>
      <c r="F201" s="82" t="s">
        <v>431</v>
      </c>
      <c r="G201" s="83" t="s">
        <v>432</v>
      </c>
      <c r="H201" s="83" t="s">
        <v>432</v>
      </c>
      <c r="I201" s="80" t="s">
        <v>426</v>
      </c>
      <c r="J201" s="84" t="s">
        <v>433</v>
      </c>
    </row>
    <row r="202" spans="1:10" x14ac:dyDescent="0.2">
      <c r="A202" s="80" t="s">
        <v>854</v>
      </c>
      <c r="B202" s="80" t="s">
        <v>368</v>
      </c>
      <c r="C202" s="80" t="s">
        <v>589</v>
      </c>
      <c r="D202" s="81" t="s">
        <v>429</v>
      </c>
      <c r="E202" s="82" t="s">
        <v>603</v>
      </c>
      <c r="F202" s="82" t="s">
        <v>431</v>
      </c>
      <c r="G202" s="83" t="s">
        <v>432</v>
      </c>
      <c r="H202" s="83" t="s">
        <v>432</v>
      </c>
      <c r="I202" s="80" t="s">
        <v>426</v>
      </c>
      <c r="J202" s="84" t="s">
        <v>433</v>
      </c>
    </row>
    <row r="203" spans="1:10" x14ac:dyDescent="0.2">
      <c r="A203" s="80" t="s">
        <v>855</v>
      </c>
      <c r="B203" s="80" t="s">
        <v>412</v>
      </c>
      <c r="C203" s="80" t="s">
        <v>856</v>
      </c>
      <c r="D203" s="81" t="s">
        <v>429</v>
      </c>
      <c r="E203" s="82" t="s">
        <v>603</v>
      </c>
      <c r="F203" s="82" t="s">
        <v>431</v>
      </c>
      <c r="G203" s="83" t="s">
        <v>432</v>
      </c>
      <c r="H203" s="83" t="s">
        <v>432</v>
      </c>
      <c r="I203" s="80" t="s">
        <v>426</v>
      </c>
      <c r="J203" s="84" t="s">
        <v>433</v>
      </c>
    </row>
    <row r="204" spans="1:10" x14ac:dyDescent="0.2">
      <c r="A204" s="80" t="s">
        <v>857</v>
      </c>
      <c r="B204" s="80" t="s">
        <v>414</v>
      </c>
      <c r="C204" s="80" t="s">
        <v>581</v>
      </c>
      <c r="D204" s="81" t="s">
        <v>429</v>
      </c>
      <c r="E204" s="82" t="s">
        <v>431</v>
      </c>
      <c r="F204" s="82" t="s">
        <v>431</v>
      </c>
      <c r="G204" s="83" t="s">
        <v>432</v>
      </c>
      <c r="H204" s="83" t="s">
        <v>432</v>
      </c>
      <c r="I204" s="80" t="s">
        <v>426</v>
      </c>
      <c r="J204" s="84" t="s">
        <v>433</v>
      </c>
    </row>
    <row r="205" spans="1:10" x14ac:dyDescent="0.2">
      <c r="A205" s="80" t="s">
        <v>858</v>
      </c>
      <c r="B205" s="80" t="s">
        <v>356</v>
      </c>
      <c r="C205" s="80" t="s">
        <v>556</v>
      </c>
      <c r="D205" s="81" t="s">
        <v>429</v>
      </c>
      <c r="E205" s="82" t="s">
        <v>603</v>
      </c>
      <c r="F205" s="82" t="s">
        <v>431</v>
      </c>
      <c r="G205" s="83" t="s">
        <v>432</v>
      </c>
      <c r="H205" s="83" t="s">
        <v>432</v>
      </c>
      <c r="I205" s="80" t="s">
        <v>426</v>
      </c>
      <c r="J205" s="84" t="s">
        <v>433</v>
      </c>
    </row>
    <row r="206" spans="1:10" x14ac:dyDescent="0.2">
      <c r="A206" s="80" t="s">
        <v>859</v>
      </c>
      <c r="B206" s="80" t="s">
        <v>350</v>
      </c>
      <c r="C206" s="80" t="s">
        <v>589</v>
      </c>
      <c r="D206" s="81" t="s">
        <v>426</v>
      </c>
      <c r="E206" s="82" t="s">
        <v>603</v>
      </c>
      <c r="F206" s="82" t="s">
        <v>431</v>
      </c>
      <c r="G206" s="83" t="s">
        <v>432</v>
      </c>
      <c r="H206" s="83" t="s">
        <v>432</v>
      </c>
      <c r="I206" s="80" t="s">
        <v>426</v>
      </c>
      <c r="J206" s="84" t="s">
        <v>433</v>
      </c>
    </row>
    <row r="207" spans="1:10" x14ac:dyDescent="0.2">
      <c r="A207" s="80" t="s">
        <v>860</v>
      </c>
      <c r="B207" s="80" t="s">
        <v>861</v>
      </c>
      <c r="C207" s="80" t="s">
        <v>443</v>
      </c>
      <c r="D207" s="81" t="s">
        <v>800</v>
      </c>
      <c r="E207" s="82" t="s">
        <v>862</v>
      </c>
      <c r="F207" s="82" t="s">
        <v>431</v>
      </c>
      <c r="G207" s="83" t="s">
        <v>432</v>
      </c>
      <c r="H207" s="83" t="s">
        <v>432</v>
      </c>
      <c r="I207" s="80" t="s">
        <v>426</v>
      </c>
      <c r="J207" s="84" t="s">
        <v>433</v>
      </c>
    </row>
    <row r="208" spans="1:10" x14ac:dyDescent="0.2">
      <c r="A208" s="80" t="s">
        <v>863</v>
      </c>
      <c r="B208" s="80" t="s">
        <v>864</v>
      </c>
      <c r="C208" s="80" t="s">
        <v>428</v>
      </c>
      <c r="D208" s="81" t="s">
        <v>429</v>
      </c>
      <c r="E208" s="82" t="s">
        <v>430</v>
      </c>
      <c r="F208" s="82" t="s">
        <v>431</v>
      </c>
      <c r="G208" s="83" t="s">
        <v>432</v>
      </c>
      <c r="H208" s="83" t="s">
        <v>432</v>
      </c>
      <c r="I208" s="80" t="s">
        <v>426</v>
      </c>
      <c r="J208" s="84" t="s">
        <v>433</v>
      </c>
    </row>
    <row r="209" spans="1:10" x14ac:dyDescent="0.2">
      <c r="A209" s="80" t="s">
        <v>865</v>
      </c>
      <c r="B209" s="80" t="s">
        <v>866</v>
      </c>
      <c r="C209" s="80" t="s">
        <v>633</v>
      </c>
      <c r="D209" s="81" t="s">
        <v>429</v>
      </c>
      <c r="E209" s="82" t="s">
        <v>867</v>
      </c>
      <c r="F209" s="82" t="s">
        <v>431</v>
      </c>
      <c r="G209" s="83" t="s">
        <v>432</v>
      </c>
      <c r="H209" s="83" t="s">
        <v>432</v>
      </c>
      <c r="I209" s="80" t="s">
        <v>426</v>
      </c>
      <c r="J209" s="84" t="s">
        <v>433</v>
      </c>
    </row>
    <row r="210" spans="1:10" x14ac:dyDescent="0.2">
      <c r="A210" s="80" t="s">
        <v>868</v>
      </c>
      <c r="B210" s="80" t="s">
        <v>869</v>
      </c>
      <c r="C210" s="80" t="s">
        <v>856</v>
      </c>
      <c r="D210" s="81" t="s">
        <v>429</v>
      </c>
      <c r="E210" s="82" t="s">
        <v>586</v>
      </c>
      <c r="F210" s="82" t="s">
        <v>431</v>
      </c>
      <c r="G210" s="83" t="s">
        <v>432</v>
      </c>
      <c r="H210" s="83" t="s">
        <v>432</v>
      </c>
      <c r="I210" s="80" t="s">
        <v>426</v>
      </c>
      <c r="J210" s="84" t="s">
        <v>433</v>
      </c>
    </row>
    <row r="211" spans="1:10" x14ac:dyDescent="0.2">
      <c r="A211" s="80" t="s">
        <v>870</v>
      </c>
      <c r="B211" s="80" t="s">
        <v>871</v>
      </c>
      <c r="C211" s="80" t="s">
        <v>856</v>
      </c>
      <c r="D211" s="81" t="s">
        <v>429</v>
      </c>
      <c r="E211" s="82" t="s">
        <v>586</v>
      </c>
      <c r="F211" s="82" t="s">
        <v>431</v>
      </c>
      <c r="G211" s="83" t="s">
        <v>432</v>
      </c>
      <c r="H211" s="83" t="s">
        <v>432</v>
      </c>
      <c r="I211" s="80" t="s">
        <v>426</v>
      </c>
      <c r="J211" s="84" t="s">
        <v>433</v>
      </c>
    </row>
    <row r="212" spans="1:10" x14ac:dyDescent="0.2">
      <c r="A212" s="80" t="s">
        <v>872</v>
      </c>
      <c r="B212" s="80" t="s">
        <v>873</v>
      </c>
      <c r="C212" s="80" t="s">
        <v>856</v>
      </c>
      <c r="D212" s="81" t="s">
        <v>429</v>
      </c>
      <c r="E212" s="82" t="s">
        <v>586</v>
      </c>
      <c r="F212" s="82" t="s">
        <v>431</v>
      </c>
      <c r="G212" s="83" t="s">
        <v>432</v>
      </c>
      <c r="H212" s="83" t="s">
        <v>432</v>
      </c>
      <c r="I212" s="80" t="s">
        <v>426</v>
      </c>
      <c r="J212" s="84" t="s">
        <v>433</v>
      </c>
    </row>
    <row r="213" spans="1:10" x14ac:dyDescent="0.2">
      <c r="A213" s="80" t="s">
        <v>874</v>
      </c>
      <c r="B213" s="80" t="s">
        <v>343</v>
      </c>
      <c r="C213" s="80" t="s">
        <v>428</v>
      </c>
      <c r="D213" s="81" t="s">
        <v>429</v>
      </c>
      <c r="E213" s="82" t="s">
        <v>647</v>
      </c>
      <c r="F213" s="82" t="s">
        <v>431</v>
      </c>
      <c r="G213" s="83" t="s">
        <v>432</v>
      </c>
      <c r="H213" s="83" t="s">
        <v>432</v>
      </c>
      <c r="I213" s="80" t="s">
        <v>426</v>
      </c>
      <c r="J213" s="84" t="s">
        <v>433</v>
      </c>
    </row>
    <row r="214" spans="1:10" x14ac:dyDescent="0.2">
      <c r="A214" s="80" t="s">
        <v>875</v>
      </c>
      <c r="B214" s="80" t="s">
        <v>342</v>
      </c>
      <c r="C214" s="80" t="s">
        <v>428</v>
      </c>
      <c r="D214" s="81" t="s">
        <v>429</v>
      </c>
      <c r="E214" s="82" t="s">
        <v>647</v>
      </c>
      <c r="F214" s="82" t="s">
        <v>431</v>
      </c>
      <c r="G214" s="83" t="s">
        <v>432</v>
      </c>
      <c r="H214" s="83" t="s">
        <v>432</v>
      </c>
      <c r="I214" s="80" t="s">
        <v>426</v>
      </c>
      <c r="J214" s="84" t="s">
        <v>433</v>
      </c>
    </row>
    <row r="215" spans="1:10" x14ac:dyDescent="0.2">
      <c r="A215" s="80" t="s">
        <v>876</v>
      </c>
      <c r="B215" s="80" t="s">
        <v>200</v>
      </c>
      <c r="C215" s="80" t="s">
        <v>428</v>
      </c>
      <c r="D215" s="81" t="s">
        <v>429</v>
      </c>
      <c r="E215" s="82" t="s">
        <v>647</v>
      </c>
      <c r="F215" s="82" t="s">
        <v>431</v>
      </c>
      <c r="G215" s="83" t="s">
        <v>432</v>
      </c>
      <c r="H215" s="83" t="s">
        <v>432</v>
      </c>
      <c r="I215" s="80" t="s">
        <v>426</v>
      </c>
      <c r="J215" s="84" t="s">
        <v>433</v>
      </c>
    </row>
    <row r="216" spans="1:10" x14ac:dyDescent="0.2">
      <c r="A216" s="80" t="s">
        <v>877</v>
      </c>
      <c r="B216" s="80" t="s">
        <v>878</v>
      </c>
      <c r="C216" s="80" t="s">
        <v>428</v>
      </c>
      <c r="D216" s="81" t="s">
        <v>582</v>
      </c>
      <c r="E216" s="82" t="s">
        <v>879</v>
      </c>
      <c r="F216" s="82" t="s">
        <v>431</v>
      </c>
      <c r="G216" s="83" t="s">
        <v>432</v>
      </c>
      <c r="H216" s="83" t="s">
        <v>432</v>
      </c>
      <c r="I216" s="80" t="s">
        <v>426</v>
      </c>
      <c r="J216" s="84" t="s">
        <v>433</v>
      </c>
    </row>
    <row r="217" spans="1:10" x14ac:dyDescent="0.2">
      <c r="A217" s="80" t="s">
        <v>880</v>
      </c>
      <c r="B217" s="80" t="s">
        <v>373</v>
      </c>
      <c r="C217" s="80" t="s">
        <v>881</v>
      </c>
      <c r="D217" s="81" t="s">
        <v>429</v>
      </c>
      <c r="E217" s="82" t="s">
        <v>634</v>
      </c>
      <c r="F217" s="82" t="s">
        <v>431</v>
      </c>
      <c r="G217" s="83" t="s">
        <v>432</v>
      </c>
      <c r="H217" s="83" t="s">
        <v>432</v>
      </c>
      <c r="I217" s="80" t="s">
        <v>882</v>
      </c>
      <c r="J217" s="84" t="s">
        <v>433</v>
      </c>
    </row>
    <row r="218" spans="1:10" x14ac:dyDescent="0.2">
      <c r="A218" s="80" t="s">
        <v>883</v>
      </c>
      <c r="B218" s="80" t="s">
        <v>884</v>
      </c>
      <c r="C218" s="80" t="s">
        <v>881</v>
      </c>
      <c r="D218" s="81" t="s">
        <v>429</v>
      </c>
      <c r="E218" s="82" t="s">
        <v>885</v>
      </c>
      <c r="F218" s="82" t="s">
        <v>431</v>
      </c>
      <c r="G218" s="83" t="s">
        <v>432</v>
      </c>
      <c r="H218" s="83" t="s">
        <v>432</v>
      </c>
      <c r="I218" s="80" t="s">
        <v>882</v>
      </c>
      <c r="J218" s="84" t="s">
        <v>433</v>
      </c>
    </row>
    <row r="219" spans="1:10" x14ac:dyDescent="0.2">
      <c r="A219" s="80" t="s">
        <v>886</v>
      </c>
      <c r="B219" s="80" t="s">
        <v>887</v>
      </c>
      <c r="C219" s="80" t="s">
        <v>428</v>
      </c>
      <c r="D219" s="81" t="s">
        <v>429</v>
      </c>
      <c r="E219" s="82" t="s">
        <v>430</v>
      </c>
      <c r="F219" s="82" t="s">
        <v>431</v>
      </c>
      <c r="G219" s="83" t="s">
        <v>432</v>
      </c>
      <c r="H219" s="83" t="s">
        <v>432</v>
      </c>
      <c r="I219" s="80" t="s">
        <v>426</v>
      </c>
      <c r="J219" s="84" t="s">
        <v>433</v>
      </c>
    </row>
    <row r="220" spans="1:10" x14ac:dyDescent="0.2">
      <c r="A220" s="80" t="s">
        <v>888</v>
      </c>
      <c r="B220" s="80" t="s">
        <v>237</v>
      </c>
      <c r="C220" s="80" t="s">
        <v>428</v>
      </c>
      <c r="D220" s="81" t="s">
        <v>429</v>
      </c>
      <c r="E220" s="82" t="s">
        <v>548</v>
      </c>
      <c r="F220" s="82" t="s">
        <v>431</v>
      </c>
      <c r="G220" s="83" t="s">
        <v>432</v>
      </c>
      <c r="H220" s="83" t="s">
        <v>432</v>
      </c>
      <c r="I220" s="80" t="s">
        <v>426</v>
      </c>
      <c r="J220" s="84" t="s">
        <v>433</v>
      </c>
    </row>
    <row r="221" spans="1:10" x14ac:dyDescent="0.2">
      <c r="A221" s="80" t="s">
        <v>889</v>
      </c>
      <c r="B221" s="80" t="s">
        <v>890</v>
      </c>
      <c r="C221" s="80" t="s">
        <v>556</v>
      </c>
      <c r="D221" s="81" t="s">
        <v>429</v>
      </c>
      <c r="E221" s="82" t="s">
        <v>563</v>
      </c>
      <c r="F221" s="82" t="s">
        <v>431</v>
      </c>
      <c r="G221" s="83" t="s">
        <v>432</v>
      </c>
      <c r="H221" s="83" t="s">
        <v>432</v>
      </c>
      <c r="I221" s="80" t="s">
        <v>426</v>
      </c>
      <c r="J221" s="84" t="s">
        <v>433</v>
      </c>
    </row>
    <row r="222" spans="1:10" x14ac:dyDescent="0.2">
      <c r="A222" s="80" t="s">
        <v>891</v>
      </c>
      <c r="B222" s="80" t="s">
        <v>691</v>
      </c>
      <c r="C222" s="80" t="s">
        <v>547</v>
      </c>
      <c r="D222" s="81" t="s">
        <v>601</v>
      </c>
      <c r="E222" s="82" t="s">
        <v>431</v>
      </c>
      <c r="F222" s="82" t="s">
        <v>431</v>
      </c>
      <c r="G222" s="83" t="s">
        <v>432</v>
      </c>
      <c r="H222" s="83" t="s">
        <v>432</v>
      </c>
      <c r="I222" s="80" t="s">
        <v>426</v>
      </c>
      <c r="J222" s="84" t="s">
        <v>433</v>
      </c>
    </row>
    <row r="223" spans="1:10" x14ac:dyDescent="0.2">
      <c r="A223" s="80" t="s">
        <v>892</v>
      </c>
      <c r="B223" s="80" t="s">
        <v>893</v>
      </c>
      <c r="C223" s="80" t="s">
        <v>589</v>
      </c>
      <c r="D223" s="81" t="s">
        <v>429</v>
      </c>
      <c r="E223" s="82" t="s">
        <v>554</v>
      </c>
      <c r="F223" s="82" t="s">
        <v>431</v>
      </c>
      <c r="G223" s="83" t="s">
        <v>432</v>
      </c>
      <c r="H223" s="83" t="s">
        <v>432</v>
      </c>
      <c r="I223" s="80" t="s">
        <v>894</v>
      </c>
      <c r="J223" s="84" t="s">
        <v>433</v>
      </c>
    </row>
    <row r="224" spans="1:10" x14ac:dyDescent="0.2">
      <c r="A224" s="80" t="s">
        <v>895</v>
      </c>
      <c r="B224" s="80" t="s">
        <v>896</v>
      </c>
      <c r="C224" s="80" t="s">
        <v>443</v>
      </c>
      <c r="D224" s="81" t="s">
        <v>800</v>
      </c>
      <c r="E224" s="82" t="s">
        <v>554</v>
      </c>
      <c r="F224" s="82" t="s">
        <v>431</v>
      </c>
      <c r="G224" s="83" t="s">
        <v>432</v>
      </c>
      <c r="H224" s="83" t="s">
        <v>432</v>
      </c>
      <c r="I224" s="80" t="s">
        <v>426</v>
      </c>
      <c r="J224" s="84" t="s">
        <v>433</v>
      </c>
    </row>
    <row r="225" spans="1:10" x14ac:dyDescent="0.2">
      <c r="A225" s="80" t="s">
        <v>897</v>
      </c>
      <c r="B225" s="80" t="s">
        <v>369</v>
      </c>
      <c r="C225" s="80" t="s">
        <v>881</v>
      </c>
      <c r="D225" s="81" t="s">
        <v>429</v>
      </c>
      <c r="E225" s="82" t="s">
        <v>608</v>
      </c>
      <c r="F225" s="82" t="s">
        <v>431</v>
      </c>
      <c r="G225" s="83" t="s">
        <v>432</v>
      </c>
      <c r="H225" s="83" t="s">
        <v>432</v>
      </c>
      <c r="I225" s="80" t="s">
        <v>882</v>
      </c>
      <c r="J225" s="84" t="s">
        <v>433</v>
      </c>
    </row>
    <row r="226" spans="1:10" x14ac:dyDescent="0.2">
      <c r="A226" s="80" t="s">
        <v>898</v>
      </c>
      <c r="B226" s="80" t="s">
        <v>268</v>
      </c>
      <c r="C226" s="80" t="s">
        <v>560</v>
      </c>
      <c r="D226" s="81" t="s">
        <v>561</v>
      </c>
      <c r="E226" s="82" t="s">
        <v>647</v>
      </c>
      <c r="F226" s="82" t="s">
        <v>431</v>
      </c>
      <c r="G226" s="83" t="s">
        <v>432</v>
      </c>
      <c r="H226" s="83" t="s">
        <v>432</v>
      </c>
      <c r="I226" s="80" t="s">
        <v>426</v>
      </c>
      <c r="J226" s="84" t="s">
        <v>433</v>
      </c>
    </row>
    <row r="227" spans="1:10" x14ac:dyDescent="0.2">
      <c r="A227" s="80" t="s">
        <v>899</v>
      </c>
      <c r="B227" s="80" t="s">
        <v>265</v>
      </c>
      <c r="C227" s="80" t="s">
        <v>560</v>
      </c>
      <c r="D227" s="81" t="s">
        <v>429</v>
      </c>
      <c r="E227" s="82" t="s">
        <v>867</v>
      </c>
      <c r="F227" s="82" t="s">
        <v>431</v>
      </c>
      <c r="G227" s="83" t="s">
        <v>432</v>
      </c>
      <c r="H227" s="83" t="s">
        <v>432</v>
      </c>
      <c r="I227" s="80" t="s">
        <v>426</v>
      </c>
      <c r="J227" s="84" t="s">
        <v>433</v>
      </c>
    </row>
    <row r="228" spans="1:10" x14ac:dyDescent="0.2">
      <c r="A228" s="80" t="s">
        <v>900</v>
      </c>
      <c r="B228" s="80" t="s">
        <v>901</v>
      </c>
      <c r="C228" s="80" t="s">
        <v>856</v>
      </c>
      <c r="D228" s="81" t="s">
        <v>561</v>
      </c>
      <c r="E228" s="82" t="s">
        <v>603</v>
      </c>
      <c r="F228" s="82" t="s">
        <v>431</v>
      </c>
      <c r="G228" s="83" t="s">
        <v>432</v>
      </c>
      <c r="H228" s="83" t="s">
        <v>432</v>
      </c>
      <c r="I228" s="80" t="s">
        <v>426</v>
      </c>
      <c r="J228" s="84" t="s">
        <v>433</v>
      </c>
    </row>
    <row r="229" spans="1:10" x14ac:dyDescent="0.2">
      <c r="A229" s="80" t="s">
        <v>902</v>
      </c>
      <c r="B229" s="80" t="s">
        <v>903</v>
      </c>
      <c r="C229" s="80" t="s">
        <v>856</v>
      </c>
      <c r="D229" s="81" t="s">
        <v>561</v>
      </c>
      <c r="E229" s="82" t="s">
        <v>603</v>
      </c>
      <c r="F229" s="82" t="s">
        <v>431</v>
      </c>
      <c r="G229" s="83" t="s">
        <v>432</v>
      </c>
      <c r="H229" s="83" t="s">
        <v>432</v>
      </c>
      <c r="I229" s="80" t="s">
        <v>426</v>
      </c>
      <c r="J229" s="84" t="s">
        <v>433</v>
      </c>
    </row>
    <row r="230" spans="1:10" x14ac:dyDescent="0.2">
      <c r="A230" s="80" t="s">
        <v>904</v>
      </c>
      <c r="B230" s="80" t="s">
        <v>905</v>
      </c>
      <c r="C230" s="80" t="s">
        <v>856</v>
      </c>
      <c r="D230" s="81" t="s">
        <v>561</v>
      </c>
      <c r="E230" s="82" t="s">
        <v>603</v>
      </c>
      <c r="F230" s="82" t="s">
        <v>431</v>
      </c>
      <c r="G230" s="83" t="s">
        <v>432</v>
      </c>
      <c r="H230" s="83" t="s">
        <v>432</v>
      </c>
      <c r="I230" s="80" t="s">
        <v>426</v>
      </c>
      <c r="J230" s="84" t="s">
        <v>433</v>
      </c>
    </row>
    <row r="231" spans="1:10" x14ac:dyDescent="0.2">
      <c r="A231" s="80" t="s">
        <v>906</v>
      </c>
      <c r="B231" s="80" t="s">
        <v>413</v>
      </c>
      <c r="C231" s="80" t="s">
        <v>581</v>
      </c>
      <c r="D231" s="81" t="s">
        <v>561</v>
      </c>
      <c r="E231" s="82" t="s">
        <v>603</v>
      </c>
      <c r="F231" s="82" t="s">
        <v>431</v>
      </c>
      <c r="G231" s="83" t="s">
        <v>432</v>
      </c>
      <c r="H231" s="83" t="s">
        <v>432</v>
      </c>
      <c r="I231" s="80" t="s">
        <v>426</v>
      </c>
      <c r="J231" s="84" t="s">
        <v>433</v>
      </c>
    </row>
    <row r="232" spans="1:10" x14ac:dyDescent="0.2">
      <c r="A232" s="80" t="s">
        <v>907</v>
      </c>
      <c r="B232" s="80" t="s">
        <v>279</v>
      </c>
      <c r="C232" s="80" t="s">
        <v>908</v>
      </c>
      <c r="D232" s="81" t="s">
        <v>429</v>
      </c>
      <c r="E232" s="82" t="s">
        <v>548</v>
      </c>
      <c r="F232" s="82" t="s">
        <v>431</v>
      </c>
      <c r="G232" s="83" t="s">
        <v>432</v>
      </c>
      <c r="H232" s="83" t="s">
        <v>432</v>
      </c>
      <c r="I232" s="80" t="s">
        <v>426</v>
      </c>
      <c r="J232" s="84" t="s">
        <v>433</v>
      </c>
    </row>
    <row r="233" spans="1:10" x14ac:dyDescent="0.2">
      <c r="A233" s="80" t="s">
        <v>909</v>
      </c>
      <c r="B233" s="80" t="s">
        <v>910</v>
      </c>
      <c r="C233" s="80" t="s">
        <v>589</v>
      </c>
      <c r="D233" s="81" t="s">
        <v>429</v>
      </c>
      <c r="E233" s="82" t="s">
        <v>608</v>
      </c>
      <c r="F233" s="82" t="s">
        <v>431</v>
      </c>
      <c r="G233" s="83" t="s">
        <v>432</v>
      </c>
      <c r="H233" s="83" t="s">
        <v>432</v>
      </c>
      <c r="I233" s="80" t="s">
        <v>426</v>
      </c>
      <c r="J233" s="84" t="s">
        <v>433</v>
      </c>
    </row>
    <row r="234" spans="1:10" x14ac:dyDescent="0.2">
      <c r="A234" s="80" t="s">
        <v>911</v>
      </c>
      <c r="B234" s="80" t="s">
        <v>912</v>
      </c>
      <c r="C234" s="80" t="s">
        <v>589</v>
      </c>
      <c r="D234" s="81" t="s">
        <v>429</v>
      </c>
      <c r="E234" s="82" t="s">
        <v>430</v>
      </c>
      <c r="F234" s="82" t="s">
        <v>431</v>
      </c>
      <c r="G234" s="83" t="s">
        <v>432</v>
      </c>
      <c r="H234" s="83" t="s">
        <v>432</v>
      </c>
      <c r="I234" s="80" t="s">
        <v>426</v>
      </c>
      <c r="J234" s="84" t="s">
        <v>433</v>
      </c>
    </row>
    <row r="235" spans="1:10" x14ac:dyDescent="0.2">
      <c r="A235" s="80" t="s">
        <v>913</v>
      </c>
      <c r="B235" s="80" t="s">
        <v>311</v>
      </c>
      <c r="C235" s="80" t="s">
        <v>589</v>
      </c>
      <c r="D235" s="81" t="s">
        <v>429</v>
      </c>
      <c r="E235" s="82" t="s">
        <v>430</v>
      </c>
      <c r="F235" s="82" t="s">
        <v>431</v>
      </c>
      <c r="G235" s="83" t="s">
        <v>432</v>
      </c>
      <c r="H235" s="83" t="s">
        <v>432</v>
      </c>
      <c r="I235" s="80" t="s">
        <v>426</v>
      </c>
      <c r="J235" s="84" t="s">
        <v>433</v>
      </c>
    </row>
    <row r="236" spans="1:10" x14ac:dyDescent="0.2">
      <c r="A236" s="80" t="s">
        <v>914</v>
      </c>
      <c r="B236" s="80" t="s">
        <v>915</v>
      </c>
      <c r="C236" s="80" t="s">
        <v>556</v>
      </c>
      <c r="D236" s="81" t="s">
        <v>429</v>
      </c>
      <c r="E236" s="82" t="s">
        <v>548</v>
      </c>
      <c r="F236" s="82" t="s">
        <v>431</v>
      </c>
      <c r="G236" s="83" t="s">
        <v>432</v>
      </c>
      <c r="H236" s="83" t="s">
        <v>432</v>
      </c>
      <c r="I236" s="80" t="s">
        <v>426</v>
      </c>
      <c r="J236" s="84" t="s">
        <v>584</v>
      </c>
    </row>
    <row r="237" spans="1:10" x14ac:dyDescent="0.2">
      <c r="A237" s="80" t="s">
        <v>916</v>
      </c>
      <c r="B237" s="80" t="s">
        <v>917</v>
      </c>
      <c r="C237" s="80" t="s">
        <v>547</v>
      </c>
      <c r="D237" s="81" t="s">
        <v>601</v>
      </c>
      <c r="E237" s="82" t="s">
        <v>554</v>
      </c>
      <c r="F237" s="82" t="s">
        <v>431</v>
      </c>
      <c r="G237" s="83" t="s">
        <v>432</v>
      </c>
      <c r="H237" s="83" t="s">
        <v>432</v>
      </c>
      <c r="I237" s="80" t="s">
        <v>426</v>
      </c>
      <c r="J237" s="84" t="s">
        <v>433</v>
      </c>
    </row>
    <row r="238" spans="1:10" x14ac:dyDescent="0.2">
      <c r="A238" s="80" t="s">
        <v>918</v>
      </c>
      <c r="B238" s="80" t="s">
        <v>919</v>
      </c>
      <c r="C238" s="80" t="s">
        <v>633</v>
      </c>
      <c r="D238" s="81" t="s">
        <v>429</v>
      </c>
      <c r="E238" s="82" t="s">
        <v>568</v>
      </c>
      <c r="F238" s="82" t="s">
        <v>431</v>
      </c>
      <c r="G238" s="83" t="s">
        <v>432</v>
      </c>
      <c r="H238" s="83" t="s">
        <v>432</v>
      </c>
      <c r="I238" s="80" t="s">
        <v>426</v>
      </c>
      <c r="J238" s="84" t="s">
        <v>433</v>
      </c>
    </row>
    <row r="239" spans="1:10" x14ac:dyDescent="0.2">
      <c r="A239" s="80" t="s">
        <v>920</v>
      </c>
      <c r="B239" s="80" t="s">
        <v>921</v>
      </c>
      <c r="C239" s="80" t="s">
        <v>589</v>
      </c>
      <c r="D239" s="81" t="s">
        <v>613</v>
      </c>
      <c r="E239" s="82" t="s">
        <v>622</v>
      </c>
      <c r="F239" s="82" t="s">
        <v>431</v>
      </c>
      <c r="G239" s="83" t="s">
        <v>432</v>
      </c>
      <c r="H239" s="83" t="s">
        <v>432</v>
      </c>
      <c r="I239" s="80" t="s">
        <v>426</v>
      </c>
      <c r="J239" s="84" t="s">
        <v>433</v>
      </c>
    </row>
    <row r="240" spans="1:10" x14ac:dyDescent="0.2">
      <c r="A240" s="80" t="s">
        <v>922</v>
      </c>
      <c r="B240" s="80" t="s">
        <v>923</v>
      </c>
      <c r="C240" s="80" t="s">
        <v>589</v>
      </c>
      <c r="D240" s="81" t="s">
        <v>429</v>
      </c>
      <c r="E240" s="82" t="s">
        <v>430</v>
      </c>
      <c r="F240" s="82" t="s">
        <v>431</v>
      </c>
      <c r="G240" s="83" t="s">
        <v>432</v>
      </c>
      <c r="H240" s="83" t="s">
        <v>432</v>
      </c>
      <c r="I240" s="80" t="s">
        <v>426</v>
      </c>
      <c r="J240" s="84" t="s">
        <v>433</v>
      </c>
    </row>
    <row r="241" spans="1:10" x14ac:dyDescent="0.2">
      <c r="A241" s="80" t="s">
        <v>924</v>
      </c>
      <c r="B241" s="80" t="s">
        <v>925</v>
      </c>
      <c r="C241" s="80" t="s">
        <v>556</v>
      </c>
      <c r="D241" s="81" t="s">
        <v>561</v>
      </c>
      <c r="E241" s="82" t="s">
        <v>622</v>
      </c>
      <c r="F241" s="82" t="s">
        <v>431</v>
      </c>
      <c r="G241" s="83" t="s">
        <v>432</v>
      </c>
      <c r="H241" s="83" t="s">
        <v>432</v>
      </c>
      <c r="I241" s="80" t="s">
        <v>426</v>
      </c>
      <c r="J241" s="84" t="s">
        <v>433</v>
      </c>
    </row>
    <row r="242" spans="1:10" x14ac:dyDescent="0.2">
      <c r="A242" s="80" t="s">
        <v>926</v>
      </c>
      <c r="B242" s="80" t="s">
        <v>283</v>
      </c>
      <c r="C242" s="80" t="s">
        <v>428</v>
      </c>
      <c r="D242" s="81" t="s">
        <v>436</v>
      </c>
      <c r="E242" s="82" t="s">
        <v>566</v>
      </c>
      <c r="F242" s="82" t="s">
        <v>431</v>
      </c>
      <c r="G242" s="83" t="s">
        <v>432</v>
      </c>
      <c r="H242" s="83" t="s">
        <v>432</v>
      </c>
      <c r="I242" s="80" t="s">
        <v>426</v>
      </c>
      <c r="J242" s="84" t="s">
        <v>433</v>
      </c>
    </row>
    <row r="243" spans="1:10" x14ac:dyDescent="0.2">
      <c r="A243" s="80" t="s">
        <v>927</v>
      </c>
      <c r="B243" s="80" t="s">
        <v>282</v>
      </c>
      <c r="C243" s="80" t="s">
        <v>428</v>
      </c>
      <c r="D243" s="81" t="s">
        <v>436</v>
      </c>
      <c r="E243" s="82" t="s">
        <v>647</v>
      </c>
      <c r="F243" s="82" t="s">
        <v>431</v>
      </c>
      <c r="G243" s="83" t="s">
        <v>432</v>
      </c>
      <c r="H243" s="83" t="s">
        <v>432</v>
      </c>
      <c r="I243" s="80" t="s">
        <v>426</v>
      </c>
      <c r="J243" s="84" t="s">
        <v>433</v>
      </c>
    </row>
    <row r="244" spans="1:10" x14ac:dyDescent="0.2">
      <c r="A244" s="80" t="s">
        <v>928</v>
      </c>
      <c r="B244" s="80" t="s">
        <v>929</v>
      </c>
      <c r="C244" s="80" t="s">
        <v>428</v>
      </c>
      <c r="D244" s="81" t="s">
        <v>561</v>
      </c>
      <c r="E244" s="82" t="s">
        <v>622</v>
      </c>
      <c r="F244" s="82" t="s">
        <v>431</v>
      </c>
      <c r="G244" s="83" t="s">
        <v>432</v>
      </c>
      <c r="H244" s="83" t="s">
        <v>432</v>
      </c>
      <c r="I244" s="80" t="s">
        <v>426</v>
      </c>
      <c r="J244" s="84" t="s">
        <v>433</v>
      </c>
    </row>
    <row r="245" spans="1:10" x14ac:dyDescent="0.2">
      <c r="A245" s="80" t="s">
        <v>930</v>
      </c>
      <c r="B245" s="80" t="s">
        <v>931</v>
      </c>
      <c r="C245" s="80" t="s">
        <v>633</v>
      </c>
      <c r="D245" s="81" t="s">
        <v>429</v>
      </c>
      <c r="E245" s="82" t="s">
        <v>568</v>
      </c>
      <c r="F245" s="82" t="s">
        <v>431</v>
      </c>
      <c r="G245" s="83" t="s">
        <v>432</v>
      </c>
      <c r="H245" s="83" t="s">
        <v>432</v>
      </c>
      <c r="I245" s="80" t="s">
        <v>426</v>
      </c>
      <c r="J245" s="84" t="s">
        <v>433</v>
      </c>
    </row>
    <row r="246" spans="1:10" x14ac:dyDescent="0.2">
      <c r="A246" s="80" t="s">
        <v>932</v>
      </c>
      <c r="B246" s="80" t="s">
        <v>933</v>
      </c>
      <c r="C246" s="80" t="s">
        <v>443</v>
      </c>
      <c r="D246" s="81" t="s">
        <v>444</v>
      </c>
      <c r="E246" s="82" t="s">
        <v>741</v>
      </c>
      <c r="F246" s="82" t="s">
        <v>431</v>
      </c>
      <c r="G246" s="83" t="s">
        <v>432</v>
      </c>
      <c r="H246" s="83" t="s">
        <v>432</v>
      </c>
      <c r="I246" s="80" t="s">
        <v>426</v>
      </c>
      <c r="J246" s="84" t="s">
        <v>433</v>
      </c>
    </row>
    <row r="247" spans="1:10" x14ac:dyDescent="0.2">
      <c r="A247" s="80" t="s">
        <v>934</v>
      </c>
      <c r="B247" s="80" t="s">
        <v>935</v>
      </c>
      <c r="C247" s="80" t="s">
        <v>428</v>
      </c>
      <c r="D247" s="81" t="s">
        <v>429</v>
      </c>
      <c r="E247" s="82" t="s">
        <v>741</v>
      </c>
      <c r="F247" s="82" t="s">
        <v>431</v>
      </c>
      <c r="G247" s="83" t="s">
        <v>432</v>
      </c>
      <c r="H247" s="83" t="s">
        <v>432</v>
      </c>
      <c r="I247" s="80" t="s">
        <v>426</v>
      </c>
      <c r="J247" s="84" t="s">
        <v>433</v>
      </c>
    </row>
    <row r="248" spans="1:10" x14ac:dyDescent="0.2">
      <c r="A248" s="80" t="s">
        <v>936</v>
      </c>
      <c r="B248" s="80" t="s">
        <v>319</v>
      </c>
      <c r="C248" s="80" t="s">
        <v>937</v>
      </c>
      <c r="D248" s="81" t="s">
        <v>429</v>
      </c>
      <c r="E248" s="82" t="s">
        <v>867</v>
      </c>
      <c r="F248" s="82" t="s">
        <v>431</v>
      </c>
      <c r="G248" s="83" t="s">
        <v>432</v>
      </c>
      <c r="H248" s="83" t="s">
        <v>432</v>
      </c>
      <c r="I248" s="80" t="s">
        <v>426</v>
      </c>
      <c r="J248" s="84" t="s">
        <v>433</v>
      </c>
    </row>
    <row r="249" spans="1:10" x14ac:dyDescent="0.2">
      <c r="A249" s="80" t="s">
        <v>938</v>
      </c>
      <c r="B249" s="80" t="s">
        <v>693</v>
      </c>
      <c r="C249" s="80" t="s">
        <v>443</v>
      </c>
      <c r="D249" s="81" t="s">
        <v>800</v>
      </c>
      <c r="E249" s="82" t="s">
        <v>741</v>
      </c>
      <c r="F249" s="82" t="s">
        <v>431</v>
      </c>
      <c r="G249" s="83" t="s">
        <v>432</v>
      </c>
      <c r="H249" s="83" t="s">
        <v>432</v>
      </c>
      <c r="I249" s="80" t="s">
        <v>426</v>
      </c>
      <c r="J249" s="84" t="s">
        <v>433</v>
      </c>
    </row>
    <row r="250" spans="1:10" x14ac:dyDescent="0.2">
      <c r="A250" s="80" t="s">
        <v>939</v>
      </c>
      <c r="B250" s="80" t="s">
        <v>402</v>
      </c>
      <c r="C250" s="80" t="s">
        <v>908</v>
      </c>
      <c r="D250" s="81" t="s">
        <v>561</v>
      </c>
      <c r="E250" s="82" t="s">
        <v>603</v>
      </c>
      <c r="F250" s="82" t="s">
        <v>431</v>
      </c>
      <c r="G250" s="83" t="s">
        <v>432</v>
      </c>
      <c r="H250" s="83" t="s">
        <v>432</v>
      </c>
      <c r="I250" s="80" t="s">
        <v>426</v>
      </c>
      <c r="J250" s="84" t="s">
        <v>433</v>
      </c>
    </row>
    <row r="251" spans="1:10" x14ac:dyDescent="0.2">
      <c r="A251" s="80" t="s">
        <v>940</v>
      </c>
      <c r="B251" s="80" t="s">
        <v>251</v>
      </c>
      <c r="C251" s="80" t="s">
        <v>589</v>
      </c>
      <c r="D251" s="81" t="s">
        <v>429</v>
      </c>
      <c r="E251" s="82" t="s">
        <v>548</v>
      </c>
      <c r="F251" s="82" t="s">
        <v>431</v>
      </c>
      <c r="G251" s="83" t="s">
        <v>432</v>
      </c>
      <c r="H251" s="83" t="s">
        <v>432</v>
      </c>
      <c r="I251" s="80" t="s">
        <v>426</v>
      </c>
      <c r="J251" s="84" t="s">
        <v>433</v>
      </c>
    </row>
    <row r="252" spans="1:10" x14ac:dyDescent="0.2">
      <c r="A252" s="80" t="s">
        <v>941</v>
      </c>
      <c r="B252" s="80" t="s">
        <v>783</v>
      </c>
      <c r="C252" s="80" t="s">
        <v>547</v>
      </c>
      <c r="D252" s="81" t="s">
        <v>613</v>
      </c>
      <c r="E252" s="82" t="s">
        <v>448</v>
      </c>
      <c r="F252" s="82" t="s">
        <v>431</v>
      </c>
      <c r="G252" s="83" t="s">
        <v>432</v>
      </c>
      <c r="H252" s="83" t="s">
        <v>432</v>
      </c>
      <c r="I252" s="80" t="s">
        <v>426</v>
      </c>
      <c r="J252" s="84" t="s">
        <v>433</v>
      </c>
    </row>
    <row r="253" spans="1:10" x14ac:dyDescent="0.2">
      <c r="A253" s="80" t="s">
        <v>942</v>
      </c>
      <c r="B253" s="80" t="s">
        <v>287</v>
      </c>
      <c r="C253" s="80" t="s">
        <v>581</v>
      </c>
      <c r="D253" s="81" t="s">
        <v>429</v>
      </c>
      <c r="E253" s="82" t="s">
        <v>554</v>
      </c>
      <c r="F253" s="82" t="s">
        <v>431</v>
      </c>
      <c r="G253" s="83" t="s">
        <v>432</v>
      </c>
      <c r="H253" s="83" t="s">
        <v>432</v>
      </c>
      <c r="I253" s="80" t="s">
        <v>426</v>
      </c>
      <c r="J253" s="84" t="s">
        <v>433</v>
      </c>
    </row>
    <row r="254" spans="1:10" x14ac:dyDescent="0.2">
      <c r="A254" s="80" t="s">
        <v>943</v>
      </c>
      <c r="B254" s="80" t="s">
        <v>367</v>
      </c>
      <c r="C254" s="80" t="s">
        <v>547</v>
      </c>
      <c r="D254" s="81" t="s">
        <v>613</v>
      </c>
      <c r="E254" s="82" t="s">
        <v>568</v>
      </c>
      <c r="F254" s="82" t="s">
        <v>431</v>
      </c>
      <c r="G254" s="83" t="s">
        <v>432</v>
      </c>
      <c r="H254" s="83" t="s">
        <v>432</v>
      </c>
      <c r="I254" s="80" t="s">
        <v>426</v>
      </c>
      <c r="J254" s="84" t="s">
        <v>433</v>
      </c>
    </row>
    <row r="255" spans="1:10" x14ac:dyDescent="0.2">
      <c r="A255" s="80" t="s">
        <v>944</v>
      </c>
      <c r="B255" s="80" t="s">
        <v>945</v>
      </c>
      <c r="C255" s="80" t="s">
        <v>581</v>
      </c>
      <c r="D255" s="81" t="s">
        <v>429</v>
      </c>
      <c r="E255" s="82" t="s">
        <v>554</v>
      </c>
      <c r="F255" s="82" t="s">
        <v>430</v>
      </c>
      <c r="G255" s="83" t="s">
        <v>432</v>
      </c>
      <c r="H255" s="83" t="s">
        <v>432</v>
      </c>
      <c r="I255" s="80" t="s">
        <v>426</v>
      </c>
      <c r="J255" s="84" t="s">
        <v>584</v>
      </c>
    </row>
    <row r="256" spans="1:10" x14ac:dyDescent="0.2">
      <c r="A256" s="80" t="s">
        <v>946</v>
      </c>
      <c r="B256" s="80" t="s">
        <v>285</v>
      </c>
      <c r="C256" s="80" t="s">
        <v>581</v>
      </c>
      <c r="D256" s="81" t="s">
        <v>429</v>
      </c>
      <c r="E256" s="82" t="s">
        <v>554</v>
      </c>
      <c r="F256" s="82" t="s">
        <v>430</v>
      </c>
      <c r="G256" s="83" t="s">
        <v>432</v>
      </c>
      <c r="H256" s="83" t="s">
        <v>432</v>
      </c>
      <c r="I256" s="80" t="s">
        <v>426</v>
      </c>
      <c r="J256" s="84" t="s">
        <v>433</v>
      </c>
    </row>
    <row r="257" spans="1:10" x14ac:dyDescent="0.2">
      <c r="A257" s="80" t="s">
        <v>947</v>
      </c>
      <c r="B257" s="80" t="s">
        <v>308</v>
      </c>
      <c r="C257" s="80" t="s">
        <v>581</v>
      </c>
      <c r="D257" s="81" t="s">
        <v>429</v>
      </c>
      <c r="E257" s="82" t="s">
        <v>554</v>
      </c>
      <c r="F257" s="82" t="s">
        <v>431</v>
      </c>
      <c r="G257" s="83" t="s">
        <v>432</v>
      </c>
      <c r="H257" s="83" t="s">
        <v>432</v>
      </c>
      <c r="I257" s="80" t="s">
        <v>426</v>
      </c>
      <c r="J257" s="84" t="s">
        <v>433</v>
      </c>
    </row>
    <row r="258" spans="1:10" x14ac:dyDescent="0.2">
      <c r="A258" s="80" t="s">
        <v>948</v>
      </c>
      <c r="B258" s="80" t="s">
        <v>320</v>
      </c>
      <c r="C258" s="80" t="s">
        <v>937</v>
      </c>
      <c r="D258" s="81" t="s">
        <v>429</v>
      </c>
      <c r="E258" s="82" t="s">
        <v>867</v>
      </c>
      <c r="F258" s="82" t="s">
        <v>431</v>
      </c>
      <c r="G258" s="83" t="s">
        <v>432</v>
      </c>
      <c r="H258" s="83" t="s">
        <v>432</v>
      </c>
      <c r="I258" s="80" t="s">
        <v>426</v>
      </c>
      <c r="J258" s="84" t="s">
        <v>433</v>
      </c>
    </row>
    <row r="259" spans="1:10" x14ac:dyDescent="0.2">
      <c r="A259" s="80" t="s">
        <v>949</v>
      </c>
      <c r="B259" s="80" t="s">
        <v>321</v>
      </c>
      <c r="C259" s="80" t="s">
        <v>937</v>
      </c>
      <c r="D259" s="81" t="s">
        <v>429</v>
      </c>
      <c r="E259" s="82" t="s">
        <v>867</v>
      </c>
      <c r="F259" s="82" t="s">
        <v>634</v>
      </c>
      <c r="G259" s="83" t="s">
        <v>432</v>
      </c>
      <c r="H259" s="83" t="s">
        <v>432</v>
      </c>
      <c r="I259" s="80" t="s">
        <v>426</v>
      </c>
      <c r="J259" s="84" t="s">
        <v>433</v>
      </c>
    </row>
    <row r="260" spans="1:10" x14ac:dyDescent="0.2">
      <c r="A260" s="80" t="s">
        <v>950</v>
      </c>
      <c r="B260" s="80" t="s">
        <v>322</v>
      </c>
      <c r="C260" s="80" t="s">
        <v>937</v>
      </c>
      <c r="D260" s="81" t="s">
        <v>429</v>
      </c>
      <c r="E260" s="82" t="s">
        <v>867</v>
      </c>
      <c r="F260" s="82" t="s">
        <v>634</v>
      </c>
      <c r="G260" s="83" t="s">
        <v>432</v>
      </c>
      <c r="H260" s="83" t="s">
        <v>432</v>
      </c>
      <c r="I260" s="80" t="s">
        <v>426</v>
      </c>
      <c r="J260" s="84" t="s">
        <v>433</v>
      </c>
    </row>
    <row r="261" spans="1:10" x14ac:dyDescent="0.2">
      <c r="A261" s="80" t="s">
        <v>951</v>
      </c>
      <c r="B261" s="80" t="s">
        <v>323</v>
      </c>
      <c r="C261" s="80" t="s">
        <v>937</v>
      </c>
      <c r="D261" s="81" t="s">
        <v>429</v>
      </c>
      <c r="E261" s="82" t="s">
        <v>867</v>
      </c>
      <c r="F261" s="82" t="s">
        <v>431</v>
      </c>
      <c r="G261" s="83" t="s">
        <v>432</v>
      </c>
      <c r="H261" s="83" t="s">
        <v>432</v>
      </c>
      <c r="I261" s="80" t="s">
        <v>426</v>
      </c>
      <c r="J261" s="84" t="s">
        <v>433</v>
      </c>
    </row>
    <row r="262" spans="1:10" x14ac:dyDescent="0.2">
      <c r="A262" s="80" t="s">
        <v>952</v>
      </c>
      <c r="B262" s="80" t="s">
        <v>295</v>
      </c>
      <c r="C262" s="80" t="s">
        <v>581</v>
      </c>
      <c r="D262" s="81" t="s">
        <v>429</v>
      </c>
      <c r="E262" s="82" t="s">
        <v>885</v>
      </c>
      <c r="F262" s="82" t="s">
        <v>431</v>
      </c>
      <c r="G262" s="83" t="s">
        <v>432</v>
      </c>
      <c r="H262" s="83" t="s">
        <v>432</v>
      </c>
      <c r="I262" s="80" t="s">
        <v>426</v>
      </c>
      <c r="J262" s="84" t="s">
        <v>433</v>
      </c>
    </row>
    <row r="263" spans="1:10" x14ac:dyDescent="0.2">
      <c r="A263" s="80" t="s">
        <v>953</v>
      </c>
      <c r="B263" s="80" t="s">
        <v>278</v>
      </c>
      <c r="C263" s="80" t="s">
        <v>589</v>
      </c>
      <c r="D263" s="81" t="s">
        <v>429</v>
      </c>
      <c r="E263" s="82" t="s">
        <v>554</v>
      </c>
      <c r="F263" s="82" t="s">
        <v>431</v>
      </c>
      <c r="G263" s="83" t="s">
        <v>432</v>
      </c>
      <c r="H263" s="83" t="s">
        <v>432</v>
      </c>
      <c r="I263" s="80" t="s">
        <v>426</v>
      </c>
      <c r="J263" s="84" t="s">
        <v>433</v>
      </c>
    </row>
    <row r="264" spans="1:10" x14ac:dyDescent="0.2">
      <c r="A264" s="80" t="s">
        <v>954</v>
      </c>
      <c r="B264" s="80" t="s">
        <v>324</v>
      </c>
      <c r="C264" s="80" t="s">
        <v>937</v>
      </c>
      <c r="D264" s="81" t="s">
        <v>429</v>
      </c>
      <c r="E264" s="82" t="s">
        <v>554</v>
      </c>
      <c r="F264" s="82" t="s">
        <v>431</v>
      </c>
      <c r="G264" s="83" t="s">
        <v>432</v>
      </c>
      <c r="H264" s="83" t="s">
        <v>432</v>
      </c>
      <c r="I264" s="80" t="s">
        <v>426</v>
      </c>
      <c r="J264" s="84" t="s">
        <v>433</v>
      </c>
    </row>
    <row r="265" spans="1:10" x14ac:dyDescent="0.2">
      <c r="A265" s="80" t="s">
        <v>955</v>
      </c>
      <c r="B265" s="80" t="s">
        <v>325</v>
      </c>
      <c r="C265" s="80" t="s">
        <v>937</v>
      </c>
      <c r="D265" s="81" t="s">
        <v>429</v>
      </c>
      <c r="E265" s="82" t="s">
        <v>554</v>
      </c>
      <c r="F265" s="82" t="s">
        <v>431</v>
      </c>
      <c r="G265" s="83" t="s">
        <v>432</v>
      </c>
      <c r="H265" s="83" t="s">
        <v>432</v>
      </c>
      <c r="I265" s="80" t="s">
        <v>426</v>
      </c>
      <c r="J265" s="84" t="s">
        <v>433</v>
      </c>
    </row>
    <row r="266" spans="1:10" x14ac:dyDescent="0.2">
      <c r="A266" s="80" t="s">
        <v>956</v>
      </c>
      <c r="B266" s="80" t="s">
        <v>326</v>
      </c>
      <c r="C266" s="80" t="s">
        <v>937</v>
      </c>
      <c r="D266" s="81" t="s">
        <v>429</v>
      </c>
      <c r="E266" s="82" t="s">
        <v>554</v>
      </c>
      <c r="F266" s="82" t="s">
        <v>431</v>
      </c>
      <c r="G266" s="83" t="s">
        <v>432</v>
      </c>
      <c r="H266" s="83" t="s">
        <v>432</v>
      </c>
      <c r="I266" s="80" t="s">
        <v>426</v>
      </c>
      <c r="J266" s="84" t="s">
        <v>433</v>
      </c>
    </row>
    <row r="267" spans="1:10" x14ac:dyDescent="0.2">
      <c r="A267" s="80" t="s">
        <v>957</v>
      </c>
      <c r="B267" s="80" t="s">
        <v>327</v>
      </c>
      <c r="C267" s="80" t="s">
        <v>937</v>
      </c>
      <c r="D267" s="81" t="s">
        <v>429</v>
      </c>
      <c r="E267" s="82" t="s">
        <v>554</v>
      </c>
      <c r="F267" s="82" t="s">
        <v>431</v>
      </c>
      <c r="G267" s="83" t="s">
        <v>432</v>
      </c>
      <c r="H267" s="83" t="s">
        <v>432</v>
      </c>
      <c r="I267" s="80" t="s">
        <v>426</v>
      </c>
      <c r="J267" s="84" t="s">
        <v>433</v>
      </c>
    </row>
    <row r="268" spans="1:10" x14ac:dyDescent="0.2">
      <c r="A268" s="80" t="s">
        <v>958</v>
      </c>
      <c r="B268" s="80" t="s">
        <v>247</v>
      </c>
      <c r="C268" s="80" t="s">
        <v>547</v>
      </c>
      <c r="D268" s="81" t="s">
        <v>436</v>
      </c>
      <c r="E268" s="82" t="s">
        <v>568</v>
      </c>
      <c r="F268" s="82" t="s">
        <v>634</v>
      </c>
      <c r="G268" s="83" t="s">
        <v>432</v>
      </c>
      <c r="H268" s="83" t="s">
        <v>432</v>
      </c>
      <c r="I268" s="80" t="s">
        <v>426</v>
      </c>
      <c r="J268" s="84" t="s">
        <v>433</v>
      </c>
    </row>
    <row r="269" spans="1:10" x14ac:dyDescent="0.2">
      <c r="A269" s="80" t="s">
        <v>959</v>
      </c>
      <c r="B269" s="80" t="s">
        <v>337</v>
      </c>
      <c r="C269" s="80" t="s">
        <v>556</v>
      </c>
      <c r="D269" s="81" t="s">
        <v>429</v>
      </c>
      <c r="E269" s="82" t="s">
        <v>554</v>
      </c>
      <c r="F269" s="82" t="s">
        <v>431</v>
      </c>
      <c r="G269" s="83" t="s">
        <v>432</v>
      </c>
      <c r="H269" s="83" t="s">
        <v>432</v>
      </c>
      <c r="I269" s="80" t="s">
        <v>426</v>
      </c>
      <c r="J269" s="84" t="s">
        <v>433</v>
      </c>
    </row>
    <row r="270" spans="1:10" x14ac:dyDescent="0.2">
      <c r="A270" s="80" t="s">
        <v>960</v>
      </c>
      <c r="B270" s="80" t="s">
        <v>248</v>
      </c>
      <c r="C270" s="80" t="s">
        <v>547</v>
      </c>
      <c r="D270" s="81" t="s">
        <v>429</v>
      </c>
      <c r="E270" s="82" t="s">
        <v>548</v>
      </c>
      <c r="F270" s="82" t="s">
        <v>554</v>
      </c>
      <c r="G270" s="83" t="s">
        <v>432</v>
      </c>
      <c r="H270" s="83" t="s">
        <v>432</v>
      </c>
      <c r="I270" s="80" t="s">
        <v>426</v>
      </c>
      <c r="J270" s="84" t="s">
        <v>433</v>
      </c>
    </row>
    <row r="271" spans="1:10" x14ac:dyDescent="0.2">
      <c r="A271" s="80" t="s">
        <v>961</v>
      </c>
      <c r="B271" s="80" t="s">
        <v>290</v>
      </c>
      <c r="C271" s="80" t="s">
        <v>581</v>
      </c>
      <c r="D271" s="81" t="s">
        <v>429</v>
      </c>
      <c r="E271" s="82" t="s">
        <v>554</v>
      </c>
      <c r="F271" s="82" t="s">
        <v>430</v>
      </c>
      <c r="G271" s="83" t="s">
        <v>432</v>
      </c>
      <c r="H271" s="83" t="s">
        <v>432</v>
      </c>
      <c r="I271" s="80" t="s">
        <v>426</v>
      </c>
      <c r="J271" s="84" t="s">
        <v>433</v>
      </c>
    </row>
    <row r="272" spans="1:10" x14ac:dyDescent="0.2">
      <c r="A272" s="80" t="s">
        <v>962</v>
      </c>
      <c r="B272" s="80" t="s">
        <v>284</v>
      </c>
      <c r="C272" s="80" t="s">
        <v>581</v>
      </c>
      <c r="D272" s="81" t="s">
        <v>429</v>
      </c>
      <c r="E272" s="82" t="s">
        <v>554</v>
      </c>
      <c r="F272" s="82" t="s">
        <v>430</v>
      </c>
      <c r="G272" s="83" t="s">
        <v>432</v>
      </c>
      <c r="H272" s="83" t="s">
        <v>432</v>
      </c>
      <c r="I272" s="80" t="s">
        <v>426</v>
      </c>
      <c r="J272" s="84" t="s">
        <v>433</v>
      </c>
    </row>
    <row r="273" spans="1:10" x14ac:dyDescent="0.2">
      <c r="A273" s="80" t="s">
        <v>963</v>
      </c>
      <c r="B273" s="80" t="s">
        <v>328</v>
      </c>
      <c r="C273" s="80" t="s">
        <v>937</v>
      </c>
      <c r="D273" s="81" t="s">
        <v>429</v>
      </c>
      <c r="E273" s="82" t="s">
        <v>867</v>
      </c>
      <c r="F273" s="82" t="s">
        <v>634</v>
      </c>
      <c r="G273" s="83" t="s">
        <v>432</v>
      </c>
      <c r="H273" s="83" t="s">
        <v>432</v>
      </c>
      <c r="I273" s="80" t="s">
        <v>426</v>
      </c>
      <c r="J273" s="84" t="s">
        <v>433</v>
      </c>
    </row>
    <row r="274" spans="1:10" x14ac:dyDescent="0.2">
      <c r="A274" s="80" t="s">
        <v>964</v>
      </c>
      <c r="B274" s="80" t="s">
        <v>965</v>
      </c>
      <c r="C274" s="80" t="s">
        <v>581</v>
      </c>
      <c r="D274" s="81" t="s">
        <v>429</v>
      </c>
      <c r="E274" s="82" t="s">
        <v>430</v>
      </c>
      <c r="F274" s="82" t="s">
        <v>431</v>
      </c>
      <c r="G274" s="83" t="s">
        <v>432</v>
      </c>
      <c r="H274" s="83" t="s">
        <v>432</v>
      </c>
      <c r="I274" s="80" t="s">
        <v>426</v>
      </c>
      <c r="J274" s="84" t="s">
        <v>433</v>
      </c>
    </row>
    <row r="275" spans="1:10" x14ac:dyDescent="0.2">
      <c r="A275" s="80" t="s">
        <v>966</v>
      </c>
      <c r="B275" s="80" t="s">
        <v>967</v>
      </c>
      <c r="C275" s="80" t="s">
        <v>556</v>
      </c>
      <c r="D275" s="81" t="s">
        <v>561</v>
      </c>
      <c r="E275" s="82" t="s">
        <v>867</v>
      </c>
      <c r="F275" s="82" t="s">
        <v>431</v>
      </c>
      <c r="G275" s="83" t="s">
        <v>432</v>
      </c>
      <c r="H275" s="83" t="s">
        <v>432</v>
      </c>
      <c r="I275" s="80" t="s">
        <v>426</v>
      </c>
      <c r="J275" s="84" t="s">
        <v>433</v>
      </c>
    </row>
    <row r="276" spans="1:10" x14ac:dyDescent="0.2">
      <c r="A276" s="80" t="s">
        <v>968</v>
      </c>
      <c r="B276" s="80" t="s">
        <v>75</v>
      </c>
      <c r="C276" s="80" t="s">
        <v>556</v>
      </c>
      <c r="D276" s="81" t="s">
        <v>429</v>
      </c>
      <c r="E276" s="82" t="s">
        <v>622</v>
      </c>
      <c r="F276" s="82" t="s">
        <v>431</v>
      </c>
      <c r="G276" s="83" t="s">
        <v>432</v>
      </c>
      <c r="H276" s="83" t="s">
        <v>432</v>
      </c>
      <c r="I276" s="80" t="s">
        <v>426</v>
      </c>
      <c r="J276" s="84" t="s">
        <v>433</v>
      </c>
    </row>
    <row r="277" spans="1:10" x14ac:dyDescent="0.2">
      <c r="A277" s="80" t="s">
        <v>969</v>
      </c>
      <c r="B277" s="80" t="s">
        <v>329</v>
      </c>
      <c r="C277" s="80" t="s">
        <v>937</v>
      </c>
      <c r="D277" s="81" t="s">
        <v>429</v>
      </c>
      <c r="E277" s="82" t="s">
        <v>867</v>
      </c>
      <c r="F277" s="82" t="s">
        <v>634</v>
      </c>
      <c r="G277" s="83" t="s">
        <v>432</v>
      </c>
      <c r="H277" s="83" t="s">
        <v>432</v>
      </c>
      <c r="I277" s="80" t="s">
        <v>426</v>
      </c>
      <c r="J277" s="84" t="s">
        <v>433</v>
      </c>
    </row>
    <row r="278" spans="1:10" x14ac:dyDescent="0.2">
      <c r="A278" s="80" t="s">
        <v>970</v>
      </c>
      <c r="B278" s="80" t="s">
        <v>366</v>
      </c>
      <c r="C278" s="80" t="s">
        <v>547</v>
      </c>
      <c r="D278" s="81" t="s">
        <v>601</v>
      </c>
      <c r="E278" s="82" t="s">
        <v>548</v>
      </c>
      <c r="F278" s="82" t="s">
        <v>431</v>
      </c>
      <c r="G278" s="83" t="s">
        <v>432</v>
      </c>
      <c r="H278" s="83" t="s">
        <v>432</v>
      </c>
      <c r="I278" s="80" t="s">
        <v>426</v>
      </c>
      <c r="J278" s="84" t="s">
        <v>433</v>
      </c>
    </row>
    <row r="279" spans="1:10" x14ac:dyDescent="0.2">
      <c r="A279" s="80" t="s">
        <v>971</v>
      </c>
      <c r="B279" s="80" t="s">
        <v>365</v>
      </c>
      <c r="C279" s="80" t="s">
        <v>633</v>
      </c>
      <c r="D279" s="81" t="s">
        <v>601</v>
      </c>
      <c r="E279" s="82" t="s">
        <v>563</v>
      </c>
      <c r="F279" s="82" t="s">
        <v>431</v>
      </c>
      <c r="G279" s="83" t="s">
        <v>432</v>
      </c>
      <c r="H279" s="83" t="s">
        <v>432</v>
      </c>
      <c r="I279" s="80" t="s">
        <v>426</v>
      </c>
      <c r="J279" s="84" t="s">
        <v>433</v>
      </c>
    </row>
    <row r="280" spans="1:10" x14ac:dyDescent="0.2">
      <c r="A280" s="80" t="s">
        <v>972</v>
      </c>
      <c r="B280" s="80" t="s">
        <v>379</v>
      </c>
      <c r="C280" s="80" t="s">
        <v>589</v>
      </c>
      <c r="D280" s="81" t="s">
        <v>613</v>
      </c>
      <c r="E280" s="82" t="s">
        <v>554</v>
      </c>
      <c r="F280" s="82" t="s">
        <v>608</v>
      </c>
      <c r="G280" s="83" t="s">
        <v>432</v>
      </c>
      <c r="H280" s="83" t="s">
        <v>432</v>
      </c>
      <c r="I280" s="80" t="s">
        <v>426</v>
      </c>
      <c r="J280" s="84" t="s">
        <v>433</v>
      </c>
    </row>
    <row r="281" spans="1:10" x14ac:dyDescent="0.2">
      <c r="A281" s="80" t="s">
        <v>973</v>
      </c>
      <c r="B281" s="80" t="s">
        <v>344</v>
      </c>
      <c r="C281" s="80" t="s">
        <v>547</v>
      </c>
      <c r="D281" s="81" t="s">
        <v>429</v>
      </c>
      <c r="E281" s="82" t="s">
        <v>554</v>
      </c>
      <c r="F281" s="82" t="s">
        <v>431</v>
      </c>
      <c r="G281" s="83" t="s">
        <v>432</v>
      </c>
      <c r="H281" s="83" t="s">
        <v>432</v>
      </c>
      <c r="I281" s="80" t="s">
        <v>426</v>
      </c>
      <c r="J281" s="84" t="s">
        <v>433</v>
      </c>
    </row>
    <row r="282" spans="1:10" x14ac:dyDescent="0.2">
      <c r="A282" s="80" t="s">
        <v>974</v>
      </c>
      <c r="B282" s="80" t="s">
        <v>975</v>
      </c>
      <c r="C282" s="80" t="s">
        <v>589</v>
      </c>
      <c r="D282" s="81" t="s">
        <v>429</v>
      </c>
      <c r="E282" s="82" t="s">
        <v>554</v>
      </c>
      <c r="F282" s="82" t="s">
        <v>431</v>
      </c>
      <c r="G282" s="83" t="s">
        <v>432</v>
      </c>
      <c r="H282" s="83" t="s">
        <v>432</v>
      </c>
      <c r="I282" s="80" t="s">
        <v>426</v>
      </c>
      <c r="J282" s="84" t="s">
        <v>433</v>
      </c>
    </row>
    <row r="283" spans="1:10" x14ac:dyDescent="0.2">
      <c r="A283" s="80" t="s">
        <v>976</v>
      </c>
      <c r="B283" s="80" t="s">
        <v>389</v>
      </c>
      <c r="C283" s="80" t="s">
        <v>589</v>
      </c>
      <c r="D283" s="81" t="s">
        <v>429</v>
      </c>
      <c r="E283" s="82" t="s">
        <v>622</v>
      </c>
      <c r="F283" s="82" t="s">
        <v>431</v>
      </c>
      <c r="G283" s="83" t="s">
        <v>432</v>
      </c>
      <c r="H283" s="83" t="s">
        <v>432</v>
      </c>
      <c r="I283" s="80" t="s">
        <v>426</v>
      </c>
      <c r="J283" s="84" t="s">
        <v>433</v>
      </c>
    </row>
    <row r="284" spans="1:10" x14ac:dyDescent="0.2">
      <c r="A284" s="80" t="s">
        <v>977</v>
      </c>
      <c r="B284" s="80" t="s">
        <v>330</v>
      </c>
      <c r="C284" s="80" t="s">
        <v>937</v>
      </c>
      <c r="D284" s="81" t="s">
        <v>429</v>
      </c>
      <c r="E284" s="82" t="s">
        <v>554</v>
      </c>
      <c r="F284" s="82" t="s">
        <v>431</v>
      </c>
      <c r="G284" s="83" t="s">
        <v>432</v>
      </c>
      <c r="H284" s="83" t="s">
        <v>432</v>
      </c>
      <c r="I284" s="80" t="s">
        <v>426</v>
      </c>
      <c r="J284" s="84" t="s">
        <v>433</v>
      </c>
    </row>
    <row r="285" spans="1:10" x14ac:dyDescent="0.2">
      <c r="A285" s="80" t="s">
        <v>978</v>
      </c>
      <c r="B285" s="80" t="s">
        <v>145</v>
      </c>
      <c r="C285" s="80" t="s">
        <v>556</v>
      </c>
      <c r="D285" s="81" t="s">
        <v>429</v>
      </c>
      <c r="E285" s="82" t="s">
        <v>608</v>
      </c>
      <c r="F285" s="82" t="s">
        <v>431</v>
      </c>
      <c r="G285" s="83" t="s">
        <v>432</v>
      </c>
      <c r="H285" s="83" t="s">
        <v>432</v>
      </c>
      <c r="I285" s="80" t="s">
        <v>426</v>
      </c>
      <c r="J285" s="84" t="s">
        <v>433</v>
      </c>
    </row>
    <row r="286" spans="1:10" x14ac:dyDescent="0.2">
      <c r="A286" s="80" t="s">
        <v>979</v>
      </c>
      <c r="B286" s="80" t="s">
        <v>331</v>
      </c>
      <c r="C286" s="80" t="s">
        <v>937</v>
      </c>
      <c r="D286" s="81" t="s">
        <v>429</v>
      </c>
      <c r="E286" s="82" t="s">
        <v>867</v>
      </c>
      <c r="F286" s="82" t="s">
        <v>634</v>
      </c>
      <c r="G286" s="83" t="s">
        <v>432</v>
      </c>
      <c r="H286" s="83" t="s">
        <v>432</v>
      </c>
      <c r="I286" s="80" t="s">
        <v>426</v>
      </c>
      <c r="J286" s="84" t="s">
        <v>433</v>
      </c>
    </row>
    <row r="287" spans="1:10" x14ac:dyDescent="0.2">
      <c r="A287" s="80" t="s">
        <v>980</v>
      </c>
      <c r="B287" s="80" t="s">
        <v>101</v>
      </c>
      <c r="C287" s="80" t="s">
        <v>556</v>
      </c>
      <c r="D287" s="81" t="s">
        <v>429</v>
      </c>
      <c r="E287" s="82" t="s">
        <v>554</v>
      </c>
      <c r="F287" s="82" t="s">
        <v>431</v>
      </c>
      <c r="G287" s="83" t="s">
        <v>432</v>
      </c>
      <c r="H287" s="83" t="s">
        <v>432</v>
      </c>
      <c r="I287" s="80" t="s">
        <v>426</v>
      </c>
      <c r="J287" s="84" t="s">
        <v>433</v>
      </c>
    </row>
    <row r="288" spans="1:10" x14ac:dyDescent="0.2">
      <c r="A288" s="80" t="s">
        <v>981</v>
      </c>
      <c r="B288" s="80" t="s">
        <v>351</v>
      </c>
      <c r="C288" s="80" t="s">
        <v>556</v>
      </c>
      <c r="D288" s="81" t="s">
        <v>429</v>
      </c>
      <c r="E288" s="82" t="s">
        <v>548</v>
      </c>
      <c r="F288" s="82" t="s">
        <v>431</v>
      </c>
      <c r="G288" s="83" t="s">
        <v>432</v>
      </c>
      <c r="H288" s="83" t="s">
        <v>432</v>
      </c>
      <c r="I288" s="80" t="s">
        <v>426</v>
      </c>
      <c r="J288" s="84" t="s">
        <v>433</v>
      </c>
    </row>
    <row r="289" spans="1:10" x14ac:dyDescent="0.2">
      <c r="A289" s="80" t="s">
        <v>982</v>
      </c>
      <c r="B289" s="80" t="s">
        <v>307</v>
      </c>
      <c r="C289" s="80" t="s">
        <v>556</v>
      </c>
      <c r="D289" s="81" t="s">
        <v>429</v>
      </c>
      <c r="E289" s="82" t="s">
        <v>548</v>
      </c>
      <c r="F289" s="82" t="s">
        <v>430</v>
      </c>
      <c r="G289" s="83" t="s">
        <v>432</v>
      </c>
      <c r="H289" s="83" t="s">
        <v>432</v>
      </c>
      <c r="I289" s="80" t="s">
        <v>426</v>
      </c>
      <c r="J289" s="84" t="s">
        <v>433</v>
      </c>
    </row>
    <row r="290" spans="1:10" x14ac:dyDescent="0.2">
      <c r="A290" s="80" t="s">
        <v>983</v>
      </c>
      <c r="B290" s="80" t="s">
        <v>984</v>
      </c>
      <c r="C290" s="80" t="s">
        <v>556</v>
      </c>
      <c r="D290" s="81" t="s">
        <v>429</v>
      </c>
      <c r="E290" s="82" t="s">
        <v>548</v>
      </c>
      <c r="F290" s="82" t="s">
        <v>431</v>
      </c>
      <c r="G290" s="83" t="s">
        <v>432</v>
      </c>
      <c r="H290" s="83" t="s">
        <v>432</v>
      </c>
      <c r="I290" s="80" t="s">
        <v>426</v>
      </c>
      <c r="J290" s="84" t="s">
        <v>433</v>
      </c>
    </row>
    <row r="291" spans="1:10" x14ac:dyDescent="0.2">
      <c r="A291" s="80" t="s">
        <v>985</v>
      </c>
      <c r="B291" s="80" t="s">
        <v>146</v>
      </c>
      <c r="C291" s="80" t="s">
        <v>556</v>
      </c>
      <c r="D291" s="81" t="s">
        <v>429</v>
      </c>
      <c r="E291" s="82" t="s">
        <v>608</v>
      </c>
      <c r="F291" s="82" t="s">
        <v>431</v>
      </c>
      <c r="G291" s="83" t="s">
        <v>432</v>
      </c>
      <c r="H291" s="83" t="s">
        <v>432</v>
      </c>
      <c r="I291" s="80" t="s">
        <v>426</v>
      </c>
      <c r="J291" s="84" t="s">
        <v>433</v>
      </c>
    </row>
    <row r="292" spans="1:10" x14ac:dyDescent="0.2">
      <c r="A292" s="80" t="s">
        <v>986</v>
      </c>
      <c r="B292" s="80" t="s">
        <v>277</v>
      </c>
      <c r="C292" s="80" t="s">
        <v>589</v>
      </c>
      <c r="D292" s="81" t="s">
        <v>429</v>
      </c>
      <c r="E292" s="82" t="s">
        <v>554</v>
      </c>
      <c r="F292" s="82" t="s">
        <v>431</v>
      </c>
      <c r="G292" s="83" t="s">
        <v>432</v>
      </c>
      <c r="H292" s="83" t="s">
        <v>432</v>
      </c>
      <c r="I292" s="80" t="s">
        <v>426</v>
      </c>
      <c r="J292" s="84" t="s">
        <v>433</v>
      </c>
    </row>
    <row r="293" spans="1:10" x14ac:dyDescent="0.2">
      <c r="A293" s="80" t="s">
        <v>987</v>
      </c>
      <c r="B293" s="80" t="s">
        <v>378</v>
      </c>
      <c r="C293" s="80" t="s">
        <v>589</v>
      </c>
      <c r="D293" s="81" t="s">
        <v>429</v>
      </c>
      <c r="E293" s="82" t="s">
        <v>430</v>
      </c>
      <c r="F293" s="82" t="s">
        <v>431</v>
      </c>
      <c r="G293" s="83" t="s">
        <v>432</v>
      </c>
      <c r="H293" s="83" t="s">
        <v>432</v>
      </c>
      <c r="I293" s="80" t="s">
        <v>426</v>
      </c>
      <c r="J293" s="84" t="s">
        <v>433</v>
      </c>
    </row>
    <row r="294" spans="1:10" x14ac:dyDescent="0.2">
      <c r="A294" s="80" t="s">
        <v>988</v>
      </c>
      <c r="B294" s="80" t="s">
        <v>147</v>
      </c>
      <c r="C294" s="80" t="s">
        <v>556</v>
      </c>
      <c r="D294" s="81" t="s">
        <v>429</v>
      </c>
      <c r="E294" s="82" t="s">
        <v>548</v>
      </c>
      <c r="F294" s="82" t="s">
        <v>430</v>
      </c>
      <c r="G294" s="83" t="s">
        <v>432</v>
      </c>
      <c r="H294" s="83" t="s">
        <v>432</v>
      </c>
      <c r="I294" s="80" t="s">
        <v>426</v>
      </c>
      <c r="J294" s="84" t="s">
        <v>584</v>
      </c>
    </row>
    <row r="295" spans="1:10" x14ac:dyDescent="0.2">
      <c r="A295" s="80" t="s">
        <v>989</v>
      </c>
      <c r="B295" s="80" t="s">
        <v>51</v>
      </c>
      <c r="C295" s="80" t="s">
        <v>856</v>
      </c>
      <c r="D295" s="81" t="s">
        <v>429</v>
      </c>
      <c r="E295" s="82" t="s">
        <v>554</v>
      </c>
      <c r="F295" s="82" t="s">
        <v>608</v>
      </c>
      <c r="G295" s="83" t="s">
        <v>432</v>
      </c>
      <c r="H295" s="83" t="s">
        <v>432</v>
      </c>
      <c r="I295" s="80" t="s">
        <v>426</v>
      </c>
      <c r="J295" s="84" t="s">
        <v>433</v>
      </c>
    </row>
    <row r="296" spans="1:10" x14ac:dyDescent="0.2">
      <c r="A296" s="80" t="s">
        <v>990</v>
      </c>
      <c r="B296" s="80" t="s">
        <v>50</v>
      </c>
      <c r="C296" s="80" t="s">
        <v>856</v>
      </c>
      <c r="D296" s="81" t="s">
        <v>429</v>
      </c>
      <c r="E296" s="82" t="s">
        <v>554</v>
      </c>
      <c r="F296" s="82" t="s">
        <v>608</v>
      </c>
      <c r="G296" s="83" t="s">
        <v>432</v>
      </c>
      <c r="H296" s="83" t="s">
        <v>432</v>
      </c>
      <c r="I296" s="80" t="s">
        <v>426</v>
      </c>
      <c r="J296" s="84" t="s">
        <v>433</v>
      </c>
    </row>
    <row r="297" spans="1:10" x14ac:dyDescent="0.2">
      <c r="A297" s="80" t="s">
        <v>991</v>
      </c>
      <c r="B297" s="80" t="s">
        <v>49</v>
      </c>
      <c r="C297" s="80" t="s">
        <v>856</v>
      </c>
      <c r="D297" s="81" t="s">
        <v>429</v>
      </c>
      <c r="E297" s="82" t="s">
        <v>554</v>
      </c>
      <c r="F297" s="82" t="s">
        <v>608</v>
      </c>
      <c r="G297" s="83" t="s">
        <v>432</v>
      </c>
      <c r="H297" s="83" t="s">
        <v>432</v>
      </c>
      <c r="I297" s="80" t="s">
        <v>426</v>
      </c>
      <c r="J297" s="84" t="s">
        <v>433</v>
      </c>
    </row>
    <row r="298" spans="1:10" x14ac:dyDescent="0.2">
      <c r="A298" s="80" t="s">
        <v>992</v>
      </c>
      <c r="B298" s="80" t="s">
        <v>993</v>
      </c>
      <c r="C298" s="80" t="s">
        <v>908</v>
      </c>
      <c r="D298" s="81" t="s">
        <v>582</v>
      </c>
      <c r="E298" s="82" t="s">
        <v>554</v>
      </c>
      <c r="F298" s="82" t="s">
        <v>430</v>
      </c>
      <c r="G298" s="83" t="s">
        <v>432</v>
      </c>
      <c r="H298" s="83" t="s">
        <v>432</v>
      </c>
      <c r="I298" s="80" t="s">
        <v>426</v>
      </c>
      <c r="J298" s="84" t="s">
        <v>584</v>
      </c>
    </row>
    <row r="299" spans="1:10" x14ac:dyDescent="0.2">
      <c r="A299" s="80" t="s">
        <v>994</v>
      </c>
      <c r="B299" s="80" t="s">
        <v>142</v>
      </c>
      <c r="C299" s="80" t="s">
        <v>589</v>
      </c>
      <c r="D299" s="81" t="s">
        <v>429</v>
      </c>
      <c r="E299" s="82" t="s">
        <v>554</v>
      </c>
      <c r="F299" s="82" t="s">
        <v>603</v>
      </c>
      <c r="G299" s="83" t="s">
        <v>432</v>
      </c>
      <c r="H299" s="83" t="s">
        <v>432</v>
      </c>
      <c r="I299" s="80" t="s">
        <v>426</v>
      </c>
      <c r="J299" s="84" t="s">
        <v>584</v>
      </c>
    </row>
    <row r="300" spans="1:10" x14ac:dyDescent="0.2">
      <c r="A300" s="80" t="s">
        <v>995</v>
      </c>
      <c r="B300" s="80" t="s">
        <v>135</v>
      </c>
      <c r="C300" s="80" t="s">
        <v>589</v>
      </c>
      <c r="D300" s="81" t="s">
        <v>429</v>
      </c>
      <c r="E300" s="82" t="s">
        <v>548</v>
      </c>
      <c r="F300" s="82" t="s">
        <v>431</v>
      </c>
      <c r="G300" s="83" t="s">
        <v>432</v>
      </c>
      <c r="H300" s="83" t="s">
        <v>432</v>
      </c>
      <c r="I300" s="80" t="s">
        <v>426</v>
      </c>
      <c r="J300" s="84" t="s">
        <v>433</v>
      </c>
    </row>
    <row r="301" spans="1:10" x14ac:dyDescent="0.2">
      <c r="A301" s="80" t="s">
        <v>996</v>
      </c>
      <c r="B301" s="80" t="s">
        <v>143</v>
      </c>
      <c r="C301" s="80" t="s">
        <v>589</v>
      </c>
      <c r="D301" s="81" t="s">
        <v>429</v>
      </c>
      <c r="E301" s="82" t="s">
        <v>548</v>
      </c>
      <c r="F301" s="82" t="s">
        <v>430</v>
      </c>
      <c r="G301" s="83" t="s">
        <v>432</v>
      </c>
      <c r="H301" s="83" t="s">
        <v>432</v>
      </c>
      <c r="I301" s="80" t="s">
        <v>426</v>
      </c>
      <c r="J301" s="84" t="s">
        <v>584</v>
      </c>
    </row>
    <row r="302" spans="1:10" x14ac:dyDescent="0.2">
      <c r="A302" s="80" t="s">
        <v>997</v>
      </c>
      <c r="B302" s="80" t="s">
        <v>144</v>
      </c>
      <c r="C302" s="80" t="s">
        <v>589</v>
      </c>
      <c r="D302" s="81" t="s">
        <v>429</v>
      </c>
      <c r="E302" s="82" t="s">
        <v>548</v>
      </c>
      <c r="F302" s="82" t="s">
        <v>430</v>
      </c>
      <c r="G302" s="83" t="s">
        <v>432</v>
      </c>
      <c r="H302" s="83" t="s">
        <v>432</v>
      </c>
      <c r="I302" s="80" t="s">
        <v>426</v>
      </c>
      <c r="J302" s="84" t="s">
        <v>584</v>
      </c>
    </row>
    <row r="303" spans="1:10" x14ac:dyDescent="0.2">
      <c r="A303" s="80" t="s">
        <v>998</v>
      </c>
      <c r="B303" s="80" t="s">
        <v>126</v>
      </c>
      <c r="C303" s="80" t="s">
        <v>556</v>
      </c>
      <c r="D303" s="81" t="s">
        <v>561</v>
      </c>
      <c r="E303" s="82" t="s">
        <v>603</v>
      </c>
      <c r="F303" s="82" t="s">
        <v>431</v>
      </c>
      <c r="G303" s="83" t="s">
        <v>432</v>
      </c>
      <c r="H303" s="83" t="s">
        <v>432</v>
      </c>
      <c r="I303" s="80" t="s">
        <v>426</v>
      </c>
      <c r="J303" s="84" t="s">
        <v>433</v>
      </c>
    </row>
    <row r="304" spans="1:10" x14ac:dyDescent="0.2">
      <c r="A304" s="80" t="s">
        <v>999</v>
      </c>
      <c r="B304" s="80" t="s">
        <v>312</v>
      </c>
      <c r="C304" s="80" t="s">
        <v>589</v>
      </c>
      <c r="D304" s="81" t="s">
        <v>561</v>
      </c>
      <c r="E304" s="82" t="s">
        <v>608</v>
      </c>
      <c r="F304" s="82" t="s">
        <v>431</v>
      </c>
      <c r="G304" s="83" t="s">
        <v>432</v>
      </c>
      <c r="H304" s="83" t="s">
        <v>432</v>
      </c>
      <c r="I304" s="80" t="s">
        <v>426</v>
      </c>
      <c r="J304" s="84" t="s">
        <v>433</v>
      </c>
    </row>
    <row r="305" spans="1:10" x14ac:dyDescent="0.2">
      <c r="A305" s="80" t="s">
        <v>1000</v>
      </c>
      <c r="B305" s="80" t="s">
        <v>150</v>
      </c>
      <c r="C305" s="80" t="s">
        <v>589</v>
      </c>
      <c r="D305" s="81" t="s">
        <v>561</v>
      </c>
      <c r="E305" s="82" t="s">
        <v>608</v>
      </c>
      <c r="F305" s="82" t="s">
        <v>431</v>
      </c>
      <c r="G305" s="83" t="s">
        <v>432</v>
      </c>
      <c r="H305" s="83" t="s">
        <v>432</v>
      </c>
      <c r="I305" s="80" t="s">
        <v>426</v>
      </c>
      <c r="J305" s="84" t="s">
        <v>433</v>
      </c>
    </row>
    <row r="306" spans="1:10" x14ac:dyDescent="0.2">
      <c r="A306" s="80" t="s">
        <v>1001</v>
      </c>
      <c r="B306" s="80" t="s">
        <v>152</v>
      </c>
      <c r="C306" s="80" t="s">
        <v>589</v>
      </c>
      <c r="D306" s="81" t="s">
        <v>429</v>
      </c>
      <c r="E306" s="82" t="s">
        <v>608</v>
      </c>
      <c r="F306" s="82" t="s">
        <v>431</v>
      </c>
      <c r="G306" s="83" t="s">
        <v>432</v>
      </c>
      <c r="H306" s="83" t="s">
        <v>432</v>
      </c>
      <c r="I306" s="80" t="s">
        <v>426</v>
      </c>
      <c r="J306" s="84" t="s">
        <v>433</v>
      </c>
    </row>
    <row r="307" spans="1:10" x14ac:dyDescent="0.2">
      <c r="A307" s="80" t="s">
        <v>1002</v>
      </c>
      <c r="B307" s="80" t="s">
        <v>313</v>
      </c>
      <c r="C307" s="80" t="s">
        <v>589</v>
      </c>
      <c r="D307" s="81" t="s">
        <v>561</v>
      </c>
      <c r="E307" s="82" t="s">
        <v>608</v>
      </c>
      <c r="F307" s="82" t="s">
        <v>431</v>
      </c>
      <c r="G307" s="83" t="s">
        <v>432</v>
      </c>
      <c r="H307" s="83" t="s">
        <v>432</v>
      </c>
      <c r="I307" s="80" t="s">
        <v>426</v>
      </c>
      <c r="J307" s="84" t="s">
        <v>433</v>
      </c>
    </row>
    <row r="308" spans="1:10" x14ac:dyDescent="0.2">
      <c r="A308" s="80" t="s">
        <v>1003</v>
      </c>
      <c r="B308" s="80" t="s">
        <v>332</v>
      </c>
      <c r="C308" s="80" t="s">
        <v>937</v>
      </c>
      <c r="D308" s="81" t="s">
        <v>429</v>
      </c>
      <c r="E308" s="82" t="s">
        <v>554</v>
      </c>
      <c r="F308" s="82" t="s">
        <v>431</v>
      </c>
      <c r="G308" s="83" t="s">
        <v>432</v>
      </c>
      <c r="H308" s="83" t="s">
        <v>432</v>
      </c>
      <c r="I308" s="80" t="s">
        <v>426</v>
      </c>
      <c r="J308" s="84" t="s">
        <v>433</v>
      </c>
    </row>
    <row r="309" spans="1:10" x14ac:dyDescent="0.2">
      <c r="A309" s="80" t="s">
        <v>1004</v>
      </c>
      <c r="B309" s="80" t="s">
        <v>341</v>
      </c>
      <c r="C309" s="80" t="s">
        <v>556</v>
      </c>
      <c r="D309" s="81" t="s">
        <v>429</v>
      </c>
      <c r="E309" s="82" t="s">
        <v>622</v>
      </c>
      <c r="F309" s="82" t="s">
        <v>431</v>
      </c>
      <c r="G309" s="83" t="s">
        <v>432</v>
      </c>
      <c r="H309" s="83" t="s">
        <v>432</v>
      </c>
      <c r="I309" s="80" t="s">
        <v>426</v>
      </c>
      <c r="J309" s="84" t="s">
        <v>433</v>
      </c>
    </row>
    <row r="310" spans="1:10" x14ac:dyDescent="0.2">
      <c r="A310" s="80" t="s">
        <v>1005</v>
      </c>
      <c r="B310" s="80" t="s">
        <v>249</v>
      </c>
      <c r="C310" s="80" t="s">
        <v>589</v>
      </c>
      <c r="D310" s="81" t="s">
        <v>429</v>
      </c>
      <c r="E310" s="82" t="s">
        <v>554</v>
      </c>
      <c r="F310" s="82" t="s">
        <v>431</v>
      </c>
      <c r="G310" s="83" t="s">
        <v>432</v>
      </c>
      <c r="H310" s="83" t="s">
        <v>432</v>
      </c>
      <c r="I310" s="80" t="s">
        <v>426</v>
      </c>
      <c r="J310" s="84" t="s">
        <v>433</v>
      </c>
    </row>
    <row r="311" spans="1:10" x14ac:dyDescent="0.2">
      <c r="A311" s="80" t="s">
        <v>1006</v>
      </c>
      <c r="B311" s="80" t="s">
        <v>1007</v>
      </c>
      <c r="C311" s="80" t="s">
        <v>937</v>
      </c>
      <c r="D311" s="81" t="s">
        <v>429</v>
      </c>
      <c r="E311" s="82" t="s">
        <v>554</v>
      </c>
      <c r="F311" s="82" t="s">
        <v>622</v>
      </c>
      <c r="G311" s="83" t="s">
        <v>432</v>
      </c>
      <c r="H311" s="83" t="s">
        <v>432</v>
      </c>
      <c r="I311" s="80" t="s">
        <v>426</v>
      </c>
      <c r="J311" s="84" t="s">
        <v>584</v>
      </c>
    </row>
    <row r="312" spans="1:10" x14ac:dyDescent="0.2">
      <c r="A312" s="80" t="s">
        <v>1008</v>
      </c>
      <c r="B312" s="80" t="s">
        <v>102</v>
      </c>
      <c r="C312" s="80" t="s">
        <v>556</v>
      </c>
      <c r="D312" s="81" t="s">
        <v>429</v>
      </c>
      <c r="E312" s="82" t="s">
        <v>554</v>
      </c>
      <c r="F312" s="82" t="s">
        <v>431</v>
      </c>
      <c r="G312" s="83" t="s">
        <v>432</v>
      </c>
      <c r="H312" s="83" t="s">
        <v>432</v>
      </c>
      <c r="I312" s="80" t="s">
        <v>426</v>
      </c>
      <c r="J312" s="84" t="s">
        <v>433</v>
      </c>
    </row>
    <row r="313" spans="1:10" x14ac:dyDescent="0.2">
      <c r="A313" s="80" t="s">
        <v>1009</v>
      </c>
      <c r="B313" s="80" t="s">
        <v>392</v>
      </c>
      <c r="C313" s="80" t="s">
        <v>589</v>
      </c>
      <c r="D313" s="81" t="s">
        <v>613</v>
      </c>
      <c r="E313" s="82" t="s">
        <v>554</v>
      </c>
      <c r="F313" s="82" t="s">
        <v>431</v>
      </c>
      <c r="G313" s="83" t="s">
        <v>432</v>
      </c>
      <c r="H313" s="83" t="s">
        <v>432</v>
      </c>
      <c r="I313" s="80" t="s">
        <v>426</v>
      </c>
      <c r="J313" s="84" t="s">
        <v>433</v>
      </c>
    </row>
    <row r="314" spans="1:10" x14ac:dyDescent="0.2">
      <c r="A314" s="80" t="s">
        <v>1010</v>
      </c>
      <c r="B314" s="80" t="s">
        <v>333</v>
      </c>
      <c r="C314" s="80" t="s">
        <v>937</v>
      </c>
      <c r="D314" s="81" t="s">
        <v>429</v>
      </c>
      <c r="E314" s="82" t="s">
        <v>554</v>
      </c>
      <c r="F314" s="82" t="s">
        <v>431</v>
      </c>
      <c r="G314" s="83" t="s">
        <v>432</v>
      </c>
      <c r="H314" s="83" t="s">
        <v>432</v>
      </c>
      <c r="I314" s="80" t="s">
        <v>426</v>
      </c>
      <c r="J314" s="84" t="s">
        <v>433</v>
      </c>
    </row>
    <row r="315" spans="1:10" x14ac:dyDescent="0.2">
      <c r="A315" s="80" t="s">
        <v>1011</v>
      </c>
      <c r="B315" s="80" t="s">
        <v>1012</v>
      </c>
      <c r="C315" s="80" t="s">
        <v>556</v>
      </c>
      <c r="D315" s="81" t="s">
        <v>429</v>
      </c>
      <c r="E315" s="82" t="s">
        <v>548</v>
      </c>
      <c r="F315" s="82" t="s">
        <v>430</v>
      </c>
      <c r="G315" s="83" t="s">
        <v>432</v>
      </c>
      <c r="H315" s="83" t="s">
        <v>432</v>
      </c>
      <c r="I315" s="80" t="s">
        <v>426</v>
      </c>
      <c r="J315" s="84" t="s">
        <v>584</v>
      </c>
    </row>
    <row r="316" spans="1:10" x14ac:dyDescent="0.2">
      <c r="A316" s="80" t="s">
        <v>1013</v>
      </c>
      <c r="B316" s="80" t="s">
        <v>309</v>
      </c>
      <c r="C316" s="80" t="s">
        <v>581</v>
      </c>
      <c r="D316" s="81" t="s">
        <v>429</v>
      </c>
      <c r="E316" s="82" t="s">
        <v>568</v>
      </c>
      <c r="F316" s="82" t="s">
        <v>431</v>
      </c>
      <c r="G316" s="83" t="s">
        <v>432</v>
      </c>
      <c r="H316" s="83" t="s">
        <v>432</v>
      </c>
      <c r="I316" s="80" t="s">
        <v>426</v>
      </c>
      <c r="J316" s="84" t="s">
        <v>433</v>
      </c>
    </row>
    <row r="317" spans="1:10" x14ac:dyDescent="0.2">
      <c r="A317" s="80" t="s">
        <v>1014</v>
      </c>
      <c r="B317" s="80" t="s">
        <v>288</v>
      </c>
      <c r="C317" s="80" t="s">
        <v>581</v>
      </c>
      <c r="D317" s="81" t="s">
        <v>429</v>
      </c>
      <c r="E317" s="82" t="s">
        <v>568</v>
      </c>
      <c r="F317" s="82" t="s">
        <v>431</v>
      </c>
      <c r="G317" s="83" t="s">
        <v>432</v>
      </c>
      <c r="H317" s="83" t="s">
        <v>432</v>
      </c>
      <c r="I317" s="80" t="s">
        <v>426</v>
      </c>
      <c r="J317" s="84" t="s">
        <v>433</v>
      </c>
    </row>
    <row r="318" spans="1:10" x14ac:dyDescent="0.2">
      <c r="A318" s="80" t="s">
        <v>1015</v>
      </c>
      <c r="B318" s="80" t="s">
        <v>300</v>
      </c>
      <c r="C318" s="80" t="s">
        <v>581</v>
      </c>
      <c r="D318" s="81" t="s">
        <v>429</v>
      </c>
      <c r="E318" s="82" t="s">
        <v>568</v>
      </c>
      <c r="F318" s="82" t="s">
        <v>634</v>
      </c>
      <c r="G318" s="83" t="s">
        <v>432</v>
      </c>
      <c r="H318" s="83" t="s">
        <v>432</v>
      </c>
      <c r="I318" s="80" t="s">
        <v>426</v>
      </c>
      <c r="J318" s="84" t="s">
        <v>433</v>
      </c>
    </row>
    <row r="319" spans="1:10" x14ac:dyDescent="0.2">
      <c r="A319" s="80" t="s">
        <v>1016</v>
      </c>
      <c r="B319" s="80" t="s">
        <v>1017</v>
      </c>
      <c r="C319" s="80" t="s">
        <v>581</v>
      </c>
      <c r="D319" s="81" t="s">
        <v>429</v>
      </c>
      <c r="E319" s="82" t="s">
        <v>568</v>
      </c>
      <c r="F319" s="82" t="s">
        <v>634</v>
      </c>
      <c r="G319" s="83" t="s">
        <v>432</v>
      </c>
      <c r="H319" s="83" t="s">
        <v>432</v>
      </c>
      <c r="I319" s="80" t="s">
        <v>426</v>
      </c>
      <c r="J319" s="84" t="s">
        <v>584</v>
      </c>
    </row>
    <row r="320" spans="1:10" x14ac:dyDescent="0.2">
      <c r="A320" s="80" t="s">
        <v>1018</v>
      </c>
      <c r="B320" s="80" t="s">
        <v>286</v>
      </c>
      <c r="C320" s="80" t="s">
        <v>581</v>
      </c>
      <c r="D320" s="81" t="s">
        <v>429</v>
      </c>
      <c r="E320" s="82" t="s">
        <v>568</v>
      </c>
      <c r="F320" s="82" t="s">
        <v>431</v>
      </c>
      <c r="G320" s="83" t="s">
        <v>432</v>
      </c>
      <c r="H320" s="83" t="s">
        <v>432</v>
      </c>
      <c r="I320" s="80" t="s">
        <v>426</v>
      </c>
      <c r="J320" s="84" t="s">
        <v>433</v>
      </c>
    </row>
    <row r="321" spans="1:10" x14ac:dyDescent="0.2">
      <c r="A321" s="80" t="s">
        <v>1019</v>
      </c>
      <c r="B321" s="80" t="s">
        <v>294</v>
      </c>
      <c r="C321" s="80" t="s">
        <v>581</v>
      </c>
      <c r="D321" s="81" t="s">
        <v>429</v>
      </c>
      <c r="E321" s="82" t="s">
        <v>568</v>
      </c>
      <c r="F321" s="82" t="s">
        <v>634</v>
      </c>
      <c r="G321" s="83" t="s">
        <v>432</v>
      </c>
      <c r="H321" s="83" t="s">
        <v>432</v>
      </c>
      <c r="I321" s="80" t="s">
        <v>426</v>
      </c>
      <c r="J321" s="84" t="s">
        <v>433</v>
      </c>
    </row>
    <row r="322" spans="1:10" x14ac:dyDescent="0.2">
      <c r="A322" s="80" t="s">
        <v>1020</v>
      </c>
      <c r="B322" s="80" t="s">
        <v>291</v>
      </c>
      <c r="C322" s="80" t="s">
        <v>581</v>
      </c>
      <c r="D322" s="81" t="s">
        <v>429</v>
      </c>
      <c r="E322" s="82" t="s">
        <v>568</v>
      </c>
      <c r="F322" s="82" t="s">
        <v>634</v>
      </c>
      <c r="G322" s="83" t="s">
        <v>432</v>
      </c>
      <c r="H322" s="83" t="s">
        <v>432</v>
      </c>
      <c r="I322" s="80" t="s">
        <v>426</v>
      </c>
      <c r="J322" s="84" t="s">
        <v>433</v>
      </c>
    </row>
    <row r="323" spans="1:10" x14ac:dyDescent="0.2">
      <c r="A323" s="80" t="s">
        <v>1021</v>
      </c>
      <c r="B323" s="80" t="s">
        <v>289</v>
      </c>
      <c r="C323" s="80" t="s">
        <v>581</v>
      </c>
      <c r="D323" s="81" t="s">
        <v>429</v>
      </c>
      <c r="E323" s="82" t="s">
        <v>568</v>
      </c>
      <c r="F323" s="82" t="s">
        <v>634</v>
      </c>
      <c r="G323" s="83" t="s">
        <v>432</v>
      </c>
      <c r="H323" s="83" t="s">
        <v>432</v>
      </c>
      <c r="I323" s="80" t="s">
        <v>426</v>
      </c>
      <c r="J323" s="84" t="s">
        <v>433</v>
      </c>
    </row>
    <row r="324" spans="1:10" x14ac:dyDescent="0.2">
      <c r="A324" s="80" t="s">
        <v>1022</v>
      </c>
      <c r="B324" s="80" t="s">
        <v>299</v>
      </c>
      <c r="C324" s="80" t="s">
        <v>581</v>
      </c>
      <c r="D324" s="81" t="s">
        <v>429</v>
      </c>
      <c r="E324" s="82" t="s">
        <v>554</v>
      </c>
      <c r="F324" s="82" t="s">
        <v>431</v>
      </c>
      <c r="G324" s="83" t="s">
        <v>432</v>
      </c>
      <c r="H324" s="83" t="s">
        <v>432</v>
      </c>
      <c r="I324" s="80" t="s">
        <v>426</v>
      </c>
      <c r="J324" s="84" t="s">
        <v>433</v>
      </c>
    </row>
    <row r="325" spans="1:10" x14ac:dyDescent="0.2">
      <c r="A325" s="80" t="s">
        <v>1023</v>
      </c>
      <c r="B325" s="80" t="s">
        <v>125</v>
      </c>
      <c r="C325" s="80" t="s">
        <v>556</v>
      </c>
      <c r="D325" s="81" t="s">
        <v>561</v>
      </c>
      <c r="E325" s="82" t="s">
        <v>603</v>
      </c>
      <c r="F325" s="82" t="s">
        <v>431</v>
      </c>
      <c r="G325" s="83" t="s">
        <v>432</v>
      </c>
      <c r="H325" s="83" t="s">
        <v>432</v>
      </c>
      <c r="I325" s="80" t="s">
        <v>426</v>
      </c>
      <c r="J325" s="84" t="s">
        <v>433</v>
      </c>
    </row>
    <row r="326" spans="1:10" x14ac:dyDescent="0.2">
      <c r="A326" s="80" t="s">
        <v>1024</v>
      </c>
      <c r="B326" s="80" t="s">
        <v>334</v>
      </c>
      <c r="C326" s="80" t="s">
        <v>937</v>
      </c>
      <c r="D326" s="81" t="s">
        <v>429</v>
      </c>
      <c r="E326" s="82" t="s">
        <v>554</v>
      </c>
      <c r="F326" s="82" t="s">
        <v>431</v>
      </c>
      <c r="G326" s="83" t="s">
        <v>432</v>
      </c>
      <c r="H326" s="83" t="s">
        <v>432</v>
      </c>
      <c r="I326" s="80" t="s">
        <v>426</v>
      </c>
      <c r="J326" s="84" t="s">
        <v>433</v>
      </c>
    </row>
    <row r="327" spans="1:10" x14ac:dyDescent="0.2">
      <c r="A327" s="80" t="s">
        <v>1025</v>
      </c>
      <c r="B327" s="80" t="s">
        <v>301</v>
      </c>
      <c r="C327" s="80" t="s">
        <v>581</v>
      </c>
      <c r="D327" s="81" t="s">
        <v>429</v>
      </c>
      <c r="E327" s="82" t="s">
        <v>791</v>
      </c>
      <c r="F327" s="82" t="s">
        <v>586</v>
      </c>
      <c r="G327" s="83" t="s">
        <v>432</v>
      </c>
      <c r="H327" s="83" t="s">
        <v>432</v>
      </c>
      <c r="I327" s="80" t="s">
        <v>426</v>
      </c>
      <c r="J327" s="84" t="s">
        <v>433</v>
      </c>
    </row>
    <row r="328" spans="1:10" x14ac:dyDescent="0.2">
      <c r="A328" s="80" t="s">
        <v>1026</v>
      </c>
      <c r="B328" s="80" t="s">
        <v>1027</v>
      </c>
      <c r="C328" s="80" t="s">
        <v>937</v>
      </c>
      <c r="D328" s="81" t="s">
        <v>429</v>
      </c>
      <c r="E328" s="82" t="s">
        <v>554</v>
      </c>
      <c r="F328" s="82" t="s">
        <v>622</v>
      </c>
      <c r="G328" s="83" t="s">
        <v>432</v>
      </c>
      <c r="H328" s="83" t="s">
        <v>432</v>
      </c>
      <c r="I328" s="80" t="s">
        <v>426</v>
      </c>
      <c r="J328" s="84" t="s">
        <v>584</v>
      </c>
    </row>
    <row r="329" spans="1:10" x14ac:dyDescent="0.2">
      <c r="A329" s="80" t="s">
        <v>1028</v>
      </c>
      <c r="B329" s="80" t="s">
        <v>1029</v>
      </c>
      <c r="C329" s="80" t="s">
        <v>937</v>
      </c>
      <c r="D329" s="81" t="s">
        <v>429</v>
      </c>
      <c r="E329" s="82" t="s">
        <v>1030</v>
      </c>
      <c r="F329" s="82" t="s">
        <v>431</v>
      </c>
      <c r="G329" s="83" t="s">
        <v>432</v>
      </c>
      <c r="H329" s="83" t="s">
        <v>432</v>
      </c>
      <c r="I329" s="80" t="s">
        <v>426</v>
      </c>
      <c r="J329" s="84" t="s">
        <v>433</v>
      </c>
    </row>
    <row r="330" spans="1:10" x14ac:dyDescent="0.2">
      <c r="A330" s="80" t="s">
        <v>1031</v>
      </c>
      <c r="B330" s="80" t="s">
        <v>1032</v>
      </c>
      <c r="C330" s="80" t="s">
        <v>937</v>
      </c>
      <c r="D330" s="81" t="s">
        <v>429</v>
      </c>
      <c r="E330" s="82" t="s">
        <v>554</v>
      </c>
      <c r="F330" s="82" t="s">
        <v>431</v>
      </c>
      <c r="G330" s="83" t="s">
        <v>432</v>
      </c>
      <c r="H330" s="83" t="s">
        <v>432</v>
      </c>
      <c r="I330" s="80" t="s">
        <v>426</v>
      </c>
      <c r="J330" s="84" t="s">
        <v>433</v>
      </c>
    </row>
    <row r="331" spans="1:10" x14ac:dyDescent="0.2">
      <c r="A331" s="80" t="s">
        <v>1033</v>
      </c>
      <c r="B331" s="80" t="s">
        <v>1034</v>
      </c>
      <c r="C331" s="80" t="s">
        <v>937</v>
      </c>
      <c r="D331" s="81" t="s">
        <v>429</v>
      </c>
      <c r="E331" s="82" t="s">
        <v>554</v>
      </c>
      <c r="F331" s="82" t="s">
        <v>431</v>
      </c>
      <c r="G331" s="83" t="s">
        <v>432</v>
      </c>
      <c r="H331" s="83" t="s">
        <v>432</v>
      </c>
      <c r="I331" s="80" t="s">
        <v>426</v>
      </c>
      <c r="J331" s="84" t="s">
        <v>433</v>
      </c>
    </row>
    <row r="332" spans="1:10" x14ac:dyDescent="0.2">
      <c r="A332" s="80" t="s">
        <v>1035</v>
      </c>
      <c r="B332" s="80" t="s">
        <v>335</v>
      </c>
      <c r="C332" s="80" t="s">
        <v>937</v>
      </c>
      <c r="D332" s="81" t="s">
        <v>429</v>
      </c>
      <c r="E332" s="82" t="s">
        <v>554</v>
      </c>
      <c r="F332" s="82" t="s">
        <v>431</v>
      </c>
      <c r="G332" s="83" t="s">
        <v>432</v>
      </c>
      <c r="H332" s="83" t="s">
        <v>432</v>
      </c>
      <c r="I332" s="80" t="s">
        <v>426</v>
      </c>
      <c r="J332" s="84" t="s">
        <v>433</v>
      </c>
    </row>
    <row r="333" spans="1:10" x14ac:dyDescent="0.2">
      <c r="A333" s="80" t="s">
        <v>1036</v>
      </c>
      <c r="B333" s="80" t="s">
        <v>1037</v>
      </c>
      <c r="C333" s="80" t="s">
        <v>556</v>
      </c>
      <c r="D333" s="81" t="s">
        <v>429</v>
      </c>
      <c r="E333" s="82" t="s">
        <v>554</v>
      </c>
      <c r="F333" s="82" t="s">
        <v>431</v>
      </c>
      <c r="G333" s="83" t="s">
        <v>432</v>
      </c>
      <c r="H333" s="83" t="s">
        <v>432</v>
      </c>
      <c r="I333" s="80" t="s">
        <v>426</v>
      </c>
      <c r="J333" s="84" t="s">
        <v>433</v>
      </c>
    </row>
    <row r="334" spans="1:10" x14ac:dyDescent="0.2">
      <c r="A334" s="80" t="s">
        <v>1038</v>
      </c>
      <c r="B334" s="80" t="s">
        <v>1039</v>
      </c>
      <c r="C334" s="80" t="s">
        <v>556</v>
      </c>
      <c r="D334" s="81" t="s">
        <v>429</v>
      </c>
      <c r="E334" s="82" t="s">
        <v>622</v>
      </c>
      <c r="F334" s="82" t="s">
        <v>430</v>
      </c>
      <c r="G334" s="83" t="s">
        <v>432</v>
      </c>
      <c r="H334" s="83" t="s">
        <v>432</v>
      </c>
      <c r="I334" s="80" t="s">
        <v>1040</v>
      </c>
      <c r="J334" s="84" t="s">
        <v>433</v>
      </c>
    </row>
    <row r="335" spans="1:10" x14ac:dyDescent="0.2">
      <c r="A335" s="80" t="s">
        <v>1041</v>
      </c>
      <c r="B335" s="80" t="s">
        <v>1042</v>
      </c>
      <c r="C335" s="80" t="s">
        <v>556</v>
      </c>
      <c r="D335" s="81" t="s">
        <v>429</v>
      </c>
      <c r="E335" s="82" t="s">
        <v>554</v>
      </c>
      <c r="F335" s="82" t="s">
        <v>1043</v>
      </c>
      <c r="G335" s="83" t="s">
        <v>432</v>
      </c>
      <c r="H335" s="83" t="s">
        <v>432</v>
      </c>
      <c r="I335" s="80" t="s">
        <v>426</v>
      </c>
      <c r="J335" s="84" t="s">
        <v>584</v>
      </c>
    </row>
    <row r="336" spans="1:10" x14ac:dyDescent="0.2">
      <c r="A336" s="80" t="s">
        <v>1044</v>
      </c>
      <c r="B336" s="80" t="s">
        <v>1045</v>
      </c>
      <c r="C336" s="80" t="s">
        <v>556</v>
      </c>
      <c r="D336" s="81" t="s">
        <v>429</v>
      </c>
      <c r="E336" s="82" t="s">
        <v>622</v>
      </c>
      <c r="F336" s="82" t="s">
        <v>603</v>
      </c>
      <c r="G336" s="83" t="s">
        <v>432</v>
      </c>
      <c r="H336" s="83" t="s">
        <v>432</v>
      </c>
      <c r="I336" s="80" t="s">
        <v>1040</v>
      </c>
      <c r="J336" s="84" t="s">
        <v>433</v>
      </c>
    </row>
    <row r="337" spans="1:10" x14ac:dyDescent="0.2">
      <c r="A337" s="80" t="s">
        <v>1046</v>
      </c>
      <c r="B337" s="80" t="s">
        <v>1047</v>
      </c>
      <c r="C337" s="80" t="s">
        <v>556</v>
      </c>
      <c r="D337" s="81" t="s">
        <v>429</v>
      </c>
      <c r="E337" s="82" t="s">
        <v>622</v>
      </c>
      <c r="F337" s="82" t="s">
        <v>603</v>
      </c>
      <c r="G337" s="83" t="s">
        <v>432</v>
      </c>
      <c r="H337" s="83" t="s">
        <v>432</v>
      </c>
      <c r="I337" s="80" t="s">
        <v>1040</v>
      </c>
      <c r="J337" s="84" t="s">
        <v>433</v>
      </c>
    </row>
    <row r="338" spans="1:10" x14ac:dyDescent="0.2">
      <c r="A338" s="80" t="s">
        <v>1048</v>
      </c>
      <c r="B338" s="80" t="s">
        <v>1049</v>
      </c>
      <c r="C338" s="80" t="s">
        <v>556</v>
      </c>
      <c r="D338" s="81" t="s">
        <v>429</v>
      </c>
      <c r="E338" s="82" t="s">
        <v>622</v>
      </c>
      <c r="F338" s="82" t="s">
        <v>603</v>
      </c>
      <c r="G338" s="83" t="s">
        <v>432</v>
      </c>
      <c r="H338" s="83" t="s">
        <v>432</v>
      </c>
      <c r="I338" s="80" t="s">
        <v>1040</v>
      </c>
      <c r="J338" s="84" t="s">
        <v>433</v>
      </c>
    </row>
    <row r="339" spans="1:10" x14ac:dyDescent="0.2">
      <c r="A339" s="80" t="s">
        <v>1050</v>
      </c>
      <c r="B339" s="80" t="s">
        <v>1051</v>
      </c>
      <c r="C339" s="80" t="s">
        <v>547</v>
      </c>
      <c r="D339" s="81" t="s">
        <v>429</v>
      </c>
      <c r="E339" s="82" t="s">
        <v>452</v>
      </c>
      <c r="F339" s="82" t="s">
        <v>431</v>
      </c>
      <c r="G339" s="83" t="s">
        <v>432</v>
      </c>
      <c r="H339" s="83" t="s">
        <v>432</v>
      </c>
      <c r="I339" s="80" t="s">
        <v>426</v>
      </c>
      <c r="J339" s="84" t="s">
        <v>433</v>
      </c>
    </row>
    <row r="340" spans="1:10" x14ac:dyDescent="0.2">
      <c r="A340" s="80" t="s">
        <v>1052</v>
      </c>
      <c r="B340" s="80" t="s">
        <v>1053</v>
      </c>
      <c r="C340" s="80" t="s">
        <v>581</v>
      </c>
      <c r="D340" s="81" t="s">
        <v>429</v>
      </c>
      <c r="E340" s="82" t="s">
        <v>430</v>
      </c>
      <c r="F340" s="82" t="s">
        <v>431</v>
      </c>
      <c r="G340" s="83" t="s">
        <v>432</v>
      </c>
      <c r="H340" s="83" t="s">
        <v>432</v>
      </c>
      <c r="I340" s="80" t="s">
        <v>426</v>
      </c>
      <c r="J340" s="84" t="s">
        <v>433</v>
      </c>
    </row>
    <row r="341" spans="1:10" x14ac:dyDescent="0.2">
      <c r="A341" s="80" t="s">
        <v>1054</v>
      </c>
      <c r="B341" s="80" t="s">
        <v>380</v>
      </c>
      <c r="C341" s="80" t="s">
        <v>589</v>
      </c>
      <c r="D341" s="81" t="s">
        <v>429</v>
      </c>
      <c r="E341" s="82" t="s">
        <v>448</v>
      </c>
      <c r="F341" s="82" t="s">
        <v>431</v>
      </c>
      <c r="G341" s="83" t="s">
        <v>432</v>
      </c>
      <c r="H341" s="83" t="s">
        <v>432</v>
      </c>
      <c r="I341" s="80" t="s">
        <v>426</v>
      </c>
      <c r="J341" s="84" t="s">
        <v>433</v>
      </c>
    </row>
    <row r="342" spans="1:10" x14ac:dyDescent="0.2">
      <c r="A342" s="80" t="s">
        <v>1055</v>
      </c>
      <c r="B342" s="80" t="s">
        <v>1056</v>
      </c>
      <c r="C342" s="80" t="s">
        <v>937</v>
      </c>
      <c r="D342" s="81" t="s">
        <v>429</v>
      </c>
      <c r="E342" s="82" t="s">
        <v>867</v>
      </c>
      <c r="F342" s="82" t="s">
        <v>634</v>
      </c>
      <c r="G342" s="83" t="s">
        <v>432</v>
      </c>
      <c r="H342" s="83" t="s">
        <v>432</v>
      </c>
      <c r="I342" s="80" t="s">
        <v>426</v>
      </c>
      <c r="J342" s="84" t="s">
        <v>584</v>
      </c>
    </row>
    <row r="343" spans="1:10" x14ac:dyDescent="0.2">
      <c r="A343" s="80" t="s">
        <v>1057</v>
      </c>
      <c r="B343" s="80" t="s">
        <v>345</v>
      </c>
      <c r="C343" s="80" t="s">
        <v>556</v>
      </c>
      <c r="D343" s="81" t="s">
        <v>561</v>
      </c>
      <c r="E343" s="82" t="s">
        <v>554</v>
      </c>
      <c r="F343" s="82" t="s">
        <v>431</v>
      </c>
      <c r="G343" s="83" t="s">
        <v>432</v>
      </c>
      <c r="H343" s="83" t="s">
        <v>432</v>
      </c>
      <c r="I343" s="80" t="s">
        <v>426</v>
      </c>
      <c r="J343" s="84" t="s">
        <v>433</v>
      </c>
    </row>
    <row r="344" spans="1:10" x14ac:dyDescent="0.2">
      <c r="A344" s="80" t="s">
        <v>1058</v>
      </c>
      <c r="B344" s="80" t="s">
        <v>1059</v>
      </c>
      <c r="C344" s="80" t="s">
        <v>581</v>
      </c>
      <c r="D344" s="81" t="s">
        <v>429</v>
      </c>
      <c r="E344" s="82" t="s">
        <v>568</v>
      </c>
      <c r="F344" s="82" t="s">
        <v>634</v>
      </c>
      <c r="G344" s="83" t="s">
        <v>432</v>
      </c>
      <c r="H344" s="83" t="s">
        <v>432</v>
      </c>
      <c r="I344" s="80" t="s">
        <v>426</v>
      </c>
      <c r="J344" s="84" t="s">
        <v>433</v>
      </c>
    </row>
    <row r="345" spans="1:10" x14ac:dyDescent="0.2">
      <c r="A345" s="80" t="s">
        <v>1060</v>
      </c>
      <c r="B345" s="80" t="s">
        <v>1061</v>
      </c>
      <c r="C345" s="80" t="s">
        <v>581</v>
      </c>
      <c r="D345" s="81" t="s">
        <v>429</v>
      </c>
      <c r="E345" s="82" t="s">
        <v>554</v>
      </c>
      <c r="F345" s="82" t="s">
        <v>430</v>
      </c>
      <c r="G345" s="83" t="s">
        <v>432</v>
      </c>
      <c r="H345" s="83" t="s">
        <v>432</v>
      </c>
      <c r="I345" s="80" t="s">
        <v>426</v>
      </c>
      <c r="J345" s="84" t="s">
        <v>433</v>
      </c>
    </row>
    <row r="346" spans="1:10" x14ac:dyDescent="0.2">
      <c r="A346" s="80" t="s">
        <v>1062</v>
      </c>
      <c r="B346" s="80" t="s">
        <v>1063</v>
      </c>
      <c r="C346" s="80" t="s">
        <v>589</v>
      </c>
      <c r="D346" s="81" t="s">
        <v>561</v>
      </c>
      <c r="E346" s="82" t="s">
        <v>608</v>
      </c>
      <c r="F346" s="82" t="s">
        <v>431</v>
      </c>
      <c r="G346" s="83" t="s">
        <v>432</v>
      </c>
      <c r="H346" s="83" t="s">
        <v>432</v>
      </c>
      <c r="I346" s="80" t="s">
        <v>426</v>
      </c>
      <c r="J346" s="84" t="s">
        <v>433</v>
      </c>
    </row>
    <row r="347" spans="1:10" x14ac:dyDescent="0.2">
      <c r="A347" s="80" t="s">
        <v>1064</v>
      </c>
      <c r="B347" s="80" t="s">
        <v>151</v>
      </c>
      <c r="C347" s="80" t="s">
        <v>589</v>
      </c>
      <c r="D347" s="81" t="s">
        <v>561</v>
      </c>
      <c r="E347" s="82" t="s">
        <v>608</v>
      </c>
      <c r="F347" s="82" t="s">
        <v>431</v>
      </c>
      <c r="G347" s="83" t="s">
        <v>432</v>
      </c>
      <c r="H347" s="83" t="s">
        <v>432</v>
      </c>
      <c r="I347" s="80" t="s">
        <v>426</v>
      </c>
      <c r="J347" s="84" t="s">
        <v>433</v>
      </c>
    </row>
    <row r="348" spans="1:10" x14ac:dyDescent="0.2">
      <c r="A348" s="80" t="s">
        <v>1065</v>
      </c>
      <c r="B348" s="80" t="s">
        <v>1066</v>
      </c>
      <c r="C348" s="80" t="s">
        <v>937</v>
      </c>
      <c r="D348" s="81" t="s">
        <v>429</v>
      </c>
      <c r="E348" s="82" t="s">
        <v>548</v>
      </c>
      <c r="F348" s="82" t="s">
        <v>608</v>
      </c>
      <c r="G348" s="83" t="s">
        <v>432</v>
      </c>
      <c r="H348" s="83" t="s">
        <v>432</v>
      </c>
      <c r="I348" s="80" t="s">
        <v>426</v>
      </c>
      <c r="J348" s="84" t="s">
        <v>584</v>
      </c>
    </row>
    <row r="349" spans="1:10" x14ac:dyDescent="0.2">
      <c r="A349" s="80" t="s">
        <v>1067</v>
      </c>
      <c r="B349" s="80" t="s">
        <v>310</v>
      </c>
      <c r="C349" s="80" t="s">
        <v>581</v>
      </c>
      <c r="D349" s="81" t="s">
        <v>429</v>
      </c>
      <c r="E349" s="82" t="s">
        <v>885</v>
      </c>
      <c r="F349" s="82" t="s">
        <v>431</v>
      </c>
      <c r="G349" s="83" t="s">
        <v>432</v>
      </c>
      <c r="H349" s="83" t="s">
        <v>432</v>
      </c>
      <c r="I349" s="80" t="s">
        <v>426</v>
      </c>
      <c r="J349" s="84" t="s">
        <v>433</v>
      </c>
    </row>
    <row r="350" spans="1:10" x14ac:dyDescent="0.2">
      <c r="A350" s="80" t="s">
        <v>1068</v>
      </c>
      <c r="B350" s="80" t="s">
        <v>179</v>
      </c>
      <c r="C350" s="80" t="s">
        <v>547</v>
      </c>
      <c r="D350" s="81" t="s">
        <v>601</v>
      </c>
      <c r="E350" s="82" t="s">
        <v>554</v>
      </c>
      <c r="F350" s="82" t="s">
        <v>431</v>
      </c>
      <c r="G350" s="83" t="s">
        <v>432</v>
      </c>
      <c r="H350" s="83" t="s">
        <v>432</v>
      </c>
      <c r="I350" s="80" t="s">
        <v>426</v>
      </c>
      <c r="J350" s="84" t="s">
        <v>433</v>
      </c>
    </row>
    <row r="351" spans="1:10" x14ac:dyDescent="0.2">
      <c r="A351" s="80" t="s">
        <v>1069</v>
      </c>
      <c r="B351" s="80" t="s">
        <v>318</v>
      </c>
      <c r="C351" s="80" t="s">
        <v>581</v>
      </c>
      <c r="D351" s="81" t="s">
        <v>429</v>
      </c>
      <c r="E351" s="82" t="s">
        <v>885</v>
      </c>
      <c r="F351" s="82" t="s">
        <v>885</v>
      </c>
      <c r="G351" s="83" t="s">
        <v>432</v>
      </c>
      <c r="H351" s="83" t="s">
        <v>432</v>
      </c>
      <c r="I351" s="80" t="s">
        <v>426</v>
      </c>
      <c r="J351" s="84" t="s">
        <v>433</v>
      </c>
    </row>
    <row r="352" spans="1:10" x14ac:dyDescent="0.2">
      <c r="A352" s="80" t="s">
        <v>1070</v>
      </c>
      <c r="B352" s="80" t="s">
        <v>144</v>
      </c>
      <c r="C352" s="80" t="s">
        <v>589</v>
      </c>
      <c r="D352" s="81" t="s">
        <v>561</v>
      </c>
      <c r="E352" s="82" t="s">
        <v>554</v>
      </c>
      <c r="F352" s="82" t="s">
        <v>430</v>
      </c>
      <c r="G352" s="83" t="s">
        <v>432</v>
      </c>
      <c r="H352" s="83" t="s">
        <v>432</v>
      </c>
      <c r="I352" s="80" t="s">
        <v>426</v>
      </c>
      <c r="J352" s="84" t="s">
        <v>433</v>
      </c>
    </row>
    <row r="353" spans="1:10" x14ac:dyDescent="0.2">
      <c r="A353" s="80" t="s">
        <v>1071</v>
      </c>
      <c r="B353" s="80" t="s">
        <v>1072</v>
      </c>
      <c r="C353" s="80" t="s">
        <v>589</v>
      </c>
      <c r="D353" s="81" t="s">
        <v>561</v>
      </c>
      <c r="E353" s="82" t="s">
        <v>554</v>
      </c>
      <c r="F353" s="82" t="s">
        <v>430</v>
      </c>
      <c r="G353" s="83" t="s">
        <v>432</v>
      </c>
      <c r="H353" s="83" t="s">
        <v>432</v>
      </c>
      <c r="I353" s="80" t="s">
        <v>426</v>
      </c>
      <c r="J353" s="84" t="s">
        <v>433</v>
      </c>
    </row>
    <row r="354" spans="1:10" x14ac:dyDescent="0.2">
      <c r="A354" s="80" t="s">
        <v>1073</v>
      </c>
      <c r="B354" s="80" t="s">
        <v>372</v>
      </c>
      <c r="C354" s="80" t="s">
        <v>881</v>
      </c>
      <c r="D354" s="81" t="s">
        <v>429</v>
      </c>
      <c r="E354" s="82" t="s">
        <v>430</v>
      </c>
      <c r="F354" s="82" t="s">
        <v>431</v>
      </c>
      <c r="G354" s="83" t="s">
        <v>432</v>
      </c>
      <c r="H354" s="83" t="s">
        <v>432</v>
      </c>
      <c r="I354" s="80" t="s">
        <v>882</v>
      </c>
      <c r="J354" s="84" t="s">
        <v>433</v>
      </c>
    </row>
    <row r="355" spans="1:10" x14ac:dyDescent="0.2">
      <c r="A355" s="80" t="s">
        <v>1074</v>
      </c>
      <c r="B355" s="80" t="s">
        <v>1075</v>
      </c>
      <c r="C355" s="80" t="s">
        <v>556</v>
      </c>
      <c r="D355" s="81" t="s">
        <v>429</v>
      </c>
      <c r="E355" s="82" t="s">
        <v>554</v>
      </c>
      <c r="F355" s="82" t="s">
        <v>430</v>
      </c>
      <c r="G355" s="83" t="s">
        <v>432</v>
      </c>
      <c r="H355" s="83" t="s">
        <v>432</v>
      </c>
      <c r="I355" s="80" t="s">
        <v>426</v>
      </c>
      <c r="J355" s="84" t="s">
        <v>433</v>
      </c>
    </row>
    <row r="356" spans="1:10" x14ac:dyDescent="0.2">
      <c r="A356" s="80" t="s">
        <v>1076</v>
      </c>
      <c r="B356" s="80" t="s">
        <v>381</v>
      </c>
      <c r="C356" s="80" t="s">
        <v>589</v>
      </c>
      <c r="D356" s="81" t="s">
        <v>429</v>
      </c>
      <c r="E356" s="82" t="s">
        <v>563</v>
      </c>
      <c r="F356" s="82" t="s">
        <v>431</v>
      </c>
      <c r="G356" s="83" t="s">
        <v>432</v>
      </c>
      <c r="H356" s="83" t="s">
        <v>432</v>
      </c>
      <c r="I356" s="80" t="s">
        <v>426</v>
      </c>
      <c r="J356" s="84" t="s">
        <v>433</v>
      </c>
    </row>
    <row r="357" spans="1:10" x14ac:dyDescent="0.2">
      <c r="A357" s="80" t="s">
        <v>1077</v>
      </c>
      <c r="B357" s="80" t="s">
        <v>1078</v>
      </c>
      <c r="C357" s="80" t="s">
        <v>581</v>
      </c>
      <c r="D357" s="81" t="s">
        <v>429</v>
      </c>
      <c r="E357" s="82" t="s">
        <v>548</v>
      </c>
      <c r="F357" s="82" t="s">
        <v>431</v>
      </c>
      <c r="G357" s="83" t="s">
        <v>432</v>
      </c>
      <c r="H357" s="83" t="s">
        <v>432</v>
      </c>
      <c r="I357" s="80" t="s">
        <v>426</v>
      </c>
      <c r="J357" s="84" t="s">
        <v>584</v>
      </c>
    </row>
    <row r="358" spans="1:10" x14ac:dyDescent="0.2">
      <c r="A358" s="80" t="s">
        <v>1079</v>
      </c>
      <c r="B358" s="80" t="s">
        <v>292</v>
      </c>
      <c r="C358" s="80" t="s">
        <v>581</v>
      </c>
      <c r="D358" s="81" t="s">
        <v>429</v>
      </c>
      <c r="E358" s="82" t="s">
        <v>568</v>
      </c>
      <c r="F358" s="82" t="s">
        <v>634</v>
      </c>
      <c r="G358" s="83" t="s">
        <v>432</v>
      </c>
      <c r="H358" s="83" t="s">
        <v>432</v>
      </c>
      <c r="I358" s="80" t="s">
        <v>426</v>
      </c>
      <c r="J358" s="84" t="s">
        <v>433</v>
      </c>
    </row>
    <row r="359" spans="1:10" x14ac:dyDescent="0.2">
      <c r="A359" s="80" t="s">
        <v>1080</v>
      </c>
      <c r="B359" s="80" t="s">
        <v>1081</v>
      </c>
      <c r="C359" s="80" t="s">
        <v>881</v>
      </c>
      <c r="D359" s="81" t="s">
        <v>429</v>
      </c>
      <c r="E359" s="82" t="s">
        <v>548</v>
      </c>
      <c r="F359" s="82" t="s">
        <v>431</v>
      </c>
      <c r="G359" s="83" t="s">
        <v>432</v>
      </c>
      <c r="H359" s="83" t="s">
        <v>432</v>
      </c>
      <c r="I359" s="80" t="s">
        <v>882</v>
      </c>
      <c r="J359" s="84" t="s">
        <v>433</v>
      </c>
    </row>
    <row r="360" spans="1:10" x14ac:dyDescent="0.2">
      <c r="A360" s="80" t="s">
        <v>1082</v>
      </c>
      <c r="B360" s="80" t="s">
        <v>1083</v>
      </c>
      <c r="C360" s="80" t="s">
        <v>589</v>
      </c>
      <c r="D360" s="81" t="s">
        <v>429</v>
      </c>
      <c r="E360" s="82" t="s">
        <v>448</v>
      </c>
      <c r="F360" s="82" t="s">
        <v>431</v>
      </c>
      <c r="G360" s="83" t="s">
        <v>432</v>
      </c>
      <c r="H360" s="83" t="s">
        <v>432</v>
      </c>
      <c r="I360" s="80" t="s">
        <v>426</v>
      </c>
      <c r="J360" s="84" t="s">
        <v>433</v>
      </c>
    </row>
    <row r="361" spans="1:10" x14ac:dyDescent="0.2">
      <c r="A361" s="80" t="s">
        <v>1084</v>
      </c>
      <c r="B361" s="80" t="s">
        <v>134</v>
      </c>
      <c r="C361" s="80" t="s">
        <v>589</v>
      </c>
      <c r="D361" s="81" t="s">
        <v>429</v>
      </c>
      <c r="E361" s="82" t="s">
        <v>603</v>
      </c>
      <c r="F361" s="82" t="s">
        <v>431</v>
      </c>
      <c r="G361" s="83" t="s">
        <v>432</v>
      </c>
      <c r="H361" s="83" t="s">
        <v>432</v>
      </c>
      <c r="I361" s="80" t="s">
        <v>426</v>
      </c>
      <c r="J361" s="84" t="s">
        <v>433</v>
      </c>
    </row>
    <row r="362" spans="1:10" x14ac:dyDescent="0.2">
      <c r="A362" s="80" t="s">
        <v>1085</v>
      </c>
      <c r="B362" s="80" t="s">
        <v>1086</v>
      </c>
      <c r="C362" s="80" t="s">
        <v>589</v>
      </c>
      <c r="D362" s="81" t="s">
        <v>429</v>
      </c>
      <c r="E362" s="82" t="s">
        <v>452</v>
      </c>
      <c r="F362" s="82" t="s">
        <v>431</v>
      </c>
      <c r="G362" s="83" t="s">
        <v>432</v>
      </c>
      <c r="H362" s="83" t="s">
        <v>432</v>
      </c>
      <c r="I362" s="80" t="s">
        <v>426</v>
      </c>
      <c r="J362" s="84" t="s">
        <v>433</v>
      </c>
    </row>
    <row r="363" spans="1:10" x14ac:dyDescent="0.2">
      <c r="A363" s="80" t="s">
        <v>1087</v>
      </c>
      <c r="B363" s="80" t="s">
        <v>1088</v>
      </c>
      <c r="C363" s="80" t="s">
        <v>589</v>
      </c>
      <c r="D363" s="81" t="s">
        <v>429</v>
      </c>
      <c r="E363" s="82" t="s">
        <v>430</v>
      </c>
      <c r="F363" s="82" t="s">
        <v>431</v>
      </c>
      <c r="G363" s="83" t="s">
        <v>432</v>
      </c>
      <c r="H363" s="83" t="s">
        <v>432</v>
      </c>
      <c r="I363" s="80" t="s">
        <v>426</v>
      </c>
      <c r="J363" s="84" t="s">
        <v>433</v>
      </c>
    </row>
    <row r="364" spans="1:10" x14ac:dyDescent="0.2">
      <c r="A364" s="80" t="s">
        <v>1089</v>
      </c>
      <c r="B364" s="80" t="s">
        <v>1090</v>
      </c>
      <c r="C364" s="80" t="s">
        <v>556</v>
      </c>
      <c r="D364" s="81" t="s">
        <v>429</v>
      </c>
      <c r="E364" s="82" t="s">
        <v>554</v>
      </c>
      <c r="F364" s="82" t="s">
        <v>431</v>
      </c>
      <c r="G364" s="83" t="s">
        <v>432</v>
      </c>
      <c r="H364" s="83" t="s">
        <v>432</v>
      </c>
      <c r="I364" s="80" t="s">
        <v>426</v>
      </c>
      <c r="J364" s="84" t="s">
        <v>433</v>
      </c>
    </row>
    <row r="365" spans="1:10" x14ac:dyDescent="0.2">
      <c r="A365" s="80" t="s">
        <v>1091</v>
      </c>
      <c r="B365" s="80" t="s">
        <v>25</v>
      </c>
      <c r="C365" s="80" t="s">
        <v>581</v>
      </c>
      <c r="D365" s="81" t="s">
        <v>429</v>
      </c>
      <c r="E365" s="82" t="s">
        <v>586</v>
      </c>
      <c r="F365" s="82" t="s">
        <v>554</v>
      </c>
      <c r="G365" s="83" t="s">
        <v>432</v>
      </c>
      <c r="H365" s="83" t="s">
        <v>432</v>
      </c>
      <c r="I365" s="80" t="s">
        <v>426</v>
      </c>
      <c r="J365" s="84" t="s">
        <v>433</v>
      </c>
    </row>
    <row r="366" spans="1:10" x14ac:dyDescent="0.2">
      <c r="A366" s="80" t="s">
        <v>1092</v>
      </c>
      <c r="B366" s="80" t="s">
        <v>293</v>
      </c>
      <c r="C366" s="80" t="s">
        <v>581</v>
      </c>
      <c r="D366" s="81" t="s">
        <v>429</v>
      </c>
      <c r="E366" s="82" t="s">
        <v>554</v>
      </c>
      <c r="F366" s="82" t="s">
        <v>430</v>
      </c>
      <c r="G366" s="83" t="s">
        <v>432</v>
      </c>
      <c r="H366" s="83" t="s">
        <v>432</v>
      </c>
      <c r="I366" s="80" t="s">
        <v>426</v>
      </c>
      <c r="J366" s="84" t="s">
        <v>433</v>
      </c>
    </row>
    <row r="367" spans="1:10" x14ac:dyDescent="0.2">
      <c r="A367" s="80" t="s">
        <v>1093</v>
      </c>
      <c r="B367" s="80" t="s">
        <v>408</v>
      </c>
      <c r="C367" s="80" t="s">
        <v>908</v>
      </c>
      <c r="D367" s="81" t="s">
        <v>429</v>
      </c>
      <c r="E367" s="82" t="s">
        <v>647</v>
      </c>
      <c r="F367" s="82" t="s">
        <v>431</v>
      </c>
      <c r="G367" s="83" t="s">
        <v>432</v>
      </c>
      <c r="H367" s="83" t="s">
        <v>432</v>
      </c>
      <c r="I367" s="80" t="s">
        <v>426</v>
      </c>
      <c r="J367" s="84" t="s">
        <v>433</v>
      </c>
    </row>
    <row r="368" spans="1:10" x14ac:dyDescent="0.2">
      <c r="A368" s="80" t="s">
        <v>1094</v>
      </c>
      <c r="B368" s="80" t="s">
        <v>1095</v>
      </c>
      <c r="C368" s="80" t="s">
        <v>908</v>
      </c>
      <c r="D368" s="81" t="s">
        <v>429</v>
      </c>
      <c r="E368" s="82" t="s">
        <v>1096</v>
      </c>
      <c r="F368" s="82" t="s">
        <v>431</v>
      </c>
      <c r="G368" s="83" t="s">
        <v>432</v>
      </c>
      <c r="H368" s="83" t="s">
        <v>432</v>
      </c>
      <c r="I368" s="80" t="s">
        <v>426</v>
      </c>
      <c r="J368" s="84" t="s">
        <v>433</v>
      </c>
    </row>
    <row r="369" spans="1:10" x14ac:dyDescent="0.2">
      <c r="A369" s="80" t="s">
        <v>1097</v>
      </c>
      <c r="B369" s="80" t="s">
        <v>1098</v>
      </c>
      <c r="C369" s="80" t="s">
        <v>908</v>
      </c>
      <c r="D369" s="81" t="s">
        <v>429</v>
      </c>
      <c r="E369" s="82" t="s">
        <v>867</v>
      </c>
      <c r="F369" s="82" t="s">
        <v>431</v>
      </c>
      <c r="G369" s="83" t="s">
        <v>432</v>
      </c>
      <c r="H369" s="83" t="s">
        <v>432</v>
      </c>
      <c r="I369" s="80" t="s">
        <v>426</v>
      </c>
      <c r="J369" s="84" t="s">
        <v>433</v>
      </c>
    </row>
    <row r="370" spans="1:10" x14ac:dyDescent="0.2">
      <c r="A370" s="80" t="s">
        <v>1099</v>
      </c>
      <c r="B370" s="80" t="s">
        <v>1100</v>
      </c>
      <c r="C370" s="80" t="s">
        <v>908</v>
      </c>
      <c r="D370" s="81" t="s">
        <v>429</v>
      </c>
      <c r="E370" s="82" t="s">
        <v>1096</v>
      </c>
      <c r="F370" s="82" t="s">
        <v>431</v>
      </c>
      <c r="G370" s="83" t="s">
        <v>432</v>
      </c>
      <c r="H370" s="83" t="s">
        <v>432</v>
      </c>
      <c r="I370" s="80" t="s">
        <v>426</v>
      </c>
      <c r="J370" s="84" t="s">
        <v>433</v>
      </c>
    </row>
    <row r="371" spans="1:10" x14ac:dyDescent="0.2">
      <c r="A371" s="80" t="s">
        <v>1101</v>
      </c>
      <c r="B371" s="80" t="s">
        <v>1102</v>
      </c>
      <c r="C371" s="80" t="s">
        <v>908</v>
      </c>
      <c r="D371" s="81" t="s">
        <v>429</v>
      </c>
      <c r="E371" s="82" t="s">
        <v>867</v>
      </c>
      <c r="F371" s="82" t="s">
        <v>1103</v>
      </c>
      <c r="G371" s="83" t="s">
        <v>432</v>
      </c>
      <c r="H371" s="83" t="s">
        <v>432</v>
      </c>
      <c r="I371" s="80" t="s">
        <v>426</v>
      </c>
      <c r="J371" s="84" t="s">
        <v>433</v>
      </c>
    </row>
    <row r="372" spans="1:10" x14ac:dyDescent="0.2">
      <c r="A372" s="80" t="s">
        <v>1104</v>
      </c>
      <c r="B372" s="80" t="s">
        <v>1105</v>
      </c>
      <c r="C372" s="80" t="s">
        <v>908</v>
      </c>
      <c r="D372" s="81" t="s">
        <v>429</v>
      </c>
      <c r="E372" s="82" t="s">
        <v>867</v>
      </c>
      <c r="F372" s="82" t="s">
        <v>431</v>
      </c>
      <c r="G372" s="83" t="s">
        <v>432</v>
      </c>
      <c r="H372" s="83" t="s">
        <v>432</v>
      </c>
      <c r="I372" s="80" t="s">
        <v>426</v>
      </c>
      <c r="J372" s="84" t="s">
        <v>433</v>
      </c>
    </row>
    <row r="373" spans="1:10" x14ac:dyDescent="0.2">
      <c r="A373" s="80" t="s">
        <v>1106</v>
      </c>
      <c r="B373" s="80" t="s">
        <v>1107</v>
      </c>
      <c r="C373" s="80" t="s">
        <v>908</v>
      </c>
      <c r="D373" s="81" t="s">
        <v>429</v>
      </c>
      <c r="E373" s="82" t="s">
        <v>867</v>
      </c>
      <c r="F373" s="82" t="s">
        <v>431</v>
      </c>
      <c r="G373" s="83" t="s">
        <v>432</v>
      </c>
      <c r="H373" s="83" t="s">
        <v>432</v>
      </c>
      <c r="I373" s="80" t="s">
        <v>426</v>
      </c>
      <c r="J373" s="84" t="s">
        <v>433</v>
      </c>
    </row>
    <row r="374" spans="1:10" x14ac:dyDescent="0.2">
      <c r="A374" s="80" t="s">
        <v>1108</v>
      </c>
      <c r="B374" s="80" t="s">
        <v>1109</v>
      </c>
      <c r="C374" s="80" t="s">
        <v>908</v>
      </c>
      <c r="D374" s="81" t="s">
        <v>429</v>
      </c>
      <c r="E374" s="82" t="s">
        <v>867</v>
      </c>
      <c r="F374" s="82" t="s">
        <v>431</v>
      </c>
      <c r="G374" s="83" t="s">
        <v>432</v>
      </c>
      <c r="H374" s="83" t="s">
        <v>432</v>
      </c>
      <c r="I374" s="80" t="s">
        <v>426</v>
      </c>
      <c r="J374" s="84" t="s">
        <v>433</v>
      </c>
    </row>
    <row r="375" spans="1:10" x14ac:dyDescent="0.2">
      <c r="A375" s="80" t="s">
        <v>1110</v>
      </c>
      <c r="B375" s="80" t="s">
        <v>1111</v>
      </c>
      <c r="C375" s="80" t="s">
        <v>908</v>
      </c>
      <c r="D375" s="81" t="s">
        <v>429</v>
      </c>
      <c r="E375" s="82" t="s">
        <v>867</v>
      </c>
      <c r="F375" s="82" t="s">
        <v>431</v>
      </c>
      <c r="G375" s="83" t="s">
        <v>432</v>
      </c>
      <c r="H375" s="83" t="s">
        <v>432</v>
      </c>
      <c r="I375" s="80" t="s">
        <v>426</v>
      </c>
      <c r="J375" s="84" t="s">
        <v>433</v>
      </c>
    </row>
    <row r="376" spans="1:10" x14ac:dyDescent="0.2">
      <c r="A376" s="80" t="s">
        <v>1112</v>
      </c>
      <c r="B376" s="80" t="s">
        <v>1113</v>
      </c>
      <c r="C376" s="80" t="s">
        <v>556</v>
      </c>
      <c r="D376" s="81" t="s">
        <v>429</v>
      </c>
      <c r="E376" s="82" t="s">
        <v>448</v>
      </c>
      <c r="F376" s="82" t="s">
        <v>431</v>
      </c>
      <c r="G376" s="83" t="s">
        <v>432</v>
      </c>
      <c r="H376" s="83" t="s">
        <v>432</v>
      </c>
      <c r="I376" s="80" t="s">
        <v>426</v>
      </c>
      <c r="J376" s="84" t="s">
        <v>433</v>
      </c>
    </row>
    <row r="377" spans="1:10" x14ac:dyDescent="0.2">
      <c r="A377" s="80" t="s">
        <v>1114</v>
      </c>
      <c r="B377" s="80" t="s">
        <v>400</v>
      </c>
      <c r="C377" s="80" t="s">
        <v>547</v>
      </c>
      <c r="D377" s="81" t="s">
        <v>601</v>
      </c>
      <c r="E377" s="82" t="s">
        <v>554</v>
      </c>
      <c r="F377" s="82" t="s">
        <v>431</v>
      </c>
      <c r="G377" s="83" t="s">
        <v>432</v>
      </c>
      <c r="H377" s="83" t="s">
        <v>432</v>
      </c>
      <c r="I377" s="80" t="s">
        <v>426</v>
      </c>
      <c r="J377" s="84" t="s">
        <v>433</v>
      </c>
    </row>
    <row r="378" spans="1:10" x14ac:dyDescent="0.2">
      <c r="A378" s="80" t="s">
        <v>1115</v>
      </c>
      <c r="B378" s="80" t="s">
        <v>407</v>
      </c>
      <c r="C378" s="80" t="s">
        <v>908</v>
      </c>
      <c r="D378" s="81" t="s">
        <v>582</v>
      </c>
      <c r="E378" s="82" t="s">
        <v>554</v>
      </c>
      <c r="F378" s="82" t="s">
        <v>431</v>
      </c>
      <c r="G378" s="83" t="s">
        <v>432</v>
      </c>
      <c r="H378" s="83" t="s">
        <v>432</v>
      </c>
      <c r="I378" s="80" t="s">
        <v>426</v>
      </c>
      <c r="J378" s="84" t="s">
        <v>433</v>
      </c>
    </row>
    <row r="379" spans="1:10" x14ac:dyDescent="0.2">
      <c r="A379" s="80" t="s">
        <v>1116</v>
      </c>
      <c r="B379" s="80" t="s">
        <v>1117</v>
      </c>
      <c r="C379" s="80" t="s">
        <v>908</v>
      </c>
      <c r="D379" s="81" t="s">
        <v>429</v>
      </c>
      <c r="E379" s="82" t="s">
        <v>1096</v>
      </c>
      <c r="F379" s="82" t="s">
        <v>431</v>
      </c>
      <c r="G379" s="83" t="s">
        <v>432</v>
      </c>
      <c r="H379" s="83" t="s">
        <v>432</v>
      </c>
      <c r="I379" s="80" t="s">
        <v>426</v>
      </c>
      <c r="J379" s="84" t="s">
        <v>433</v>
      </c>
    </row>
    <row r="380" spans="1:10" x14ac:dyDescent="0.2">
      <c r="A380" s="80" t="s">
        <v>1118</v>
      </c>
      <c r="B380" s="80" t="s">
        <v>1119</v>
      </c>
      <c r="C380" s="80" t="s">
        <v>908</v>
      </c>
      <c r="D380" s="81" t="s">
        <v>429</v>
      </c>
      <c r="E380" s="82" t="s">
        <v>1096</v>
      </c>
      <c r="F380" s="82" t="s">
        <v>1120</v>
      </c>
      <c r="G380" s="83" t="s">
        <v>432</v>
      </c>
      <c r="H380" s="83" t="s">
        <v>432</v>
      </c>
      <c r="I380" s="80" t="s">
        <v>426</v>
      </c>
      <c r="J380" s="84" t="s">
        <v>433</v>
      </c>
    </row>
    <row r="381" spans="1:10" x14ac:dyDescent="0.2">
      <c r="A381" s="80" t="s">
        <v>1121</v>
      </c>
      <c r="B381" s="80" t="s">
        <v>1122</v>
      </c>
      <c r="C381" s="80" t="s">
        <v>908</v>
      </c>
      <c r="D381" s="81" t="s">
        <v>429</v>
      </c>
      <c r="E381" s="82" t="s">
        <v>1096</v>
      </c>
      <c r="F381" s="82" t="s">
        <v>431</v>
      </c>
      <c r="G381" s="83" t="s">
        <v>432</v>
      </c>
      <c r="H381" s="83" t="s">
        <v>432</v>
      </c>
      <c r="I381" s="80" t="s">
        <v>426</v>
      </c>
      <c r="J381" s="84" t="s">
        <v>433</v>
      </c>
    </row>
    <row r="382" spans="1:10" x14ac:dyDescent="0.2">
      <c r="A382" s="80" t="s">
        <v>1123</v>
      </c>
      <c r="B382" s="80" t="s">
        <v>1124</v>
      </c>
      <c r="C382" s="80" t="s">
        <v>908</v>
      </c>
      <c r="D382" s="81" t="s">
        <v>429</v>
      </c>
      <c r="E382" s="82" t="s">
        <v>1096</v>
      </c>
      <c r="F382" s="82" t="s">
        <v>1120</v>
      </c>
      <c r="G382" s="83" t="s">
        <v>432</v>
      </c>
      <c r="H382" s="83" t="s">
        <v>432</v>
      </c>
      <c r="I382" s="80" t="s">
        <v>426</v>
      </c>
      <c r="J382" s="84" t="s">
        <v>433</v>
      </c>
    </row>
    <row r="383" spans="1:10" x14ac:dyDescent="0.2">
      <c r="A383" s="80" t="s">
        <v>1125</v>
      </c>
      <c r="B383" s="80" t="s">
        <v>1126</v>
      </c>
      <c r="C383" s="80" t="s">
        <v>908</v>
      </c>
      <c r="D383" s="81" t="s">
        <v>429</v>
      </c>
      <c r="E383" s="82" t="s">
        <v>1096</v>
      </c>
      <c r="F383" s="82" t="s">
        <v>431</v>
      </c>
      <c r="G383" s="83" t="s">
        <v>432</v>
      </c>
      <c r="H383" s="83" t="s">
        <v>432</v>
      </c>
      <c r="I383" s="80" t="s">
        <v>426</v>
      </c>
      <c r="J383" s="84" t="s">
        <v>433</v>
      </c>
    </row>
    <row r="384" spans="1:10" x14ac:dyDescent="0.2">
      <c r="A384" s="80" t="s">
        <v>1127</v>
      </c>
      <c r="B384" s="80" t="s">
        <v>178</v>
      </c>
      <c r="C384" s="80" t="s">
        <v>547</v>
      </c>
      <c r="D384" s="81" t="s">
        <v>601</v>
      </c>
      <c r="E384" s="82" t="s">
        <v>554</v>
      </c>
      <c r="F384" s="82" t="s">
        <v>431</v>
      </c>
      <c r="G384" s="83" t="s">
        <v>432</v>
      </c>
      <c r="H384" s="83" t="s">
        <v>432</v>
      </c>
      <c r="I384" s="80" t="s">
        <v>426</v>
      </c>
      <c r="J384" s="84" t="s">
        <v>433</v>
      </c>
    </row>
    <row r="385" spans="1:10" x14ac:dyDescent="0.2">
      <c r="A385" s="80" t="s">
        <v>1128</v>
      </c>
      <c r="B385" s="80" t="s">
        <v>317</v>
      </c>
      <c r="C385" s="80" t="s">
        <v>581</v>
      </c>
      <c r="D385" s="81" t="s">
        <v>429</v>
      </c>
      <c r="E385" s="82" t="s">
        <v>568</v>
      </c>
      <c r="F385" s="82" t="s">
        <v>431</v>
      </c>
      <c r="G385" s="83" t="s">
        <v>432</v>
      </c>
      <c r="H385" s="83" t="s">
        <v>432</v>
      </c>
      <c r="I385" s="80" t="s">
        <v>426</v>
      </c>
      <c r="J385" s="84" t="s">
        <v>433</v>
      </c>
    </row>
    <row r="386" spans="1:10" x14ac:dyDescent="0.2">
      <c r="A386" s="80" t="s">
        <v>1129</v>
      </c>
      <c r="B386" s="80" t="s">
        <v>1130</v>
      </c>
      <c r="C386" s="80" t="s">
        <v>547</v>
      </c>
      <c r="D386" s="81" t="s">
        <v>561</v>
      </c>
      <c r="E386" s="82" t="s">
        <v>430</v>
      </c>
      <c r="F386" s="82" t="s">
        <v>431</v>
      </c>
      <c r="G386" s="83" t="s">
        <v>432</v>
      </c>
      <c r="H386" s="83" t="s">
        <v>432</v>
      </c>
      <c r="I386" s="80" t="s">
        <v>426</v>
      </c>
      <c r="J386" s="84" t="s">
        <v>433</v>
      </c>
    </row>
    <row r="387" spans="1:10" x14ac:dyDescent="0.2">
      <c r="A387" s="80" t="s">
        <v>1131</v>
      </c>
      <c r="B387" s="80" t="s">
        <v>245</v>
      </c>
      <c r="C387" s="80" t="s">
        <v>428</v>
      </c>
      <c r="D387" s="81" t="s">
        <v>613</v>
      </c>
      <c r="E387" s="82" t="s">
        <v>603</v>
      </c>
      <c r="F387" s="82" t="s">
        <v>431</v>
      </c>
      <c r="G387" s="83" t="s">
        <v>432</v>
      </c>
      <c r="H387" s="83" t="s">
        <v>432</v>
      </c>
      <c r="I387" s="80" t="s">
        <v>426</v>
      </c>
      <c r="J387" s="84" t="s">
        <v>433</v>
      </c>
    </row>
    <row r="388" spans="1:10" x14ac:dyDescent="0.2">
      <c r="A388" s="80" t="s">
        <v>1132</v>
      </c>
      <c r="B388" s="80" t="s">
        <v>1133</v>
      </c>
      <c r="C388" s="80" t="s">
        <v>428</v>
      </c>
      <c r="D388" s="81" t="s">
        <v>561</v>
      </c>
      <c r="E388" s="82" t="s">
        <v>741</v>
      </c>
      <c r="F388" s="82" t="s">
        <v>431</v>
      </c>
      <c r="G388" s="83" t="s">
        <v>432</v>
      </c>
      <c r="H388" s="83" t="s">
        <v>432</v>
      </c>
      <c r="I388" s="80" t="s">
        <v>426</v>
      </c>
      <c r="J388" s="84" t="s">
        <v>433</v>
      </c>
    </row>
    <row r="389" spans="1:10" x14ac:dyDescent="0.2">
      <c r="A389" s="80" t="s">
        <v>1134</v>
      </c>
      <c r="B389" s="80" t="s">
        <v>1135</v>
      </c>
      <c r="C389" s="80" t="s">
        <v>908</v>
      </c>
      <c r="D389" s="81" t="s">
        <v>582</v>
      </c>
      <c r="E389" s="82" t="s">
        <v>563</v>
      </c>
      <c r="F389" s="82" t="s">
        <v>608</v>
      </c>
      <c r="G389" s="83" t="s">
        <v>432</v>
      </c>
      <c r="H389" s="83" t="s">
        <v>432</v>
      </c>
      <c r="I389" s="80" t="s">
        <v>426</v>
      </c>
      <c r="J389" s="84" t="s">
        <v>584</v>
      </c>
    </row>
    <row r="390" spans="1:10" x14ac:dyDescent="0.2">
      <c r="A390" s="80" t="s">
        <v>1136</v>
      </c>
      <c r="B390" s="80" t="s">
        <v>1137</v>
      </c>
      <c r="C390" s="80" t="s">
        <v>908</v>
      </c>
      <c r="D390" s="81" t="s">
        <v>582</v>
      </c>
      <c r="E390" s="82" t="s">
        <v>554</v>
      </c>
      <c r="F390" s="82" t="s">
        <v>430</v>
      </c>
      <c r="G390" s="83" t="s">
        <v>432</v>
      </c>
      <c r="H390" s="83" t="s">
        <v>432</v>
      </c>
      <c r="I390" s="80" t="s">
        <v>426</v>
      </c>
      <c r="J390" s="84" t="s">
        <v>584</v>
      </c>
    </row>
    <row r="391" spans="1:10" x14ac:dyDescent="0.2">
      <c r="A391" s="80" t="s">
        <v>1138</v>
      </c>
      <c r="B391" s="80" t="s">
        <v>1139</v>
      </c>
      <c r="C391" s="80" t="s">
        <v>908</v>
      </c>
      <c r="D391" s="81" t="s">
        <v>582</v>
      </c>
      <c r="E391" s="82" t="s">
        <v>563</v>
      </c>
      <c r="F391" s="82" t="s">
        <v>608</v>
      </c>
      <c r="G391" s="83" t="s">
        <v>432</v>
      </c>
      <c r="H391" s="83" t="s">
        <v>432</v>
      </c>
      <c r="I391" s="80" t="s">
        <v>426</v>
      </c>
      <c r="J391" s="84" t="s">
        <v>584</v>
      </c>
    </row>
    <row r="392" spans="1:10" x14ac:dyDescent="0.2">
      <c r="A392" s="80" t="s">
        <v>1140</v>
      </c>
      <c r="B392" s="80" t="s">
        <v>20</v>
      </c>
      <c r="C392" s="80" t="s">
        <v>581</v>
      </c>
      <c r="D392" s="81" t="s">
        <v>561</v>
      </c>
      <c r="E392" s="82" t="s">
        <v>862</v>
      </c>
      <c r="F392" s="82" t="s">
        <v>431</v>
      </c>
      <c r="G392" s="83" t="s">
        <v>432</v>
      </c>
      <c r="H392" s="83" t="s">
        <v>432</v>
      </c>
      <c r="I392" s="80" t="s">
        <v>426</v>
      </c>
      <c r="J392" s="84" t="s">
        <v>433</v>
      </c>
    </row>
    <row r="393" spans="1:10" x14ac:dyDescent="0.2">
      <c r="A393" s="80" t="s">
        <v>1141</v>
      </c>
      <c r="B393" s="80" t="s">
        <v>21</v>
      </c>
      <c r="C393" s="80" t="s">
        <v>581</v>
      </c>
      <c r="D393" s="81" t="s">
        <v>561</v>
      </c>
      <c r="E393" s="82" t="s">
        <v>741</v>
      </c>
      <c r="F393" s="82" t="s">
        <v>431</v>
      </c>
      <c r="G393" s="83" t="s">
        <v>432</v>
      </c>
      <c r="H393" s="83" t="s">
        <v>432</v>
      </c>
      <c r="I393" s="80" t="s">
        <v>426</v>
      </c>
      <c r="J393" s="84" t="s">
        <v>433</v>
      </c>
    </row>
    <row r="394" spans="1:10" x14ac:dyDescent="0.2">
      <c r="A394" s="80" t="s">
        <v>1142</v>
      </c>
      <c r="B394" s="80" t="s">
        <v>1143</v>
      </c>
      <c r="C394" s="80" t="s">
        <v>556</v>
      </c>
      <c r="D394" s="81" t="s">
        <v>429</v>
      </c>
      <c r="E394" s="82" t="s">
        <v>566</v>
      </c>
      <c r="F394" s="82" t="s">
        <v>573</v>
      </c>
      <c r="G394" s="83" t="s">
        <v>432</v>
      </c>
      <c r="H394" s="83" t="s">
        <v>432</v>
      </c>
      <c r="I394" s="80" t="s">
        <v>426</v>
      </c>
      <c r="J394" s="84" t="s">
        <v>433</v>
      </c>
    </row>
    <row r="395" spans="1:10" x14ac:dyDescent="0.2">
      <c r="A395" s="80" t="s">
        <v>1144</v>
      </c>
      <c r="B395" s="80" t="s">
        <v>1145</v>
      </c>
      <c r="C395" s="80" t="s">
        <v>937</v>
      </c>
      <c r="D395" s="81" t="s">
        <v>429</v>
      </c>
      <c r="E395" s="82" t="s">
        <v>867</v>
      </c>
      <c r="F395" s="82" t="s">
        <v>634</v>
      </c>
      <c r="G395" s="83" t="s">
        <v>432</v>
      </c>
      <c r="H395" s="83" t="s">
        <v>432</v>
      </c>
      <c r="I395" s="80" t="s">
        <v>426</v>
      </c>
      <c r="J395" s="84" t="s">
        <v>433</v>
      </c>
    </row>
    <row r="396" spans="1:10" x14ac:dyDescent="0.2">
      <c r="A396" s="80" t="s">
        <v>1146</v>
      </c>
      <c r="B396" s="80" t="s">
        <v>1147</v>
      </c>
      <c r="C396" s="80" t="s">
        <v>556</v>
      </c>
      <c r="D396" s="81" t="s">
        <v>561</v>
      </c>
      <c r="E396" s="82" t="s">
        <v>603</v>
      </c>
      <c r="F396" s="82" t="s">
        <v>431</v>
      </c>
      <c r="G396" s="83" t="s">
        <v>432</v>
      </c>
      <c r="H396" s="83" t="s">
        <v>432</v>
      </c>
      <c r="I396" s="80" t="s">
        <v>426</v>
      </c>
      <c r="J396" s="84" t="s">
        <v>433</v>
      </c>
    </row>
    <row r="397" spans="1:10" x14ac:dyDescent="0.2">
      <c r="A397" s="80" t="s">
        <v>1148</v>
      </c>
      <c r="B397" s="80" t="s">
        <v>1149</v>
      </c>
      <c r="C397" s="80" t="s">
        <v>556</v>
      </c>
      <c r="D397" s="81" t="s">
        <v>561</v>
      </c>
      <c r="E397" s="82" t="s">
        <v>603</v>
      </c>
      <c r="F397" s="82" t="s">
        <v>431</v>
      </c>
      <c r="G397" s="83" t="s">
        <v>432</v>
      </c>
      <c r="H397" s="83" t="s">
        <v>432</v>
      </c>
      <c r="I397" s="80" t="s">
        <v>426</v>
      </c>
      <c r="J397" s="84" t="s">
        <v>433</v>
      </c>
    </row>
    <row r="398" spans="1:10" x14ac:dyDescent="0.2">
      <c r="A398" s="80" t="s">
        <v>1150</v>
      </c>
      <c r="B398" s="80" t="s">
        <v>359</v>
      </c>
      <c r="C398" s="80" t="s">
        <v>556</v>
      </c>
      <c r="D398" s="81" t="s">
        <v>561</v>
      </c>
      <c r="E398" s="82" t="s">
        <v>603</v>
      </c>
      <c r="F398" s="82" t="s">
        <v>431</v>
      </c>
      <c r="G398" s="83" t="s">
        <v>432</v>
      </c>
      <c r="H398" s="83" t="s">
        <v>432</v>
      </c>
      <c r="I398" s="80" t="s">
        <v>426</v>
      </c>
      <c r="J398" s="84" t="s">
        <v>433</v>
      </c>
    </row>
    <row r="399" spans="1:10" x14ac:dyDescent="0.2">
      <c r="A399" s="80" t="s">
        <v>1151</v>
      </c>
      <c r="B399" s="80" t="s">
        <v>1152</v>
      </c>
      <c r="C399" s="80" t="s">
        <v>556</v>
      </c>
      <c r="D399" s="81" t="s">
        <v>561</v>
      </c>
      <c r="E399" s="82" t="s">
        <v>1153</v>
      </c>
      <c r="F399" s="82" t="s">
        <v>431</v>
      </c>
      <c r="G399" s="83" t="s">
        <v>432</v>
      </c>
      <c r="H399" s="83" t="s">
        <v>432</v>
      </c>
      <c r="I399" s="80" t="s">
        <v>426</v>
      </c>
      <c r="J399" s="84" t="s">
        <v>433</v>
      </c>
    </row>
    <row r="400" spans="1:10" x14ac:dyDescent="0.2">
      <c r="A400" s="80" t="s">
        <v>1154</v>
      </c>
      <c r="B400" s="80" t="s">
        <v>360</v>
      </c>
      <c r="C400" s="80" t="s">
        <v>556</v>
      </c>
      <c r="D400" s="81" t="s">
        <v>561</v>
      </c>
      <c r="E400" s="82" t="s">
        <v>566</v>
      </c>
      <c r="F400" s="82" t="s">
        <v>431</v>
      </c>
      <c r="G400" s="83" t="s">
        <v>432</v>
      </c>
      <c r="H400" s="83" t="s">
        <v>432</v>
      </c>
      <c r="I400" s="80" t="s">
        <v>426</v>
      </c>
      <c r="J400" s="84" t="s">
        <v>433</v>
      </c>
    </row>
    <row r="401" spans="1:10" x14ac:dyDescent="0.2">
      <c r="A401" s="80" t="s">
        <v>1155</v>
      </c>
      <c r="B401" s="80" t="s">
        <v>1156</v>
      </c>
      <c r="C401" s="80" t="s">
        <v>556</v>
      </c>
      <c r="D401" s="81" t="s">
        <v>561</v>
      </c>
      <c r="E401" s="82" t="s">
        <v>566</v>
      </c>
      <c r="F401" s="82" t="s">
        <v>431</v>
      </c>
      <c r="G401" s="83" t="s">
        <v>432</v>
      </c>
      <c r="H401" s="83" t="s">
        <v>432</v>
      </c>
      <c r="I401" s="80" t="s">
        <v>426</v>
      </c>
      <c r="J401" s="84" t="s">
        <v>433</v>
      </c>
    </row>
    <row r="402" spans="1:10" x14ac:dyDescent="0.2">
      <c r="A402" s="80" t="s">
        <v>1157</v>
      </c>
      <c r="B402" s="80" t="s">
        <v>1158</v>
      </c>
      <c r="C402" s="80" t="s">
        <v>556</v>
      </c>
      <c r="D402" s="81" t="s">
        <v>561</v>
      </c>
      <c r="E402" s="82" t="s">
        <v>566</v>
      </c>
      <c r="F402" s="82" t="s">
        <v>431</v>
      </c>
      <c r="G402" s="83" t="s">
        <v>432</v>
      </c>
      <c r="H402" s="83" t="s">
        <v>432</v>
      </c>
      <c r="I402" s="80" t="s">
        <v>426</v>
      </c>
      <c r="J402" s="84" t="s">
        <v>433</v>
      </c>
    </row>
    <row r="403" spans="1:10" x14ac:dyDescent="0.2">
      <c r="A403" s="80" t="s">
        <v>1159</v>
      </c>
      <c r="B403" s="80" t="s">
        <v>1160</v>
      </c>
      <c r="C403" s="80" t="s">
        <v>556</v>
      </c>
      <c r="D403" s="81" t="s">
        <v>561</v>
      </c>
      <c r="E403" s="82" t="s">
        <v>566</v>
      </c>
      <c r="F403" s="82" t="s">
        <v>431</v>
      </c>
      <c r="G403" s="83" t="s">
        <v>432</v>
      </c>
      <c r="H403" s="83" t="s">
        <v>432</v>
      </c>
      <c r="I403" s="80" t="s">
        <v>426</v>
      </c>
      <c r="J403" s="84" t="s">
        <v>433</v>
      </c>
    </row>
    <row r="404" spans="1:10" x14ac:dyDescent="0.2">
      <c r="A404" s="80" t="s">
        <v>1161</v>
      </c>
      <c r="B404" s="80" t="s">
        <v>361</v>
      </c>
      <c r="C404" s="80" t="s">
        <v>556</v>
      </c>
      <c r="D404" s="81" t="s">
        <v>561</v>
      </c>
      <c r="E404" s="82" t="s">
        <v>867</v>
      </c>
      <c r="F404" s="82" t="s">
        <v>568</v>
      </c>
      <c r="G404" s="83" t="s">
        <v>432</v>
      </c>
      <c r="H404" s="83" t="s">
        <v>432</v>
      </c>
      <c r="I404" s="80" t="s">
        <v>426</v>
      </c>
      <c r="J404" s="84" t="s">
        <v>433</v>
      </c>
    </row>
    <row r="405" spans="1:10" x14ac:dyDescent="0.2">
      <c r="A405" s="80" t="s">
        <v>1162</v>
      </c>
      <c r="B405" s="80" t="s">
        <v>105</v>
      </c>
      <c r="C405" s="80" t="s">
        <v>556</v>
      </c>
      <c r="D405" s="81" t="s">
        <v>561</v>
      </c>
      <c r="E405" s="82" t="s">
        <v>867</v>
      </c>
      <c r="F405" s="82" t="s">
        <v>568</v>
      </c>
      <c r="G405" s="83" t="s">
        <v>432</v>
      </c>
      <c r="H405" s="83" t="s">
        <v>432</v>
      </c>
      <c r="I405" s="80" t="s">
        <v>426</v>
      </c>
      <c r="J405" s="84" t="s">
        <v>433</v>
      </c>
    </row>
    <row r="406" spans="1:10" x14ac:dyDescent="0.2">
      <c r="A406" s="80" t="s">
        <v>1163</v>
      </c>
      <c r="B406" s="80" t="s">
        <v>106</v>
      </c>
      <c r="C406" s="80" t="s">
        <v>556</v>
      </c>
      <c r="D406" s="81" t="s">
        <v>561</v>
      </c>
      <c r="E406" s="82" t="s">
        <v>867</v>
      </c>
      <c r="F406" s="82" t="s">
        <v>568</v>
      </c>
      <c r="G406" s="83" t="s">
        <v>432</v>
      </c>
      <c r="H406" s="83" t="s">
        <v>432</v>
      </c>
      <c r="I406" s="80" t="s">
        <v>426</v>
      </c>
      <c r="J406" s="84" t="s">
        <v>433</v>
      </c>
    </row>
    <row r="407" spans="1:10" x14ac:dyDescent="0.2">
      <c r="A407" s="80" t="s">
        <v>1164</v>
      </c>
      <c r="B407" s="80" t="s">
        <v>107</v>
      </c>
      <c r="C407" s="80" t="s">
        <v>556</v>
      </c>
      <c r="D407" s="81" t="s">
        <v>561</v>
      </c>
      <c r="E407" s="82" t="s">
        <v>867</v>
      </c>
      <c r="F407" s="82" t="s">
        <v>568</v>
      </c>
      <c r="G407" s="83" t="s">
        <v>432</v>
      </c>
      <c r="H407" s="83" t="s">
        <v>432</v>
      </c>
      <c r="I407" s="80" t="s">
        <v>426</v>
      </c>
      <c r="J407" s="84" t="s">
        <v>433</v>
      </c>
    </row>
    <row r="408" spans="1:10" x14ac:dyDescent="0.2">
      <c r="A408" s="80" t="s">
        <v>1165</v>
      </c>
      <c r="B408" s="80" t="s">
        <v>1166</v>
      </c>
      <c r="C408" s="80" t="s">
        <v>1167</v>
      </c>
      <c r="D408" s="81" t="s">
        <v>613</v>
      </c>
      <c r="E408" s="82" t="s">
        <v>1103</v>
      </c>
      <c r="F408" s="82" t="s">
        <v>431</v>
      </c>
      <c r="G408" s="83" t="s">
        <v>432</v>
      </c>
      <c r="H408" s="83" t="s">
        <v>432</v>
      </c>
      <c r="I408" s="80" t="s">
        <v>426</v>
      </c>
      <c r="J408" s="84" t="s">
        <v>433</v>
      </c>
    </row>
    <row r="409" spans="1:10" x14ac:dyDescent="0.2">
      <c r="A409" s="80" t="s">
        <v>1168</v>
      </c>
      <c r="B409" s="80" t="s">
        <v>1169</v>
      </c>
      <c r="C409" s="80" t="s">
        <v>1167</v>
      </c>
      <c r="D409" s="81" t="s">
        <v>613</v>
      </c>
      <c r="E409" s="82" t="s">
        <v>1103</v>
      </c>
      <c r="F409" s="82" t="s">
        <v>431</v>
      </c>
      <c r="G409" s="83" t="s">
        <v>432</v>
      </c>
      <c r="H409" s="83" t="s">
        <v>432</v>
      </c>
      <c r="I409" s="80" t="s">
        <v>426</v>
      </c>
      <c r="J409" s="84" t="s">
        <v>433</v>
      </c>
    </row>
    <row r="410" spans="1:10" x14ac:dyDescent="0.2">
      <c r="A410" s="80" t="s">
        <v>1170</v>
      </c>
      <c r="B410" s="80" t="s">
        <v>173</v>
      </c>
      <c r="C410" s="80" t="s">
        <v>1167</v>
      </c>
      <c r="D410" s="81" t="s">
        <v>613</v>
      </c>
      <c r="E410" s="82" t="s">
        <v>1103</v>
      </c>
      <c r="F410" s="82" t="s">
        <v>431</v>
      </c>
      <c r="G410" s="83" t="s">
        <v>432</v>
      </c>
      <c r="H410" s="83" t="s">
        <v>432</v>
      </c>
      <c r="I410" s="80" t="s">
        <v>426</v>
      </c>
      <c r="J410" s="84" t="s">
        <v>433</v>
      </c>
    </row>
    <row r="411" spans="1:10" x14ac:dyDescent="0.2">
      <c r="A411" s="80" t="s">
        <v>1171</v>
      </c>
      <c r="B411" s="80" t="s">
        <v>170</v>
      </c>
      <c r="C411" s="80" t="s">
        <v>1167</v>
      </c>
      <c r="D411" s="81" t="s">
        <v>613</v>
      </c>
      <c r="E411" s="82" t="s">
        <v>1172</v>
      </c>
      <c r="F411" s="82" t="s">
        <v>431</v>
      </c>
      <c r="G411" s="83" t="s">
        <v>432</v>
      </c>
      <c r="H411" s="83" t="s">
        <v>432</v>
      </c>
      <c r="I411" s="80" t="s">
        <v>426</v>
      </c>
      <c r="J411" s="84" t="s">
        <v>433</v>
      </c>
    </row>
    <row r="412" spans="1:10" x14ac:dyDescent="0.2">
      <c r="A412" s="80" t="s">
        <v>1173</v>
      </c>
      <c r="B412" s="80" t="s">
        <v>174</v>
      </c>
      <c r="C412" s="80" t="s">
        <v>1167</v>
      </c>
      <c r="D412" s="81" t="s">
        <v>582</v>
      </c>
      <c r="E412" s="82" t="s">
        <v>1103</v>
      </c>
      <c r="F412" s="82" t="s">
        <v>431</v>
      </c>
      <c r="G412" s="83" t="s">
        <v>432</v>
      </c>
      <c r="H412" s="83" t="s">
        <v>432</v>
      </c>
      <c r="I412" s="80" t="s">
        <v>426</v>
      </c>
      <c r="J412" s="84" t="s">
        <v>433</v>
      </c>
    </row>
    <row r="413" spans="1:10" x14ac:dyDescent="0.2">
      <c r="A413" s="80" t="s">
        <v>1174</v>
      </c>
      <c r="B413" s="80" t="s">
        <v>1175</v>
      </c>
      <c r="C413" s="80" t="s">
        <v>589</v>
      </c>
      <c r="D413" s="81" t="s">
        <v>429</v>
      </c>
      <c r="E413" s="82" t="s">
        <v>603</v>
      </c>
      <c r="F413" s="82" t="s">
        <v>431</v>
      </c>
      <c r="G413" s="83" t="s">
        <v>432</v>
      </c>
      <c r="H413" s="83" t="s">
        <v>432</v>
      </c>
      <c r="I413" s="80" t="s">
        <v>426</v>
      </c>
      <c r="J413" s="84" t="s">
        <v>584</v>
      </c>
    </row>
    <row r="414" spans="1:10" x14ac:dyDescent="0.2">
      <c r="A414" s="80" t="s">
        <v>1176</v>
      </c>
      <c r="B414" s="80" t="s">
        <v>177</v>
      </c>
      <c r="C414" s="80" t="s">
        <v>547</v>
      </c>
      <c r="D414" s="81" t="s">
        <v>601</v>
      </c>
      <c r="E414" s="82" t="s">
        <v>554</v>
      </c>
      <c r="F414" s="82" t="s">
        <v>431</v>
      </c>
      <c r="G414" s="83" t="s">
        <v>432</v>
      </c>
      <c r="H414" s="83" t="s">
        <v>432</v>
      </c>
      <c r="I414" s="80" t="s">
        <v>426</v>
      </c>
      <c r="J414" s="84" t="s">
        <v>433</v>
      </c>
    </row>
    <row r="415" spans="1:10" x14ac:dyDescent="0.2">
      <c r="A415" s="80" t="s">
        <v>1177</v>
      </c>
      <c r="B415" s="80" t="s">
        <v>1178</v>
      </c>
      <c r="C415" s="80" t="s">
        <v>428</v>
      </c>
      <c r="D415" s="81" t="s">
        <v>429</v>
      </c>
      <c r="E415" s="82" t="s">
        <v>885</v>
      </c>
      <c r="F415" s="82" t="s">
        <v>431</v>
      </c>
      <c r="G415" s="83" t="s">
        <v>432</v>
      </c>
      <c r="H415" s="83" t="s">
        <v>432</v>
      </c>
      <c r="I415" s="80" t="s">
        <v>426</v>
      </c>
      <c r="J415" s="84" t="s">
        <v>433</v>
      </c>
    </row>
    <row r="416" spans="1:10" x14ac:dyDescent="0.2">
      <c r="A416" s="80" t="s">
        <v>1179</v>
      </c>
      <c r="B416" s="80" t="s">
        <v>180</v>
      </c>
      <c r="C416" s="80" t="s">
        <v>428</v>
      </c>
      <c r="D416" s="81" t="s">
        <v>436</v>
      </c>
      <c r="E416" s="82" t="s">
        <v>548</v>
      </c>
      <c r="F416" s="82" t="s">
        <v>431</v>
      </c>
      <c r="G416" s="83" t="s">
        <v>432</v>
      </c>
      <c r="H416" s="83" t="s">
        <v>432</v>
      </c>
      <c r="I416" s="80" t="s">
        <v>426</v>
      </c>
      <c r="J416" s="84" t="s">
        <v>433</v>
      </c>
    </row>
    <row r="417" spans="1:10" x14ac:dyDescent="0.2">
      <c r="A417" s="80" t="s">
        <v>1180</v>
      </c>
      <c r="B417" s="80" t="s">
        <v>181</v>
      </c>
      <c r="C417" s="80" t="s">
        <v>428</v>
      </c>
      <c r="D417" s="81" t="s">
        <v>436</v>
      </c>
      <c r="E417" s="82" t="s">
        <v>791</v>
      </c>
      <c r="F417" s="82" t="s">
        <v>431</v>
      </c>
      <c r="G417" s="83" t="s">
        <v>432</v>
      </c>
      <c r="H417" s="83" t="s">
        <v>432</v>
      </c>
      <c r="I417" s="80" t="s">
        <v>426</v>
      </c>
      <c r="J417" s="84" t="s">
        <v>433</v>
      </c>
    </row>
    <row r="418" spans="1:10" x14ac:dyDescent="0.2">
      <c r="A418" s="80" t="s">
        <v>1181</v>
      </c>
      <c r="B418" s="80" t="s">
        <v>401</v>
      </c>
      <c r="C418" s="80" t="s">
        <v>547</v>
      </c>
      <c r="D418" s="81" t="s">
        <v>601</v>
      </c>
      <c r="E418" s="82" t="s">
        <v>634</v>
      </c>
      <c r="F418" s="82" t="s">
        <v>431</v>
      </c>
      <c r="G418" s="83" t="s">
        <v>432</v>
      </c>
      <c r="H418" s="83" t="s">
        <v>432</v>
      </c>
      <c r="I418" s="80" t="s">
        <v>426</v>
      </c>
      <c r="J418" s="84" t="s">
        <v>433</v>
      </c>
    </row>
    <row r="419" spans="1:10" x14ac:dyDescent="0.2">
      <c r="A419" s="80" t="s">
        <v>1182</v>
      </c>
      <c r="B419" s="80" t="s">
        <v>1183</v>
      </c>
      <c r="C419" s="80" t="s">
        <v>589</v>
      </c>
      <c r="D419" s="81" t="s">
        <v>636</v>
      </c>
      <c r="E419" s="82" t="s">
        <v>541</v>
      </c>
      <c r="F419" s="82" t="s">
        <v>431</v>
      </c>
      <c r="G419" s="83" t="s">
        <v>432</v>
      </c>
      <c r="H419" s="83" t="s">
        <v>432</v>
      </c>
      <c r="I419" s="80" t="s">
        <v>426</v>
      </c>
      <c r="J419" s="84" t="s">
        <v>584</v>
      </c>
    </row>
    <row r="420" spans="1:10" x14ac:dyDescent="0.2">
      <c r="A420" s="80" t="s">
        <v>1184</v>
      </c>
      <c r="B420" s="80" t="s">
        <v>383</v>
      </c>
      <c r="C420" s="80" t="s">
        <v>589</v>
      </c>
      <c r="D420" s="81" t="s">
        <v>561</v>
      </c>
      <c r="E420" s="82" t="s">
        <v>541</v>
      </c>
      <c r="F420" s="82" t="s">
        <v>431</v>
      </c>
      <c r="G420" s="83" t="s">
        <v>432</v>
      </c>
      <c r="H420" s="83" t="s">
        <v>432</v>
      </c>
      <c r="I420" s="80" t="s">
        <v>426</v>
      </c>
      <c r="J420" s="84" t="s">
        <v>433</v>
      </c>
    </row>
    <row r="421" spans="1:10" x14ac:dyDescent="0.2">
      <c r="A421" s="80" t="s">
        <v>1185</v>
      </c>
      <c r="B421" s="80" t="s">
        <v>388</v>
      </c>
      <c r="C421" s="80" t="s">
        <v>589</v>
      </c>
      <c r="D421" s="81" t="s">
        <v>561</v>
      </c>
      <c r="E421" s="82" t="s">
        <v>541</v>
      </c>
      <c r="F421" s="82" t="s">
        <v>431</v>
      </c>
      <c r="G421" s="83" t="s">
        <v>432</v>
      </c>
      <c r="H421" s="83" t="s">
        <v>432</v>
      </c>
      <c r="I421" s="80" t="s">
        <v>426</v>
      </c>
      <c r="J421" s="84" t="s">
        <v>433</v>
      </c>
    </row>
    <row r="422" spans="1:10" x14ac:dyDescent="0.2">
      <c r="A422" s="80" t="s">
        <v>1186</v>
      </c>
      <c r="B422" s="80" t="s">
        <v>386</v>
      </c>
      <c r="C422" s="80" t="s">
        <v>589</v>
      </c>
      <c r="D422" s="81" t="s">
        <v>561</v>
      </c>
      <c r="E422" s="82" t="s">
        <v>541</v>
      </c>
      <c r="F422" s="82" t="s">
        <v>431</v>
      </c>
      <c r="G422" s="83" t="s">
        <v>432</v>
      </c>
      <c r="H422" s="83" t="s">
        <v>432</v>
      </c>
      <c r="I422" s="80" t="s">
        <v>426</v>
      </c>
      <c r="J422" s="84" t="s">
        <v>433</v>
      </c>
    </row>
    <row r="423" spans="1:10" x14ac:dyDescent="0.2">
      <c r="A423" s="80" t="s">
        <v>1187</v>
      </c>
      <c r="B423" s="80" t="s">
        <v>382</v>
      </c>
      <c r="C423" s="80" t="s">
        <v>589</v>
      </c>
      <c r="D423" s="81" t="s">
        <v>561</v>
      </c>
      <c r="E423" s="82" t="s">
        <v>541</v>
      </c>
      <c r="F423" s="82" t="s">
        <v>431</v>
      </c>
      <c r="G423" s="83" t="s">
        <v>432</v>
      </c>
      <c r="H423" s="83" t="s">
        <v>432</v>
      </c>
      <c r="I423" s="80" t="s">
        <v>426</v>
      </c>
      <c r="J423" s="84" t="s">
        <v>433</v>
      </c>
    </row>
    <row r="424" spans="1:10" x14ac:dyDescent="0.2">
      <c r="A424" s="80" t="s">
        <v>1188</v>
      </c>
      <c r="B424" s="80" t="s">
        <v>387</v>
      </c>
      <c r="C424" s="80" t="s">
        <v>589</v>
      </c>
      <c r="D424" s="81" t="s">
        <v>561</v>
      </c>
      <c r="E424" s="82" t="s">
        <v>541</v>
      </c>
      <c r="F424" s="82" t="s">
        <v>431</v>
      </c>
      <c r="G424" s="83" t="s">
        <v>432</v>
      </c>
      <c r="H424" s="83" t="s">
        <v>432</v>
      </c>
      <c r="I424" s="80" t="s">
        <v>426</v>
      </c>
      <c r="J424" s="84" t="s">
        <v>433</v>
      </c>
    </row>
    <row r="425" spans="1:10" x14ac:dyDescent="0.2">
      <c r="A425" s="80" t="s">
        <v>1189</v>
      </c>
      <c r="B425" s="80" t="s">
        <v>315</v>
      </c>
      <c r="C425" s="80" t="s">
        <v>428</v>
      </c>
      <c r="D425" s="81" t="s">
        <v>582</v>
      </c>
      <c r="E425" s="82" t="s">
        <v>452</v>
      </c>
      <c r="F425" s="82" t="s">
        <v>431</v>
      </c>
      <c r="G425" s="83" t="s">
        <v>432</v>
      </c>
      <c r="H425" s="83" t="s">
        <v>432</v>
      </c>
      <c r="I425" s="80" t="s">
        <v>426</v>
      </c>
      <c r="J425" s="84" t="s">
        <v>433</v>
      </c>
    </row>
    <row r="426" spans="1:10" x14ac:dyDescent="0.2">
      <c r="A426" s="80" t="s">
        <v>1190</v>
      </c>
      <c r="B426" s="80" t="s">
        <v>1191</v>
      </c>
      <c r="C426" s="80" t="s">
        <v>556</v>
      </c>
      <c r="D426" s="81" t="s">
        <v>561</v>
      </c>
      <c r="E426" s="82" t="s">
        <v>603</v>
      </c>
      <c r="F426" s="82" t="s">
        <v>431</v>
      </c>
      <c r="G426" s="83" t="s">
        <v>432</v>
      </c>
      <c r="H426" s="83" t="s">
        <v>432</v>
      </c>
      <c r="I426" s="80" t="s">
        <v>426</v>
      </c>
      <c r="J426" s="84" t="s">
        <v>433</v>
      </c>
    </row>
    <row r="427" spans="1:10" x14ac:dyDescent="0.2">
      <c r="A427" s="80" t="s">
        <v>1192</v>
      </c>
      <c r="B427" s="80" t="s">
        <v>1193</v>
      </c>
      <c r="C427" s="80" t="s">
        <v>556</v>
      </c>
      <c r="D427" s="81" t="s">
        <v>561</v>
      </c>
      <c r="E427" s="82" t="s">
        <v>603</v>
      </c>
      <c r="F427" s="82" t="s">
        <v>431</v>
      </c>
      <c r="G427" s="83" t="s">
        <v>432</v>
      </c>
      <c r="H427" s="83" t="s">
        <v>432</v>
      </c>
      <c r="I427" s="80" t="s">
        <v>426</v>
      </c>
      <c r="J427" s="84" t="s">
        <v>433</v>
      </c>
    </row>
    <row r="428" spans="1:10" x14ac:dyDescent="0.2">
      <c r="A428" s="80" t="s">
        <v>1194</v>
      </c>
      <c r="B428" s="80" t="s">
        <v>1195</v>
      </c>
      <c r="C428" s="80" t="s">
        <v>556</v>
      </c>
      <c r="D428" s="81" t="s">
        <v>561</v>
      </c>
      <c r="E428" s="82" t="s">
        <v>430</v>
      </c>
      <c r="F428" s="82" t="s">
        <v>431</v>
      </c>
      <c r="G428" s="83" t="s">
        <v>432</v>
      </c>
      <c r="H428" s="83" t="s">
        <v>432</v>
      </c>
      <c r="I428" s="80" t="s">
        <v>426</v>
      </c>
      <c r="J428" s="84" t="s">
        <v>433</v>
      </c>
    </row>
    <row r="429" spans="1:10" x14ac:dyDescent="0.2">
      <c r="A429" s="80" t="s">
        <v>1196</v>
      </c>
      <c r="B429" s="80" t="s">
        <v>1197</v>
      </c>
      <c r="C429" s="80" t="s">
        <v>428</v>
      </c>
      <c r="D429" s="81" t="s">
        <v>561</v>
      </c>
      <c r="E429" s="82" t="s">
        <v>741</v>
      </c>
      <c r="F429" s="82" t="s">
        <v>431</v>
      </c>
      <c r="G429" s="83" t="s">
        <v>432</v>
      </c>
      <c r="H429" s="83" t="s">
        <v>432</v>
      </c>
      <c r="I429" s="80" t="s">
        <v>426</v>
      </c>
      <c r="J429" s="84" t="s">
        <v>584</v>
      </c>
    </row>
    <row r="430" spans="1:10" x14ac:dyDescent="0.2">
      <c r="A430" s="80" t="s">
        <v>1198</v>
      </c>
      <c r="B430" s="80" t="s">
        <v>1199</v>
      </c>
      <c r="C430" s="80" t="s">
        <v>428</v>
      </c>
      <c r="D430" s="81" t="s">
        <v>561</v>
      </c>
      <c r="E430" s="82" t="s">
        <v>452</v>
      </c>
      <c r="F430" s="82" t="s">
        <v>431</v>
      </c>
      <c r="G430" s="83" t="s">
        <v>432</v>
      </c>
      <c r="H430" s="83" t="s">
        <v>432</v>
      </c>
      <c r="I430" s="80" t="s">
        <v>426</v>
      </c>
      <c r="J430" s="84" t="s">
        <v>433</v>
      </c>
    </row>
    <row r="431" spans="1:10" x14ac:dyDescent="0.2">
      <c r="A431" s="80" t="s">
        <v>1200</v>
      </c>
      <c r="B431" s="80" t="s">
        <v>118</v>
      </c>
      <c r="C431" s="80" t="s">
        <v>547</v>
      </c>
      <c r="D431" s="81" t="s">
        <v>613</v>
      </c>
      <c r="E431" s="82" t="s">
        <v>568</v>
      </c>
      <c r="F431" s="82" t="s">
        <v>431</v>
      </c>
      <c r="G431" s="83" t="s">
        <v>432</v>
      </c>
      <c r="H431" s="83" t="s">
        <v>432</v>
      </c>
      <c r="I431" s="80" t="s">
        <v>426</v>
      </c>
      <c r="J431" s="84" t="s">
        <v>433</v>
      </c>
    </row>
    <row r="432" spans="1:10" x14ac:dyDescent="0.2">
      <c r="A432" s="80" t="s">
        <v>1201</v>
      </c>
      <c r="B432" s="80" t="s">
        <v>120</v>
      </c>
      <c r="C432" s="80" t="s">
        <v>547</v>
      </c>
      <c r="D432" s="81" t="s">
        <v>601</v>
      </c>
      <c r="E432" s="82" t="s">
        <v>634</v>
      </c>
      <c r="F432" s="82" t="s">
        <v>431</v>
      </c>
      <c r="G432" s="83" t="s">
        <v>432</v>
      </c>
      <c r="H432" s="83" t="s">
        <v>432</v>
      </c>
      <c r="I432" s="80" t="s">
        <v>426</v>
      </c>
      <c r="J432" s="84" t="s">
        <v>433</v>
      </c>
    </row>
    <row r="433" spans="1:10" x14ac:dyDescent="0.2">
      <c r="A433" s="80" t="s">
        <v>1202</v>
      </c>
      <c r="B433" s="80" t="s">
        <v>370</v>
      </c>
      <c r="C433" s="80" t="s">
        <v>881</v>
      </c>
      <c r="D433" s="81" t="s">
        <v>429</v>
      </c>
      <c r="E433" s="82" t="s">
        <v>608</v>
      </c>
      <c r="F433" s="82" t="s">
        <v>431</v>
      </c>
      <c r="G433" s="83" t="s">
        <v>432</v>
      </c>
      <c r="H433" s="83" t="s">
        <v>432</v>
      </c>
      <c r="I433" s="80" t="s">
        <v>882</v>
      </c>
      <c r="J433" s="84" t="s">
        <v>433</v>
      </c>
    </row>
    <row r="434" spans="1:10" x14ac:dyDescent="0.2">
      <c r="A434" s="80" t="s">
        <v>1203</v>
      </c>
      <c r="B434" s="80" t="s">
        <v>257</v>
      </c>
      <c r="C434" s="80" t="s">
        <v>443</v>
      </c>
      <c r="D434" s="81" t="s">
        <v>444</v>
      </c>
      <c r="E434" s="82" t="s">
        <v>541</v>
      </c>
      <c r="F434" s="82" t="s">
        <v>431</v>
      </c>
      <c r="G434" s="83" t="s">
        <v>432</v>
      </c>
      <c r="H434" s="83" t="s">
        <v>432</v>
      </c>
      <c r="I434" s="80" t="s">
        <v>426</v>
      </c>
      <c r="J434" s="84" t="s">
        <v>433</v>
      </c>
    </row>
    <row r="435" spans="1:10" x14ac:dyDescent="0.2">
      <c r="A435" s="80" t="s">
        <v>1204</v>
      </c>
      <c r="B435" s="80" t="s">
        <v>192</v>
      </c>
      <c r="C435" s="80" t="s">
        <v>443</v>
      </c>
      <c r="D435" s="81" t="s">
        <v>444</v>
      </c>
      <c r="E435" s="82" t="s">
        <v>603</v>
      </c>
      <c r="F435" s="82" t="s">
        <v>431</v>
      </c>
      <c r="G435" s="83" t="s">
        <v>432</v>
      </c>
      <c r="H435" s="83" t="s">
        <v>432</v>
      </c>
      <c r="I435" s="80" t="s">
        <v>426</v>
      </c>
      <c r="J435" s="84" t="s">
        <v>433</v>
      </c>
    </row>
    <row r="436" spans="1:10" x14ac:dyDescent="0.2">
      <c r="A436" s="80" t="s">
        <v>1205</v>
      </c>
      <c r="B436" s="80" t="s">
        <v>1206</v>
      </c>
      <c r="C436" s="80" t="s">
        <v>443</v>
      </c>
      <c r="D436" s="81" t="s">
        <v>800</v>
      </c>
      <c r="E436" s="82" t="s">
        <v>608</v>
      </c>
      <c r="F436" s="82" t="s">
        <v>431</v>
      </c>
      <c r="G436" s="83" t="s">
        <v>432</v>
      </c>
      <c r="H436" s="83" t="s">
        <v>432</v>
      </c>
      <c r="I436" s="80" t="s">
        <v>426</v>
      </c>
      <c r="J436" s="84" t="s">
        <v>433</v>
      </c>
    </row>
    <row r="437" spans="1:10" x14ac:dyDescent="0.2">
      <c r="A437" s="80" t="s">
        <v>1207</v>
      </c>
      <c r="B437" s="80" t="s">
        <v>1208</v>
      </c>
      <c r="C437" s="80" t="s">
        <v>443</v>
      </c>
      <c r="D437" s="81" t="s">
        <v>800</v>
      </c>
      <c r="E437" s="82" t="s">
        <v>608</v>
      </c>
      <c r="F437" s="82" t="s">
        <v>431</v>
      </c>
      <c r="G437" s="83" t="s">
        <v>432</v>
      </c>
      <c r="H437" s="83" t="s">
        <v>432</v>
      </c>
      <c r="I437" s="80" t="s">
        <v>426</v>
      </c>
      <c r="J437" s="84" t="s">
        <v>433</v>
      </c>
    </row>
    <row r="438" spans="1:10" x14ac:dyDescent="0.2">
      <c r="A438" s="80" t="s">
        <v>1209</v>
      </c>
      <c r="B438" s="80" t="s">
        <v>314</v>
      </c>
      <c r="C438" s="80" t="s">
        <v>443</v>
      </c>
      <c r="D438" s="81" t="s">
        <v>800</v>
      </c>
      <c r="E438" s="82" t="s">
        <v>448</v>
      </c>
      <c r="F438" s="82" t="s">
        <v>431</v>
      </c>
      <c r="G438" s="83" t="s">
        <v>432</v>
      </c>
      <c r="H438" s="83" t="s">
        <v>432</v>
      </c>
      <c r="I438" s="80" t="s">
        <v>426</v>
      </c>
      <c r="J438" s="84" t="s">
        <v>433</v>
      </c>
    </row>
    <row r="439" spans="1:10" x14ac:dyDescent="0.2">
      <c r="A439" s="80" t="s">
        <v>1210</v>
      </c>
      <c r="B439" s="80" t="s">
        <v>1211</v>
      </c>
      <c r="C439" s="80" t="s">
        <v>443</v>
      </c>
      <c r="D439" s="81" t="s">
        <v>800</v>
      </c>
      <c r="E439" s="82" t="s">
        <v>608</v>
      </c>
      <c r="F439" s="82" t="s">
        <v>431</v>
      </c>
      <c r="G439" s="83" t="s">
        <v>432</v>
      </c>
      <c r="H439" s="83" t="s">
        <v>432</v>
      </c>
      <c r="I439" s="80" t="s">
        <v>426</v>
      </c>
      <c r="J439" s="84" t="s">
        <v>433</v>
      </c>
    </row>
    <row r="440" spans="1:10" x14ac:dyDescent="0.2">
      <c r="A440" s="80" t="s">
        <v>1212</v>
      </c>
      <c r="B440" s="80" t="s">
        <v>253</v>
      </c>
      <c r="C440" s="80" t="s">
        <v>443</v>
      </c>
      <c r="D440" s="81" t="s">
        <v>800</v>
      </c>
      <c r="E440" s="82" t="s">
        <v>448</v>
      </c>
      <c r="F440" s="82" t="s">
        <v>431</v>
      </c>
      <c r="G440" s="83" t="s">
        <v>432</v>
      </c>
      <c r="H440" s="83" t="s">
        <v>432</v>
      </c>
      <c r="I440" s="80" t="s">
        <v>426</v>
      </c>
      <c r="J440" s="84" t="s">
        <v>433</v>
      </c>
    </row>
    <row r="441" spans="1:10" x14ac:dyDescent="0.2">
      <c r="A441" s="80" t="s">
        <v>1213</v>
      </c>
      <c r="B441" s="80" t="s">
        <v>1214</v>
      </c>
      <c r="C441" s="80" t="s">
        <v>443</v>
      </c>
      <c r="D441" s="81" t="s">
        <v>800</v>
      </c>
      <c r="E441" s="82" t="s">
        <v>608</v>
      </c>
      <c r="F441" s="82" t="s">
        <v>431</v>
      </c>
      <c r="G441" s="83" t="s">
        <v>432</v>
      </c>
      <c r="H441" s="83" t="s">
        <v>432</v>
      </c>
      <c r="I441" s="80" t="s">
        <v>426</v>
      </c>
      <c r="J441" s="84" t="s">
        <v>433</v>
      </c>
    </row>
    <row r="442" spans="1:10" x14ac:dyDescent="0.2">
      <c r="A442" s="80" t="s">
        <v>1215</v>
      </c>
      <c r="B442" s="80" t="s">
        <v>1216</v>
      </c>
      <c r="C442" s="80" t="s">
        <v>443</v>
      </c>
      <c r="D442" s="81" t="s">
        <v>800</v>
      </c>
      <c r="E442" s="82" t="s">
        <v>622</v>
      </c>
      <c r="F442" s="82" t="s">
        <v>431</v>
      </c>
      <c r="G442" s="83" t="s">
        <v>432</v>
      </c>
      <c r="H442" s="83" t="s">
        <v>432</v>
      </c>
      <c r="I442" s="80" t="s">
        <v>426</v>
      </c>
      <c r="J442" s="84" t="s">
        <v>433</v>
      </c>
    </row>
    <row r="443" spans="1:10" x14ac:dyDescent="0.2">
      <c r="A443" s="80" t="s">
        <v>1217</v>
      </c>
      <c r="B443" s="80" t="s">
        <v>256</v>
      </c>
      <c r="C443" s="80" t="s">
        <v>443</v>
      </c>
      <c r="D443" s="81" t="s">
        <v>800</v>
      </c>
      <c r="E443" s="82" t="s">
        <v>448</v>
      </c>
      <c r="F443" s="82" t="s">
        <v>431</v>
      </c>
      <c r="G443" s="83" t="s">
        <v>432</v>
      </c>
      <c r="H443" s="83" t="s">
        <v>432</v>
      </c>
      <c r="I443" s="80" t="s">
        <v>426</v>
      </c>
      <c r="J443" s="84" t="s">
        <v>433</v>
      </c>
    </row>
    <row r="444" spans="1:10" x14ac:dyDescent="0.2">
      <c r="A444" s="80" t="s">
        <v>1218</v>
      </c>
      <c r="B444" s="80" t="s">
        <v>1219</v>
      </c>
      <c r="C444" s="80" t="s">
        <v>443</v>
      </c>
      <c r="D444" s="81" t="s">
        <v>800</v>
      </c>
      <c r="E444" s="82" t="s">
        <v>608</v>
      </c>
      <c r="F444" s="82" t="s">
        <v>431</v>
      </c>
      <c r="G444" s="83" t="s">
        <v>432</v>
      </c>
      <c r="H444" s="83" t="s">
        <v>432</v>
      </c>
      <c r="I444" s="80" t="s">
        <v>426</v>
      </c>
      <c r="J444" s="84" t="s">
        <v>433</v>
      </c>
    </row>
    <row r="445" spans="1:10" x14ac:dyDescent="0.2">
      <c r="A445" s="80" t="s">
        <v>1220</v>
      </c>
      <c r="B445" s="80" t="s">
        <v>1221</v>
      </c>
      <c r="C445" s="80" t="s">
        <v>443</v>
      </c>
      <c r="D445" s="81" t="s">
        <v>800</v>
      </c>
      <c r="E445" s="82" t="s">
        <v>608</v>
      </c>
      <c r="F445" s="82" t="s">
        <v>431</v>
      </c>
      <c r="G445" s="83" t="s">
        <v>432</v>
      </c>
      <c r="H445" s="83" t="s">
        <v>432</v>
      </c>
      <c r="I445" s="80" t="s">
        <v>426</v>
      </c>
      <c r="J445" s="84" t="s">
        <v>433</v>
      </c>
    </row>
    <row r="446" spans="1:10" x14ac:dyDescent="0.2">
      <c r="A446" s="80" t="s">
        <v>1222</v>
      </c>
      <c r="B446" s="80" t="s">
        <v>255</v>
      </c>
      <c r="C446" s="80" t="s">
        <v>443</v>
      </c>
      <c r="D446" s="81" t="s">
        <v>800</v>
      </c>
      <c r="E446" s="82" t="s">
        <v>448</v>
      </c>
      <c r="F446" s="82" t="s">
        <v>431</v>
      </c>
      <c r="G446" s="83" t="s">
        <v>432</v>
      </c>
      <c r="H446" s="83" t="s">
        <v>432</v>
      </c>
      <c r="I446" s="80" t="s">
        <v>426</v>
      </c>
      <c r="J446" s="84" t="s">
        <v>433</v>
      </c>
    </row>
    <row r="447" spans="1:10" x14ac:dyDescent="0.2">
      <c r="A447" s="80" t="s">
        <v>1223</v>
      </c>
      <c r="B447" s="80" t="s">
        <v>1224</v>
      </c>
      <c r="C447" s="80" t="s">
        <v>443</v>
      </c>
      <c r="D447" s="81" t="s">
        <v>800</v>
      </c>
      <c r="E447" s="82" t="s">
        <v>608</v>
      </c>
      <c r="F447" s="82" t="s">
        <v>431</v>
      </c>
      <c r="G447" s="83" t="s">
        <v>432</v>
      </c>
      <c r="H447" s="83" t="s">
        <v>432</v>
      </c>
      <c r="I447" s="80" t="s">
        <v>426</v>
      </c>
      <c r="J447" s="84" t="s">
        <v>433</v>
      </c>
    </row>
    <row r="448" spans="1:10" x14ac:dyDescent="0.2">
      <c r="A448" s="80" t="s">
        <v>1225</v>
      </c>
      <c r="B448" s="80" t="s">
        <v>1226</v>
      </c>
      <c r="C448" s="80" t="s">
        <v>443</v>
      </c>
      <c r="D448" s="81" t="s">
        <v>800</v>
      </c>
      <c r="E448" s="82" t="s">
        <v>430</v>
      </c>
      <c r="F448" s="82" t="s">
        <v>431</v>
      </c>
      <c r="G448" s="83" t="s">
        <v>432</v>
      </c>
      <c r="H448" s="83" t="s">
        <v>432</v>
      </c>
      <c r="I448" s="80" t="s">
        <v>426</v>
      </c>
      <c r="J448" s="84" t="s">
        <v>433</v>
      </c>
    </row>
    <row r="449" spans="1:10" x14ac:dyDescent="0.2">
      <c r="A449" s="80" t="s">
        <v>1227</v>
      </c>
      <c r="B449" s="80" t="s">
        <v>1228</v>
      </c>
      <c r="C449" s="80" t="s">
        <v>443</v>
      </c>
      <c r="D449" s="81" t="s">
        <v>800</v>
      </c>
      <c r="E449" s="82" t="s">
        <v>608</v>
      </c>
      <c r="F449" s="82" t="s">
        <v>431</v>
      </c>
      <c r="G449" s="83" t="s">
        <v>432</v>
      </c>
      <c r="H449" s="83" t="s">
        <v>432</v>
      </c>
      <c r="I449" s="80" t="s">
        <v>426</v>
      </c>
      <c r="J449" s="84" t="s">
        <v>433</v>
      </c>
    </row>
    <row r="450" spans="1:10" x14ac:dyDescent="0.2">
      <c r="A450" s="80" t="s">
        <v>1229</v>
      </c>
      <c r="B450" s="80" t="s">
        <v>254</v>
      </c>
      <c r="C450" s="80" t="s">
        <v>443</v>
      </c>
      <c r="D450" s="81" t="s">
        <v>800</v>
      </c>
      <c r="E450" s="82" t="s">
        <v>448</v>
      </c>
      <c r="F450" s="82" t="s">
        <v>431</v>
      </c>
      <c r="G450" s="83" t="s">
        <v>432</v>
      </c>
      <c r="H450" s="83" t="s">
        <v>432</v>
      </c>
      <c r="I450" s="80" t="s">
        <v>426</v>
      </c>
      <c r="J450" s="84" t="s">
        <v>433</v>
      </c>
    </row>
    <row r="451" spans="1:10" x14ac:dyDescent="0.2">
      <c r="A451" s="80" t="s">
        <v>1230</v>
      </c>
      <c r="B451" s="80" t="s">
        <v>1231</v>
      </c>
      <c r="C451" s="80" t="s">
        <v>443</v>
      </c>
      <c r="D451" s="81" t="s">
        <v>800</v>
      </c>
      <c r="E451" s="82" t="s">
        <v>554</v>
      </c>
      <c r="F451" s="82" t="s">
        <v>431</v>
      </c>
      <c r="G451" s="83" t="s">
        <v>432</v>
      </c>
      <c r="H451" s="83" t="s">
        <v>432</v>
      </c>
      <c r="I451" s="80" t="s">
        <v>426</v>
      </c>
      <c r="J451" s="84" t="s">
        <v>433</v>
      </c>
    </row>
    <row r="452" spans="1:10" x14ac:dyDescent="0.2">
      <c r="A452" s="80" t="s">
        <v>1232</v>
      </c>
      <c r="B452" s="80" t="s">
        <v>1233</v>
      </c>
      <c r="C452" s="80" t="s">
        <v>443</v>
      </c>
      <c r="D452" s="81" t="s">
        <v>800</v>
      </c>
      <c r="E452" s="82" t="s">
        <v>548</v>
      </c>
      <c r="F452" s="82" t="s">
        <v>431</v>
      </c>
      <c r="G452" s="83" t="s">
        <v>432</v>
      </c>
      <c r="H452" s="83" t="s">
        <v>432</v>
      </c>
      <c r="I452" s="80" t="s">
        <v>426</v>
      </c>
      <c r="J452" s="84" t="s">
        <v>433</v>
      </c>
    </row>
    <row r="453" spans="1:10" x14ac:dyDescent="0.2">
      <c r="A453" s="80" t="s">
        <v>1234</v>
      </c>
      <c r="B453" s="80" t="s">
        <v>1235</v>
      </c>
      <c r="C453" s="80" t="s">
        <v>443</v>
      </c>
      <c r="D453" s="81" t="s">
        <v>800</v>
      </c>
      <c r="E453" s="82" t="s">
        <v>586</v>
      </c>
      <c r="F453" s="82" t="s">
        <v>431</v>
      </c>
      <c r="G453" s="83" t="s">
        <v>432</v>
      </c>
      <c r="H453" s="83" t="s">
        <v>432</v>
      </c>
      <c r="I453" s="80" t="s">
        <v>426</v>
      </c>
      <c r="J453" s="84" t="s">
        <v>433</v>
      </c>
    </row>
    <row r="454" spans="1:10" x14ac:dyDescent="0.2">
      <c r="A454" s="80" t="s">
        <v>1236</v>
      </c>
      <c r="B454" s="80" t="s">
        <v>1237</v>
      </c>
      <c r="C454" s="80" t="s">
        <v>443</v>
      </c>
      <c r="D454" s="81" t="s">
        <v>800</v>
      </c>
      <c r="E454" s="82" t="s">
        <v>708</v>
      </c>
      <c r="F454" s="82" t="s">
        <v>431</v>
      </c>
      <c r="G454" s="83" t="s">
        <v>432</v>
      </c>
      <c r="H454" s="83" t="s">
        <v>432</v>
      </c>
      <c r="I454" s="80" t="s">
        <v>426</v>
      </c>
      <c r="J454" s="84" t="s">
        <v>433</v>
      </c>
    </row>
    <row r="455" spans="1:10" x14ac:dyDescent="0.2">
      <c r="A455" s="80" t="s">
        <v>1238</v>
      </c>
      <c r="B455" s="80" t="s">
        <v>1239</v>
      </c>
      <c r="C455" s="80" t="s">
        <v>443</v>
      </c>
      <c r="D455" s="81" t="s">
        <v>800</v>
      </c>
      <c r="E455" s="82" t="s">
        <v>548</v>
      </c>
      <c r="F455" s="82" t="s">
        <v>431</v>
      </c>
      <c r="G455" s="83" t="s">
        <v>432</v>
      </c>
      <c r="H455" s="83" t="s">
        <v>432</v>
      </c>
      <c r="I455" s="80" t="s">
        <v>426</v>
      </c>
      <c r="J455" s="84" t="s">
        <v>433</v>
      </c>
    </row>
    <row r="456" spans="1:10" x14ac:dyDescent="0.2">
      <c r="A456" s="80" t="s">
        <v>1240</v>
      </c>
      <c r="B456" s="80" t="s">
        <v>1241</v>
      </c>
      <c r="C456" s="80" t="s">
        <v>443</v>
      </c>
      <c r="D456" s="81" t="s">
        <v>800</v>
      </c>
      <c r="E456" s="82" t="s">
        <v>554</v>
      </c>
      <c r="F456" s="82" t="s">
        <v>431</v>
      </c>
      <c r="G456" s="83" t="s">
        <v>432</v>
      </c>
      <c r="H456" s="83" t="s">
        <v>432</v>
      </c>
      <c r="I456" s="80" t="s">
        <v>426</v>
      </c>
      <c r="J456" s="84" t="s">
        <v>433</v>
      </c>
    </row>
    <row r="457" spans="1:10" x14ac:dyDescent="0.2">
      <c r="A457" s="80" t="s">
        <v>1242</v>
      </c>
      <c r="B457" s="80" t="s">
        <v>1243</v>
      </c>
      <c r="C457" s="80" t="s">
        <v>443</v>
      </c>
      <c r="D457" s="81" t="s">
        <v>800</v>
      </c>
      <c r="E457" s="82" t="s">
        <v>548</v>
      </c>
      <c r="F457" s="82" t="s">
        <v>431</v>
      </c>
      <c r="G457" s="83" t="s">
        <v>432</v>
      </c>
      <c r="H457" s="83" t="s">
        <v>432</v>
      </c>
      <c r="I457" s="80" t="s">
        <v>426</v>
      </c>
      <c r="J457" s="84" t="s">
        <v>433</v>
      </c>
    </row>
    <row r="458" spans="1:10" x14ac:dyDescent="0.2">
      <c r="A458" s="80" t="s">
        <v>1244</v>
      </c>
      <c r="B458" s="80" t="s">
        <v>1245</v>
      </c>
      <c r="C458" s="80" t="s">
        <v>443</v>
      </c>
      <c r="D458" s="81" t="s">
        <v>800</v>
      </c>
      <c r="E458" s="82" t="s">
        <v>708</v>
      </c>
      <c r="F458" s="82" t="s">
        <v>431</v>
      </c>
      <c r="G458" s="83" t="s">
        <v>432</v>
      </c>
      <c r="H458" s="83" t="s">
        <v>432</v>
      </c>
      <c r="I458" s="80" t="s">
        <v>426</v>
      </c>
      <c r="J458" s="84" t="s">
        <v>433</v>
      </c>
    </row>
    <row r="459" spans="1:10" x14ac:dyDescent="0.2">
      <c r="A459" s="80" t="s">
        <v>1246</v>
      </c>
      <c r="B459" s="80" t="s">
        <v>1216</v>
      </c>
      <c r="C459" s="80" t="s">
        <v>443</v>
      </c>
      <c r="D459" s="81" t="s">
        <v>800</v>
      </c>
      <c r="E459" s="82" t="s">
        <v>622</v>
      </c>
      <c r="F459" s="82" t="s">
        <v>431</v>
      </c>
      <c r="G459" s="83" t="s">
        <v>432</v>
      </c>
      <c r="H459" s="83" t="s">
        <v>432</v>
      </c>
      <c r="I459" s="80" t="s">
        <v>426</v>
      </c>
      <c r="J459" s="84" t="s">
        <v>433</v>
      </c>
    </row>
    <row r="460" spans="1:10" x14ac:dyDescent="0.2">
      <c r="A460" s="80" t="s">
        <v>1247</v>
      </c>
      <c r="B460" s="80" t="s">
        <v>1248</v>
      </c>
      <c r="C460" s="80" t="s">
        <v>443</v>
      </c>
      <c r="D460" s="81" t="s">
        <v>800</v>
      </c>
      <c r="E460" s="82" t="s">
        <v>708</v>
      </c>
      <c r="F460" s="82" t="s">
        <v>431</v>
      </c>
      <c r="G460" s="83" t="s">
        <v>432</v>
      </c>
      <c r="H460" s="83" t="s">
        <v>432</v>
      </c>
      <c r="I460" s="80" t="s">
        <v>426</v>
      </c>
      <c r="J460" s="84" t="s">
        <v>433</v>
      </c>
    </row>
    <row r="461" spans="1:10" x14ac:dyDescent="0.2">
      <c r="A461" s="80" t="s">
        <v>1249</v>
      </c>
      <c r="B461" s="80" t="s">
        <v>1250</v>
      </c>
      <c r="C461" s="80" t="s">
        <v>443</v>
      </c>
      <c r="D461" s="81" t="s">
        <v>800</v>
      </c>
      <c r="E461" s="82" t="s">
        <v>791</v>
      </c>
      <c r="F461" s="82" t="s">
        <v>431</v>
      </c>
      <c r="G461" s="83" t="s">
        <v>432</v>
      </c>
      <c r="H461" s="83" t="s">
        <v>432</v>
      </c>
      <c r="I461" s="80" t="s">
        <v>426</v>
      </c>
      <c r="J461" s="84" t="s">
        <v>433</v>
      </c>
    </row>
    <row r="462" spans="1:10" x14ac:dyDescent="0.2">
      <c r="A462" s="80" t="s">
        <v>1251</v>
      </c>
      <c r="B462" s="80" t="s">
        <v>1252</v>
      </c>
      <c r="C462" s="80" t="s">
        <v>443</v>
      </c>
      <c r="D462" s="81" t="s">
        <v>800</v>
      </c>
      <c r="E462" s="82" t="s">
        <v>708</v>
      </c>
      <c r="F462" s="82" t="s">
        <v>431</v>
      </c>
      <c r="G462" s="83" t="s">
        <v>432</v>
      </c>
      <c r="H462" s="83" t="s">
        <v>432</v>
      </c>
      <c r="I462" s="80" t="s">
        <v>426</v>
      </c>
      <c r="J462" s="84" t="s">
        <v>433</v>
      </c>
    </row>
    <row r="463" spans="1:10" x14ac:dyDescent="0.2">
      <c r="A463" s="80" t="s">
        <v>1253</v>
      </c>
      <c r="B463" s="80" t="s">
        <v>1254</v>
      </c>
      <c r="C463" s="80" t="s">
        <v>443</v>
      </c>
      <c r="D463" s="81" t="s">
        <v>800</v>
      </c>
      <c r="E463" s="82" t="s">
        <v>634</v>
      </c>
      <c r="F463" s="82" t="s">
        <v>431</v>
      </c>
      <c r="G463" s="83" t="s">
        <v>432</v>
      </c>
      <c r="H463" s="83" t="s">
        <v>432</v>
      </c>
      <c r="I463" s="80" t="s">
        <v>426</v>
      </c>
      <c r="J463" s="84" t="s">
        <v>433</v>
      </c>
    </row>
    <row r="464" spans="1:10" x14ac:dyDescent="0.2">
      <c r="A464" s="80" t="s">
        <v>1255</v>
      </c>
      <c r="B464" s="80" t="s">
        <v>1256</v>
      </c>
      <c r="C464" s="80" t="s">
        <v>443</v>
      </c>
      <c r="D464" s="81" t="s">
        <v>800</v>
      </c>
      <c r="E464" s="82" t="s">
        <v>708</v>
      </c>
      <c r="F464" s="82" t="s">
        <v>431</v>
      </c>
      <c r="G464" s="83" t="s">
        <v>432</v>
      </c>
      <c r="H464" s="83" t="s">
        <v>432</v>
      </c>
      <c r="I464" s="80" t="s">
        <v>426</v>
      </c>
      <c r="J464" s="84" t="s">
        <v>433</v>
      </c>
    </row>
    <row r="465" spans="1:10" x14ac:dyDescent="0.2">
      <c r="A465" s="80" t="s">
        <v>1257</v>
      </c>
      <c r="B465" s="80" t="s">
        <v>1258</v>
      </c>
      <c r="C465" s="80" t="s">
        <v>443</v>
      </c>
      <c r="D465" s="81" t="s">
        <v>800</v>
      </c>
      <c r="E465" s="82" t="s">
        <v>548</v>
      </c>
      <c r="F465" s="82" t="s">
        <v>431</v>
      </c>
      <c r="G465" s="83" t="s">
        <v>432</v>
      </c>
      <c r="H465" s="83" t="s">
        <v>432</v>
      </c>
      <c r="I465" s="80" t="s">
        <v>426</v>
      </c>
      <c r="J465" s="84" t="s">
        <v>433</v>
      </c>
    </row>
    <row r="466" spans="1:10" x14ac:dyDescent="0.2">
      <c r="A466" s="80" t="s">
        <v>1259</v>
      </c>
      <c r="B466" s="80" t="s">
        <v>1260</v>
      </c>
      <c r="C466" s="80" t="s">
        <v>556</v>
      </c>
      <c r="D466" s="81" t="s">
        <v>561</v>
      </c>
      <c r="E466" s="82" t="s">
        <v>647</v>
      </c>
      <c r="F466" s="82" t="s">
        <v>431</v>
      </c>
      <c r="G466" s="83" t="s">
        <v>432</v>
      </c>
      <c r="H466" s="83" t="s">
        <v>432</v>
      </c>
      <c r="I466" s="80" t="s">
        <v>1261</v>
      </c>
      <c r="J466" s="84" t="s">
        <v>433</v>
      </c>
    </row>
    <row r="467" spans="1:10" x14ac:dyDescent="0.2">
      <c r="A467" s="80" t="s">
        <v>1262</v>
      </c>
      <c r="B467" s="80" t="s">
        <v>362</v>
      </c>
      <c r="C467" s="80" t="s">
        <v>556</v>
      </c>
      <c r="D467" s="81" t="s">
        <v>561</v>
      </c>
      <c r="E467" s="82" t="s">
        <v>867</v>
      </c>
      <c r="F467" s="82" t="s">
        <v>431</v>
      </c>
      <c r="G467" s="83" t="s">
        <v>432</v>
      </c>
      <c r="H467" s="83" t="s">
        <v>432</v>
      </c>
      <c r="I467" s="80" t="s">
        <v>1263</v>
      </c>
      <c r="J467" s="84" t="s">
        <v>433</v>
      </c>
    </row>
    <row r="468" spans="1:10" x14ac:dyDescent="0.2">
      <c r="A468" s="80" t="s">
        <v>1264</v>
      </c>
      <c r="B468" s="80" t="s">
        <v>1265</v>
      </c>
      <c r="C468" s="80" t="s">
        <v>556</v>
      </c>
      <c r="D468" s="81" t="s">
        <v>561</v>
      </c>
      <c r="E468" s="82" t="s">
        <v>647</v>
      </c>
      <c r="F468" s="82" t="s">
        <v>431</v>
      </c>
      <c r="G468" s="83" t="s">
        <v>432</v>
      </c>
      <c r="H468" s="83" t="s">
        <v>432</v>
      </c>
      <c r="I468" s="80" t="s">
        <v>426</v>
      </c>
      <c r="J468" s="84" t="s">
        <v>433</v>
      </c>
    </row>
    <row r="469" spans="1:10" x14ac:dyDescent="0.2">
      <c r="A469" s="80" t="s">
        <v>1266</v>
      </c>
      <c r="B469" s="80" t="s">
        <v>183</v>
      </c>
      <c r="C469" s="80" t="s">
        <v>633</v>
      </c>
      <c r="D469" s="81" t="s">
        <v>444</v>
      </c>
      <c r="E469" s="82" t="s">
        <v>430</v>
      </c>
      <c r="F469" s="82" t="s">
        <v>431</v>
      </c>
      <c r="G469" s="83" t="s">
        <v>432</v>
      </c>
      <c r="H469" s="83" t="s">
        <v>432</v>
      </c>
      <c r="I469" s="80" t="s">
        <v>426</v>
      </c>
      <c r="J469" s="84" t="s">
        <v>433</v>
      </c>
    </row>
    <row r="470" spans="1:10" x14ac:dyDescent="0.2">
      <c r="A470" s="80" t="s">
        <v>1267</v>
      </c>
      <c r="B470" s="80" t="s">
        <v>187</v>
      </c>
      <c r="C470" s="80" t="s">
        <v>633</v>
      </c>
      <c r="D470" s="81" t="s">
        <v>429</v>
      </c>
      <c r="E470" s="82" t="s">
        <v>554</v>
      </c>
      <c r="F470" s="82" t="s">
        <v>431</v>
      </c>
      <c r="G470" s="83" t="s">
        <v>432</v>
      </c>
      <c r="H470" s="83" t="s">
        <v>432</v>
      </c>
      <c r="I470" s="80" t="s">
        <v>426</v>
      </c>
      <c r="J470" s="84" t="s">
        <v>433</v>
      </c>
    </row>
    <row r="471" spans="1:10" x14ac:dyDescent="0.2">
      <c r="A471" s="80" t="s">
        <v>1268</v>
      </c>
      <c r="B471" s="80" t="s">
        <v>1269</v>
      </c>
      <c r="C471" s="80" t="s">
        <v>556</v>
      </c>
      <c r="D471" s="81" t="s">
        <v>429</v>
      </c>
      <c r="E471" s="82" t="s">
        <v>448</v>
      </c>
      <c r="F471" s="82" t="s">
        <v>431</v>
      </c>
      <c r="G471" s="83" t="s">
        <v>432</v>
      </c>
      <c r="H471" s="83" t="s">
        <v>432</v>
      </c>
      <c r="I471" s="80" t="s">
        <v>426</v>
      </c>
      <c r="J471" s="84" t="s">
        <v>433</v>
      </c>
    </row>
    <row r="472" spans="1:10" x14ac:dyDescent="0.2">
      <c r="A472" s="80" t="s">
        <v>1270</v>
      </c>
      <c r="B472" s="80" t="s">
        <v>405</v>
      </c>
      <c r="C472" s="80" t="s">
        <v>908</v>
      </c>
      <c r="D472" s="81" t="s">
        <v>582</v>
      </c>
      <c r="E472" s="82" t="s">
        <v>563</v>
      </c>
      <c r="F472" s="82" t="s">
        <v>431</v>
      </c>
      <c r="G472" s="83" t="s">
        <v>432</v>
      </c>
      <c r="H472" s="83" t="s">
        <v>432</v>
      </c>
      <c r="I472" s="80" t="s">
        <v>426</v>
      </c>
      <c r="J472" s="84" t="s">
        <v>433</v>
      </c>
    </row>
    <row r="473" spans="1:10" x14ac:dyDescent="0.2">
      <c r="A473" s="80" t="s">
        <v>1271</v>
      </c>
      <c r="B473" s="80" t="s">
        <v>406</v>
      </c>
      <c r="C473" s="80" t="s">
        <v>908</v>
      </c>
      <c r="D473" s="81" t="s">
        <v>429</v>
      </c>
      <c r="E473" s="82" t="s">
        <v>867</v>
      </c>
      <c r="F473" s="82" t="s">
        <v>568</v>
      </c>
      <c r="G473" s="83" t="s">
        <v>432</v>
      </c>
      <c r="H473" s="83" t="s">
        <v>432</v>
      </c>
      <c r="I473" s="80" t="s">
        <v>426</v>
      </c>
      <c r="J473" s="84" t="s">
        <v>433</v>
      </c>
    </row>
    <row r="474" spans="1:10" x14ac:dyDescent="0.2">
      <c r="A474" s="80" t="s">
        <v>1272</v>
      </c>
      <c r="B474" s="80" t="s">
        <v>258</v>
      </c>
      <c r="C474" s="80" t="s">
        <v>428</v>
      </c>
      <c r="D474" s="81" t="s">
        <v>436</v>
      </c>
      <c r="E474" s="82" t="s">
        <v>573</v>
      </c>
      <c r="F474" s="82" t="s">
        <v>431</v>
      </c>
      <c r="G474" s="83" t="s">
        <v>432</v>
      </c>
      <c r="H474" s="83" t="s">
        <v>432</v>
      </c>
      <c r="I474" s="80" t="s">
        <v>426</v>
      </c>
      <c r="J474" s="84" t="s">
        <v>433</v>
      </c>
    </row>
    <row r="475" spans="1:10" x14ac:dyDescent="0.2">
      <c r="A475" s="80" t="s">
        <v>1273</v>
      </c>
      <c r="B475" s="80" t="s">
        <v>1274</v>
      </c>
      <c r="C475" s="80" t="s">
        <v>428</v>
      </c>
      <c r="D475" s="81" t="s">
        <v>436</v>
      </c>
      <c r="E475" s="82" t="s">
        <v>566</v>
      </c>
      <c r="F475" s="82" t="s">
        <v>431</v>
      </c>
      <c r="G475" s="83" t="s">
        <v>432</v>
      </c>
      <c r="H475" s="83" t="s">
        <v>432</v>
      </c>
      <c r="I475" s="80" t="s">
        <v>426</v>
      </c>
      <c r="J475" s="84" t="s">
        <v>433</v>
      </c>
    </row>
    <row r="476" spans="1:10" x14ac:dyDescent="0.2">
      <c r="A476" s="80" t="s">
        <v>1275</v>
      </c>
      <c r="B476" s="80" t="s">
        <v>259</v>
      </c>
      <c r="C476" s="80" t="s">
        <v>428</v>
      </c>
      <c r="D476" s="81" t="s">
        <v>561</v>
      </c>
      <c r="E476" s="82" t="s">
        <v>554</v>
      </c>
      <c r="F476" s="82" t="s">
        <v>431</v>
      </c>
      <c r="G476" s="83" t="s">
        <v>432</v>
      </c>
      <c r="H476" s="83" t="s">
        <v>432</v>
      </c>
      <c r="I476" s="80" t="s">
        <v>426</v>
      </c>
      <c r="J476" s="84" t="s">
        <v>433</v>
      </c>
    </row>
    <row r="477" spans="1:10" x14ac:dyDescent="0.2">
      <c r="A477" s="80" t="s">
        <v>1276</v>
      </c>
      <c r="B477" s="80" t="s">
        <v>1277</v>
      </c>
      <c r="C477" s="80" t="s">
        <v>428</v>
      </c>
      <c r="D477" s="81" t="s">
        <v>613</v>
      </c>
      <c r="E477" s="82" t="s">
        <v>563</v>
      </c>
      <c r="F477" s="82" t="s">
        <v>431</v>
      </c>
      <c r="G477" s="83" t="s">
        <v>432</v>
      </c>
      <c r="H477" s="83" t="s">
        <v>432</v>
      </c>
      <c r="I477" s="80" t="s">
        <v>426</v>
      </c>
      <c r="J477" s="84" t="s">
        <v>433</v>
      </c>
    </row>
    <row r="478" spans="1:10" x14ac:dyDescent="0.2">
      <c r="A478" s="80" t="s">
        <v>1278</v>
      </c>
      <c r="B478" s="80" t="s">
        <v>274</v>
      </c>
      <c r="C478" s="80" t="s">
        <v>428</v>
      </c>
      <c r="D478" s="81" t="s">
        <v>429</v>
      </c>
      <c r="E478" s="82" t="s">
        <v>608</v>
      </c>
      <c r="F478" s="82" t="s">
        <v>431</v>
      </c>
      <c r="G478" s="83" t="s">
        <v>432</v>
      </c>
      <c r="H478" s="83" t="s">
        <v>432</v>
      </c>
      <c r="I478" s="80" t="s">
        <v>426</v>
      </c>
      <c r="J478" s="84" t="s">
        <v>433</v>
      </c>
    </row>
    <row r="479" spans="1:10" x14ac:dyDescent="0.2">
      <c r="A479" s="80" t="s">
        <v>1279</v>
      </c>
      <c r="B479" s="80" t="s">
        <v>275</v>
      </c>
      <c r="C479" s="80" t="s">
        <v>428</v>
      </c>
      <c r="D479" s="81" t="s">
        <v>429</v>
      </c>
      <c r="E479" s="82" t="s">
        <v>603</v>
      </c>
      <c r="F479" s="82" t="s">
        <v>431</v>
      </c>
      <c r="G479" s="83" t="s">
        <v>432</v>
      </c>
      <c r="H479" s="83" t="s">
        <v>432</v>
      </c>
      <c r="I479" s="80" t="s">
        <v>426</v>
      </c>
      <c r="J479" s="84" t="s">
        <v>433</v>
      </c>
    </row>
    <row r="480" spans="1:10" x14ac:dyDescent="0.2">
      <c r="A480" s="80" t="s">
        <v>1280</v>
      </c>
      <c r="B480" s="80" t="s">
        <v>276</v>
      </c>
      <c r="C480" s="80" t="s">
        <v>428</v>
      </c>
      <c r="D480" s="81" t="s">
        <v>429</v>
      </c>
      <c r="E480" s="82" t="s">
        <v>448</v>
      </c>
      <c r="F480" s="82" t="s">
        <v>431</v>
      </c>
      <c r="G480" s="83" t="s">
        <v>432</v>
      </c>
      <c r="H480" s="83" t="s">
        <v>432</v>
      </c>
      <c r="I480" s="80" t="s">
        <v>426</v>
      </c>
      <c r="J480" s="84" t="s">
        <v>433</v>
      </c>
    </row>
    <row r="481" spans="1:10" x14ac:dyDescent="0.2">
      <c r="A481" s="80" t="s">
        <v>1281</v>
      </c>
      <c r="B481" s="80" t="s">
        <v>1282</v>
      </c>
      <c r="C481" s="80" t="s">
        <v>428</v>
      </c>
      <c r="D481" s="81" t="s">
        <v>429</v>
      </c>
      <c r="E481" s="82" t="s">
        <v>608</v>
      </c>
      <c r="F481" s="82" t="s">
        <v>431</v>
      </c>
      <c r="G481" s="83" t="s">
        <v>432</v>
      </c>
      <c r="H481" s="83" t="s">
        <v>432</v>
      </c>
      <c r="I481" s="80" t="s">
        <v>426</v>
      </c>
      <c r="J481" s="84" t="s">
        <v>433</v>
      </c>
    </row>
    <row r="482" spans="1:10" x14ac:dyDescent="0.2">
      <c r="A482" s="80" t="s">
        <v>1283</v>
      </c>
      <c r="B482" s="80" t="s">
        <v>1284</v>
      </c>
      <c r="C482" s="80" t="s">
        <v>428</v>
      </c>
      <c r="D482" s="81" t="s">
        <v>429</v>
      </c>
      <c r="E482" s="82" t="s">
        <v>603</v>
      </c>
      <c r="F482" s="82" t="s">
        <v>431</v>
      </c>
      <c r="G482" s="83" t="s">
        <v>432</v>
      </c>
      <c r="H482" s="83" t="s">
        <v>432</v>
      </c>
      <c r="I482" s="80" t="s">
        <v>426</v>
      </c>
      <c r="J482" s="84" t="s">
        <v>433</v>
      </c>
    </row>
    <row r="483" spans="1:10" x14ac:dyDescent="0.2">
      <c r="A483" s="80" t="s">
        <v>1285</v>
      </c>
      <c r="B483" s="80" t="s">
        <v>1286</v>
      </c>
      <c r="C483" s="80" t="s">
        <v>589</v>
      </c>
      <c r="D483" s="81" t="s">
        <v>561</v>
      </c>
      <c r="E483" s="82" t="s">
        <v>622</v>
      </c>
      <c r="F483" s="82" t="s">
        <v>431</v>
      </c>
      <c r="G483" s="83" t="s">
        <v>432</v>
      </c>
      <c r="H483" s="83" t="s">
        <v>432</v>
      </c>
      <c r="I483" s="80" t="s">
        <v>426</v>
      </c>
      <c r="J483" s="84" t="s">
        <v>584</v>
      </c>
    </row>
    <row r="484" spans="1:10" x14ac:dyDescent="0.2">
      <c r="A484" s="80" t="s">
        <v>1287</v>
      </c>
      <c r="B484" s="80" t="s">
        <v>1288</v>
      </c>
      <c r="C484" s="80" t="s">
        <v>589</v>
      </c>
      <c r="D484" s="81" t="s">
        <v>561</v>
      </c>
      <c r="E484" s="82" t="s">
        <v>448</v>
      </c>
      <c r="F484" s="82" t="s">
        <v>431</v>
      </c>
      <c r="G484" s="83" t="s">
        <v>432</v>
      </c>
      <c r="H484" s="83" t="s">
        <v>432</v>
      </c>
      <c r="I484" s="80" t="s">
        <v>426</v>
      </c>
      <c r="J484" s="84" t="s">
        <v>433</v>
      </c>
    </row>
    <row r="485" spans="1:10" x14ac:dyDescent="0.2">
      <c r="A485" s="80" t="s">
        <v>1289</v>
      </c>
      <c r="B485" s="80" t="s">
        <v>1290</v>
      </c>
      <c r="C485" s="80" t="s">
        <v>589</v>
      </c>
      <c r="D485" s="81" t="s">
        <v>429</v>
      </c>
      <c r="E485" s="82" t="s">
        <v>452</v>
      </c>
      <c r="F485" s="82" t="s">
        <v>431</v>
      </c>
      <c r="G485" s="83" t="s">
        <v>432</v>
      </c>
      <c r="H485" s="83" t="s">
        <v>432</v>
      </c>
      <c r="I485" s="80" t="s">
        <v>426</v>
      </c>
      <c r="J485" s="84" t="s">
        <v>433</v>
      </c>
    </row>
    <row r="486" spans="1:10" x14ac:dyDescent="0.2">
      <c r="A486" s="80" t="s">
        <v>1291</v>
      </c>
      <c r="B486" s="80" t="s">
        <v>1292</v>
      </c>
      <c r="C486" s="80" t="s">
        <v>589</v>
      </c>
      <c r="D486" s="81" t="s">
        <v>429</v>
      </c>
      <c r="E486" s="82" t="s">
        <v>448</v>
      </c>
      <c r="F486" s="82" t="s">
        <v>431</v>
      </c>
      <c r="G486" s="83" t="s">
        <v>432</v>
      </c>
      <c r="H486" s="83" t="s">
        <v>432</v>
      </c>
      <c r="I486" s="80" t="s">
        <v>426</v>
      </c>
      <c r="J486" s="84" t="s">
        <v>433</v>
      </c>
    </row>
    <row r="487" spans="1:10" x14ac:dyDescent="0.2">
      <c r="A487" s="80" t="s">
        <v>1293</v>
      </c>
      <c r="B487" s="80" t="s">
        <v>1294</v>
      </c>
      <c r="C487" s="80" t="s">
        <v>589</v>
      </c>
      <c r="D487" s="81" t="s">
        <v>561</v>
      </c>
      <c r="E487" s="82" t="s">
        <v>622</v>
      </c>
      <c r="F487" s="82" t="s">
        <v>431</v>
      </c>
      <c r="G487" s="83" t="s">
        <v>432</v>
      </c>
      <c r="H487" s="83" t="s">
        <v>432</v>
      </c>
      <c r="I487" s="80" t="s">
        <v>426</v>
      </c>
      <c r="J487" s="84" t="s">
        <v>584</v>
      </c>
    </row>
    <row r="488" spans="1:10" x14ac:dyDescent="0.2">
      <c r="A488" s="80" t="s">
        <v>1295</v>
      </c>
      <c r="B488" s="80" t="s">
        <v>1296</v>
      </c>
      <c r="C488" s="80" t="s">
        <v>589</v>
      </c>
      <c r="D488" s="81" t="s">
        <v>561</v>
      </c>
      <c r="E488" s="82" t="s">
        <v>452</v>
      </c>
      <c r="F488" s="82" t="s">
        <v>431</v>
      </c>
      <c r="G488" s="83" t="s">
        <v>432</v>
      </c>
      <c r="H488" s="83" t="s">
        <v>432</v>
      </c>
      <c r="I488" s="80" t="s">
        <v>426</v>
      </c>
      <c r="J488" s="84" t="s">
        <v>433</v>
      </c>
    </row>
    <row r="489" spans="1:10" x14ac:dyDescent="0.2">
      <c r="A489" s="80" t="s">
        <v>1297</v>
      </c>
      <c r="B489" s="80" t="s">
        <v>399</v>
      </c>
      <c r="C489" s="80" t="s">
        <v>547</v>
      </c>
      <c r="D489" s="81" t="s">
        <v>582</v>
      </c>
      <c r="E489" s="82" t="s">
        <v>548</v>
      </c>
      <c r="F489" s="82" t="s">
        <v>431</v>
      </c>
      <c r="G489" s="83" t="s">
        <v>432</v>
      </c>
      <c r="H489" s="83" t="s">
        <v>432</v>
      </c>
      <c r="I489" s="80" t="s">
        <v>426</v>
      </c>
      <c r="J489" s="84" t="s">
        <v>433</v>
      </c>
    </row>
    <row r="490" spans="1:10" x14ac:dyDescent="0.2">
      <c r="A490" s="80" t="s">
        <v>1298</v>
      </c>
      <c r="B490" s="80" t="s">
        <v>336</v>
      </c>
      <c r="C490" s="80" t="s">
        <v>556</v>
      </c>
      <c r="D490" s="81" t="s">
        <v>429</v>
      </c>
      <c r="E490" s="82" t="s">
        <v>554</v>
      </c>
      <c r="F490" s="82" t="s">
        <v>431</v>
      </c>
      <c r="G490" s="83" t="s">
        <v>432</v>
      </c>
      <c r="H490" s="83" t="s">
        <v>432</v>
      </c>
      <c r="I490" s="80" t="s">
        <v>426</v>
      </c>
      <c r="J490" s="84" t="s">
        <v>433</v>
      </c>
    </row>
    <row r="491" spans="1:10" x14ac:dyDescent="0.2">
      <c r="A491" s="80" t="s">
        <v>1299</v>
      </c>
      <c r="B491" s="80" t="s">
        <v>338</v>
      </c>
      <c r="C491" s="80" t="s">
        <v>556</v>
      </c>
      <c r="D491" s="81" t="s">
        <v>429</v>
      </c>
      <c r="E491" s="82" t="s">
        <v>554</v>
      </c>
      <c r="F491" s="82" t="s">
        <v>431</v>
      </c>
      <c r="G491" s="83" t="s">
        <v>432</v>
      </c>
      <c r="H491" s="83" t="s">
        <v>432</v>
      </c>
      <c r="I491" s="80" t="s">
        <v>426</v>
      </c>
      <c r="J491" s="84" t="s">
        <v>433</v>
      </c>
    </row>
    <row r="492" spans="1:10" x14ac:dyDescent="0.2">
      <c r="A492" s="80" t="s">
        <v>1300</v>
      </c>
      <c r="B492" s="80" t="s">
        <v>347</v>
      </c>
      <c r="C492" s="80" t="s">
        <v>556</v>
      </c>
      <c r="D492" s="81" t="s">
        <v>429</v>
      </c>
      <c r="E492" s="82" t="s">
        <v>554</v>
      </c>
      <c r="F492" s="82" t="s">
        <v>431</v>
      </c>
      <c r="G492" s="83" t="s">
        <v>432</v>
      </c>
      <c r="H492" s="83" t="s">
        <v>432</v>
      </c>
      <c r="I492" s="80" t="s">
        <v>426</v>
      </c>
      <c r="J492" s="84" t="s">
        <v>433</v>
      </c>
    </row>
    <row r="493" spans="1:10" x14ac:dyDescent="0.2">
      <c r="A493" s="80" t="s">
        <v>1301</v>
      </c>
      <c r="B493" s="80" t="s">
        <v>348</v>
      </c>
      <c r="C493" s="80" t="s">
        <v>556</v>
      </c>
      <c r="D493" s="81" t="s">
        <v>561</v>
      </c>
      <c r="E493" s="82" t="s">
        <v>867</v>
      </c>
      <c r="F493" s="82" t="s">
        <v>431</v>
      </c>
      <c r="G493" s="83" t="s">
        <v>432</v>
      </c>
      <c r="H493" s="83" t="s">
        <v>432</v>
      </c>
      <c r="I493" s="80" t="s">
        <v>426</v>
      </c>
      <c r="J493" s="84" t="s">
        <v>433</v>
      </c>
    </row>
    <row r="494" spans="1:10" x14ac:dyDescent="0.2">
      <c r="A494" s="80" t="s">
        <v>1302</v>
      </c>
      <c r="B494" s="80" t="s">
        <v>346</v>
      </c>
      <c r="C494" s="80" t="s">
        <v>556</v>
      </c>
      <c r="D494" s="81" t="s">
        <v>561</v>
      </c>
      <c r="E494" s="82" t="s">
        <v>867</v>
      </c>
      <c r="F494" s="82" t="s">
        <v>431</v>
      </c>
      <c r="G494" s="83" t="s">
        <v>432</v>
      </c>
      <c r="H494" s="83" t="s">
        <v>432</v>
      </c>
      <c r="I494" s="80" t="s">
        <v>426</v>
      </c>
      <c r="J494" s="84" t="s">
        <v>433</v>
      </c>
    </row>
    <row r="495" spans="1:10" x14ac:dyDescent="0.2">
      <c r="A495" s="80" t="s">
        <v>1303</v>
      </c>
      <c r="B495" s="80" t="s">
        <v>1304</v>
      </c>
      <c r="C495" s="80" t="s">
        <v>581</v>
      </c>
      <c r="D495" s="81" t="s">
        <v>429</v>
      </c>
      <c r="E495" s="82" t="s">
        <v>885</v>
      </c>
      <c r="F495" s="82" t="s">
        <v>568</v>
      </c>
      <c r="G495" s="83" t="s">
        <v>432</v>
      </c>
      <c r="H495" s="83" t="s">
        <v>432</v>
      </c>
      <c r="I495" s="80" t="s">
        <v>426</v>
      </c>
      <c r="J495" s="84" t="s">
        <v>584</v>
      </c>
    </row>
    <row r="496" spans="1:10" x14ac:dyDescent="0.2">
      <c r="A496" s="80" t="s">
        <v>1305</v>
      </c>
      <c r="B496" s="80" t="s">
        <v>302</v>
      </c>
      <c r="C496" s="80" t="s">
        <v>581</v>
      </c>
      <c r="D496" s="81" t="s">
        <v>429</v>
      </c>
      <c r="E496" s="82" t="s">
        <v>885</v>
      </c>
      <c r="F496" s="82" t="s">
        <v>568</v>
      </c>
      <c r="G496" s="83" t="s">
        <v>432</v>
      </c>
      <c r="H496" s="83" t="s">
        <v>432</v>
      </c>
      <c r="I496" s="80" t="s">
        <v>426</v>
      </c>
      <c r="J496" s="84" t="s">
        <v>433</v>
      </c>
    </row>
    <row r="497" spans="1:10" x14ac:dyDescent="0.2">
      <c r="A497" s="80" t="s">
        <v>1306</v>
      </c>
      <c r="B497" s="80" t="s">
        <v>1307</v>
      </c>
      <c r="C497" s="80" t="s">
        <v>581</v>
      </c>
      <c r="D497" s="81" t="s">
        <v>561</v>
      </c>
      <c r="E497" s="82" t="s">
        <v>568</v>
      </c>
      <c r="F497" s="82" t="s">
        <v>634</v>
      </c>
      <c r="G497" s="83" t="s">
        <v>432</v>
      </c>
      <c r="H497" s="83" t="s">
        <v>432</v>
      </c>
      <c r="I497" s="80" t="s">
        <v>426</v>
      </c>
      <c r="J497" s="84" t="s">
        <v>433</v>
      </c>
    </row>
    <row r="498" spans="1:10" x14ac:dyDescent="0.2">
      <c r="A498" s="80" t="s">
        <v>1308</v>
      </c>
      <c r="B498" s="80" t="s">
        <v>1309</v>
      </c>
      <c r="C498" s="80" t="s">
        <v>556</v>
      </c>
      <c r="D498" s="81" t="s">
        <v>561</v>
      </c>
      <c r="E498" s="82" t="s">
        <v>554</v>
      </c>
      <c r="F498" s="82" t="s">
        <v>431</v>
      </c>
      <c r="G498" s="83" t="s">
        <v>432</v>
      </c>
      <c r="H498" s="83" t="s">
        <v>432</v>
      </c>
      <c r="I498" s="80" t="s">
        <v>426</v>
      </c>
      <c r="J498" s="84" t="s">
        <v>433</v>
      </c>
    </row>
    <row r="499" spans="1:10" x14ac:dyDescent="0.2">
      <c r="A499" s="80" t="s">
        <v>1310</v>
      </c>
      <c r="B499" s="80" t="s">
        <v>358</v>
      </c>
      <c r="C499" s="80" t="s">
        <v>556</v>
      </c>
      <c r="D499" s="81" t="s">
        <v>561</v>
      </c>
      <c r="E499" s="82" t="s">
        <v>603</v>
      </c>
      <c r="F499" s="82" t="s">
        <v>431</v>
      </c>
      <c r="G499" s="83" t="s">
        <v>432</v>
      </c>
      <c r="H499" s="83" t="s">
        <v>432</v>
      </c>
      <c r="I499" s="80" t="s">
        <v>426</v>
      </c>
      <c r="J499" s="84" t="s">
        <v>433</v>
      </c>
    </row>
    <row r="500" spans="1:10" x14ac:dyDescent="0.2">
      <c r="A500" s="80" t="s">
        <v>1311</v>
      </c>
      <c r="B500" s="80" t="s">
        <v>1312</v>
      </c>
      <c r="C500" s="80" t="s">
        <v>581</v>
      </c>
      <c r="D500" s="81" t="s">
        <v>429</v>
      </c>
      <c r="E500" s="82" t="s">
        <v>568</v>
      </c>
      <c r="F500" s="82" t="s">
        <v>634</v>
      </c>
      <c r="G500" s="83" t="s">
        <v>432</v>
      </c>
      <c r="H500" s="83" t="s">
        <v>432</v>
      </c>
      <c r="I500" s="80" t="s">
        <v>426</v>
      </c>
      <c r="J500" s="84" t="s">
        <v>433</v>
      </c>
    </row>
    <row r="501" spans="1:10" x14ac:dyDescent="0.2">
      <c r="A501" s="80" t="s">
        <v>1313</v>
      </c>
      <c r="B501" s="80" t="s">
        <v>296</v>
      </c>
      <c r="C501" s="80" t="s">
        <v>581</v>
      </c>
      <c r="D501" s="81" t="s">
        <v>429</v>
      </c>
      <c r="E501" s="82" t="s">
        <v>568</v>
      </c>
      <c r="F501" s="82" t="s">
        <v>634</v>
      </c>
      <c r="G501" s="83" t="s">
        <v>432</v>
      </c>
      <c r="H501" s="83" t="s">
        <v>432</v>
      </c>
      <c r="I501" s="80" t="s">
        <v>426</v>
      </c>
      <c r="J501" s="84" t="s">
        <v>433</v>
      </c>
    </row>
    <row r="502" spans="1:10" x14ac:dyDescent="0.2">
      <c r="A502" s="80" t="s">
        <v>1314</v>
      </c>
      <c r="B502" s="80" t="s">
        <v>1315</v>
      </c>
      <c r="C502" s="80" t="s">
        <v>581</v>
      </c>
      <c r="D502" s="81" t="s">
        <v>561</v>
      </c>
      <c r="E502" s="82" t="s">
        <v>568</v>
      </c>
      <c r="F502" s="82" t="s">
        <v>634</v>
      </c>
      <c r="G502" s="83" t="s">
        <v>432</v>
      </c>
      <c r="H502" s="83" t="s">
        <v>432</v>
      </c>
      <c r="I502" s="80" t="s">
        <v>426</v>
      </c>
      <c r="J502" s="84" t="s">
        <v>433</v>
      </c>
    </row>
    <row r="503" spans="1:10" x14ac:dyDescent="0.2">
      <c r="A503" s="80" t="s">
        <v>1316</v>
      </c>
      <c r="B503" s="80" t="s">
        <v>297</v>
      </c>
      <c r="C503" s="80" t="s">
        <v>581</v>
      </c>
      <c r="D503" s="81" t="s">
        <v>561</v>
      </c>
      <c r="E503" s="82" t="s">
        <v>554</v>
      </c>
      <c r="F503" s="82" t="s">
        <v>430</v>
      </c>
      <c r="G503" s="83" t="s">
        <v>432</v>
      </c>
      <c r="H503" s="83" t="s">
        <v>432</v>
      </c>
      <c r="I503" s="80" t="s">
        <v>426</v>
      </c>
      <c r="J503" s="84" t="s">
        <v>433</v>
      </c>
    </row>
    <row r="504" spans="1:10" x14ac:dyDescent="0.2">
      <c r="A504" s="80" t="s">
        <v>1317</v>
      </c>
      <c r="B504" s="80" t="s">
        <v>1318</v>
      </c>
      <c r="C504" s="80" t="s">
        <v>581</v>
      </c>
      <c r="D504" s="81" t="s">
        <v>561</v>
      </c>
      <c r="E504" s="82" t="s">
        <v>554</v>
      </c>
      <c r="F504" s="82" t="s">
        <v>430</v>
      </c>
      <c r="G504" s="83" t="s">
        <v>432</v>
      </c>
      <c r="H504" s="83" t="s">
        <v>432</v>
      </c>
      <c r="I504" s="80" t="s">
        <v>426</v>
      </c>
      <c r="J504" s="84" t="s">
        <v>584</v>
      </c>
    </row>
    <row r="505" spans="1:10" x14ac:dyDescent="0.2">
      <c r="A505" s="80" t="s">
        <v>1319</v>
      </c>
      <c r="B505" s="80" t="s">
        <v>1320</v>
      </c>
      <c r="C505" s="80" t="s">
        <v>856</v>
      </c>
      <c r="D505" s="81" t="s">
        <v>561</v>
      </c>
      <c r="E505" s="82" t="s">
        <v>603</v>
      </c>
      <c r="F505" s="82" t="s">
        <v>431</v>
      </c>
      <c r="G505" s="83" t="s">
        <v>432</v>
      </c>
      <c r="H505" s="83" t="s">
        <v>432</v>
      </c>
      <c r="I505" s="80" t="s">
        <v>426</v>
      </c>
      <c r="J505" s="84" t="s">
        <v>433</v>
      </c>
    </row>
    <row r="506" spans="1:10" x14ac:dyDescent="0.2">
      <c r="A506" s="80" t="s">
        <v>1321</v>
      </c>
      <c r="B506" s="80" t="s">
        <v>303</v>
      </c>
      <c r="C506" s="80" t="s">
        <v>856</v>
      </c>
      <c r="D506" s="81" t="s">
        <v>561</v>
      </c>
      <c r="E506" s="82" t="s">
        <v>603</v>
      </c>
      <c r="F506" s="82" t="s">
        <v>431</v>
      </c>
      <c r="G506" s="83" t="s">
        <v>432</v>
      </c>
      <c r="H506" s="83" t="s">
        <v>432</v>
      </c>
      <c r="I506" s="80" t="s">
        <v>426</v>
      </c>
      <c r="J506" s="84" t="s">
        <v>433</v>
      </c>
    </row>
    <row r="507" spans="1:10" x14ac:dyDescent="0.2">
      <c r="A507" s="80" t="s">
        <v>1322</v>
      </c>
      <c r="B507" s="80" t="s">
        <v>304</v>
      </c>
      <c r="C507" s="80" t="s">
        <v>856</v>
      </c>
      <c r="D507" s="81" t="s">
        <v>561</v>
      </c>
      <c r="E507" s="82" t="s">
        <v>448</v>
      </c>
      <c r="F507" s="82" t="s">
        <v>431</v>
      </c>
      <c r="G507" s="83" t="s">
        <v>432</v>
      </c>
      <c r="H507" s="83" t="s">
        <v>432</v>
      </c>
      <c r="I507" s="80" t="s">
        <v>426</v>
      </c>
      <c r="J507" s="84" t="s">
        <v>433</v>
      </c>
    </row>
    <row r="508" spans="1:10" x14ac:dyDescent="0.2">
      <c r="A508" s="80" t="s">
        <v>1323</v>
      </c>
      <c r="B508" s="80" t="s">
        <v>1324</v>
      </c>
      <c r="C508" s="80" t="s">
        <v>856</v>
      </c>
      <c r="D508" s="81" t="s">
        <v>561</v>
      </c>
      <c r="E508" s="82" t="s">
        <v>603</v>
      </c>
      <c r="F508" s="82" t="s">
        <v>431</v>
      </c>
      <c r="G508" s="83" t="s">
        <v>432</v>
      </c>
      <c r="H508" s="83" t="s">
        <v>432</v>
      </c>
      <c r="I508" s="80" t="s">
        <v>426</v>
      </c>
      <c r="J508" s="84" t="s">
        <v>433</v>
      </c>
    </row>
    <row r="509" spans="1:10" x14ac:dyDescent="0.2">
      <c r="A509" s="80" t="s">
        <v>1325</v>
      </c>
      <c r="B509" s="80" t="s">
        <v>1326</v>
      </c>
      <c r="C509" s="80" t="s">
        <v>856</v>
      </c>
      <c r="D509" s="81" t="s">
        <v>561</v>
      </c>
      <c r="E509" s="82" t="s">
        <v>603</v>
      </c>
      <c r="F509" s="82" t="s">
        <v>431</v>
      </c>
      <c r="G509" s="83" t="s">
        <v>432</v>
      </c>
      <c r="H509" s="83" t="s">
        <v>432</v>
      </c>
      <c r="I509" s="80" t="s">
        <v>426</v>
      </c>
      <c r="J509" s="84" t="s">
        <v>433</v>
      </c>
    </row>
    <row r="510" spans="1:10" x14ac:dyDescent="0.2">
      <c r="A510" s="80" t="s">
        <v>1327</v>
      </c>
      <c r="B510" s="80" t="s">
        <v>1328</v>
      </c>
      <c r="C510" s="80" t="s">
        <v>556</v>
      </c>
      <c r="D510" s="81" t="s">
        <v>429</v>
      </c>
      <c r="E510" s="82" t="s">
        <v>548</v>
      </c>
      <c r="F510" s="82" t="s">
        <v>431</v>
      </c>
      <c r="G510" s="83" t="s">
        <v>432</v>
      </c>
      <c r="H510" s="83" t="s">
        <v>432</v>
      </c>
      <c r="I510" s="80" t="s">
        <v>426</v>
      </c>
      <c r="J510" s="84" t="s">
        <v>433</v>
      </c>
    </row>
    <row r="511" spans="1:10" x14ac:dyDescent="0.2">
      <c r="A511" s="80" t="s">
        <v>1329</v>
      </c>
      <c r="B511" s="80" t="s">
        <v>352</v>
      </c>
      <c r="C511" s="80" t="s">
        <v>556</v>
      </c>
      <c r="D511" s="81" t="s">
        <v>429</v>
      </c>
      <c r="E511" s="82" t="s">
        <v>603</v>
      </c>
      <c r="F511" s="82" t="s">
        <v>431</v>
      </c>
      <c r="G511" s="83" t="s">
        <v>432</v>
      </c>
      <c r="H511" s="83" t="s">
        <v>432</v>
      </c>
      <c r="I511" s="80" t="s">
        <v>426</v>
      </c>
      <c r="J511" s="84" t="s">
        <v>433</v>
      </c>
    </row>
    <row r="512" spans="1:10" x14ac:dyDescent="0.2">
      <c r="A512" s="80" t="s">
        <v>1330</v>
      </c>
      <c r="B512" s="80" t="s">
        <v>349</v>
      </c>
      <c r="C512" s="80" t="s">
        <v>589</v>
      </c>
      <c r="D512" s="81" t="s">
        <v>429</v>
      </c>
      <c r="E512" s="82" t="s">
        <v>608</v>
      </c>
      <c r="F512" s="82" t="s">
        <v>431</v>
      </c>
      <c r="G512" s="83" t="s">
        <v>432</v>
      </c>
      <c r="H512" s="83" t="s">
        <v>432</v>
      </c>
      <c r="I512" s="80" t="s">
        <v>426</v>
      </c>
      <c r="J512" s="84" t="s">
        <v>433</v>
      </c>
    </row>
    <row r="513" spans="1:10" x14ac:dyDescent="0.2">
      <c r="A513" s="80" t="s">
        <v>1331</v>
      </c>
      <c r="B513" s="80" t="s">
        <v>355</v>
      </c>
      <c r="C513" s="80" t="s">
        <v>556</v>
      </c>
      <c r="D513" s="81" t="s">
        <v>429</v>
      </c>
      <c r="E513" s="82" t="s">
        <v>608</v>
      </c>
      <c r="F513" s="82" t="s">
        <v>431</v>
      </c>
      <c r="G513" s="83" t="s">
        <v>432</v>
      </c>
      <c r="H513" s="83" t="s">
        <v>432</v>
      </c>
      <c r="I513" s="80" t="s">
        <v>426</v>
      </c>
      <c r="J513" s="84" t="s">
        <v>433</v>
      </c>
    </row>
    <row r="514" spans="1:10" x14ac:dyDescent="0.2">
      <c r="A514" s="80" t="s">
        <v>1332</v>
      </c>
      <c r="B514" s="80" t="s">
        <v>390</v>
      </c>
      <c r="C514" s="80" t="s">
        <v>589</v>
      </c>
      <c r="D514" s="81" t="s">
        <v>429</v>
      </c>
      <c r="E514" s="82" t="s">
        <v>448</v>
      </c>
      <c r="F514" s="82" t="s">
        <v>431</v>
      </c>
      <c r="G514" s="83" t="s">
        <v>432</v>
      </c>
      <c r="H514" s="83" t="s">
        <v>432</v>
      </c>
      <c r="I514" s="80" t="s">
        <v>426</v>
      </c>
      <c r="J514" s="84" t="s">
        <v>433</v>
      </c>
    </row>
    <row r="515" spans="1:10" x14ac:dyDescent="0.2">
      <c r="A515" s="80" t="s">
        <v>1333</v>
      </c>
      <c r="B515" s="80" t="s">
        <v>391</v>
      </c>
      <c r="C515" s="80" t="s">
        <v>589</v>
      </c>
      <c r="D515" s="81" t="s">
        <v>429</v>
      </c>
      <c r="E515" s="82" t="s">
        <v>448</v>
      </c>
      <c r="F515" s="82" t="s">
        <v>431</v>
      </c>
      <c r="G515" s="83" t="s">
        <v>432</v>
      </c>
      <c r="H515" s="83" t="s">
        <v>432</v>
      </c>
      <c r="I515" s="80" t="s">
        <v>426</v>
      </c>
      <c r="J515" s="84" t="s">
        <v>433</v>
      </c>
    </row>
    <row r="516" spans="1:10" x14ac:dyDescent="0.2">
      <c r="A516" s="80" t="s">
        <v>1334</v>
      </c>
      <c r="B516" s="80" t="s">
        <v>305</v>
      </c>
      <c r="C516" s="80" t="s">
        <v>856</v>
      </c>
      <c r="D516" s="81" t="s">
        <v>561</v>
      </c>
      <c r="E516" s="82" t="s">
        <v>448</v>
      </c>
      <c r="F516" s="82" t="s">
        <v>431</v>
      </c>
      <c r="G516" s="83" t="s">
        <v>432</v>
      </c>
      <c r="H516" s="83" t="s">
        <v>432</v>
      </c>
      <c r="I516" s="80" t="s">
        <v>426</v>
      </c>
      <c r="J516" s="84" t="s">
        <v>433</v>
      </c>
    </row>
    <row r="517" spans="1:10" x14ac:dyDescent="0.2">
      <c r="A517" s="80" t="s">
        <v>1335</v>
      </c>
      <c r="B517" s="80" t="s">
        <v>371</v>
      </c>
      <c r="C517" s="80" t="s">
        <v>881</v>
      </c>
      <c r="D517" s="81" t="s">
        <v>429</v>
      </c>
      <c r="E517" s="82" t="s">
        <v>430</v>
      </c>
      <c r="F517" s="82" t="s">
        <v>431</v>
      </c>
      <c r="G517" s="83" t="s">
        <v>432</v>
      </c>
      <c r="H517" s="83" t="s">
        <v>432</v>
      </c>
      <c r="I517" s="80" t="s">
        <v>882</v>
      </c>
      <c r="J517" s="84" t="s">
        <v>433</v>
      </c>
    </row>
    <row r="518" spans="1:10" x14ac:dyDescent="0.2">
      <c r="A518" s="80" t="s">
        <v>1336</v>
      </c>
      <c r="B518" s="80" t="s">
        <v>244</v>
      </c>
      <c r="C518" s="80" t="s">
        <v>556</v>
      </c>
      <c r="D518" s="81" t="s">
        <v>429</v>
      </c>
      <c r="E518" s="82" t="s">
        <v>430</v>
      </c>
      <c r="F518" s="82" t="s">
        <v>431</v>
      </c>
      <c r="G518" s="83" t="s">
        <v>432</v>
      </c>
      <c r="H518" s="83" t="s">
        <v>432</v>
      </c>
      <c r="I518" s="80" t="s">
        <v>426</v>
      </c>
      <c r="J518" s="84" t="s">
        <v>433</v>
      </c>
    </row>
    <row r="519" spans="1:10" x14ac:dyDescent="0.2">
      <c r="A519" s="80" t="s">
        <v>1337</v>
      </c>
      <c r="B519" s="80" t="s">
        <v>339</v>
      </c>
      <c r="C519" s="80" t="s">
        <v>633</v>
      </c>
      <c r="D519" s="81" t="s">
        <v>429</v>
      </c>
      <c r="E519" s="82" t="s">
        <v>1030</v>
      </c>
      <c r="F519" s="82" t="s">
        <v>548</v>
      </c>
      <c r="G519" s="83" t="s">
        <v>432</v>
      </c>
      <c r="H519" s="83" t="s">
        <v>432</v>
      </c>
      <c r="I519" s="80" t="s">
        <v>426</v>
      </c>
      <c r="J519" s="84" t="s">
        <v>433</v>
      </c>
    </row>
    <row r="520" spans="1:10" x14ac:dyDescent="0.2">
      <c r="A520" s="80" t="s">
        <v>1338</v>
      </c>
      <c r="B520" s="80" t="s">
        <v>340</v>
      </c>
      <c r="C520" s="80" t="s">
        <v>633</v>
      </c>
      <c r="D520" s="81" t="s">
        <v>429</v>
      </c>
      <c r="E520" s="82" t="s">
        <v>634</v>
      </c>
      <c r="F520" s="82" t="s">
        <v>586</v>
      </c>
      <c r="G520" s="83" t="s">
        <v>432</v>
      </c>
      <c r="H520" s="83" t="s">
        <v>432</v>
      </c>
      <c r="I520" s="80" t="s">
        <v>426</v>
      </c>
      <c r="J520" s="84" t="s">
        <v>433</v>
      </c>
    </row>
    <row r="521" spans="1:10" x14ac:dyDescent="0.2">
      <c r="A521" s="80" t="s">
        <v>1339</v>
      </c>
      <c r="B521" s="80" t="s">
        <v>184</v>
      </c>
      <c r="C521" s="80" t="s">
        <v>633</v>
      </c>
      <c r="D521" s="81" t="s">
        <v>429</v>
      </c>
      <c r="E521" s="82" t="s">
        <v>867</v>
      </c>
      <c r="F521" s="82" t="s">
        <v>634</v>
      </c>
      <c r="G521" s="83" t="s">
        <v>432</v>
      </c>
      <c r="H521" s="83" t="s">
        <v>432</v>
      </c>
      <c r="I521" s="80" t="s">
        <v>426</v>
      </c>
      <c r="J521" s="84" t="s">
        <v>433</v>
      </c>
    </row>
    <row r="522" spans="1:10" x14ac:dyDescent="0.2">
      <c r="A522" s="80" t="s">
        <v>1340</v>
      </c>
      <c r="B522" s="80" t="s">
        <v>185</v>
      </c>
      <c r="C522" s="80" t="s">
        <v>633</v>
      </c>
      <c r="D522" s="81" t="s">
        <v>429</v>
      </c>
      <c r="E522" s="82" t="s">
        <v>867</v>
      </c>
      <c r="F522" s="82" t="s">
        <v>431</v>
      </c>
      <c r="G522" s="83" t="s">
        <v>432</v>
      </c>
      <c r="H522" s="83" t="s">
        <v>432</v>
      </c>
      <c r="I522" s="80" t="s">
        <v>426</v>
      </c>
      <c r="J522" s="84" t="s">
        <v>433</v>
      </c>
    </row>
    <row r="523" spans="1:10" x14ac:dyDescent="0.2">
      <c r="A523" s="80" t="s">
        <v>1341</v>
      </c>
      <c r="B523" s="80" t="s">
        <v>404</v>
      </c>
      <c r="C523" s="80" t="s">
        <v>908</v>
      </c>
      <c r="D523" s="81" t="s">
        <v>582</v>
      </c>
      <c r="E523" s="82" t="s">
        <v>867</v>
      </c>
      <c r="F523" s="82" t="s">
        <v>568</v>
      </c>
      <c r="G523" s="83" t="s">
        <v>432</v>
      </c>
      <c r="H523" s="83" t="s">
        <v>432</v>
      </c>
      <c r="I523" s="80" t="s">
        <v>426</v>
      </c>
      <c r="J523" s="84" t="s">
        <v>433</v>
      </c>
    </row>
    <row r="524" spans="1:10" x14ac:dyDescent="0.2">
      <c r="A524" s="80" t="s">
        <v>1342</v>
      </c>
      <c r="B524" s="80" t="s">
        <v>403</v>
      </c>
      <c r="C524" s="80" t="s">
        <v>908</v>
      </c>
      <c r="D524" s="81" t="s">
        <v>582</v>
      </c>
      <c r="E524" s="82" t="s">
        <v>563</v>
      </c>
      <c r="F524" s="82" t="s">
        <v>431</v>
      </c>
      <c r="G524" s="83" t="s">
        <v>432</v>
      </c>
      <c r="H524" s="83" t="s">
        <v>432</v>
      </c>
      <c r="I524" s="80" t="s">
        <v>426</v>
      </c>
      <c r="J524" s="84" t="s">
        <v>433</v>
      </c>
    </row>
    <row r="525" spans="1:10" x14ac:dyDescent="0.2">
      <c r="A525" s="80" t="s">
        <v>1343</v>
      </c>
      <c r="B525" s="80" t="s">
        <v>186</v>
      </c>
      <c r="C525" s="80" t="s">
        <v>633</v>
      </c>
      <c r="D525" s="81" t="s">
        <v>429</v>
      </c>
      <c r="E525" s="82" t="s">
        <v>548</v>
      </c>
      <c r="F525" s="82" t="s">
        <v>431</v>
      </c>
      <c r="G525" s="83" t="s">
        <v>432</v>
      </c>
      <c r="H525" s="83" t="s">
        <v>432</v>
      </c>
      <c r="I525" s="80" t="s">
        <v>426</v>
      </c>
      <c r="J525" s="84" t="s">
        <v>433</v>
      </c>
    </row>
    <row r="526" spans="1:10" x14ac:dyDescent="0.2">
      <c r="A526" s="80" t="s">
        <v>1344</v>
      </c>
      <c r="B526" s="80" t="s">
        <v>252</v>
      </c>
      <c r="C526" s="80" t="s">
        <v>633</v>
      </c>
      <c r="D526" s="81" t="s">
        <v>429</v>
      </c>
      <c r="E526" s="82" t="s">
        <v>867</v>
      </c>
      <c r="F526" s="82" t="s">
        <v>568</v>
      </c>
      <c r="G526" s="83" t="s">
        <v>432</v>
      </c>
      <c r="H526" s="83" t="s">
        <v>432</v>
      </c>
      <c r="I526" s="80" t="s">
        <v>426</v>
      </c>
      <c r="J526" s="84" t="s">
        <v>433</v>
      </c>
    </row>
    <row r="527" spans="1:10" x14ac:dyDescent="0.2">
      <c r="A527" s="80" t="s">
        <v>1345</v>
      </c>
      <c r="B527" s="80" t="s">
        <v>188</v>
      </c>
      <c r="C527" s="80" t="s">
        <v>633</v>
      </c>
      <c r="D527" s="81" t="s">
        <v>429</v>
      </c>
      <c r="E527" s="82" t="s">
        <v>554</v>
      </c>
      <c r="F527" s="82" t="s">
        <v>431</v>
      </c>
      <c r="G527" s="83" t="s">
        <v>432</v>
      </c>
      <c r="H527" s="83" t="s">
        <v>432</v>
      </c>
      <c r="I527" s="80" t="s">
        <v>426</v>
      </c>
      <c r="J527" s="84" t="s">
        <v>433</v>
      </c>
    </row>
    <row r="528" spans="1:10" x14ac:dyDescent="0.2">
      <c r="A528" s="80" t="s">
        <v>1346</v>
      </c>
      <c r="B528" s="80" t="s">
        <v>374</v>
      </c>
      <c r="C528" s="80" t="s">
        <v>633</v>
      </c>
      <c r="D528" s="81" t="s">
        <v>582</v>
      </c>
      <c r="E528" s="82" t="s">
        <v>554</v>
      </c>
      <c r="F528" s="82" t="s">
        <v>431</v>
      </c>
      <c r="G528" s="83" t="s">
        <v>432</v>
      </c>
      <c r="H528" s="83" t="s">
        <v>432</v>
      </c>
      <c r="I528" s="80" t="s">
        <v>426</v>
      </c>
      <c r="J528" s="84" t="s">
        <v>433</v>
      </c>
    </row>
    <row r="529" spans="1:10" x14ac:dyDescent="0.2">
      <c r="A529" s="80" t="s">
        <v>1347</v>
      </c>
      <c r="B529" s="80" t="s">
        <v>375</v>
      </c>
      <c r="C529" s="80" t="s">
        <v>633</v>
      </c>
      <c r="D529" s="81" t="s">
        <v>582</v>
      </c>
      <c r="E529" s="82" t="s">
        <v>568</v>
      </c>
      <c r="F529" s="82" t="s">
        <v>431</v>
      </c>
      <c r="G529" s="83" t="s">
        <v>432</v>
      </c>
      <c r="H529" s="83" t="s">
        <v>432</v>
      </c>
      <c r="I529" s="80" t="s">
        <v>426</v>
      </c>
      <c r="J529" s="84" t="s">
        <v>433</v>
      </c>
    </row>
    <row r="530" spans="1:10" x14ac:dyDescent="0.2">
      <c r="A530" s="80" t="s">
        <v>1348</v>
      </c>
      <c r="B530" s="80" t="s">
        <v>1349</v>
      </c>
      <c r="C530" s="80" t="s">
        <v>1167</v>
      </c>
      <c r="D530" s="81" t="s">
        <v>582</v>
      </c>
      <c r="E530" s="82" t="s">
        <v>568</v>
      </c>
      <c r="F530" s="82" t="s">
        <v>634</v>
      </c>
      <c r="G530" s="83" t="s">
        <v>432</v>
      </c>
      <c r="H530" s="83" t="s">
        <v>432</v>
      </c>
      <c r="I530" s="80" t="s">
        <v>426</v>
      </c>
      <c r="J530" s="84" t="s">
        <v>433</v>
      </c>
    </row>
    <row r="531" spans="1:10" x14ac:dyDescent="0.2">
      <c r="A531" s="80" t="s">
        <v>1350</v>
      </c>
      <c r="B531" s="80" t="s">
        <v>115</v>
      </c>
      <c r="C531" s="80" t="s">
        <v>1167</v>
      </c>
      <c r="D531" s="81" t="s">
        <v>582</v>
      </c>
      <c r="E531" s="82" t="s">
        <v>568</v>
      </c>
      <c r="F531" s="82" t="s">
        <v>431</v>
      </c>
      <c r="G531" s="83" t="s">
        <v>432</v>
      </c>
      <c r="H531" s="83" t="s">
        <v>432</v>
      </c>
      <c r="I531" s="80" t="s">
        <v>426</v>
      </c>
      <c r="J531" s="84" t="s">
        <v>433</v>
      </c>
    </row>
    <row r="532" spans="1:10" x14ac:dyDescent="0.2">
      <c r="A532" s="80" t="s">
        <v>1351</v>
      </c>
      <c r="B532" s="80" t="s">
        <v>1352</v>
      </c>
      <c r="C532" s="80" t="s">
        <v>1167</v>
      </c>
      <c r="D532" s="81" t="s">
        <v>582</v>
      </c>
      <c r="E532" s="82" t="s">
        <v>568</v>
      </c>
      <c r="F532" s="82" t="s">
        <v>634</v>
      </c>
      <c r="G532" s="83" t="s">
        <v>432</v>
      </c>
      <c r="H532" s="83" t="s">
        <v>432</v>
      </c>
      <c r="I532" s="80" t="s">
        <v>426</v>
      </c>
      <c r="J532" s="84" t="s">
        <v>433</v>
      </c>
    </row>
    <row r="533" spans="1:10" x14ac:dyDescent="0.2">
      <c r="A533" s="80" t="s">
        <v>1353</v>
      </c>
      <c r="B533" s="80" t="s">
        <v>1354</v>
      </c>
      <c r="C533" s="80" t="s">
        <v>581</v>
      </c>
      <c r="D533" s="81" t="s">
        <v>1355</v>
      </c>
      <c r="E533" s="82" t="s">
        <v>566</v>
      </c>
      <c r="F533" s="82" t="s">
        <v>431</v>
      </c>
      <c r="G533" s="83" t="s">
        <v>432</v>
      </c>
      <c r="H533" s="83" t="s">
        <v>432</v>
      </c>
      <c r="I533" s="80" t="s">
        <v>426</v>
      </c>
      <c r="J533" s="84" t="s">
        <v>433</v>
      </c>
    </row>
    <row r="534" spans="1:10" x14ac:dyDescent="0.2">
      <c r="A534" s="80" t="s">
        <v>1356</v>
      </c>
      <c r="B534" s="80" t="s">
        <v>1357</v>
      </c>
      <c r="C534" s="80" t="s">
        <v>581</v>
      </c>
      <c r="D534" s="81" t="s">
        <v>1355</v>
      </c>
      <c r="E534" s="82" t="s">
        <v>566</v>
      </c>
      <c r="F534" s="82" t="s">
        <v>431</v>
      </c>
      <c r="G534" s="83" t="s">
        <v>432</v>
      </c>
      <c r="H534" s="83" t="s">
        <v>432</v>
      </c>
      <c r="I534" s="80" t="s">
        <v>426</v>
      </c>
      <c r="J534" s="84" t="s">
        <v>433</v>
      </c>
    </row>
    <row r="535" spans="1:10" x14ac:dyDescent="0.2">
      <c r="A535" s="80" t="s">
        <v>1358</v>
      </c>
      <c r="B535" s="80" t="s">
        <v>1359</v>
      </c>
      <c r="C535" s="80" t="s">
        <v>581</v>
      </c>
      <c r="D535" s="81" t="s">
        <v>1355</v>
      </c>
      <c r="E535" s="82" t="s">
        <v>566</v>
      </c>
      <c r="F535" s="82" t="s">
        <v>431</v>
      </c>
      <c r="G535" s="83" t="s">
        <v>432</v>
      </c>
      <c r="H535" s="83" t="s">
        <v>432</v>
      </c>
      <c r="I535" s="80" t="s">
        <v>1360</v>
      </c>
      <c r="J535" s="84" t="s">
        <v>433</v>
      </c>
    </row>
    <row r="536" spans="1:10" x14ac:dyDescent="0.2">
      <c r="A536" s="80" t="s">
        <v>1361</v>
      </c>
      <c r="B536" s="80" t="s">
        <v>1362</v>
      </c>
      <c r="C536" s="80" t="s">
        <v>908</v>
      </c>
      <c r="D536" s="81" t="s">
        <v>1355</v>
      </c>
      <c r="E536" s="82" t="s">
        <v>566</v>
      </c>
      <c r="F536" s="82" t="s">
        <v>431</v>
      </c>
      <c r="G536" s="83" t="s">
        <v>432</v>
      </c>
      <c r="H536" s="83" t="s">
        <v>432</v>
      </c>
      <c r="I536" s="80" t="s">
        <v>426</v>
      </c>
      <c r="J536" s="84" t="s">
        <v>433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74" activePane="bottomRight" state="frozen"/>
      <selection activeCell="A74" sqref="A66:XFD74"/>
      <selection pane="topRight" activeCell="A74" sqref="A66:XFD74"/>
      <selection pane="bottomLeft" activeCell="A74" sqref="A66:XFD74"/>
      <selection pane="bottomRight" activeCell="A74" sqref="A66:XFD7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1" t="s">
        <v>417</v>
      </c>
      <c r="B1" s="91" t="s">
        <v>418</v>
      </c>
      <c r="C1" s="91" t="s">
        <v>272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298</v>
      </c>
    </row>
    <row r="5" spans="1:3" ht="24.75" x14ac:dyDescent="0.5">
      <c r="A5" s="1">
        <v>20055116</v>
      </c>
      <c r="B5" s="2" t="s">
        <v>413</v>
      </c>
    </row>
    <row r="6" spans="1:3" ht="24.75" x14ac:dyDescent="0.5">
      <c r="A6" s="1" t="s">
        <v>857</v>
      </c>
      <c r="B6" s="2" t="s">
        <v>414</v>
      </c>
    </row>
    <row r="7" spans="1:3" ht="24.75" x14ac:dyDescent="0.5">
      <c r="A7" s="1">
        <v>1124027</v>
      </c>
      <c r="B7" s="2" t="s">
        <v>304</v>
      </c>
    </row>
    <row r="8" spans="1:3" ht="24.75" x14ac:dyDescent="0.5">
      <c r="A8" s="1">
        <v>1124029</v>
      </c>
      <c r="B8" s="2" t="s">
        <v>305</v>
      </c>
    </row>
    <row r="9" spans="1:3" ht="24.75" x14ac:dyDescent="0.5">
      <c r="A9" s="1" t="s">
        <v>855</v>
      </c>
      <c r="B9" s="2" t="s">
        <v>412</v>
      </c>
    </row>
    <row r="10" spans="1:3" ht="24.75" x14ac:dyDescent="0.5">
      <c r="A10" s="1">
        <v>1200019</v>
      </c>
      <c r="B10" s="2" t="s">
        <v>339</v>
      </c>
    </row>
    <row r="11" spans="1:3" ht="24.75" x14ac:dyDescent="0.5">
      <c r="A11" s="1">
        <v>1200020</v>
      </c>
      <c r="B11" s="2" t="s">
        <v>340</v>
      </c>
    </row>
    <row r="12" spans="1:3" ht="24.75" x14ac:dyDescent="0.5">
      <c r="A12" s="1">
        <v>5002400</v>
      </c>
      <c r="B12" s="2" t="s">
        <v>345</v>
      </c>
    </row>
    <row r="13" spans="1:3" ht="24.75" x14ac:dyDescent="0.5">
      <c r="A13" s="1">
        <v>1113011</v>
      </c>
      <c r="B13" s="2" t="s">
        <v>346</v>
      </c>
    </row>
    <row r="14" spans="1:3" ht="24.75" x14ac:dyDescent="0.5">
      <c r="A14" s="1">
        <v>1113010</v>
      </c>
      <c r="B14" s="2" t="s">
        <v>348</v>
      </c>
    </row>
    <row r="15" spans="1:3" ht="24.75" x14ac:dyDescent="0.5">
      <c r="A15" s="1">
        <v>20054637</v>
      </c>
      <c r="B15" s="2" t="s">
        <v>349</v>
      </c>
    </row>
    <row r="16" spans="1:3" ht="24.75" x14ac:dyDescent="0.5">
      <c r="A16" s="1" t="s">
        <v>859</v>
      </c>
      <c r="B16" s="2" t="s">
        <v>350</v>
      </c>
    </row>
    <row r="17" spans="1:2" ht="24.75" x14ac:dyDescent="0.5">
      <c r="A17" s="1" t="s">
        <v>854</v>
      </c>
      <c r="B17" s="2" t="s">
        <v>368</v>
      </c>
    </row>
    <row r="18" spans="1:2" ht="24.75" x14ac:dyDescent="0.5">
      <c r="A18" s="1" t="s">
        <v>607</v>
      </c>
      <c r="B18" s="2" t="s">
        <v>411</v>
      </c>
    </row>
    <row r="19" spans="1:2" ht="24.75" x14ac:dyDescent="0.5">
      <c r="A19" s="1" t="s">
        <v>555</v>
      </c>
      <c r="B19" s="2" t="s">
        <v>306</v>
      </c>
    </row>
    <row r="20" spans="1:2" ht="24.75" x14ac:dyDescent="0.5">
      <c r="A20" s="1" t="s">
        <v>637</v>
      </c>
      <c r="B20" s="2" t="s">
        <v>415</v>
      </c>
    </row>
    <row r="21" spans="1:2" ht="24.75" x14ac:dyDescent="0.5">
      <c r="A21" s="1">
        <v>1113157</v>
      </c>
      <c r="B21" s="2" t="s">
        <v>352</v>
      </c>
    </row>
    <row r="22" spans="1:2" ht="24.75" x14ac:dyDescent="0.5">
      <c r="A22" s="1" t="s">
        <v>596</v>
      </c>
      <c r="B22" s="2" t="s">
        <v>353</v>
      </c>
    </row>
    <row r="23" spans="1:2" ht="24.75" x14ac:dyDescent="0.5">
      <c r="A23" s="1" t="s">
        <v>597</v>
      </c>
      <c r="B23" s="2" t="s">
        <v>354</v>
      </c>
    </row>
    <row r="24" spans="1:2" ht="24.75" x14ac:dyDescent="0.5">
      <c r="A24" s="1">
        <v>20053053</v>
      </c>
      <c r="B24" s="2" t="s">
        <v>355</v>
      </c>
    </row>
    <row r="25" spans="1:2" ht="24.75" x14ac:dyDescent="0.5">
      <c r="A25" s="1" t="s">
        <v>858</v>
      </c>
      <c r="B25" s="2" t="s">
        <v>356</v>
      </c>
    </row>
    <row r="26" spans="1:2" ht="24.75" x14ac:dyDescent="0.5">
      <c r="A26" s="1">
        <v>1113004</v>
      </c>
      <c r="B26" s="2" t="s">
        <v>359</v>
      </c>
    </row>
    <row r="27" spans="1:2" ht="24.75" x14ac:dyDescent="0.5">
      <c r="A27" s="1">
        <v>1111410</v>
      </c>
      <c r="B27" s="2" t="s">
        <v>361</v>
      </c>
    </row>
    <row r="28" spans="1:2" ht="24.75" x14ac:dyDescent="0.5">
      <c r="A28" s="1">
        <v>1111406</v>
      </c>
      <c r="B28" s="2" t="s">
        <v>360</v>
      </c>
    </row>
    <row r="29" spans="1:2" ht="24.75" x14ac:dyDescent="0.5">
      <c r="A29" s="1">
        <v>1111410</v>
      </c>
      <c r="B29" s="2" t="s">
        <v>362</v>
      </c>
    </row>
    <row r="30" spans="1:2" ht="24.75" x14ac:dyDescent="0.5">
      <c r="A30" s="1" t="s">
        <v>591</v>
      </c>
      <c r="B30" s="2" t="s">
        <v>363</v>
      </c>
    </row>
    <row r="31" spans="1:2" ht="24.75" x14ac:dyDescent="0.5">
      <c r="A31" s="1">
        <v>1200003</v>
      </c>
      <c r="B31" s="2" t="s">
        <v>247</v>
      </c>
    </row>
    <row r="32" spans="1:2" ht="24.75" x14ac:dyDescent="0.5">
      <c r="A32" s="1">
        <v>1200002</v>
      </c>
      <c r="B32" s="2" t="s">
        <v>248</v>
      </c>
    </row>
    <row r="33" spans="1:2" ht="24.75" x14ac:dyDescent="0.5">
      <c r="A33" s="1">
        <v>1200001</v>
      </c>
      <c r="B33" s="2" t="s">
        <v>365</v>
      </c>
    </row>
    <row r="34" spans="1:2" ht="24.75" x14ac:dyDescent="0.5">
      <c r="A34" s="1">
        <v>1006002</v>
      </c>
      <c r="B34" s="2" t="s">
        <v>1081</v>
      </c>
    </row>
    <row r="35" spans="1:2" ht="24.75" x14ac:dyDescent="0.5">
      <c r="A35" s="1" t="s">
        <v>880</v>
      </c>
      <c r="B35" s="2" t="s">
        <v>373</v>
      </c>
    </row>
    <row r="36" spans="1:2" ht="24.75" x14ac:dyDescent="0.5">
      <c r="A36" s="1" t="s">
        <v>604</v>
      </c>
      <c r="B36" s="2" t="s">
        <v>376</v>
      </c>
    </row>
    <row r="37" spans="1:2" ht="24.75" x14ac:dyDescent="0.5">
      <c r="A37" s="1" t="s">
        <v>606</v>
      </c>
      <c r="B37" s="2" t="s">
        <v>377</v>
      </c>
    </row>
    <row r="38" spans="1:2" ht="24.75" x14ac:dyDescent="0.5">
      <c r="A38" s="1">
        <v>1113084</v>
      </c>
      <c r="B38" s="2" t="s">
        <v>380</v>
      </c>
    </row>
    <row r="39" spans="1:2" ht="24.75" x14ac:dyDescent="0.5">
      <c r="A39" s="1">
        <v>1124002</v>
      </c>
      <c r="B39" s="2" t="s">
        <v>381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385</v>
      </c>
    </row>
    <row r="42" spans="1:2" ht="24.75" x14ac:dyDescent="0.5">
      <c r="A42" s="1" t="s">
        <v>625</v>
      </c>
      <c r="B42" s="2" t="s">
        <v>384</v>
      </c>
    </row>
    <row r="43" spans="1:2" ht="24.75" x14ac:dyDescent="0.5">
      <c r="A43" s="1">
        <v>1115298</v>
      </c>
      <c r="B43" s="2" t="s">
        <v>250</v>
      </c>
    </row>
    <row r="44" spans="1:2" ht="24.75" x14ac:dyDescent="0.5">
      <c r="A44" s="1">
        <v>1113111</v>
      </c>
      <c r="B44" s="2" t="s">
        <v>1088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280</v>
      </c>
    </row>
    <row r="47" spans="1:2" ht="24.75" x14ac:dyDescent="0.5">
      <c r="A47" s="1" t="s">
        <v>619</v>
      </c>
      <c r="B47" s="2" t="s">
        <v>393</v>
      </c>
    </row>
    <row r="48" spans="1:2" ht="24.75" x14ac:dyDescent="0.5">
      <c r="A48" s="1" t="s">
        <v>617</v>
      </c>
      <c r="B48" s="2" t="s">
        <v>394</v>
      </c>
    </row>
    <row r="49" spans="1:2" ht="24.75" x14ac:dyDescent="0.5">
      <c r="A49" s="1" t="s">
        <v>618</v>
      </c>
      <c r="B49" s="2" t="s">
        <v>396</v>
      </c>
    </row>
    <row r="50" spans="1:2" ht="24.75" x14ac:dyDescent="0.5">
      <c r="A50" s="1" t="s">
        <v>616</v>
      </c>
      <c r="B50" s="2" t="s">
        <v>395</v>
      </c>
    </row>
    <row r="51" spans="1:2" ht="24.75" x14ac:dyDescent="0.5">
      <c r="A51" s="1">
        <v>1114021</v>
      </c>
      <c r="B51" s="2" t="s">
        <v>311</v>
      </c>
    </row>
    <row r="52" spans="1:2" ht="24.75" x14ac:dyDescent="0.5">
      <c r="A52" s="1" t="s">
        <v>638</v>
      </c>
      <c r="B52" s="2" t="s">
        <v>397</v>
      </c>
    </row>
    <row r="53" spans="1:2" ht="24.75" x14ac:dyDescent="0.5">
      <c r="A53" s="1" t="s">
        <v>853</v>
      </c>
      <c r="B53" s="2" t="s">
        <v>398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246</v>
      </c>
    </row>
    <row r="56" spans="1:2" ht="24.75" x14ac:dyDescent="0.5">
      <c r="A56" s="1">
        <v>1200086</v>
      </c>
      <c r="B56" s="2" t="s">
        <v>399</v>
      </c>
    </row>
    <row r="57" spans="1:2" ht="24.75" x14ac:dyDescent="0.5">
      <c r="A57" s="1" t="s">
        <v>888</v>
      </c>
      <c r="B57" s="2" t="s">
        <v>237</v>
      </c>
    </row>
    <row r="58" spans="1:2" ht="24.75" x14ac:dyDescent="0.5">
      <c r="A58" s="1">
        <v>1113108</v>
      </c>
      <c r="B58" s="2" t="s">
        <v>1086</v>
      </c>
    </row>
    <row r="59" spans="1:2" ht="24.75" x14ac:dyDescent="0.5">
      <c r="A59" s="1">
        <v>1005761</v>
      </c>
      <c r="B59" s="2" t="s">
        <v>245</v>
      </c>
    </row>
    <row r="60" spans="1:2" ht="24.75" x14ac:dyDescent="0.5">
      <c r="A60" s="1" t="s">
        <v>600</v>
      </c>
      <c r="B60" s="2" t="s">
        <v>246</v>
      </c>
    </row>
    <row r="61" spans="1:2" ht="24.75" x14ac:dyDescent="0.5">
      <c r="A61" s="1" t="s">
        <v>585</v>
      </c>
      <c r="B61" s="2" t="s">
        <v>416</v>
      </c>
    </row>
    <row r="62" spans="1:2" ht="24.75" x14ac:dyDescent="0.5">
      <c r="A62" s="1">
        <v>1120003</v>
      </c>
      <c r="B62" s="2" t="s">
        <v>401</v>
      </c>
    </row>
    <row r="63" spans="1:2" ht="24.75" x14ac:dyDescent="0.5">
      <c r="A63" s="1">
        <v>1124023</v>
      </c>
      <c r="B63" s="2" t="s">
        <v>402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1166</v>
      </c>
    </row>
    <row r="67" spans="1:2" ht="24.75" x14ac:dyDescent="0.5">
      <c r="A67" s="1">
        <v>1113141</v>
      </c>
      <c r="B67" s="2" t="s">
        <v>1169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539</v>
      </c>
      <c r="B72" s="2" t="s">
        <v>540</v>
      </c>
    </row>
    <row r="73" spans="1:2" ht="24.75" x14ac:dyDescent="0.5">
      <c r="A73" s="1" t="s">
        <v>849</v>
      </c>
      <c r="B73" s="2" t="s">
        <v>409</v>
      </c>
    </row>
    <row r="74" spans="1:2" ht="24.75" x14ac:dyDescent="0.5">
      <c r="A74" s="1"/>
      <c r="B74" s="2" t="s">
        <v>257</v>
      </c>
    </row>
    <row r="75" spans="1:2" ht="24.75" x14ac:dyDescent="0.5">
      <c r="A75" s="1"/>
      <c r="B75" s="2" t="s">
        <v>315</v>
      </c>
    </row>
    <row r="76" spans="1:2" ht="24.75" x14ac:dyDescent="0.5">
      <c r="A76" s="1"/>
      <c r="B76" s="2" t="s">
        <v>281</v>
      </c>
    </row>
    <row r="77" spans="1:2" ht="24.75" x14ac:dyDescent="0.5">
      <c r="A77" s="1"/>
      <c r="B77" s="2" t="s">
        <v>282</v>
      </c>
    </row>
    <row r="78" spans="1:2" ht="24.75" x14ac:dyDescent="0.5">
      <c r="A78" s="1"/>
      <c r="B78" s="2" t="s">
        <v>258</v>
      </c>
    </row>
    <row r="79" spans="1:2" ht="24.75" x14ac:dyDescent="0.5">
      <c r="A79" s="1"/>
      <c r="B79" s="2" t="s">
        <v>283</v>
      </c>
    </row>
    <row r="80" spans="1:2" ht="24.75" x14ac:dyDescent="0.5">
      <c r="A80" s="1"/>
      <c r="B80" s="2" t="s">
        <v>259</v>
      </c>
    </row>
    <row r="81" spans="1:2" ht="24.75" x14ac:dyDescent="0.5">
      <c r="A81" s="1" t="s">
        <v>850</v>
      </c>
      <c r="B81" s="2" t="s">
        <v>851</v>
      </c>
    </row>
    <row r="82" spans="1:2" ht="24.75" x14ac:dyDescent="0.5">
      <c r="A82" s="1">
        <v>1100011</v>
      </c>
      <c r="B82" s="2" t="s">
        <v>274</v>
      </c>
    </row>
    <row r="83" spans="1:2" ht="24.75" x14ac:dyDescent="0.5">
      <c r="A83" s="1">
        <v>1100012</v>
      </c>
      <c r="B83" s="2" t="s">
        <v>275</v>
      </c>
    </row>
    <row r="84" spans="1:2" ht="24.75" x14ac:dyDescent="0.5">
      <c r="A84" s="1">
        <v>1100013</v>
      </c>
      <c r="B84" s="2" t="s">
        <v>276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76"/>
  <sheetViews>
    <sheetView tabSelected="1" zoomScale="70" zoomScaleNormal="70" workbookViewId="0">
      <pane xSplit="10" ySplit="4" topLeftCell="Q5" activePane="bottomRight" state="frozen"/>
      <selection activeCell="A74" sqref="A66:XFD74"/>
      <selection pane="topRight" activeCell="A74" sqref="A66:XFD74"/>
      <selection pane="bottomLeft" activeCell="A74" sqref="A66:XFD74"/>
      <selection pane="bottomRight" activeCell="W24" sqref="W24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3.25" style="2" customWidth="1"/>
    <col min="10" max="10" width="23.625" style="2" customWidth="1"/>
    <col min="11" max="11" width="14.125" style="2" customWidth="1"/>
    <col min="12" max="12" width="13.625" style="5" customWidth="1"/>
    <col min="13" max="13" width="20.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6" style="1" customWidth="1"/>
    <col min="19" max="19" width="14.5" style="1" customWidth="1"/>
    <col min="20" max="20" width="13.5" style="1" customWidth="1"/>
    <col min="21" max="21" width="10.75" style="1" customWidth="1"/>
    <col min="22" max="22" width="19.5" style="1" customWidth="1"/>
    <col min="23" max="23" width="21.75" style="1" customWidth="1"/>
    <col min="24" max="24" width="23" style="1" customWidth="1"/>
    <col min="25" max="25" width="16.75" style="1" customWidth="1"/>
    <col min="26" max="26" width="18.75" style="2" customWidth="1"/>
    <col min="27" max="27" width="16.25" style="2" customWidth="1"/>
    <col min="28" max="28" width="18.25" style="2" customWidth="1"/>
    <col min="29" max="29" width="14.62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0"/>
      <c r="P2" s="66"/>
      <c r="Q2" s="164" t="s">
        <v>1376</v>
      </c>
      <c r="R2" s="164"/>
      <c r="S2" s="164"/>
      <c r="T2" s="164"/>
      <c r="U2" s="164"/>
      <c r="V2" s="164"/>
      <c r="W2" s="164"/>
      <c r="X2" s="164"/>
      <c r="Y2" s="164"/>
      <c r="Z2" s="164"/>
      <c r="AA2" s="92"/>
      <c r="AB2" s="92"/>
    </row>
    <row r="3" spans="1:29" s="5" customFormat="1" ht="24.6" customHeight="1" x14ac:dyDescent="0.55000000000000004">
      <c r="A3" s="170" t="s">
        <v>1</v>
      </c>
      <c r="B3" s="170" t="s">
        <v>1363</v>
      </c>
      <c r="C3" s="170" t="s">
        <v>2</v>
      </c>
      <c r="D3" s="170" t="s">
        <v>1364</v>
      </c>
      <c r="E3" s="170" t="s">
        <v>3</v>
      </c>
      <c r="F3" s="170" t="s">
        <v>4</v>
      </c>
      <c r="G3" s="170" t="s">
        <v>5</v>
      </c>
      <c r="H3" s="75" t="s">
        <v>6</v>
      </c>
      <c r="I3" s="171" t="s">
        <v>271</v>
      </c>
      <c r="J3" s="170" t="s">
        <v>7</v>
      </c>
      <c r="K3" s="206" t="s">
        <v>8</v>
      </c>
      <c r="L3" s="206"/>
      <c r="M3" s="206"/>
      <c r="N3" s="170" t="s">
        <v>9</v>
      </c>
      <c r="O3" s="207" t="s">
        <v>272</v>
      </c>
      <c r="P3" s="209" t="s">
        <v>273</v>
      </c>
      <c r="Q3" s="167" t="s">
        <v>214</v>
      </c>
      <c r="R3" s="167" t="s">
        <v>215</v>
      </c>
      <c r="S3" s="167" t="s">
        <v>10</v>
      </c>
      <c r="T3" s="167" t="s">
        <v>216</v>
      </c>
      <c r="U3" s="167" t="s">
        <v>217</v>
      </c>
      <c r="V3" s="165" t="s">
        <v>218</v>
      </c>
      <c r="W3" s="165" t="s">
        <v>219</v>
      </c>
      <c r="X3" s="165" t="s">
        <v>220</v>
      </c>
      <c r="Y3" s="167" t="s">
        <v>1377</v>
      </c>
      <c r="Z3" s="168" t="s">
        <v>221</v>
      </c>
      <c r="AA3" s="203" t="s">
        <v>1365</v>
      </c>
      <c r="AB3" s="204" t="s">
        <v>1366</v>
      </c>
    </row>
    <row r="4" spans="1:29" s="5" customFormat="1" ht="24.6" customHeight="1" x14ac:dyDescent="0.55000000000000004">
      <c r="A4" s="170"/>
      <c r="B4" s="170"/>
      <c r="C4" s="170"/>
      <c r="D4" s="170"/>
      <c r="E4" s="170"/>
      <c r="F4" s="170"/>
      <c r="G4" s="170"/>
      <c r="H4" s="75" t="s">
        <v>11</v>
      </c>
      <c r="I4" s="172"/>
      <c r="J4" s="170"/>
      <c r="K4" s="61" t="s">
        <v>12</v>
      </c>
      <c r="L4" s="42" t="s">
        <v>13</v>
      </c>
      <c r="M4" s="61" t="s">
        <v>14</v>
      </c>
      <c r="N4" s="170"/>
      <c r="O4" s="208"/>
      <c r="P4" s="210"/>
      <c r="Q4" s="167"/>
      <c r="R4" s="167"/>
      <c r="S4" s="167"/>
      <c r="T4" s="167"/>
      <c r="U4" s="167"/>
      <c r="V4" s="166"/>
      <c r="W4" s="166"/>
      <c r="X4" s="166"/>
      <c r="Y4" s="167"/>
      <c r="Z4" s="169"/>
      <c r="AA4" s="203"/>
      <c r="AB4" s="205"/>
    </row>
    <row r="5" spans="1:29" ht="34.5" x14ac:dyDescent="0.7">
      <c r="A5" s="10">
        <v>1</v>
      </c>
      <c r="B5" s="110" t="s">
        <v>1422</v>
      </c>
      <c r="C5" s="19" t="s">
        <v>1061</v>
      </c>
      <c r="D5" s="10" t="s">
        <v>429</v>
      </c>
      <c r="E5" s="46"/>
      <c r="F5" s="44">
        <f>+ยกมา!F5+'29'!F5+'30'!F5+'1'!F5+'2'!F5+'3'!F5+'4'!F5+'5'!F5+'6'!F5+'7'!F5+'8'!F5+'9'!F5+'10'!F5</f>
        <v>210</v>
      </c>
      <c r="G5" s="43">
        <f t="shared" ref="G5:G65" si="0">+E5+F5</f>
        <v>210</v>
      </c>
      <c r="H5" s="76">
        <f>+ยกมา!H5+'29'!H5+'30'!H5+'1'!H5+'2'!H5+'3'!H5+'4'!H5+'5'!H5+'6'!H5+'7'!H5+'8'!H5+'9'!H5+'10'!H5</f>
        <v>0</v>
      </c>
      <c r="I5" s="74">
        <f>+ยกมา!I5+'29'!I5+'30'!I5+'1'!I5+'2'!I5+'3'!I5+'4'!I5+'5'!I5+'6'!I5+'7'!I5+'8'!I5+'9'!I5+'10'!I5</f>
        <v>0</v>
      </c>
      <c r="J5" s="43">
        <f>E5+F5-H5-K5-I5</f>
        <v>1</v>
      </c>
      <c r="K5" s="44">
        <f>ยกมา!K5+'29'!K5+'30'!K5+'1'!K5+'2'!K5+'3'!K5+'4'!K5+'5'!K5+'6'!K5+'7'!K5+'8'!K5+'9'!K5+'10'!K5</f>
        <v>209</v>
      </c>
      <c r="L5" s="20">
        <v>50</v>
      </c>
      <c r="M5" s="44">
        <f>ยกมา!M5+'29'!M5+'30'!M5+'1'!M5+'2'!M5+'3'!M5+'4'!M5+'5'!M5+'6'!M5+'7'!M5+'8'!M5+'9'!M5+'10'!M5</f>
        <v>10450</v>
      </c>
      <c r="N5" s="19"/>
      <c r="O5" s="160">
        <v>18.97</v>
      </c>
      <c r="P5" s="77">
        <f>+K5*O5</f>
        <v>3964.7299999999996</v>
      </c>
      <c r="Q5" s="45">
        <v>29</v>
      </c>
      <c r="R5" s="46">
        <f>+'29'!N68</f>
        <v>12138</v>
      </c>
      <c r="S5" s="46">
        <f>+'29'!N73</f>
        <v>70</v>
      </c>
      <c r="T5" s="46">
        <f>+'29'!N71</f>
        <v>0</v>
      </c>
      <c r="U5" s="65">
        <f>+'29'!N69</f>
        <v>0</v>
      </c>
      <c r="V5" s="46">
        <f>+'29'!N72</f>
        <v>0</v>
      </c>
      <c r="W5" s="46">
        <f>+'29'!N70</f>
        <v>4434</v>
      </c>
      <c r="X5" s="46">
        <f>R5-S5-T5-U5-V5-W5</f>
        <v>7634</v>
      </c>
      <c r="Y5" s="46">
        <f>+'29'!N75</f>
        <v>7539</v>
      </c>
      <c r="Z5" s="47">
        <f>+Y5-X5</f>
        <v>-95</v>
      </c>
      <c r="AA5" s="145" t="s">
        <v>1371</v>
      </c>
      <c r="AB5" s="47">
        <f>+W5+Y5</f>
        <v>11973</v>
      </c>
      <c r="AC5" s="162">
        <f>+W5+Y5+Z5</f>
        <v>11878</v>
      </c>
    </row>
    <row r="6" spans="1:29" ht="34.5" x14ac:dyDescent="0.7">
      <c r="A6" s="10">
        <v>2</v>
      </c>
      <c r="B6" s="10">
        <v>1111002</v>
      </c>
      <c r="C6" s="19" t="s">
        <v>1059</v>
      </c>
      <c r="D6" s="10" t="s">
        <v>429</v>
      </c>
      <c r="E6" s="46"/>
      <c r="F6" s="44">
        <f>+ยกมา!F6+'29'!F6+'30'!F6+'1'!F6+'2'!F6+'3'!F6+'4'!F6+'5'!F6+'6'!F6+'7'!F6+'8'!F6+'9'!F6+'10'!F6</f>
        <v>403</v>
      </c>
      <c r="G6" s="43">
        <f t="shared" si="0"/>
        <v>403</v>
      </c>
      <c r="H6" s="76">
        <f>+ยกมา!H6+'29'!H6+'30'!H6+'1'!H6+'2'!H6+'3'!H6+'4'!H6+'5'!H6+'6'!H6+'7'!H6+'8'!H6+'9'!H6+'10'!H6</f>
        <v>0</v>
      </c>
      <c r="I6" s="74">
        <f>+ยกมา!I6+'29'!I6+'30'!I6+'1'!I6+'2'!I6+'3'!I6+'4'!I6+'5'!I6+'6'!I6+'7'!I6+'8'!I6+'9'!I6+'10'!I6</f>
        <v>0</v>
      </c>
      <c r="J6" s="43">
        <f t="shared" ref="J6:J63" si="1">E6+F6-H6-K6-I6</f>
        <v>23</v>
      </c>
      <c r="K6" s="44">
        <f>ยกมา!K6+'29'!K6+'30'!K6+'1'!K6+'2'!K6+'3'!K6+'4'!K6+'5'!K6+'6'!K6+'7'!K6+'8'!K6+'9'!K6+'10'!K6</f>
        <v>380</v>
      </c>
      <c r="L6" s="15">
        <v>100</v>
      </c>
      <c r="M6" s="44">
        <f>ยกมา!M6+'29'!M6+'30'!M6+'1'!M6+'2'!M6+'3'!M6+'4'!M6+'5'!M6+'6'!M6+'7'!M6+'8'!M6+'9'!M6+'10'!M6</f>
        <v>38000</v>
      </c>
      <c r="N6" s="19"/>
      <c r="O6" s="88">
        <v>36.43</v>
      </c>
      <c r="P6" s="77">
        <f t="shared" ref="P6:P64" si="2">+K6*O6</f>
        <v>13843.4</v>
      </c>
      <c r="Q6" s="45">
        <v>30</v>
      </c>
      <c r="R6" s="46">
        <f>+'30'!N68</f>
        <v>17420</v>
      </c>
      <c r="S6" s="46">
        <f>+'30'!N73</f>
        <v>60</v>
      </c>
      <c r="T6" s="46">
        <f>+'30'!N71</f>
        <v>0</v>
      </c>
      <c r="U6" s="65">
        <f>+'30'!N69</f>
        <v>0</v>
      </c>
      <c r="V6" s="46">
        <f>+'30'!N72</f>
        <v>1190</v>
      </c>
      <c r="W6" s="46">
        <f>+'30'!N70</f>
        <v>8076</v>
      </c>
      <c r="X6" s="46">
        <f t="shared" ref="X6:X16" si="3">R6-S6-T6-U6-V6-W6</f>
        <v>8094</v>
      </c>
      <c r="Y6" s="46">
        <f>+'30'!N75</f>
        <v>9393</v>
      </c>
      <c r="Z6" s="47">
        <f t="shared" ref="Z6:Z16" si="4">+Y6-X6</f>
        <v>1299</v>
      </c>
      <c r="AA6" s="145" t="s">
        <v>1372</v>
      </c>
      <c r="AB6" s="47">
        <f t="shared" ref="AB6:AB16" si="5">+W6+Y6</f>
        <v>17469</v>
      </c>
      <c r="AC6" s="162">
        <f t="shared" ref="AC6:AC16" si="6">+W6+Y6+Z6</f>
        <v>18768</v>
      </c>
    </row>
    <row r="7" spans="1:29" ht="34.5" x14ac:dyDescent="0.7">
      <c r="A7" s="10">
        <v>3</v>
      </c>
      <c r="B7" s="10">
        <v>1111008</v>
      </c>
      <c r="C7" s="19" t="s">
        <v>1423</v>
      </c>
      <c r="D7" s="10" t="s">
        <v>429</v>
      </c>
      <c r="E7" s="46"/>
      <c r="F7" s="44">
        <f>+ยกมา!F7+'29'!F7+'30'!F7+'1'!F7+'2'!F7+'3'!F7+'4'!F7+'5'!F7+'6'!F7+'7'!F7+'8'!F7+'9'!F7+'10'!F7</f>
        <v>150</v>
      </c>
      <c r="G7" s="43">
        <f t="shared" si="0"/>
        <v>150</v>
      </c>
      <c r="H7" s="76">
        <f>+ยกมา!H7+'29'!H7+'30'!H7+'1'!H7+'2'!H7+'3'!H7+'4'!H7+'5'!H7+'6'!H7+'7'!H7+'8'!H7+'9'!H7+'10'!H7</f>
        <v>0</v>
      </c>
      <c r="I7" s="74">
        <f>+ยกมา!I7+'29'!I7+'30'!I7+'1'!I7+'2'!I7+'3'!I7+'4'!I7+'5'!I7+'6'!I7+'7'!I7+'8'!I7+'9'!I7+'10'!I7</f>
        <v>0</v>
      </c>
      <c r="J7" s="43">
        <f t="shared" si="1"/>
        <v>31</v>
      </c>
      <c r="K7" s="44">
        <f>ยกมา!K7+'29'!K7+'30'!K7+'1'!K7+'2'!K7+'3'!K7+'4'!K7+'5'!K7+'6'!K7+'7'!K7+'8'!K7+'9'!K7+'10'!K7</f>
        <v>119</v>
      </c>
      <c r="L7" s="15">
        <v>50</v>
      </c>
      <c r="M7" s="44">
        <f>ยกมา!M7+'29'!M7+'30'!M7+'1'!M7+'2'!M7+'3'!M7+'4'!M7+'5'!M7+'6'!M7+'7'!M7+'8'!M7+'9'!M7+'10'!M7</f>
        <v>5950</v>
      </c>
      <c r="N7" s="19"/>
      <c r="O7" s="88">
        <v>19.36</v>
      </c>
      <c r="P7" s="77">
        <f t="shared" si="2"/>
        <v>2303.84</v>
      </c>
      <c r="Q7" s="45">
        <v>1</v>
      </c>
      <c r="R7" s="46">
        <f>+'1'!N68</f>
        <v>18897</v>
      </c>
      <c r="S7" s="46">
        <f>+'1'!N73</f>
        <v>456</v>
      </c>
      <c r="T7" s="46">
        <f>+'1'!N71</f>
        <v>0</v>
      </c>
      <c r="U7" s="46">
        <f>+'30'!N69</f>
        <v>0</v>
      </c>
      <c r="V7" s="46">
        <f>+'1'!N72</f>
        <v>0</v>
      </c>
      <c r="W7" s="46">
        <f>+'1'!N70</f>
        <v>9424</v>
      </c>
      <c r="X7" s="46">
        <f t="shared" si="3"/>
        <v>9017</v>
      </c>
      <c r="Y7" s="46">
        <f>+'1'!N75</f>
        <v>9017</v>
      </c>
      <c r="Z7" s="47">
        <f>+Y7-X7</f>
        <v>0</v>
      </c>
      <c r="AA7" s="144" t="s">
        <v>1373</v>
      </c>
      <c r="AB7" s="47">
        <f>+W7+Y7</f>
        <v>18441</v>
      </c>
      <c r="AC7" s="162">
        <f t="shared" si="6"/>
        <v>18441</v>
      </c>
    </row>
    <row r="8" spans="1:29" ht="34.5" x14ac:dyDescent="0.7">
      <c r="A8" s="10">
        <v>4</v>
      </c>
      <c r="B8" s="10">
        <v>1111004</v>
      </c>
      <c r="C8" s="19" t="s">
        <v>25</v>
      </c>
      <c r="D8" s="10" t="s">
        <v>429</v>
      </c>
      <c r="E8" s="46"/>
      <c r="F8" s="44">
        <f>+ยกมา!F8+'29'!F8+'30'!F8+'1'!F8+'2'!F8+'3'!F8+'4'!F8+'5'!F8+'6'!F8+'7'!F8+'8'!F8+'9'!F8+'10'!F8</f>
        <v>35</v>
      </c>
      <c r="G8" s="43">
        <f t="shared" si="0"/>
        <v>35</v>
      </c>
      <c r="H8" s="76">
        <f>+ยกมา!H8+'29'!H8+'30'!H8+'1'!H8+'2'!H8+'3'!H8+'4'!H8+'5'!H8+'6'!H8+'7'!H8+'8'!H8+'9'!H8+'10'!H8</f>
        <v>0</v>
      </c>
      <c r="I8" s="74">
        <f>+ยกมา!I8+'29'!I8+'30'!I8+'1'!I8+'2'!I8+'3'!I8+'4'!I8+'5'!I8+'6'!I8+'7'!I8+'8'!I8+'9'!I8+'10'!I8</f>
        <v>0</v>
      </c>
      <c r="J8" s="43">
        <f t="shared" si="1"/>
        <v>0</v>
      </c>
      <c r="K8" s="44">
        <f>ยกมา!K8+'29'!K8+'30'!K8+'1'!K8+'2'!K8+'3'!K8+'4'!K8+'5'!K8+'6'!K8+'7'!K8+'8'!K8+'9'!K8+'10'!K8</f>
        <v>35</v>
      </c>
      <c r="L8" s="15">
        <v>65</v>
      </c>
      <c r="M8" s="44">
        <f>ยกมา!M8+'29'!M8+'30'!M8+'1'!M8+'2'!M8+'3'!M8+'4'!M8+'5'!M8+'6'!M8+'7'!M8+'8'!M8+'9'!M8+'10'!M8</f>
        <v>2275</v>
      </c>
      <c r="N8" s="19"/>
      <c r="O8" s="88">
        <v>22.25</v>
      </c>
      <c r="P8" s="77">
        <f t="shared" si="2"/>
        <v>778.75</v>
      </c>
      <c r="Q8" s="45">
        <v>2</v>
      </c>
      <c r="R8" s="46">
        <f>+'2'!N68</f>
        <v>18081</v>
      </c>
      <c r="S8" s="46">
        <f>+'2'!N73</f>
        <v>546</v>
      </c>
      <c r="T8" s="46">
        <f>+'2'!N71</f>
        <v>0</v>
      </c>
      <c r="U8" s="46">
        <f>+'2'!N69</f>
        <v>0</v>
      </c>
      <c r="V8" s="46">
        <f>+'2'!N72</f>
        <v>2830</v>
      </c>
      <c r="W8" s="46">
        <f>+'2'!N70</f>
        <v>3989</v>
      </c>
      <c r="X8" s="46">
        <f t="shared" si="3"/>
        <v>10716</v>
      </c>
      <c r="Y8" s="46">
        <f>+'2'!N75</f>
        <v>10675</v>
      </c>
      <c r="Z8" s="47">
        <f t="shared" si="4"/>
        <v>-41</v>
      </c>
      <c r="AA8" s="144" t="s">
        <v>1367</v>
      </c>
      <c r="AB8" s="47">
        <f t="shared" si="5"/>
        <v>14664</v>
      </c>
      <c r="AC8" s="162">
        <f t="shared" si="6"/>
        <v>14623</v>
      </c>
    </row>
    <row r="9" spans="1:29" ht="34.5" x14ac:dyDescent="0.7">
      <c r="A9" s="10">
        <v>5</v>
      </c>
      <c r="B9" s="10">
        <v>1111005</v>
      </c>
      <c r="C9" s="19" t="s">
        <v>1425</v>
      </c>
      <c r="D9" s="10" t="s">
        <v>429</v>
      </c>
      <c r="E9" s="46"/>
      <c r="F9" s="44">
        <f>+ยกมา!F9+'29'!F9+'30'!F9+'1'!F9+'2'!F9+'3'!F9+'4'!F9+'5'!F9+'6'!F9+'7'!F9+'8'!F9+'9'!F9+'10'!F9</f>
        <v>30</v>
      </c>
      <c r="G9" s="43">
        <f t="shared" si="0"/>
        <v>30</v>
      </c>
      <c r="H9" s="76">
        <f>+ยกมา!H9+'29'!H9+'30'!H9+'1'!H9+'2'!H9+'3'!H9+'4'!H9+'5'!H9+'6'!H9+'7'!H9+'8'!H9+'9'!H9+'10'!H9</f>
        <v>0</v>
      </c>
      <c r="I9" s="74">
        <f>+ยกมา!I9+'29'!I9+'30'!I9+'1'!I9+'2'!I9+'3'!I9+'4'!I9+'5'!I9+'6'!I9+'7'!I9+'8'!I9+'9'!I9+'10'!I9</f>
        <v>0</v>
      </c>
      <c r="J9" s="43">
        <f t="shared" si="1"/>
        <v>0</v>
      </c>
      <c r="K9" s="44">
        <f>ยกมา!K9+'29'!K9+'30'!K9+'1'!K9+'2'!K9+'3'!K9+'4'!K9+'5'!K9+'6'!K9+'7'!K9+'8'!K9+'9'!K9+'10'!K9</f>
        <v>30</v>
      </c>
      <c r="L9" s="15">
        <v>85</v>
      </c>
      <c r="M9" s="44">
        <f>ยกมา!M9+'29'!M9+'30'!M9+'1'!M9+'2'!M9+'3'!M9+'4'!M9+'5'!M9+'6'!M9+'7'!M9+'8'!M9+'9'!M9+'10'!M9</f>
        <v>2550</v>
      </c>
      <c r="N9" s="19"/>
      <c r="O9" s="88">
        <v>22.65</v>
      </c>
      <c r="P9" s="77">
        <f t="shared" si="2"/>
        <v>679.5</v>
      </c>
      <c r="Q9" s="45">
        <v>3</v>
      </c>
      <c r="R9" s="46">
        <f>+'3'!N68</f>
        <v>12897</v>
      </c>
      <c r="S9" s="46">
        <f>+'3'!N73</f>
        <v>422</v>
      </c>
      <c r="T9" s="46">
        <f>+'3'!N71</f>
        <v>0</v>
      </c>
      <c r="U9" s="46">
        <f>+'3'!N69</f>
        <v>15</v>
      </c>
      <c r="V9" s="46">
        <f>+'3'!N72</f>
        <v>1400</v>
      </c>
      <c r="W9" s="46">
        <f>+'3'!N70</f>
        <v>4579</v>
      </c>
      <c r="X9" s="46">
        <f t="shared" si="3"/>
        <v>6481</v>
      </c>
      <c r="Y9" s="46">
        <f>+'3'!N75</f>
        <v>6421</v>
      </c>
      <c r="Z9" s="47">
        <f t="shared" si="4"/>
        <v>-60</v>
      </c>
      <c r="AA9" s="144" t="s">
        <v>1368</v>
      </c>
      <c r="AB9" s="47">
        <f t="shared" si="5"/>
        <v>11000</v>
      </c>
      <c r="AC9" s="162">
        <f t="shared" si="6"/>
        <v>10940</v>
      </c>
    </row>
    <row r="10" spans="1:29" ht="34.5" x14ac:dyDescent="0.7">
      <c r="A10" s="10">
        <v>6</v>
      </c>
      <c r="B10" s="10">
        <v>1111009</v>
      </c>
      <c r="C10" s="19" t="s">
        <v>1424</v>
      </c>
      <c r="D10" s="10" t="s">
        <v>429</v>
      </c>
      <c r="E10" s="46"/>
      <c r="F10" s="44">
        <f>+ยกมา!F10+'29'!F10+'30'!F10+'1'!F10+'2'!F10+'3'!F10+'4'!F10+'5'!F10+'6'!F10+'7'!F10+'8'!F10+'9'!F10+'10'!F10</f>
        <v>270</v>
      </c>
      <c r="G10" s="43">
        <f t="shared" si="0"/>
        <v>270</v>
      </c>
      <c r="H10" s="76">
        <f>+ยกมา!H10+'29'!H10+'30'!H10+'1'!H10+'2'!H10+'3'!H10+'4'!H10+'5'!H10+'6'!H10+'7'!H10+'8'!H10+'9'!H10+'10'!H10</f>
        <v>0</v>
      </c>
      <c r="I10" s="74">
        <f>+ยกมา!I10+'29'!I10+'30'!I10+'1'!I10+'2'!I10+'3'!I10+'4'!I10+'5'!I10+'6'!I10+'7'!I10+'8'!I10+'9'!I10+'10'!I10</f>
        <v>0</v>
      </c>
      <c r="J10" s="43">
        <f t="shared" si="1"/>
        <v>14</v>
      </c>
      <c r="K10" s="44">
        <f>ยกมา!K10+'29'!K10+'30'!K10+'1'!K10+'2'!K10+'3'!K10+'4'!K10+'5'!K10+'6'!K10+'7'!K10+'8'!K10+'9'!K10+'10'!K10</f>
        <v>256</v>
      </c>
      <c r="L10" s="15">
        <v>100</v>
      </c>
      <c r="M10" s="44">
        <f>ยกมา!M10+'29'!M10+'30'!M10+'1'!M10+'2'!M10+'3'!M10+'4'!M10+'5'!M10+'6'!M10+'7'!M10+'8'!M10+'9'!M10+'10'!M10</f>
        <v>25600</v>
      </c>
      <c r="N10" s="19"/>
      <c r="O10" s="88">
        <v>27.98</v>
      </c>
      <c r="P10" s="77">
        <f t="shared" si="2"/>
        <v>7162.88</v>
      </c>
      <c r="Q10" s="45">
        <v>4</v>
      </c>
      <c r="R10" s="46">
        <f>+'4'!N68</f>
        <v>15627</v>
      </c>
      <c r="S10" s="46">
        <f>+'4'!N73</f>
        <v>289</v>
      </c>
      <c r="T10" s="46">
        <f>+'4'!N71</f>
        <v>0</v>
      </c>
      <c r="U10" s="46">
        <f>+'4'!N69</f>
        <v>15</v>
      </c>
      <c r="V10" s="46">
        <f>+'4'!N72</f>
        <v>1400</v>
      </c>
      <c r="W10" s="46">
        <f>+'4'!N70</f>
        <v>6772</v>
      </c>
      <c r="X10" s="46">
        <f t="shared" si="3"/>
        <v>7151</v>
      </c>
      <c r="Y10" s="46">
        <f>+'4'!N75</f>
        <v>7019</v>
      </c>
      <c r="Z10" s="47">
        <f t="shared" si="4"/>
        <v>-132</v>
      </c>
      <c r="AA10" s="144" t="s">
        <v>1369</v>
      </c>
      <c r="AB10" s="47">
        <f t="shared" si="5"/>
        <v>13791</v>
      </c>
      <c r="AC10" s="162">
        <f t="shared" si="6"/>
        <v>13659</v>
      </c>
    </row>
    <row r="11" spans="1:29" ht="34.5" x14ac:dyDescent="0.7">
      <c r="A11" s="10">
        <v>7</v>
      </c>
      <c r="B11" s="10">
        <v>1111056</v>
      </c>
      <c r="C11" s="19" t="s">
        <v>317</v>
      </c>
      <c r="D11" s="10" t="s">
        <v>429</v>
      </c>
      <c r="E11" s="46"/>
      <c r="F11" s="44">
        <f>+ยกมา!F11+'29'!F11+'30'!F11+'1'!F11+'2'!F11+'3'!F11+'4'!F11+'5'!F11+'6'!F11+'7'!F11+'8'!F11+'9'!F11+'10'!F11</f>
        <v>300</v>
      </c>
      <c r="G11" s="43">
        <f t="shared" si="0"/>
        <v>300</v>
      </c>
      <c r="H11" s="76">
        <f>+ยกมา!H11+'29'!H11+'30'!H11+'1'!H11+'2'!H11+'3'!H11+'4'!H11+'5'!H11+'6'!H11+'7'!H11+'8'!H11+'9'!H11+'10'!H11</f>
        <v>0</v>
      </c>
      <c r="I11" s="74">
        <f>+ยกมา!I11+'29'!I11+'30'!I11+'1'!I11+'2'!I11+'3'!I11+'4'!I11+'5'!I11+'6'!I11+'7'!I11+'8'!I11+'9'!I11+'10'!I11</f>
        <v>0</v>
      </c>
      <c r="J11" s="43">
        <f t="shared" si="1"/>
        <v>37</v>
      </c>
      <c r="K11" s="44">
        <f>ยกมา!K11+'29'!K11+'30'!K11+'1'!K11+'2'!K11+'3'!K11+'4'!K11+'5'!K11+'6'!K11+'7'!K11+'8'!K11+'9'!K11+'10'!K11</f>
        <v>263</v>
      </c>
      <c r="L11" s="15">
        <v>100</v>
      </c>
      <c r="M11" s="44">
        <f>ยกมา!M11+'29'!M11+'30'!M11+'1'!M11+'2'!M11+'3'!M11+'4'!M11+'5'!M11+'6'!M11+'7'!M11+'8'!M11+'9'!M11+'10'!M11</f>
        <v>26300</v>
      </c>
      <c r="N11" s="19"/>
      <c r="O11" s="88">
        <v>34.64</v>
      </c>
      <c r="P11" s="77">
        <f t="shared" si="2"/>
        <v>9110.32</v>
      </c>
      <c r="Q11" s="45">
        <v>5</v>
      </c>
      <c r="R11" s="46">
        <f>+'5'!N68</f>
        <v>31734</v>
      </c>
      <c r="S11" s="46">
        <f>+'5'!N73</f>
        <v>823</v>
      </c>
      <c r="T11" s="46">
        <f>+'5'!N71</f>
        <v>0</v>
      </c>
      <c r="U11" s="46">
        <f>+'5'!N69</f>
        <v>15</v>
      </c>
      <c r="V11" s="46">
        <f>+'5'!N72</f>
        <v>1428</v>
      </c>
      <c r="W11" s="46">
        <f>+'5'!N70</f>
        <v>9969</v>
      </c>
      <c r="X11" s="46">
        <f t="shared" si="3"/>
        <v>19499</v>
      </c>
      <c r="Y11" s="46">
        <f>+'5'!N75</f>
        <v>19499</v>
      </c>
      <c r="Z11" s="47">
        <f t="shared" si="4"/>
        <v>0</v>
      </c>
      <c r="AA11" s="144" t="s">
        <v>1370</v>
      </c>
      <c r="AB11" s="47">
        <f t="shared" si="5"/>
        <v>29468</v>
      </c>
      <c r="AC11" s="162">
        <f t="shared" si="6"/>
        <v>29468</v>
      </c>
    </row>
    <row r="12" spans="1:29" ht="34.5" x14ac:dyDescent="0.7">
      <c r="A12" s="10">
        <v>8</v>
      </c>
      <c r="B12" s="10">
        <v>1111006</v>
      </c>
      <c r="C12" s="19" t="s">
        <v>295</v>
      </c>
      <c r="D12" s="10" t="s">
        <v>429</v>
      </c>
      <c r="E12" s="46"/>
      <c r="F12" s="44">
        <f>+ยกมา!F12+'29'!F12+'30'!F12+'1'!F12+'2'!F12+'3'!F12+'4'!F12+'5'!F12+'6'!F12+'7'!F12+'8'!F12+'9'!F12+'10'!F12</f>
        <v>68</v>
      </c>
      <c r="G12" s="43">
        <f t="shared" si="0"/>
        <v>68</v>
      </c>
      <c r="H12" s="76">
        <f>+ยกมา!H12+'29'!H12+'30'!H12+'1'!H12+'2'!H12+'3'!H12+'4'!H12+'5'!H12+'6'!H12+'7'!H12+'8'!H12+'9'!H12+'10'!H12</f>
        <v>0</v>
      </c>
      <c r="I12" s="74">
        <f>+ยกมา!I12+'29'!I12+'30'!I12+'1'!I12+'2'!I12+'3'!I12+'4'!I12+'5'!I12+'6'!I12+'7'!I12+'8'!I12+'9'!I12+'10'!I12</f>
        <v>0</v>
      </c>
      <c r="J12" s="43">
        <f t="shared" si="1"/>
        <v>0</v>
      </c>
      <c r="K12" s="44">
        <f>ยกมา!K12+'29'!K12+'30'!K12+'1'!K12+'2'!K12+'3'!K12+'4'!K12+'5'!K12+'6'!K12+'7'!K12+'8'!K12+'9'!K12+'10'!K12</f>
        <v>68</v>
      </c>
      <c r="L12" s="20">
        <v>130</v>
      </c>
      <c r="M12" s="44">
        <f>ยกมา!M12+'29'!M12+'30'!M12+'1'!M12+'2'!M12+'3'!M12+'4'!M12+'5'!M12+'6'!M12+'7'!M12+'8'!M12+'9'!M12+'10'!M12</f>
        <v>8840</v>
      </c>
      <c r="N12" s="19"/>
      <c r="O12" s="88">
        <v>46.37</v>
      </c>
      <c r="P12" s="77">
        <f t="shared" si="2"/>
        <v>3153.16</v>
      </c>
      <c r="Q12" s="45">
        <v>6</v>
      </c>
      <c r="R12" s="46">
        <f>+'6'!N68</f>
        <v>24197</v>
      </c>
      <c r="S12" s="46">
        <f>+'6'!N73</f>
        <v>397</v>
      </c>
      <c r="T12" s="46">
        <f>+'6'!N71</f>
        <v>0</v>
      </c>
      <c r="U12" s="46">
        <f>+'6'!N69</f>
        <v>15</v>
      </c>
      <c r="V12" s="46">
        <f>+'6'!N72</f>
        <v>1400</v>
      </c>
      <c r="W12" s="46">
        <f>+'6'!N70</f>
        <v>8778</v>
      </c>
      <c r="X12" s="46">
        <f t="shared" si="3"/>
        <v>13607</v>
      </c>
      <c r="Y12" s="46">
        <f>+'6'!N75</f>
        <v>13607</v>
      </c>
      <c r="Z12" s="47">
        <f t="shared" si="4"/>
        <v>0</v>
      </c>
      <c r="AA12" s="145" t="s">
        <v>1371</v>
      </c>
      <c r="AB12" s="47">
        <f t="shared" si="5"/>
        <v>22385</v>
      </c>
      <c r="AC12" s="162">
        <f t="shared" si="6"/>
        <v>22385</v>
      </c>
    </row>
    <row r="13" spans="1:29" ht="34.5" x14ac:dyDescent="0.7">
      <c r="A13" s="10">
        <v>9</v>
      </c>
      <c r="B13" s="10">
        <v>1111035</v>
      </c>
      <c r="C13" s="19" t="s">
        <v>302</v>
      </c>
      <c r="D13" s="10" t="s">
        <v>429</v>
      </c>
      <c r="E13" s="46"/>
      <c r="F13" s="44">
        <f>+ยกมา!F13+'29'!F13+'30'!F13+'1'!F13+'2'!F13+'3'!F13+'4'!F13+'5'!F13+'6'!F13+'7'!F13+'8'!F13+'9'!F13+'10'!F13</f>
        <v>5</v>
      </c>
      <c r="G13" s="43">
        <f t="shared" si="0"/>
        <v>5</v>
      </c>
      <c r="H13" s="76">
        <f>+ยกมา!H13+'29'!H13+'30'!H13+'1'!H13+'2'!H13+'3'!H13+'4'!H13+'5'!H13+'6'!H13+'7'!H13+'8'!H13+'9'!H13+'10'!H13</f>
        <v>0</v>
      </c>
      <c r="I13" s="74">
        <f>+ยกมา!I13+'29'!I13+'30'!I13+'1'!I13+'2'!I13+'3'!I13+'4'!I13+'5'!I13+'6'!I13+'7'!I13+'8'!I13+'9'!I13+'10'!I13</f>
        <v>0</v>
      </c>
      <c r="J13" s="43">
        <f t="shared" si="1"/>
        <v>0</v>
      </c>
      <c r="K13" s="44">
        <f>ยกมา!K13+'29'!K13+'30'!K13+'1'!K13+'2'!K13+'3'!K13+'4'!K13+'5'!K13+'6'!K13+'7'!K13+'8'!K13+'9'!K13+'10'!K13</f>
        <v>5</v>
      </c>
      <c r="L13" s="15">
        <v>130</v>
      </c>
      <c r="M13" s="44">
        <f>ยกมา!M13+'29'!M13+'30'!M13+'1'!M13+'2'!M13+'3'!M13+'4'!M13+'5'!M13+'6'!M13+'7'!M13+'8'!M13+'9'!M13+'10'!M13</f>
        <v>650</v>
      </c>
      <c r="N13" s="19"/>
      <c r="O13" s="88">
        <v>38.9</v>
      </c>
      <c r="P13" s="77">
        <f t="shared" si="2"/>
        <v>194.5</v>
      </c>
      <c r="Q13" s="45">
        <v>7</v>
      </c>
      <c r="R13" s="46">
        <f>+'7'!N68</f>
        <v>19601</v>
      </c>
      <c r="S13" s="46">
        <f>+'7'!N73</f>
        <v>330</v>
      </c>
      <c r="T13" s="46">
        <f>+'7'!N71</f>
        <v>0</v>
      </c>
      <c r="U13" s="46">
        <f>+'7'!N69</f>
        <v>15</v>
      </c>
      <c r="V13" s="46">
        <f>+'7'!N72</f>
        <v>700</v>
      </c>
      <c r="W13" s="46">
        <f>+'7'!N70</f>
        <v>7657</v>
      </c>
      <c r="X13" s="46">
        <f t="shared" si="3"/>
        <v>10899</v>
      </c>
      <c r="Y13" s="46">
        <f>+'7'!N75</f>
        <v>10899</v>
      </c>
      <c r="Z13" s="47">
        <f t="shared" si="4"/>
        <v>0</v>
      </c>
      <c r="AA13" s="145" t="s">
        <v>1372</v>
      </c>
      <c r="AB13" s="47">
        <f t="shared" si="5"/>
        <v>18556</v>
      </c>
      <c r="AC13" s="162">
        <f t="shared" si="6"/>
        <v>18556</v>
      </c>
    </row>
    <row r="14" spans="1:29" ht="34.5" x14ac:dyDescent="0.7">
      <c r="A14" s="10">
        <v>10</v>
      </c>
      <c r="B14" s="10">
        <v>1004080</v>
      </c>
      <c r="C14" s="19" t="s">
        <v>49</v>
      </c>
      <c r="D14" s="10" t="s">
        <v>429</v>
      </c>
      <c r="E14" s="46"/>
      <c r="F14" s="44">
        <f>+ยกมา!F14+'29'!F14+'30'!F14+'1'!F14+'2'!F14+'3'!F14+'4'!F14+'5'!F14+'6'!F14+'7'!F14+'8'!F14+'9'!F14+'10'!F14</f>
        <v>70</v>
      </c>
      <c r="G14" s="43">
        <f t="shared" si="0"/>
        <v>70</v>
      </c>
      <c r="H14" s="76">
        <f>+ยกมา!H14+'29'!H14+'30'!H14+'1'!H14+'2'!H14+'3'!H14+'4'!H14+'5'!H14+'6'!H14+'7'!H14+'8'!H14+'9'!H14+'10'!H14</f>
        <v>0</v>
      </c>
      <c r="I14" s="74">
        <f>+ยกมา!I14+'29'!I14+'30'!I14+'1'!I14+'2'!I14+'3'!I14+'4'!I14+'5'!I14+'6'!I14+'7'!I14+'8'!I14+'9'!I14+'10'!I14</f>
        <v>0</v>
      </c>
      <c r="J14" s="43">
        <f t="shared" si="1"/>
        <v>0</v>
      </c>
      <c r="K14" s="44">
        <f>ยกมา!K14+'29'!K14+'30'!K14+'1'!K14+'2'!K14+'3'!K14+'4'!K14+'5'!K14+'6'!K14+'7'!K14+'8'!K14+'9'!K14+'10'!K14</f>
        <v>70</v>
      </c>
      <c r="L14" s="15">
        <v>50</v>
      </c>
      <c r="M14" s="44">
        <f>ยกมา!M14+'29'!M14+'30'!M14+'1'!M14+'2'!M14+'3'!M14+'4'!M14+'5'!M14+'6'!M14+'7'!M14+'8'!M14+'9'!M14+'10'!M14</f>
        <v>3500</v>
      </c>
      <c r="N14" s="19"/>
      <c r="O14" s="88">
        <v>27.84</v>
      </c>
      <c r="P14" s="77">
        <f t="shared" si="2"/>
        <v>1948.8</v>
      </c>
      <c r="Q14" s="45">
        <v>8</v>
      </c>
      <c r="R14" s="46">
        <f>+'8'!N68</f>
        <v>9495</v>
      </c>
      <c r="S14" s="46">
        <f>+'8'!N73</f>
        <v>44</v>
      </c>
      <c r="T14" s="46">
        <f>+'8'!N71</f>
        <v>0</v>
      </c>
      <c r="U14" s="46">
        <f>+'8'!N69</f>
        <v>15</v>
      </c>
      <c r="V14" s="46">
        <f>+'8'!N72</f>
        <v>5906</v>
      </c>
      <c r="W14" s="46">
        <f>+'8'!N70</f>
        <v>2485</v>
      </c>
      <c r="X14" s="46">
        <f t="shared" si="3"/>
        <v>1045</v>
      </c>
      <c r="Y14" s="46">
        <f>+'8'!N75</f>
        <v>1045</v>
      </c>
      <c r="Z14" s="47">
        <f t="shared" si="4"/>
        <v>0</v>
      </c>
      <c r="AA14" s="144" t="s">
        <v>1373</v>
      </c>
      <c r="AB14" s="47">
        <f t="shared" si="5"/>
        <v>3530</v>
      </c>
      <c r="AC14" s="162">
        <f t="shared" si="6"/>
        <v>3530</v>
      </c>
    </row>
    <row r="15" spans="1:29" ht="34.5" x14ac:dyDescent="0.7">
      <c r="A15" s="10">
        <v>11</v>
      </c>
      <c r="B15" s="10">
        <v>1004081</v>
      </c>
      <c r="C15" s="19" t="s">
        <v>50</v>
      </c>
      <c r="D15" s="10" t="s">
        <v>429</v>
      </c>
      <c r="E15" s="46"/>
      <c r="F15" s="44">
        <f>+ยกมา!F15+'29'!F15+'30'!F15+'1'!F15+'2'!F15+'3'!F15+'4'!F15+'5'!F15+'6'!F15+'7'!F15+'8'!F15+'9'!F15+'10'!F15</f>
        <v>45</v>
      </c>
      <c r="G15" s="43">
        <f t="shared" si="0"/>
        <v>45</v>
      </c>
      <c r="H15" s="76">
        <f>+ยกมา!H15+'29'!H15+'30'!H15+'1'!H15+'2'!H15+'3'!H15+'4'!H15+'5'!H15+'6'!H15+'7'!H15+'8'!H15+'9'!H15+'10'!H15</f>
        <v>0</v>
      </c>
      <c r="I15" s="74">
        <f>+ยกมา!I15+'29'!I15+'30'!I15+'1'!I15+'2'!I15+'3'!I15+'4'!I15+'5'!I15+'6'!I15+'7'!I15+'8'!I15+'9'!I15+'10'!I15</f>
        <v>0</v>
      </c>
      <c r="J15" s="43">
        <f t="shared" si="1"/>
        <v>0</v>
      </c>
      <c r="K15" s="44">
        <f>ยกมา!K15+'29'!K15+'30'!K15+'1'!K15+'2'!K15+'3'!K15+'4'!K15+'5'!K15+'6'!K15+'7'!K15+'8'!K15+'9'!K15+'10'!K15</f>
        <v>45</v>
      </c>
      <c r="L15" s="15">
        <v>50</v>
      </c>
      <c r="M15" s="44">
        <f>ยกมา!M15+'29'!M15+'30'!M15+'1'!M15+'2'!M15+'3'!M15+'4'!M15+'5'!M15+'6'!M15+'7'!M15+'8'!M15+'9'!M15+'10'!M15</f>
        <v>2250</v>
      </c>
      <c r="N15" s="19"/>
      <c r="O15" s="88">
        <v>27.12</v>
      </c>
      <c r="P15" s="77">
        <f t="shared" si="2"/>
        <v>1220.4000000000001</v>
      </c>
      <c r="Q15" s="45">
        <v>9</v>
      </c>
      <c r="R15" s="46">
        <f>+'9'!N68</f>
        <v>14879</v>
      </c>
      <c r="S15" s="46">
        <f>+'9'!N73</f>
        <v>728</v>
      </c>
      <c r="T15" s="46">
        <f>+'9'!N71</f>
        <v>0</v>
      </c>
      <c r="U15" s="46">
        <f>+'9'!N69</f>
        <v>15</v>
      </c>
      <c r="V15" s="46">
        <f>+'9'!N72</f>
        <v>1400</v>
      </c>
      <c r="W15" s="46">
        <f>+'9'!N70</f>
        <v>5522</v>
      </c>
      <c r="X15" s="46">
        <f t="shared" si="3"/>
        <v>7214</v>
      </c>
      <c r="Y15" s="46">
        <f>+'9'!N75</f>
        <v>7214</v>
      </c>
      <c r="Z15" s="47">
        <f t="shared" si="4"/>
        <v>0</v>
      </c>
      <c r="AA15" s="144" t="s">
        <v>1367</v>
      </c>
      <c r="AB15" s="47">
        <f t="shared" si="5"/>
        <v>12736</v>
      </c>
      <c r="AC15" s="162">
        <f t="shared" si="6"/>
        <v>12736</v>
      </c>
    </row>
    <row r="16" spans="1:29" ht="34.5" x14ac:dyDescent="0.7">
      <c r="A16" s="10">
        <v>12</v>
      </c>
      <c r="B16" s="10">
        <v>3001200</v>
      </c>
      <c r="C16" s="19" t="s">
        <v>51</v>
      </c>
      <c r="D16" s="10" t="s">
        <v>429</v>
      </c>
      <c r="E16" s="46"/>
      <c r="F16" s="44">
        <f>+ยกมา!F16+'29'!F16+'30'!F16+'1'!F16+'2'!F16+'3'!F16+'4'!F16+'5'!F16+'6'!F16+'7'!F16+'8'!F16+'9'!F16+'10'!F16</f>
        <v>44</v>
      </c>
      <c r="G16" s="43">
        <f t="shared" si="0"/>
        <v>44</v>
      </c>
      <c r="H16" s="76">
        <f>+ยกมา!H16+'29'!H16+'30'!H16+'1'!H16+'2'!H16+'3'!H16+'4'!H16+'5'!H16+'6'!H16+'7'!H16+'8'!H16+'9'!H16+'10'!H16</f>
        <v>0</v>
      </c>
      <c r="I16" s="74">
        <f>+ยกมา!I16+'29'!I16+'30'!I16+'1'!I16+'2'!I16+'3'!I16+'4'!I16+'5'!I16+'6'!I16+'7'!I16+'8'!I16+'9'!I16+'10'!I16</f>
        <v>0</v>
      </c>
      <c r="J16" s="43">
        <f t="shared" si="1"/>
        <v>0</v>
      </c>
      <c r="K16" s="44">
        <f>ยกมา!K16+'29'!K16+'30'!K16+'1'!K16+'2'!K16+'3'!K16+'4'!K16+'5'!K16+'6'!K16+'7'!K16+'8'!K16+'9'!K16+'10'!K16</f>
        <v>44</v>
      </c>
      <c r="L16" s="20">
        <v>50</v>
      </c>
      <c r="M16" s="44">
        <f>ยกมา!M16+'29'!M16+'30'!M16+'1'!M16+'2'!M16+'3'!M16+'4'!M16+'5'!M16+'6'!M16+'7'!M16+'8'!M16+'9'!M16+'10'!M16</f>
        <v>2200</v>
      </c>
      <c r="N16" s="19"/>
      <c r="O16" s="88">
        <v>15.42</v>
      </c>
      <c r="P16" s="77">
        <f t="shared" si="2"/>
        <v>678.48</v>
      </c>
      <c r="Q16" s="45">
        <v>10</v>
      </c>
      <c r="R16" s="46">
        <f>+'10'!N68</f>
        <v>28790</v>
      </c>
      <c r="S16" s="46">
        <f>+'10'!N73</f>
        <v>2994</v>
      </c>
      <c r="T16" s="46">
        <f>+'10'!N71</f>
        <v>0</v>
      </c>
      <c r="U16" s="46">
        <f>+'10'!N69</f>
        <v>0</v>
      </c>
      <c r="V16" s="46">
        <f>+'10'!N72</f>
        <v>1400</v>
      </c>
      <c r="W16" s="46">
        <f>+'10'!N70</f>
        <v>7599</v>
      </c>
      <c r="X16" s="46">
        <f t="shared" si="3"/>
        <v>16797</v>
      </c>
      <c r="Y16" s="46">
        <f>+'10'!N75</f>
        <v>16797</v>
      </c>
      <c r="Z16" s="47">
        <f t="shared" si="4"/>
        <v>0</v>
      </c>
      <c r="AA16" s="144" t="s">
        <v>1368</v>
      </c>
      <c r="AB16" s="47">
        <f t="shared" si="5"/>
        <v>24396</v>
      </c>
      <c r="AC16" s="162">
        <f t="shared" si="6"/>
        <v>24396</v>
      </c>
    </row>
    <row r="17" spans="1:29" ht="34.5" x14ac:dyDescent="0.7">
      <c r="A17" s="10">
        <v>13</v>
      </c>
      <c r="B17" s="10">
        <v>1112015</v>
      </c>
      <c r="C17" s="19" t="s">
        <v>330</v>
      </c>
      <c r="D17" s="10" t="s">
        <v>429</v>
      </c>
      <c r="E17" s="46"/>
      <c r="F17" s="44">
        <f>+ยกมา!F17+'29'!F17+'30'!F17+'1'!F17+'2'!F17+'3'!F17+'4'!F17+'5'!F17+'6'!F17+'7'!F17+'8'!F17+'9'!F17+'10'!F17</f>
        <v>45</v>
      </c>
      <c r="G17" s="43">
        <f t="shared" si="0"/>
        <v>45</v>
      </c>
      <c r="H17" s="76">
        <f>+ยกมา!H17+'29'!H17+'30'!H17+'1'!H17+'2'!H17+'3'!H17+'4'!H17+'5'!H17+'6'!H17+'7'!H17+'8'!H17+'9'!H17+'10'!H17</f>
        <v>0</v>
      </c>
      <c r="I17" s="74">
        <f>+ยกมา!I17+'29'!I17+'30'!I17+'1'!I17+'2'!I17+'3'!I17+'4'!I17+'5'!I17+'6'!I17+'7'!I17+'8'!I17+'9'!I17+'10'!I17</f>
        <v>0</v>
      </c>
      <c r="J17" s="43">
        <f t="shared" si="1"/>
        <v>6</v>
      </c>
      <c r="K17" s="44">
        <f>ยกมา!K17+'29'!K17+'30'!K17+'1'!K17+'2'!K17+'3'!K17+'4'!K17+'5'!K17+'6'!K17+'7'!K17+'8'!K17+'9'!K17+'10'!K17</f>
        <v>39</v>
      </c>
      <c r="L17" s="15">
        <v>50</v>
      </c>
      <c r="M17" s="44">
        <f>ยกมา!M17+'29'!M17+'30'!M17+'1'!M17+'2'!M17+'3'!M17+'4'!M17+'5'!M17+'6'!M17+'7'!M17+'8'!M17+'9'!M17+'10'!M17</f>
        <v>1950</v>
      </c>
      <c r="N17" s="19"/>
      <c r="O17" s="88">
        <v>17.78</v>
      </c>
      <c r="P17" s="77">
        <f t="shared" si="2"/>
        <v>693.42000000000007</v>
      </c>
      <c r="Q17" s="45"/>
      <c r="R17" s="163">
        <f>SUM(R5:R16)</f>
        <v>223756</v>
      </c>
      <c r="S17" s="163">
        <f>SUM(S5:S16)</f>
        <v>7159</v>
      </c>
      <c r="T17" s="163">
        <f t="shared" ref="R17:AB17" si="7">SUM(T5:T15)</f>
        <v>0</v>
      </c>
      <c r="U17" s="163">
        <f>SUM(U5:U16)</f>
        <v>105</v>
      </c>
      <c r="V17" s="163">
        <f>SUM(V5:V16)</f>
        <v>19054</v>
      </c>
      <c r="W17" s="163">
        <f>SUM(W5:W16)</f>
        <v>79284</v>
      </c>
      <c r="X17" s="163">
        <f>SUM(X5:X16)</f>
        <v>118154</v>
      </c>
      <c r="Y17" s="163">
        <f>SUM(Y5:Y16)</f>
        <v>119125</v>
      </c>
      <c r="Z17" s="163">
        <f>SUM(Z5:Z16)</f>
        <v>971</v>
      </c>
      <c r="AA17" s="163">
        <f t="shared" si="7"/>
        <v>0</v>
      </c>
      <c r="AB17" s="163">
        <f>SUM(AB5:AB16)</f>
        <v>198409</v>
      </c>
      <c r="AC17" s="233"/>
    </row>
    <row r="18" spans="1:29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112"/>
      <c r="F18" s="44">
        <f>+ยกมา!F18+'29'!F18+'30'!F18+'1'!F18+'2'!F18+'3'!F18+'4'!F18+'5'!F18+'6'!F18+'7'!F18+'8'!F18+'9'!F18+'10'!F18</f>
        <v>45</v>
      </c>
      <c r="G18" s="43">
        <f t="shared" si="0"/>
        <v>45</v>
      </c>
      <c r="H18" s="76">
        <f>+ยกมา!H18+'29'!H18+'30'!H18+'1'!H18+'2'!H18+'3'!H18+'4'!H18+'5'!H18+'6'!H18+'7'!H18+'8'!H18+'9'!H18+'10'!H18</f>
        <v>0</v>
      </c>
      <c r="I18" s="74">
        <f>+ยกมา!I18+'29'!I18+'30'!I18+'1'!I18+'2'!I18+'3'!I18+'4'!I18+'5'!I18+'6'!I18+'7'!I18+'8'!I18+'9'!I18+'10'!I18</f>
        <v>0</v>
      </c>
      <c r="J18" s="43">
        <f t="shared" si="1"/>
        <v>0</v>
      </c>
      <c r="K18" s="44">
        <f>ยกมา!K18+'29'!K18+'30'!K18+'1'!K18+'2'!K18+'3'!K18+'4'!K18+'5'!K18+'6'!K18+'7'!K18+'8'!K18+'9'!K18+'10'!K18</f>
        <v>45</v>
      </c>
      <c r="L18" s="20">
        <v>50</v>
      </c>
      <c r="M18" s="44">
        <f>ยกมา!M18+'29'!M18+'30'!M18+'1'!M18+'2'!M18+'3'!M18+'4'!M18+'5'!M18+'6'!M18+'7'!M18+'8'!M18+'9'!M18+'10'!M18</f>
        <v>2250</v>
      </c>
      <c r="N18" s="111"/>
      <c r="O18" s="88">
        <v>17.989999999999998</v>
      </c>
      <c r="P18" s="77">
        <f t="shared" si="2"/>
        <v>809.55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s="113" customFormat="1" ht="26.45" customHeight="1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112"/>
      <c r="F19" s="44">
        <f>+ยกมา!F19+'29'!F19+'30'!F19+'1'!F19+'2'!F19+'3'!F19+'4'!F19+'5'!F19+'6'!F19+'7'!F19+'8'!F19+'9'!F19+'10'!F19</f>
        <v>35</v>
      </c>
      <c r="G19" s="43">
        <f t="shared" si="0"/>
        <v>35</v>
      </c>
      <c r="H19" s="76">
        <f>+ยกมา!H19+'29'!H19+'30'!H19+'1'!H19+'2'!H19+'3'!H19+'4'!H19+'5'!H19+'6'!H19+'7'!H19+'8'!H19+'9'!H19+'10'!H19</f>
        <v>0</v>
      </c>
      <c r="I19" s="74">
        <f>+ยกมา!I19+'29'!I19+'30'!I19+'1'!I19+'2'!I19+'3'!I19+'4'!I19+'5'!I19+'6'!I19+'7'!I19+'8'!I19+'9'!I19+'10'!I19</f>
        <v>0</v>
      </c>
      <c r="J19" s="43">
        <f t="shared" si="1"/>
        <v>7</v>
      </c>
      <c r="K19" s="44">
        <f>ยกมา!K19+'29'!K19+'30'!K19+'1'!K19+'2'!K19+'3'!K19+'4'!K19+'5'!K19+'6'!K19+'7'!K19+'8'!K19+'9'!K19+'10'!K19</f>
        <v>28</v>
      </c>
      <c r="L19" s="15">
        <v>50</v>
      </c>
      <c r="M19" s="44">
        <f>ยกมา!M19+'29'!M19+'30'!M19+'1'!M19+'2'!M19+'3'!M19+'4'!M19+'5'!M19+'6'!M19+'7'!M19+'8'!M19+'9'!M19+'10'!M19</f>
        <v>1400</v>
      </c>
      <c r="N19" s="111"/>
      <c r="O19" s="88">
        <v>20.059999999999999</v>
      </c>
      <c r="P19" s="77">
        <f t="shared" si="2"/>
        <v>561.67999999999995</v>
      </c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</row>
    <row r="20" spans="1:29" s="113" customFormat="1" ht="26.45" customHeight="1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112"/>
      <c r="F20" s="44">
        <f>+ยกมา!F20+'29'!F20+'30'!F20+'1'!F20+'2'!F20+'3'!F20+'4'!F20+'5'!F20+'6'!F20+'7'!F20+'8'!F20+'9'!F20+'10'!F20</f>
        <v>30</v>
      </c>
      <c r="G20" s="43">
        <f t="shared" si="0"/>
        <v>30</v>
      </c>
      <c r="H20" s="76">
        <f>+ยกมา!H20+'29'!H20+'30'!H20+'1'!H20+'2'!H20+'3'!H20+'4'!H20+'5'!H20+'6'!H20+'7'!H20+'8'!H20+'9'!H20+'10'!H20</f>
        <v>0</v>
      </c>
      <c r="I20" s="74">
        <f>+ยกมา!I20+'29'!I20+'30'!I20+'1'!I20+'2'!I20+'3'!I20+'4'!I20+'5'!I20+'6'!I20+'7'!I20+'8'!I20+'9'!I20+'10'!I20</f>
        <v>1</v>
      </c>
      <c r="J20" s="43">
        <f t="shared" si="1"/>
        <v>0</v>
      </c>
      <c r="K20" s="44">
        <f>ยกมา!K20+'29'!K20+'30'!K20+'1'!K20+'2'!K20+'3'!K20+'4'!K20+'5'!K20+'6'!K20+'7'!K20+'8'!K20+'9'!K20+'10'!K20</f>
        <v>29</v>
      </c>
      <c r="L20" s="15">
        <v>50</v>
      </c>
      <c r="M20" s="44">
        <f>ยกมา!M20+'29'!M20+'30'!M20+'1'!M20+'2'!M20+'3'!M20+'4'!M20+'5'!M20+'6'!M20+'7'!M20+'8'!M20+'9'!M20+'10'!M20</f>
        <v>1450</v>
      </c>
      <c r="N20" s="111"/>
      <c r="O20" s="88">
        <v>20.32</v>
      </c>
      <c r="P20" s="77">
        <f t="shared" si="2"/>
        <v>589.28</v>
      </c>
      <c r="Q20" s="114"/>
      <c r="R20" s="115"/>
      <c r="S20" s="114"/>
      <c r="T20" s="116"/>
      <c r="U20" s="114"/>
      <c r="V20" s="114"/>
      <c r="W20" s="114"/>
      <c r="X20" s="114"/>
      <c r="Y20" s="114"/>
      <c r="Z20" s="114"/>
      <c r="AA20" s="114"/>
      <c r="AB20" s="114"/>
      <c r="AC20" s="114"/>
    </row>
    <row r="21" spans="1:29" s="113" customFormat="1" ht="26.45" customHeight="1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46"/>
      <c r="F21" s="44">
        <f>+ยกมา!F21+'29'!F21+'30'!F21+'1'!F21+'2'!F21+'3'!F21+'4'!F21+'5'!F21+'6'!F21+'7'!F21+'8'!F21+'9'!F21+'10'!F21</f>
        <v>80</v>
      </c>
      <c r="G21" s="43">
        <f t="shared" si="0"/>
        <v>80</v>
      </c>
      <c r="H21" s="76">
        <f>+ยกมา!H21+'29'!H21+'30'!H21+'1'!H21+'2'!H21+'3'!H21+'4'!H21+'5'!H21+'6'!H21+'7'!H21+'8'!H21+'9'!H21+'10'!H21</f>
        <v>0</v>
      </c>
      <c r="I21" s="74">
        <f>+ยกมา!I21+'29'!I21+'30'!I21+'1'!I21+'2'!I21+'3'!I21+'4'!I21+'5'!I21+'6'!I21+'7'!I21+'8'!I21+'9'!I21+'10'!I21</f>
        <v>1</v>
      </c>
      <c r="J21" s="43">
        <f t="shared" si="1"/>
        <v>22</v>
      </c>
      <c r="K21" s="44">
        <f>ยกมา!K21+'29'!K21+'30'!K21+'1'!K21+'2'!K21+'3'!K21+'4'!K21+'5'!K21+'6'!K21+'7'!K21+'8'!K21+'9'!K21+'10'!K21</f>
        <v>57</v>
      </c>
      <c r="L21" s="15">
        <v>50</v>
      </c>
      <c r="M21" s="44">
        <f>ยกมา!M21+'29'!M21+'30'!M21+'1'!M21+'2'!M21+'3'!M21+'4'!M21+'5'!M21+'6'!M21+'7'!M21+'8'!M21+'9'!M21+'10'!M21</f>
        <v>2850</v>
      </c>
      <c r="N21" s="19"/>
      <c r="O21" s="88">
        <v>16.37</v>
      </c>
      <c r="P21" s="77">
        <f t="shared" si="2"/>
        <v>933.09</v>
      </c>
      <c r="Q21" s="114"/>
      <c r="R21" s="115"/>
      <c r="S21" s="114"/>
      <c r="T21" s="116"/>
      <c r="U21" s="114"/>
      <c r="V21" s="114"/>
      <c r="W21" s="114"/>
      <c r="X21" s="114"/>
      <c r="Y21" s="114"/>
      <c r="Z21" s="114"/>
      <c r="AA21" s="114"/>
      <c r="AB21" s="114"/>
      <c r="AC21" s="114"/>
    </row>
    <row r="22" spans="1:29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46"/>
      <c r="F22" s="44">
        <f>+ยกมา!F22+'29'!F22+'30'!F22+'1'!F22+'2'!F22+'3'!F22+'4'!F22+'5'!F22+'6'!F22+'7'!F22+'8'!F22+'9'!F22+'10'!F22</f>
        <v>14</v>
      </c>
      <c r="G22" s="43">
        <f t="shared" si="0"/>
        <v>14</v>
      </c>
      <c r="H22" s="76">
        <f>+ยกมา!H22+'29'!H22+'30'!H22+'1'!H22+'2'!H22+'3'!H22+'4'!H22+'5'!H22+'6'!H22+'7'!H22+'8'!H22+'9'!H22+'10'!H22</f>
        <v>0</v>
      </c>
      <c r="I22" s="74">
        <f>+ยกมา!I22+'29'!I22+'30'!I22+'1'!I22+'2'!I22+'3'!I22+'4'!I22+'5'!I22+'6'!I22+'7'!I22+'8'!I22+'9'!I22+'10'!I22</f>
        <v>0</v>
      </c>
      <c r="J22" s="43">
        <f t="shared" si="1"/>
        <v>6</v>
      </c>
      <c r="K22" s="44">
        <f>ยกมา!K22+'29'!K22+'30'!K22+'1'!K22+'2'!K22+'3'!K22+'4'!K22+'5'!K22+'6'!K22+'7'!K22+'8'!K22+'9'!K22+'10'!K22</f>
        <v>8</v>
      </c>
      <c r="L22" s="15">
        <v>120</v>
      </c>
      <c r="M22" s="44">
        <f>ยกมา!M22+'29'!M22+'30'!M22+'1'!M22+'2'!M22+'3'!M22+'4'!M22+'5'!M22+'6'!M22+'7'!M22+'8'!M22+'9'!M22+'10'!M22</f>
        <v>960</v>
      </c>
      <c r="N22" s="19"/>
      <c r="O22" s="88">
        <v>25.99</v>
      </c>
      <c r="P22" s="77">
        <f t="shared" si="2"/>
        <v>207.92</v>
      </c>
      <c r="Q22" s="5"/>
      <c r="R22" s="5"/>
      <c r="S22" s="5"/>
      <c r="T22" s="94"/>
      <c r="U22" s="5"/>
      <c r="V22" s="5"/>
      <c r="W22" s="5"/>
      <c r="X22" s="5"/>
      <c r="Y22" s="5"/>
      <c r="Z22" s="5"/>
      <c r="AA22" s="5"/>
      <c r="AB22" s="5"/>
      <c r="AC22" s="5"/>
    </row>
    <row r="23" spans="1:29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46"/>
      <c r="F23" s="44">
        <f>+ยกมา!F23+'29'!F23+'30'!F23+'1'!F23+'2'!F23+'3'!F23+'4'!F23+'5'!F23+'6'!F23+'7'!F23+'8'!F23+'9'!F23+'10'!F23</f>
        <v>19</v>
      </c>
      <c r="G23" s="43">
        <f t="shared" si="0"/>
        <v>19</v>
      </c>
      <c r="H23" s="76">
        <f>+ยกมา!H23+'29'!H23+'30'!H23+'1'!H23+'2'!H23+'3'!H23+'4'!H23+'5'!H23+'6'!H23+'7'!H23+'8'!H23+'9'!H23+'10'!H23</f>
        <v>0</v>
      </c>
      <c r="I23" s="74">
        <f>+ยกมา!I23+'29'!I23+'30'!I23+'1'!I23+'2'!I23+'3'!I23+'4'!I23+'5'!I23+'6'!I23+'7'!I23+'8'!I23+'9'!I23+'10'!I23</f>
        <v>0</v>
      </c>
      <c r="J23" s="43">
        <f t="shared" si="1"/>
        <v>0</v>
      </c>
      <c r="K23" s="44">
        <f>ยกมา!K23+'29'!K23+'30'!K23+'1'!K23+'2'!K23+'3'!K23+'4'!K23+'5'!K23+'6'!K23+'7'!K23+'8'!K23+'9'!K23+'10'!K23</f>
        <v>19</v>
      </c>
      <c r="L23" s="15">
        <v>120</v>
      </c>
      <c r="M23" s="44">
        <f>ยกมา!M23+'29'!M23+'30'!M23+'1'!M23+'2'!M23+'3'!M23+'4'!M23+'5'!M23+'6'!M23+'7'!M23+'8'!M23+'9'!M23+'10'!M23</f>
        <v>2280</v>
      </c>
      <c r="N23" s="19"/>
      <c r="O23" s="88">
        <v>28.31</v>
      </c>
      <c r="P23" s="77">
        <f t="shared" si="2"/>
        <v>537.89</v>
      </c>
      <c r="Q23" s="5"/>
      <c r="R23" s="5"/>
      <c r="S23" s="5"/>
      <c r="T23" s="94"/>
      <c r="U23" s="5"/>
      <c r="V23" s="5"/>
      <c r="W23" s="5"/>
      <c r="X23" s="5"/>
      <c r="Y23" s="5"/>
      <c r="Z23" s="5"/>
      <c r="AA23" s="5"/>
      <c r="AB23" s="5"/>
    </row>
    <row r="24" spans="1:29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46"/>
      <c r="F24" s="44">
        <f>+ยกมา!F24+'29'!F24+'30'!F24+'1'!F24+'2'!F24+'3'!F24+'4'!F24+'5'!F24+'6'!F24+'7'!F24+'8'!F24+'9'!F24+'10'!F24</f>
        <v>15</v>
      </c>
      <c r="G24" s="43">
        <f t="shared" si="0"/>
        <v>15</v>
      </c>
      <c r="H24" s="76">
        <f>+ยกมา!H24+'29'!H24+'30'!H24+'1'!H24+'2'!H24+'3'!H24+'4'!H24+'5'!H24+'6'!H24+'7'!H24+'8'!H24+'9'!H24+'10'!H24</f>
        <v>0</v>
      </c>
      <c r="I24" s="74">
        <f>+ยกมา!I24+'29'!I24+'30'!I24+'1'!I24+'2'!I24+'3'!I24+'4'!I24+'5'!I24+'6'!I24+'7'!I24+'8'!I24+'9'!I24+'10'!I24</f>
        <v>0</v>
      </c>
      <c r="J24" s="43">
        <f t="shared" si="1"/>
        <v>10</v>
      </c>
      <c r="K24" s="44">
        <f>ยกมา!K24+'29'!K24+'30'!K24+'1'!K24+'2'!K24+'3'!K24+'4'!K24+'5'!K24+'6'!K24+'7'!K24+'8'!K24+'9'!K24+'10'!K24</f>
        <v>5</v>
      </c>
      <c r="L24" s="15">
        <v>120</v>
      </c>
      <c r="M24" s="44">
        <f>ยกมา!M24+'29'!M24+'30'!M24+'1'!M24+'2'!M24+'3'!M24+'4'!M24+'5'!M24+'6'!M24+'7'!M24+'8'!M24+'9'!M24+'10'!M24</f>
        <v>600</v>
      </c>
      <c r="N24" s="19"/>
      <c r="O24" s="88">
        <v>31.07</v>
      </c>
      <c r="P24" s="77">
        <f t="shared" si="2"/>
        <v>155.35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46"/>
      <c r="F25" s="44">
        <f>+ยกมา!F25+'29'!F25+'30'!F25+'1'!F25+'2'!F25+'3'!F25+'4'!F25+'5'!F25+'6'!F25+'7'!F25+'8'!F25+'9'!F25+'10'!F25</f>
        <v>15</v>
      </c>
      <c r="G25" s="43">
        <f t="shared" si="0"/>
        <v>15</v>
      </c>
      <c r="H25" s="76">
        <f>+ยกมา!H25+'29'!H25+'30'!H25+'1'!H25+'2'!H25+'3'!H25+'4'!H25+'5'!H25+'6'!H25+'7'!H25+'8'!H25+'9'!H25+'10'!H25</f>
        <v>0</v>
      </c>
      <c r="I25" s="74">
        <f>+ยกมา!I25+'29'!I25+'30'!I25+'1'!I25+'2'!I25+'3'!I25+'4'!I25+'5'!I25+'6'!I25+'7'!I25+'8'!I25+'9'!I25+'10'!I25</f>
        <v>0</v>
      </c>
      <c r="J25" s="43">
        <f t="shared" si="1"/>
        <v>3</v>
      </c>
      <c r="K25" s="44">
        <f>ยกมา!K25+'29'!K25+'30'!K25+'1'!K25+'2'!K25+'3'!K25+'4'!K25+'5'!K25+'6'!K25+'7'!K25+'8'!K25+'9'!K25+'10'!K25</f>
        <v>12</v>
      </c>
      <c r="L25" s="20">
        <v>120</v>
      </c>
      <c r="M25" s="44">
        <f>ยกมา!M25+'29'!M25+'30'!M25+'1'!M25+'2'!M25+'3'!M25+'4'!M25+'5'!M25+'6'!M25+'7'!M25+'8'!M25+'9'!M25+'10'!M25</f>
        <v>1440</v>
      </c>
      <c r="N25" s="19"/>
      <c r="O25" s="88">
        <v>29.83</v>
      </c>
      <c r="P25" s="77">
        <f t="shared" si="2"/>
        <v>357.96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46"/>
      <c r="F26" s="44">
        <f>+ยกมา!F26+'29'!F26+'30'!F26+'1'!F26+'2'!F26+'3'!F26+'4'!F26+'5'!F26+'6'!F26+'7'!F26+'8'!F26+'9'!F26+'10'!F26</f>
        <v>24</v>
      </c>
      <c r="G26" s="43">
        <f t="shared" si="0"/>
        <v>24</v>
      </c>
      <c r="H26" s="76">
        <f>+ยกมา!H26+'29'!H26+'30'!H26+'1'!H26+'2'!H26+'3'!H26+'4'!H26+'5'!H26+'6'!H26+'7'!H26+'8'!H26+'9'!H26+'10'!H26</f>
        <v>0</v>
      </c>
      <c r="I26" s="74">
        <f>+ยกมา!I26+'29'!I26+'30'!I26+'1'!I26+'2'!I26+'3'!I26+'4'!I26+'5'!I26+'6'!I26+'7'!I26+'8'!I26+'9'!I26+'10'!I26</f>
        <v>0</v>
      </c>
      <c r="J26" s="43">
        <f t="shared" si="1"/>
        <v>0</v>
      </c>
      <c r="K26" s="44">
        <f>ยกมา!K26+'29'!K26+'30'!K26+'1'!K26+'2'!K26+'3'!K26+'4'!K26+'5'!K26+'6'!K26+'7'!K26+'8'!K26+'9'!K26+'10'!K26</f>
        <v>24</v>
      </c>
      <c r="L26" s="15">
        <v>120</v>
      </c>
      <c r="M26" s="44">
        <f>ยกมา!M26+'29'!M26+'30'!M26+'1'!M26+'2'!M26+'3'!M26+'4'!M26+'5'!M26+'6'!M26+'7'!M26+'8'!M26+'9'!M26+'10'!M26</f>
        <v>2880</v>
      </c>
      <c r="N26" s="19"/>
      <c r="O26" s="88">
        <v>26.39</v>
      </c>
      <c r="P26" s="77">
        <f t="shared" si="2"/>
        <v>633.36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9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46"/>
      <c r="F27" s="44">
        <f>+ยกมา!F27+'29'!F27+'30'!F27+'1'!F27+'2'!F27+'3'!F27+'4'!F27+'5'!F27+'6'!F27+'7'!F27+'8'!F27+'9'!F27+'10'!F27</f>
        <v>13</v>
      </c>
      <c r="G27" s="43">
        <f t="shared" si="0"/>
        <v>13</v>
      </c>
      <c r="H27" s="76">
        <f>+ยกมา!H27+'29'!H27+'30'!H27+'1'!H27+'2'!H27+'3'!H27+'4'!H27+'5'!H27+'6'!H27+'7'!H27+'8'!H27+'9'!H27+'10'!H27</f>
        <v>0</v>
      </c>
      <c r="I27" s="74">
        <f>+ยกมา!I27+'29'!I27+'30'!I27+'1'!I27+'2'!I27+'3'!I27+'4'!I27+'5'!I27+'6'!I27+'7'!I27+'8'!I27+'9'!I27+'10'!I27</f>
        <v>0</v>
      </c>
      <c r="J27" s="43">
        <f t="shared" si="1"/>
        <v>7</v>
      </c>
      <c r="K27" s="44">
        <f>ยกมา!K27+'29'!K27+'30'!K27+'1'!K27+'2'!K27+'3'!K27+'4'!K27+'5'!K27+'6'!K27+'7'!K27+'8'!K27+'9'!K27+'10'!K27</f>
        <v>6</v>
      </c>
      <c r="L27" s="15">
        <v>50</v>
      </c>
      <c r="M27" s="44">
        <f>ยกมา!M27+'29'!M27+'30'!M27+'1'!M27+'2'!M27+'3'!M27+'4'!M27+'5'!M27+'6'!M27+'7'!M27+'8'!M27+'9'!M27+'10'!M27</f>
        <v>300</v>
      </c>
      <c r="N27" s="19"/>
      <c r="O27" s="88">
        <v>23.69</v>
      </c>
      <c r="P27" s="77">
        <f t="shared" si="2"/>
        <v>142.14000000000001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9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46"/>
      <c r="F28" s="44">
        <f>+ยกมา!F28+'29'!F28+'30'!F28+'1'!F28+'2'!F28+'3'!F28+'4'!F28+'5'!F28+'6'!F28+'7'!F28+'8'!F28+'9'!F28+'10'!F28</f>
        <v>30</v>
      </c>
      <c r="G28" s="43">
        <f t="shared" si="0"/>
        <v>30</v>
      </c>
      <c r="H28" s="76">
        <f>+ยกมา!H28+'29'!H28+'30'!H28+'1'!H28+'2'!H28+'3'!H28+'4'!H28+'5'!H28+'6'!H28+'7'!H28+'8'!H28+'9'!H28+'10'!H28</f>
        <v>0</v>
      </c>
      <c r="I28" s="74">
        <f>+ยกมา!I28+'29'!I28+'30'!I28+'1'!I28+'2'!I28+'3'!I28+'4'!I28+'5'!I28+'6'!I28+'7'!I28+'8'!I28+'9'!I28+'10'!I28</f>
        <v>0</v>
      </c>
      <c r="J28" s="43">
        <f t="shared" si="1"/>
        <v>0</v>
      </c>
      <c r="K28" s="44">
        <f>ยกมา!K28+'29'!K28+'30'!K28+'1'!K28+'2'!K28+'3'!K28+'4'!K28+'5'!K28+'6'!K28+'7'!K28+'8'!K28+'9'!K28+'10'!K28</f>
        <v>30</v>
      </c>
      <c r="L28" s="21">
        <v>50</v>
      </c>
      <c r="M28" s="44">
        <f>ยกมา!M28+'29'!M28+'30'!M28+'1'!M28+'2'!M28+'3'!M28+'4'!M28+'5'!M28+'6'!M28+'7'!M28+'8'!M28+'9'!M28+'10'!M28</f>
        <v>1500</v>
      </c>
      <c r="N28" s="19"/>
      <c r="O28" s="88">
        <v>22.49</v>
      </c>
      <c r="P28" s="77">
        <f t="shared" si="2"/>
        <v>674.69999999999993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9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46"/>
      <c r="F29" s="44">
        <f>+ยกมา!F29+'29'!F29+'30'!F29+'1'!F29+'2'!F29+'3'!F29+'4'!F29+'5'!F29+'6'!F29+'7'!F29+'8'!F29+'9'!F29+'10'!F29</f>
        <v>25</v>
      </c>
      <c r="G29" s="43">
        <f t="shared" si="0"/>
        <v>25</v>
      </c>
      <c r="H29" s="76">
        <f>+ยกมา!H29+'29'!H29+'30'!H29+'1'!H29+'2'!H29+'3'!H29+'4'!H29+'5'!H29+'6'!H29+'7'!H29+'8'!H29+'9'!H29+'10'!H29</f>
        <v>0</v>
      </c>
      <c r="I29" s="74">
        <f>+ยกมา!I29+'29'!I29+'30'!I29+'1'!I29+'2'!I29+'3'!I29+'4'!I29+'5'!I29+'6'!I29+'7'!I29+'8'!I29+'9'!I29+'10'!I29</f>
        <v>0</v>
      </c>
      <c r="J29" s="43">
        <f t="shared" si="1"/>
        <v>0</v>
      </c>
      <c r="K29" s="44">
        <f>ยกมา!K29+'29'!K29+'30'!K29+'1'!K29+'2'!K29+'3'!K29+'4'!K29+'5'!K29+'6'!K29+'7'!K29+'8'!K29+'9'!K29+'10'!K29</f>
        <v>25</v>
      </c>
      <c r="L29" s="21">
        <v>50</v>
      </c>
      <c r="M29" s="44">
        <f>ยกมา!M29+'29'!M29+'30'!M29+'1'!M29+'2'!M29+'3'!M29+'4'!M29+'5'!M29+'6'!M29+'7'!M29+'8'!M29+'9'!M29+'10'!M29</f>
        <v>1250</v>
      </c>
      <c r="N29" s="19"/>
      <c r="O29" s="88">
        <v>17.09</v>
      </c>
      <c r="P29" s="77">
        <f t="shared" si="2"/>
        <v>427.25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9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46"/>
      <c r="F30" s="44">
        <f>+ยกมา!F30+'29'!F30+'30'!F30+'1'!F30+'2'!F30+'3'!F30+'4'!F30+'5'!F30+'6'!F30+'7'!F30+'8'!F30+'9'!F30+'10'!F30</f>
        <v>105</v>
      </c>
      <c r="G30" s="43">
        <f t="shared" si="0"/>
        <v>105</v>
      </c>
      <c r="H30" s="76">
        <f>+ยกมา!H30+'29'!H30+'30'!H30+'1'!H30+'2'!H30+'3'!H30+'4'!H30+'5'!H30+'6'!H30+'7'!H30+'8'!H30+'9'!H30+'10'!H30</f>
        <v>0</v>
      </c>
      <c r="I30" s="74">
        <f>+ยกมา!I30+'29'!I30+'30'!I30+'1'!I30+'2'!I30+'3'!I30+'4'!I30+'5'!I30+'6'!I30+'7'!I30+'8'!I30+'9'!I30+'10'!I30</f>
        <v>0</v>
      </c>
      <c r="J30" s="43">
        <f t="shared" si="1"/>
        <v>0</v>
      </c>
      <c r="K30" s="44">
        <f>ยกมา!K30+'29'!K30+'30'!K30+'1'!K30+'2'!K30+'3'!K30+'4'!K30+'5'!K30+'6'!K30+'7'!K30+'8'!K30+'9'!K30+'10'!K30</f>
        <v>105</v>
      </c>
      <c r="L30" s="22">
        <v>50</v>
      </c>
      <c r="M30" s="44">
        <f>ยกมา!M30+'29'!M30+'30'!M30+'1'!M30+'2'!M30+'3'!M30+'4'!M30+'5'!M30+'6'!M30+'7'!M30+'8'!M30+'9'!M30+'10'!M30</f>
        <v>5250</v>
      </c>
      <c r="N30" s="19"/>
      <c r="O30" s="88">
        <v>25.15</v>
      </c>
      <c r="P30" s="77">
        <f t="shared" si="2"/>
        <v>2640.75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9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46"/>
      <c r="F31" s="44">
        <f>+ยกมา!F31+'29'!F31+'30'!F31+'1'!F31+'2'!F31+'3'!F31+'4'!F31+'5'!F31+'6'!F31+'7'!F31+'8'!F31+'9'!F31+'10'!F31</f>
        <v>30</v>
      </c>
      <c r="G31" s="43">
        <f t="shared" si="0"/>
        <v>30</v>
      </c>
      <c r="H31" s="76">
        <f>+ยกมา!H31+'29'!H31+'30'!H31+'1'!H31+'2'!H31+'3'!H31+'4'!H31+'5'!H31+'6'!H31+'7'!H31+'8'!H31+'9'!H31+'10'!H31</f>
        <v>0</v>
      </c>
      <c r="I31" s="74">
        <f>+ยกมา!I31+'29'!I31+'30'!I31+'1'!I31+'2'!I31+'3'!I31+'4'!I31+'5'!I31+'6'!I31+'7'!I31+'8'!I31+'9'!I31+'10'!I31</f>
        <v>0</v>
      </c>
      <c r="J31" s="43">
        <f t="shared" si="1"/>
        <v>0</v>
      </c>
      <c r="K31" s="44">
        <f>ยกมา!K31+'29'!K31+'30'!K31+'1'!K31+'2'!K31+'3'!K31+'4'!K31+'5'!K31+'6'!K31+'7'!K31+'8'!K31+'9'!K31+'10'!K31</f>
        <v>30</v>
      </c>
      <c r="L31" s="22">
        <v>55</v>
      </c>
      <c r="M31" s="44">
        <f>ยกมา!M31+'29'!M31+'30'!M31+'1'!M31+'2'!M31+'3'!M31+'4'!M31+'5'!M31+'6'!M31+'7'!M31+'8'!M31+'9'!M31+'10'!M31</f>
        <v>1650</v>
      </c>
      <c r="N31" s="19"/>
      <c r="O31" s="88">
        <v>14.35</v>
      </c>
      <c r="P31" s="77">
        <f t="shared" si="2"/>
        <v>430.5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9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46"/>
      <c r="F32" s="44">
        <f>+ยกมา!F32+'29'!F32+'30'!F32+'1'!F32+'2'!F32+'3'!F32+'4'!F32+'5'!F32+'6'!F32+'7'!F32+'8'!F32+'9'!F32+'10'!F32</f>
        <v>28</v>
      </c>
      <c r="G32" s="43">
        <f t="shared" si="0"/>
        <v>28</v>
      </c>
      <c r="H32" s="76">
        <f>+ยกมา!H32+'29'!H32+'30'!H32+'1'!H32+'2'!H32+'3'!H32+'4'!H32+'5'!H32+'6'!H32+'7'!H32+'8'!H32+'9'!H32+'10'!H32</f>
        <v>0</v>
      </c>
      <c r="I32" s="74">
        <f>+ยกมา!I32+'29'!I32+'30'!I32+'1'!I32+'2'!I32+'3'!I32+'4'!I32+'5'!I32+'6'!I32+'7'!I32+'8'!I32+'9'!I32+'10'!I32</f>
        <v>0</v>
      </c>
      <c r="J32" s="43">
        <f t="shared" si="1"/>
        <v>0</v>
      </c>
      <c r="K32" s="44">
        <f>ยกมา!K32+'29'!K32+'30'!K32+'1'!K32+'2'!K32+'3'!K32+'4'!K32+'5'!K32+'6'!K32+'7'!K32+'8'!K32+'9'!K32+'10'!K32</f>
        <v>28</v>
      </c>
      <c r="L32" s="22">
        <v>55</v>
      </c>
      <c r="M32" s="44">
        <f>ยกมา!M32+'29'!M32+'30'!M32+'1'!M32+'2'!M32+'3'!M32+'4'!M32+'5'!M32+'6'!M32+'7'!M32+'8'!M32+'9'!M32+'10'!M32</f>
        <v>1540</v>
      </c>
      <c r="N32" s="19"/>
      <c r="O32" s="88">
        <v>19.579999999999998</v>
      </c>
      <c r="P32" s="77">
        <f t="shared" si="2"/>
        <v>548.24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46"/>
      <c r="F33" s="44">
        <f>+ยกมา!F33+'29'!F33+'30'!F33+'1'!F33+'2'!F33+'3'!F33+'4'!F33+'5'!F33+'6'!F33+'7'!F33+'8'!F33+'9'!F33+'10'!F33</f>
        <v>65</v>
      </c>
      <c r="G33" s="43">
        <f t="shared" si="0"/>
        <v>65</v>
      </c>
      <c r="H33" s="76">
        <f>+ยกมา!H33+'29'!H33+'30'!H33+'1'!H33+'2'!H33+'3'!H33+'4'!H33+'5'!H33+'6'!H33+'7'!H33+'8'!H33+'9'!H33+'10'!H33</f>
        <v>0</v>
      </c>
      <c r="I33" s="74">
        <f>+ยกมา!I33+'29'!I33+'30'!I33+'1'!I33+'2'!I33+'3'!I33+'4'!I33+'5'!I33+'6'!I33+'7'!I33+'8'!I33+'9'!I33+'10'!I33</f>
        <v>0</v>
      </c>
      <c r="J33" s="43">
        <f t="shared" si="1"/>
        <v>0</v>
      </c>
      <c r="K33" s="44">
        <f>ยกมา!K33+'29'!K33+'30'!K33+'1'!K33+'2'!K33+'3'!K33+'4'!K33+'5'!K33+'6'!K33+'7'!K33+'8'!K33+'9'!K33+'10'!K33</f>
        <v>65</v>
      </c>
      <c r="L33" s="22">
        <v>100</v>
      </c>
      <c r="M33" s="44">
        <f>ยกมา!M33+'29'!M33+'30'!M33+'1'!M33+'2'!M33+'3'!M33+'4'!M33+'5'!M33+'6'!M33+'7'!M33+'8'!M33+'9'!M33+'10'!M33</f>
        <v>6500</v>
      </c>
      <c r="N33" s="19"/>
      <c r="O33" s="88">
        <v>23.61</v>
      </c>
      <c r="P33" s="77">
        <f t="shared" si="2"/>
        <v>1534.6499999999999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46"/>
      <c r="F34" s="44">
        <f>+ยกมา!F34+'29'!F34+'30'!F34+'1'!F34+'2'!F34+'3'!F34+'4'!F34+'5'!F34+'6'!F34+'7'!F34+'8'!F34+'9'!F34+'10'!F34</f>
        <v>30</v>
      </c>
      <c r="G34" s="43">
        <f t="shared" si="0"/>
        <v>30</v>
      </c>
      <c r="H34" s="76">
        <f>+ยกมา!H34+'29'!H34+'30'!H34+'1'!H34+'2'!H34+'3'!H34+'4'!H34+'5'!H34+'6'!H34+'7'!H34+'8'!H34+'9'!H34+'10'!H34</f>
        <v>0</v>
      </c>
      <c r="I34" s="74">
        <f>+ยกมา!I34+'29'!I34+'30'!I34+'1'!I34+'2'!I34+'3'!I34+'4'!I34+'5'!I34+'6'!I34+'7'!I34+'8'!I34+'9'!I34+'10'!I34</f>
        <v>1</v>
      </c>
      <c r="J34" s="43">
        <f t="shared" si="1"/>
        <v>1</v>
      </c>
      <c r="K34" s="44">
        <f>ยกมา!K34+'29'!K34+'30'!K34+'1'!K34+'2'!K34+'3'!K34+'4'!K34+'5'!K34+'6'!K34+'7'!K34+'8'!K34+'9'!K34+'10'!K34</f>
        <v>28</v>
      </c>
      <c r="L34" s="20">
        <v>55</v>
      </c>
      <c r="M34" s="44">
        <f>ยกมา!M34+'29'!M34+'30'!M34+'1'!M34+'2'!M34+'3'!M34+'4'!M34+'5'!M34+'6'!M34+'7'!M34+'8'!M34+'9'!M34+'10'!M34</f>
        <v>1540</v>
      </c>
      <c r="N34" s="19"/>
      <c r="O34" s="88">
        <v>34.25</v>
      </c>
      <c r="P34" s="77">
        <f t="shared" si="2"/>
        <v>959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46"/>
      <c r="F35" s="44">
        <f>+ยกมา!F35+'29'!F35+'30'!F35+'1'!F35+'2'!F35+'3'!F35+'4'!F35+'5'!F35+'6'!F35+'7'!F35+'8'!F35+'9'!F35+'10'!F35</f>
        <v>31</v>
      </c>
      <c r="G35" s="43">
        <f t="shared" si="0"/>
        <v>31</v>
      </c>
      <c r="H35" s="76">
        <f>+ยกมา!H35+'29'!H35+'30'!H35+'1'!H35+'2'!H35+'3'!H35+'4'!H35+'5'!H35+'6'!H35+'7'!H35+'8'!H35+'9'!H35+'10'!H35</f>
        <v>0</v>
      </c>
      <c r="I35" s="74">
        <f>+ยกมา!I35+'29'!I35+'30'!I35+'1'!I35+'2'!I35+'3'!I35+'4'!I35+'5'!I35+'6'!I35+'7'!I35+'8'!I35+'9'!I35+'10'!I35</f>
        <v>0</v>
      </c>
      <c r="J35" s="43">
        <f t="shared" si="1"/>
        <v>0</v>
      </c>
      <c r="K35" s="44">
        <f>ยกมา!K35+'29'!K35+'30'!K35+'1'!K35+'2'!K35+'3'!K35+'4'!K35+'5'!K35+'6'!K35+'7'!K35+'8'!K35+'9'!K35+'10'!K35</f>
        <v>31</v>
      </c>
      <c r="L35" s="15">
        <v>60</v>
      </c>
      <c r="M35" s="44">
        <f>ยกมา!M35+'29'!M35+'30'!M35+'1'!M35+'2'!M35+'3'!M35+'4'!M35+'5'!M35+'6'!M35+'7'!M35+'8'!M35+'9'!M35+'10'!M35</f>
        <v>1860</v>
      </c>
      <c r="N35" s="19"/>
      <c r="O35" s="88">
        <v>23.61</v>
      </c>
      <c r="P35" s="77">
        <f t="shared" si="2"/>
        <v>731.91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46"/>
      <c r="F36" s="44">
        <f>+ยกมา!F36+'29'!F36+'30'!F36+'1'!F36+'2'!F36+'3'!F36+'4'!F36+'5'!F36+'6'!F36+'7'!F36+'8'!F36+'9'!F36+'10'!F36</f>
        <v>50</v>
      </c>
      <c r="G36" s="43">
        <f t="shared" si="0"/>
        <v>50</v>
      </c>
      <c r="H36" s="76">
        <f>+ยกมา!H36+'29'!H36+'30'!H36+'1'!H36+'2'!H36+'3'!H36+'4'!H36+'5'!H36+'6'!H36+'7'!H36+'8'!H36+'9'!H36+'10'!H36</f>
        <v>0</v>
      </c>
      <c r="I36" s="74">
        <f>+ยกมา!I36+'29'!I36+'30'!I36+'1'!I36+'2'!I36+'3'!I36+'4'!I36+'5'!I36+'6'!I36+'7'!I36+'8'!I36+'9'!I36+'10'!I36</f>
        <v>0</v>
      </c>
      <c r="J36" s="43">
        <f t="shared" si="1"/>
        <v>1</v>
      </c>
      <c r="K36" s="44">
        <f>ยกมา!K36+'29'!K36+'30'!K36+'1'!K36+'2'!K36+'3'!K36+'4'!K36+'5'!K36+'6'!K36+'7'!K36+'8'!K36+'9'!K36+'10'!K36</f>
        <v>49</v>
      </c>
      <c r="L36" s="15">
        <v>100</v>
      </c>
      <c r="M36" s="44">
        <f>ยกมา!M36+'29'!M36+'30'!M36+'1'!M36+'2'!M36+'3'!M36+'4'!M36+'5'!M36+'6'!M36+'7'!M36+'8'!M36+'9'!M36+'10'!M36</f>
        <v>4900</v>
      </c>
      <c r="N36" s="19"/>
      <c r="O36" s="88">
        <v>13.03</v>
      </c>
      <c r="P36" s="77">
        <f t="shared" si="2"/>
        <v>638.46999999999991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46"/>
      <c r="F37" s="44">
        <f>+ยกมา!F37+'29'!F37+'30'!F37+'1'!F37+'2'!F37+'3'!F37+'4'!F37+'5'!F37+'6'!F37+'7'!F37+'8'!F37+'9'!F37+'10'!F37</f>
        <v>15</v>
      </c>
      <c r="G37" s="43">
        <f t="shared" si="0"/>
        <v>15</v>
      </c>
      <c r="H37" s="76">
        <f>+ยกมา!H37+'29'!H37+'30'!H37+'1'!H37+'2'!H37+'3'!H37+'4'!H37+'5'!H37+'6'!H37+'7'!H37+'8'!H37+'9'!H37+'10'!H37</f>
        <v>0</v>
      </c>
      <c r="I37" s="74">
        <f>+ยกมา!I37+'29'!I37+'30'!I37+'1'!I37+'2'!I37+'3'!I37+'4'!I37+'5'!I37+'6'!I37+'7'!I37+'8'!I37+'9'!I37+'10'!I37</f>
        <v>0</v>
      </c>
      <c r="J37" s="43">
        <f t="shared" si="1"/>
        <v>9</v>
      </c>
      <c r="K37" s="44">
        <f>ยกมา!K37+'29'!K37+'30'!K37+'1'!K37+'2'!K37+'3'!K37+'4'!K37+'5'!K37+'6'!K37+'7'!K37+'8'!K37+'9'!K37+'10'!K37</f>
        <v>6</v>
      </c>
      <c r="L37" s="15">
        <v>55</v>
      </c>
      <c r="M37" s="44">
        <f>ยกมา!M37+'29'!M37+'30'!M37+'1'!M37+'2'!M37+'3'!M37+'4'!M37+'5'!M37+'6'!M37+'7'!M37+'8'!M37+'9'!M37+'10'!M37</f>
        <v>330</v>
      </c>
      <c r="N37" s="19"/>
      <c r="O37" s="88">
        <v>11.91</v>
      </c>
      <c r="P37" s="77">
        <f t="shared" si="2"/>
        <v>71.460000000000008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46"/>
      <c r="F38" s="44">
        <f>+ยกมา!F38+'29'!F38+'30'!F38+'1'!F38+'2'!F38+'3'!F38+'4'!F38+'5'!F38+'6'!F38+'7'!F38+'8'!F38+'9'!F38+'10'!F38</f>
        <v>35</v>
      </c>
      <c r="G38" s="43">
        <f t="shared" si="0"/>
        <v>35</v>
      </c>
      <c r="H38" s="76">
        <f>+ยกมา!H38+'29'!H38+'30'!H38+'1'!H38+'2'!H38+'3'!H38+'4'!H38+'5'!H38+'6'!H38+'7'!H38+'8'!H38+'9'!H38+'10'!H38</f>
        <v>0</v>
      </c>
      <c r="I38" s="74">
        <f>+ยกมา!I38+'29'!I38+'30'!I38+'1'!I38+'2'!I38+'3'!I38+'4'!I38+'5'!I38+'6'!I38+'7'!I38+'8'!I38+'9'!I38+'10'!I38</f>
        <v>0</v>
      </c>
      <c r="J38" s="43">
        <f t="shared" si="1"/>
        <v>0</v>
      </c>
      <c r="K38" s="44">
        <f>ยกมา!K38+'29'!K38+'30'!K38+'1'!K38+'2'!K38+'3'!K38+'4'!K38+'5'!K38+'6'!K38+'7'!K38+'8'!K38+'9'!K38+'10'!K38</f>
        <v>35</v>
      </c>
      <c r="L38" s="15">
        <v>50</v>
      </c>
      <c r="M38" s="44">
        <f>ยกมา!M38+'29'!M38+'30'!M38+'1'!M38+'2'!M38+'3'!M38+'4'!M38+'5'!M38+'6'!M38+'7'!M38+'8'!M38+'9'!M38+'10'!M38</f>
        <v>1750</v>
      </c>
      <c r="N38" s="19"/>
      <c r="O38" s="88">
        <v>9.91</v>
      </c>
      <c r="P38" s="77">
        <f t="shared" si="2"/>
        <v>346.85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46"/>
      <c r="F39" s="44">
        <f>+ยกมา!F39+'29'!F39+'30'!F39+'1'!F39+'2'!F39+'3'!F39+'4'!F39+'5'!F39+'6'!F39+'7'!F39+'8'!F39+'9'!F39+'10'!F39</f>
        <v>18</v>
      </c>
      <c r="G39" s="43">
        <f t="shared" si="0"/>
        <v>18</v>
      </c>
      <c r="H39" s="76">
        <f>+ยกมา!H39+'29'!H39+'30'!H39+'1'!H39+'2'!H39+'3'!H39+'4'!H39+'5'!H39+'6'!H39+'7'!H39+'8'!H39+'9'!H39+'10'!H39</f>
        <v>0</v>
      </c>
      <c r="I39" s="74">
        <f>+ยกมา!I39+'29'!I39+'30'!I39+'1'!I39+'2'!I39+'3'!I39+'4'!I39+'5'!I39+'6'!I39+'7'!I39+'8'!I39+'9'!I39+'10'!I39</f>
        <v>0</v>
      </c>
      <c r="J39" s="43">
        <f t="shared" si="1"/>
        <v>3</v>
      </c>
      <c r="K39" s="44">
        <f>ยกมา!K39+'29'!K39+'30'!K39+'1'!K39+'2'!K39+'3'!K39+'4'!K39+'5'!K39+'6'!K39+'7'!K39+'8'!K39+'9'!K39+'10'!K39</f>
        <v>15</v>
      </c>
      <c r="L39" s="20">
        <v>60</v>
      </c>
      <c r="M39" s="44">
        <f>ยกมา!M39+'29'!M39+'30'!M39+'1'!M39+'2'!M39+'3'!M39+'4'!M39+'5'!M39+'6'!M39+'7'!M39+'8'!M39+'9'!M39+'10'!M39</f>
        <v>525</v>
      </c>
      <c r="N39" s="19"/>
      <c r="O39" s="88">
        <v>16.690000000000001</v>
      </c>
      <c r="P39" s="77">
        <f t="shared" si="2"/>
        <v>250.35000000000002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46"/>
      <c r="F40" s="44">
        <f>+ยกมา!F40+'29'!F40+'30'!F40+'1'!F40+'2'!F40+'3'!F40+'4'!F40+'5'!F40+'6'!F40+'7'!F40+'8'!F40+'9'!F40+'10'!F40</f>
        <v>50</v>
      </c>
      <c r="G40" s="43">
        <f t="shared" si="0"/>
        <v>50</v>
      </c>
      <c r="H40" s="76">
        <f>+ยกมา!H40+'29'!H40+'30'!H40+'1'!H40+'2'!H40+'3'!H40+'4'!H40+'5'!H40+'6'!H40+'7'!H40+'8'!H40+'9'!H40+'10'!H40</f>
        <v>0</v>
      </c>
      <c r="I40" s="74">
        <f>+ยกมา!I40+'29'!I40+'30'!I40+'1'!I40+'2'!I40+'3'!I40+'4'!I40+'5'!I40+'6'!I40+'7'!I40+'8'!I40+'9'!I40+'10'!I40</f>
        <v>0</v>
      </c>
      <c r="J40" s="43">
        <f t="shared" si="1"/>
        <v>0</v>
      </c>
      <c r="K40" s="44">
        <f>ยกมา!K40+'29'!K40+'30'!K40+'1'!K40+'2'!K40+'3'!K40+'4'!K40+'5'!K40+'6'!K40+'7'!K40+'8'!K40+'9'!K40+'10'!K40</f>
        <v>50</v>
      </c>
      <c r="L40" s="20">
        <v>50</v>
      </c>
      <c r="M40" s="44">
        <f>ยกมา!M40+'29'!M40+'30'!M40+'1'!M40+'2'!M40+'3'!M40+'4'!M40+'5'!M40+'6'!M40+'7'!M40+'8'!M40+'9'!M40+'10'!M40</f>
        <v>2500</v>
      </c>
      <c r="N40" s="19"/>
      <c r="O40" s="88">
        <v>24.21</v>
      </c>
      <c r="P40" s="77">
        <f t="shared" si="2"/>
        <v>1210.5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46"/>
      <c r="F41" s="44">
        <f>+ยกมา!F41+'29'!F41+'30'!F41+'1'!F41+'2'!F41+'3'!F41+'4'!F41+'5'!F41+'6'!F41+'7'!F41+'8'!F41+'9'!F41+'10'!F41</f>
        <v>23</v>
      </c>
      <c r="G41" s="43">
        <f t="shared" si="0"/>
        <v>23</v>
      </c>
      <c r="H41" s="76">
        <f>+ยกมา!H41+'29'!H41+'30'!H41+'1'!H41+'2'!H41+'3'!H41+'4'!H41+'5'!H41+'6'!H41+'7'!H41+'8'!H41+'9'!H41+'10'!H41</f>
        <v>0</v>
      </c>
      <c r="I41" s="74">
        <f>+ยกมา!I41+'29'!I41+'30'!I41+'1'!I41+'2'!I41+'3'!I41+'4'!I41+'5'!I41+'6'!I41+'7'!I41+'8'!I41+'9'!I41+'10'!I41</f>
        <v>0</v>
      </c>
      <c r="J41" s="43">
        <f t="shared" si="1"/>
        <v>0</v>
      </c>
      <c r="K41" s="44">
        <f>ยกมา!K41+'29'!K41+'30'!K41+'1'!K41+'2'!K41+'3'!K41+'4'!K41+'5'!K41+'6'!K41+'7'!K41+'8'!K41+'9'!K41+'10'!K41</f>
        <v>23</v>
      </c>
      <c r="L41" s="20">
        <v>50</v>
      </c>
      <c r="M41" s="44">
        <f>ยกมา!M41+'29'!M41+'30'!M41+'1'!M41+'2'!M41+'3'!M41+'4'!M41+'5'!M41+'6'!M41+'7'!M41+'8'!M41+'9'!M41+'10'!M41</f>
        <v>1405</v>
      </c>
      <c r="N41" s="19"/>
      <c r="O41" s="88">
        <v>23.02</v>
      </c>
      <c r="P41" s="77">
        <f t="shared" si="2"/>
        <v>529.46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46"/>
      <c r="F42" s="44">
        <f>+ยกมา!F42+'29'!F42+'30'!F42+'1'!F42+'2'!F42+'3'!F42+'4'!F42+'5'!F42+'6'!F42+'7'!F42+'8'!F42+'9'!F42+'10'!F42</f>
        <v>928</v>
      </c>
      <c r="G42" s="43">
        <f t="shared" si="0"/>
        <v>928</v>
      </c>
      <c r="H42" s="76">
        <f>+ยกมา!H42+'29'!H42+'30'!H42+'1'!H42+'2'!H42+'3'!H42+'4'!H42+'5'!H42+'6'!H42+'7'!H42+'8'!H42+'9'!H42+'10'!H42</f>
        <v>262</v>
      </c>
      <c r="I42" s="74">
        <f>+ยกมา!I42+'29'!I42+'30'!I42+'1'!I42+'2'!I42+'3'!I42+'4'!I42+'5'!I42+'6'!I42+'7'!I42+'8'!I42+'9'!I42+'10'!I42</f>
        <v>0</v>
      </c>
      <c r="J42" s="43">
        <f t="shared" si="1"/>
        <v>0</v>
      </c>
      <c r="K42" s="44">
        <f>ยกมา!K42+'29'!K42+'30'!K42+'1'!K42+'2'!K42+'3'!K42+'4'!K42+'5'!K42+'6'!K42+'7'!K42+'8'!K42+'9'!K42+'10'!K42</f>
        <v>666</v>
      </c>
      <c r="L42" s="20">
        <v>10</v>
      </c>
      <c r="M42" s="44">
        <f>ยกมา!M42+'29'!M42+'30'!M42+'1'!M42+'2'!M42+'3'!M42+'4'!M42+'5'!M42+'6'!M42+'7'!M42+'8'!M42+'9'!M42+'10'!M42</f>
        <v>770</v>
      </c>
      <c r="N42" s="19"/>
      <c r="O42" s="88">
        <v>6.3</v>
      </c>
      <c r="P42" s="77">
        <f t="shared" si="2"/>
        <v>4195.8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46"/>
      <c r="F43" s="44">
        <f>+ยกมา!F43+'29'!F43+'30'!F43+'1'!F43+'2'!F43+'3'!F43+'4'!F43+'5'!F43+'6'!F43+'7'!F43+'8'!F43+'9'!F43+'10'!F43</f>
        <v>173</v>
      </c>
      <c r="G43" s="43">
        <f t="shared" si="0"/>
        <v>173</v>
      </c>
      <c r="H43" s="76">
        <f>+ยกมา!H43+'29'!H43+'30'!H43+'1'!H43+'2'!H43+'3'!H43+'4'!H43+'5'!H43+'6'!H43+'7'!H43+'8'!H43+'9'!H43+'10'!H43</f>
        <v>0</v>
      </c>
      <c r="I43" s="74">
        <f>+ยกมา!I43+'29'!I43+'30'!I43+'1'!I43+'2'!I43+'3'!I43+'4'!I43+'5'!I43+'6'!I43+'7'!I43+'8'!I43+'9'!I43+'10'!I43</f>
        <v>95</v>
      </c>
      <c r="J43" s="43">
        <f t="shared" si="1"/>
        <v>20</v>
      </c>
      <c r="K43" s="44">
        <f>ยกมา!K43+'29'!K43+'30'!K43+'1'!K43+'2'!K43+'3'!K43+'4'!K43+'5'!K43+'6'!K43+'7'!K43+'8'!K43+'9'!K43+'10'!K43</f>
        <v>58</v>
      </c>
      <c r="L43" s="22">
        <v>10</v>
      </c>
      <c r="M43" s="44">
        <f>ยกมา!M43+'29'!M43+'30'!M43+'1'!M43+'2'!M43+'3'!M43+'4'!M43+'5'!M43+'6'!M43+'7'!M43+'8'!M43+'9'!M43+'10'!M43</f>
        <v>580</v>
      </c>
      <c r="N43" s="19"/>
      <c r="O43" s="88"/>
      <c r="P43" s="77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46"/>
      <c r="F44" s="44">
        <f>+ยกมา!F44+'29'!F44+'30'!F44+'1'!F44+'2'!F44+'3'!F44+'4'!F44+'5'!F44+'6'!F44+'7'!F44+'8'!F44+'9'!F44+'10'!F44</f>
        <v>20</v>
      </c>
      <c r="G44" s="43">
        <f t="shared" si="0"/>
        <v>20</v>
      </c>
      <c r="H44" s="76">
        <f>+ยกมา!H44+'29'!H44+'30'!H44+'1'!H44+'2'!H44+'3'!H44+'4'!H44+'5'!H44+'6'!H44+'7'!H44+'8'!H44+'9'!H44+'10'!H44</f>
        <v>0</v>
      </c>
      <c r="I44" s="74">
        <f>+ยกมา!I44+'29'!I44+'30'!I44+'1'!I44+'2'!I44+'3'!I44+'4'!I44+'5'!I44+'6'!I44+'7'!I44+'8'!I44+'9'!I44+'10'!I44</f>
        <v>0</v>
      </c>
      <c r="J44" s="43">
        <f t="shared" si="1"/>
        <v>3</v>
      </c>
      <c r="K44" s="44">
        <f>ยกมา!K44+'29'!K44+'30'!K44+'1'!K44+'2'!K44+'3'!K44+'4'!K44+'5'!K44+'6'!K44+'7'!K44+'8'!K44+'9'!K44+'10'!K44</f>
        <v>17</v>
      </c>
      <c r="L44" s="20">
        <v>150</v>
      </c>
      <c r="M44" s="44">
        <f>ยกมา!M44+'29'!M44+'30'!M44+'1'!M44+'2'!M44+'3'!M44+'4'!M44+'5'!M44+'6'!M44+'7'!M44+'8'!M44+'9'!M44+'10'!M44</f>
        <v>2550</v>
      </c>
      <c r="N44" s="19"/>
      <c r="O44" s="88"/>
      <c r="P44" s="77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46"/>
      <c r="F45" s="44">
        <f>+ยกมา!F45+'29'!F45+'30'!F45+'1'!F45+'2'!F45+'3'!F45+'4'!F45+'5'!F45+'6'!F45+'7'!F45+'8'!F45+'9'!F45+'10'!F45</f>
        <v>10</v>
      </c>
      <c r="G45" s="43">
        <f t="shared" si="0"/>
        <v>10</v>
      </c>
      <c r="H45" s="76">
        <f>+ยกมา!H45+'29'!H45+'30'!H45+'1'!H45+'2'!H45+'3'!H45+'4'!H45+'5'!H45+'6'!H45+'7'!H45+'8'!H45+'9'!H45+'10'!H45</f>
        <v>0</v>
      </c>
      <c r="I45" s="74">
        <f>+ยกมา!I45+'29'!I45+'30'!I45+'1'!I45+'2'!I45+'3'!I45+'4'!I45+'5'!I45+'6'!I45+'7'!I45+'8'!I45+'9'!I45+'10'!I45</f>
        <v>1</v>
      </c>
      <c r="J45" s="43">
        <f t="shared" si="1"/>
        <v>5</v>
      </c>
      <c r="K45" s="44">
        <f>ยกมา!K45+'29'!K45+'30'!K45+'1'!K45+'2'!K45+'3'!K45+'4'!K45+'5'!K45+'6'!K45+'7'!K45+'8'!K45+'9'!K45+'10'!K45</f>
        <v>4</v>
      </c>
      <c r="L45" s="15">
        <v>150</v>
      </c>
      <c r="M45" s="44">
        <f>ยกมา!M45+'29'!M45+'30'!M45+'1'!M45+'2'!M45+'3'!M45+'4'!M45+'5'!M45+'6'!M45+'7'!M45+'8'!M45+'9'!M45+'10'!M45</f>
        <v>600</v>
      </c>
      <c r="N45" s="19"/>
      <c r="O45" s="88"/>
      <c r="P45" s="77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46"/>
      <c r="F46" s="44">
        <f>+ยกมา!F46+'29'!F46+'30'!F46+'1'!F46+'2'!F46+'3'!F46+'4'!F46+'5'!F46+'6'!F46+'7'!F46+'8'!F46+'9'!F46+'10'!F46</f>
        <v>36</v>
      </c>
      <c r="G46" s="43">
        <f t="shared" si="0"/>
        <v>36</v>
      </c>
      <c r="H46" s="76">
        <f>+ยกมา!H46+'29'!H46+'30'!H46+'1'!H46+'2'!H46+'3'!H46+'4'!H46+'5'!H46+'6'!H46+'7'!H46+'8'!H46+'9'!H46+'10'!H46</f>
        <v>1</v>
      </c>
      <c r="I46" s="74">
        <f>+ยกมา!I46+'29'!I46+'30'!I46+'1'!I46+'2'!I46+'3'!I46+'4'!I46+'5'!I46+'6'!I46+'7'!I46+'8'!I46+'9'!I46+'10'!I46</f>
        <v>0</v>
      </c>
      <c r="J46" s="43">
        <f t="shared" si="1"/>
        <v>1</v>
      </c>
      <c r="K46" s="44">
        <f>ยกมา!K46+'29'!K46+'30'!K46+'1'!K46+'2'!K46+'3'!K46+'4'!K46+'5'!K46+'6'!K46+'7'!K46+'8'!K46+'9'!K46+'10'!K46</f>
        <v>34</v>
      </c>
      <c r="L46" s="15">
        <v>25</v>
      </c>
      <c r="M46" s="44">
        <f>ยกมา!M46+'29'!M46+'30'!M46+'1'!M46+'2'!M46+'3'!M46+'4'!M46+'5'!M46+'6'!M46+'7'!M46+'8'!M46+'9'!M46+'10'!M46</f>
        <v>850</v>
      </c>
      <c r="N46" s="19"/>
      <c r="O46" s="88"/>
      <c r="P46" s="77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46"/>
      <c r="F47" s="44">
        <f>+ยกมา!F47+'29'!F47+'30'!F47+'1'!F47+'2'!F47+'3'!F47+'4'!F47+'5'!F47+'6'!F47+'7'!F47+'8'!F47+'9'!F47+'10'!F47</f>
        <v>53</v>
      </c>
      <c r="G47" s="43">
        <f t="shared" si="0"/>
        <v>53</v>
      </c>
      <c r="H47" s="76">
        <f>+ยกมา!H47+'29'!H47+'30'!H47+'1'!H47+'2'!H47+'3'!H47+'4'!H47+'5'!H47+'6'!H47+'7'!H47+'8'!H47+'9'!H47+'10'!H47</f>
        <v>0</v>
      </c>
      <c r="I47" s="74">
        <f>+ยกมา!I47+'29'!I47+'30'!I47+'1'!I47+'2'!I47+'3'!I47+'4'!I47+'5'!I47+'6'!I47+'7'!I47+'8'!I47+'9'!I47+'10'!I47</f>
        <v>1</v>
      </c>
      <c r="J47" s="43">
        <f t="shared" si="1"/>
        <v>0</v>
      </c>
      <c r="K47" s="44">
        <f>ยกมา!K47+'29'!K47+'30'!K47+'1'!K47+'2'!K47+'3'!K47+'4'!K47+'5'!K47+'6'!K47+'7'!K47+'8'!K47+'9'!K47+'10'!K47</f>
        <v>52</v>
      </c>
      <c r="L47" s="15">
        <v>25</v>
      </c>
      <c r="M47" s="44">
        <f>ยกมา!M47+'29'!M47+'30'!M47+'1'!M47+'2'!M47+'3'!M47+'4'!M47+'5'!M47+'6'!M47+'7'!M47+'8'!M47+'9'!M47+'10'!M47</f>
        <v>1820</v>
      </c>
      <c r="N47" s="19"/>
      <c r="O47" s="88"/>
      <c r="P47" s="77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46"/>
      <c r="F48" s="44">
        <f>+ยกมา!F48+'29'!F48+'30'!F48+'1'!F48+'2'!F48+'3'!F48+'4'!F48+'5'!F48+'6'!F48+'7'!F48+'8'!F48+'9'!F48+'10'!F48</f>
        <v>759</v>
      </c>
      <c r="G48" s="43">
        <f t="shared" si="0"/>
        <v>759</v>
      </c>
      <c r="H48" s="76">
        <f>+ยกมา!H48+'29'!H48+'30'!H48+'1'!H48+'2'!H48+'3'!H48+'4'!H48+'5'!H48+'6'!H48+'7'!H48+'8'!H48+'9'!H48+'10'!H48</f>
        <v>0</v>
      </c>
      <c r="I48" s="74">
        <f>+ยกมา!I48+'29'!I48+'30'!I48+'1'!I48+'2'!I48+'3'!I48+'4'!I48+'5'!I48+'6'!I48+'7'!I48+'8'!I48+'9'!I48+'10'!I48</f>
        <v>19</v>
      </c>
      <c r="J48" s="43">
        <f t="shared" si="1"/>
        <v>17</v>
      </c>
      <c r="K48" s="44">
        <f>ยกมา!K48+'29'!K48+'30'!K48+'1'!K48+'2'!K48+'3'!K48+'4'!K48+'5'!K48+'6'!K48+'7'!K48+'8'!K48+'9'!K48+'10'!K48</f>
        <v>723</v>
      </c>
      <c r="L48" s="15">
        <v>19</v>
      </c>
      <c r="M48" s="44">
        <f>ยกมา!M48+'29'!M48+'30'!M48+'1'!M48+'2'!M48+'3'!M48+'4'!M48+'5'!M48+'6'!M48+'7'!M48+'8'!M48+'9'!M48+'10'!M48</f>
        <v>8721</v>
      </c>
      <c r="N48" s="19"/>
      <c r="O48" s="88"/>
      <c r="P48" s="77">
        <f t="shared" si="2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46"/>
      <c r="F49" s="44">
        <f>+ยกมา!F49+'29'!F49+'30'!F49+'1'!F49+'2'!F49+'3'!F49+'4'!F49+'5'!F49+'6'!F49+'7'!F49+'8'!F49+'9'!F49+'10'!F49</f>
        <v>208</v>
      </c>
      <c r="G49" s="43">
        <f t="shared" si="0"/>
        <v>208</v>
      </c>
      <c r="H49" s="76">
        <f>+ยกมา!H49+'29'!H49+'30'!H49+'1'!H49+'2'!H49+'3'!H49+'4'!H49+'5'!H49+'6'!H49+'7'!H49+'8'!H49+'9'!H49+'10'!H49</f>
        <v>27</v>
      </c>
      <c r="I49" s="74">
        <f>+ยกมา!I49+'29'!I49+'30'!I49+'1'!I49+'2'!I49+'3'!I49+'4'!I49+'5'!I49+'6'!I49+'7'!I49+'8'!I49+'9'!I49+'10'!I49</f>
        <v>58</v>
      </c>
      <c r="J49" s="43">
        <f t="shared" si="1"/>
        <v>0</v>
      </c>
      <c r="K49" s="44">
        <f>ยกมา!K49+'29'!K49+'30'!K49+'1'!K49+'2'!K49+'3'!K49+'4'!K49+'5'!K49+'6'!K49+'7'!K49+'8'!K49+'9'!K49+'10'!K49</f>
        <v>123</v>
      </c>
      <c r="L49" s="15">
        <v>25</v>
      </c>
      <c r="M49" s="44">
        <f>ยกมา!M49+'29'!M49+'30'!M49+'1'!M49+'2'!M49+'3'!M49+'4'!M49+'5'!M49+'6'!M49+'7'!M49+'8'!M49+'9'!M49+'10'!M49</f>
        <v>3075</v>
      </c>
      <c r="N49" s="19"/>
      <c r="O49" s="88"/>
      <c r="P49" s="77">
        <f t="shared" si="2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46"/>
      <c r="F50" s="44">
        <f>+ยกมา!F50+'29'!F50+'30'!F50+'1'!F50+'2'!F50+'3'!F50+'4'!F50+'5'!F50+'6'!F50+'7'!F50+'8'!F50+'9'!F50+'10'!F50</f>
        <v>141</v>
      </c>
      <c r="G50" s="43">
        <f t="shared" si="0"/>
        <v>141</v>
      </c>
      <c r="H50" s="76">
        <f>+ยกมา!H50+'29'!H50+'30'!H50+'1'!H50+'2'!H50+'3'!H50+'4'!H50+'5'!H50+'6'!H50+'7'!H50+'8'!H50+'9'!H50+'10'!H50</f>
        <v>0</v>
      </c>
      <c r="I50" s="74">
        <f>+ยกมา!I50+'29'!I50+'30'!I50+'1'!I50+'2'!I50+'3'!I50+'4'!I50+'5'!I50+'6'!I50+'7'!I50+'8'!I50+'9'!I50+'10'!I50</f>
        <v>51</v>
      </c>
      <c r="J50" s="43">
        <f t="shared" si="1"/>
        <v>3</v>
      </c>
      <c r="K50" s="44">
        <f>ยกมา!K50+'29'!K50+'30'!K50+'1'!K50+'2'!K50+'3'!K50+'4'!K50+'5'!K50+'6'!K50+'7'!K50+'8'!K50+'9'!K50+'10'!K50</f>
        <v>87</v>
      </c>
      <c r="L50" s="15">
        <v>25</v>
      </c>
      <c r="M50" s="44">
        <f>ยกมา!M50+'29'!M50+'30'!M50+'1'!M50+'2'!M50+'3'!M50+'4'!M50+'5'!M50+'6'!M50+'7'!M50+'8'!M50+'9'!M50+'10'!M50</f>
        <v>2175</v>
      </c>
      <c r="N50" s="19"/>
      <c r="O50" s="88"/>
      <c r="P50" s="77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46"/>
      <c r="F51" s="44">
        <f>+ยกมา!F51+'29'!F51+'30'!F51+'1'!F51+'2'!F51+'3'!F51+'4'!F51+'5'!F51+'6'!F51+'7'!F51+'8'!F51+'9'!F51+'10'!F51</f>
        <v>126</v>
      </c>
      <c r="G51" s="43">
        <f t="shared" si="0"/>
        <v>126</v>
      </c>
      <c r="H51" s="76">
        <f>+ยกมา!H51+'29'!H51+'30'!H51+'1'!H51+'2'!H51+'3'!H51+'4'!H51+'5'!H51+'6'!H51+'7'!H51+'8'!H51+'9'!H51+'10'!H51</f>
        <v>0</v>
      </c>
      <c r="I51" s="74">
        <f>+ยกมา!I51+'29'!I51+'30'!I51+'1'!I51+'2'!I51+'3'!I51+'4'!I51+'5'!I51+'6'!I51+'7'!I51+'8'!I51+'9'!I51+'10'!I51</f>
        <v>31</v>
      </c>
      <c r="J51" s="43">
        <f t="shared" si="1"/>
        <v>0</v>
      </c>
      <c r="K51" s="44">
        <f>ยกมา!K51+'29'!K51+'30'!K51+'1'!K51+'2'!K51+'3'!K51+'4'!K51+'5'!K51+'6'!K51+'7'!K51+'8'!K51+'9'!K51+'10'!K51</f>
        <v>95</v>
      </c>
      <c r="L51" s="20">
        <v>25</v>
      </c>
      <c r="M51" s="44">
        <f>ยกมา!M51+'29'!M51+'30'!M51+'1'!M51+'2'!M51+'3'!M51+'4'!M51+'5'!M51+'6'!M51+'7'!M51+'8'!M51+'9'!M51+'10'!M51</f>
        <v>2375</v>
      </c>
      <c r="N51" s="19"/>
      <c r="O51" s="88"/>
      <c r="P51" s="77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46"/>
      <c r="F52" s="44">
        <f>+ยกมา!F52+'29'!F52+'30'!F52+'1'!F52+'2'!F52+'3'!F52+'4'!F52+'5'!F52+'6'!F52+'7'!F52+'8'!F52+'9'!F52+'10'!F52</f>
        <v>64</v>
      </c>
      <c r="G52" s="43">
        <f t="shared" si="0"/>
        <v>64</v>
      </c>
      <c r="H52" s="76">
        <f>+ยกมา!H52+'29'!H52+'30'!H52+'1'!H52+'2'!H52+'3'!H52+'4'!H52+'5'!H52+'6'!H52+'7'!H52+'8'!H52+'9'!H52+'10'!H52</f>
        <v>0</v>
      </c>
      <c r="I52" s="74">
        <f>+ยกมา!I52+'29'!I52+'30'!I52+'1'!I52+'2'!I52+'3'!I52+'4'!I52+'5'!I52+'6'!I52+'7'!I52+'8'!I52+'9'!I52+'10'!I52</f>
        <v>30</v>
      </c>
      <c r="J52" s="43">
        <f t="shared" si="1"/>
        <v>1</v>
      </c>
      <c r="K52" s="44">
        <f>ยกมา!K52+'29'!K52+'30'!K52+'1'!K52+'2'!K52+'3'!K52+'4'!K52+'5'!K52+'6'!K52+'7'!K52+'8'!K52+'9'!K52+'10'!K52</f>
        <v>33</v>
      </c>
      <c r="L52" s="20">
        <v>35</v>
      </c>
      <c r="M52" s="44">
        <f>ยกมา!M52+'29'!M52+'30'!M52+'1'!M52+'2'!M52+'3'!M52+'4'!M52+'5'!M52+'6'!M52+'7'!M52+'8'!M52+'9'!M52+'10'!M52</f>
        <v>1085</v>
      </c>
      <c r="N52" s="19"/>
      <c r="O52" s="88"/>
      <c r="P52" s="77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46"/>
      <c r="F53" s="44">
        <f>+ยกมา!F53+'29'!F53+'30'!F53+'1'!F53+'2'!F53+'3'!F53+'4'!F53+'5'!F53+'6'!F53+'7'!F53+'8'!F53+'9'!F53+'10'!F53</f>
        <v>50</v>
      </c>
      <c r="G53" s="43">
        <f t="shared" si="0"/>
        <v>50</v>
      </c>
      <c r="H53" s="76">
        <f>+ยกมา!H53+'29'!H53+'30'!H53+'1'!H53+'2'!H53+'3'!H53+'4'!H53+'5'!H53+'6'!H53+'7'!H53+'8'!H53+'9'!H53+'10'!H53</f>
        <v>0</v>
      </c>
      <c r="I53" s="74">
        <f>+ยกมา!I53+'29'!I53+'30'!I53+'1'!I53+'2'!I53+'3'!I53+'4'!I53+'5'!I53+'6'!I53+'7'!I53+'8'!I53+'9'!I53+'10'!I53</f>
        <v>1</v>
      </c>
      <c r="J53" s="43">
        <f t="shared" si="1"/>
        <v>21</v>
      </c>
      <c r="K53" s="44">
        <f>ยกมา!K53+'29'!K53+'30'!K53+'1'!K53+'2'!K53+'3'!K53+'4'!K53+'5'!K53+'6'!K53+'7'!K53+'8'!K53+'9'!K53+'10'!K53</f>
        <v>28</v>
      </c>
      <c r="L53" s="15">
        <v>35</v>
      </c>
      <c r="M53" s="44">
        <f>ยกมา!M53+'29'!M53+'30'!M53+'1'!M53+'2'!M53+'3'!M53+'4'!M53+'5'!M53+'6'!M53+'7'!M53+'8'!M53+'9'!M53+'10'!M53</f>
        <v>980</v>
      </c>
      <c r="N53" s="19"/>
      <c r="O53" s="88"/>
      <c r="P53" s="77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46"/>
      <c r="F54" s="44">
        <f>+ยกมา!F54+'29'!F54+'30'!F54+'1'!F54+'2'!F54+'3'!F54+'4'!F54+'5'!F54+'6'!F54+'7'!F54+'8'!F54+'9'!F54+'10'!F54</f>
        <v>33</v>
      </c>
      <c r="G54" s="43">
        <f t="shared" si="0"/>
        <v>33</v>
      </c>
      <c r="H54" s="76">
        <f>+ยกมา!H54+'29'!H54+'30'!H54+'1'!H54+'2'!H54+'3'!H54+'4'!H54+'5'!H54+'6'!H54+'7'!H54+'8'!H54+'9'!H54+'10'!H54</f>
        <v>0</v>
      </c>
      <c r="I54" s="74">
        <f>+ยกมา!I54+'29'!I54+'30'!I54+'1'!I54+'2'!I54+'3'!I54+'4'!I54+'5'!I54+'6'!I54+'7'!I54+'8'!I54+'9'!I54+'10'!I54</f>
        <v>0</v>
      </c>
      <c r="J54" s="43">
        <f t="shared" si="1"/>
        <v>0</v>
      </c>
      <c r="K54" s="44">
        <f>ยกมา!K54+'29'!K54+'30'!K54+'1'!K54+'2'!K54+'3'!K54+'4'!K54+'5'!K54+'6'!K54+'7'!K54+'8'!K54+'9'!K54+'10'!K54</f>
        <v>33</v>
      </c>
      <c r="L54" s="15">
        <v>35</v>
      </c>
      <c r="M54" s="44">
        <f>ยกมา!M54+'29'!M54+'30'!M54+'1'!M54+'2'!M54+'3'!M54+'4'!M54+'5'!M54+'6'!M54+'7'!M54+'8'!M54+'9'!M54+'10'!M54</f>
        <v>1155</v>
      </c>
      <c r="N54" s="19"/>
      <c r="O54" s="88"/>
      <c r="P54" s="77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46"/>
      <c r="F55" s="44">
        <f>+ยกมา!F55+'29'!F55+'30'!F55+'1'!F55+'2'!F55+'3'!F55+'4'!F55+'5'!F55+'6'!F55+'7'!F55+'8'!F55+'9'!F55+'10'!F55</f>
        <v>37</v>
      </c>
      <c r="G55" s="43">
        <f t="shared" si="0"/>
        <v>37</v>
      </c>
      <c r="H55" s="76">
        <f>+ยกมา!H55+'29'!H55+'30'!H55+'1'!H55+'2'!H55+'3'!H55+'4'!H55+'5'!H55+'6'!H55+'7'!H55+'8'!H55+'9'!H55+'10'!H55</f>
        <v>0</v>
      </c>
      <c r="I55" s="74">
        <f>+ยกมา!I55+'29'!I55+'30'!I55+'1'!I55+'2'!I55+'3'!I55+'4'!I55+'5'!I55+'6'!I55+'7'!I55+'8'!I55+'9'!I55+'10'!I55</f>
        <v>0</v>
      </c>
      <c r="J55" s="43">
        <f t="shared" si="1"/>
        <v>4</v>
      </c>
      <c r="K55" s="44">
        <f>ยกมา!K55+'29'!K55+'30'!K55+'1'!K55+'2'!K55+'3'!K55+'4'!K55+'5'!K55+'6'!K55+'7'!K55+'8'!K55+'9'!K55+'10'!K55</f>
        <v>33</v>
      </c>
      <c r="L55" s="15">
        <v>120</v>
      </c>
      <c r="M55" s="44">
        <f>ยกมา!M55+'29'!M55+'30'!M55+'1'!M55+'2'!M55+'3'!M55+'4'!M55+'5'!M55+'6'!M55+'7'!M55+'8'!M55+'9'!M55+'10'!M55</f>
        <v>3840</v>
      </c>
      <c r="N55" s="19"/>
      <c r="O55" s="88"/>
      <c r="P55" s="77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46"/>
      <c r="F56" s="44">
        <f>+ยกมา!F56+'29'!F56+'30'!F56+'1'!F56+'2'!F56+'3'!F56+'4'!F56+'5'!F56+'6'!F56+'7'!F56+'8'!F56+'9'!F56+'10'!F56</f>
        <v>39</v>
      </c>
      <c r="G56" s="43">
        <f t="shared" si="0"/>
        <v>39</v>
      </c>
      <c r="H56" s="76">
        <f>+ยกมา!H56+'29'!H56+'30'!H56+'1'!H56+'2'!H56+'3'!H56+'4'!H56+'5'!H56+'6'!H56+'7'!H56+'8'!H56+'9'!H56+'10'!H56</f>
        <v>0</v>
      </c>
      <c r="I56" s="74">
        <f>+ยกมา!I56+'29'!I56+'30'!I56+'1'!I56+'2'!I56+'3'!I56+'4'!I56+'5'!I56+'6'!I56+'7'!I56+'8'!I56+'9'!I56+'10'!I56</f>
        <v>0</v>
      </c>
      <c r="J56" s="43">
        <f t="shared" si="1"/>
        <v>14</v>
      </c>
      <c r="K56" s="44">
        <f>ยกมา!K56+'29'!K56+'30'!K56+'1'!K56+'2'!K56+'3'!K56+'4'!K56+'5'!K56+'6'!K56+'7'!K56+'8'!K56+'9'!K56+'10'!K56</f>
        <v>25</v>
      </c>
      <c r="L56" s="15">
        <v>120</v>
      </c>
      <c r="M56" s="44">
        <f>ยกมา!M56+'29'!M56+'30'!M56+'1'!M56+'2'!M56+'3'!M56+'4'!M56+'5'!M56+'6'!M56+'7'!M56+'8'!M56+'9'!M56+'10'!M56</f>
        <v>2880</v>
      </c>
      <c r="N56" s="19"/>
      <c r="O56" s="88"/>
      <c r="P56" s="77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46"/>
      <c r="F57" s="44">
        <f>+ยกมา!F57+'29'!F57+'30'!F57+'1'!F57+'2'!F57+'3'!F57+'4'!F57+'5'!F57+'6'!F57+'7'!F57+'8'!F57+'9'!F57+'10'!F57</f>
        <v>40</v>
      </c>
      <c r="G57" s="43">
        <f t="shared" si="0"/>
        <v>40</v>
      </c>
      <c r="H57" s="76">
        <f>+ยกมา!H57+'29'!H57+'30'!H57+'1'!H57+'2'!H57+'3'!H57+'4'!H57+'5'!H57+'6'!H57+'7'!H57+'8'!H57+'9'!H57+'10'!H57</f>
        <v>1</v>
      </c>
      <c r="I57" s="74">
        <f>+ยกมา!I57+'29'!I57+'30'!I57+'1'!I57+'2'!I57+'3'!I57+'4'!I57+'5'!I57+'6'!I57+'7'!I57+'8'!I57+'9'!I57+'10'!I57</f>
        <v>1</v>
      </c>
      <c r="J57" s="43">
        <f t="shared" si="1"/>
        <v>11</v>
      </c>
      <c r="K57" s="44">
        <f>ยกมา!K57+'29'!K57+'30'!K57+'1'!K57+'2'!K57+'3'!K57+'4'!K57+'5'!K57+'6'!K57+'7'!K57+'8'!K57+'9'!K57+'10'!K57</f>
        <v>27</v>
      </c>
      <c r="L57" s="20">
        <v>120</v>
      </c>
      <c r="M57" s="44">
        <f>ยกมา!M57+'29'!M57+'30'!M57+'1'!M57+'2'!M57+'3'!M57+'4'!M57+'5'!M57+'6'!M57+'7'!M57+'8'!M57+'9'!M57+'10'!M57</f>
        <v>3120</v>
      </c>
      <c r="N57" s="19"/>
      <c r="O57" s="88"/>
      <c r="P57" s="77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46"/>
      <c r="F58" s="44">
        <f>+ยกมา!F58+'29'!F58+'30'!F58+'1'!F58+'2'!F58+'3'!F58+'4'!F58+'5'!F58+'6'!F58+'7'!F58+'8'!F58+'9'!F58+'10'!F58</f>
        <v>38</v>
      </c>
      <c r="G58" s="43">
        <f t="shared" si="0"/>
        <v>38</v>
      </c>
      <c r="H58" s="76">
        <f>+ยกมา!H58+'29'!H58+'30'!H58+'1'!H58+'2'!H58+'3'!H58+'4'!H58+'5'!H58+'6'!H58+'7'!H58+'8'!H58+'9'!H58+'10'!H58</f>
        <v>0</v>
      </c>
      <c r="I58" s="74">
        <f>+ยกมา!I58+'29'!I58+'30'!I58+'1'!I58+'2'!I58+'3'!I58+'4'!I58+'5'!I58+'6'!I58+'7'!I58+'8'!I58+'9'!I58+'10'!I58</f>
        <v>0</v>
      </c>
      <c r="J58" s="43">
        <f t="shared" si="1"/>
        <v>23</v>
      </c>
      <c r="K58" s="44">
        <f>ยกมา!K58+'29'!K58+'30'!K58+'1'!K58+'2'!K58+'3'!K58+'4'!K58+'5'!K58+'6'!K58+'7'!K58+'8'!K58+'9'!K58+'10'!K58</f>
        <v>15</v>
      </c>
      <c r="L58" s="20">
        <v>120</v>
      </c>
      <c r="M58" s="44">
        <f>ยกมา!M58+'29'!M58+'30'!M58+'1'!M58+'2'!M58+'3'!M58+'4'!M58+'5'!M58+'6'!M58+'7'!M58+'8'!M58+'9'!M58+'10'!M58</f>
        <v>1680</v>
      </c>
      <c r="N58" s="19"/>
      <c r="O58" s="88"/>
      <c r="P58" s="77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/>
      <c r="B59" s="10"/>
      <c r="C59" s="19" t="s">
        <v>1457</v>
      </c>
      <c r="D59" s="10" t="s">
        <v>429</v>
      </c>
      <c r="E59" s="46"/>
      <c r="F59" s="44">
        <f>+ยกมา!F59+'29'!F59+'30'!F59+'1'!F59+'2'!F59+'3'!F59+'4'!F59+'5'!F59+'6'!F59+'7'!F59+'8'!F59+'9'!F59+'10'!F59</f>
        <v>405</v>
      </c>
      <c r="G59" s="43">
        <f t="shared" si="0"/>
        <v>405</v>
      </c>
      <c r="H59" s="76">
        <f>+ยกมา!H59+'29'!H59+'30'!H59+'1'!H59+'2'!H59+'3'!H59+'4'!H59+'5'!H59+'6'!H59+'7'!H59+'8'!H59+'9'!H59+'10'!H59</f>
        <v>0</v>
      </c>
      <c r="I59" s="74">
        <f>+ยกมา!I59+'29'!I59+'30'!I59+'1'!I59+'2'!I59+'3'!I59+'4'!I59+'5'!I59+'6'!I59+'7'!I59+'8'!I59+'9'!I59+'10'!I59</f>
        <v>0</v>
      </c>
      <c r="J59" s="43">
        <f t="shared" si="1"/>
        <v>0</v>
      </c>
      <c r="K59" s="44">
        <f>ยกมา!K59+'29'!K59+'30'!K59+'1'!K59+'2'!K59+'3'!K59+'4'!K59+'5'!K59+'6'!K59+'7'!K59+'8'!K59+'9'!K59+'10'!K59</f>
        <v>405</v>
      </c>
      <c r="L59" s="20">
        <v>15</v>
      </c>
      <c r="M59" s="44">
        <f>ยกมา!M59+'29'!M59+'30'!M59+'1'!M59+'2'!M59+'3'!M59+'4'!M59+'5'!M59+'6'!M59+'7'!M59+'8'!M59+'9'!M59+'10'!M59</f>
        <v>6075</v>
      </c>
      <c r="N59" s="19"/>
      <c r="O59" s="88"/>
      <c r="P59" s="77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/>
      <c r="B60" s="10"/>
      <c r="C60" s="19"/>
      <c r="D60" s="10"/>
      <c r="E60" s="46"/>
      <c r="F60" s="44">
        <f>+ยกมา!F60+'29'!F60+'30'!F60+'1'!F60+'2'!F60+'3'!F60+'4'!F60+'5'!F60+'6'!F60+'7'!F60+'8'!F60+'9'!F60+'10'!F60</f>
        <v>0</v>
      </c>
      <c r="G60" s="43">
        <f t="shared" si="0"/>
        <v>0</v>
      </c>
      <c r="H60" s="76">
        <f>+ยกมา!H60+'29'!H60+'30'!H60+'1'!H60+'2'!H60+'3'!H60+'4'!H60+'5'!H60+'6'!H60+'7'!H60+'8'!H60+'9'!H60+'10'!H60</f>
        <v>0</v>
      </c>
      <c r="I60" s="74">
        <f>+ยกมา!I60+'29'!I60+'30'!I60+'1'!I60+'2'!I60+'3'!I60+'4'!I60+'5'!I60+'6'!I60+'7'!I60+'8'!I60+'9'!I60+'10'!I60</f>
        <v>0</v>
      </c>
      <c r="J60" s="43">
        <f t="shared" si="1"/>
        <v>0</v>
      </c>
      <c r="K60" s="44">
        <f>ยกมา!K60+'29'!K60+'30'!K60+'1'!K60+'2'!K60+'3'!K60+'4'!K60+'5'!K60+'6'!K60+'7'!K60+'8'!K60+'9'!K60+'10'!K60</f>
        <v>0</v>
      </c>
      <c r="L60" s="20"/>
      <c r="M60" s="44">
        <f>ยกมา!M60+'29'!M60+'30'!M60+'1'!M60+'2'!M60+'3'!M60+'4'!M60+'5'!M60+'6'!M60+'7'!M60+'8'!M60+'9'!M60+'10'!M60</f>
        <v>0</v>
      </c>
      <c r="N60" s="19"/>
      <c r="O60" s="88"/>
      <c r="P60" s="77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/>
      <c r="B61" s="10"/>
      <c r="C61" s="19"/>
      <c r="D61" s="10"/>
      <c r="E61" s="46"/>
      <c r="F61" s="44">
        <f>+ยกมา!F61+'29'!F61+'30'!F61+'1'!F61+'2'!F61+'3'!F61+'4'!F61+'5'!F61+'6'!F61+'7'!F61+'8'!F61+'9'!F61+'10'!F61</f>
        <v>0</v>
      </c>
      <c r="G61" s="43">
        <f t="shared" si="0"/>
        <v>0</v>
      </c>
      <c r="H61" s="76">
        <f>+ยกมา!H61+'29'!H61+'30'!H61+'1'!H61+'2'!H61+'3'!H61+'4'!H61+'5'!H61+'6'!H61+'7'!H61+'8'!H61+'9'!H61+'10'!H61</f>
        <v>0</v>
      </c>
      <c r="I61" s="74">
        <f>+ยกมา!I61+'29'!I61+'30'!I61+'1'!I61+'2'!I61+'3'!I61+'4'!I61+'5'!I61+'6'!I61+'7'!I61+'8'!I61+'9'!I61+'10'!I61</f>
        <v>0</v>
      </c>
      <c r="J61" s="43">
        <f t="shared" si="1"/>
        <v>0</v>
      </c>
      <c r="K61" s="44">
        <f>ยกมา!K61+'29'!K61+'30'!K61+'1'!K61+'2'!K61+'3'!K61+'4'!K61+'5'!K61+'6'!K61+'7'!K61+'8'!K61+'9'!K61+'10'!K61</f>
        <v>0</v>
      </c>
      <c r="L61" s="20"/>
      <c r="M61" s="44">
        <f>ยกมา!M61+'29'!M61+'30'!M61+'1'!M61+'2'!M61+'3'!M61+'4'!M61+'5'!M61+'6'!M61+'7'!M61+'8'!M61+'9'!M61+'10'!M61</f>
        <v>0</v>
      </c>
      <c r="N61" s="19"/>
      <c r="O61" s="88"/>
      <c r="P61" s="77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/>
      <c r="B62" s="10"/>
      <c r="C62" s="19"/>
      <c r="D62" s="10"/>
      <c r="E62" s="46"/>
      <c r="F62" s="44">
        <f>+ยกมา!F62+'29'!F62+'30'!F62+'1'!F62+'2'!F62+'3'!F62+'4'!F62+'5'!F62+'6'!F62+'7'!F62+'8'!F62+'9'!F62+'10'!F62</f>
        <v>0</v>
      </c>
      <c r="G62" s="43">
        <f t="shared" si="0"/>
        <v>0</v>
      </c>
      <c r="H62" s="76">
        <f>+ยกมา!H62+'29'!H62+'30'!H62+'1'!H62+'2'!H62+'3'!H62+'4'!H62+'5'!H62+'6'!H62+'7'!H62+'8'!H62+'9'!H62+'10'!H62</f>
        <v>0</v>
      </c>
      <c r="I62" s="74">
        <f>+ยกมา!I62+'29'!I62+'30'!I62+'1'!I62+'2'!I62+'3'!I62+'4'!I62+'5'!I62+'6'!I62+'7'!I62+'8'!I62+'9'!I62+'10'!I62</f>
        <v>0</v>
      </c>
      <c r="J62" s="43">
        <f t="shared" si="1"/>
        <v>0</v>
      </c>
      <c r="K62" s="44">
        <f>ยกมา!K62+'29'!K62+'30'!K62+'1'!K62+'2'!K62+'3'!K62+'4'!K62+'5'!K62+'6'!K62+'7'!K62+'8'!K62+'9'!K62+'10'!K62</f>
        <v>0</v>
      </c>
      <c r="L62" s="20"/>
      <c r="M62" s="44">
        <f>ยกมา!M62+'29'!M62+'30'!M62+'1'!M62+'2'!M62+'3'!M62+'4'!M62+'5'!M62+'6'!M62+'7'!M62+'8'!M62+'9'!M62+'10'!M62</f>
        <v>0</v>
      </c>
      <c r="N62" s="19"/>
      <c r="O62" s="88"/>
      <c r="P62" s="77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A63" s="10"/>
      <c r="B63" s="10"/>
      <c r="C63" s="19"/>
      <c r="D63" s="10"/>
      <c r="E63" s="46"/>
      <c r="F63" s="44">
        <f>+ยกมา!F63+'29'!F63+'30'!F63+'1'!F63+'2'!F63+'3'!F63+'4'!F63+'5'!F63+'6'!F63+'7'!F63+'8'!F63+'9'!F63+'10'!F63</f>
        <v>0</v>
      </c>
      <c r="G63" s="43">
        <f t="shared" si="0"/>
        <v>0</v>
      </c>
      <c r="H63" s="76">
        <f>+ยกมา!H63+'29'!H63+'30'!H63+'1'!H63+'2'!H63+'3'!H63+'4'!H63+'5'!H63+'6'!H63+'7'!H63+'8'!H63+'9'!H63+'10'!H63</f>
        <v>0</v>
      </c>
      <c r="I63" s="74">
        <f>+ยกมา!I63+'29'!I63+'30'!I63+'1'!I63+'2'!I63+'3'!I63+'4'!I63+'5'!I63+'6'!I63+'7'!I63+'8'!I63+'9'!I63+'10'!I63</f>
        <v>0</v>
      </c>
      <c r="J63" s="43">
        <f t="shared" si="1"/>
        <v>0</v>
      </c>
      <c r="K63" s="44">
        <f>ยกมา!K63+'29'!K63+'30'!K63+'1'!K63+'2'!K63+'3'!K63+'4'!K63+'5'!K63+'6'!K63+'7'!K63+'8'!K63+'9'!K63+'10'!K63</f>
        <v>0</v>
      </c>
      <c r="L63" s="20"/>
      <c r="M63" s="44">
        <f>ยกมา!M63+'29'!M63+'30'!M63+'1'!M63+'2'!M63+'3'!M63+'4'!M63+'5'!M63+'6'!M63+'7'!M63+'8'!M63+'9'!M63+'10'!M63</f>
        <v>0</v>
      </c>
      <c r="N63" s="19"/>
      <c r="O63" s="88"/>
      <c r="P63" s="77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75" customHeight="1" x14ac:dyDescent="0.55000000000000004">
      <c r="A64" s="10"/>
      <c r="B64" s="10"/>
      <c r="C64" s="19"/>
      <c r="D64" s="10"/>
      <c r="E64" s="46"/>
      <c r="F64" s="44">
        <f>+ยกมา!F64+'29'!F64+'30'!F64+'1'!F64+'2'!F64+'3'!F64+'4'!F64+'5'!F64+'6'!F64+'7'!F64+'8'!F64+'9'!F64+'10'!F64</f>
        <v>0</v>
      </c>
      <c r="G64" s="43">
        <f t="shared" si="0"/>
        <v>0</v>
      </c>
      <c r="H64" s="76">
        <f>+ยกมา!H64+'29'!H64+'30'!H64+'1'!H64+'2'!H64+'3'!H64+'4'!H64+'5'!H64+'6'!H64+'7'!H64+'8'!H64+'9'!H64+'10'!H64</f>
        <v>0</v>
      </c>
      <c r="I64" s="74">
        <f>+ยกมา!I64+'29'!I64+'30'!I64+'1'!I64+'2'!I64+'3'!I64+'4'!I64+'5'!I64+'6'!I64+'7'!I64+'8'!I64+'9'!I64+'10'!I64</f>
        <v>0</v>
      </c>
      <c r="J64" s="43">
        <f t="shared" ref="J64" si="8">E64+F64-H64-K64-I64</f>
        <v>0</v>
      </c>
      <c r="K64" s="44">
        <f>ยกมา!K64+'29'!K64+'30'!K64+'1'!K64+'2'!K64+'3'!K64+'4'!K64+'5'!K64+'6'!K64+'7'!K64+'8'!K64+'9'!K64+'10'!K64</f>
        <v>0</v>
      </c>
      <c r="L64" s="20"/>
      <c r="M64" s="44">
        <f>ยกมา!M64+'29'!M64+'30'!M64+'1'!M64+'2'!M64+'3'!M64+'4'!M64+'5'!M64+'6'!M64+'7'!M64+'8'!M64+'9'!M64+'10'!M64</f>
        <v>0</v>
      </c>
      <c r="N64" s="19"/>
      <c r="O64" s="88"/>
      <c r="P64" s="77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9" x14ac:dyDescent="0.55000000000000004">
      <c r="A65" s="10"/>
      <c r="B65" s="10"/>
      <c r="C65" s="19"/>
      <c r="D65" s="10"/>
      <c r="E65" s="46"/>
      <c r="F65" s="44"/>
      <c r="G65" s="43">
        <f t="shared" si="0"/>
        <v>0</v>
      </c>
      <c r="H65" s="76">
        <f>+'[1]1'!H65+'[1]2'!H65+'[1]3'!H65+'[1]4'!H65+'[1]5'!H65+'[1]6'!H65+'[1]7'!H65+'[1]8'!H65+'[1]9'!H65+'[1]10'!H65+'[1]11'!H65+'[1]12'!H65+'[1]13'!H65+'[1]14'!H65+'[1]15'!H65+'[1]16'!H65+'[1]17'!H65+'[1]18'!H65+'[1]19'!H65+'[1]20'!H65+'[1]21'!H65+'[1]22'!H65+'[1]23'!H65+'[1]24'!H65+'[1]25'!H65+'[1]26'!H65+'[1]27'!H65+'[1]28'!H65+'[1]29'!H65+'[1]30'!H65+'[1]31.'!H65</f>
        <v>0</v>
      </c>
      <c r="I65" s="74"/>
      <c r="J65" s="43"/>
      <c r="K65" s="44"/>
      <c r="L65" s="20"/>
      <c r="M65" s="44">
        <f>ยกมา!M65+'29'!M65+'30'!M65+'1'!M65+'2'!M65+'3'!M65+'4'!M65+'5'!M65+'6'!M65+'7'!M65+'8'!M65+'9'!M65+'10'!M65</f>
        <v>0</v>
      </c>
      <c r="N65" s="19"/>
      <c r="O65" s="88"/>
      <c r="P65" s="77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9" s="48" customFormat="1" ht="25.5" customHeight="1" x14ac:dyDescent="0.55000000000000004">
      <c r="A66" s="186" t="s">
        <v>222</v>
      </c>
      <c r="B66" s="187"/>
      <c r="C66" s="187"/>
      <c r="D66" s="188"/>
      <c r="E66" s="192" t="s">
        <v>238</v>
      </c>
      <c r="F66" s="193"/>
      <c r="G66" s="189" t="s">
        <v>223</v>
      </c>
      <c r="H66" s="190"/>
      <c r="I66" s="191"/>
      <c r="J66" s="194" t="s">
        <v>224</v>
      </c>
      <c r="K66" s="194"/>
      <c r="L66" s="194"/>
      <c r="M66" s="50">
        <f>SUM(M5:M65)</f>
        <v>223756</v>
      </c>
      <c r="N66" s="51" t="s">
        <v>219</v>
      </c>
      <c r="O66" s="2"/>
      <c r="P66" s="23">
        <f>SUM(P5:P65)</f>
        <v>65850.289999999994</v>
      </c>
      <c r="Q66" s="2"/>
      <c r="R66" s="1"/>
      <c r="S66" s="1"/>
      <c r="T66" s="1"/>
      <c r="U66" s="1"/>
      <c r="V66" s="1"/>
      <c r="W66" s="1"/>
      <c r="X66" s="1"/>
      <c r="Y66" s="1"/>
      <c r="Z66" s="2"/>
      <c r="AA66" s="2"/>
      <c r="AB66" s="2"/>
      <c r="AC66" s="2"/>
    </row>
    <row r="67" spans="1:29" s="49" customFormat="1" ht="24.75" customHeight="1" x14ac:dyDescent="0.55000000000000004">
      <c r="A67" s="195" t="s">
        <v>225</v>
      </c>
      <c r="B67" s="196"/>
      <c r="C67" s="201">
        <f>+M69</f>
        <v>223756</v>
      </c>
      <c r="D67" s="202"/>
      <c r="E67" s="52" t="s">
        <v>226</v>
      </c>
      <c r="F67" s="53">
        <f>+M66</f>
        <v>223756</v>
      </c>
      <c r="G67" s="54" t="s">
        <v>217</v>
      </c>
      <c r="H67" s="183">
        <f>SUM(U17)</f>
        <v>105</v>
      </c>
      <c r="I67" s="184"/>
      <c r="J67" s="176"/>
      <c r="K67" s="176"/>
      <c r="L67" s="176"/>
      <c r="M67" s="56"/>
      <c r="N67" s="56">
        <f>+W17</f>
        <v>79284</v>
      </c>
      <c r="O67" s="2"/>
      <c r="P67" s="2"/>
      <c r="Q67" s="2"/>
      <c r="R67" s="1"/>
      <c r="S67" s="1"/>
      <c r="T67" s="1"/>
      <c r="U67" s="1"/>
      <c r="V67" s="1"/>
      <c r="W67" s="1"/>
      <c r="X67" s="1"/>
      <c r="Y67" s="1"/>
      <c r="Z67" s="2"/>
      <c r="AA67" s="2"/>
      <c r="AB67" s="2"/>
      <c r="AC67" s="2"/>
    </row>
    <row r="68" spans="1:29" s="49" customFormat="1" ht="24.75" customHeight="1" x14ac:dyDescent="0.55000000000000004">
      <c r="A68" s="195"/>
      <c r="B68" s="196"/>
      <c r="C68" s="201"/>
      <c r="D68" s="202"/>
      <c r="E68" s="52" t="s">
        <v>227</v>
      </c>
      <c r="F68" s="53">
        <f>N69</f>
        <v>7159</v>
      </c>
      <c r="G68" s="54"/>
      <c r="H68" s="183">
        <v>0</v>
      </c>
      <c r="I68" s="184"/>
      <c r="J68" s="176" t="s">
        <v>228</v>
      </c>
      <c r="K68" s="176"/>
      <c r="L68" s="176"/>
      <c r="M68" s="56">
        <f>-T17</f>
        <v>0</v>
      </c>
      <c r="N68" s="56" t="s">
        <v>227</v>
      </c>
      <c r="O68" s="2"/>
      <c r="P68" s="2"/>
      <c r="Q68" s="2"/>
      <c r="R68" s="1"/>
      <c r="S68" s="1"/>
      <c r="T68" s="1"/>
      <c r="U68" s="1"/>
      <c r="V68" s="1"/>
      <c r="W68" s="1"/>
      <c r="X68" s="1"/>
      <c r="Y68" s="1"/>
      <c r="Z68" s="2"/>
      <c r="AA68" s="2"/>
      <c r="AB68" s="2"/>
      <c r="AC68" s="2"/>
    </row>
    <row r="69" spans="1:29" s="49" customFormat="1" ht="24.75" customHeight="1" x14ac:dyDescent="0.55000000000000004">
      <c r="A69" s="197" t="s">
        <v>10</v>
      </c>
      <c r="B69" s="198"/>
      <c r="C69" s="201">
        <f>+F68</f>
        <v>7159</v>
      </c>
      <c r="D69" s="202"/>
      <c r="E69" s="52"/>
      <c r="F69" s="53"/>
      <c r="G69" s="54" t="s">
        <v>229</v>
      </c>
      <c r="H69" s="183">
        <f>+V17</f>
        <v>19054</v>
      </c>
      <c r="I69" s="184"/>
      <c r="J69" s="177" t="s">
        <v>230</v>
      </c>
      <c r="K69" s="178"/>
      <c r="L69" s="179"/>
      <c r="M69" s="56">
        <f>+M66-M67</f>
        <v>223756</v>
      </c>
      <c r="N69" s="57">
        <f>+S17</f>
        <v>7159</v>
      </c>
      <c r="O69" s="2"/>
      <c r="P69" s="2"/>
      <c r="Q69" s="2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</row>
    <row r="70" spans="1:29" s="49" customFormat="1" ht="24.75" customHeight="1" x14ac:dyDescent="0.55000000000000004">
      <c r="A70" s="199" t="s">
        <v>231</v>
      </c>
      <c r="B70" s="200"/>
      <c r="C70" s="201">
        <f>+C67-C69</f>
        <v>216597</v>
      </c>
      <c r="D70" s="202"/>
      <c r="E70" s="52" t="s">
        <v>231</v>
      </c>
      <c r="F70" s="53">
        <f>+F67-F68</f>
        <v>216597</v>
      </c>
      <c r="G70" s="54" t="s">
        <v>232</v>
      </c>
      <c r="H70" s="183">
        <f>SUM(H67:H69)</f>
        <v>19159</v>
      </c>
      <c r="I70" s="184"/>
      <c r="J70" s="176" t="s">
        <v>206</v>
      </c>
      <c r="K70" s="176"/>
      <c r="L70" s="176"/>
      <c r="M70" s="56">
        <f>H70</f>
        <v>19159</v>
      </c>
      <c r="N70" s="55"/>
      <c r="O70" s="2"/>
      <c r="P70" s="2"/>
      <c r="Q70" s="2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</row>
    <row r="71" spans="1:29" s="49" customFormat="1" ht="24.75" customHeight="1" x14ac:dyDescent="0.55000000000000004">
      <c r="A71" s="58"/>
      <c r="B71" s="109"/>
      <c r="C71" s="58"/>
      <c r="D71" s="58"/>
      <c r="E71" s="52" t="s">
        <v>233</v>
      </c>
      <c r="F71" s="53">
        <v>100000</v>
      </c>
      <c r="J71" s="180" t="s">
        <v>208</v>
      </c>
      <c r="K71" s="181"/>
      <c r="L71" s="182"/>
      <c r="M71" s="56">
        <f>M69-M70-N67-N69</f>
        <v>118154</v>
      </c>
      <c r="N71" s="55"/>
      <c r="O71" s="2"/>
      <c r="P71" s="2"/>
      <c r="Q71" s="2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</row>
    <row r="72" spans="1:29" s="49" customFormat="1" ht="24.75" customHeight="1" x14ac:dyDescent="0.55000000000000004">
      <c r="A72" s="58"/>
      <c r="B72" s="109"/>
      <c r="C72" s="58"/>
      <c r="D72" s="58"/>
      <c r="E72" s="52" t="s">
        <v>234</v>
      </c>
      <c r="F72" s="53">
        <f>F70-F71</f>
        <v>116597</v>
      </c>
      <c r="J72" s="180" t="s">
        <v>209</v>
      </c>
      <c r="K72" s="181"/>
      <c r="L72" s="182"/>
      <c r="M72" s="56">
        <f>+Y17</f>
        <v>119125</v>
      </c>
      <c r="N72" s="55"/>
      <c r="O72" s="2"/>
      <c r="P72" s="2"/>
      <c r="Q72" s="2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</row>
    <row r="73" spans="1:29" s="49" customFormat="1" ht="24.75" customHeight="1" x14ac:dyDescent="0.55000000000000004">
      <c r="A73" s="58"/>
      <c r="B73" s="109"/>
      <c r="C73" s="58"/>
      <c r="D73" s="58"/>
      <c r="E73" s="52" t="s">
        <v>235</v>
      </c>
      <c r="F73" s="53">
        <v>0</v>
      </c>
      <c r="J73" s="180" t="s">
        <v>210</v>
      </c>
      <c r="K73" s="181"/>
      <c r="L73" s="182"/>
      <c r="M73" s="56">
        <v>0</v>
      </c>
      <c r="N73" s="55"/>
      <c r="O73" s="2"/>
      <c r="P73" s="2"/>
      <c r="Q73" s="2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</row>
    <row r="74" spans="1:29" ht="24.75" customHeight="1" thickBot="1" x14ac:dyDescent="0.6">
      <c r="A74" s="58"/>
      <c r="B74" s="109"/>
      <c r="C74" s="58"/>
      <c r="D74" s="58"/>
      <c r="E74" s="95" t="s">
        <v>1374</v>
      </c>
      <c r="F74" s="96">
        <v>0</v>
      </c>
      <c r="J74" s="185" t="s">
        <v>211</v>
      </c>
      <c r="K74" s="185"/>
      <c r="L74" s="185"/>
      <c r="M74" s="59">
        <f>+M72-M71</f>
        <v>971</v>
      </c>
      <c r="N74" s="64"/>
    </row>
    <row r="75" spans="1:29" ht="24.75" customHeight="1" thickBot="1" x14ac:dyDescent="0.6">
      <c r="H75" s="173" t="s">
        <v>236</v>
      </c>
      <c r="I75" s="174"/>
      <c r="J75" s="174"/>
      <c r="K75" s="174"/>
      <c r="L75" s="174"/>
      <c r="M75" s="174"/>
      <c r="N75" s="175"/>
    </row>
    <row r="76" spans="1:29" x14ac:dyDescent="0.55000000000000004">
      <c r="F76" s="23"/>
    </row>
  </sheetData>
  <autoFilter ref="A4:AC75" xr:uid="{C258BCB2-AD6B-4EC8-A3B2-59814A6857B7}"/>
  <mergeCells count="52">
    <mergeCell ref="AA3:AA4"/>
    <mergeCell ref="AB3:AB4"/>
    <mergeCell ref="J3:J4"/>
    <mergeCell ref="K3:M3"/>
    <mergeCell ref="N3:N4"/>
    <mergeCell ref="O3:O4"/>
    <mergeCell ref="P3:P4"/>
    <mergeCell ref="A66:D66"/>
    <mergeCell ref="G66:I66"/>
    <mergeCell ref="J73:L73"/>
    <mergeCell ref="E66:F66"/>
    <mergeCell ref="J66:L66"/>
    <mergeCell ref="A67:B67"/>
    <mergeCell ref="A69:B69"/>
    <mergeCell ref="A70:B70"/>
    <mergeCell ref="C67:D67"/>
    <mergeCell ref="C68:D68"/>
    <mergeCell ref="C69:D69"/>
    <mergeCell ref="C70:D70"/>
    <mergeCell ref="A68:B68"/>
    <mergeCell ref="H75:N75"/>
    <mergeCell ref="J67:L67"/>
    <mergeCell ref="J68:L68"/>
    <mergeCell ref="J69:L69"/>
    <mergeCell ref="J70:L70"/>
    <mergeCell ref="J71:L71"/>
    <mergeCell ref="J72:L72"/>
    <mergeCell ref="H70:I70"/>
    <mergeCell ref="H67:I67"/>
    <mergeCell ref="H68:I68"/>
    <mergeCell ref="H69:I69"/>
    <mergeCell ref="J74:L7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E28B-5D42-42D9-B67E-E925A2086639}">
  <sheetPr>
    <tabColor rgb="FFFFFF00"/>
  </sheetPr>
  <dimension ref="A1:I10"/>
  <sheetViews>
    <sheetView workbookViewId="0">
      <pane xSplit="2" ySplit="2" topLeftCell="C3" activePane="bottomRight" state="frozen"/>
      <selection activeCell="A74" sqref="A66:XFD74"/>
      <selection pane="topRight" activeCell="A74" sqref="A66:XFD74"/>
      <selection pane="bottomLeft" activeCell="A74" sqref="A66:XFD74"/>
      <selection pane="bottomRight" activeCell="A74" sqref="A66:XFD74"/>
    </sheetView>
  </sheetViews>
  <sheetFormatPr defaultColWidth="8.75" defaultRowHeight="23.25" x14ac:dyDescent="0.5"/>
  <cols>
    <col min="1" max="1" width="8.75" style="130"/>
    <col min="2" max="2" width="21.875" style="128" bestFit="1" customWidth="1"/>
    <col min="3" max="3" width="11.25" style="128" bestFit="1" customWidth="1"/>
    <col min="4" max="5" width="8.75" style="128"/>
    <col min="6" max="6" width="11.375" style="128" bestFit="1" customWidth="1"/>
    <col min="7" max="7" width="11.25" style="128" bestFit="1" customWidth="1"/>
    <col min="8" max="8" width="8.75" style="128"/>
    <col min="9" max="9" width="9.25" style="128" bestFit="1" customWidth="1"/>
    <col min="10" max="16384" width="8.75" style="128"/>
  </cols>
  <sheetData>
    <row r="1" spans="1:9" s="3" customFormat="1" ht="29.25" x14ac:dyDescent="0.6">
      <c r="A1" s="132" t="s">
        <v>1380</v>
      </c>
    </row>
    <row r="2" spans="1:9" s="131" customFormat="1" ht="26.25" x14ac:dyDescent="0.55000000000000004">
      <c r="A2" s="137" t="s">
        <v>1381</v>
      </c>
      <c r="B2" s="137" t="s">
        <v>2</v>
      </c>
      <c r="C2" s="137" t="s">
        <v>215</v>
      </c>
      <c r="D2" s="137" t="s">
        <v>9</v>
      </c>
      <c r="F2" s="134" t="s">
        <v>1404</v>
      </c>
      <c r="G2" s="135">
        <f>+สรุป!AB17</f>
        <v>198409</v>
      </c>
      <c r="H2" s="134" t="s">
        <v>1401</v>
      </c>
    </row>
    <row r="3" spans="1:9" x14ac:dyDescent="0.5">
      <c r="A3" s="130">
        <v>1</v>
      </c>
      <c r="B3" s="128" t="s">
        <v>1382</v>
      </c>
      <c r="C3" s="129">
        <f>+สรุป!P66</f>
        <v>65850.289999999994</v>
      </c>
      <c r="F3" s="134" t="s">
        <v>1405</v>
      </c>
      <c r="G3" s="136">
        <f>+C8</f>
        <v>139850.28999999998</v>
      </c>
      <c r="H3" s="134" t="s">
        <v>1401</v>
      </c>
    </row>
    <row r="4" spans="1:9" x14ac:dyDescent="0.5">
      <c r="A4" s="130">
        <v>2</v>
      </c>
      <c r="B4" s="128" t="s">
        <v>1383</v>
      </c>
      <c r="C4" s="129">
        <f>+ค่าแรงพนักงาน!C6</f>
        <v>15200</v>
      </c>
      <c r="F4" s="134" t="s">
        <v>1406</v>
      </c>
      <c r="G4" s="136">
        <f>+G2-G3</f>
        <v>58558.710000000021</v>
      </c>
      <c r="H4" s="134" t="s">
        <v>1401</v>
      </c>
    </row>
    <row r="5" spans="1:9" x14ac:dyDescent="0.5">
      <c r="A5" s="130">
        <v>3</v>
      </c>
      <c r="B5" s="128" t="s">
        <v>1407</v>
      </c>
      <c r="C5" s="129">
        <v>45000</v>
      </c>
    </row>
    <row r="6" spans="1:9" x14ac:dyDescent="0.5">
      <c r="A6" s="130">
        <v>4</v>
      </c>
      <c r="B6" s="128" t="s">
        <v>1379</v>
      </c>
      <c r="C6" s="129">
        <v>2800</v>
      </c>
    </row>
    <row r="7" spans="1:9" x14ac:dyDescent="0.5">
      <c r="A7" s="130">
        <v>5</v>
      </c>
      <c r="B7" s="128" t="s">
        <v>1384</v>
      </c>
      <c r="C7" s="129">
        <f>7000+4000</f>
        <v>11000</v>
      </c>
      <c r="I7" s="133"/>
    </row>
    <row r="8" spans="1:9" ht="27" thickBot="1" x14ac:dyDescent="0.6">
      <c r="A8" s="128"/>
      <c r="C8" s="140">
        <f>SUM(C3:C7)</f>
        <v>139850.28999999998</v>
      </c>
    </row>
    <row r="9" spans="1:9" ht="24" thickTop="1" x14ac:dyDescent="0.5">
      <c r="A9" s="128"/>
    </row>
    <row r="10" spans="1:9" x14ac:dyDescent="0.5">
      <c r="C10" s="129"/>
    </row>
  </sheetData>
  <phoneticPr fontId="21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2B39-53FA-4A97-976F-1AFB1074F5A7}">
  <sheetPr>
    <tabColor rgb="FF7030A0"/>
  </sheetPr>
  <dimension ref="A1:J16"/>
  <sheetViews>
    <sheetView workbookViewId="0">
      <pane xSplit="3" ySplit="2" topLeftCell="D3" activePane="bottomRight" state="frozen"/>
      <selection activeCell="A74" sqref="A66:XFD74"/>
      <selection pane="topRight" activeCell="A74" sqref="A66:XFD74"/>
      <selection pane="bottomLeft" activeCell="A74" sqref="A66:XFD74"/>
      <selection pane="bottomRight" activeCell="A74" sqref="A66:XFD74"/>
    </sheetView>
  </sheetViews>
  <sheetFormatPr defaultColWidth="8.75" defaultRowHeight="23.25" x14ac:dyDescent="0.5"/>
  <cols>
    <col min="1" max="1" width="5.375" style="117" customWidth="1"/>
    <col min="2" max="2" width="26.125" style="117" bestFit="1" customWidth="1"/>
    <col min="3" max="3" width="10.375" style="117" bestFit="1" customWidth="1"/>
    <col min="4" max="4" width="11.25" style="117" bestFit="1" customWidth="1"/>
    <col min="5" max="5" width="10.375" style="117" bestFit="1" customWidth="1"/>
    <col min="6" max="7" width="8.75" style="117"/>
    <col min="8" max="8" width="14.25" style="117" bestFit="1" customWidth="1"/>
    <col min="9" max="9" width="10.125" style="117" bestFit="1" customWidth="1"/>
    <col min="10" max="16384" width="8.75" style="117"/>
  </cols>
  <sheetData>
    <row r="1" spans="1:10" s="139" customFormat="1" ht="29.25" x14ac:dyDescent="0.6">
      <c r="A1" s="122" t="s">
        <v>1412</v>
      </c>
    </row>
    <row r="2" spans="1:10" s="120" customFormat="1" ht="26.25" x14ac:dyDescent="0.55000000000000004">
      <c r="A2" s="138" t="s">
        <v>1381</v>
      </c>
      <c r="B2" s="138" t="s">
        <v>2</v>
      </c>
      <c r="C2" s="138" t="s">
        <v>1408</v>
      </c>
      <c r="D2" s="138" t="s">
        <v>1409</v>
      </c>
      <c r="E2" s="141" t="s">
        <v>1410</v>
      </c>
      <c r="F2" s="138" t="s">
        <v>9</v>
      </c>
      <c r="G2" s="121"/>
      <c r="H2" s="134" t="s">
        <v>1415</v>
      </c>
      <c r="I2" s="135">
        <f>+C8+C15</f>
        <v>125870</v>
      </c>
      <c r="J2" s="134" t="s">
        <v>1401</v>
      </c>
    </row>
    <row r="3" spans="1:10" x14ac:dyDescent="0.5">
      <c r="A3" s="123">
        <v>1</v>
      </c>
      <c r="B3" s="117" t="s">
        <v>1387</v>
      </c>
      <c r="C3" s="124">
        <v>16500</v>
      </c>
      <c r="D3" s="124">
        <v>28000</v>
      </c>
      <c r="E3" s="142">
        <f>+D3-C3</f>
        <v>11500</v>
      </c>
      <c r="H3" s="134" t="s">
        <v>1416</v>
      </c>
      <c r="I3" s="136">
        <f>+D8</f>
        <v>158000</v>
      </c>
      <c r="J3" s="134" t="s">
        <v>1401</v>
      </c>
    </row>
    <row r="4" spans="1:10" x14ac:dyDescent="0.5">
      <c r="A4" s="123">
        <v>2</v>
      </c>
      <c r="B4" s="117" t="s">
        <v>1388</v>
      </c>
      <c r="C4" s="124">
        <v>16500</v>
      </c>
      <c r="D4" s="124">
        <v>25000</v>
      </c>
      <c r="E4" s="142">
        <f t="shared" ref="E4:E7" si="0">+D4-C4</f>
        <v>8500</v>
      </c>
      <c r="H4" s="134" t="s">
        <v>1417</v>
      </c>
      <c r="I4" s="136">
        <f>+I3-I2</f>
        <v>32130</v>
      </c>
      <c r="J4" s="134" t="s">
        <v>1401</v>
      </c>
    </row>
    <row r="5" spans="1:10" ht="22.9" customHeight="1" x14ac:dyDescent="0.5">
      <c r="A5" s="123">
        <v>3</v>
      </c>
      <c r="B5" s="117" t="s">
        <v>1389</v>
      </c>
      <c r="C5" s="124">
        <v>16500</v>
      </c>
      <c r="D5" s="124">
        <v>27000</v>
      </c>
      <c r="E5" s="142">
        <f t="shared" si="0"/>
        <v>10500</v>
      </c>
    </row>
    <row r="6" spans="1:10" x14ac:dyDescent="0.5">
      <c r="A6" s="123">
        <v>4</v>
      </c>
      <c r="B6" s="117" t="s">
        <v>1390</v>
      </c>
      <c r="C6" s="124">
        <v>16500</v>
      </c>
      <c r="D6" s="124">
        <v>28000</v>
      </c>
      <c r="E6" s="142">
        <f t="shared" si="0"/>
        <v>11500</v>
      </c>
    </row>
    <row r="7" spans="1:10" x14ac:dyDescent="0.5">
      <c r="A7" s="123">
        <v>5</v>
      </c>
      <c r="B7" s="117" t="s">
        <v>1391</v>
      </c>
      <c r="C7" s="124">
        <v>24000</v>
      </c>
      <c r="D7" s="124">
        <v>50000</v>
      </c>
      <c r="E7" s="142">
        <f t="shared" si="0"/>
        <v>26000</v>
      </c>
      <c r="F7" s="118" t="s">
        <v>1411</v>
      </c>
    </row>
    <row r="8" spans="1:10" s="119" customFormat="1" ht="27" thickBot="1" x14ac:dyDescent="0.6">
      <c r="B8" s="125" t="s">
        <v>1402</v>
      </c>
      <c r="C8" s="140">
        <f>SUM(C3:C7)</f>
        <v>90000</v>
      </c>
      <c r="D8" s="140">
        <f t="shared" ref="D8:E8" si="1">SUM(D3:D7)</f>
        <v>158000</v>
      </c>
      <c r="E8" s="143">
        <f t="shared" si="1"/>
        <v>68000</v>
      </c>
      <c r="F8" s="119" t="s">
        <v>1401</v>
      </c>
    </row>
    <row r="9" spans="1:10" ht="24" thickTop="1" x14ac:dyDescent="0.5"/>
    <row r="10" spans="1:10" ht="29.25" x14ac:dyDescent="0.6">
      <c r="A10" s="122" t="s">
        <v>1413</v>
      </c>
    </row>
    <row r="11" spans="1:10" x14ac:dyDescent="0.5">
      <c r="A11" s="123">
        <v>1</v>
      </c>
      <c r="B11" s="117" t="s">
        <v>1385</v>
      </c>
      <c r="C11" s="124">
        <v>22800</v>
      </c>
    </row>
    <row r="12" spans="1:10" x14ac:dyDescent="0.5">
      <c r="A12" s="123">
        <v>2</v>
      </c>
      <c r="B12" s="117" t="s">
        <v>1386</v>
      </c>
      <c r="C12" s="124">
        <v>1000</v>
      </c>
    </row>
    <row r="13" spans="1:10" x14ac:dyDescent="0.5">
      <c r="A13" s="123">
        <v>3</v>
      </c>
      <c r="B13" s="117" t="s">
        <v>1379</v>
      </c>
      <c r="C13" s="124">
        <v>2570</v>
      </c>
    </row>
    <row r="14" spans="1:10" x14ac:dyDescent="0.5">
      <c r="A14" s="123">
        <v>4</v>
      </c>
      <c r="B14" s="117" t="s">
        <v>1414</v>
      </c>
      <c r="C14" s="124">
        <f>500*19</f>
        <v>9500</v>
      </c>
    </row>
    <row r="15" spans="1:10" ht="27" thickBot="1" x14ac:dyDescent="0.6">
      <c r="B15" s="123"/>
      <c r="C15" s="140">
        <f>SUM(C11:C14)</f>
        <v>35870</v>
      </c>
    </row>
    <row r="16" spans="1:10" ht="24" thickTop="1" x14ac:dyDescent="0.5">
      <c r="B16" s="123"/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1458-5AA3-482B-AF87-A99EEACD394E}">
  <sheetPr>
    <tabColor rgb="FF00B0F0"/>
  </sheetPr>
  <dimension ref="A1:D7"/>
  <sheetViews>
    <sheetView workbookViewId="0">
      <selection activeCell="A74" sqref="A66:XFD74"/>
    </sheetView>
  </sheetViews>
  <sheetFormatPr defaultColWidth="8.75" defaultRowHeight="23.25" x14ac:dyDescent="0.5"/>
  <cols>
    <col min="1" max="2" width="8.75" style="117"/>
    <col min="3" max="3" width="10.25" style="117" bestFit="1" customWidth="1"/>
    <col min="4" max="4" width="19.625" style="117" bestFit="1" customWidth="1"/>
    <col min="5" max="16384" width="8.75" style="117"/>
  </cols>
  <sheetData>
    <row r="1" spans="1:4" s="122" customFormat="1" ht="29.25" x14ac:dyDescent="0.6">
      <c r="A1" s="122" t="s">
        <v>1403</v>
      </c>
    </row>
    <row r="2" spans="1:4" s="121" customFormat="1" ht="26.25" x14ac:dyDescent="0.55000000000000004">
      <c r="A2" s="127" t="s">
        <v>1395</v>
      </c>
      <c r="B2" s="127" t="s">
        <v>1396</v>
      </c>
      <c r="C2" s="127" t="s">
        <v>1397</v>
      </c>
      <c r="D2" s="127" t="s">
        <v>9</v>
      </c>
    </row>
    <row r="3" spans="1:4" x14ac:dyDescent="0.5">
      <c r="A3" s="123">
        <v>1</v>
      </c>
      <c r="B3" s="123" t="s">
        <v>1392</v>
      </c>
      <c r="C3" s="123">
        <f>600*11</f>
        <v>6600</v>
      </c>
      <c r="D3" s="123" t="s">
        <v>1398</v>
      </c>
    </row>
    <row r="4" spans="1:4" x14ac:dyDescent="0.5">
      <c r="A4" s="123">
        <v>2</v>
      </c>
      <c r="B4" s="123" t="s">
        <v>1393</v>
      </c>
      <c r="C4" s="123">
        <f>600*7</f>
        <v>4200</v>
      </c>
      <c r="D4" s="123" t="s">
        <v>1400</v>
      </c>
    </row>
    <row r="5" spans="1:4" x14ac:dyDescent="0.5">
      <c r="A5" s="123">
        <v>3</v>
      </c>
      <c r="B5" s="123" t="s">
        <v>1394</v>
      </c>
      <c r="C5" s="123">
        <f>400*11</f>
        <v>4400</v>
      </c>
      <c r="D5" s="123" t="s">
        <v>1399</v>
      </c>
    </row>
    <row r="6" spans="1:4" ht="27" thickBot="1" x14ac:dyDescent="0.6">
      <c r="B6" s="125" t="s">
        <v>1402</v>
      </c>
      <c r="C6" s="126">
        <f>SUM(C3:C5)</f>
        <v>15200</v>
      </c>
      <c r="D6" s="119" t="s">
        <v>1401</v>
      </c>
    </row>
    <row r="7" spans="1:4" ht="24" thickTop="1" x14ac:dyDescent="0.5"/>
  </sheetData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  <pageSetUpPr fitToPage="1"/>
  </sheetPr>
  <dimension ref="A1:S152"/>
  <sheetViews>
    <sheetView zoomScale="85" zoomScaleNormal="85" workbookViewId="0">
      <pane xSplit="10" ySplit="4" topLeftCell="K5" activePane="bottomRight" state="frozen"/>
      <selection activeCell="A74" sqref="A66:XFD74"/>
      <selection pane="topRight" activeCell="A74" sqref="A66:XFD74"/>
      <selection pane="bottomLeft" activeCell="A74" sqref="A66:XFD74"/>
      <selection pane="bottomRight" activeCell="L19" sqref="L19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06" t="s">
        <v>1</v>
      </c>
      <c r="B3" s="106" t="s">
        <v>1363</v>
      </c>
      <c r="C3" s="106" t="s">
        <v>2</v>
      </c>
      <c r="D3" s="106" t="s">
        <v>1364</v>
      </c>
      <c r="E3" s="108" t="s">
        <v>3</v>
      </c>
      <c r="F3" s="108" t="s">
        <v>4</v>
      </c>
      <c r="G3" s="108" t="s">
        <v>5</v>
      </c>
      <c r="H3" s="75" t="s">
        <v>6</v>
      </c>
      <c r="I3" s="97" t="s">
        <v>271</v>
      </c>
      <c r="J3" s="108" t="s">
        <v>7</v>
      </c>
      <c r="K3" s="67" t="s">
        <v>8</v>
      </c>
      <c r="L3" s="67"/>
      <c r="M3" s="67"/>
      <c r="N3" s="108" t="s">
        <v>9</v>
      </c>
      <c r="O3" s="105" t="s">
        <v>10</v>
      </c>
      <c r="Q3" s="101" t="s">
        <v>272</v>
      </c>
      <c r="R3" s="103" t="s">
        <v>273</v>
      </c>
    </row>
    <row r="4" spans="1:18" s="5" customFormat="1" ht="26.25" x14ac:dyDescent="0.55000000000000004">
      <c r="A4" s="107"/>
      <c r="B4" s="107"/>
      <c r="C4" s="107"/>
      <c r="D4" s="107"/>
      <c r="E4" s="108"/>
      <c r="F4" s="108"/>
      <c r="G4" s="108"/>
      <c r="H4" s="75" t="s">
        <v>11</v>
      </c>
      <c r="I4" s="98"/>
      <c r="J4" s="108"/>
      <c r="K4" s="67" t="s">
        <v>12</v>
      </c>
      <c r="L4" s="68" t="s">
        <v>13</v>
      </c>
      <c r="M4" s="67" t="s">
        <v>14</v>
      </c>
      <c r="N4" s="108"/>
      <c r="O4" s="105"/>
      <c r="Q4" s="102"/>
      <c r="R4" s="104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+สรุป!E5</f>
        <v>0</v>
      </c>
      <c r="F5" s="69"/>
      <c r="G5" s="46">
        <f>E5+F5</f>
        <v>0</v>
      </c>
      <c r="H5" s="76">
        <v>0</v>
      </c>
      <c r="I5" s="74">
        <v>0</v>
      </c>
      <c r="J5" s="46">
        <f>+G5-H5-K5-I5</f>
        <v>0</v>
      </c>
      <c r="K5" s="70"/>
      <c r="L5" s="20">
        <v>50</v>
      </c>
      <c r="M5" s="63">
        <f>+L5*K5</f>
        <v>0</v>
      </c>
      <c r="N5" s="17" t="s">
        <v>16</v>
      </c>
      <c r="O5" s="18"/>
      <c r="P5" s="23">
        <f>SUM(M5-O5)</f>
        <v>0</v>
      </c>
      <c r="Q5" s="160">
        <v>18.97</v>
      </c>
      <c r="R5" s="43">
        <f>+K5*Q5</f>
        <v>0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+สรุป!E6</f>
        <v>0</v>
      </c>
      <c r="F6" s="69"/>
      <c r="G6" s="46">
        <f t="shared" ref="G6:G65" si="0">E6+F6</f>
        <v>0</v>
      </c>
      <c r="H6" s="76">
        <v>0</v>
      </c>
      <c r="I6" s="74">
        <v>0</v>
      </c>
      <c r="J6" s="46">
        <f t="shared" ref="J6:J65" si="1">+G6-H6-K6-I6</f>
        <v>0</v>
      </c>
      <c r="K6" s="70"/>
      <c r="L6" s="15">
        <v>100</v>
      </c>
      <c r="M6" s="63">
        <f t="shared" ref="M6:M58" si="2">+L6*K6</f>
        <v>0</v>
      </c>
      <c r="N6" s="17" t="s">
        <v>16</v>
      </c>
      <c r="O6" s="18"/>
      <c r="P6" s="23">
        <f t="shared" ref="P6:P58" si="3">SUM(M6-O6)</f>
        <v>0</v>
      </c>
      <c r="Q6" s="88">
        <v>36.43</v>
      </c>
      <c r="R6" s="43">
        <f t="shared" ref="R6:R65" si="4">+K6*Q6</f>
        <v>0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+สรุป!E7</f>
        <v>0</v>
      </c>
      <c r="F7" s="69"/>
      <c r="G7" s="46">
        <f t="shared" si="0"/>
        <v>0</v>
      </c>
      <c r="H7" s="76">
        <v>0</v>
      </c>
      <c r="I7" s="74">
        <v>0</v>
      </c>
      <c r="J7" s="46">
        <f t="shared" si="1"/>
        <v>0</v>
      </c>
      <c r="K7" s="70"/>
      <c r="L7" s="15">
        <v>50</v>
      </c>
      <c r="M7" s="63">
        <f t="shared" si="2"/>
        <v>0</v>
      </c>
      <c r="N7" s="17" t="s">
        <v>16</v>
      </c>
      <c r="O7" s="18"/>
      <c r="P7" s="23">
        <f t="shared" si="3"/>
        <v>0</v>
      </c>
      <c r="Q7" s="88">
        <v>19.36</v>
      </c>
      <c r="R7" s="43">
        <f t="shared" si="4"/>
        <v>0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+สรุป!E8</f>
        <v>0</v>
      </c>
      <c r="F8" s="69"/>
      <c r="G8" s="46">
        <f t="shared" si="0"/>
        <v>0</v>
      </c>
      <c r="H8" s="76">
        <v>0</v>
      </c>
      <c r="I8" s="74">
        <v>0</v>
      </c>
      <c r="J8" s="46">
        <f t="shared" si="1"/>
        <v>0</v>
      </c>
      <c r="K8" s="70"/>
      <c r="L8" s="15">
        <v>65</v>
      </c>
      <c r="M8" s="63">
        <f t="shared" si="2"/>
        <v>0</v>
      </c>
      <c r="N8" s="17" t="s">
        <v>16</v>
      </c>
      <c r="O8" s="18"/>
      <c r="P8" s="23">
        <f t="shared" si="3"/>
        <v>0</v>
      </c>
      <c r="Q8" s="88">
        <v>22.25</v>
      </c>
      <c r="R8" s="43">
        <f t="shared" si="4"/>
        <v>0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+สรุป!E9</f>
        <v>0</v>
      </c>
      <c r="F9" s="69"/>
      <c r="G9" s="46">
        <f t="shared" si="0"/>
        <v>0</v>
      </c>
      <c r="H9" s="76">
        <v>0</v>
      </c>
      <c r="I9" s="74">
        <v>0</v>
      </c>
      <c r="J9" s="46">
        <f t="shared" si="1"/>
        <v>0</v>
      </c>
      <c r="K9" s="70"/>
      <c r="L9" s="15">
        <v>85</v>
      </c>
      <c r="M9" s="63">
        <f t="shared" si="2"/>
        <v>0</v>
      </c>
      <c r="N9" s="17" t="s">
        <v>16</v>
      </c>
      <c r="O9" s="18"/>
      <c r="P9" s="23">
        <f t="shared" si="3"/>
        <v>0</v>
      </c>
      <c r="Q9" s="88">
        <v>22.65</v>
      </c>
      <c r="R9" s="43">
        <f t="shared" si="4"/>
        <v>0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+สรุป!E10</f>
        <v>0</v>
      </c>
      <c r="F10" s="69"/>
      <c r="G10" s="46">
        <f t="shared" si="0"/>
        <v>0</v>
      </c>
      <c r="H10" s="76">
        <v>0</v>
      </c>
      <c r="I10" s="74">
        <v>0</v>
      </c>
      <c r="J10" s="46">
        <f t="shared" si="1"/>
        <v>0</v>
      </c>
      <c r="K10" s="70"/>
      <c r="L10" s="15">
        <v>100</v>
      </c>
      <c r="M10" s="63">
        <f t="shared" si="2"/>
        <v>0</v>
      </c>
      <c r="N10" s="17" t="s">
        <v>16</v>
      </c>
      <c r="O10" s="18"/>
      <c r="P10" s="23">
        <f t="shared" si="3"/>
        <v>0</v>
      </c>
      <c r="Q10" s="88">
        <v>27.98</v>
      </c>
      <c r="R10" s="43">
        <f t="shared" si="4"/>
        <v>0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+สรุป!E11</f>
        <v>0</v>
      </c>
      <c r="F11" s="69"/>
      <c r="G11" s="46">
        <f t="shared" si="0"/>
        <v>0</v>
      </c>
      <c r="H11" s="76">
        <v>0</v>
      </c>
      <c r="I11" s="74">
        <v>0</v>
      </c>
      <c r="J11" s="46">
        <f t="shared" si="1"/>
        <v>0</v>
      </c>
      <c r="K11" s="70"/>
      <c r="L11" s="15">
        <v>100</v>
      </c>
      <c r="M11" s="63">
        <f t="shared" si="2"/>
        <v>0</v>
      </c>
      <c r="N11" s="17" t="s">
        <v>16</v>
      </c>
      <c r="O11" s="18"/>
      <c r="P11" s="23">
        <f t="shared" si="3"/>
        <v>0</v>
      </c>
      <c r="Q11" s="88">
        <v>34.64</v>
      </c>
      <c r="R11" s="43">
        <f t="shared" si="4"/>
        <v>0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+สรุป!E12</f>
        <v>0</v>
      </c>
      <c r="F12" s="69"/>
      <c r="G12" s="46">
        <f t="shared" si="0"/>
        <v>0</v>
      </c>
      <c r="H12" s="76">
        <v>0</v>
      </c>
      <c r="I12" s="74">
        <v>0</v>
      </c>
      <c r="J12" s="46">
        <f t="shared" si="1"/>
        <v>0</v>
      </c>
      <c r="K12" s="70"/>
      <c r="L12" s="20">
        <v>130</v>
      </c>
      <c r="M12" s="63">
        <f t="shared" si="2"/>
        <v>0</v>
      </c>
      <c r="N12" s="17" t="s">
        <v>16</v>
      </c>
      <c r="O12" s="18"/>
      <c r="P12" s="23">
        <f t="shared" si="3"/>
        <v>0</v>
      </c>
      <c r="Q12" s="88">
        <v>46.37</v>
      </c>
      <c r="R12" s="43">
        <f t="shared" si="4"/>
        <v>0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+สรุป!E13</f>
        <v>0</v>
      </c>
      <c r="F13" s="69"/>
      <c r="G13" s="46">
        <f t="shared" si="0"/>
        <v>0</v>
      </c>
      <c r="H13" s="76">
        <v>0</v>
      </c>
      <c r="I13" s="74">
        <v>0</v>
      </c>
      <c r="J13" s="46">
        <f t="shared" si="1"/>
        <v>0</v>
      </c>
      <c r="K13" s="70"/>
      <c r="L13" s="15">
        <v>130</v>
      </c>
      <c r="M13" s="63">
        <f t="shared" si="2"/>
        <v>0</v>
      </c>
      <c r="N13" s="17" t="s">
        <v>16</v>
      </c>
      <c r="O13" s="18"/>
      <c r="P13" s="23">
        <f t="shared" si="3"/>
        <v>0</v>
      </c>
      <c r="Q13" s="88">
        <v>38.9</v>
      </c>
      <c r="R13" s="43">
        <f t="shared" si="4"/>
        <v>0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+สรุป!E14</f>
        <v>0</v>
      </c>
      <c r="F14" s="69"/>
      <c r="G14" s="46">
        <f t="shared" si="0"/>
        <v>0</v>
      </c>
      <c r="H14" s="76">
        <v>0</v>
      </c>
      <c r="I14" s="74">
        <v>0</v>
      </c>
      <c r="J14" s="46">
        <f t="shared" si="1"/>
        <v>0</v>
      </c>
      <c r="K14" s="70"/>
      <c r="L14" s="15">
        <v>50</v>
      </c>
      <c r="M14" s="63">
        <f t="shared" si="2"/>
        <v>0</v>
      </c>
      <c r="N14" s="17" t="s">
        <v>16</v>
      </c>
      <c r="O14" s="18"/>
      <c r="P14" s="23">
        <f t="shared" si="3"/>
        <v>0</v>
      </c>
      <c r="Q14" s="88">
        <v>27.84</v>
      </c>
      <c r="R14" s="43">
        <f t="shared" si="4"/>
        <v>0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+สรุป!E15</f>
        <v>0</v>
      </c>
      <c r="F15" s="69"/>
      <c r="G15" s="46">
        <f t="shared" si="0"/>
        <v>0</v>
      </c>
      <c r="H15" s="76">
        <v>0</v>
      </c>
      <c r="I15" s="74">
        <v>0</v>
      </c>
      <c r="J15" s="46">
        <f t="shared" si="1"/>
        <v>0</v>
      </c>
      <c r="K15" s="70"/>
      <c r="L15" s="15">
        <v>50</v>
      </c>
      <c r="M15" s="63">
        <f t="shared" si="2"/>
        <v>0</v>
      </c>
      <c r="N15" s="17" t="s">
        <v>16</v>
      </c>
      <c r="O15" s="18"/>
      <c r="P15" s="23">
        <f t="shared" si="3"/>
        <v>0</v>
      </c>
      <c r="Q15" s="88">
        <v>27.12</v>
      </c>
      <c r="R15" s="43">
        <f t="shared" si="4"/>
        <v>0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+สรุป!E16</f>
        <v>0</v>
      </c>
      <c r="F16" s="69"/>
      <c r="G16" s="46">
        <f t="shared" si="0"/>
        <v>0</v>
      </c>
      <c r="H16" s="76">
        <v>0</v>
      </c>
      <c r="I16" s="74">
        <v>0</v>
      </c>
      <c r="J16" s="46">
        <f t="shared" si="1"/>
        <v>0</v>
      </c>
      <c r="K16" s="70"/>
      <c r="L16" s="20">
        <v>50</v>
      </c>
      <c r="M16" s="63">
        <f t="shared" si="2"/>
        <v>0</v>
      </c>
      <c r="N16" s="17" t="s">
        <v>16</v>
      </c>
      <c r="O16" s="18"/>
      <c r="P16" s="23">
        <f t="shared" si="3"/>
        <v>0</v>
      </c>
      <c r="Q16" s="88">
        <v>15.42</v>
      </c>
      <c r="R16" s="43">
        <f t="shared" si="4"/>
        <v>0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+สรุป!E17</f>
        <v>0</v>
      </c>
      <c r="F17" s="69"/>
      <c r="G17" s="46">
        <f t="shared" si="0"/>
        <v>0</v>
      </c>
      <c r="H17" s="76">
        <v>0</v>
      </c>
      <c r="I17" s="74">
        <v>0</v>
      </c>
      <c r="J17" s="46">
        <f t="shared" si="1"/>
        <v>0</v>
      </c>
      <c r="K17" s="70"/>
      <c r="L17" s="15">
        <v>50</v>
      </c>
      <c r="M17" s="63">
        <f t="shared" si="2"/>
        <v>0</v>
      </c>
      <c r="N17" s="17" t="s">
        <v>16</v>
      </c>
      <c r="O17" s="18"/>
      <c r="P17" s="23">
        <f t="shared" si="3"/>
        <v>0</v>
      </c>
      <c r="Q17" s="88">
        <v>17.78</v>
      </c>
      <c r="R17" s="43">
        <f t="shared" si="4"/>
        <v>0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+สรุป!E18</f>
        <v>0</v>
      </c>
      <c r="F18" s="69"/>
      <c r="G18" s="46">
        <f t="shared" si="0"/>
        <v>0</v>
      </c>
      <c r="H18" s="76">
        <v>0</v>
      </c>
      <c r="I18" s="74">
        <v>0</v>
      </c>
      <c r="J18" s="46">
        <f t="shared" si="1"/>
        <v>0</v>
      </c>
      <c r="K18" s="70"/>
      <c r="L18" s="20">
        <v>50</v>
      </c>
      <c r="M18" s="63">
        <f t="shared" si="2"/>
        <v>0</v>
      </c>
      <c r="N18" s="17" t="s">
        <v>16</v>
      </c>
      <c r="O18" s="18"/>
      <c r="P18" s="23">
        <f t="shared" si="3"/>
        <v>0</v>
      </c>
      <c r="Q18" s="88">
        <v>17.989999999999998</v>
      </c>
      <c r="R18" s="43">
        <f t="shared" si="4"/>
        <v>0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+สรุป!E19</f>
        <v>0</v>
      </c>
      <c r="F19" s="69"/>
      <c r="G19" s="46">
        <f t="shared" si="0"/>
        <v>0</v>
      </c>
      <c r="H19" s="76">
        <v>0</v>
      </c>
      <c r="I19" s="74">
        <v>0</v>
      </c>
      <c r="J19" s="46">
        <f t="shared" si="1"/>
        <v>0</v>
      </c>
      <c r="K19" s="70"/>
      <c r="L19" s="15">
        <v>50</v>
      </c>
      <c r="M19" s="63">
        <f t="shared" si="2"/>
        <v>0</v>
      </c>
      <c r="N19" s="17" t="s">
        <v>16</v>
      </c>
      <c r="O19" s="18"/>
      <c r="P19" s="23">
        <f t="shared" si="3"/>
        <v>0</v>
      </c>
      <c r="Q19" s="88">
        <v>20.059999999999999</v>
      </c>
      <c r="R19" s="43">
        <f t="shared" si="4"/>
        <v>0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+สรุป!E20</f>
        <v>0</v>
      </c>
      <c r="F20" s="69"/>
      <c r="G20" s="46">
        <f t="shared" si="0"/>
        <v>0</v>
      </c>
      <c r="H20" s="76">
        <v>0</v>
      </c>
      <c r="I20" s="74">
        <v>0</v>
      </c>
      <c r="J20" s="46">
        <f t="shared" si="1"/>
        <v>0</v>
      </c>
      <c r="K20" s="70"/>
      <c r="L20" s="15">
        <v>50</v>
      </c>
      <c r="M20" s="63">
        <f t="shared" si="2"/>
        <v>0</v>
      </c>
      <c r="N20" s="17" t="s">
        <v>16</v>
      </c>
      <c r="O20" s="18"/>
      <c r="P20" s="23">
        <f t="shared" si="3"/>
        <v>0</v>
      </c>
      <c r="Q20" s="88">
        <v>20.32</v>
      </c>
      <c r="R20" s="43">
        <f t="shared" si="4"/>
        <v>0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+สรุป!E21</f>
        <v>0</v>
      </c>
      <c r="F21" s="69"/>
      <c r="G21" s="46">
        <f t="shared" si="0"/>
        <v>0</v>
      </c>
      <c r="H21" s="76">
        <v>0</v>
      </c>
      <c r="I21" s="74">
        <v>0</v>
      </c>
      <c r="J21" s="46">
        <f t="shared" si="1"/>
        <v>0</v>
      </c>
      <c r="K21" s="70"/>
      <c r="L21" s="15">
        <v>50</v>
      </c>
      <c r="M21" s="63">
        <f t="shared" si="2"/>
        <v>0</v>
      </c>
      <c r="N21" s="17" t="s">
        <v>16</v>
      </c>
      <c r="O21" s="18"/>
      <c r="P21" s="23">
        <f t="shared" si="3"/>
        <v>0</v>
      </c>
      <c r="Q21" s="88">
        <v>16.37</v>
      </c>
      <c r="R21" s="43">
        <f t="shared" si="4"/>
        <v>0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+สรุป!E22</f>
        <v>0</v>
      </c>
      <c r="F22" s="69"/>
      <c r="G22" s="46">
        <f t="shared" si="0"/>
        <v>0</v>
      </c>
      <c r="H22" s="76">
        <v>0</v>
      </c>
      <c r="I22" s="74">
        <v>0</v>
      </c>
      <c r="J22" s="46">
        <f t="shared" si="1"/>
        <v>0</v>
      </c>
      <c r="K22" s="70"/>
      <c r="L22" s="15">
        <v>120</v>
      </c>
      <c r="M22" s="63">
        <f t="shared" si="2"/>
        <v>0</v>
      </c>
      <c r="N22" s="17" t="s">
        <v>16</v>
      </c>
      <c r="O22" s="18"/>
      <c r="P22" s="23">
        <f t="shared" si="3"/>
        <v>0</v>
      </c>
      <c r="Q22" s="88">
        <v>25.99</v>
      </c>
      <c r="R22" s="43">
        <f t="shared" si="4"/>
        <v>0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+สรุป!E23</f>
        <v>0</v>
      </c>
      <c r="F23" s="69"/>
      <c r="G23" s="46">
        <f t="shared" si="0"/>
        <v>0</v>
      </c>
      <c r="H23" s="76">
        <v>0</v>
      </c>
      <c r="I23" s="74">
        <v>0</v>
      </c>
      <c r="J23" s="46">
        <f t="shared" si="1"/>
        <v>0</v>
      </c>
      <c r="K23" s="70"/>
      <c r="L23" s="15">
        <v>120</v>
      </c>
      <c r="M23" s="63">
        <f t="shared" si="2"/>
        <v>0</v>
      </c>
      <c r="N23" s="17" t="s">
        <v>16</v>
      </c>
      <c r="O23" s="18"/>
      <c r="P23" s="23">
        <f t="shared" si="3"/>
        <v>0</v>
      </c>
      <c r="Q23" s="88">
        <v>28.31</v>
      </c>
      <c r="R23" s="43">
        <f t="shared" si="4"/>
        <v>0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+สรุป!E24</f>
        <v>0</v>
      </c>
      <c r="F24" s="69"/>
      <c r="G24" s="46">
        <f t="shared" si="0"/>
        <v>0</v>
      </c>
      <c r="H24" s="76">
        <v>0</v>
      </c>
      <c r="I24" s="74">
        <v>0</v>
      </c>
      <c r="J24" s="46">
        <f t="shared" si="1"/>
        <v>0</v>
      </c>
      <c r="K24" s="70"/>
      <c r="L24" s="15">
        <v>120</v>
      </c>
      <c r="M24" s="63">
        <f t="shared" si="2"/>
        <v>0</v>
      </c>
      <c r="N24" s="17" t="s">
        <v>16</v>
      </c>
      <c r="O24" s="18"/>
      <c r="P24" s="23">
        <f t="shared" si="3"/>
        <v>0</v>
      </c>
      <c r="Q24" s="88">
        <v>31.07</v>
      </c>
      <c r="R24" s="43">
        <f t="shared" si="4"/>
        <v>0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+สรุป!E25</f>
        <v>0</v>
      </c>
      <c r="F25" s="69"/>
      <c r="G25" s="46">
        <f t="shared" si="0"/>
        <v>0</v>
      </c>
      <c r="H25" s="76">
        <v>0</v>
      </c>
      <c r="I25" s="74">
        <v>0</v>
      </c>
      <c r="J25" s="46">
        <f t="shared" si="1"/>
        <v>0</v>
      </c>
      <c r="K25" s="70"/>
      <c r="L25" s="20">
        <v>120</v>
      </c>
      <c r="M25" s="63">
        <f t="shared" si="2"/>
        <v>0</v>
      </c>
      <c r="N25" s="17" t="s">
        <v>16</v>
      </c>
      <c r="O25" s="18"/>
      <c r="P25" s="23">
        <f t="shared" si="3"/>
        <v>0</v>
      </c>
      <c r="Q25" s="88">
        <v>29.83</v>
      </c>
      <c r="R25" s="43">
        <f t="shared" si="4"/>
        <v>0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+สรุป!E26</f>
        <v>0</v>
      </c>
      <c r="F26" s="69"/>
      <c r="G26" s="46">
        <f t="shared" si="0"/>
        <v>0</v>
      </c>
      <c r="H26" s="76">
        <v>0</v>
      </c>
      <c r="I26" s="74">
        <v>0</v>
      </c>
      <c r="J26" s="46">
        <f t="shared" si="1"/>
        <v>0</v>
      </c>
      <c r="K26" s="70"/>
      <c r="L26" s="15">
        <v>120</v>
      </c>
      <c r="M26" s="63">
        <f t="shared" si="2"/>
        <v>0</v>
      </c>
      <c r="N26" s="17" t="s">
        <v>16</v>
      </c>
      <c r="O26" s="18"/>
      <c r="P26" s="23">
        <f t="shared" si="3"/>
        <v>0</v>
      </c>
      <c r="Q26" s="88">
        <v>26.39</v>
      </c>
      <c r="R26" s="43">
        <f t="shared" si="4"/>
        <v>0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+สรุป!E27</f>
        <v>0</v>
      </c>
      <c r="F27" s="69"/>
      <c r="G27" s="46">
        <f t="shared" si="0"/>
        <v>0</v>
      </c>
      <c r="H27" s="76">
        <v>0</v>
      </c>
      <c r="I27" s="74">
        <v>0</v>
      </c>
      <c r="J27" s="46">
        <f t="shared" si="1"/>
        <v>0</v>
      </c>
      <c r="K27" s="70"/>
      <c r="L27" s="15">
        <v>50</v>
      </c>
      <c r="M27" s="63">
        <f t="shared" si="2"/>
        <v>0</v>
      </c>
      <c r="N27" s="17" t="s">
        <v>16</v>
      </c>
      <c r="O27" s="18"/>
      <c r="P27" s="23">
        <f t="shared" si="3"/>
        <v>0</v>
      </c>
      <c r="Q27" s="88">
        <v>23.69</v>
      </c>
      <c r="R27" s="43">
        <f t="shared" si="4"/>
        <v>0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+สรุป!E28</f>
        <v>0</v>
      </c>
      <c r="F28" s="69"/>
      <c r="G28" s="46">
        <f t="shared" si="0"/>
        <v>0</v>
      </c>
      <c r="H28" s="76">
        <v>0</v>
      </c>
      <c r="I28" s="74">
        <v>0</v>
      </c>
      <c r="J28" s="46">
        <f t="shared" si="1"/>
        <v>0</v>
      </c>
      <c r="K28" s="70"/>
      <c r="L28" s="21">
        <v>50</v>
      </c>
      <c r="M28" s="63">
        <f t="shared" si="2"/>
        <v>0</v>
      </c>
      <c r="N28" s="17" t="s">
        <v>16</v>
      </c>
      <c r="O28" s="18"/>
      <c r="P28" s="23">
        <f t="shared" si="3"/>
        <v>0</v>
      </c>
      <c r="Q28" s="88">
        <v>22.49</v>
      </c>
      <c r="R28" s="43">
        <f t="shared" si="4"/>
        <v>0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+สรุป!E29</f>
        <v>0</v>
      </c>
      <c r="F29" s="69"/>
      <c r="G29" s="46">
        <f t="shared" si="0"/>
        <v>0</v>
      </c>
      <c r="H29" s="76">
        <v>0</v>
      </c>
      <c r="I29" s="74">
        <v>0</v>
      </c>
      <c r="J29" s="46">
        <f t="shared" si="1"/>
        <v>0</v>
      </c>
      <c r="K29" s="70"/>
      <c r="L29" s="21">
        <v>50</v>
      </c>
      <c r="M29" s="63">
        <f t="shared" si="2"/>
        <v>0</v>
      </c>
      <c r="N29" s="17" t="s">
        <v>16</v>
      </c>
      <c r="O29" s="18"/>
      <c r="P29" s="23">
        <f t="shared" si="3"/>
        <v>0</v>
      </c>
      <c r="Q29" s="88">
        <v>17.09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+สรุป!E30</f>
        <v>0</v>
      </c>
      <c r="F30" s="69"/>
      <c r="G30" s="46">
        <f t="shared" si="0"/>
        <v>0</v>
      </c>
      <c r="H30" s="76">
        <v>0</v>
      </c>
      <c r="I30" s="74">
        <v>0</v>
      </c>
      <c r="J30" s="46">
        <f t="shared" si="1"/>
        <v>0</v>
      </c>
      <c r="K30" s="70"/>
      <c r="L30" s="22">
        <v>50</v>
      </c>
      <c r="M30" s="63">
        <f t="shared" si="2"/>
        <v>0</v>
      </c>
      <c r="N30" s="17" t="s">
        <v>16</v>
      </c>
      <c r="O30" s="18"/>
      <c r="P30" s="23">
        <f t="shared" si="3"/>
        <v>0</v>
      </c>
      <c r="Q30" s="88">
        <v>25.15</v>
      </c>
      <c r="R30" s="43">
        <f t="shared" si="4"/>
        <v>0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+สรุป!E31</f>
        <v>0</v>
      </c>
      <c r="F31" s="69"/>
      <c r="G31" s="46">
        <f t="shared" si="0"/>
        <v>0</v>
      </c>
      <c r="H31" s="76">
        <v>0</v>
      </c>
      <c r="I31" s="74">
        <v>0</v>
      </c>
      <c r="J31" s="46">
        <f t="shared" si="1"/>
        <v>0</v>
      </c>
      <c r="K31" s="70"/>
      <c r="L31" s="22">
        <v>55</v>
      </c>
      <c r="M31" s="63">
        <f t="shared" si="2"/>
        <v>0</v>
      </c>
      <c r="N31" s="17" t="s">
        <v>16</v>
      </c>
      <c r="O31" s="18"/>
      <c r="P31" s="23">
        <f t="shared" si="3"/>
        <v>0</v>
      </c>
      <c r="Q31" s="88">
        <v>14.35</v>
      </c>
      <c r="R31" s="43">
        <f t="shared" si="4"/>
        <v>0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+สรุป!E32</f>
        <v>0</v>
      </c>
      <c r="F32" s="69"/>
      <c r="G32" s="46">
        <f t="shared" si="0"/>
        <v>0</v>
      </c>
      <c r="H32" s="76">
        <v>0</v>
      </c>
      <c r="I32" s="74">
        <v>0</v>
      </c>
      <c r="J32" s="46">
        <f t="shared" si="1"/>
        <v>0</v>
      </c>
      <c r="K32" s="70"/>
      <c r="L32" s="22">
        <v>55</v>
      </c>
      <c r="M32" s="63">
        <f t="shared" si="2"/>
        <v>0</v>
      </c>
      <c r="N32" s="17" t="s">
        <v>16</v>
      </c>
      <c r="O32" s="18"/>
      <c r="P32" s="23">
        <f t="shared" si="3"/>
        <v>0</v>
      </c>
      <c r="Q32" s="88">
        <v>19.579999999999998</v>
      </c>
      <c r="R32" s="43">
        <f t="shared" si="4"/>
        <v>0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+สรุป!E33</f>
        <v>0</v>
      </c>
      <c r="F33" s="69"/>
      <c r="G33" s="46">
        <f t="shared" si="0"/>
        <v>0</v>
      </c>
      <c r="H33" s="76">
        <v>0</v>
      </c>
      <c r="I33" s="74">
        <v>0</v>
      </c>
      <c r="J33" s="46">
        <f t="shared" si="1"/>
        <v>0</v>
      </c>
      <c r="K33" s="70"/>
      <c r="L33" s="22">
        <v>100</v>
      </c>
      <c r="M33" s="63">
        <f t="shared" si="2"/>
        <v>0</v>
      </c>
      <c r="N33" s="17" t="s">
        <v>16</v>
      </c>
      <c r="O33" s="18"/>
      <c r="P33" s="23">
        <f t="shared" si="3"/>
        <v>0</v>
      </c>
      <c r="Q33" s="88">
        <v>23.61</v>
      </c>
      <c r="R33" s="43">
        <f t="shared" si="4"/>
        <v>0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+สรุป!E34</f>
        <v>0</v>
      </c>
      <c r="F34" s="69"/>
      <c r="G34" s="46">
        <f t="shared" si="0"/>
        <v>0</v>
      </c>
      <c r="H34" s="76">
        <v>0</v>
      </c>
      <c r="I34" s="74">
        <v>0</v>
      </c>
      <c r="J34" s="46">
        <f t="shared" si="1"/>
        <v>0</v>
      </c>
      <c r="K34" s="70"/>
      <c r="L34" s="20">
        <v>55</v>
      </c>
      <c r="M34" s="63">
        <f t="shared" si="2"/>
        <v>0</v>
      </c>
      <c r="N34" s="17" t="s">
        <v>16</v>
      </c>
      <c r="O34" s="18"/>
      <c r="P34" s="23">
        <f t="shared" si="3"/>
        <v>0</v>
      </c>
      <c r="Q34" s="88">
        <v>34.25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+สรุป!E35</f>
        <v>0</v>
      </c>
      <c r="F35" s="69"/>
      <c r="G35" s="46">
        <f t="shared" si="0"/>
        <v>0</v>
      </c>
      <c r="H35" s="76">
        <v>0</v>
      </c>
      <c r="I35" s="74">
        <v>0</v>
      </c>
      <c r="J35" s="46">
        <f t="shared" si="1"/>
        <v>0</v>
      </c>
      <c r="K35" s="70"/>
      <c r="L35" s="15">
        <v>60</v>
      </c>
      <c r="M35" s="63">
        <f t="shared" si="2"/>
        <v>0</v>
      </c>
      <c r="N35" s="17" t="s">
        <v>16</v>
      </c>
      <c r="O35" s="18"/>
      <c r="P35" s="23">
        <f t="shared" si="3"/>
        <v>0</v>
      </c>
      <c r="Q35" s="88">
        <v>23.61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+สรุป!E36</f>
        <v>0</v>
      </c>
      <c r="F36" s="69"/>
      <c r="G36" s="46">
        <f t="shared" si="0"/>
        <v>0</v>
      </c>
      <c r="H36" s="76">
        <v>0</v>
      </c>
      <c r="I36" s="74">
        <v>0</v>
      </c>
      <c r="J36" s="46">
        <f t="shared" si="1"/>
        <v>0</v>
      </c>
      <c r="K36" s="70"/>
      <c r="L36" s="15">
        <v>100</v>
      </c>
      <c r="M36" s="63">
        <f t="shared" si="2"/>
        <v>0</v>
      </c>
      <c r="N36" s="17" t="s">
        <v>16</v>
      </c>
      <c r="O36" s="18"/>
      <c r="P36" s="23">
        <f t="shared" si="3"/>
        <v>0</v>
      </c>
      <c r="Q36" s="88">
        <v>13.03</v>
      </c>
      <c r="R36" s="43">
        <f t="shared" si="4"/>
        <v>0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+สรุป!E37</f>
        <v>0</v>
      </c>
      <c r="F37" s="69"/>
      <c r="G37" s="46">
        <f t="shared" si="0"/>
        <v>0</v>
      </c>
      <c r="H37" s="76">
        <v>0</v>
      </c>
      <c r="I37" s="74">
        <v>0</v>
      </c>
      <c r="J37" s="46">
        <f t="shared" si="1"/>
        <v>0</v>
      </c>
      <c r="K37" s="70"/>
      <c r="L37" s="15">
        <v>55</v>
      </c>
      <c r="M37" s="63">
        <f t="shared" si="2"/>
        <v>0</v>
      </c>
      <c r="N37" s="17" t="s">
        <v>16</v>
      </c>
      <c r="O37" s="18"/>
      <c r="P37" s="23">
        <f t="shared" si="3"/>
        <v>0</v>
      </c>
      <c r="Q37" s="88">
        <v>11.91</v>
      </c>
      <c r="R37" s="43">
        <f t="shared" si="4"/>
        <v>0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+สรุป!E38</f>
        <v>0</v>
      </c>
      <c r="F38" s="69"/>
      <c r="G38" s="46">
        <f t="shared" si="0"/>
        <v>0</v>
      </c>
      <c r="H38" s="76">
        <v>0</v>
      </c>
      <c r="I38" s="74">
        <v>0</v>
      </c>
      <c r="J38" s="46">
        <f t="shared" si="1"/>
        <v>0</v>
      </c>
      <c r="K38" s="70"/>
      <c r="L38" s="15">
        <v>50</v>
      </c>
      <c r="M38" s="63">
        <f>+L38*K38</f>
        <v>0</v>
      </c>
      <c r="N38" s="17" t="s">
        <v>16</v>
      </c>
      <c r="O38" s="18"/>
      <c r="P38" s="23">
        <f>SUM(M38-O38)</f>
        <v>0</v>
      </c>
      <c r="Q38" s="88">
        <v>9.91</v>
      </c>
      <c r="R38" s="43">
        <f>+K38*Q38</f>
        <v>0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+สรุป!E39</f>
        <v>0</v>
      </c>
      <c r="F39" s="69"/>
      <c r="G39" s="46">
        <f t="shared" si="0"/>
        <v>0</v>
      </c>
      <c r="H39" s="76">
        <v>0</v>
      </c>
      <c r="I39" s="74">
        <v>0</v>
      </c>
      <c r="J39" s="46">
        <f t="shared" si="1"/>
        <v>0</v>
      </c>
      <c r="K39" s="70"/>
      <c r="L39" s="20">
        <v>60</v>
      </c>
      <c r="M39" s="63">
        <f t="shared" si="2"/>
        <v>0</v>
      </c>
      <c r="N39" s="17" t="s">
        <v>16</v>
      </c>
      <c r="O39" s="18"/>
      <c r="P39" s="23">
        <f t="shared" si="3"/>
        <v>0</v>
      </c>
      <c r="Q39" s="88">
        <v>16.690000000000001</v>
      </c>
      <c r="R39" s="43">
        <f t="shared" si="4"/>
        <v>0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+สรุป!E40</f>
        <v>0</v>
      </c>
      <c r="F40" s="69"/>
      <c r="G40" s="46">
        <f t="shared" si="0"/>
        <v>0</v>
      </c>
      <c r="H40" s="76">
        <v>0</v>
      </c>
      <c r="I40" s="74">
        <v>0</v>
      </c>
      <c r="J40" s="46">
        <f t="shared" si="1"/>
        <v>0</v>
      </c>
      <c r="K40" s="70"/>
      <c r="L40" s="20">
        <v>50</v>
      </c>
      <c r="M40" s="63">
        <f t="shared" si="2"/>
        <v>0</v>
      </c>
      <c r="N40" s="17" t="s">
        <v>16</v>
      </c>
      <c r="O40" s="18"/>
      <c r="P40" s="23">
        <f t="shared" si="3"/>
        <v>0</v>
      </c>
      <c r="Q40" s="88">
        <v>24.21</v>
      </c>
      <c r="R40" s="43">
        <f t="shared" si="4"/>
        <v>0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+สรุป!E41</f>
        <v>0</v>
      </c>
      <c r="F41" s="69"/>
      <c r="G41" s="46">
        <f t="shared" si="0"/>
        <v>0</v>
      </c>
      <c r="H41" s="76">
        <v>0</v>
      </c>
      <c r="I41" s="74">
        <v>0</v>
      </c>
      <c r="J41" s="46">
        <f t="shared" si="1"/>
        <v>0</v>
      </c>
      <c r="K41" s="70"/>
      <c r="L41" s="20">
        <v>50</v>
      </c>
      <c r="M41" s="63">
        <f t="shared" si="2"/>
        <v>0</v>
      </c>
      <c r="N41" s="17" t="s">
        <v>16</v>
      </c>
      <c r="O41" s="18"/>
      <c r="P41" s="23">
        <f t="shared" si="3"/>
        <v>0</v>
      </c>
      <c r="Q41" s="88">
        <v>23.02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+สรุป!E42</f>
        <v>0</v>
      </c>
      <c r="F42" s="69"/>
      <c r="G42" s="46">
        <f t="shared" si="0"/>
        <v>0</v>
      </c>
      <c r="H42" s="76">
        <v>0</v>
      </c>
      <c r="I42" s="74">
        <v>0</v>
      </c>
      <c r="J42" s="46">
        <f t="shared" si="1"/>
        <v>0</v>
      </c>
      <c r="K42" s="70"/>
      <c r="L42" s="20">
        <v>10</v>
      </c>
      <c r="M42" s="63">
        <f t="shared" si="2"/>
        <v>0</v>
      </c>
      <c r="N42" s="17" t="s">
        <v>16</v>
      </c>
      <c r="O42" s="18"/>
      <c r="P42" s="23">
        <f t="shared" si="3"/>
        <v>0</v>
      </c>
      <c r="Q42" s="88">
        <v>6.3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+สรุป!E43</f>
        <v>0</v>
      </c>
      <c r="F43" s="69"/>
      <c r="G43" s="46">
        <f t="shared" si="0"/>
        <v>0</v>
      </c>
      <c r="H43" s="76">
        <v>0</v>
      </c>
      <c r="I43" s="74">
        <v>0</v>
      </c>
      <c r="J43" s="46">
        <f t="shared" si="1"/>
        <v>0</v>
      </c>
      <c r="K43" s="70"/>
      <c r="L43" s="22">
        <v>10</v>
      </c>
      <c r="M43" s="63">
        <f>+L43*K43</f>
        <v>0</v>
      </c>
      <c r="N43" s="17" t="s">
        <v>16</v>
      </c>
      <c r="O43" s="18"/>
      <c r="P43" s="23">
        <f>SUM(M43-O43)</f>
        <v>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+สรุป!E44</f>
        <v>0</v>
      </c>
      <c r="F44" s="69"/>
      <c r="G44" s="46">
        <f t="shared" si="0"/>
        <v>0</v>
      </c>
      <c r="H44" s="76">
        <v>0</v>
      </c>
      <c r="I44" s="74">
        <v>0</v>
      </c>
      <c r="J44" s="46">
        <f t="shared" si="1"/>
        <v>0</v>
      </c>
      <c r="K44" s="70"/>
      <c r="L44" s="20">
        <v>150</v>
      </c>
      <c r="M44" s="63">
        <f t="shared" si="2"/>
        <v>0</v>
      </c>
      <c r="N44" s="17" t="s">
        <v>16</v>
      </c>
      <c r="O44" s="18"/>
      <c r="P44" s="23">
        <f t="shared" si="3"/>
        <v>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+สรุป!E45</f>
        <v>0</v>
      </c>
      <c r="F45" s="69"/>
      <c r="G45" s="46">
        <f t="shared" si="0"/>
        <v>0</v>
      </c>
      <c r="H45" s="76">
        <v>0</v>
      </c>
      <c r="I45" s="74">
        <v>0</v>
      </c>
      <c r="J45" s="46">
        <f t="shared" si="1"/>
        <v>0</v>
      </c>
      <c r="K45" s="70"/>
      <c r="L45" s="15">
        <v>150</v>
      </c>
      <c r="M45" s="63">
        <f t="shared" si="2"/>
        <v>0</v>
      </c>
      <c r="N45" s="17" t="s">
        <v>16</v>
      </c>
      <c r="O45" s="18"/>
      <c r="P45" s="23">
        <f t="shared" si="3"/>
        <v>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+สรุป!E46</f>
        <v>0</v>
      </c>
      <c r="F46" s="69"/>
      <c r="G46" s="46">
        <f t="shared" si="0"/>
        <v>0</v>
      </c>
      <c r="H46" s="76">
        <v>0</v>
      </c>
      <c r="I46" s="74">
        <v>0</v>
      </c>
      <c r="J46" s="46">
        <f t="shared" si="1"/>
        <v>0</v>
      </c>
      <c r="K46" s="70"/>
      <c r="L46" s="15">
        <v>25</v>
      </c>
      <c r="M46" s="63">
        <f t="shared" si="2"/>
        <v>0</v>
      </c>
      <c r="N46" s="17" t="s">
        <v>16</v>
      </c>
      <c r="O46" s="18"/>
      <c r="P46" s="23">
        <f t="shared" si="3"/>
        <v>0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+สรุป!E47</f>
        <v>0</v>
      </c>
      <c r="F47" s="69"/>
      <c r="G47" s="46">
        <f t="shared" si="0"/>
        <v>0</v>
      </c>
      <c r="H47" s="76">
        <v>0</v>
      </c>
      <c r="I47" s="74">
        <v>0</v>
      </c>
      <c r="J47" s="46">
        <f t="shared" si="1"/>
        <v>0</v>
      </c>
      <c r="K47" s="70"/>
      <c r="L47" s="15">
        <v>25</v>
      </c>
      <c r="M47" s="63">
        <f t="shared" si="2"/>
        <v>0</v>
      </c>
      <c r="N47" s="17" t="s">
        <v>16</v>
      </c>
      <c r="O47" s="18"/>
      <c r="P47" s="23">
        <f t="shared" si="3"/>
        <v>0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+สรุป!E48</f>
        <v>0</v>
      </c>
      <c r="F48" s="69"/>
      <c r="G48" s="46">
        <f t="shared" si="0"/>
        <v>0</v>
      </c>
      <c r="H48" s="76">
        <v>0</v>
      </c>
      <c r="I48" s="74">
        <v>0</v>
      </c>
      <c r="J48" s="46">
        <f t="shared" si="1"/>
        <v>0</v>
      </c>
      <c r="K48" s="70"/>
      <c r="L48" s="15">
        <v>19</v>
      </c>
      <c r="M48" s="63">
        <f>+L48*K48</f>
        <v>0</v>
      </c>
      <c r="N48" s="17" t="s">
        <v>16</v>
      </c>
      <c r="O48" s="18"/>
      <c r="P48" s="23">
        <f>SUM(M48-O48)</f>
        <v>0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+สรุป!E49</f>
        <v>0</v>
      </c>
      <c r="F49" s="69"/>
      <c r="G49" s="46">
        <f t="shared" si="0"/>
        <v>0</v>
      </c>
      <c r="H49" s="76">
        <v>0</v>
      </c>
      <c r="I49" s="74">
        <v>0</v>
      </c>
      <c r="J49" s="46">
        <f t="shared" si="1"/>
        <v>0</v>
      </c>
      <c r="K49" s="70"/>
      <c r="L49" s="15">
        <v>25</v>
      </c>
      <c r="M49" s="63">
        <f>+L49*K49</f>
        <v>0</v>
      </c>
      <c r="N49" s="17" t="s">
        <v>16</v>
      </c>
      <c r="O49" s="18"/>
      <c r="P49" s="23">
        <f>SUM(M49-O49)</f>
        <v>0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+สรุป!E50</f>
        <v>0</v>
      </c>
      <c r="F50" s="69"/>
      <c r="G50" s="46">
        <f t="shared" si="0"/>
        <v>0</v>
      </c>
      <c r="H50" s="76">
        <v>0</v>
      </c>
      <c r="I50" s="74">
        <v>0</v>
      </c>
      <c r="J50" s="46">
        <f t="shared" si="1"/>
        <v>0</v>
      </c>
      <c r="K50" s="70"/>
      <c r="L50" s="15">
        <v>25</v>
      </c>
      <c r="M50" s="63">
        <f t="shared" si="2"/>
        <v>0</v>
      </c>
      <c r="N50" s="17" t="s">
        <v>16</v>
      </c>
      <c r="O50" s="18"/>
      <c r="P50" s="23">
        <f t="shared" si="3"/>
        <v>0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+สรุป!E51</f>
        <v>0</v>
      </c>
      <c r="F51" s="69"/>
      <c r="G51" s="46">
        <f t="shared" si="0"/>
        <v>0</v>
      </c>
      <c r="H51" s="76">
        <v>0</v>
      </c>
      <c r="I51" s="74">
        <v>0</v>
      </c>
      <c r="J51" s="46">
        <f t="shared" si="1"/>
        <v>0</v>
      </c>
      <c r="K51" s="70"/>
      <c r="L51" s="20">
        <v>25</v>
      </c>
      <c r="M51" s="63">
        <f>+L51*K51</f>
        <v>0</v>
      </c>
      <c r="N51" s="17" t="s">
        <v>16</v>
      </c>
      <c r="O51" s="18"/>
      <c r="P51" s="23">
        <f>SUM(M51-O51)</f>
        <v>0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+สรุป!E52</f>
        <v>0</v>
      </c>
      <c r="F52" s="69"/>
      <c r="G52" s="46">
        <f t="shared" si="0"/>
        <v>0</v>
      </c>
      <c r="H52" s="76">
        <v>0</v>
      </c>
      <c r="I52" s="74">
        <v>0</v>
      </c>
      <c r="J52" s="46">
        <f t="shared" si="1"/>
        <v>0</v>
      </c>
      <c r="K52" s="70"/>
      <c r="L52" s="20">
        <v>35</v>
      </c>
      <c r="M52" s="63">
        <f>+L52*K52</f>
        <v>0</v>
      </c>
      <c r="N52" s="17" t="s">
        <v>16</v>
      </c>
      <c r="O52" s="18"/>
      <c r="P52" s="23">
        <f>SUM(M52-O52)</f>
        <v>0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+สรุป!E53</f>
        <v>0</v>
      </c>
      <c r="F53" s="69"/>
      <c r="G53" s="46">
        <f t="shared" si="0"/>
        <v>0</v>
      </c>
      <c r="H53" s="76">
        <v>0</v>
      </c>
      <c r="I53" s="74">
        <v>0</v>
      </c>
      <c r="J53" s="46">
        <f t="shared" si="1"/>
        <v>0</v>
      </c>
      <c r="K53" s="70"/>
      <c r="L53" s="15">
        <v>35</v>
      </c>
      <c r="M53" s="63">
        <f>+L53*K53</f>
        <v>0</v>
      </c>
      <c r="N53" s="17" t="s">
        <v>16</v>
      </c>
      <c r="O53" s="18"/>
      <c r="P53" s="23">
        <f>SUM(M53-O53)</f>
        <v>0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+สรุป!E54</f>
        <v>0</v>
      </c>
      <c r="F54" s="69"/>
      <c r="G54" s="46">
        <f t="shared" si="0"/>
        <v>0</v>
      </c>
      <c r="H54" s="76">
        <v>0</v>
      </c>
      <c r="I54" s="74">
        <v>0</v>
      </c>
      <c r="J54" s="46">
        <f t="shared" si="1"/>
        <v>0</v>
      </c>
      <c r="K54" s="70"/>
      <c r="L54" s="15">
        <v>35</v>
      </c>
      <c r="M54" s="63">
        <f t="shared" si="2"/>
        <v>0</v>
      </c>
      <c r="N54" s="17" t="s">
        <v>16</v>
      </c>
      <c r="O54" s="18"/>
      <c r="P54" s="23">
        <f t="shared" si="3"/>
        <v>0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+สรุป!E55</f>
        <v>0</v>
      </c>
      <c r="F55" s="69"/>
      <c r="G55" s="46">
        <f t="shared" si="0"/>
        <v>0</v>
      </c>
      <c r="H55" s="76">
        <v>0</v>
      </c>
      <c r="I55" s="74">
        <v>0</v>
      </c>
      <c r="J55" s="46">
        <f t="shared" si="1"/>
        <v>0</v>
      </c>
      <c r="K55" s="70"/>
      <c r="L55" s="15">
        <v>120</v>
      </c>
      <c r="M55" s="63">
        <f>+L55*K55</f>
        <v>0</v>
      </c>
      <c r="N55" s="17" t="s">
        <v>16</v>
      </c>
      <c r="O55" s="18"/>
      <c r="P55" s="23">
        <f>SUM(M55-O55)</f>
        <v>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+สรุป!E56</f>
        <v>0</v>
      </c>
      <c r="F56" s="69"/>
      <c r="G56" s="46">
        <f t="shared" si="0"/>
        <v>0</v>
      </c>
      <c r="H56" s="76">
        <v>0</v>
      </c>
      <c r="I56" s="74">
        <v>0</v>
      </c>
      <c r="J56" s="46">
        <f t="shared" si="1"/>
        <v>0</v>
      </c>
      <c r="K56" s="70"/>
      <c r="L56" s="15">
        <v>120</v>
      </c>
      <c r="M56" s="63">
        <f>+L56*K56</f>
        <v>0</v>
      </c>
      <c r="N56" s="17" t="s">
        <v>16</v>
      </c>
      <c r="O56" s="18"/>
      <c r="P56" s="23">
        <f>SUM(M56-O56)</f>
        <v>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+สรุป!E57</f>
        <v>0</v>
      </c>
      <c r="F57" s="69"/>
      <c r="G57" s="46">
        <f t="shared" si="0"/>
        <v>0</v>
      </c>
      <c r="H57" s="76">
        <v>0</v>
      </c>
      <c r="I57" s="74">
        <v>0</v>
      </c>
      <c r="J57" s="46">
        <f t="shared" si="1"/>
        <v>0</v>
      </c>
      <c r="K57" s="70"/>
      <c r="L57" s="20">
        <v>120</v>
      </c>
      <c r="M57" s="63">
        <f t="shared" si="2"/>
        <v>0</v>
      </c>
      <c r="N57" s="17" t="s">
        <v>16</v>
      </c>
      <c r="O57" s="18"/>
      <c r="P57" s="23">
        <f t="shared" si="3"/>
        <v>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+สรุป!E58</f>
        <v>0</v>
      </c>
      <c r="F58" s="69"/>
      <c r="G58" s="46">
        <f t="shared" si="0"/>
        <v>0</v>
      </c>
      <c r="H58" s="76">
        <v>0</v>
      </c>
      <c r="I58" s="74">
        <v>0</v>
      </c>
      <c r="J58" s="46">
        <f t="shared" si="1"/>
        <v>0</v>
      </c>
      <c r="K58" s="70"/>
      <c r="L58" s="20">
        <v>120</v>
      </c>
      <c r="M58" s="63">
        <f t="shared" si="2"/>
        <v>0</v>
      </c>
      <c r="N58" s="17" t="s">
        <v>16</v>
      </c>
      <c r="O58" s="18"/>
      <c r="P58" s="23">
        <f t="shared" si="3"/>
        <v>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/>
      <c r="D59" s="10"/>
      <c r="E59" s="62">
        <f>+สรุป!E59</f>
        <v>0</v>
      </c>
      <c r="F59" s="69"/>
      <c r="G59" s="46">
        <f t="shared" si="0"/>
        <v>0</v>
      </c>
      <c r="H59" s="76">
        <v>0</v>
      </c>
      <c r="I59" s="74"/>
      <c r="J59" s="46">
        <f t="shared" si="1"/>
        <v>0</v>
      </c>
      <c r="K59" s="70"/>
      <c r="L59" s="20"/>
      <c r="M59" s="63"/>
      <c r="N59" s="17"/>
      <c r="O59" s="18"/>
      <c r="P59" s="23"/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+สรุป!E60</f>
        <v>0</v>
      </c>
      <c r="F60" s="69"/>
      <c r="G60" s="46">
        <f t="shared" si="0"/>
        <v>0</v>
      </c>
      <c r="H60" s="76">
        <v>0</v>
      </c>
      <c r="I60" s="74"/>
      <c r="J60" s="46">
        <f t="shared" si="1"/>
        <v>0</v>
      </c>
      <c r="K60" s="70"/>
      <c r="L60" s="20"/>
      <c r="M60" s="63"/>
      <c r="N60" s="17"/>
      <c r="O60" s="18"/>
      <c r="P60" s="23"/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+สรุป!E61</f>
        <v>0</v>
      </c>
      <c r="F61" s="69"/>
      <c r="G61" s="46">
        <f t="shared" si="0"/>
        <v>0</v>
      </c>
      <c r="H61" s="76">
        <v>0</v>
      </c>
      <c r="I61" s="74"/>
      <c r="J61" s="46">
        <f t="shared" si="1"/>
        <v>0</v>
      </c>
      <c r="K61" s="70"/>
      <c r="L61" s="20"/>
      <c r="M61" s="63"/>
      <c r="N61" s="17"/>
      <c r="O61" s="18"/>
      <c r="P61" s="23"/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>
        <f>+สรุป!E62</f>
        <v>0</v>
      </c>
      <c r="F62" s="69"/>
      <c r="G62" s="46">
        <f t="shared" si="0"/>
        <v>0</v>
      </c>
      <c r="H62" s="76">
        <v>0</v>
      </c>
      <c r="I62" s="74"/>
      <c r="J62" s="46">
        <f t="shared" si="1"/>
        <v>0</v>
      </c>
      <c r="K62" s="70"/>
      <c r="L62" s="20"/>
      <c r="M62" s="63"/>
      <c r="N62" s="17"/>
      <c r="O62" s="18"/>
      <c r="P62" s="23"/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>
        <f>+สรุป!E63</f>
        <v>0</v>
      </c>
      <c r="F63" s="69"/>
      <c r="G63" s="46">
        <f t="shared" si="0"/>
        <v>0</v>
      </c>
      <c r="H63" s="76">
        <v>0</v>
      </c>
      <c r="I63" s="74"/>
      <c r="J63" s="46">
        <f t="shared" si="1"/>
        <v>0</v>
      </c>
      <c r="K63" s="70"/>
      <c r="L63" s="20"/>
      <c r="M63" s="63"/>
      <c r="N63" s="17"/>
      <c r="O63" s="18"/>
      <c r="P63" s="23"/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>
        <f>+สรุป!E64</f>
        <v>0</v>
      </c>
      <c r="F64" s="69"/>
      <c r="G64" s="46">
        <f t="shared" si="0"/>
        <v>0</v>
      </c>
      <c r="H64" s="76">
        <v>0</v>
      </c>
      <c r="I64" s="74"/>
      <c r="J64" s="46">
        <f t="shared" si="1"/>
        <v>0</v>
      </c>
      <c r="K64" s="70"/>
      <c r="L64" s="20"/>
      <c r="M64" s="63"/>
      <c r="N64" s="17"/>
      <c r="O64" s="18"/>
      <c r="P64" s="23"/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>
        <f>+สรุป!E65</f>
        <v>0</v>
      </c>
      <c r="F65" s="69"/>
      <c r="G65" s="46">
        <f t="shared" si="0"/>
        <v>0</v>
      </c>
      <c r="H65" s="76"/>
      <c r="I65" s="74"/>
      <c r="J65" s="46">
        <f t="shared" si="1"/>
        <v>0</v>
      </c>
      <c r="K65" s="70"/>
      <c r="L65" s="20"/>
      <c r="M65" s="63"/>
      <c r="N65" s="17"/>
      <c r="O65" s="18"/>
      <c r="P65" s="23"/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0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99" t="s">
        <v>212</v>
      </c>
      <c r="L67" s="100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93" t="s">
        <v>202</v>
      </c>
      <c r="M68" s="93"/>
      <c r="N68" s="33">
        <f>SUM(M5:M67)</f>
        <v>0</v>
      </c>
    </row>
    <row r="69" spans="1:19" ht="25.5" x14ac:dyDescent="0.55000000000000004">
      <c r="A69" s="1"/>
      <c r="E69" s="31"/>
      <c r="G69" s="31"/>
      <c r="J69" s="31"/>
      <c r="L69" s="34" t="s">
        <v>203</v>
      </c>
      <c r="M69" s="35"/>
      <c r="N69" s="36"/>
    </row>
    <row r="70" spans="1:19" ht="25.5" x14ac:dyDescent="0.55000000000000004">
      <c r="A70" s="1"/>
      <c r="E70" s="31"/>
      <c r="G70" s="31"/>
      <c r="J70" s="31"/>
      <c r="L70" s="34" t="s">
        <v>204</v>
      </c>
      <c r="M70" s="35"/>
      <c r="N70" s="36">
        <f>SUM(O70:AF70)</f>
        <v>0</v>
      </c>
    </row>
    <row r="71" spans="1:19" ht="25.5" x14ac:dyDescent="0.55000000000000004">
      <c r="A71" s="1"/>
      <c r="E71" s="31"/>
      <c r="G71" s="31"/>
      <c r="J71" s="31"/>
      <c r="L71" s="34" t="s">
        <v>205</v>
      </c>
      <c r="M71" s="35"/>
      <c r="N71" s="36">
        <v>0</v>
      </c>
    </row>
    <row r="72" spans="1:19" ht="25.5" x14ac:dyDescent="0.55000000000000004">
      <c r="A72" s="1"/>
      <c r="E72" s="31"/>
      <c r="G72" s="31"/>
      <c r="J72" s="31"/>
      <c r="L72" s="34" t="s">
        <v>206</v>
      </c>
      <c r="M72" s="35"/>
      <c r="N72" s="36"/>
    </row>
    <row r="73" spans="1:19" ht="25.5" x14ac:dyDescent="0.55000000000000004">
      <c r="A73" s="1"/>
      <c r="E73" s="31"/>
      <c r="G73" s="31"/>
      <c r="J73" s="31"/>
      <c r="L73" s="34" t="s">
        <v>207</v>
      </c>
      <c r="M73" s="35"/>
      <c r="N73" s="37">
        <f>SUM(O5:O66)</f>
        <v>0</v>
      </c>
    </row>
    <row r="74" spans="1:19" ht="25.5" x14ac:dyDescent="0.55000000000000004">
      <c r="A74" s="1"/>
      <c r="E74" s="31"/>
      <c r="G74" s="31"/>
      <c r="J74" s="31"/>
      <c r="L74" s="34" t="s">
        <v>208</v>
      </c>
      <c r="M74" s="35"/>
      <c r="N74" s="33">
        <f>N68-N69-N70-N72-N73</f>
        <v>0</v>
      </c>
    </row>
    <row r="75" spans="1:19" ht="25.5" x14ac:dyDescent="0.55000000000000004">
      <c r="A75" s="1"/>
      <c r="E75" s="31"/>
      <c r="G75" s="31"/>
      <c r="J75" s="31"/>
      <c r="L75" s="34" t="s">
        <v>209</v>
      </c>
      <c r="M75" s="35"/>
      <c r="N75" s="37"/>
    </row>
    <row r="76" spans="1:19" ht="25.5" x14ac:dyDescent="0.55000000000000004">
      <c r="A76" s="1"/>
      <c r="E76" s="31"/>
      <c r="G76" s="31"/>
      <c r="J76" s="31"/>
      <c r="L76" s="34" t="s">
        <v>210</v>
      </c>
      <c r="M76" s="35"/>
      <c r="N76" s="33">
        <f>+N75-N74</f>
        <v>0</v>
      </c>
    </row>
    <row r="77" spans="1:19" ht="25.5" x14ac:dyDescent="0.55000000000000004">
      <c r="J77" s="2"/>
      <c r="L77" s="34" t="s">
        <v>211</v>
      </c>
      <c r="M77" s="35"/>
      <c r="N77" s="33">
        <f>+N75-N74</f>
        <v>0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/>
  <mergeCells count="1">
    <mergeCell ref="A2:O2"/>
  </mergeCells>
  <pageMargins left="0.25" right="0.25" top="0.75" bottom="0.75" header="0.3" footer="0.3"/>
  <pageSetup paperSize="9" scale="42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  <pageSetUpPr fitToPage="1"/>
  </sheetPr>
  <dimension ref="A1:S152"/>
  <sheetViews>
    <sheetView zoomScale="80" zoomScaleNormal="80" workbookViewId="0">
      <pane xSplit="10" ySplit="4" topLeftCell="K63" activePane="bottomRight" state="frozen"/>
      <selection activeCell="A74" sqref="A66:XFD74"/>
      <selection pane="topRight" activeCell="A74" sqref="A66:XFD74"/>
      <selection pane="bottomLeft" activeCell="A74" sqref="A66:XFD74"/>
      <selection pane="bottomRight" activeCell="R81" sqref="R81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+สรุป!E5</f>
        <v>0</v>
      </c>
      <c r="F5" s="69">
        <v>50</v>
      </c>
      <c r="G5" s="46">
        <f t="shared" ref="G5:G61" si="0">E5+F5</f>
        <v>50</v>
      </c>
      <c r="H5" s="76">
        <v>0</v>
      </c>
      <c r="I5" s="74">
        <v>0</v>
      </c>
      <c r="J5" s="46">
        <f t="shared" ref="J5" si="1">+G5-H5-K5-I5</f>
        <v>32</v>
      </c>
      <c r="K5" s="70">
        <v>18</v>
      </c>
      <c r="L5" s="20">
        <v>50</v>
      </c>
      <c r="M5" s="63">
        <f>+L5*K5</f>
        <v>900</v>
      </c>
      <c r="N5" s="17" t="s">
        <v>16</v>
      </c>
      <c r="O5" s="18"/>
      <c r="P5" s="161">
        <f>SUM(M5-O5)</f>
        <v>900</v>
      </c>
      <c r="Q5" s="88">
        <v>18.97</v>
      </c>
      <c r="R5" s="43">
        <f>+K5*Q5</f>
        <v>341.46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+สรุป!E6</f>
        <v>0</v>
      </c>
      <c r="F6" s="69">
        <v>50</v>
      </c>
      <c r="G6" s="46">
        <f t="shared" si="0"/>
        <v>50</v>
      </c>
      <c r="H6" s="76">
        <v>0</v>
      </c>
      <c r="I6" s="74">
        <v>0</v>
      </c>
      <c r="J6" s="46">
        <f t="shared" ref="J6:J64" si="2">+G6-H6-K6-I6</f>
        <v>32</v>
      </c>
      <c r="K6" s="70">
        <v>18</v>
      </c>
      <c r="L6" s="15">
        <v>100</v>
      </c>
      <c r="M6" s="63">
        <f t="shared" ref="M6:M58" si="3">+L6*K6</f>
        <v>1800</v>
      </c>
      <c r="N6" s="17" t="s">
        <v>16</v>
      </c>
      <c r="O6" s="18"/>
      <c r="P6" s="161">
        <f t="shared" ref="P6:P58" si="4">SUM(M6-O6)</f>
        <v>1800</v>
      </c>
      <c r="Q6" s="88">
        <v>36.43</v>
      </c>
      <c r="R6" s="43">
        <f t="shared" ref="R6:R65" si="5">+K6*Q6</f>
        <v>655.74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+สรุป!E7</f>
        <v>0</v>
      </c>
      <c r="F7" s="69">
        <v>50</v>
      </c>
      <c r="G7" s="46">
        <f t="shared" si="0"/>
        <v>50</v>
      </c>
      <c r="H7" s="76">
        <v>0</v>
      </c>
      <c r="I7" s="74">
        <v>0</v>
      </c>
      <c r="J7" s="46">
        <f t="shared" si="2"/>
        <v>43</v>
      </c>
      <c r="K7" s="70">
        <v>7</v>
      </c>
      <c r="L7" s="15">
        <v>50</v>
      </c>
      <c r="M7" s="63">
        <f t="shared" si="3"/>
        <v>350</v>
      </c>
      <c r="N7" s="17" t="s">
        <v>16</v>
      </c>
      <c r="O7" s="18"/>
      <c r="P7" s="161">
        <f t="shared" si="4"/>
        <v>350</v>
      </c>
      <c r="Q7" s="88">
        <v>19.36</v>
      </c>
      <c r="R7" s="43">
        <f t="shared" si="5"/>
        <v>135.51999999999998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+สรุป!E8</f>
        <v>0</v>
      </c>
      <c r="F8" s="69">
        <v>5</v>
      </c>
      <c r="G8" s="46">
        <f t="shared" si="0"/>
        <v>5</v>
      </c>
      <c r="H8" s="76">
        <v>0</v>
      </c>
      <c r="I8" s="74">
        <v>0</v>
      </c>
      <c r="J8" s="46">
        <f t="shared" si="2"/>
        <v>5</v>
      </c>
      <c r="K8" s="70"/>
      <c r="L8" s="15">
        <v>65</v>
      </c>
      <c r="M8" s="63">
        <f t="shared" si="3"/>
        <v>0</v>
      </c>
      <c r="N8" s="17" t="s">
        <v>16</v>
      </c>
      <c r="O8" s="18"/>
      <c r="P8" s="23">
        <f t="shared" si="4"/>
        <v>0</v>
      </c>
      <c r="Q8" s="88">
        <v>22.25</v>
      </c>
      <c r="R8" s="43">
        <f t="shared" si="5"/>
        <v>0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+สรุป!E9</f>
        <v>0</v>
      </c>
      <c r="F9" s="69">
        <v>5</v>
      </c>
      <c r="G9" s="46">
        <f t="shared" si="0"/>
        <v>5</v>
      </c>
      <c r="H9" s="76">
        <v>0</v>
      </c>
      <c r="I9" s="74">
        <v>0</v>
      </c>
      <c r="J9" s="46">
        <f t="shared" si="2"/>
        <v>4</v>
      </c>
      <c r="K9" s="70">
        <v>1</v>
      </c>
      <c r="L9" s="15">
        <v>85</v>
      </c>
      <c r="M9" s="63">
        <f t="shared" si="3"/>
        <v>85</v>
      </c>
      <c r="N9" s="17" t="s">
        <v>16</v>
      </c>
      <c r="O9" s="18"/>
      <c r="P9" s="161">
        <f t="shared" si="4"/>
        <v>85</v>
      </c>
      <c r="Q9" s="88">
        <v>22.65</v>
      </c>
      <c r="R9" s="43">
        <f t="shared" si="5"/>
        <v>22.65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+สรุป!E10</f>
        <v>0</v>
      </c>
      <c r="F10" s="69">
        <v>50</v>
      </c>
      <c r="G10" s="46">
        <f t="shared" si="0"/>
        <v>50</v>
      </c>
      <c r="H10" s="76">
        <v>0</v>
      </c>
      <c r="I10" s="74">
        <v>0</v>
      </c>
      <c r="J10" s="46">
        <f t="shared" si="2"/>
        <v>34</v>
      </c>
      <c r="K10" s="70">
        <v>16</v>
      </c>
      <c r="L10" s="15">
        <v>100</v>
      </c>
      <c r="M10" s="63">
        <f t="shared" si="3"/>
        <v>1600</v>
      </c>
      <c r="N10" s="17" t="s">
        <v>16</v>
      </c>
      <c r="O10" s="18"/>
      <c r="P10" s="161">
        <f t="shared" si="4"/>
        <v>1600</v>
      </c>
      <c r="Q10" s="88">
        <v>27.98</v>
      </c>
      <c r="R10" s="43">
        <f t="shared" si="5"/>
        <v>447.68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+สรุป!E11</f>
        <v>0</v>
      </c>
      <c r="F11" s="69">
        <v>50</v>
      </c>
      <c r="G11" s="46">
        <f t="shared" si="0"/>
        <v>50</v>
      </c>
      <c r="H11" s="76">
        <v>0</v>
      </c>
      <c r="I11" s="74">
        <v>0</v>
      </c>
      <c r="J11" s="46">
        <f t="shared" si="2"/>
        <v>36</v>
      </c>
      <c r="K11" s="70">
        <v>14</v>
      </c>
      <c r="L11" s="15">
        <v>100</v>
      </c>
      <c r="M11" s="63">
        <f t="shared" si="3"/>
        <v>1400</v>
      </c>
      <c r="N11" s="17" t="s">
        <v>16</v>
      </c>
      <c r="O11" s="18"/>
      <c r="P11" s="161">
        <f t="shared" si="4"/>
        <v>1400</v>
      </c>
      <c r="Q11" s="88">
        <v>34.64</v>
      </c>
      <c r="R11" s="43">
        <f t="shared" si="5"/>
        <v>484.96000000000004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+สรุป!E12</f>
        <v>0</v>
      </c>
      <c r="F12" s="69">
        <v>5</v>
      </c>
      <c r="G12" s="46">
        <f t="shared" si="0"/>
        <v>5</v>
      </c>
      <c r="H12" s="76">
        <v>0</v>
      </c>
      <c r="I12" s="74">
        <v>0</v>
      </c>
      <c r="J12" s="46">
        <f t="shared" si="2"/>
        <v>2</v>
      </c>
      <c r="K12" s="70">
        <v>3</v>
      </c>
      <c r="L12" s="20">
        <v>130</v>
      </c>
      <c r="M12" s="63">
        <f t="shared" si="3"/>
        <v>390</v>
      </c>
      <c r="N12" s="17" t="s">
        <v>16</v>
      </c>
      <c r="O12" s="18"/>
      <c r="P12" s="161">
        <f t="shared" si="4"/>
        <v>390</v>
      </c>
      <c r="Q12" s="88">
        <v>46.37</v>
      </c>
      <c r="R12" s="43">
        <f t="shared" si="5"/>
        <v>139.10999999999999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+สรุป!E13</f>
        <v>0</v>
      </c>
      <c r="F13" s="69">
        <v>5</v>
      </c>
      <c r="G13" s="46">
        <f t="shared" si="0"/>
        <v>5</v>
      </c>
      <c r="H13" s="76">
        <v>0</v>
      </c>
      <c r="I13" s="74">
        <v>0</v>
      </c>
      <c r="J13" s="46">
        <f t="shared" si="2"/>
        <v>2</v>
      </c>
      <c r="K13" s="70">
        <v>3</v>
      </c>
      <c r="L13" s="15">
        <v>130</v>
      </c>
      <c r="M13" s="63">
        <f t="shared" si="3"/>
        <v>390</v>
      </c>
      <c r="N13" s="17" t="s">
        <v>16</v>
      </c>
      <c r="O13" s="18"/>
      <c r="P13" s="161">
        <f t="shared" si="4"/>
        <v>390</v>
      </c>
      <c r="Q13" s="88">
        <v>38.9</v>
      </c>
      <c r="R13" s="43">
        <f t="shared" si="5"/>
        <v>116.69999999999999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+สรุป!E14</f>
        <v>0</v>
      </c>
      <c r="F14" s="69">
        <v>20</v>
      </c>
      <c r="G14" s="46">
        <f t="shared" si="0"/>
        <v>20</v>
      </c>
      <c r="H14" s="76">
        <v>0</v>
      </c>
      <c r="I14" s="74">
        <v>0</v>
      </c>
      <c r="J14" s="46">
        <f t="shared" si="2"/>
        <v>12</v>
      </c>
      <c r="K14" s="70">
        <v>8</v>
      </c>
      <c r="L14" s="15">
        <v>50</v>
      </c>
      <c r="M14" s="63">
        <f t="shared" si="3"/>
        <v>400</v>
      </c>
      <c r="N14" s="17" t="s">
        <v>16</v>
      </c>
      <c r="O14" s="18"/>
      <c r="P14" s="161">
        <f t="shared" si="4"/>
        <v>400</v>
      </c>
      <c r="Q14" s="88">
        <v>27.84</v>
      </c>
      <c r="R14" s="43">
        <f t="shared" si="5"/>
        <v>222.72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+สรุป!E15</f>
        <v>0</v>
      </c>
      <c r="F15" s="69">
        <v>15</v>
      </c>
      <c r="G15" s="46">
        <f t="shared" si="0"/>
        <v>15</v>
      </c>
      <c r="H15" s="76">
        <v>0</v>
      </c>
      <c r="I15" s="74">
        <v>0</v>
      </c>
      <c r="J15" s="46">
        <f t="shared" si="2"/>
        <v>14</v>
      </c>
      <c r="K15" s="70">
        <v>1</v>
      </c>
      <c r="L15" s="15">
        <v>50</v>
      </c>
      <c r="M15" s="63">
        <f t="shared" si="3"/>
        <v>50</v>
      </c>
      <c r="N15" s="17" t="s">
        <v>16</v>
      </c>
      <c r="O15" s="18"/>
      <c r="P15" s="161">
        <f t="shared" si="4"/>
        <v>50</v>
      </c>
      <c r="Q15" s="88">
        <v>27.12</v>
      </c>
      <c r="R15" s="43">
        <f t="shared" si="5"/>
        <v>27.12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+สรุป!E16</f>
        <v>0</v>
      </c>
      <c r="F16" s="69">
        <v>20</v>
      </c>
      <c r="G16" s="46">
        <f t="shared" si="0"/>
        <v>20</v>
      </c>
      <c r="H16" s="76">
        <v>0</v>
      </c>
      <c r="I16" s="74">
        <v>0</v>
      </c>
      <c r="J16" s="46">
        <f t="shared" si="2"/>
        <v>19</v>
      </c>
      <c r="K16" s="70">
        <v>1</v>
      </c>
      <c r="L16" s="20">
        <v>50</v>
      </c>
      <c r="M16" s="63">
        <f t="shared" si="3"/>
        <v>50</v>
      </c>
      <c r="N16" s="17" t="s">
        <v>16</v>
      </c>
      <c r="O16" s="18"/>
      <c r="P16" s="161">
        <f t="shared" si="4"/>
        <v>50</v>
      </c>
      <c r="Q16" s="88">
        <v>15.42</v>
      </c>
      <c r="R16" s="43">
        <f t="shared" si="5"/>
        <v>15.42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+สรุป!E17</f>
        <v>0</v>
      </c>
      <c r="F17" s="69">
        <v>15</v>
      </c>
      <c r="G17" s="46">
        <f t="shared" si="0"/>
        <v>15</v>
      </c>
      <c r="H17" s="76">
        <v>0</v>
      </c>
      <c r="I17" s="74">
        <v>0</v>
      </c>
      <c r="J17" s="46">
        <f t="shared" si="2"/>
        <v>12</v>
      </c>
      <c r="K17" s="70">
        <v>3</v>
      </c>
      <c r="L17" s="15">
        <v>50</v>
      </c>
      <c r="M17" s="63">
        <f t="shared" si="3"/>
        <v>150</v>
      </c>
      <c r="N17" s="17" t="s">
        <v>16</v>
      </c>
      <c r="O17" s="18"/>
      <c r="P17" s="161">
        <f t="shared" si="4"/>
        <v>150</v>
      </c>
      <c r="Q17" s="88">
        <v>17.78</v>
      </c>
      <c r="R17" s="43">
        <f t="shared" si="5"/>
        <v>53.34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+สรุป!E18</f>
        <v>0</v>
      </c>
      <c r="F18" s="69">
        <v>15</v>
      </c>
      <c r="G18" s="46">
        <f t="shared" si="0"/>
        <v>15</v>
      </c>
      <c r="H18" s="76">
        <v>0</v>
      </c>
      <c r="I18" s="74">
        <v>0</v>
      </c>
      <c r="J18" s="46">
        <f t="shared" si="2"/>
        <v>14</v>
      </c>
      <c r="K18" s="70">
        <v>1</v>
      </c>
      <c r="L18" s="20">
        <v>50</v>
      </c>
      <c r="M18" s="63">
        <f t="shared" si="3"/>
        <v>50</v>
      </c>
      <c r="N18" s="17" t="s">
        <v>16</v>
      </c>
      <c r="O18" s="18"/>
      <c r="P18" s="161">
        <f t="shared" si="4"/>
        <v>50</v>
      </c>
      <c r="Q18" s="88">
        <v>17.989999999999998</v>
      </c>
      <c r="R18" s="43">
        <f t="shared" si="5"/>
        <v>17.989999999999998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+สรุป!E19</f>
        <v>0</v>
      </c>
      <c r="F19" s="69">
        <v>15</v>
      </c>
      <c r="G19" s="46">
        <f t="shared" si="0"/>
        <v>15</v>
      </c>
      <c r="H19" s="76">
        <v>0</v>
      </c>
      <c r="I19" s="74">
        <v>0</v>
      </c>
      <c r="J19" s="46">
        <f t="shared" si="2"/>
        <v>14</v>
      </c>
      <c r="K19" s="70">
        <v>1</v>
      </c>
      <c r="L19" s="15">
        <v>50</v>
      </c>
      <c r="M19" s="63">
        <f t="shared" si="3"/>
        <v>50</v>
      </c>
      <c r="N19" s="17" t="s">
        <v>16</v>
      </c>
      <c r="O19" s="18"/>
      <c r="P19" s="161">
        <f t="shared" si="4"/>
        <v>50</v>
      </c>
      <c r="Q19" s="88">
        <v>20.059999999999999</v>
      </c>
      <c r="R19" s="43">
        <f t="shared" si="5"/>
        <v>20.059999999999999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+สรุป!E20</f>
        <v>0</v>
      </c>
      <c r="F20" s="69">
        <v>15</v>
      </c>
      <c r="G20" s="46">
        <f t="shared" si="0"/>
        <v>15</v>
      </c>
      <c r="H20" s="76">
        <v>0</v>
      </c>
      <c r="I20" s="74">
        <v>0</v>
      </c>
      <c r="J20" s="46">
        <f t="shared" si="2"/>
        <v>15</v>
      </c>
      <c r="K20" s="70"/>
      <c r="L20" s="15">
        <v>50</v>
      </c>
      <c r="M20" s="63">
        <f t="shared" si="3"/>
        <v>0</v>
      </c>
      <c r="N20" s="17" t="s">
        <v>16</v>
      </c>
      <c r="O20" s="18"/>
      <c r="P20" s="23">
        <f t="shared" si="4"/>
        <v>0</v>
      </c>
      <c r="Q20" s="88">
        <v>20.32</v>
      </c>
      <c r="R20" s="43">
        <f t="shared" si="5"/>
        <v>0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+สรุป!E21</f>
        <v>0</v>
      </c>
      <c r="F21" s="69">
        <v>15</v>
      </c>
      <c r="G21" s="46">
        <f t="shared" si="0"/>
        <v>15</v>
      </c>
      <c r="H21" s="76">
        <v>0</v>
      </c>
      <c r="I21" s="74">
        <v>0</v>
      </c>
      <c r="J21" s="46">
        <f t="shared" si="2"/>
        <v>11</v>
      </c>
      <c r="K21" s="70">
        <v>4</v>
      </c>
      <c r="L21" s="15">
        <v>50</v>
      </c>
      <c r="M21" s="63">
        <f t="shared" si="3"/>
        <v>200</v>
      </c>
      <c r="N21" s="17" t="s">
        <v>16</v>
      </c>
      <c r="O21" s="18"/>
      <c r="P21" s="161">
        <f t="shared" si="4"/>
        <v>200</v>
      </c>
      <c r="Q21" s="88">
        <v>16.37</v>
      </c>
      <c r="R21" s="43">
        <f t="shared" si="5"/>
        <v>65.48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+สรุป!E22</f>
        <v>0</v>
      </c>
      <c r="F22" s="69">
        <v>9</v>
      </c>
      <c r="G22" s="46">
        <f t="shared" si="0"/>
        <v>9</v>
      </c>
      <c r="H22" s="76">
        <v>0</v>
      </c>
      <c r="I22" s="74">
        <v>0</v>
      </c>
      <c r="J22" s="46">
        <f t="shared" si="2"/>
        <v>9</v>
      </c>
      <c r="K22" s="70"/>
      <c r="L22" s="15">
        <v>120</v>
      </c>
      <c r="M22" s="63">
        <f t="shared" si="3"/>
        <v>0</v>
      </c>
      <c r="N22" s="17" t="s">
        <v>16</v>
      </c>
      <c r="O22" s="18"/>
      <c r="P22" s="23">
        <f t="shared" si="4"/>
        <v>0</v>
      </c>
      <c r="Q22" s="88">
        <v>25.99</v>
      </c>
      <c r="R22" s="43">
        <f t="shared" si="5"/>
        <v>0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+สรุป!E23</f>
        <v>0</v>
      </c>
      <c r="F23" s="69">
        <v>10</v>
      </c>
      <c r="G23" s="46">
        <f t="shared" si="0"/>
        <v>10</v>
      </c>
      <c r="H23" s="76">
        <v>0</v>
      </c>
      <c r="I23" s="74">
        <v>0</v>
      </c>
      <c r="J23" s="46">
        <f t="shared" si="2"/>
        <v>10</v>
      </c>
      <c r="K23" s="70"/>
      <c r="L23" s="15">
        <v>120</v>
      </c>
      <c r="M23" s="63">
        <f t="shared" si="3"/>
        <v>0</v>
      </c>
      <c r="N23" s="17" t="s">
        <v>16</v>
      </c>
      <c r="O23" s="18"/>
      <c r="P23" s="23">
        <f t="shared" si="4"/>
        <v>0</v>
      </c>
      <c r="Q23" s="88">
        <v>28.31</v>
      </c>
      <c r="R23" s="43">
        <f t="shared" si="5"/>
        <v>0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+สรุป!E24</f>
        <v>0</v>
      </c>
      <c r="F24" s="69">
        <v>10</v>
      </c>
      <c r="G24" s="46">
        <f t="shared" si="0"/>
        <v>10</v>
      </c>
      <c r="H24" s="76">
        <v>0</v>
      </c>
      <c r="I24" s="74">
        <v>0</v>
      </c>
      <c r="J24" s="46">
        <f t="shared" si="2"/>
        <v>10</v>
      </c>
      <c r="K24" s="70"/>
      <c r="L24" s="15">
        <v>120</v>
      </c>
      <c r="M24" s="63">
        <f t="shared" si="3"/>
        <v>0</v>
      </c>
      <c r="N24" s="17" t="s">
        <v>16</v>
      </c>
      <c r="O24" s="18"/>
      <c r="P24" s="23">
        <f t="shared" si="4"/>
        <v>0</v>
      </c>
      <c r="Q24" s="88">
        <v>31.07</v>
      </c>
      <c r="R24" s="43">
        <f t="shared" si="5"/>
        <v>0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+สรุป!E25</f>
        <v>0</v>
      </c>
      <c r="F25" s="69">
        <v>10</v>
      </c>
      <c r="G25" s="46">
        <f t="shared" si="0"/>
        <v>10</v>
      </c>
      <c r="H25" s="76">
        <v>0</v>
      </c>
      <c r="I25" s="74">
        <v>0</v>
      </c>
      <c r="J25" s="46">
        <f t="shared" si="2"/>
        <v>9</v>
      </c>
      <c r="K25" s="70">
        <v>1</v>
      </c>
      <c r="L25" s="20">
        <v>120</v>
      </c>
      <c r="M25" s="63">
        <f t="shared" si="3"/>
        <v>120</v>
      </c>
      <c r="N25" s="17" t="s">
        <v>16</v>
      </c>
      <c r="O25" s="18"/>
      <c r="P25" s="161">
        <f t="shared" si="4"/>
        <v>120</v>
      </c>
      <c r="Q25" s="88">
        <v>29.83</v>
      </c>
      <c r="R25" s="43">
        <f t="shared" si="5"/>
        <v>29.83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+สรุป!E26</f>
        <v>0</v>
      </c>
      <c r="F26" s="69">
        <v>10</v>
      </c>
      <c r="G26" s="46">
        <f t="shared" si="0"/>
        <v>10</v>
      </c>
      <c r="H26" s="76">
        <v>0</v>
      </c>
      <c r="I26" s="74">
        <v>0</v>
      </c>
      <c r="J26" s="46">
        <f t="shared" si="2"/>
        <v>8</v>
      </c>
      <c r="K26" s="70">
        <v>2</v>
      </c>
      <c r="L26" s="15">
        <v>120</v>
      </c>
      <c r="M26" s="63">
        <f t="shared" si="3"/>
        <v>240</v>
      </c>
      <c r="N26" s="17" t="s">
        <v>16</v>
      </c>
      <c r="O26" s="18"/>
      <c r="P26" s="161">
        <f t="shared" si="4"/>
        <v>240</v>
      </c>
      <c r="Q26" s="88">
        <v>26.39</v>
      </c>
      <c r="R26" s="43">
        <f t="shared" si="5"/>
        <v>52.78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+สรุป!E27</f>
        <v>0</v>
      </c>
      <c r="F27" s="69">
        <v>5</v>
      </c>
      <c r="G27" s="46">
        <f t="shared" si="0"/>
        <v>5</v>
      </c>
      <c r="H27" s="76">
        <v>0</v>
      </c>
      <c r="I27" s="74">
        <v>0</v>
      </c>
      <c r="J27" s="46">
        <f t="shared" si="2"/>
        <v>5</v>
      </c>
      <c r="K27" s="70"/>
      <c r="L27" s="15">
        <v>50</v>
      </c>
      <c r="M27" s="63">
        <f t="shared" si="3"/>
        <v>0</v>
      </c>
      <c r="N27" s="17" t="s">
        <v>16</v>
      </c>
      <c r="O27" s="18"/>
      <c r="P27" s="23">
        <f t="shared" si="4"/>
        <v>0</v>
      </c>
      <c r="Q27" s="88">
        <v>23.69</v>
      </c>
      <c r="R27" s="43">
        <f t="shared" si="5"/>
        <v>0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+สรุป!E28</f>
        <v>0</v>
      </c>
      <c r="F28" s="69">
        <v>5</v>
      </c>
      <c r="G28" s="46">
        <f t="shared" si="0"/>
        <v>5</v>
      </c>
      <c r="H28" s="76">
        <v>0</v>
      </c>
      <c r="I28" s="74">
        <v>0</v>
      </c>
      <c r="J28" s="46">
        <f t="shared" si="2"/>
        <v>3</v>
      </c>
      <c r="K28" s="70">
        <v>2</v>
      </c>
      <c r="L28" s="21">
        <v>50</v>
      </c>
      <c r="M28" s="63">
        <f t="shared" si="3"/>
        <v>100</v>
      </c>
      <c r="N28" s="17" t="s">
        <v>16</v>
      </c>
      <c r="O28" s="18"/>
      <c r="P28" s="161">
        <f t="shared" si="4"/>
        <v>100</v>
      </c>
      <c r="Q28" s="88">
        <v>22.49</v>
      </c>
      <c r="R28" s="43">
        <f t="shared" si="5"/>
        <v>44.98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+สรุป!E29</f>
        <v>0</v>
      </c>
      <c r="F29" s="69">
        <v>5</v>
      </c>
      <c r="G29" s="46">
        <f t="shared" si="0"/>
        <v>5</v>
      </c>
      <c r="H29" s="76">
        <v>0</v>
      </c>
      <c r="I29" s="74">
        <v>0</v>
      </c>
      <c r="J29" s="46">
        <f t="shared" si="2"/>
        <v>4</v>
      </c>
      <c r="K29" s="70">
        <v>1</v>
      </c>
      <c r="L29" s="21">
        <v>50</v>
      </c>
      <c r="M29" s="63">
        <f t="shared" si="3"/>
        <v>50</v>
      </c>
      <c r="N29" s="17" t="s">
        <v>16</v>
      </c>
      <c r="O29" s="18"/>
      <c r="P29" s="161">
        <f t="shared" si="4"/>
        <v>50</v>
      </c>
      <c r="Q29" s="88">
        <v>17.09</v>
      </c>
      <c r="R29" s="43">
        <f t="shared" si="5"/>
        <v>17.09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+สรุป!E30</f>
        <v>0</v>
      </c>
      <c r="F30" s="69">
        <v>20</v>
      </c>
      <c r="G30" s="46">
        <f t="shared" si="0"/>
        <v>20</v>
      </c>
      <c r="H30" s="76">
        <v>0</v>
      </c>
      <c r="I30" s="74">
        <v>0</v>
      </c>
      <c r="J30" s="46">
        <f t="shared" si="2"/>
        <v>5</v>
      </c>
      <c r="K30" s="70">
        <v>15</v>
      </c>
      <c r="L30" s="22">
        <v>50</v>
      </c>
      <c r="M30" s="63">
        <f t="shared" si="3"/>
        <v>750</v>
      </c>
      <c r="N30" s="17" t="s">
        <v>16</v>
      </c>
      <c r="O30" s="18"/>
      <c r="P30" s="161">
        <f t="shared" si="4"/>
        <v>750</v>
      </c>
      <c r="Q30" s="88">
        <v>25.15</v>
      </c>
      <c r="R30" s="43">
        <f t="shared" si="5"/>
        <v>377.25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+สรุป!E31</f>
        <v>0</v>
      </c>
      <c r="F31" s="69">
        <v>5</v>
      </c>
      <c r="G31" s="46">
        <f t="shared" si="0"/>
        <v>5</v>
      </c>
      <c r="H31" s="76">
        <v>0</v>
      </c>
      <c r="I31" s="74">
        <v>0</v>
      </c>
      <c r="J31" s="46">
        <f t="shared" si="2"/>
        <v>1</v>
      </c>
      <c r="K31" s="70">
        <v>4</v>
      </c>
      <c r="L31" s="22">
        <v>55</v>
      </c>
      <c r="M31" s="63">
        <f t="shared" si="3"/>
        <v>220</v>
      </c>
      <c r="N31" s="17" t="s">
        <v>16</v>
      </c>
      <c r="O31" s="18"/>
      <c r="P31" s="161">
        <f t="shared" si="4"/>
        <v>220</v>
      </c>
      <c r="Q31" s="88">
        <v>14.35</v>
      </c>
      <c r="R31" s="43">
        <f t="shared" si="5"/>
        <v>57.4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+สรุป!E32</f>
        <v>0</v>
      </c>
      <c r="F32" s="69">
        <v>5</v>
      </c>
      <c r="G32" s="46">
        <f t="shared" si="0"/>
        <v>5</v>
      </c>
      <c r="H32" s="76">
        <v>0</v>
      </c>
      <c r="I32" s="74">
        <v>0</v>
      </c>
      <c r="J32" s="46">
        <f t="shared" si="2"/>
        <v>4</v>
      </c>
      <c r="K32" s="70">
        <v>1</v>
      </c>
      <c r="L32" s="22">
        <v>55</v>
      </c>
      <c r="M32" s="63">
        <f t="shared" si="3"/>
        <v>55</v>
      </c>
      <c r="N32" s="17" t="s">
        <v>16</v>
      </c>
      <c r="O32" s="18"/>
      <c r="P32" s="161">
        <f t="shared" si="4"/>
        <v>55</v>
      </c>
      <c r="Q32" s="88">
        <v>19.579999999999998</v>
      </c>
      <c r="R32" s="43">
        <f t="shared" si="5"/>
        <v>19.579999999999998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+สรุป!E33</f>
        <v>0</v>
      </c>
      <c r="F33" s="69">
        <v>20</v>
      </c>
      <c r="G33" s="46">
        <f t="shared" si="0"/>
        <v>20</v>
      </c>
      <c r="H33" s="76">
        <v>0</v>
      </c>
      <c r="I33" s="74">
        <v>0</v>
      </c>
      <c r="J33" s="46">
        <f t="shared" si="2"/>
        <v>17</v>
      </c>
      <c r="K33" s="70">
        <v>3</v>
      </c>
      <c r="L33" s="22">
        <v>100</v>
      </c>
      <c r="M33" s="63">
        <f t="shared" si="3"/>
        <v>300</v>
      </c>
      <c r="N33" s="17" t="s">
        <v>16</v>
      </c>
      <c r="O33" s="18"/>
      <c r="P33" s="161">
        <f t="shared" si="4"/>
        <v>300</v>
      </c>
      <c r="Q33" s="88">
        <v>23.61</v>
      </c>
      <c r="R33" s="43">
        <f t="shared" si="5"/>
        <v>70.83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+สรุป!E34</f>
        <v>0</v>
      </c>
      <c r="F34" s="69">
        <v>10</v>
      </c>
      <c r="G34" s="46">
        <f t="shared" si="0"/>
        <v>10</v>
      </c>
      <c r="H34" s="76">
        <v>0</v>
      </c>
      <c r="I34" s="74">
        <v>0</v>
      </c>
      <c r="J34" s="46">
        <f t="shared" si="2"/>
        <v>10</v>
      </c>
      <c r="K34" s="70"/>
      <c r="L34" s="20">
        <v>55</v>
      </c>
      <c r="M34" s="63">
        <f t="shared" si="3"/>
        <v>0</v>
      </c>
      <c r="N34" s="17" t="s">
        <v>16</v>
      </c>
      <c r="O34" s="18"/>
      <c r="P34" s="23">
        <f t="shared" si="4"/>
        <v>0</v>
      </c>
      <c r="Q34" s="88">
        <v>34.25</v>
      </c>
      <c r="R34" s="43">
        <f t="shared" si="5"/>
        <v>0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+สรุป!E35</f>
        <v>0</v>
      </c>
      <c r="F35" s="69">
        <v>20</v>
      </c>
      <c r="G35" s="46">
        <f t="shared" si="0"/>
        <v>20</v>
      </c>
      <c r="H35" s="76">
        <v>0</v>
      </c>
      <c r="I35" s="74">
        <v>0</v>
      </c>
      <c r="J35" s="46">
        <f t="shared" si="2"/>
        <v>16</v>
      </c>
      <c r="K35" s="70">
        <v>4</v>
      </c>
      <c r="L35" s="15">
        <v>60</v>
      </c>
      <c r="M35" s="63">
        <f t="shared" si="3"/>
        <v>240</v>
      </c>
      <c r="N35" s="17" t="s">
        <v>16</v>
      </c>
      <c r="O35" s="18"/>
      <c r="P35" s="161">
        <f t="shared" si="4"/>
        <v>240</v>
      </c>
      <c r="Q35" s="88">
        <v>23.61</v>
      </c>
      <c r="R35" s="43">
        <f t="shared" si="5"/>
        <v>94.44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+สรุป!E36</f>
        <v>0</v>
      </c>
      <c r="F36" s="69">
        <v>20</v>
      </c>
      <c r="G36" s="46">
        <f t="shared" si="0"/>
        <v>20</v>
      </c>
      <c r="H36" s="76">
        <v>0</v>
      </c>
      <c r="I36" s="74">
        <v>0</v>
      </c>
      <c r="J36" s="46">
        <f t="shared" si="2"/>
        <v>16</v>
      </c>
      <c r="K36" s="70">
        <v>4</v>
      </c>
      <c r="L36" s="15">
        <v>100</v>
      </c>
      <c r="M36" s="63">
        <f t="shared" si="3"/>
        <v>400</v>
      </c>
      <c r="N36" s="17" t="s">
        <v>16</v>
      </c>
      <c r="O36" s="18"/>
      <c r="P36" s="161">
        <f t="shared" si="4"/>
        <v>400</v>
      </c>
      <c r="Q36" s="88">
        <v>13.03</v>
      </c>
      <c r="R36" s="43">
        <f t="shared" si="5"/>
        <v>52.12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+สรุป!E37</f>
        <v>0</v>
      </c>
      <c r="F37" s="69">
        <v>10</v>
      </c>
      <c r="G37" s="46">
        <f t="shared" si="0"/>
        <v>10</v>
      </c>
      <c r="H37" s="76">
        <v>0</v>
      </c>
      <c r="I37" s="74">
        <v>0</v>
      </c>
      <c r="J37" s="46">
        <f t="shared" si="2"/>
        <v>10</v>
      </c>
      <c r="K37" s="70"/>
      <c r="L37" s="15">
        <v>55</v>
      </c>
      <c r="M37" s="63">
        <f t="shared" si="3"/>
        <v>0</v>
      </c>
      <c r="N37" s="17" t="s">
        <v>16</v>
      </c>
      <c r="O37" s="18"/>
      <c r="P37" s="23">
        <f t="shared" si="4"/>
        <v>0</v>
      </c>
      <c r="Q37" s="88">
        <v>11.91</v>
      </c>
      <c r="R37" s="43">
        <f t="shared" si="5"/>
        <v>0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+สรุป!E38</f>
        <v>0</v>
      </c>
      <c r="F38" s="69">
        <v>10</v>
      </c>
      <c r="G38" s="46">
        <f t="shared" si="0"/>
        <v>10</v>
      </c>
      <c r="H38" s="76">
        <v>0</v>
      </c>
      <c r="I38" s="74">
        <v>0</v>
      </c>
      <c r="J38" s="46">
        <f t="shared" si="2"/>
        <v>7</v>
      </c>
      <c r="K38" s="70">
        <v>3</v>
      </c>
      <c r="L38" s="15">
        <v>50</v>
      </c>
      <c r="M38" s="63">
        <f>+L38*K38</f>
        <v>150</v>
      </c>
      <c r="N38" s="17" t="s">
        <v>16</v>
      </c>
      <c r="O38" s="18"/>
      <c r="P38" s="161">
        <f>SUM(M38-O38)</f>
        <v>150</v>
      </c>
      <c r="Q38" s="88">
        <v>9.91</v>
      </c>
      <c r="R38" s="43">
        <f>+K38*Q38</f>
        <v>29.73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+สรุป!E39</f>
        <v>0</v>
      </c>
      <c r="F39" s="69">
        <v>5</v>
      </c>
      <c r="G39" s="46">
        <f t="shared" si="0"/>
        <v>5</v>
      </c>
      <c r="H39" s="76">
        <v>0</v>
      </c>
      <c r="I39" s="74">
        <v>0</v>
      </c>
      <c r="J39" s="46">
        <f t="shared" si="2"/>
        <v>4</v>
      </c>
      <c r="K39" s="70">
        <v>1</v>
      </c>
      <c r="L39" s="20">
        <v>35</v>
      </c>
      <c r="M39" s="63">
        <f t="shared" si="3"/>
        <v>35</v>
      </c>
      <c r="N39" s="17" t="s">
        <v>16</v>
      </c>
      <c r="O39" s="18"/>
      <c r="P39" s="161">
        <f t="shared" si="4"/>
        <v>35</v>
      </c>
      <c r="Q39" s="88">
        <v>16.690000000000001</v>
      </c>
      <c r="R39" s="43">
        <f t="shared" si="5"/>
        <v>16.690000000000001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+สรุป!E40</f>
        <v>0</v>
      </c>
      <c r="F40" s="69">
        <v>10</v>
      </c>
      <c r="G40" s="46">
        <f t="shared" si="0"/>
        <v>10</v>
      </c>
      <c r="H40" s="76">
        <v>0</v>
      </c>
      <c r="I40" s="74">
        <v>0</v>
      </c>
      <c r="J40" s="46">
        <f t="shared" si="2"/>
        <v>4</v>
      </c>
      <c r="K40" s="70">
        <v>6</v>
      </c>
      <c r="L40" s="20">
        <v>50</v>
      </c>
      <c r="M40" s="63">
        <f t="shared" si="3"/>
        <v>300</v>
      </c>
      <c r="N40" s="17" t="s">
        <v>16</v>
      </c>
      <c r="O40" s="18"/>
      <c r="P40" s="161">
        <f t="shared" si="4"/>
        <v>300</v>
      </c>
      <c r="Q40" s="88">
        <v>24.21</v>
      </c>
      <c r="R40" s="43">
        <f t="shared" si="5"/>
        <v>145.26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+สรุป!E41</f>
        <v>0</v>
      </c>
      <c r="F41" s="69">
        <v>10</v>
      </c>
      <c r="G41" s="46">
        <f t="shared" si="0"/>
        <v>10</v>
      </c>
      <c r="H41" s="76">
        <v>0</v>
      </c>
      <c r="I41" s="74">
        <v>0</v>
      </c>
      <c r="J41" s="46">
        <f t="shared" si="2"/>
        <v>10</v>
      </c>
      <c r="K41" s="70"/>
      <c r="L41" s="20">
        <v>50</v>
      </c>
      <c r="M41" s="63">
        <f t="shared" si="3"/>
        <v>0</v>
      </c>
      <c r="N41" s="17" t="s">
        <v>16</v>
      </c>
      <c r="O41" s="18"/>
      <c r="P41" s="23">
        <f t="shared" si="4"/>
        <v>0</v>
      </c>
      <c r="Q41" s="88">
        <v>23.02</v>
      </c>
      <c r="R41" s="43">
        <f t="shared" si="5"/>
        <v>0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+สรุป!E42</f>
        <v>0</v>
      </c>
      <c r="F42" s="69">
        <v>500</v>
      </c>
      <c r="G42" s="46">
        <f t="shared" si="0"/>
        <v>500</v>
      </c>
      <c r="H42" s="76">
        <v>0</v>
      </c>
      <c r="I42" s="74">
        <v>0</v>
      </c>
      <c r="J42" s="46">
        <f t="shared" si="2"/>
        <v>500</v>
      </c>
      <c r="K42" s="70"/>
      <c r="L42" s="20">
        <v>10</v>
      </c>
      <c r="M42" s="63">
        <f t="shared" si="3"/>
        <v>0</v>
      </c>
      <c r="N42" s="17" t="s">
        <v>16</v>
      </c>
      <c r="O42" s="18"/>
      <c r="P42" s="23">
        <f t="shared" si="4"/>
        <v>0</v>
      </c>
      <c r="Q42" s="88">
        <v>6.3</v>
      </c>
      <c r="R42" s="43">
        <f t="shared" si="5"/>
        <v>0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+สรุป!E43</f>
        <v>0</v>
      </c>
      <c r="F43" s="69">
        <v>100</v>
      </c>
      <c r="G43" s="46">
        <f t="shared" si="0"/>
        <v>100</v>
      </c>
      <c r="H43" s="76">
        <v>0</v>
      </c>
      <c r="I43" s="74">
        <v>0</v>
      </c>
      <c r="J43" s="46">
        <f t="shared" si="2"/>
        <v>100</v>
      </c>
      <c r="K43" s="70"/>
      <c r="L43" s="22">
        <v>10</v>
      </c>
      <c r="M43" s="63">
        <f>+L43*K43</f>
        <v>0</v>
      </c>
      <c r="N43" s="17" t="s">
        <v>16</v>
      </c>
      <c r="O43" s="18"/>
      <c r="P43" s="23">
        <f>SUM(M43-O43)</f>
        <v>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+สรุป!E44</f>
        <v>0</v>
      </c>
      <c r="F44" s="69">
        <v>10</v>
      </c>
      <c r="G44" s="46">
        <f t="shared" si="0"/>
        <v>10</v>
      </c>
      <c r="H44" s="76">
        <v>0</v>
      </c>
      <c r="I44" s="74">
        <v>0</v>
      </c>
      <c r="J44" s="46">
        <f t="shared" si="2"/>
        <v>10</v>
      </c>
      <c r="K44" s="70"/>
      <c r="L44" s="20">
        <v>150</v>
      </c>
      <c r="M44" s="63">
        <f t="shared" si="3"/>
        <v>0</v>
      </c>
      <c r="N44" s="17" t="s">
        <v>16</v>
      </c>
      <c r="O44" s="18"/>
      <c r="P44" s="23">
        <f t="shared" si="4"/>
        <v>0</v>
      </c>
      <c r="Q44" s="88"/>
      <c r="R44" s="43">
        <f t="shared" si="5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+สรุป!E45</f>
        <v>0</v>
      </c>
      <c r="F45" s="69">
        <v>10</v>
      </c>
      <c r="G45" s="46">
        <f t="shared" si="0"/>
        <v>10</v>
      </c>
      <c r="H45" s="76">
        <v>0</v>
      </c>
      <c r="I45" s="74">
        <v>0</v>
      </c>
      <c r="J45" s="46">
        <f t="shared" si="2"/>
        <v>10</v>
      </c>
      <c r="K45" s="70"/>
      <c r="L45" s="15">
        <v>150</v>
      </c>
      <c r="M45" s="63">
        <f t="shared" si="3"/>
        <v>0</v>
      </c>
      <c r="N45" s="17" t="s">
        <v>16</v>
      </c>
      <c r="O45" s="18"/>
      <c r="P45" s="23">
        <f t="shared" si="4"/>
        <v>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+สรุป!E46</f>
        <v>0</v>
      </c>
      <c r="F46" s="69">
        <v>5</v>
      </c>
      <c r="G46" s="46">
        <f t="shared" si="0"/>
        <v>5</v>
      </c>
      <c r="H46" s="76">
        <v>0</v>
      </c>
      <c r="I46" s="74">
        <v>0</v>
      </c>
      <c r="J46" s="46">
        <f t="shared" si="2"/>
        <v>3</v>
      </c>
      <c r="K46" s="70">
        <v>2</v>
      </c>
      <c r="L46" s="15">
        <v>25</v>
      </c>
      <c r="M46" s="63">
        <f t="shared" si="3"/>
        <v>50</v>
      </c>
      <c r="N46" s="17" t="s">
        <v>16</v>
      </c>
      <c r="O46" s="18"/>
      <c r="P46" s="161">
        <f t="shared" si="4"/>
        <v>50</v>
      </c>
      <c r="Q46" s="88"/>
      <c r="R46" s="43">
        <f t="shared" si="5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+สรุป!E47</f>
        <v>0</v>
      </c>
      <c r="F47" s="69">
        <v>20</v>
      </c>
      <c r="G47" s="46">
        <f t="shared" si="0"/>
        <v>20</v>
      </c>
      <c r="H47" s="76">
        <v>0</v>
      </c>
      <c r="I47" s="74">
        <v>0</v>
      </c>
      <c r="J47" s="46">
        <f t="shared" si="2"/>
        <v>12</v>
      </c>
      <c r="K47" s="70">
        <v>8</v>
      </c>
      <c r="L47" s="15">
        <v>35</v>
      </c>
      <c r="M47" s="63">
        <f t="shared" si="3"/>
        <v>280</v>
      </c>
      <c r="N47" s="17" t="s">
        <v>16</v>
      </c>
      <c r="O47" s="18"/>
      <c r="P47" s="161">
        <f t="shared" si="4"/>
        <v>280</v>
      </c>
      <c r="Q47" s="88"/>
      <c r="R47" s="43">
        <f t="shared" si="5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+สรุป!E48</f>
        <v>0</v>
      </c>
      <c r="F48" s="69">
        <v>465</v>
      </c>
      <c r="G48" s="46">
        <f t="shared" si="0"/>
        <v>465</v>
      </c>
      <c r="H48" s="76">
        <v>0</v>
      </c>
      <c r="I48" s="74">
        <v>2</v>
      </c>
      <c r="J48" s="46">
        <f t="shared" si="2"/>
        <v>426</v>
      </c>
      <c r="K48" s="70">
        <v>37</v>
      </c>
      <c r="L48" s="15">
        <v>19</v>
      </c>
      <c r="M48" s="63">
        <f>+L48*K48</f>
        <v>703</v>
      </c>
      <c r="N48" s="17" t="s">
        <v>1438</v>
      </c>
      <c r="O48" s="18"/>
      <c r="P48" s="161">
        <f>SUM(M48-O48)</f>
        <v>703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+สรุป!E49</f>
        <v>0</v>
      </c>
      <c r="F49" s="69">
        <v>200</v>
      </c>
      <c r="G49" s="46">
        <f t="shared" si="0"/>
        <v>200</v>
      </c>
      <c r="H49" s="76">
        <v>0</v>
      </c>
      <c r="I49" s="74">
        <v>1</v>
      </c>
      <c r="J49" s="46">
        <f t="shared" si="2"/>
        <v>197</v>
      </c>
      <c r="K49" s="70">
        <v>2</v>
      </c>
      <c r="L49" s="15">
        <v>25</v>
      </c>
      <c r="M49" s="63">
        <f>+L49*K49</f>
        <v>50</v>
      </c>
      <c r="N49" s="17" t="s">
        <v>1437</v>
      </c>
      <c r="O49" s="18"/>
      <c r="P49" s="161">
        <f>SUM(M49-O49)</f>
        <v>50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+สรุป!E50</f>
        <v>0</v>
      </c>
      <c r="F50" s="69">
        <v>50</v>
      </c>
      <c r="G50" s="46">
        <f t="shared" si="0"/>
        <v>50</v>
      </c>
      <c r="H50" s="76">
        <v>0</v>
      </c>
      <c r="I50" s="74">
        <v>1</v>
      </c>
      <c r="J50" s="46">
        <f t="shared" si="2"/>
        <v>45</v>
      </c>
      <c r="K50" s="70">
        <v>4</v>
      </c>
      <c r="L50" s="15">
        <v>25</v>
      </c>
      <c r="M50" s="63">
        <f t="shared" si="3"/>
        <v>100</v>
      </c>
      <c r="N50" s="17" t="s">
        <v>1437</v>
      </c>
      <c r="O50" s="18"/>
      <c r="P50" s="161">
        <f t="shared" si="4"/>
        <v>100</v>
      </c>
      <c r="Q50" s="88"/>
      <c r="R50" s="43">
        <f t="shared" si="5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+สรุป!E51</f>
        <v>0</v>
      </c>
      <c r="F51" s="69">
        <v>50</v>
      </c>
      <c r="G51" s="46">
        <f t="shared" si="0"/>
        <v>50</v>
      </c>
      <c r="H51" s="76">
        <v>0</v>
      </c>
      <c r="I51" s="74">
        <v>1</v>
      </c>
      <c r="J51" s="46">
        <f t="shared" si="2"/>
        <v>48</v>
      </c>
      <c r="K51" s="70">
        <v>1</v>
      </c>
      <c r="L51" s="20">
        <v>25</v>
      </c>
      <c r="M51" s="63">
        <f>+L51*K51</f>
        <v>25</v>
      </c>
      <c r="N51" s="17" t="s">
        <v>1437</v>
      </c>
      <c r="O51" s="18"/>
      <c r="P51" s="161">
        <f>SUM(M51-O51)</f>
        <v>25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+สรุป!E52</f>
        <v>0</v>
      </c>
      <c r="F52" s="69">
        <v>50</v>
      </c>
      <c r="G52" s="46">
        <f t="shared" si="0"/>
        <v>50</v>
      </c>
      <c r="H52" s="76">
        <v>0</v>
      </c>
      <c r="I52" s="74">
        <v>0</v>
      </c>
      <c r="J52" s="46">
        <f t="shared" si="2"/>
        <v>48</v>
      </c>
      <c r="K52" s="70">
        <v>2</v>
      </c>
      <c r="L52" s="20">
        <v>0</v>
      </c>
      <c r="M52" s="63">
        <f>+L52*K52</f>
        <v>0</v>
      </c>
      <c r="N52" s="17" t="s">
        <v>1438</v>
      </c>
      <c r="O52" s="18"/>
      <c r="P52" s="23">
        <f>SUM(M52-O52)</f>
        <v>0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+สรุป!E53</f>
        <v>0</v>
      </c>
      <c r="F53" s="69">
        <v>50</v>
      </c>
      <c r="G53" s="46">
        <f t="shared" si="0"/>
        <v>50</v>
      </c>
      <c r="H53" s="76">
        <v>0</v>
      </c>
      <c r="I53" s="74"/>
      <c r="J53" s="46">
        <f t="shared" si="2"/>
        <v>47</v>
      </c>
      <c r="K53" s="70">
        <v>3</v>
      </c>
      <c r="L53" s="15">
        <v>35</v>
      </c>
      <c r="M53" s="63">
        <f>+L53*K53</f>
        <v>105</v>
      </c>
      <c r="N53" s="17" t="s">
        <v>1439</v>
      </c>
      <c r="O53" s="18">
        <v>70</v>
      </c>
      <c r="P53" s="161">
        <f>SUM(M53-O53)</f>
        <v>35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+สรุป!E54</f>
        <v>0</v>
      </c>
      <c r="F54" s="69">
        <v>20</v>
      </c>
      <c r="G54" s="46">
        <f t="shared" si="0"/>
        <v>20</v>
      </c>
      <c r="H54" s="76">
        <v>0</v>
      </c>
      <c r="I54" s="74">
        <v>0</v>
      </c>
      <c r="J54" s="46">
        <f t="shared" si="2"/>
        <v>20</v>
      </c>
      <c r="K54" s="70"/>
      <c r="L54" s="15">
        <v>35</v>
      </c>
      <c r="M54" s="63">
        <f t="shared" si="3"/>
        <v>0</v>
      </c>
      <c r="N54" s="17" t="s">
        <v>16</v>
      </c>
      <c r="O54" s="18"/>
      <c r="P54" s="23">
        <f t="shared" si="4"/>
        <v>0</v>
      </c>
      <c r="Q54" s="88"/>
      <c r="R54" s="43">
        <f t="shared" si="5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+สรุป!E55</f>
        <v>0</v>
      </c>
      <c r="F55" s="69">
        <v>17</v>
      </c>
      <c r="G55" s="46">
        <f t="shared" si="0"/>
        <v>17</v>
      </c>
      <c r="H55" s="76">
        <v>0</v>
      </c>
      <c r="I55" s="74">
        <v>0</v>
      </c>
      <c r="J55" s="46">
        <f t="shared" si="2"/>
        <v>16</v>
      </c>
      <c r="K55" s="70">
        <v>1</v>
      </c>
      <c r="L55" s="15">
        <v>0</v>
      </c>
      <c r="M55" s="63">
        <f>+L55*K55</f>
        <v>0</v>
      </c>
      <c r="N55" s="17" t="s">
        <v>1437</v>
      </c>
      <c r="O55" s="18"/>
      <c r="P55" s="23">
        <f>SUM(M55-O55)</f>
        <v>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+สรุป!E56</f>
        <v>0</v>
      </c>
      <c r="F56" s="69">
        <v>19</v>
      </c>
      <c r="G56" s="46">
        <f t="shared" si="0"/>
        <v>19</v>
      </c>
      <c r="H56" s="76">
        <v>0</v>
      </c>
      <c r="I56" s="74">
        <v>0</v>
      </c>
      <c r="J56" s="46">
        <f t="shared" si="2"/>
        <v>18</v>
      </c>
      <c r="K56" s="70">
        <v>1</v>
      </c>
      <c r="L56" s="15">
        <v>0</v>
      </c>
      <c r="M56" s="63">
        <f>+L56*K56</f>
        <v>0</v>
      </c>
      <c r="N56" s="17" t="s">
        <v>1437</v>
      </c>
      <c r="O56" s="18"/>
      <c r="P56" s="23">
        <f>SUM(M56-O56)</f>
        <v>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+สรุป!E57</f>
        <v>0</v>
      </c>
      <c r="F57" s="69">
        <v>20</v>
      </c>
      <c r="G57" s="46">
        <f t="shared" si="0"/>
        <v>20</v>
      </c>
      <c r="H57" s="76">
        <v>0</v>
      </c>
      <c r="I57" s="74">
        <v>0</v>
      </c>
      <c r="J57" s="46">
        <f t="shared" si="2"/>
        <v>19</v>
      </c>
      <c r="K57" s="70">
        <v>1</v>
      </c>
      <c r="L57" s="20">
        <v>0</v>
      </c>
      <c r="M57" s="63">
        <f t="shared" si="3"/>
        <v>0</v>
      </c>
      <c r="N57" s="17" t="s">
        <v>1437</v>
      </c>
      <c r="O57" s="18"/>
      <c r="P57" s="23">
        <f t="shared" si="4"/>
        <v>0</v>
      </c>
      <c r="Q57" s="88"/>
      <c r="R57" s="43">
        <f t="shared" si="5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+สรุป!E58</f>
        <v>0</v>
      </c>
      <c r="F58" s="69">
        <v>19</v>
      </c>
      <c r="G58" s="46">
        <f t="shared" si="0"/>
        <v>19</v>
      </c>
      <c r="H58" s="76">
        <v>0</v>
      </c>
      <c r="I58" s="74">
        <v>0</v>
      </c>
      <c r="J58" s="46">
        <f t="shared" si="2"/>
        <v>19</v>
      </c>
      <c r="K58" s="70"/>
      <c r="L58" s="20">
        <v>120</v>
      </c>
      <c r="M58" s="63">
        <f t="shared" si="3"/>
        <v>0</v>
      </c>
      <c r="N58" s="17" t="s">
        <v>16</v>
      </c>
      <c r="O58" s="18"/>
      <c r="P58" s="23">
        <f t="shared" si="4"/>
        <v>0</v>
      </c>
      <c r="Q58" s="88"/>
      <c r="R58" s="43">
        <f t="shared" si="5"/>
        <v>0</v>
      </c>
    </row>
    <row r="59" spans="1:18" ht="25.5" x14ac:dyDescent="0.55000000000000004">
      <c r="A59" s="10"/>
      <c r="B59" s="10"/>
      <c r="C59" s="19"/>
      <c r="D59" s="10"/>
      <c r="E59" s="62">
        <f>+สรุป!E59</f>
        <v>0</v>
      </c>
      <c r="F59" s="69"/>
      <c r="G59" s="46">
        <f t="shared" si="0"/>
        <v>0</v>
      </c>
      <c r="H59" s="76">
        <v>0</v>
      </c>
      <c r="I59" s="74">
        <v>0</v>
      </c>
      <c r="J59" s="46">
        <f t="shared" si="2"/>
        <v>0</v>
      </c>
      <c r="K59" s="70"/>
      <c r="L59" s="20"/>
      <c r="M59" s="63"/>
      <c r="N59" s="17"/>
      <c r="O59" s="18"/>
      <c r="P59" s="23"/>
      <c r="Q59" s="88"/>
      <c r="R59" s="43">
        <f t="shared" si="5"/>
        <v>0</v>
      </c>
    </row>
    <row r="60" spans="1:18" ht="25.5" x14ac:dyDescent="0.55000000000000004">
      <c r="A60" s="10"/>
      <c r="B60" s="10"/>
      <c r="C60" s="19"/>
      <c r="D60" s="10"/>
      <c r="E60" s="62"/>
      <c r="F60" s="69"/>
      <c r="G60" s="46">
        <f t="shared" si="0"/>
        <v>0</v>
      </c>
      <c r="H60" s="76">
        <v>0</v>
      </c>
      <c r="I60" s="74">
        <v>0</v>
      </c>
      <c r="J60" s="46">
        <f t="shared" si="2"/>
        <v>0</v>
      </c>
      <c r="K60" s="70"/>
      <c r="L60" s="20"/>
      <c r="M60" s="63"/>
      <c r="N60" s="17"/>
      <c r="O60" s="18"/>
      <c r="P60" s="23"/>
      <c r="Q60" s="88"/>
      <c r="R60" s="43">
        <f t="shared" si="5"/>
        <v>0</v>
      </c>
    </row>
    <row r="61" spans="1:18" ht="25.15" customHeight="1" x14ac:dyDescent="0.55000000000000004">
      <c r="A61" s="10"/>
      <c r="B61" s="10"/>
      <c r="C61" s="19"/>
      <c r="D61" s="10"/>
      <c r="E61" s="62"/>
      <c r="F61" s="69"/>
      <c r="G61" s="46">
        <f t="shared" si="0"/>
        <v>0</v>
      </c>
      <c r="H61" s="76">
        <v>0</v>
      </c>
      <c r="I61" s="74">
        <v>0</v>
      </c>
      <c r="J61" s="46">
        <f t="shared" si="2"/>
        <v>0</v>
      </c>
      <c r="K61" s="70"/>
      <c r="L61" s="20"/>
      <c r="M61" s="63"/>
      <c r="N61" s="17"/>
      <c r="O61" s="18"/>
      <c r="P61" s="23"/>
      <c r="Q61" s="88"/>
      <c r="R61" s="43">
        <f t="shared" si="5"/>
        <v>0</v>
      </c>
    </row>
    <row r="62" spans="1:18" ht="25.5" x14ac:dyDescent="0.55000000000000004">
      <c r="A62" s="10"/>
      <c r="B62" s="10"/>
      <c r="C62" s="19"/>
      <c r="D62" s="10"/>
      <c r="E62" s="62"/>
      <c r="F62" s="69"/>
      <c r="G62" s="46"/>
      <c r="H62" s="76">
        <v>0</v>
      </c>
      <c r="I62" s="74">
        <v>0</v>
      </c>
      <c r="J62" s="46">
        <f t="shared" si="2"/>
        <v>0</v>
      </c>
      <c r="K62" s="70"/>
      <c r="L62" s="20"/>
      <c r="M62" s="63"/>
      <c r="N62" s="17"/>
      <c r="O62" s="18"/>
      <c r="P62" s="23"/>
      <c r="Q62" s="88"/>
      <c r="R62" s="43">
        <f t="shared" si="5"/>
        <v>0</v>
      </c>
    </row>
    <row r="63" spans="1:18" ht="25.5" x14ac:dyDescent="0.55000000000000004">
      <c r="A63" s="10"/>
      <c r="B63" s="10"/>
      <c r="C63" s="19"/>
      <c r="D63" s="10"/>
      <c r="E63" s="62"/>
      <c r="F63" s="69"/>
      <c r="G63" s="46"/>
      <c r="H63" s="76">
        <v>0</v>
      </c>
      <c r="I63" s="74">
        <v>0</v>
      </c>
      <c r="J63" s="46">
        <f t="shared" si="2"/>
        <v>0</v>
      </c>
      <c r="K63" s="70"/>
      <c r="L63" s="20"/>
      <c r="M63" s="63"/>
      <c r="N63" s="17"/>
      <c r="O63" s="18"/>
      <c r="P63" s="23"/>
      <c r="Q63" s="88"/>
      <c r="R63" s="43">
        <f t="shared" si="5"/>
        <v>0</v>
      </c>
    </row>
    <row r="64" spans="1:18" ht="25.5" x14ac:dyDescent="0.55000000000000004">
      <c r="A64" s="10"/>
      <c r="B64" s="10"/>
      <c r="C64" s="19"/>
      <c r="D64" s="10"/>
      <c r="E64" s="62"/>
      <c r="F64" s="69"/>
      <c r="G64" s="46"/>
      <c r="H64" s="76">
        <v>0</v>
      </c>
      <c r="I64" s="74"/>
      <c r="J64" s="46">
        <f t="shared" si="2"/>
        <v>0</v>
      </c>
      <c r="K64" s="70"/>
      <c r="L64" s="20"/>
      <c r="M64" s="63"/>
      <c r="N64" s="17"/>
      <c r="O64" s="18"/>
      <c r="P64" s="23"/>
      <c r="Q64" s="88"/>
      <c r="R64" s="43">
        <f t="shared" si="5"/>
        <v>0</v>
      </c>
    </row>
    <row r="65" spans="1:19" ht="25.5" x14ac:dyDescent="0.55000000000000004">
      <c r="A65" s="10"/>
      <c r="B65" s="10"/>
      <c r="C65" s="19"/>
      <c r="D65" s="10"/>
      <c r="E65" s="62"/>
      <c r="F65" s="69"/>
      <c r="G65" s="46"/>
      <c r="H65" s="76"/>
      <c r="I65" s="74"/>
      <c r="J65" s="46"/>
      <c r="K65" s="70"/>
      <c r="L65" s="20"/>
      <c r="M65" s="63"/>
      <c r="N65" s="17"/>
      <c r="O65" s="18"/>
      <c r="P65" s="23"/>
      <c r="Q65" s="88"/>
      <c r="R65" s="43">
        <f t="shared" si="5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3773.9300000000003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12138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/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4434</v>
      </c>
      <c r="O70" s="2">
        <v>4434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/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70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7634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7539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-95</v>
      </c>
    </row>
    <row r="77" spans="1:19" ht="25.5" x14ac:dyDescent="0.55000000000000004">
      <c r="J77" s="2"/>
      <c r="L77" s="148" t="s">
        <v>211</v>
      </c>
      <c r="M77" s="149"/>
      <c r="N77" s="33">
        <f>+N75-N74</f>
        <v>-95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DD35-F92E-40F8-AC78-0CEF33B08E36}">
  <sheetPr filterMode="1">
    <tabColor rgb="FFFFCCFF"/>
    <pageSetUpPr fitToPage="1"/>
  </sheetPr>
  <dimension ref="A1:S152"/>
  <sheetViews>
    <sheetView zoomScale="85" zoomScaleNormal="85" workbookViewId="0">
      <pane xSplit="10" ySplit="4" topLeftCell="K62" activePane="bottomRight" state="frozen"/>
      <selection activeCell="A66" sqref="A66:XFD74"/>
      <selection pane="topRight" activeCell="A66" sqref="A66:XFD74"/>
      <selection pane="bottomLeft" activeCell="A66" sqref="A66:XFD74"/>
      <selection pane="bottomRight" activeCell="Q79" sqref="Q79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+'29'!J5</f>
        <v>32</v>
      </c>
      <c r="F5" s="69"/>
      <c r="G5" s="46">
        <f t="shared" ref="G5:G58" si="0">E5+F5</f>
        <v>32</v>
      </c>
      <c r="H5" s="76">
        <v>0</v>
      </c>
      <c r="I5" s="74">
        <v>0</v>
      </c>
      <c r="J5" s="46">
        <f t="shared" ref="J5:J58" si="1">+G5-H5-K5-I5</f>
        <v>11</v>
      </c>
      <c r="K5" s="70">
        <v>21</v>
      </c>
      <c r="L5" s="15">
        <v>50</v>
      </c>
      <c r="M5" s="63">
        <f>+L5*K5</f>
        <v>1050</v>
      </c>
      <c r="N5" s="17" t="s">
        <v>16</v>
      </c>
      <c r="O5" s="18"/>
      <c r="P5" s="161">
        <f>SUM(M5-O5)</f>
        <v>1050</v>
      </c>
      <c r="Q5" s="88">
        <v>18.97</v>
      </c>
      <c r="R5" s="43">
        <f>+K5*Q5</f>
        <v>398.37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+'29'!J6</f>
        <v>32</v>
      </c>
      <c r="F6" s="69"/>
      <c r="G6" s="46">
        <f t="shared" si="0"/>
        <v>32</v>
      </c>
      <c r="H6" s="76">
        <v>0</v>
      </c>
      <c r="I6" s="74">
        <v>0</v>
      </c>
      <c r="J6" s="46">
        <f t="shared" si="1"/>
        <v>6</v>
      </c>
      <c r="K6" s="70">
        <v>26</v>
      </c>
      <c r="L6" s="15">
        <v>100</v>
      </c>
      <c r="M6" s="63">
        <f t="shared" ref="M6:M58" si="2">+L6*K6</f>
        <v>2600</v>
      </c>
      <c r="N6" s="17" t="s">
        <v>16</v>
      </c>
      <c r="O6" s="18"/>
      <c r="P6" s="161">
        <f t="shared" ref="P6:P58" si="3">SUM(M6-O6)</f>
        <v>2600</v>
      </c>
      <c r="Q6" s="88">
        <v>36.43</v>
      </c>
      <c r="R6" s="43">
        <f t="shared" ref="R6:R65" si="4">+K6*Q6</f>
        <v>947.18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+'29'!J7</f>
        <v>43</v>
      </c>
      <c r="F7" s="69"/>
      <c r="G7" s="46">
        <f t="shared" si="0"/>
        <v>43</v>
      </c>
      <c r="H7" s="76">
        <v>0</v>
      </c>
      <c r="I7" s="74">
        <v>0</v>
      </c>
      <c r="J7" s="46">
        <f t="shared" si="1"/>
        <v>31</v>
      </c>
      <c r="K7" s="70">
        <v>12</v>
      </c>
      <c r="L7" s="15">
        <v>50</v>
      </c>
      <c r="M7" s="63">
        <f t="shared" si="2"/>
        <v>600</v>
      </c>
      <c r="N7" s="17" t="s">
        <v>16</v>
      </c>
      <c r="O7" s="18"/>
      <c r="P7" s="161">
        <f t="shared" si="3"/>
        <v>600</v>
      </c>
      <c r="Q7" s="88">
        <v>19.36</v>
      </c>
      <c r="R7" s="43">
        <f t="shared" si="4"/>
        <v>232.32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+'29'!J8</f>
        <v>5</v>
      </c>
      <c r="F8" s="69"/>
      <c r="G8" s="46">
        <f t="shared" si="0"/>
        <v>5</v>
      </c>
      <c r="H8" s="76">
        <v>0</v>
      </c>
      <c r="I8" s="74">
        <v>0</v>
      </c>
      <c r="J8" s="46">
        <f t="shared" si="1"/>
        <v>4</v>
      </c>
      <c r="K8" s="70">
        <v>1</v>
      </c>
      <c r="L8" s="15">
        <v>65</v>
      </c>
      <c r="M8" s="63">
        <f t="shared" si="2"/>
        <v>65</v>
      </c>
      <c r="N8" s="17" t="s">
        <v>16</v>
      </c>
      <c r="O8" s="18"/>
      <c r="P8" s="161">
        <f t="shared" si="3"/>
        <v>65</v>
      </c>
      <c r="Q8" s="88">
        <v>22.25</v>
      </c>
      <c r="R8" s="43">
        <f t="shared" si="4"/>
        <v>22.25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+'29'!J9</f>
        <v>4</v>
      </c>
      <c r="F9" s="69"/>
      <c r="G9" s="46">
        <f t="shared" si="0"/>
        <v>4</v>
      </c>
      <c r="H9" s="76">
        <v>0</v>
      </c>
      <c r="I9" s="74">
        <v>0</v>
      </c>
      <c r="J9" s="46">
        <f t="shared" si="1"/>
        <v>3</v>
      </c>
      <c r="K9" s="70">
        <v>1</v>
      </c>
      <c r="L9" s="15">
        <v>85</v>
      </c>
      <c r="M9" s="63">
        <f t="shared" si="2"/>
        <v>85</v>
      </c>
      <c r="N9" s="17" t="s">
        <v>16</v>
      </c>
      <c r="O9" s="18"/>
      <c r="P9" s="161">
        <f t="shared" si="3"/>
        <v>85</v>
      </c>
      <c r="Q9" s="88">
        <v>22.65</v>
      </c>
      <c r="R9" s="43">
        <f t="shared" si="4"/>
        <v>22.65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+'29'!J10</f>
        <v>34</v>
      </c>
      <c r="F10" s="69"/>
      <c r="G10" s="46">
        <f t="shared" si="0"/>
        <v>34</v>
      </c>
      <c r="H10" s="76">
        <v>0</v>
      </c>
      <c r="I10" s="74">
        <v>0</v>
      </c>
      <c r="J10" s="46">
        <f t="shared" si="1"/>
        <v>14</v>
      </c>
      <c r="K10" s="70">
        <v>20</v>
      </c>
      <c r="L10" s="15">
        <v>100</v>
      </c>
      <c r="M10" s="63">
        <f t="shared" si="2"/>
        <v>2000</v>
      </c>
      <c r="N10" s="17" t="s">
        <v>16</v>
      </c>
      <c r="O10" s="18"/>
      <c r="P10" s="161">
        <f t="shared" si="3"/>
        <v>2000</v>
      </c>
      <c r="Q10" s="88">
        <v>27.98</v>
      </c>
      <c r="R10" s="43">
        <f t="shared" si="4"/>
        <v>559.6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+'29'!J11</f>
        <v>36</v>
      </c>
      <c r="F11" s="69"/>
      <c r="G11" s="46">
        <f t="shared" si="0"/>
        <v>36</v>
      </c>
      <c r="H11" s="76">
        <v>0</v>
      </c>
      <c r="I11" s="74">
        <v>0</v>
      </c>
      <c r="J11" s="46">
        <f t="shared" si="1"/>
        <v>19</v>
      </c>
      <c r="K11" s="70">
        <v>17</v>
      </c>
      <c r="L11" s="15">
        <v>100</v>
      </c>
      <c r="M11" s="63">
        <f t="shared" si="2"/>
        <v>1700</v>
      </c>
      <c r="N11" s="17" t="s">
        <v>16</v>
      </c>
      <c r="O11" s="18"/>
      <c r="P11" s="161">
        <f t="shared" si="3"/>
        <v>1700</v>
      </c>
      <c r="Q11" s="88">
        <v>34.64</v>
      </c>
      <c r="R11" s="43">
        <f t="shared" si="4"/>
        <v>588.88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+'29'!J12</f>
        <v>2</v>
      </c>
      <c r="F12" s="69"/>
      <c r="G12" s="46">
        <f t="shared" si="0"/>
        <v>2</v>
      </c>
      <c r="H12" s="76">
        <v>0</v>
      </c>
      <c r="I12" s="74">
        <v>0</v>
      </c>
      <c r="J12" s="46">
        <f t="shared" si="1"/>
        <v>1</v>
      </c>
      <c r="K12" s="70">
        <v>1</v>
      </c>
      <c r="L12" s="20">
        <v>130</v>
      </c>
      <c r="M12" s="63">
        <f t="shared" si="2"/>
        <v>130</v>
      </c>
      <c r="N12" s="17" t="s">
        <v>16</v>
      </c>
      <c r="O12" s="18"/>
      <c r="P12" s="161">
        <f t="shared" si="3"/>
        <v>130</v>
      </c>
      <c r="Q12" s="88">
        <v>46.37</v>
      </c>
      <c r="R12" s="43">
        <f t="shared" si="4"/>
        <v>46.37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+'29'!J13</f>
        <v>2</v>
      </c>
      <c r="F13" s="69"/>
      <c r="G13" s="46">
        <f t="shared" si="0"/>
        <v>2</v>
      </c>
      <c r="H13" s="76">
        <v>0</v>
      </c>
      <c r="I13" s="74">
        <v>0</v>
      </c>
      <c r="J13" s="46">
        <f t="shared" si="1"/>
        <v>0</v>
      </c>
      <c r="K13" s="70">
        <v>2</v>
      </c>
      <c r="L13" s="15">
        <v>130</v>
      </c>
      <c r="M13" s="63">
        <f t="shared" si="2"/>
        <v>260</v>
      </c>
      <c r="N13" s="17" t="s">
        <v>16</v>
      </c>
      <c r="O13" s="18"/>
      <c r="P13" s="161">
        <f t="shared" si="3"/>
        <v>260</v>
      </c>
      <c r="Q13" s="88">
        <v>38.9</v>
      </c>
      <c r="R13" s="43">
        <f t="shared" si="4"/>
        <v>77.8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+'29'!J14</f>
        <v>12</v>
      </c>
      <c r="F14" s="69"/>
      <c r="G14" s="46">
        <f t="shared" si="0"/>
        <v>12</v>
      </c>
      <c r="H14" s="76">
        <v>0</v>
      </c>
      <c r="I14" s="74">
        <v>0</v>
      </c>
      <c r="J14" s="46">
        <f t="shared" si="1"/>
        <v>2</v>
      </c>
      <c r="K14" s="70">
        <v>10</v>
      </c>
      <c r="L14" s="15">
        <v>50</v>
      </c>
      <c r="M14" s="63">
        <f t="shared" si="2"/>
        <v>500</v>
      </c>
      <c r="N14" s="17" t="s">
        <v>16</v>
      </c>
      <c r="O14" s="18"/>
      <c r="P14" s="161">
        <f t="shared" si="3"/>
        <v>500</v>
      </c>
      <c r="Q14" s="88">
        <v>27.84</v>
      </c>
      <c r="R14" s="43">
        <f t="shared" si="4"/>
        <v>278.39999999999998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+'29'!J15</f>
        <v>14</v>
      </c>
      <c r="F15" s="69"/>
      <c r="G15" s="46">
        <f t="shared" si="0"/>
        <v>14</v>
      </c>
      <c r="H15" s="76">
        <v>0</v>
      </c>
      <c r="I15" s="74">
        <v>0</v>
      </c>
      <c r="J15" s="46">
        <f t="shared" si="1"/>
        <v>11</v>
      </c>
      <c r="K15" s="70">
        <v>3</v>
      </c>
      <c r="L15" s="15">
        <v>50</v>
      </c>
      <c r="M15" s="63">
        <f t="shared" si="2"/>
        <v>150</v>
      </c>
      <c r="N15" s="17" t="s">
        <v>16</v>
      </c>
      <c r="O15" s="18"/>
      <c r="P15" s="161">
        <f t="shared" si="3"/>
        <v>150</v>
      </c>
      <c r="Q15" s="88">
        <v>27.12</v>
      </c>
      <c r="R15" s="43">
        <f t="shared" si="4"/>
        <v>81.36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+'29'!J16</f>
        <v>19</v>
      </c>
      <c r="F16" s="69"/>
      <c r="G16" s="46">
        <f t="shared" si="0"/>
        <v>19</v>
      </c>
      <c r="H16" s="76">
        <v>0</v>
      </c>
      <c r="I16" s="74">
        <v>0</v>
      </c>
      <c r="J16" s="46">
        <f t="shared" si="1"/>
        <v>14</v>
      </c>
      <c r="K16" s="70">
        <v>5</v>
      </c>
      <c r="L16" s="20">
        <v>50</v>
      </c>
      <c r="M16" s="63">
        <f t="shared" si="2"/>
        <v>250</v>
      </c>
      <c r="N16" s="17" t="s">
        <v>16</v>
      </c>
      <c r="O16" s="18"/>
      <c r="P16" s="161">
        <f t="shared" si="3"/>
        <v>250</v>
      </c>
      <c r="Q16" s="88">
        <v>15.42</v>
      </c>
      <c r="R16" s="43">
        <f t="shared" si="4"/>
        <v>77.099999999999994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+'29'!J17</f>
        <v>12</v>
      </c>
      <c r="F17" s="69"/>
      <c r="G17" s="46">
        <f t="shared" si="0"/>
        <v>12</v>
      </c>
      <c r="H17" s="76">
        <v>0</v>
      </c>
      <c r="I17" s="74">
        <v>0</v>
      </c>
      <c r="J17" s="46">
        <f t="shared" si="1"/>
        <v>11</v>
      </c>
      <c r="K17" s="70">
        <v>1</v>
      </c>
      <c r="L17" s="15">
        <v>50</v>
      </c>
      <c r="M17" s="63">
        <f t="shared" si="2"/>
        <v>50</v>
      </c>
      <c r="N17" s="17" t="s">
        <v>16</v>
      </c>
      <c r="O17" s="18"/>
      <c r="P17" s="161">
        <f t="shared" si="3"/>
        <v>50</v>
      </c>
      <c r="Q17" s="88">
        <v>17.78</v>
      </c>
      <c r="R17" s="43">
        <f t="shared" si="4"/>
        <v>17.78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+'29'!J18</f>
        <v>14</v>
      </c>
      <c r="F18" s="69"/>
      <c r="G18" s="46">
        <f t="shared" si="0"/>
        <v>14</v>
      </c>
      <c r="H18" s="76">
        <v>0</v>
      </c>
      <c r="I18" s="74">
        <v>0</v>
      </c>
      <c r="J18" s="46">
        <f t="shared" si="1"/>
        <v>7</v>
      </c>
      <c r="K18" s="70">
        <v>7</v>
      </c>
      <c r="L18" s="20">
        <v>50</v>
      </c>
      <c r="M18" s="63">
        <f t="shared" si="2"/>
        <v>350</v>
      </c>
      <c r="N18" s="17" t="s">
        <v>16</v>
      </c>
      <c r="O18" s="18"/>
      <c r="P18" s="161">
        <f t="shared" si="3"/>
        <v>350</v>
      </c>
      <c r="Q18" s="88">
        <v>17.989999999999998</v>
      </c>
      <c r="R18" s="43">
        <f t="shared" si="4"/>
        <v>125.92999999999999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+'29'!J19</f>
        <v>14</v>
      </c>
      <c r="F19" s="69"/>
      <c r="G19" s="46">
        <f t="shared" si="0"/>
        <v>14</v>
      </c>
      <c r="H19" s="76">
        <v>0</v>
      </c>
      <c r="I19" s="74">
        <v>0</v>
      </c>
      <c r="J19" s="46">
        <f t="shared" si="1"/>
        <v>9</v>
      </c>
      <c r="K19" s="70">
        <v>5</v>
      </c>
      <c r="L19" s="15">
        <v>50</v>
      </c>
      <c r="M19" s="63">
        <f t="shared" si="2"/>
        <v>250</v>
      </c>
      <c r="N19" s="17" t="s">
        <v>16</v>
      </c>
      <c r="O19" s="18"/>
      <c r="P19" s="161">
        <f t="shared" si="3"/>
        <v>250</v>
      </c>
      <c r="Q19" s="88">
        <v>20.059999999999999</v>
      </c>
      <c r="R19" s="43">
        <f t="shared" si="4"/>
        <v>100.3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+'29'!J20</f>
        <v>15</v>
      </c>
      <c r="F20" s="69"/>
      <c r="G20" s="46">
        <f t="shared" si="0"/>
        <v>15</v>
      </c>
      <c r="H20" s="76">
        <v>0</v>
      </c>
      <c r="I20" s="74">
        <v>0</v>
      </c>
      <c r="J20" s="46">
        <f t="shared" si="1"/>
        <v>11</v>
      </c>
      <c r="K20" s="70">
        <v>4</v>
      </c>
      <c r="L20" s="15">
        <v>50</v>
      </c>
      <c r="M20" s="63">
        <f t="shared" si="2"/>
        <v>200</v>
      </c>
      <c r="N20" s="17" t="s">
        <v>16</v>
      </c>
      <c r="O20" s="18"/>
      <c r="P20" s="161">
        <f t="shared" si="3"/>
        <v>200</v>
      </c>
      <c r="Q20" s="88">
        <v>20.32</v>
      </c>
      <c r="R20" s="43">
        <f t="shared" si="4"/>
        <v>81.28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+'29'!J21</f>
        <v>11</v>
      </c>
      <c r="F21" s="69"/>
      <c r="G21" s="46">
        <f t="shared" si="0"/>
        <v>11</v>
      </c>
      <c r="H21" s="76">
        <v>0</v>
      </c>
      <c r="I21" s="74">
        <v>0</v>
      </c>
      <c r="J21" s="46">
        <f t="shared" si="1"/>
        <v>0</v>
      </c>
      <c r="K21" s="70">
        <v>11</v>
      </c>
      <c r="L21" s="15">
        <v>50</v>
      </c>
      <c r="M21" s="63">
        <f t="shared" si="2"/>
        <v>550</v>
      </c>
      <c r="N21" s="17" t="s">
        <v>16</v>
      </c>
      <c r="O21" s="18"/>
      <c r="P21" s="161">
        <f t="shared" si="3"/>
        <v>550</v>
      </c>
      <c r="Q21" s="88">
        <v>16.37</v>
      </c>
      <c r="R21" s="43">
        <f t="shared" si="4"/>
        <v>180.07000000000002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+'29'!J22</f>
        <v>9</v>
      </c>
      <c r="F22" s="69"/>
      <c r="G22" s="46">
        <f t="shared" si="0"/>
        <v>9</v>
      </c>
      <c r="H22" s="76">
        <v>0</v>
      </c>
      <c r="I22" s="74">
        <v>0</v>
      </c>
      <c r="J22" s="46">
        <f t="shared" si="1"/>
        <v>9</v>
      </c>
      <c r="K22" s="70"/>
      <c r="L22" s="15">
        <v>120</v>
      </c>
      <c r="M22" s="63">
        <f t="shared" si="2"/>
        <v>0</v>
      </c>
      <c r="N22" s="17" t="s">
        <v>16</v>
      </c>
      <c r="O22" s="18"/>
      <c r="P22" s="23">
        <f t="shared" si="3"/>
        <v>0</v>
      </c>
      <c r="Q22" s="88">
        <v>25.99</v>
      </c>
      <c r="R22" s="43">
        <f t="shared" si="4"/>
        <v>0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+'29'!J23</f>
        <v>10</v>
      </c>
      <c r="F23" s="69"/>
      <c r="G23" s="46">
        <f t="shared" si="0"/>
        <v>10</v>
      </c>
      <c r="H23" s="76">
        <v>0</v>
      </c>
      <c r="I23" s="74">
        <v>0</v>
      </c>
      <c r="J23" s="46">
        <f t="shared" si="1"/>
        <v>10</v>
      </c>
      <c r="K23" s="70"/>
      <c r="L23" s="15">
        <v>120</v>
      </c>
      <c r="M23" s="63">
        <f t="shared" si="2"/>
        <v>0</v>
      </c>
      <c r="N23" s="17" t="s">
        <v>16</v>
      </c>
      <c r="O23" s="18"/>
      <c r="P23" s="23">
        <f t="shared" si="3"/>
        <v>0</v>
      </c>
      <c r="Q23" s="88">
        <v>28.31</v>
      </c>
      <c r="R23" s="43">
        <f t="shared" si="4"/>
        <v>0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+'29'!J24</f>
        <v>10</v>
      </c>
      <c r="F24" s="69"/>
      <c r="G24" s="46">
        <f t="shared" si="0"/>
        <v>10</v>
      </c>
      <c r="H24" s="76">
        <v>0</v>
      </c>
      <c r="I24" s="74">
        <v>0</v>
      </c>
      <c r="J24" s="46">
        <f t="shared" si="1"/>
        <v>10</v>
      </c>
      <c r="K24" s="70"/>
      <c r="L24" s="15">
        <v>120</v>
      </c>
      <c r="M24" s="63">
        <f t="shared" si="2"/>
        <v>0</v>
      </c>
      <c r="N24" s="17" t="s">
        <v>16</v>
      </c>
      <c r="O24" s="18"/>
      <c r="P24" s="23">
        <f t="shared" si="3"/>
        <v>0</v>
      </c>
      <c r="Q24" s="88">
        <v>31.07</v>
      </c>
      <c r="R24" s="43">
        <f t="shared" si="4"/>
        <v>0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+'29'!J25</f>
        <v>9</v>
      </c>
      <c r="F25" s="69"/>
      <c r="G25" s="46">
        <f t="shared" si="0"/>
        <v>9</v>
      </c>
      <c r="H25" s="76">
        <v>0</v>
      </c>
      <c r="I25" s="74">
        <v>0</v>
      </c>
      <c r="J25" s="46">
        <f t="shared" si="1"/>
        <v>9</v>
      </c>
      <c r="K25" s="70"/>
      <c r="L25" s="20">
        <v>120</v>
      </c>
      <c r="M25" s="63">
        <f t="shared" si="2"/>
        <v>0</v>
      </c>
      <c r="N25" s="17" t="s">
        <v>16</v>
      </c>
      <c r="O25" s="18"/>
      <c r="P25" s="23">
        <f t="shared" si="3"/>
        <v>0</v>
      </c>
      <c r="Q25" s="88">
        <v>29.83</v>
      </c>
      <c r="R25" s="43">
        <f t="shared" si="4"/>
        <v>0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+'29'!J26</f>
        <v>8</v>
      </c>
      <c r="F26" s="69"/>
      <c r="G26" s="46">
        <f t="shared" si="0"/>
        <v>8</v>
      </c>
      <c r="H26" s="76">
        <v>0</v>
      </c>
      <c r="I26" s="74">
        <v>0</v>
      </c>
      <c r="J26" s="46">
        <f t="shared" si="1"/>
        <v>5</v>
      </c>
      <c r="K26" s="70">
        <v>3</v>
      </c>
      <c r="L26" s="15">
        <v>120</v>
      </c>
      <c r="M26" s="63">
        <f t="shared" si="2"/>
        <v>360</v>
      </c>
      <c r="N26" s="17" t="s">
        <v>16</v>
      </c>
      <c r="O26" s="18">
        <v>60</v>
      </c>
      <c r="P26" s="161">
        <f t="shared" si="3"/>
        <v>300</v>
      </c>
      <c r="Q26" s="88">
        <v>26.39</v>
      </c>
      <c r="R26" s="43">
        <f t="shared" si="4"/>
        <v>79.17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+'29'!J27</f>
        <v>5</v>
      </c>
      <c r="F27" s="69"/>
      <c r="G27" s="46">
        <f t="shared" si="0"/>
        <v>5</v>
      </c>
      <c r="H27" s="76">
        <v>0</v>
      </c>
      <c r="I27" s="74">
        <v>0</v>
      </c>
      <c r="J27" s="46">
        <f t="shared" si="1"/>
        <v>5</v>
      </c>
      <c r="K27" s="70"/>
      <c r="L27" s="15">
        <v>50</v>
      </c>
      <c r="M27" s="63">
        <f t="shared" si="2"/>
        <v>0</v>
      </c>
      <c r="N27" s="17" t="s">
        <v>16</v>
      </c>
      <c r="O27" s="18"/>
      <c r="P27" s="23">
        <f t="shared" si="3"/>
        <v>0</v>
      </c>
      <c r="Q27" s="88">
        <v>23.69</v>
      </c>
      <c r="R27" s="43">
        <f t="shared" si="4"/>
        <v>0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+'29'!J28</f>
        <v>3</v>
      </c>
      <c r="F28" s="69"/>
      <c r="G28" s="46">
        <f t="shared" si="0"/>
        <v>3</v>
      </c>
      <c r="H28" s="76">
        <v>0</v>
      </c>
      <c r="I28" s="74">
        <v>0</v>
      </c>
      <c r="J28" s="46">
        <f t="shared" si="1"/>
        <v>2</v>
      </c>
      <c r="K28" s="70">
        <v>1</v>
      </c>
      <c r="L28" s="21">
        <v>50</v>
      </c>
      <c r="M28" s="63">
        <f t="shared" si="2"/>
        <v>50</v>
      </c>
      <c r="N28" s="17" t="s">
        <v>16</v>
      </c>
      <c r="O28" s="18"/>
      <c r="P28" s="161">
        <f t="shared" si="3"/>
        <v>50</v>
      </c>
      <c r="Q28" s="88">
        <v>22.49</v>
      </c>
      <c r="R28" s="43">
        <f t="shared" si="4"/>
        <v>22.49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+'29'!J29</f>
        <v>4</v>
      </c>
      <c r="F29" s="69"/>
      <c r="G29" s="46">
        <f t="shared" si="0"/>
        <v>4</v>
      </c>
      <c r="H29" s="76">
        <v>0</v>
      </c>
      <c r="I29" s="74">
        <v>0</v>
      </c>
      <c r="J29" s="46">
        <f t="shared" si="1"/>
        <v>0</v>
      </c>
      <c r="K29" s="70">
        <v>4</v>
      </c>
      <c r="L29" s="21">
        <v>50</v>
      </c>
      <c r="M29" s="63">
        <f t="shared" si="2"/>
        <v>200</v>
      </c>
      <c r="N29" s="17" t="s">
        <v>16</v>
      </c>
      <c r="O29" s="18"/>
      <c r="P29" s="161">
        <f t="shared" si="3"/>
        <v>200</v>
      </c>
      <c r="Q29" s="88">
        <v>17.09</v>
      </c>
      <c r="R29" s="43">
        <f t="shared" si="4"/>
        <v>68.36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+'29'!J30</f>
        <v>5</v>
      </c>
      <c r="F30" s="69"/>
      <c r="G30" s="46">
        <f t="shared" si="0"/>
        <v>5</v>
      </c>
      <c r="H30" s="76">
        <v>0</v>
      </c>
      <c r="I30" s="74">
        <v>0</v>
      </c>
      <c r="J30" s="46">
        <f t="shared" si="1"/>
        <v>1</v>
      </c>
      <c r="K30" s="70">
        <v>4</v>
      </c>
      <c r="L30" s="22">
        <v>50</v>
      </c>
      <c r="M30" s="63">
        <f t="shared" si="2"/>
        <v>200</v>
      </c>
      <c r="N30" s="17" t="s">
        <v>16</v>
      </c>
      <c r="O30" s="18"/>
      <c r="P30" s="161">
        <f t="shared" si="3"/>
        <v>200</v>
      </c>
      <c r="Q30" s="88">
        <v>25.15</v>
      </c>
      <c r="R30" s="43">
        <f t="shared" si="4"/>
        <v>100.6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+'29'!J31</f>
        <v>1</v>
      </c>
      <c r="F31" s="69"/>
      <c r="G31" s="46">
        <f t="shared" si="0"/>
        <v>1</v>
      </c>
      <c r="H31" s="76">
        <v>0</v>
      </c>
      <c r="I31" s="74">
        <v>0</v>
      </c>
      <c r="J31" s="46">
        <f t="shared" si="1"/>
        <v>0</v>
      </c>
      <c r="K31" s="70">
        <v>1</v>
      </c>
      <c r="L31" s="22">
        <v>55</v>
      </c>
      <c r="M31" s="63">
        <f t="shared" si="2"/>
        <v>55</v>
      </c>
      <c r="N31" s="17" t="s">
        <v>16</v>
      </c>
      <c r="O31" s="18"/>
      <c r="P31" s="161">
        <f t="shared" si="3"/>
        <v>55</v>
      </c>
      <c r="Q31" s="88">
        <v>14.35</v>
      </c>
      <c r="R31" s="43">
        <f t="shared" si="4"/>
        <v>14.35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+'29'!J32</f>
        <v>4</v>
      </c>
      <c r="F32" s="69"/>
      <c r="G32" s="46">
        <f t="shared" si="0"/>
        <v>4</v>
      </c>
      <c r="H32" s="76">
        <v>0</v>
      </c>
      <c r="I32" s="74">
        <v>0</v>
      </c>
      <c r="J32" s="46">
        <f t="shared" si="1"/>
        <v>4</v>
      </c>
      <c r="K32" s="70"/>
      <c r="L32" s="22">
        <v>55</v>
      </c>
      <c r="M32" s="63">
        <f t="shared" si="2"/>
        <v>0</v>
      </c>
      <c r="N32" s="17" t="s">
        <v>16</v>
      </c>
      <c r="O32" s="18"/>
      <c r="P32" s="23">
        <f t="shared" si="3"/>
        <v>0</v>
      </c>
      <c r="Q32" s="88">
        <v>19.579999999999998</v>
      </c>
      <c r="R32" s="43">
        <f t="shared" si="4"/>
        <v>0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+'29'!J33</f>
        <v>17</v>
      </c>
      <c r="F33" s="69"/>
      <c r="G33" s="46">
        <f t="shared" si="0"/>
        <v>17</v>
      </c>
      <c r="H33" s="76">
        <v>0</v>
      </c>
      <c r="I33" s="74">
        <v>0</v>
      </c>
      <c r="J33" s="46">
        <f t="shared" si="1"/>
        <v>11</v>
      </c>
      <c r="K33" s="70">
        <v>6</v>
      </c>
      <c r="L33" s="22">
        <v>100</v>
      </c>
      <c r="M33" s="63">
        <f t="shared" si="2"/>
        <v>600</v>
      </c>
      <c r="N33" s="17" t="s">
        <v>16</v>
      </c>
      <c r="O33" s="18"/>
      <c r="P33" s="161">
        <f t="shared" si="3"/>
        <v>600</v>
      </c>
      <c r="Q33" s="88">
        <v>23.61</v>
      </c>
      <c r="R33" s="43">
        <f t="shared" si="4"/>
        <v>141.66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+'29'!J34</f>
        <v>10</v>
      </c>
      <c r="F34" s="69"/>
      <c r="G34" s="46">
        <f t="shared" si="0"/>
        <v>10</v>
      </c>
      <c r="H34" s="76">
        <v>0</v>
      </c>
      <c r="I34" s="74">
        <v>0</v>
      </c>
      <c r="J34" s="46">
        <f t="shared" si="1"/>
        <v>6</v>
      </c>
      <c r="K34" s="70">
        <v>4</v>
      </c>
      <c r="L34" s="20">
        <v>55</v>
      </c>
      <c r="M34" s="63">
        <f t="shared" si="2"/>
        <v>220</v>
      </c>
      <c r="N34" s="17" t="s">
        <v>16</v>
      </c>
      <c r="O34" s="18"/>
      <c r="P34" s="161">
        <f t="shared" si="3"/>
        <v>220</v>
      </c>
      <c r="Q34" s="88">
        <v>34.25</v>
      </c>
      <c r="R34" s="43">
        <f t="shared" si="4"/>
        <v>137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+'29'!J35</f>
        <v>16</v>
      </c>
      <c r="F35" s="69"/>
      <c r="G35" s="46">
        <f t="shared" si="0"/>
        <v>16</v>
      </c>
      <c r="H35" s="76">
        <v>0</v>
      </c>
      <c r="I35" s="74">
        <v>0</v>
      </c>
      <c r="J35" s="46">
        <f t="shared" si="1"/>
        <v>15</v>
      </c>
      <c r="K35" s="70">
        <v>1</v>
      </c>
      <c r="L35" s="15">
        <v>60</v>
      </c>
      <c r="M35" s="63">
        <f t="shared" si="2"/>
        <v>60</v>
      </c>
      <c r="N35" s="17" t="s">
        <v>16</v>
      </c>
      <c r="O35" s="18"/>
      <c r="P35" s="161">
        <f t="shared" si="3"/>
        <v>60</v>
      </c>
      <c r="Q35" s="88">
        <v>23.61</v>
      </c>
      <c r="R35" s="43">
        <f t="shared" si="4"/>
        <v>23.61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+'29'!J36</f>
        <v>16</v>
      </c>
      <c r="F36" s="69"/>
      <c r="G36" s="46">
        <f t="shared" si="0"/>
        <v>16</v>
      </c>
      <c r="H36" s="76">
        <v>0</v>
      </c>
      <c r="I36" s="74">
        <v>0</v>
      </c>
      <c r="J36" s="46">
        <f t="shared" si="1"/>
        <v>10</v>
      </c>
      <c r="K36" s="70">
        <v>6</v>
      </c>
      <c r="L36" s="15">
        <v>100</v>
      </c>
      <c r="M36" s="63">
        <f t="shared" si="2"/>
        <v>600</v>
      </c>
      <c r="N36" s="17" t="s">
        <v>16</v>
      </c>
      <c r="O36" s="18"/>
      <c r="P36" s="161">
        <f t="shared" si="3"/>
        <v>600</v>
      </c>
      <c r="Q36" s="88">
        <v>13.03</v>
      </c>
      <c r="R36" s="43">
        <f t="shared" si="4"/>
        <v>78.179999999999993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+'29'!J37</f>
        <v>10</v>
      </c>
      <c r="F37" s="69"/>
      <c r="G37" s="46">
        <f t="shared" si="0"/>
        <v>10</v>
      </c>
      <c r="H37" s="76">
        <v>0</v>
      </c>
      <c r="I37" s="74">
        <v>0</v>
      </c>
      <c r="J37" s="46">
        <f t="shared" si="1"/>
        <v>7</v>
      </c>
      <c r="K37" s="70">
        <v>3</v>
      </c>
      <c r="L37" s="15">
        <v>55</v>
      </c>
      <c r="M37" s="63">
        <f t="shared" si="2"/>
        <v>165</v>
      </c>
      <c r="N37" s="17" t="s">
        <v>16</v>
      </c>
      <c r="O37" s="18"/>
      <c r="P37" s="161">
        <f t="shared" si="3"/>
        <v>165</v>
      </c>
      <c r="Q37" s="88">
        <v>11.91</v>
      </c>
      <c r="R37" s="43">
        <f t="shared" si="4"/>
        <v>35.730000000000004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+'29'!J38</f>
        <v>7</v>
      </c>
      <c r="F38" s="69"/>
      <c r="G38" s="46">
        <f t="shared" si="0"/>
        <v>7</v>
      </c>
      <c r="H38" s="76">
        <v>0</v>
      </c>
      <c r="I38" s="74">
        <v>0</v>
      </c>
      <c r="J38" s="46">
        <f t="shared" si="1"/>
        <v>5</v>
      </c>
      <c r="K38" s="70">
        <v>2</v>
      </c>
      <c r="L38" s="15">
        <v>50</v>
      </c>
      <c r="M38" s="63">
        <f>+L38*K38</f>
        <v>100</v>
      </c>
      <c r="N38" s="17" t="s">
        <v>16</v>
      </c>
      <c r="O38" s="18"/>
      <c r="P38" s="161">
        <f>SUM(M38-O38)</f>
        <v>100</v>
      </c>
      <c r="Q38" s="88">
        <v>9.91</v>
      </c>
      <c r="R38" s="43">
        <f>+K38*Q38</f>
        <v>19.82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+'29'!J39</f>
        <v>4</v>
      </c>
      <c r="F39" s="69"/>
      <c r="G39" s="46">
        <f t="shared" si="0"/>
        <v>4</v>
      </c>
      <c r="H39" s="76">
        <v>0</v>
      </c>
      <c r="I39" s="74">
        <v>0</v>
      </c>
      <c r="J39" s="46">
        <f t="shared" si="1"/>
        <v>4</v>
      </c>
      <c r="K39" s="70"/>
      <c r="L39" s="20">
        <v>60</v>
      </c>
      <c r="M39" s="63">
        <f t="shared" si="2"/>
        <v>0</v>
      </c>
      <c r="N39" s="17" t="s">
        <v>16</v>
      </c>
      <c r="O39" s="18"/>
      <c r="P39" s="23">
        <f t="shared" si="3"/>
        <v>0</v>
      </c>
      <c r="Q39" s="88">
        <v>16.690000000000001</v>
      </c>
      <c r="R39" s="43">
        <f t="shared" si="4"/>
        <v>0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+'29'!J40</f>
        <v>4</v>
      </c>
      <c r="F40" s="69"/>
      <c r="G40" s="46">
        <f t="shared" si="0"/>
        <v>4</v>
      </c>
      <c r="H40" s="76">
        <v>0</v>
      </c>
      <c r="I40" s="74">
        <v>0</v>
      </c>
      <c r="J40" s="46">
        <f t="shared" si="1"/>
        <v>4</v>
      </c>
      <c r="K40" s="70"/>
      <c r="L40" s="20">
        <v>50</v>
      </c>
      <c r="M40" s="63">
        <f t="shared" si="2"/>
        <v>0</v>
      </c>
      <c r="N40" s="17" t="s">
        <v>16</v>
      </c>
      <c r="O40" s="18"/>
      <c r="P40" s="23">
        <f t="shared" si="3"/>
        <v>0</v>
      </c>
      <c r="Q40" s="88">
        <v>24.21</v>
      </c>
      <c r="R40" s="43">
        <f t="shared" si="4"/>
        <v>0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+'29'!J41</f>
        <v>10</v>
      </c>
      <c r="F41" s="69"/>
      <c r="G41" s="46">
        <f t="shared" si="0"/>
        <v>10</v>
      </c>
      <c r="H41" s="76">
        <v>0</v>
      </c>
      <c r="I41" s="74">
        <v>0</v>
      </c>
      <c r="J41" s="46">
        <f t="shared" si="1"/>
        <v>7</v>
      </c>
      <c r="K41" s="70">
        <v>3</v>
      </c>
      <c r="L41" s="20">
        <v>50</v>
      </c>
      <c r="M41" s="63">
        <f t="shared" si="2"/>
        <v>150</v>
      </c>
      <c r="N41" s="17" t="s">
        <v>16</v>
      </c>
      <c r="O41" s="18"/>
      <c r="P41" s="161">
        <f t="shared" si="3"/>
        <v>150</v>
      </c>
      <c r="Q41" s="88">
        <v>23.02</v>
      </c>
      <c r="R41" s="43">
        <f t="shared" si="4"/>
        <v>69.06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+'29'!J42</f>
        <v>500</v>
      </c>
      <c r="F42" s="69"/>
      <c r="G42" s="46">
        <f t="shared" si="0"/>
        <v>500</v>
      </c>
      <c r="H42" s="76">
        <v>0</v>
      </c>
      <c r="I42" s="74">
        <v>0</v>
      </c>
      <c r="J42" s="46">
        <f t="shared" si="1"/>
        <v>467</v>
      </c>
      <c r="K42" s="70">
        <v>33</v>
      </c>
      <c r="L42" s="20">
        <v>10</v>
      </c>
      <c r="M42" s="63">
        <f t="shared" si="2"/>
        <v>330</v>
      </c>
      <c r="N42" s="17"/>
      <c r="O42" s="18"/>
      <c r="P42" s="161">
        <f t="shared" si="3"/>
        <v>330</v>
      </c>
      <c r="Q42" s="88">
        <v>6.3</v>
      </c>
      <c r="R42" s="43">
        <f t="shared" si="4"/>
        <v>207.9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+'29'!J43</f>
        <v>100</v>
      </c>
      <c r="F43" s="69"/>
      <c r="G43" s="46">
        <f t="shared" si="0"/>
        <v>100</v>
      </c>
      <c r="H43" s="76">
        <v>0</v>
      </c>
      <c r="I43" s="74">
        <v>0</v>
      </c>
      <c r="J43" s="46">
        <f t="shared" si="1"/>
        <v>100</v>
      </c>
      <c r="K43" s="70"/>
      <c r="L43" s="22">
        <v>10</v>
      </c>
      <c r="M43" s="63">
        <f>+L43*K43</f>
        <v>0</v>
      </c>
      <c r="N43" s="17" t="s">
        <v>16</v>
      </c>
      <c r="O43" s="18"/>
      <c r="P43" s="23">
        <f>SUM(M43-O43)</f>
        <v>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+'29'!J44</f>
        <v>10</v>
      </c>
      <c r="F44" s="69"/>
      <c r="G44" s="46">
        <f t="shared" si="0"/>
        <v>10</v>
      </c>
      <c r="H44" s="76">
        <v>0</v>
      </c>
      <c r="I44" s="74">
        <v>0</v>
      </c>
      <c r="J44" s="46">
        <f t="shared" si="1"/>
        <v>5</v>
      </c>
      <c r="K44" s="70">
        <v>5</v>
      </c>
      <c r="L44" s="20">
        <v>150</v>
      </c>
      <c r="M44" s="63">
        <f t="shared" si="2"/>
        <v>750</v>
      </c>
      <c r="N44" s="17" t="s">
        <v>16</v>
      </c>
      <c r="O44" s="18"/>
      <c r="P44" s="161">
        <f t="shared" si="3"/>
        <v>750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+'29'!J45</f>
        <v>10</v>
      </c>
      <c r="F45" s="69"/>
      <c r="G45" s="46">
        <f t="shared" si="0"/>
        <v>10</v>
      </c>
      <c r="H45" s="76">
        <v>0</v>
      </c>
      <c r="I45" s="74">
        <v>0</v>
      </c>
      <c r="J45" s="46">
        <f t="shared" si="1"/>
        <v>9</v>
      </c>
      <c r="K45" s="70">
        <v>1</v>
      </c>
      <c r="L45" s="15">
        <v>150</v>
      </c>
      <c r="M45" s="63">
        <f t="shared" si="2"/>
        <v>150</v>
      </c>
      <c r="N45" s="17" t="s">
        <v>16</v>
      </c>
      <c r="O45" s="18"/>
      <c r="P45" s="161">
        <f t="shared" si="3"/>
        <v>150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+'29'!J46</f>
        <v>3</v>
      </c>
      <c r="F46" s="69"/>
      <c r="G46" s="46">
        <f t="shared" si="0"/>
        <v>3</v>
      </c>
      <c r="H46" s="76">
        <v>0</v>
      </c>
      <c r="I46" s="74">
        <v>0</v>
      </c>
      <c r="J46" s="46">
        <f t="shared" si="1"/>
        <v>1</v>
      </c>
      <c r="K46" s="70">
        <v>2</v>
      </c>
      <c r="L46" s="15">
        <v>25</v>
      </c>
      <c r="M46" s="63">
        <f t="shared" si="2"/>
        <v>50</v>
      </c>
      <c r="N46" s="17" t="s">
        <v>16</v>
      </c>
      <c r="O46" s="18"/>
      <c r="P46" s="161">
        <f t="shared" si="3"/>
        <v>50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+'29'!J47</f>
        <v>12</v>
      </c>
      <c r="F47" s="69"/>
      <c r="G47" s="46">
        <f t="shared" si="0"/>
        <v>12</v>
      </c>
      <c r="H47" s="76">
        <v>0</v>
      </c>
      <c r="I47" s="74">
        <v>0</v>
      </c>
      <c r="J47" s="46">
        <f t="shared" si="1"/>
        <v>11</v>
      </c>
      <c r="K47" s="70">
        <v>1</v>
      </c>
      <c r="L47" s="15">
        <v>35</v>
      </c>
      <c r="M47" s="63">
        <f t="shared" si="2"/>
        <v>35</v>
      </c>
      <c r="N47" s="17" t="s">
        <v>16</v>
      </c>
      <c r="O47" s="18"/>
      <c r="P47" s="161">
        <f t="shared" si="3"/>
        <v>35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+'29'!J48</f>
        <v>426</v>
      </c>
      <c r="F48" s="69"/>
      <c r="G48" s="46">
        <f t="shared" si="0"/>
        <v>426</v>
      </c>
      <c r="H48" s="76">
        <v>0</v>
      </c>
      <c r="I48" s="74">
        <v>0</v>
      </c>
      <c r="J48" s="46">
        <f t="shared" si="1"/>
        <v>162</v>
      </c>
      <c r="K48" s="70">
        <v>264</v>
      </c>
      <c r="L48" s="15">
        <v>0</v>
      </c>
      <c r="M48" s="63">
        <f>+L48*K48</f>
        <v>0</v>
      </c>
      <c r="N48" s="17" t="s">
        <v>1440</v>
      </c>
      <c r="O48" s="18"/>
      <c r="P48" s="23">
        <f>SUM(M48-O48)</f>
        <v>0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+'29'!J49</f>
        <v>197</v>
      </c>
      <c r="F49" s="69"/>
      <c r="G49" s="46">
        <f t="shared" si="0"/>
        <v>197</v>
      </c>
      <c r="H49" s="76">
        <v>0</v>
      </c>
      <c r="I49" s="74">
        <v>0</v>
      </c>
      <c r="J49" s="46">
        <f t="shared" si="1"/>
        <v>197</v>
      </c>
      <c r="K49" s="70"/>
      <c r="L49" s="15">
        <v>25</v>
      </c>
      <c r="M49" s="63">
        <f>+L49*K49</f>
        <v>0</v>
      </c>
      <c r="N49" s="17" t="s">
        <v>16</v>
      </c>
      <c r="O49" s="18"/>
      <c r="P49" s="23">
        <f>SUM(M49-O49)</f>
        <v>0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+'29'!J50</f>
        <v>45</v>
      </c>
      <c r="F50" s="69"/>
      <c r="G50" s="46">
        <f t="shared" si="0"/>
        <v>45</v>
      </c>
      <c r="H50" s="76">
        <v>0</v>
      </c>
      <c r="I50" s="74">
        <v>0</v>
      </c>
      <c r="J50" s="46">
        <f t="shared" si="1"/>
        <v>44</v>
      </c>
      <c r="K50" s="70">
        <v>1</v>
      </c>
      <c r="L50" s="15">
        <v>25</v>
      </c>
      <c r="M50" s="63">
        <f t="shared" si="2"/>
        <v>25</v>
      </c>
      <c r="N50" s="17" t="s">
        <v>16</v>
      </c>
      <c r="O50" s="18"/>
      <c r="P50" s="161">
        <f t="shared" si="3"/>
        <v>25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+'29'!J51</f>
        <v>48</v>
      </c>
      <c r="F51" s="69"/>
      <c r="G51" s="46">
        <f t="shared" si="0"/>
        <v>48</v>
      </c>
      <c r="H51" s="76">
        <v>0</v>
      </c>
      <c r="I51" s="74">
        <v>0</v>
      </c>
      <c r="J51" s="46">
        <f t="shared" si="1"/>
        <v>45</v>
      </c>
      <c r="K51" s="70">
        <v>3</v>
      </c>
      <c r="L51" s="20">
        <v>25</v>
      </c>
      <c r="M51" s="63">
        <f>+L51*K51</f>
        <v>75</v>
      </c>
      <c r="N51" s="17" t="s">
        <v>16</v>
      </c>
      <c r="O51" s="18"/>
      <c r="P51" s="161">
        <f>SUM(M51-O51)</f>
        <v>75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+'29'!J52</f>
        <v>48</v>
      </c>
      <c r="F52" s="69"/>
      <c r="G52" s="46">
        <f t="shared" si="0"/>
        <v>48</v>
      </c>
      <c r="H52" s="76">
        <v>0</v>
      </c>
      <c r="I52" s="74">
        <v>0</v>
      </c>
      <c r="J52" s="46">
        <f t="shared" si="1"/>
        <v>46</v>
      </c>
      <c r="K52" s="70">
        <v>2</v>
      </c>
      <c r="L52" s="20">
        <v>35</v>
      </c>
      <c r="M52" s="63">
        <f>+L52*K52</f>
        <v>70</v>
      </c>
      <c r="N52" s="17" t="s">
        <v>16</v>
      </c>
      <c r="O52" s="18"/>
      <c r="P52" s="161">
        <f>SUM(M52-O52)</f>
        <v>70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+'29'!J53</f>
        <v>47</v>
      </c>
      <c r="F53" s="69"/>
      <c r="G53" s="46">
        <f t="shared" si="0"/>
        <v>47</v>
      </c>
      <c r="H53" s="76">
        <v>0</v>
      </c>
      <c r="I53" s="74">
        <v>0</v>
      </c>
      <c r="J53" s="46">
        <f t="shared" si="1"/>
        <v>46</v>
      </c>
      <c r="K53" s="70">
        <v>1</v>
      </c>
      <c r="L53" s="15">
        <v>35</v>
      </c>
      <c r="M53" s="63">
        <f>+L53*K53</f>
        <v>35</v>
      </c>
      <c r="N53" s="17" t="s">
        <v>16</v>
      </c>
      <c r="O53" s="18"/>
      <c r="P53" s="161">
        <f>SUM(M53-O53)</f>
        <v>35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+'29'!J54</f>
        <v>20</v>
      </c>
      <c r="F54" s="69"/>
      <c r="G54" s="46">
        <f t="shared" si="0"/>
        <v>20</v>
      </c>
      <c r="H54" s="76">
        <v>0</v>
      </c>
      <c r="I54" s="74">
        <v>0</v>
      </c>
      <c r="J54" s="46">
        <f t="shared" si="1"/>
        <v>18</v>
      </c>
      <c r="K54" s="70">
        <v>2</v>
      </c>
      <c r="L54" s="15">
        <v>35</v>
      </c>
      <c r="M54" s="63">
        <f t="shared" si="2"/>
        <v>70</v>
      </c>
      <c r="N54" s="17" t="s">
        <v>16</v>
      </c>
      <c r="O54" s="18"/>
      <c r="P54" s="161">
        <f t="shared" si="3"/>
        <v>70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+'29'!J55</f>
        <v>16</v>
      </c>
      <c r="F55" s="69"/>
      <c r="G55" s="46">
        <f t="shared" si="0"/>
        <v>16</v>
      </c>
      <c r="H55" s="76">
        <v>0</v>
      </c>
      <c r="I55" s="74">
        <v>0</v>
      </c>
      <c r="J55" s="46">
        <f t="shared" si="1"/>
        <v>11</v>
      </c>
      <c r="K55" s="70">
        <v>5</v>
      </c>
      <c r="L55" s="15">
        <v>120</v>
      </c>
      <c r="M55" s="63">
        <f>+L55*K55</f>
        <v>600</v>
      </c>
      <c r="N55" s="17" t="s">
        <v>16</v>
      </c>
      <c r="O55" s="18"/>
      <c r="P55" s="161">
        <f>SUM(M55-O55)</f>
        <v>600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+'29'!J56</f>
        <v>18</v>
      </c>
      <c r="F56" s="69"/>
      <c r="G56" s="46">
        <f t="shared" si="0"/>
        <v>18</v>
      </c>
      <c r="H56" s="76">
        <v>0</v>
      </c>
      <c r="I56" s="74">
        <v>0</v>
      </c>
      <c r="J56" s="46">
        <f t="shared" si="1"/>
        <v>14</v>
      </c>
      <c r="K56" s="70">
        <v>4</v>
      </c>
      <c r="L56" s="15">
        <v>120</v>
      </c>
      <c r="M56" s="63">
        <f>+L56*K56</f>
        <v>480</v>
      </c>
      <c r="N56" s="17" t="s">
        <v>16</v>
      </c>
      <c r="O56" s="18"/>
      <c r="P56" s="161">
        <f>SUM(M56-O56)</f>
        <v>480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+'29'!J57</f>
        <v>19</v>
      </c>
      <c r="F57" s="69"/>
      <c r="G57" s="46">
        <f t="shared" si="0"/>
        <v>19</v>
      </c>
      <c r="H57" s="76">
        <v>0</v>
      </c>
      <c r="I57" s="74">
        <v>0</v>
      </c>
      <c r="J57" s="46">
        <f t="shared" si="1"/>
        <v>16</v>
      </c>
      <c r="K57" s="70">
        <v>3</v>
      </c>
      <c r="L57" s="20">
        <v>120</v>
      </c>
      <c r="M57" s="63">
        <f t="shared" si="2"/>
        <v>360</v>
      </c>
      <c r="N57" s="17" t="s">
        <v>16</v>
      </c>
      <c r="O57" s="18"/>
      <c r="P57" s="161">
        <f t="shared" si="3"/>
        <v>360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+'29'!J58</f>
        <v>19</v>
      </c>
      <c r="F58" s="69"/>
      <c r="G58" s="46">
        <f t="shared" si="0"/>
        <v>19</v>
      </c>
      <c r="H58" s="76">
        <v>0</v>
      </c>
      <c r="I58" s="74">
        <v>0</v>
      </c>
      <c r="J58" s="46">
        <f t="shared" si="1"/>
        <v>12</v>
      </c>
      <c r="K58" s="70">
        <v>7</v>
      </c>
      <c r="L58" s="20">
        <v>120</v>
      </c>
      <c r="M58" s="63">
        <f t="shared" si="2"/>
        <v>840</v>
      </c>
      <c r="N58" s="17" t="s">
        <v>16</v>
      </c>
      <c r="O58" s="18"/>
      <c r="P58" s="161">
        <f t="shared" si="3"/>
        <v>840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/>
      <c r="D59" s="10"/>
      <c r="E59" s="62">
        <f>+'29'!J59</f>
        <v>0</v>
      </c>
      <c r="F59" s="69"/>
      <c r="G59" s="46"/>
      <c r="H59" s="76"/>
      <c r="I59" s="74"/>
      <c r="J59" s="46"/>
      <c r="K59" s="70"/>
      <c r="L59" s="20"/>
      <c r="M59" s="63"/>
      <c r="N59" s="17"/>
      <c r="O59" s="18"/>
      <c r="P59" s="23"/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+'29'!J60</f>
        <v>0</v>
      </c>
      <c r="F60" s="69"/>
      <c r="G60" s="46"/>
      <c r="H60" s="76"/>
      <c r="I60" s="74"/>
      <c r="J60" s="46"/>
      <c r="K60" s="70"/>
      <c r="L60" s="20"/>
      <c r="M60" s="63"/>
      <c r="N60" s="17"/>
      <c r="O60" s="18"/>
      <c r="P60" s="23"/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+'29'!J61</f>
        <v>0</v>
      </c>
      <c r="F61" s="69"/>
      <c r="G61" s="46"/>
      <c r="H61" s="76"/>
      <c r="I61" s="74"/>
      <c r="J61" s="46"/>
      <c r="K61" s="70"/>
      <c r="L61" s="20"/>
      <c r="M61" s="63"/>
      <c r="N61" s="17"/>
      <c r="O61" s="18"/>
      <c r="P61" s="23"/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>
        <f>+'29'!J62</f>
        <v>0</v>
      </c>
      <c r="F62" s="69"/>
      <c r="G62" s="46"/>
      <c r="H62" s="76"/>
      <c r="I62" s="74"/>
      <c r="J62" s="46"/>
      <c r="K62" s="70"/>
      <c r="L62" s="20"/>
      <c r="M62" s="63"/>
      <c r="N62" s="17"/>
      <c r="O62" s="18"/>
      <c r="P62" s="23"/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>
        <f>+'29'!J63</f>
        <v>0</v>
      </c>
      <c r="F63" s="69"/>
      <c r="G63" s="46"/>
      <c r="H63" s="76"/>
      <c r="I63" s="74"/>
      <c r="J63" s="46"/>
      <c r="K63" s="70"/>
      <c r="L63" s="20"/>
      <c r="M63" s="63"/>
      <c r="N63" s="17"/>
      <c r="O63" s="18"/>
      <c r="P63" s="23"/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>
        <f>+'29'!J64</f>
        <v>0</v>
      </c>
      <c r="F64" s="69"/>
      <c r="G64" s="46"/>
      <c r="H64" s="76"/>
      <c r="I64" s="74"/>
      <c r="J64" s="46"/>
      <c r="K64" s="70"/>
      <c r="L64" s="20"/>
      <c r="M64" s="63"/>
      <c r="N64" s="17"/>
      <c r="O64" s="18"/>
      <c r="P64" s="23"/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/>
      <c r="F65" s="69"/>
      <c r="G65" s="46"/>
      <c r="H65" s="76"/>
      <c r="I65" s="74"/>
      <c r="J65" s="46"/>
      <c r="K65" s="70"/>
      <c r="L65" s="20"/>
      <c r="M65" s="63"/>
      <c r="N65" s="17"/>
      <c r="O65" s="18"/>
      <c r="P65" s="23"/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4835.5700000000006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17420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/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8076</v>
      </c>
      <c r="O70" s="2">
        <v>8076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>
        <v>1190</v>
      </c>
      <c r="O72" s="2" t="s">
        <v>1441</v>
      </c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60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8094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9393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1299</v>
      </c>
    </row>
    <row r="77" spans="1:19" ht="25.5" x14ac:dyDescent="0.55000000000000004">
      <c r="J77" s="2"/>
      <c r="L77" s="148" t="s">
        <v>211</v>
      </c>
      <c r="M77" s="149"/>
      <c r="N77" s="33">
        <f>+N75-N74</f>
        <v>1299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4E2A-DFE0-4EF6-948C-F6B2C6AD9E36}">
  <sheetPr filterMode="1">
    <tabColor rgb="FFFFCCFF"/>
    <pageSetUpPr fitToPage="1"/>
  </sheetPr>
  <dimension ref="A1:S152"/>
  <sheetViews>
    <sheetView zoomScale="85" zoomScaleNormal="85" workbookViewId="0">
      <pane xSplit="10" ySplit="4" topLeftCell="K65" activePane="bottomRight" state="frozen"/>
      <selection activeCell="A66" sqref="A66:XFD74"/>
      <selection pane="topRight" activeCell="A66" sqref="A66:XFD74"/>
      <selection pane="bottomLeft" activeCell="A66" sqref="A66:XFD74"/>
      <selection pane="bottomRight" activeCell="Q77" sqref="Q77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+'30'!J5</f>
        <v>11</v>
      </c>
      <c r="F5" s="69"/>
      <c r="G5" s="46">
        <f t="shared" ref="G5:G58" si="0">E5+F5</f>
        <v>11</v>
      </c>
      <c r="H5" s="76">
        <v>0</v>
      </c>
      <c r="I5" s="74">
        <v>0</v>
      </c>
      <c r="J5" s="46">
        <f t="shared" ref="J5:J58" si="1">+G5-H5-K5-I5</f>
        <v>6</v>
      </c>
      <c r="K5" s="70">
        <v>5</v>
      </c>
      <c r="L5" s="15">
        <v>50</v>
      </c>
      <c r="M5" s="63">
        <f>+L5*K5</f>
        <v>250</v>
      </c>
      <c r="N5" s="17" t="s">
        <v>16</v>
      </c>
      <c r="O5" s="18"/>
      <c r="P5" s="161">
        <f>SUM(M5-O5)</f>
        <v>250</v>
      </c>
      <c r="Q5" s="88">
        <v>18.97</v>
      </c>
      <c r="R5" s="43">
        <f>+K5*Q5</f>
        <v>94.85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+'30'!J6</f>
        <v>6</v>
      </c>
      <c r="F6" s="69">
        <v>50</v>
      </c>
      <c r="G6" s="46">
        <f t="shared" si="0"/>
        <v>56</v>
      </c>
      <c r="H6" s="76">
        <v>0</v>
      </c>
      <c r="I6" s="74">
        <v>0</v>
      </c>
      <c r="J6" s="46">
        <f t="shared" si="1"/>
        <v>16</v>
      </c>
      <c r="K6" s="70">
        <v>40</v>
      </c>
      <c r="L6" s="15">
        <v>100</v>
      </c>
      <c r="M6" s="63">
        <f t="shared" ref="M6:M58" si="2">+L6*K6</f>
        <v>4000</v>
      </c>
      <c r="N6" s="17" t="s">
        <v>16</v>
      </c>
      <c r="O6" s="18"/>
      <c r="P6" s="161">
        <f t="shared" ref="P6:P54" si="3">SUM(M6-O6)</f>
        <v>4000</v>
      </c>
      <c r="Q6" s="88">
        <v>36.43</v>
      </c>
      <c r="R6" s="43">
        <f t="shared" ref="R6:R65" si="4">+K6*Q6</f>
        <v>1457.2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+'30'!J7</f>
        <v>31</v>
      </c>
      <c r="F7" s="69"/>
      <c r="G7" s="46">
        <f t="shared" si="0"/>
        <v>31</v>
      </c>
      <c r="H7" s="76">
        <v>0</v>
      </c>
      <c r="I7" s="74">
        <v>0</v>
      </c>
      <c r="J7" s="46">
        <f t="shared" si="1"/>
        <v>25</v>
      </c>
      <c r="K7" s="70">
        <v>6</v>
      </c>
      <c r="L7" s="15">
        <v>50</v>
      </c>
      <c r="M7" s="63">
        <f t="shared" si="2"/>
        <v>300</v>
      </c>
      <c r="N7" s="17" t="s">
        <v>16</v>
      </c>
      <c r="O7" s="18"/>
      <c r="P7" s="161">
        <f t="shared" si="3"/>
        <v>300</v>
      </c>
      <c r="Q7" s="88">
        <v>19.36</v>
      </c>
      <c r="R7" s="43">
        <f t="shared" si="4"/>
        <v>116.16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+'30'!J8</f>
        <v>4</v>
      </c>
      <c r="F8" s="69"/>
      <c r="G8" s="46">
        <f t="shared" si="0"/>
        <v>4</v>
      </c>
      <c r="H8" s="76">
        <v>0</v>
      </c>
      <c r="I8" s="74">
        <v>0</v>
      </c>
      <c r="J8" s="46">
        <f t="shared" si="1"/>
        <v>0</v>
      </c>
      <c r="K8" s="70">
        <v>4</v>
      </c>
      <c r="L8" s="15">
        <v>65</v>
      </c>
      <c r="M8" s="63">
        <f t="shared" si="2"/>
        <v>260</v>
      </c>
      <c r="N8" s="17" t="s">
        <v>16</v>
      </c>
      <c r="O8" s="18"/>
      <c r="P8" s="161">
        <f t="shared" si="3"/>
        <v>260</v>
      </c>
      <c r="Q8" s="88">
        <v>22.25</v>
      </c>
      <c r="R8" s="43">
        <f t="shared" si="4"/>
        <v>89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+'30'!J9</f>
        <v>3</v>
      </c>
      <c r="F9" s="69"/>
      <c r="G9" s="46">
        <f t="shared" si="0"/>
        <v>3</v>
      </c>
      <c r="H9" s="76">
        <v>0</v>
      </c>
      <c r="I9" s="74">
        <v>0</v>
      </c>
      <c r="J9" s="46">
        <f t="shared" si="1"/>
        <v>1</v>
      </c>
      <c r="K9" s="70">
        <v>2</v>
      </c>
      <c r="L9" s="15">
        <v>85</v>
      </c>
      <c r="M9" s="63">
        <f t="shared" si="2"/>
        <v>170</v>
      </c>
      <c r="N9" s="17" t="s">
        <v>16</v>
      </c>
      <c r="O9" s="18"/>
      <c r="P9" s="161">
        <f t="shared" si="3"/>
        <v>170</v>
      </c>
      <c r="Q9" s="88">
        <v>22.65</v>
      </c>
      <c r="R9" s="43">
        <f t="shared" si="4"/>
        <v>45.3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+'30'!J10</f>
        <v>14</v>
      </c>
      <c r="F10" s="69"/>
      <c r="G10" s="46">
        <f t="shared" si="0"/>
        <v>14</v>
      </c>
      <c r="H10" s="76">
        <v>0</v>
      </c>
      <c r="I10" s="74">
        <v>0</v>
      </c>
      <c r="J10" s="46">
        <f t="shared" si="1"/>
        <v>5</v>
      </c>
      <c r="K10" s="70">
        <v>9</v>
      </c>
      <c r="L10" s="15">
        <v>100</v>
      </c>
      <c r="M10" s="63">
        <f t="shared" si="2"/>
        <v>900</v>
      </c>
      <c r="N10" s="17" t="s">
        <v>16</v>
      </c>
      <c r="O10" s="18"/>
      <c r="P10" s="161">
        <f t="shared" si="3"/>
        <v>900</v>
      </c>
      <c r="Q10" s="88">
        <v>27.98</v>
      </c>
      <c r="R10" s="43">
        <f t="shared" si="4"/>
        <v>251.82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+'30'!J11</f>
        <v>19</v>
      </c>
      <c r="F11" s="69">
        <v>50</v>
      </c>
      <c r="G11" s="46">
        <f t="shared" si="0"/>
        <v>69</v>
      </c>
      <c r="H11" s="76">
        <v>0</v>
      </c>
      <c r="I11" s="74">
        <v>0</v>
      </c>
      <c r="J11" s="46">
        <f t="shared" si="1"/>
        <v>28</v>
      </c>
      <c r="K11" s="70">
        <v>41</v>
      </c>
      <c r="L11" s="15">
        <v>100</v>
      </c>
      <c r="M11" s="63">
        <f t="shared" si="2"/>
        <v>4100</v>
      </c>
      <c r="N11" s="17" t="s">
        <v>1437</v>
      </c>
      <c r="O11" s="18">
        <v>100</v>
      </c>
      <c r="P11" s="161">
        <f t="shared" si="3"/>
        <v>4000</v>
      </c>
      <c r="Q11" s="88">
        <v>34.64</v>
      </c>
      <c r="R11" s="43">
        <f t="shared" si="4"/>
        <v>1420.24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+'30'!J12</f>
        <v>1</v>
      </c>
      <c r="F12" s="69">
        <v>32</v>
      </c>
      <c r="G12" s="46">
        <f t="shared" si="0"/>
        <v>33</v>
      </c>
      <c r="H12" s="76">
        <v>0</v>
      </c>
      <c r="I12" s="74">
        <v>0</v>
      </c>
      <c r="J12" s="46">
        <f t="shared" si="1"/>
        <v>28</v>
      </c>
      <c r="K12" s="70">
        <v>5</v>
      </c>
      <c r="L12" s="20">
        <v>130</v>
      </c>
      <c r="M12" s="63">
        <f t="shared" si="2"/>
        <v>650</v>
      </c>
      <c r="N12" s="17" t="s">
        <v>16</v>
      </c>
      <c r="O12" s="18"/>
      <c r="P12" s="161">
        <f t="shared" si="3"/>
        <v>650</v>
      </c>
      <c r="Q12" s="88">
        <v>46.37</v>
      </c>
      <c r="R12" s="43">
        <f t="shared" si="4"/>
        <v>231.85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+'30'!J13</f>
        <v>0</v>
      </c>
      <c r="F13" s="69"/>
      <c r="G13" s="46">
        <f t="shared" si="0"/>
        <v>0</v>
      </c>
      <c r="H13" s="76">
        <v>0</v>
      </c>
      <c r="I13" s="74">
        <v>0</v>
      </c>
      <c r="J13" s="46">
        <f t="shared" si="1"/>
        <v>0</v>
      </c>
      <c r="K13" s="70"/>
      <c r="L13" s="15">
        <v>130</v>
      </c>
      <c r="M13" s="63">
        <f t="shared" si="2"/>
        <v>0</v>
      </c>
      <c r="N13" s="17" t="s">
        <v>16</v>
      </c>
      <c r="O13" s="18"/>
      <c r="P13" s="23">
        <f t="shared" si="3"/>
        <v>0</v>
      </c>
      <c r="Q13" s="88">
        <v>38.9</v>
      </c>
      <c r="R13" s="43">
        <f t="shared" si="4"/>
        <v>0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+'30'!J14</f>
        <v>2</v>
      </c>
      <c r="F14" s="69">
        <v>20</v>
      </c>
      <c r="G14" s="46">
        <f t="shared" si="0"/>
        <v>22</v>
      </c>
      <c r="H14" s="76">
        <v>0</v>
      </c>
      <c r="I14" s="74">
        <v>0</v>
      </c>
      <c r="J14" s="46">
        <f t="shared" si="1"/>
        <v>19</v>
      </c>
      <c r="K14" s="70">
        <v>3</v>
      </c>
      <c r="L14" s="15">
        <v>50</v>
      </c>
      <c r="M14" s="63">
        <f t="shared" si="2"/>
        <v>150</v>
      </c>
      <c r="N14" s="17" t="s">
        <v>16</v>
      </c>
      <c r="O14" s="18"/>
      <c r="P14" s="161">
        <f t="shared" si="3"/>
        <v>150</v>
      </c>
      <c r="Q14" s="88">
        <v>27.84</v>
      </c>
      <c r="R14" s="43">
        <f t="shared" si="4"/>
        <v>83.52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+'30'!J15</f>
        <v>11</v>
      </c>
      <c r="F15" s="69">
        <v>20</v>
      </c>
      <c r="G15" s="46">
        <f t="shared" si="0"/>
        <v>31</v>
      </c>
      <c r="H15" s="76">
        <v>0</v>
      </c>
      <c r="I15" s="74">
        <v>0</v>
      </c>
      <c r="J15" s="46">
        <f t="shared" si="1"/>
        <v>29</v>
      </c>
      <c r="K15" s="70">
        <v>2</v>
      </c>
      <c r="L15" s="15">
        <v>50</v>
      </c>
      <c r="M15" s="63">
        <f t="shared" si="2"/>
        <v>100</v>
      </c>
      <c r="N15" s="17" t="s">
        <v>16</v>
      </c>
      <c r="O15" s="18"/>
      <c r="P15" s="161">
        <f t="shared" si="3"/>
        <v>100</v>
      </c>
      <c r="Q15" s="88">
        <v>27.12</v>
      </c>
      <c r="R15" s="43">
        <f t="shared" si="4"/>
        <v>54.24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+'30'!J16</f>
        <v>14</v>
      </c>
      <c r="F16" s="69"/>
      <c r="G16" s="46">
        <f t="shared" si="0"/>
        <v>14</v>
      </c>
      <c r="H16" s="76">
        <v>0</v>
      </c>
      <c r="I16" s="74">
        <v>0</v>
      </c>
      <c r="J16" s="46">
        <f t="shared" si="1"/>
        <v>10</v>
      </c>
      <c r="K16" s="70">
        <v>4</v>
      </c>
      <c r="L16" s="20">
        <v>50</v>
      </c>
      <c r="M16" s="63">
        <f t="shared" si="2"/>
        <v>200</v>
      </c>
      <c r="N16" s="17" t="s">
        <v>16</v>
      </c>
      <c r="O16" s="18"/>
      <c r="P16" s="161">
        <f t="shared" si="3"/>
        <v>200</v>
      </c>
      <c r="Q16" s="88">
        <v>15.42</v>
      </c>
      <c r="R16" s="43">
        <f t="shared" si="4"/>
        <v>61.68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+'30'!J17</f>
        <v>11</v>
      </c>
      <c r="F17" s="69"/>
      <c r="G17" s="46">
        <f t="shared" si="0"/>
        <v>11</v>
      </c>
      <c r="H17" s="76">
        <v>0</v>
      </c>
      <c r="I17" s="74">
        <v>0</v>
      </c>
      <c r="J17" s="46">
        <f t="shared" si="1"/>
        <v>8</v>
      </c>
      <c r="K17" s="70">
        <v>3</v>
      </c>
      <c r="L17" s="15">
        <v>50</v>
      </c>
      <c r="M17" s="63">
        <f t="shared" si="2"/>
        <v>150</v>
      </c>
      <c r="N17" s="17" t="s">
        <v>16</v>
      </c>
      <c r="O17" s="18"/>
      <c r="P17" s="161">
        <f t="shared" si="3"/>
        <v>150</v>
      </c>
      <c r="Q17" s="88">
        <v>17.78</v>
      </c>
      <c r="R17" s="43">
        <f t="shared" si="4"/>
        <v>53.34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+'30'!J18</f>
        <v>7</v>
      </c>
      <c r="F18" s="69"/>
      <c r="G18" s="46">
        <f t="shared" si="0"/>
        <v>7</v>
      </c>
      <c r="H18" s="76">
        <v>0</v>
      </c>
      <c r="I18" s="74">
        <v>0</v>
      </c>
      <c r="J18" s="46">
        <f t="shared" si="1"/>
        <v>6</v>
      </c>
      <c r="K18" s="70">
        <v>1</v>
      </c>
      <c r="L18" s="20">
        <v>50</v>
      </c>
      <c r="M18" s="63">
        <f t="shared" si="2"/>
        <v>50</v>
      </c>
      <c r="N18" s="17" t="s">
        <v>16</v>
      </c>
      <c r="O18" s="18"/>
      <c r="P18" s="161">
        <f t="shared" si="3"/>
        <v>50</v>
      </c>
      <c r="Q18" s="88">
        <v>17.989999999999998</v>
      </c>
      <c r="R18" s="43">
        <f t="shared" si="4"/>
        <v>17.989999999999998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+'30'!J19</f>
        <v>9</v>
      </c>
      <c r="F19" s="69"/>
      <c r="G19" s="46">
        <f t="shared" si="0"/>
        <v>9</v>
      </c>
      <c r="H19" s="76">
        <v>0</v>
      </c>
      <c r="I19" s="74">
        <v>0</v>
      </c>
      <c r="J19" s="46">
        <f t="shared" si="1"/>
        <v>6</v>
      </c>
      <c r="K19" s="70">
        <v>3</v>
      </c>
      <c r="L19" s="15">
        <v>50</v>
      </c>
      <c r="M19" s="63">
        <f t="shared" si="2"/>
        <v>150</v>
      </c>
      <c r="N19" s="17" t="s">
        <v>16</v>
      </c>
      <c r="O19" s="18"/>
      <c r="P19" s="161">
        <f t="shared" si="3"/>
        <v>150</v>
      </c>
      <c r="Q19" s="88">
        <v>20.059999999999999</v>
      </c>
      <c r="R19" s="43">
        <f t="shared" si="4"/>
        <v>60.179999999999993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+'30'!J20</f>
        <v>11</v>
      </c>
      <c r="F20" s="69"/>
      <c r="G20" s="46">
        <f t="shared" si="0"/>
        <v>11</v>
      </c>
      <c r="H20" s="76">
        <v>0</v>
      </c>
      <c r="I20" s="74">
        <v>0</v>
      </c>
      <c r="J20" s="46">
        <f t="shared" si="1"/>
        <v>11</v>
      </c>
      <c r="K20" s="70"/>
      <c r="L20" s="15">
        <v>50</v>
      </c>
      <c r="M20" s="63">
        <f t="shared" si="2"/>
        <v>0</v>
      </c>
      <c r="N20" s="17" t="s">
        <v>16</v>
      </c>
      <c r="O20" s="18"/>
      <c r="P20" s="23">
        <f t="shared" si="3"/>
        <v>0</v>
      </c>
      <c r="Q20" s="88">
        <v>20.32</v>
      </c>
      <c r="R20" s="43">
        <f t="shared" si="4"/>
        <v>0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+'30'!J21</f>
        <v>0</v>
      </c>
      <c r="F21" s="69"/>
      <c r="G21" s="46">
        <f t="shared" si="0"/>
        <v>0</v>
      </c>
      <c r="H21" s="76">
        <v>0</v>
      </c>
      <c r="I21" s="74">
        <v>0</v>
      </c>
      <c r="J21" s="46">
        <f t="shared" si="1"/>
        <v>0</v>
      </c>
      <c r="K21" s="70"/>
      <c r="L21" s="15">
        <v>50</v>
      </c>
      <c r="M21" s="63">
        <f t="shared" si="2"/>
        <v>0</v>
      </c>
      <c r="N21" s="17" t="s">
        <v>16</v>
      </c>
      <c r="O21" s="18"/>
      <c r="P21" s="23">
        <f t="shared" si="3"/>
        <v>0</v>
      </c>
      <c r="Q21" s="88">
        <v>16.37</v>
      </c>
      <c r="R21" s="43">
        <f t="shared" si="4"/>
        <v>0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+'30'!J22</f>
        <v>9</v>
      </c>
      <c r="F22" s="69"/>
      <c r="G22" s="46">
        <f t="shared" si="0"/>
        <v>9</v>
      </c>
      <c r="H22" s="76">
        <v>0</v>
      </c>
      <c r="I22" s="74">
        <v>0</v>
      </c>
      <c r="J22" s="46">
        <f t="shared" si="1"/>
        <v>8</v>
      </c>
      <c r="K22" s="70">
        <v>1</v>
      </c>
      <c r="L22" s="15">
        <v>120</v>
      </c>
      <c r="M22" s="63">
        <f t="shared" si="2"/>
        <v>120</v>
      </c>
      <c r="N22" s="17" t="s">
        <v>16</v>
      </c>
      <c r="O22" s="18"/>
      <c r="P22" s="161">
        <f t="shared" si="3"/>
        <v>120</v>
      </c>
      <c r="Q22" s="88">
        <v>25.99</v>
      </c>
      <c r="R22" s="43">
        <f t="shared" si="4"/>
        <v>25.99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+'30'!J23</f>
        <v>10</v>
      </c>
      <c r="F23" s="69"/>
      <c r="G23" s="46">
        <f t="shared" si="0"/>
        <v>10</v>
      </c>
      <c r="H23" s="76">
        <v>0</v>
      </c>
      <c r="I23" s="74">
        <v>0</v>
      </c>
      <c r="J23" s="46">
        <f t="shared" si="1"/>
        <v>7</v>
      </c>
      <c r="K23" s="70">
        <v>3</v>
      </c>
      <c r="L23" s="15">
        <v>120</v>
      </c>
      <c r="M23" s="63">
        <f t="shared" si="2"/>
        <v>360</v>
      </c>
      <c r="N23" s="17" t="s">
        <v>16</v>
      </c>
      <c r="O23" s="18"/>
      <c r="P23" s="161">
        <f t="shared" si="3"/>
        <v>360</v>
      </c>
      <c r="Q23" s="88">
        <v>28.31</v>
      </c>
      <c r="R23" s="43">
        <f t="shared" si="4"/>
        <v>84.929999999999993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+'30'!J24</f>
        <v>10</v>
      </c>
      <c r="F24" s="69"/>
      <c r="G24" s="46">
        <f t="shared" si="0"/>
        <v>10</v>
      </c>
      <c r="H24" s="76">
        <v>0</v>
      </c>
      <c r="I24" s="74">
        <v>0</v>
      </c>
      <c r="J24" s="46">
        <f t="shared" si="1"/>
        <v>10</v>
      </c>
      <c r="K24" s="70"/>
      <c r="L24" s="15">
        <v>120</v>
      </c>
      <c r="M24" s="63">
        <f t="shared" si="2"/>
        <v>0</v>
      </c>
      <c r="N24" s="17" t="s">
        <v>16</v>
      </c>
      <c r="O24" s="18"/>
      <c r="P24" s="23">
        <f t="shared" si="3"/>
        <v>0</v>
      </c>
      <c r="Q24" s="88">
        <v>31.07</v>
      </c>
      <c r="R24" s="43">
        <f t="shared" si="4"/>
        <v>0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+'30'!J25</f>
        <v>9</v>
      </c>
      <c r="F25" s="69"/>
      <c r="G25" s="46">
        <f t="shared" si="0"/>
        <v>9</v>
      </c>
      <c r="H25" s="76">
        <v>0</v>
      </c>
      <c r="I25" s="74">
        <v>0</v>
      </c>
      <c r="J25" s="46">
        <f t="shared" si="1"/>
        <v>8</v>
      </c>
      <c r="K25" s="70">
        <v>1</v>
      </c>
      <c r="L25" s="20">
        <v>120</v>
      </c>
      <c r="M25" s="63">
        <f t="shared" si="2"/>
        <v>120</v>
      </c>
      <c r="N25" s="17" t="s">
        <v>16</v>
      </c>
      <c r="O25" s="18">
        <v>20</v>
      </c>
      <c r="P25" s="161">
        <f t="shared" si="3"/>
        <v>100</v>
      </c>
      <c r="Q25" s="88">
        <v>29.83</v>
      </c>
      <c r="R25" s="43">
        <f t="shared" si="4"/>
        <v>29.83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+'30'!J26</f>
        <v>5</v>
      </c>
      <c r="F26" s="69"/>
      <c r="G26" s="46">
        <f t="shared" si="0"/>
        <v>5</v>
      </c>
      <c r="H26" s="76">
        <v>0</v>
      </c>
      <c r="I26" s="74">
        <v>0</v>
      </c>
      <c r="J26" s="46">
        <f t="shared" si="1"/>
        <v>2</v>
      </c>
      <c r="K26" s="70">
        <v>3</v>
      </c>
      <c r="L26" s="15">
        <v>120</v>
      </c>
      <c r="M26" s="63">
        <f t="shared" si="2"/>
        <v>360</v>
      </c>
      <c r="N26" s="17" t="s">
        <v>16</v>
      </c>
      <c r="O26" s="18">
        <v>60</v>
      </c>
      <c r="P26" s="161">
        <f t="shared" si="3"/>
        <v>300</v>
      </c>
      <c r="Q26" s="88">
        <v>26.39</v>
      </c>
      <c r="R26" s="43">
        <f t="shared" si="4"/>
        <v>79.17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+'30'!J27</f>
        <v>5</v>
      </c>
      <c r="F27" s="69"/>
      <c r="G27" s="46">
        <f t="shared" si="0"/>
        <v>5</v>
      </c>
      <c r="H27" s="76">
        <v>0</v>
      </c>
      <c r="I27" s="74">
        <v>0</v>
      </c>
      <c r="J27" s="46">
        <f t="shared" si="1"/>
        <v>5</v>
      </c>
      <c r="K27" s="70"/>
      <c r="L27" s="15">
        <v>50</v>
      </c>
      <c r="M27" s="63">
        <f t="shared" si="2"/>
        <v>0</v>
      </c>
      <c r="N27" s="17" t="s">
        <v>16</v>
      </c>
      <c r="O27" s="18"/>
      <c r="P27" s="23">
        <f t="shared" si="3"/>
        <v>0</v>
      </c>
      <c r="Q27" s="88">
        <v>23.69</v>
      </c>
      <c r="R27" s="43">
        <f t="shared" si="4"/>
        <v>0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+'30'!J28</f>
        <v>2</v>
      </c>
      <c r="F28" s="69"/>
      <c r="G28" s="46">
        <f t="shared" si="0"/>
        <v>2</v>
      </c>
      <c r="H28" s="76">
        <v>0</v>
      </c>
      <c r="I28" s="74">
        <v>0</v>
      </c>
      <c r="J28" s="46">
        <f t="shared" si="1"/>
        <v>0</v>
      </c>
      <c r="K28" s="70">
        <v>2</v>
      </c>
      <c r="L28" s="21">
        <v>50</v>
      </c>
      <c r="M28" s="63">
        <f t="shared" si="2"/>
        <v>100</v>
      </c>
      <c r="N28" s="17" t="s">
        <v>16</v>
      </c>
      <c r="O28" s="18"/>
      <c r="P28" s="161">
        <f t="shared" si="3"/>
        <v>100</v>
      </c>
      <c r="Q28" s="88">
        <v>22.49</v>
      </c>
      <c r="R28" s="43">
        <f t="shared" si="4"/>
        <v>44.98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+'30'!J29</f>
        <v>0</v>
      </c>
      <c r="F29" s="69"/>
      <c r="G29" s="46">
        <f t="shared" si="0"/>
        <v>0</v>
      </c>
      <c r="H29" s="76">
        <v>0</v>
      </c>
      <c r="I29" s="74">
        <v>0</v>
      </c>
      <c r="J29" s="46">
        <f t="shared" si="1"/>
        <v>0</v>
      </c>
      <c r="K29" s="70"/>
      <c r="L29" s="21">
        <v>50</v>
      </c>
      <c r="M29" s="63">
        <f t="shared" si="2"/>
        <v>0</v>
      </c>
      <c r="N29" s="17" t="s">
        <v>16</v>
      </c>
      <c r="O29" s="18"/>
      <c r="P29" s="23">
        <f t="shared" si="3"/>
        <v>0</v>
      </c>
      <c r="Q29" s="88">
        <v>17.09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+'30'!J30</f>
        <v>1</v>
      </c>
      <c r="F30" s="69">
        <v>20</v>
      </c>
      <c r="G30" s="46">
        <f t="shared" si="0"/>
        <v>21</v>
      </c>
      <c r="H30" s="76">
        <v>0</v>
      </c>
      <c r="I30" s="74">
        <v>0</v>
      </c>
      <c r="J30" s="46">
        <f t="shared" si="1"/>
        <v>15</v>
      </c>
      <c r="K30" s="70">
        <v>6</v>
      </c>
      <c r="L30" s="22">
        <v>50</v>
      </c>
      <c r="M30" s="63">
        <f t="shared" si="2"/>
        <v>300</v>
      </c>
      <c r="N30" s="17" t="s">
        <v>16</v>
      </c>
      <c r="O30" s="18"/>
      <c r="P30" s="161">
        <f t="shared" si="3"/>
        <v>300</v>
      </c>
      <c r="Q30" s="88">
        <v>25.15</v>
      </c>
      <c r="R30" s="43">
        <f t="shared" si="4"/>
        <v>150.89999999999998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+'30'!J31</f>
        <v>0</v>
      </c>
      <c r="F31" s="69">
        <v>10</v>
      </c>
      <c r="G31" s="46">
        <f t="shared" si="0"/>
        <v>10</v>
      </c>
      <c r="H31" s="76">
        <v>0</v>
      </c>
      <c r="I31" s="74">
        <v>0</v>
      </c>
      <c r="J31" s="46">
        <f t="shared" si="1"/>
        <v>10</v>
      </c>
      <c r="K31" s="70"/>
      <c r="L31" s="22">
        <v>55</v>
      </c>
      <c r="M31" s="63">
        <f t="shared" si="2"/>
        <v>0</v>
      </c>
      <c r="N31" s="17" t="s">
        <v>16</v>
      </c>
      <c r="O31" s="18"/>
      <c r="P31" s="23">
        <f t="shared" si="3"/>
        <v>0</v>
      </c>
      <c r="Q31" s="88">
        <v>14.35</v>
      </c>
      <c r="R31" s="43">
        <f t="shared" si="4"/>
        <v>0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+'30'!J32</f>
        <v>4</v>
      </c>
      <c r="F32" s="69">
        <v>5</v>
      </c>
      <c r="G32" s="46">
        <f t="shared" si="0"/>
        <v>9</v>
      </c>
      <c r="H32" s="76">
        <v>0</v>
      </c>
      <c r="I32" s="74">
        <v>0</v>
      </c>
      <c r="J32" s="46">
        <f t="shared" si="1"/>
        <v>6</v>
      </c>
      <c r="K32" s="70">
        <v>3</v>
      </c>
      <c r="L32" s="22">
        <v>55</v>
      </c>
      <c r="M32" s="63">
        <f t="shared" si="2"/>
        <v>165</v>
      </c>
      <c r="N32" s="17" t="s">
        <v>16</v>
      </c>
      <c r="O32" s="18"/>
      <c r="P32" s="161">
        <f t="shared" si="3"/>
        <v>165</v>
      </c>
      <c r="Q32" s="88">
        <v>19.579999999999998</v>
      </c>
      <c r="R32" s="43">
        <f t="shared" si="4"/>
        <v>58.739999999999995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+'30'!J33</f>
        <v>11</v>
      </c>
      <c r="F33" s="69"/>
      <c r="G33" s="46">
        <f t="shared" si="0"/>
        <v>11</v>
      </c>
      <c r="H33" s="76">
        <v>0</v>
      </c>
      <c r="I33" s="74">
        <v>0</v>
      </c>
      <c r="J33" s="46">
        <f t="shared" si="1"/>
        <v>7</v>
      </c>
      <c r="K33" s="70">
        <v>4</v>
      </c>
      <c r="L33" s="22">
        <v>100</v>
      </c>
      <c r="M33" s="63">
        <f t="shared" si="2"/>
        <v>400</v>
      </c>
      <c r="N33" s="17" t="s">
        <v>16</v>
      </c>
      <c r="O33" s="18"/>
      <c r="P33" s="161">
        <f t="shared" si="3"/>
        <v>400</v>
      </c>
      <c r="Q33" s="88">
        <v>23.61</v>
      </c>
      <c r="R33" s="43">
        <f t="shared" si="4"/>
        <v>94.44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+'30'!J34</f>
        <v>6</v>
      </c>
      <c r="F34" s="69"/>
      <c r="G34" s="46">
        <f t="shared" si="0"/>
        <v>6</v>
      </c>
      <c r="H34" s="76">
        <v>0</v>
      </c>
      <c r="I34" s="74">
        <v>0</v>
      </c>
      <c r="J34" s="46">
        <f t="shared" si="1"/>
        <v>4</v>
      </c>
      <c r="K34" s="70">
        <v>2</v>
      </c>
      <c r="L34" s="20">
        <v>55</v>
      </c>
      <c r="M34" s="63">
        <f t="shared" si="2"/>
        <v>110</v>
      </c>
      <c r="N34" s="17" t="s">
        <v>16</v>
      </c>
      <c r="O34" s="18"/>
      <c r="P34" s="161">
        <f t="shared" si="3"/>
        <v>110</v>
      </c>
      <c r="Q34" s="88">
        <v>34.25</v>
      </c>
      <c r="R34" s="43">
        <f t="shared" si="4"/>
        <v>68.5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+'30'!J35</f>
        <v>15</v>
      </c>
      <c r="F35" s="69"/>
      <c r="G35" s="46">
        <f t="shared" si="0"/>
        <v>15</v>
      </c>
      <c r="H35" s="76">
        <v>0</v>
      </c>
      <c r="I35" s="74">
        <v>0</v>
      </c>
      <c r="J35" s="46">
        <f t="shared" si="1"/>
        <v>12</v>
      </c>
      <c r="K35" s="70">
        <v>3</v>
      </c>
      <c r="L35" s="15">
        <v>60</v>
      </c>
      <c r="M35" s="63">
        <f t="shared" si="2"/>
        <v>180</v>
      </c>
      <c r="N35" s="17" t="s">
        <v>16</v>
      </c>
      <c r="O35" s="18"/>
      <c r="P35" s="161">
        <f t="shared" si="3"/>
        <v>180</v>
      </c>
      <c r="Q35" s="88">
        <v>23.61</v>
      </c>
      <c r="R35" s="43">
        <f t="shared" si="4"/>
        <v>70.83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+'30'!J36</f>
        <v>10</v>
      </c>
      <c r="F36" s="69"/>
      <c r="G36" s="46">
        <f t="shared" si="0"/>
        <v>10</v>
      </c>
      <c r="H36" s="76">
        <v>0</v>
      </c>
      <c r="I36" s="74">
        <v>0</v>
      </c>
      <c r="J36" s="46">
        <f t="shared" si="1"/>
        <v>5</v>
      </c>
      <c r="K36" s="70">
        <v>5</v>
      </c>
      <c r="L36" s="15">
        <v>100</v>
      </c>
      <c r="M36" s="63">
        <f t="shared" si="2"/>
        <v>500</v>
      </c>
      <c r="N36" s="17" t="s">
        <v>1437</v>
      </c>
      <c r="O36" s="18">
        <v>100</v>
      </c>
      <c r="P36" s="161">
        <f t="shared" si="3"/>
        <v>400</v>
      </c>
      <c r="Q36" s="88">
        <v>13.03</v>
      </c>
      <c r="R36" s="43">
        <f t="shared" si="4"/>
        <v>65.149999999999991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+'30'!J37</f>
        <v>7</v>
      </c>
      <c r="F37" s="69"/>
      <c r="G37" s="46">
        <f t="shared" si="0"/>
        <v>7</v>
      </c>
      <c r="H37" s="76">
        <v>0</v>
      </c>
      <c r="I37" s="74">
        <v>0</v>
      </c>
      <c r="J37" s="46">
        <f t="shared" si="1"/>
        <v>7</v>
      </c>
      <c r="K37" s="70"/>
      <c r="L37" s="15">
        <v>55</v>
      </c>
      <c r="M37" s="63">
        <f t="shared" si="2"/>
        <v>0</v>
      </c>
      <c r="N37" s="17" t="s">
        <v>16</v>
      </c>
      <c r="O37" s="18"/>
      <c r="P37" s="23">
        <f t="shared" si="3"/>
        <v>0</v>
      </c>
      <c r="Q37" s="88">
        <v>11.91</v>
      </c>
      <c r="R37" s="43">
        <f t="shared" si="4"/>
        <v>0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+'30'!J38</f>
        <v>5</v>
      </c>
      <c r="F38" s="69"/>
      <c r="G38" s="46">
        <f t="shared" si="0"/>
        <v>5</v>
      </c>
      <c r="H38" s="76">
        <v>0</v>
      </c>
      <c r="I38" s="74">
        <v>0</v>
      </c>
      <c r="J38" s="46">
        <f t="shared" si="1"/>
        <v>4</v>
      </c>
      <c r="K38" s="70">
        <v>1</v>
      </c>
      <c r="L38" s="15">
        <v>50</v>
      </c>
      <c r="M38" s="63">
        <f>+L38*K38</f>
        <v>50</v>
      </c>
      <c r="N38" s="17" t="s">
        <v>16</v>
      </c>
      <c r="O38" s="18"/>
      <c r="P38" s="161">
        <f>SUM(M38-O38)</f>
        <v>50</v>
      </c>
      <c r="Q38" s="88">
        <v>9.91</v>
      </c>
      <c r="R38" s="43">
        <f>+K38*Q38</f>
        <v>9.91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+'30'!J39</f>
        <v>4</v>
      </c>
      <c r="F39" s="69"/>
      <c r="G39" s="46">
        <f t="shared" si="0"/>
        <v>4</v>
      </c>
      <c r="H39" s="76">
        <v>0</v>
      </c>
      <c r="I39" s="74">
        <v>0</v>
      </c>
      <c r="J39" s="46">
        <f t="shared" si="1"/>
        <v>3</v>
      </c>
      <c r="K39" s="70">
        <v>1</v>
      </c>
      <c r="L39" s="20">
        <v>35</v>
      </c>
      <c r="M39" s="63">
        <f t="shared" si="2"/>
        <v>35</v>
      </c>
      <c r="N39" s="17" t="s">
        <v>16</v>
      </c>
      <c r="O39" s="18"/>
      <c r="P39" s="161">
        <f t="shared" si="3"/>
        <v>35</v>
      </c>
      <c r="Q39" s="88">
        <v>16.690000000000001</v>
      </c>
      <c r="R39" s="43">
        <f t="shared" si="4"/>
        <v>16.690000000000001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+'30'!J40</f>
        <v>4</v>
      </c>
      <c r="F40" s="69"/>
      <c r="G40" s="46">
        <f t="shared" si="0"/>
        <v>4</v>
      </c>
      <c r="H40" s="76">
        <v>0</v>
      </c>
      <c r="I40" s="74">
        <v>0</v>
      </c>
      <c r="J40" s="46">
        <f t="shared" si="1"/>
        <v>1</v>
      </c>
      <c r="K40" s="70">
        <v>3</v>
      </c>
      <c r="L40" s="20">
        <v>50</v>
      </c>
      <c r="M40" s="63">
        <f t="shared" si="2"/>
        <v>150</v>
      </c>
      <c r="N40" s="17" t="s">
        <v>16</v>
      </c>
      <c r="O40" s="18"/>
      <c r="P40" s="161">
        <f t="shared" si="3"/>
        <v>150</v>
      </c>
      <c r="Q40" s="88">
        <v>24.21</v>
      </c>
      <c r="R40" s="43">
        <f t="shared" si="4"/>
        <v>72.63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+'30'!J41</f>
        <v>7</v>
      </c>
      <c r="F41" s="69"/>
      <c r="G41" s="46">
        <f t="shared" si="0"/>
        <v>7</v>
      </c>
      <c r="H41" s="76">
        <v>0</v>
      </c>
      <c r="I41" s="74">
        <v>0</v>
      </c>
      <c r="J41" s="46">
        <f t="shared" si="1"/>
        <v>5</v>
      </c>
      <c r="K41" s="70">
        <v>2</v>
      </c>
      <c r="L41" s="20">
        <v>65</v>
      </c>
      <c r="M41" s="63">
        <f t="shared" si="2"/>
        <v>130</v>
      </c>
      <c r="N41" s="17" t="s">
        <v>16</v>
      </c>
      <c r="O41" s="18">
        <v>56</v>
      </c>
      <c r="P41" s="161">
        <f t="shared" si="3"/>
        <v>74</v>
      </c>
      <c r="Q41" s="88">
        <v>23.02</v>
      </c>
      <c r="R41" s="43">
        <f t="shared" si="4"/>
        <v>46.04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+'30'!J42</f>
        <v>467</v>
      </c>
      <c r="F42" s="69"/>
      <c r="G42" s="46">
        <f t="shared" si="0"/>
        <v>467</v>
      </c>
      <c r="H42" s="76">
        <v>0</v>
      </c>
      <c r="I42" s="74">
        <v>0</v>
      </c>
      <c r="J42" s="46">
        <f t="shared" si="1"/>
        <v>465</v>
      </c>
      <c r="K42" s="70">
        <v>2</v>
      </c>
      <c r="L42" s="20">
        <v>10</v>
      </c>
      <c r="M42" s="63">
        <f t="shared" si="2"/>
        <v>20</v>
      </c>
      <c r="N42" s="17" t="s">
        <v>16</v>
      </c>
      <c r="O42" s="18"/>
      <c r="P42" s="161">
        <f t="shared" si="3"/>
        <v>20</v>
      </c>
      <c r="Q42" s="88">
        <v>6.3</v>
      </c>
      <c r="R42" s="43">
        <f t="shared" si="4"/>
        <v>12.6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+'30'!J43</f>
        <v>100</v>
      </c>
      <c r="F43" s="69">
        <v>73</v>
      </c>
      <c r="G43" s="46">
        <f t="shared" si="0"/>
        <v>173</v>
      </c>
      <c r="H43" s="76">
        <v>0</v>
      </c>
      <c r="I43" s="74">
        <v>0</v>
      </c>
      <c r="J43" s="46">
        <f t="shared" si="1"/>
        <v>173</v>
      </c>
      <c r="K43" s="70"/>
      <c r="L43" s="22">
        <v>10</v>
      </c>
      <c r="M43" s="63">
        <f>+L43*K43</f>
        <v>0</v>
      </c>
      <c r="N43" s="17" t="s">
        <v>16</v>
      </c>
      <c r="O43" s="18"/>
      <c r="P43" s="23">
        <f>SUM(M43-O43)</f>
        <v>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+'30'!J44</f>
        <v>5</v>
      </c>
      <c r="F44" s="69"/>
      <c r="G44" s="46">
        <f t="shared" si="0"/>
        <v>5</v>
      </c>
      <c r="H44" s="76">
        <v>0</v>
      </c>
      <c r="I44" s="74">
        <v>0</v>
      </c>
      <c r="J44" s="46">
        <f t="shared" si="1"/>
        <v>1</v>
      </c>
      <c r="K44" s="70">
        <v>4</v>
      </c>
      <c r="L44" s="20">
        <v>150</v>
      </c>
      <c r="M44" s="63">
        <f t="shared" si="2"/>
        <v>600</v>
      </c>
      <c r="N44" s="17" t="s">
        <v>16</v>
      </c>
      <c r="O44" s="18"/>
      <c r="P44" s="161">
        <f t="shared" si="3"/>
        <v>600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+'30'!J45</f>
        <v>9</v>
      </c>
      <c r="F45" s="69"/>
      <c r="G45" s="46">
        <f t="shared" si="0"/>
        <v>9</v>
      </c>
      <c r="H45" s="76">
        <v>0</v>
      </c>
      <c r="I45" s="74">
        <v>0</v>
      </c>
      <c r="J45" s="46">
        <f t="shared" si="1"/>
        <v>9</v>
      </c>
      <c r="K45" s="70"/>
      <c r="L45" s="15">
        <v>150</v>
      </c>
      <c r="M45" s="63">
        <f t="shared" si="2"/>
        <v>0</v>
      </c>
      <c r="N45" s="17" t="s">
        <v>16</v>
      </c>
      <c r="O45" s="18"/>
      <c r="P45" s="23">
        <f t="shared" si="3"/>
        <v>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+'30'!J46</f>
        <v>1</v>
      </c>
      <c r="F46" s="69"/>
      <c r="G46" s="46">
        <f t="shared" si="0"/>
        <v>1</v>
      </c>
      <c r="H46" s="76">
        <v>0</v>
      </c>
      <c r="I46" s="74">
        <v>0</v>
      </c>
      <c r="J46" s="46">
        <f t="shared" si="1"/>
        <v>0</v>
      </c>
      <c r="K46" s="70">
        <v>1</v>
      </c>
      <c r="L46" s="15">
        <v>25</v>
      </c>
      <c r="M46" s="63">
        <f t="shared" si="2"/>
        <v>25</v>
      </c>
      <c r="N46" s="17" t="s">
        <v>16</v>
      </c>
      <c r="O46" s="18"/>
      <c r="P46" s="161">
        <f t="shared" si="3"/>
        <v>25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+'30'!J47</f>
        <v>11</v>
      </c>
      <c r="F47" s="69">
        <v>10</v>
      </c>
      <c r="G47" s="46">
        <f t="shared" si="0"/>
        <v>21</v>
      </c>
      <c r="H47" s="76">
        <v>0</v>
      </c>
      <c r="I47" s="74">
        <v>0</v>
      </c>
      <c r="J47" s="46">
        <f t="shared" si="1"/>
        <v>14</v>
      </c>
      <c r="K47" s="70">
        <v>7</v>
      </c>
      <c r="L47" s="15">
        <v>35</v>
      </c>
      <c r="M47" s="63">
        <f t="shared" si="2"/>
        <v>245</v>
      </c>
      <c r="N47" s="17" t="s">
        <v>16</v>
      </c>
      <c r="O47" s="18"/>
      <c r="P47" s="161">
        <f t="shared" si="3"/>
        <v>245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+'30'!J48</f>
        <v>162</v>
      </c>
      <c r="F48" s="69"/>
      <c r="G48" s="46">
        <f t="shared" si="0"/>
        <v>162</v>
      </c>
      <c r="H48" s="76">
        <v>0</v>
      </c>
      <c r="I48" s="74">
        <v>0</v>
      </c>
      <c r="J48" s="46">
        <f t="shared" si="1"/>
        <v>104</v>
      </c>
      <c r="K48" s="70">
        <v>58</v>
      </c>
      <c r="L48" s="15">
        <v>19</v>
      </c>
      <c r="M48" s="63">
        <f>+L48*K48</f>
        <v>1102</v>
      </c>
      <c r="N48" s="17" t="s">
        <v>16</v>
      </c>
      <c r="O48" s="18"/>
      <c r="P48" s="161">
        <f>SUM(M48-O48)</f>
        <v>1102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+'30'!J49</f>
        <v>197</v>
      </c>
      <c r="F49" s="69"/>
      <c r="G49" s="46">
        <f t="shared" si="0"/>
        <v>197</v>
      </c>
      <c r="H49" s="76">
        <v>0</v>
      </c>
      <c r="I49" s="74">
        <v>0</v>
      </c>
      <c r="J49" s="46">
        <f t="shared" si="1"/>
        <v>190</v>
      </c>
      <c r="K49" s="70">
        <v>7</v>
      </c>
      <c r="L49" s="15">
        <v>25</v>
      </c>
      <c r="M49" s="63">
        <f>+L49*K49</f>
        <v>175</v>
      </c>
      <c r="N49" s="17" t="s">
        <v>16</v>
      </c>
      <c r="O49" s="18"/>
      <c r="P49" s="161">
        <f>SUM(M49-O49)</f>
        <v>175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+'30'!J50</f>
        <v>44</v>
      </c>
      <c r="F50" s="69">
        <v>51</v>
      </c>
      <c r="G50" s="46">
        <f t="shared" si="0"/>
        <v>95</v>
      </c>
      <c r="H50" s="76">
        <v>0</v>
      </c>
      <c r="I50" s="74">
        <v>0</v>
      </c>
      <c r="J50" s="46">
        <f t="shared" si="1"/>
        <v>83</v>
      </c>
      <c r="K50" s="70">
        <v>12</v>
      </c>
      <c r="L50" s="15">
        <v>25</v>
      </c>
      <c r="M50" s="63">
        <f t="shared" si="2"/>
        <v>300</v>
      </c>
      <c r="N50" s="17" t="s">
        <v>16</v>
      </c>
      <c r="O50" s="18"/>
      <c r="P50" s="161">
        <f t="shared" si="3"/>
        <v>300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+'30'!J51</f>
        <v>45</v>
      </c>
      <c r="F51" s="69"/>
      <c r="G51" s="46">
        <f t="shared" si="0"/>
        <v>45</v>
      </c>
      <c r="H51" s="76">
        <v>0</v>
      </c>
      <c r="I51" s="74">
        <v>0</v>
      </c>
      <c r="J51" s="46">
        <f t="shared" si="1"/>
        <v>39</v>
      </c>
      <c r="K51" s="70">
        <v>6</v>
      </c>
      <c r="L51" s="20">
        <v>25</v>
      </c>
      <c r="M51" s="63">
        <f>+L51*K51</f>
        <v>150</v>
      </c>
      <c r="N51" s="17" t="s">
        <v>16</v>
      </c>
      <c r="O51" s="18"/>
      <c r="P51" s="161">
        <f>SUM(M51-O51)</f>
        <v>150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+'30'!J52</f>
        <v>46</v>
      </c>
      <c r="F52" s="69"/>
      <c r="G52" s="46">
        <f t="shared" si="0"/>
        <v>46</v>
      </c>
      <c r="H52" s="76">
        <v>0</v>
      </c>
      <c r="I52" s="74">
        <v>0</v>
      </c>
      <c r="J52" s="46">
        <f t="shared" si="1"/>
        <v>42</v>
      </c>
      <c r="K52" s="70">
        <v>4</v>
      </c>
      <c r="L52" s="20">
        <v>35</v>
      </c>
      <c r="M52" s="63">
        <f>+L52*K52</f>
        <v>140</v>
      </c>
      <c r="N52" s="17" t="s">
        <v>16</v>
      </c>
      <c r="O52" s="18"/>
      <c r="P52" s="161">
        <f>SUM(M52-O52)</f>
        <v>140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+'30'!J53</f>
        <v>46</v>
      </c>
      <c r="F53" s="69"/>
      <c r="G53" s="46">
        <f t="shared" si="0"/>
        <v>46</v>
      </c>
      <c r="H53" s="76">
        <v>0</v>
      </c>
      <c r="I53" s="74">
        <v>0</v>
      </c>
      <c r="J53" s="46">
        <f t="shared" si="1"/>
        <v>46</v>
      </c>
      <c r="K53" s="70"/>
      <c r="L53" s="15">
        <v>35</v>
      </c>
      <c r="M53" s="63">
        <f>+L53*K53</f>
        <v>0</v>
      </c>
      <c r="N53" s="17" t="s">
        <v>16</v>
      </c>
      <c r="O53" s="18"/>
      <c r="P53" s="23">
        <f>SUM(M53-O53)</f>
        <v>0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+'30'!J54</f>
        <v>18</v>
      </c>
      <c r="F54" s="69"/>
      <c r="G54" s="46">
        <f t="shared" si="0"/>
        <v>18</v>
      </c>
      <c r="H54" s="76">
        <v>0</v>
      </c>
      <c r="I54" s="74">
        <v>0</v>
      </c>
      <c r="J54" s="46">
        <f t="shared" si="1"/>
        <v>16</v>
      </c>
      <c r="K54" s="70">
        <v>2</v>
      </c>
      <c r="L54" s="15">
        <v>35</v>
      </c>
      <c r="M54" s="63">
        <f t="shared" si="2"/>
        <v>70</v>
      </c>
      <c r="N54" s="17" t="s">
        <v>16</v>
      </c>
      <c r="O54" s="18"/>
      <c r="P54" s="161">
        <f t="shared" si="3"/>
        <v>70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+'30'!J55</f>
        <v>11</v>
      </c>
      <c r="F55" s="69"/>
      <c r="G55" s="46">
        <f t="shared" si="0"/>
        <v>11</v>
      </c>
      <c r="H55" s="76">
        <v>0</v>
      </c>
      <c r="I55" s="74">
        <v>0</v>
      </c>
      <c r="J55" s="46">
        <f t="shared" si="1"/>
        <v>8</v>
      </c>
      <c r="K55" s="70">
        <v>3</v>
      </c>
      <c r="L55" s="15">
        <v>120</v>
      </c>
      <c r="M55" s="63">
        <f>+L55*K55</f>
        <v>360</v>
      </c>
      <c r="N55" s="17" t="s">
        <v>1437</v>
      </c>
      <c r="O55" s="18">
        <v>120</v>
      </c>
      <c r="P55" s="161">
        <f>SUM(M55-O55)</f>
        <v>240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+'30'!J56</f>
        <v>14</v>
      </c>
      <c r="F56" s="69"/>
      <c r="G56" s="46">
        <f t="shared" si="0"/>
        <v>14</v>
      </c>
      <c r="H56" s="76">
        <v>0</v>
      </c>
      <c r="I56" s="74">
        <v>0</v>
      </c>
      <c r="J56" s="46">
        <f t="shared" si="1"/>
        <v>10</v>
      </c>
      <c r="K56" s="70">
        <v>4</v>
      </c>
      <c r="L56" s="15">
        <v>120</v>
      </c>
      <c r="M56" s="63">
        <f>+L56*K56</f>
        <v>480</v>
      </c>
      <c r="N56" s="17" t="s">
        <v>16</v>
      </c>
      <c r="O56" s="18"/>
      <c r="P56" s="161">
        <f>SUM(M56-O56)</f>
        <v>480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+'30'!J57</f>
        <v>16</v>
      </c>
      <c r="F57" s="69"/>
      <c r="G57" s="46">
        <f t="shared" si="0"/>
        <v>16</v>
      </c>
      <c r="H57" s="76">
        <v>0</v>
      </c>
      <c r="I57" s="74">
        <v>0</v>
      </c>
      <c r="J57" s="46">
        <f t="shared" si="1"/>
        <v>11</v>
      </c>
      <c r="K57" s="70">
        <v>5</v>
      </c>
      <c r="L57" s="20">
        <v>120</v>
      </c>
      <c r="M57" s="63">
        <f t="shared" si="2"/>
        <v>600</v>
      </c>
      <c r="N57" s="17" t="s">
        <v>16</v>
      </c>
      <c r="O57" s="18"/>
      <c r="P57" s="161">
        <f t="shared" ref="P57:P65" si="5">SUM(M57-O57)</f>
        <v>600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+'30'!J58</f>
        <v>12</v>
      </c>
      <c r="F58" s="69"/>
      <c r="G58" s="46">
        <f t="shared" si="0"/>
        <v>12</v>
      </c>
      <c r="H58" s="76">
        <v>0</v>
      </c>
      <c r="I58" s="74">
        <v>0</v>
      </c>
      <c r="J58" s="46">
        <f t="shared" si="1"/>
        <v>11</v>
      </c>
      <c r="K58" s="70">
        <v>1</v>
      </c>
      <c r="L58" s="20">
        <v>120</v>
      </c>
      <c r="M58" s="63">
        <f t="shared" si="2"/>
        <v>120</v>
      </c>
      <c r="N58" s="17" t="s">
        <v>16</v>
      </c>
      <c r="O58" s="18"/>
      <c r="P58" s="161">
        <f t="shared" si="5"/>
        <v>120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/>
      <c r="D59" s="10"/>
      <c r="E59" s="62">
        <f>+'30'!J59</f>
        <v>0</v>
      </c>
      <c r="F59" s="69"/>
      <c r="G59" s="46"/>
      <c r="H59" s="76"/>
      <c r="I59" s="74"/>
      <c r="J59" s="46"/>
      <c r="K59" s="70"/>
      <c r="L59" s="20"/>
      <c r="M59" s="63"/>
      <c r="N59" s="17"/>
      <c r="O59" s="18"/>
      <c r="P59" s="23">
        <f t="shared" si="5"/>
        <v>0</v>
      </c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+'30'!J60</f>
        <v>0</v>
      </c>
      <c r="F60" s="69"/>
      <c r="G60" s="46"/>
      <c r="H60" s="76"/>
      <c r="I60" s="74"/>
      <c r="J60" s="46"/>
      <c r="K60" s="70"/>
      <c r="L60" s="20"/>
      <c r="M60" s="63"/>
      <c r="N60" s="17"/>
      <c r="O60" s="18"/>
      <c r="P60" s="23">
        <f t="shared" si="5"/>
        <v>0</v>
      </c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+'30'!J61</f>
        <v>0</v>
      </c>
      <c r="F61" s="69"/>
      <c r="G61" s="46"/>
      <c r="H61" s="76"/>
      <c r="I61" s="74"/>
      <c r="J61" s="46"/>
      <c r="K61" s="70"/>
      <c r="L61" s="20"/>
      <c r="M61" s="63"/>
      <c r="N61" s="17"/>
      <c r="O61" s="18"/>
      <c r="P61" s="23">
        <f t="shared" si="5"/>
        <v>0</v>
      </c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>
        <f>+'30'!J62</f>
        <v>0</v>
      </c>
      <c r="F62" s="69"/>
      <c r="G62" s="46"/>
      <c r="H62" s="76"/>
      <c r="I62" s="74"/>
      <c r="J62" s="46"/>
      <c r="K62" s="70"/>
      <c r="L62" s="20"/>
      <c r="M62" s="63"/>
      <c r="N62" s="17"/>
      <c r="O62" s="18"/>
      <c r="P62" s="23">
        <f t="shared" si="5"/>
        <v>0</v>
      </c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>
        <f>+'30'!J63</f>
        <v>0</v>
      </c>
      <c r="F63" s="69"/>
      <c r="G63" s="46"/>
      <c r="H63" s="76"/>
      <c r="I63" s="74"/>
      <c r="J63" s="46"/>
      <c r="K63" s="70"/>
      <c r="L63" s="20"/>
      <c r="M63" s="63"/>
      <c r="N63" s="17"/>
      <c r="O63" s="18"/>
      <c r="P63" s="23">
        <f t="shared" si="5"/>
        <v>0</v>
      </c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>
        <f>+'30'!J64</f>
        <v>0</v>
      </c>
      <c r="F64" s="69"/>
      <c r="G64" s="46"/>
      <c r="H64" s="76"/>
      <c r="I64" s="74"/>
      <c r="J64" s="46"/>
      <c r="K64" s="70"/>
      <c r="L64" s="20"/>
      <c r="M64" s="63"/>
      <c r="N64" s="17"/>
      <c r="O64" s="18"/>
      <c r="P64" s="23">
        <f t="shared" si="5"/>
        <v>0</v>
      </c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/>
      <c r="F65" s="69"/>
      <c r="G65" s="46"/>
      <c r="H65" s="76"/>
      <c r="I65" s="74"/>
      <c r="J65" s="46"/>
      <c r="K65" s="70"/>
      <c r="L65" s="20"/>
      <c r="M65" s="63"/>
      <c r="N65" s="17"/>
      <c r="O65" s="18"/>
      <c r="P65" s="23">
        <f t="shared" si="5"/>
        <v>0</v>
      </c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4968.6999999999971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18897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/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9424</v>
      </c>
      <c r="O70" s="2">
        <v>9424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/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456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9017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9017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0</v>
      </c>
    </row>
    <row r="77" spans="1:19" ht="25.5" x14ac:dyDescent="0.55000000000000004">
      <c r="J77" s="2"/>
      <c r="L77" s="148" t="s">
        <v>211</v>
      </c>
      <c r="M77" s="149"/>
      <c r="N77" s="33">
        <f>+N75-N74</f>
        <v>0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E147-B49F-46AB-98B7-18E72711AE8F}">
  <sheetPr filterMode="1">
    <tabColor rgb="FFFFCCFF"/>
    <pageSetUpPr fitToPage="1"/>
  </sheetPr>
  <dimension ref="A1:S152"/>
  <sheetViews>
    <sheetView zoomScale="85" zoomScaleNormal="85" workbookViewId="0">
      <pane xSplit="10" ySplit="4" topLeftCell="K5" activePane="bottomRight" state="frozen"/>
      <selection activeCell="A66" sqref="A66:XFD74"/>
      <selection pane="topRight" activeCell="A66" sqref="A66:XFD74"/>
      <selection pane="bottomLeft" activeCell="A66" sqref="A66:XFD74"/>
      <selection pane="bottomRight" activeCell="O76" sqref="O76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+'1'!J5</f>
        <v>6</v>
      </c>
      <c r="F5" s="69">
        <v>50</v>
      </c>
      <c r="G5" s="46">
        <f t="shared" ref="G5:G58" si="0">E5+F5</f>
        <v>56</v>
      </c>
      <c r="H5" s="76">
        <v>0</v>
      </c>
      <c r="I5" s="74">
        <v>0</v>
      </c>
      <c r="J5" s="46">
        <f t="shared" ref="J5:J58" si="1">+G5-H5-K5-I5</f>
        <v>46</v>
      </c>
      <c r="K5" s="70">
        <v>10</v>
      </c>
      <c r="L5" s="15">
        <v>50</v>
      </c>
      <c r="M5" s="63">
        <f>+L5*K5</f>
        <v>500</v>
      </c>
      <c r="N5" s="17" t="s">
        <v>16</v>
      </c>
      <c r="O5" s="18"/>
      <c r="P5" s="161">
        <f>SUM(M5-O5)</f>
        <v>500</v>
      </c>
      <c r="Q5" s="88">
        <v>18.97</v>
      </c>
      <c r="R5" s="43">
        <f>+K5*Q5</f>
        <v>189.7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+'1'!J6</f>
        <v>16</v>
      </c>
      <c r="F6" s="69">
        <v>50</v>
      </c>
      <c r="G6" s="46">
        <f t="shared" si="0"/>
        <v>66</v>
      </c>
      <c r="H6" s="76">
        <v>0</v>
      </c>
      <c r="I6" s="74">
        <v>0</v>
      </c>
      <c r="J6" s="46">
        <f t="shared" si="1"/>
        <v>23</v>
      </c>
      <c r="K6" s="70">
        <v>43</v>
      </c>
      <c r="L6" s="15">
        <v>100</v>
      </c>
      <c r="M6" s="63">
        <f t="shared" ref="M6:M58" si="2">+L6*K6</f>
        <v>4300</v>
      </c>
      <c r="N6" s="17" t="s">
        <v>16</v>
      </c>
      <c r="O6" s="18"/>
      <c r="P6" s="161">
        <f t="shared" ref="P6:P58" si="3">SUM(M6-O6)</f>
        <v>4300</v>
      </c>
      <c r="Q6" s="88">
        <v>36.43</v>
      </c>
      <c r="R6" s="43">
        <f t="shared" ref="R6:R65" si="4">+K6*Q6</f>
        <v>1566.49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+'1'!J7</f>
        <v>25</v>
      </c>
      <c r="F7" s="69">
        <v>50</v>
      </c>
      <c r="G7" s="46">
        <f t="shared" si="0"/>
        <v>75</v>
      </c>
      <c r="H7" s="76">
        <v>0</v>
      </c>
      <c r="I7" s="74">
        <v>0</v>
      </c>
      <c r="J7" s="46">
        <f t="shared" si="1"/>
        <v>68</v>
      </c>
      <c r="K7" s="70">
        <v>7</v>
      </c>
      <c r="L7" s="15">
        <v>50</v>
      </c>
      <c r="M7" s="63">
        <f t="shared" si="2"/>
        <v>350</v>
      </c>
      <c r="N7" s="17" t="s">
        <v>16</v>
      </c>
      <c r="O7" s="18"/>
      <c r="P7" s="161">
        <f t="shared" si="3"/>
        <v>350</v>
      </c>
      <c r="Q7" s="88">
        <v>19.36</v>
      </c>
      <c r="R7" s="43">
        <f t="shared" si="4"/>
        <v>135.51999999999998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+'1'!J8</f>
        <v>0</v>
      </c>
      <c r="F8" s="69"/>
      <c r="G8" s="46">
        <f t="shared" si="0"/>
        <v>0</v>
      </c>
      <c r="H8" s="76">
        <v>0</v>
      </c>
      <c r="I8" s="74">
        <v>0</v>
      </c>
      <c r="J8" s="46">
        <f t="shared" si="1"/>
        <v>0</v>
      </c>
      <c r="K8" s="70"/>
      <c r="L8" s="15">
        <v>65</v>
      </c>
      <c r="M8" s="63">
        <f t="shared" si="2"/>
        <v>0</v>
      </c>
      <c r="N8" s="17" t="s">
        <v>16</v>
      </c>
      <c r="O8" s="18"/>
      <c r="P8" s="23">
        <f t="shared" si="3"/>
        <v>0</v>
      </c>
      <c r="Q8" s="88">
        <v>22.25</v>
      </c>
      <c r="R8" s="43">
        <f t="shared" si="4"/>
        <v>0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+'1'!J9</f>
        <v>1</v>
      </c>
      <c r="F9" s="69"/>
      <c r="G9" s="46">
        <f t="shared" si="0"/>
        <v>1</v>
      </c>
      <c r="H9" s="76">
        <v>0</v>
      </c>
      <c r="I9" s="74">
        <v>0</v>
      </c>
      <c r="J9" s="46">
        <f t="shared" si="1"/>
        <v>0</v>
      </c>
      <c r="K9" s="70">
        <v>1</v>
      </c>
      <c r="L9" s="15">
        <v>85</v>
      </c>
      <c r="M9" s="63">
        <f t="shared" si="2"/>
        <v>85</v>
      </c>
      <c r="N9" s="17" t="s">
        <v>16</v>
      </c>
      <c r="O9" s="18"/>
      <c r="P9" s="161">
        <f t="shared" si="3"/>
        <v>85</v>
      </c>
      <c r="Q9" s="88">
        <v>22.65</v>
      </c>
      <c r="R9" s="43">
        <f t="shared" si="4"/>
        <v>22.65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+'1'!J10</f>
        <v>5</v>
      </c>
      <c r="F10" s="69">
        <v>50</v>
      </c>
      <c r="G10" s="46">
        <f t="shared" si="0"/>
        <v>55</v>
      </c>
      <c r="H10" s="76">
        <v>0</v>
      </c>
      <c r="I10" s="74">
        <v>0</v>
      </c>
      <c r="J10" s="46">
        <f t="shared" si="1"/>
        <v>39</v>
      </c>
      <c r="K10" s="70">
        <v>16</v>
      </c>
      <c r="L10" s="15">
        <v>100</v>
      </c>
      <c r="M10" s="63">
        <f t="shared" si="2"/>
        <v>1600</v>
      </c>
      <c r="N10" s="17" t="s">
        <v>16</v>
      </c>
      <c r="O10" s="18"/>
      <c r="P10" s="161">
        <f t="shared" si="3"/>
        <v>1600</v>
      </c>
      <c r="Q10" s="88">
        <v>27.98</v>
      </c>
      <c r="R10" s="43">
        <f t="shared" si="4"/>
        <v>447.68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+'1'!J11</f>
        <v>28</v>
      </c>
      <c r="F11" s="69">
        <v>50</v>
      </c>
      <c r="G11" s="46">
        <f t="shared" si="0"/>
        <v>78</v>
      </c>
      <c r="H11" s="76">
        <v>0</v>
      </c>
      <c r="I11" s="74">
        <v>0</v>
      </c>
      <c r="J11" s="46">
        <f t="shared" si="1"/>
        <v>62</v>
      </c>
      <c r="K11" s="70">
        <v>16</v>
      </c>
      <c r="L11" s="15">
        <v>100</v>
      </c>
      <c r="M11" s="63">
        <f t="shared" si="2"/>
        <v>1600</v>
      </c>
      <c r="N11" s="17" t="s">
        <v>16</v>
      </c>
      <c r="O11" s="18"/>
      <c r="P11" s="161">
        <f t="shared" si="3"/>
        <v>1600</v>
      </c>
      <c r="Q11" s="88">
        <v>34.64</v>
      </c>
      <c r="R11" s="43">
        <f t="shared" si="4"/>
        <v>554.24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+'1'!J12</f>
        <v>28</v>
      </c>
      <c r="F12" s="69"/>
      <c r="G12" s="46">
        <f t="shared" si="0"/>
        <v>28</v>
      </c>
      <c r="H12" s="76">
        <v>0</v>
      </c>
      <c r="I12" s="74">
        <v>0</v>
      </c>
      <c r="J12" s="46">
        <f t="shared" si="1"/>
        <v>16</v>
      </c>
      <c r="K12" s="70">
        <v>12</v>
      </c>
      <c r="L12" s="20">
        <v>130</v>
      </c>
      <c r="M12" s="63">
        <f t="shared" si="2"/>
        <v>1560</v>
      </c>
      <c r="N12" s="17" t="s">
        <v>16</v>
      </c>
      <c r="O12" s="18"/>
      <c r="P12" s="161">
        <f t="shared" si="3"/>
        <v>1560</v>
      </c>
      <c r="Q12" s="88">
        <v>46.37</v>
      </c>
      <c r="R12" s="43">
        <f t="shared" si="4"/>
        <v>556.43999999999994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+'1'!J13</f>
        <v>0</v>
      </c>
      <c r="F13" s="69"/>
      <c r="G13" s="46">
        <f t="shared" si="0"/>
        <v>0</v>
      </c>
      <c r="H13" s="76">
        <v>0</v>
      </c>
      <c r="I13" s="74">
        <v>0</v>
      </c>
      <c r="J13" s="46">
        <f t="shared" si="1"/>
        <v>0</v>
      </c>
      <c r="K13" s="70"/>
      <c r="L13" s="15">
        <v>130</v>
      </c>
      <c r="M13" s="63">
        <f t="shared" si="2"/>
        <v>0</v>
      </c>
      <c r="N13" s="17" t="s">
        <v>16</v>
      </c>
      <c r="O13" s="18"/>
      <c r="P13" s="23">
        <f t="shared" si="3"/>
        <v>0</v>
      </c>
      <c r="Q13" s="88">
        <v>38.9</v>
      </c>
      <c r="R13" s="43">
        <f t="shared" si="4"/>
        <v>0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+'1'!J14</f>
        <v>19</v>
      </c>
      <c r="F14" s="69"/>
      <c r="G14" s="46">
        <f t="shared" si="0"/>
        <v>19</v>
      </c>
      <c r="H14" s="76">
        <v>0</v>
      </c>
      <c r="I14" s="74">
        <v>0</v>
      </c>
      <c r="J14" s="46">
        <f t="shared" si="1"/>
        <v>16</v>
      </c>
      <c r="K14" s="70">
        <v>3</v>
      </c>
      <c r="L14" s="15">
        <v>50</v>
      </c>
      <c r="M14" s="63">
        <f t="shared" si="2"/>
        <v>150</v>
      </c>
      <c r="N14" s="17" t="s">
        <v>16</v>
      </c>
      <c r="O14" s="18"/>
      <c r="P14" s="161">
        <f t="shared" si="3"/>
        <v>150</v>
      </c>
      <c r="Q14" s="88">
        <v>27.84</v>
      </c>
      <c r="R14" s="43">
        <f t="shared" si="4"/>
        <v>83.52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+'1'!J15</f>
        <v>29</v>
      </c>
      <c r="F15" s="69"/>
      <c r="G15" s="46">
        <f t="shared" si="0"/>
        <v>29</v>
      </c>
      <c r="H15" s="76">
        <v>0</v>
      </c>
      <c r="I15" s="74">
        <v>0</v>
      </c>
      <c r="J15" s="46">
        <f t="shared" si="1"/>
        <v>26</v>
      </c>
      <c r="K15" s="70">
        <v>3</v>
      </c>
      <c r="L15" s="15">
        <v>50</v>
      </c>
      <c r="M15" s="63">
        <f t="shared" si="2"/>
        <v>150</v>
      </c>
      <c r="N15" s="17" t="s">
        <v>16</v>
      </c>
      <c r="O15" s="18"/>
      <c r="P15" s="161">
        <f t="shared" si="3"/>
        <v>150</v>
      </c>
      <c r="Q15" s="88">
        <v>27.12</v>
      </c>
      <c r="R15" s="43">
        <f t="shared" si="4"/>
        <v>81.36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+'1'!J16</f>
        <v>10</v>
      </c>
      <c r="F16" s="69"/>
      <c r="G16" s="46">
        <f t="shared" si="0"/>
        <v>10</v>
      </c>
      <c r="H16" s="76">
        <v>0</v>
      </c>
      <c r="I16" s="74">
        <v>0</v>
      </c>
      <c r="J16" s="46">
        <f t="shared" si="1"/>
        <v>6</v>
      </c>
      <c r="K16" s="70">
        <v>4</v>
      </c>
      <c r="L16" s="20">
        <v>50</v>
      </c>
      <c r="M16" s="63">
        <f t="shared" si="2"/>
        <v>200</v>
      </c>
      <c r="N16" s="17" t="s">
        <v>16</v>
      </c>
      <c r="O16" s="18"/>
      <c r="P16" s="161">
        <f t="shared" si="3"/>
        <v>200</v>
      </c>
      <c r="Q16" s="88">
        <v>15.42</v>
      </c>
      <c r="R16" s="43">
        <f t="shared" si="4"/>
        <v>61.68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+'1'!J17</f>
        <v>8</v>
      </c>
      <c r="F17" s="69"/>
      <c r="G17" s="46">
        <f t="shared" si="0"/>
        <v>8</v>
      </c>
      <c r="H17" s="76">
        <v>0</v>
      </c>
      <c r="I17" s="74">
        <v>0</v>
      </c>
      <c r="J17" s="46">
        <f t="shared" si="1"/>
        <v>4</v>
      </c>
      <c r="K17" s="70">
        <v>4</v>
      </c>
      <c r="L17" s="15">
        <v>50</v>
      </c>
      <c r="M17" s="63">
        <f t="shared" si="2"/>
        <v>200</v>
      </c>
      <c r="N17" s="17" t="s">
        <v>16</v>
      </c>
      <c r="O17" s="18"/>
      <c r="P17" s="161">
        <f t="shared" si="3"/>
        <v>200</v>
      </c>
      <c r="Q17" s="88">
        <v>17.78</v>
      </c>
      <c r="R17" s="43">
        <f t="shared" si="4"/>
        <v>71.12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+'1'!J18</f>
        <v>6</v>
      </c>
      <c r="F18" s="69"/>
      <c r="G18" s="46">
        <f t="shared" si="0"/>
        <v>6</v>
      </c>
      <c r="H18" s="76">
        <v>0</v>
      </c>
      <c r="I18" s="74">
        <v>0</v>
      </c>
      <c r="J18" s="46">
        <f t="shared" si="1"/>
        <v>6</v>
      </c>
      <c r="K18" s="70"/>
      <c r="L18" s="20">
        <v>50</v>
      </c>
      <c r="M18" s="63">
        <f t="shared" si="2"/>
        <v>0</v>
      </c>
      <c r="N18" s="17" t="s">
        <v>16</v>
      </c>
      <c r="O18" s="18"/>
      <c r="P18" s="23">
        <f t="shared" si="3"/>
        <v>0</v>
      </c>
      <c r="Q18" s="88">
        <v>17.989999999999998</v>
      </c>
      <c r="R18" s="43">
        <f t="shared" si="4"/>
        <v>0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+'1'!J19</f>
        <v>6</v>
      </c>
      <c r="F19" s="69"/>
      <c r="G19" s="46">
        <f t="shared" si="0"/>
        <v>6</v>
      </c>
      <c r="H19" s="76">
        <v>0</v>
      </c>
      <c r="I19" s="74">
        <v>0</v>
      </c>
      <c r="J19" s="46">
        <f t="shared" si="1"/>
        <v>4</v>
      </c>
      <c r="K19" s="70">
        <v>2</v>
      </c>
      <c r="L19" s="15">
        <v>50</v>
      </c>
      <c r="M19" s="63">
        <f t="shared" si="2"/>
        <v>100</v>
      </c>
      <c r="N19" s="17" t="s">
        <v>1437</v>
      </c>
      <c r="O19" s="18">
        <v>50</v>
      </c>
      <c r="P19" s="161">
        <f t="shared" si="3"/>
        <v>50</v>
      </c>
      <c r="Q19" s="88">
        <v>20.059999999999999</v>
      </c>
      <c r="R19" s="43">
        <f t="shared" si="4"/>
        <v>40.119999999999997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+'1'!J20</f>
        <v>11</v>
      </c>
      <c r="F20" s="69"/>
      <c r="G20" s="46">
        <f t="shared" si="0"/>
        <v>11</v>
      </c>
      <c r="H20" s="76">
        <v>0</v>
      </c>
      <c r="I20" s="74">
        <v>1</v>
      </c>
      <c r="J20" s="46">
        <f t="shared" si="1"/>
        <v>9</v>
      </c>
      <c r="K20" s="70">
        <v>1</v>
      </c>
      <c r="L20" s="15">
        <v>50</v>
      </c>
      <c r="M20" s="63">
        <f t="shared" si="2"/>
        <v>50</v>
      </c>
      <c r="N20" s="17" t="s">
        <v>1442</v>
      </c>
      <c r="O20" s="18"/>
      <c r="P20" s="161">
        <f t="shared" si="3"/>
        <v>50</v>
      </c>
      <c r="Q20" s="88">
        <v>20.32</v>
      </c>
      <c r="R20" s="43">
        <f t="shared" si="4"/>
        <v>20.32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+'1'!J21</f>
        <v>0</v>
      </c>
      <c r="F21" s="69">
        <v>30</v>
      </c>
      <c r="G21" s="46">
        <f t="shared" si="0"/>
        <v>30</v>
      </c>
      <c r="H21" s="76">
        <v>0</v>
      </c>
      <c r="I21" s="74">
        <v>1</v>
      </c>
      <c r="J21" s="46">
        <f t="shared" si="1"/>
        <v>26</v>
      </c>
      <c r="K21" s="70">
        <v>3</v>
      </c>
      <c r="L21" s="15">
        <v>50</v>
      </c>
      <c r="M21" s="63">
        <f t="shared" si="2"/>
        <v>150</v>
      </c>
      <c r="N21" s="17" t="s">
        <v>1442</v>
      </c>
      <c r="O21" s="18"/>
      <c r="P21" s="161">
        <f t="shared" si="3"/>
        <v>150</v>
      </c>
      <c r="Q21" s="88">
        <v>16.37</v>
      </c>
      <c r="R21" s="43">
        <f t="shared" si="4"/>
        <v>49.11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+'1'!J22</f>
        <v>8</v>
      </c>
      <c r="F22" s="69"/>
      <c r="G22" s="46">
        <f t="shared" si="0"/>
        <v>8</v>
      </c>
      <c r="H22" s="76">
        <v>0</v>
      </c>
      <c r="I22" s="74">
        <v>0</v>
      </c>
      <c r="J22" s="46">
        <f t="shared" si="1"/>
        <v>6</v>
      </c>
      <c r="K22" s="70">
        <v>2</v>
      </c>
      <c r="L22" s="15">
        <v>120</v>
      </c>
      <c r="M22" s="63">
        <f t="shared" si="2"/>
        <v>240</v>
      </c>
      <c r="N22" s="17" t="s">
        <v>16</v>
      </c>
      <c r="O22" s="18">
        <v>40</v>
      </c>
      <c r="P22" s="161">
        <f t="shared" si="3"/>
        <v>200</v>
      </c>
      <c r="Q22" s="88">
        <v>25.99</v>
      </c>
      <c r="R22" s="43">
        <f t="shared" si="4"/>
        <v>51.98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+'1'!J23</f>
        <v>7</v>
      </c>
      <c r="F23" s="69"/>
      <c r="G23" s="46">
        <f t="shared" si="0"/>
        <v>7</v>
      </c>
      <c r="H23" s="76">
        <v>0</v>
      </c>
      <c r="I23" s="74">
        <v>0</v>
      </c>
      <c r="J23" s="46">
        <f t="shared" si="1"/>
        <v>5</v>
      </c>
      <c r="K23" s="70">
        <v>2</v>
      </c>
      <c r="L23" s="15">
        <v>120</v>
      </c>
      <c r="M23" s="63">
        <f t="shared" si="2"/>
        <v>240</v>
      </c>
      <c r="N23" s="17" t="s">
        <v>16</v>
      </c>
      <c r="O23" s="18">
        <v>40</v>
      </c>
      <c r="P23" s="161">
        <f t="shared" si="3"/>
        <v>200</v>
      </c>
      <c r="Q23" s="88">
        <v>28.31</v>
      </c>
      <c r="R23" s="43">
        <f t="shared" si="4"/>
        <v>56.62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+'1'!J24</f>
        <v>10</v>
      </c>
      <c r="F24" s="69"/>
      <c r="G24" s="46">
        <f t="shared" si="0"/>
        <v>10</v>
      </c>
      <c r="H24" s="76">
        <v>0</v>
      </c>
      <c r="I24" s="74">
        <v>0</v>
      </c>
      <c r="J24" s="46">
        <f t="shared" si="1"/>
        <v>9</v>
      </c>
      <c r="K24" s="70">
        <v>1</v>
      </c>
      <c r="L24" s="15">
        <v>120</v>
      </c>
      <c r="M24" s="63">
        <f t="shared" si="2"/>
        <v>120</v>
      </c>
      <c r="N24" s="17" t="s">
        <v>16</v>
      </c>
      <c r="O24" s="18">
        <v>20</v>
      </c>
      <c r="P24" s="161">
        <f t="shared" si="3"/>
        <v>100</v>
      </c>
      <c r="Q24" s="88">
        <v>31.07</v>
      </c>
      <c r="R24" s="43">
        <f t="shared" si="4"/>
        <v>31.07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+'1'!J25</f>
        <v>8</v>
      </c>
      <c r="F25" s="69"/>
      <c r="G25" s="46">
        <f t="shared" si="0"/>
        <v>8</v>
      </c>
      <c r="H25" s="76">
        <v>0</v>
      </c>
      <c r="I25" s="74">
        <v>0</v>
      </c>
      <c r="J25" s="46">
        <f t="shared" si="1"/>
        <v>8</v>
      </c>
      <c r="K25" s="70"/>
      <c r="L25" s="20">
        <v>120</v>
      </c>
      <c r="M25" s="63">
        <f t="shared" si="2"/>
        <v>0</v>
      </c>
      <c r="N25" s="17" t="s">
        <v>16</v>
      </c>
      <c r="O25" s="18"/>
      <c r="P25" s="23">
        <f t="shared" si="3"/>
        <v>0</v>
      </c>
      <c r="Q25" s="88">
        <v>29.83</v>
      </c>
      <c r="R25" s="43">
        <f t="shared" si="4"/>
        <v>0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+'1'!J26</f>
        <v>2</v>
      </c>
      <c r="F26" s="69"/>
      <c r="G26" s="46">
        <f t="shared" si="0"/>
        <v>2</v>
      </c>
      <c r="H26" s="76">
        <v>0</v>
      </c>
      <c r="I26" s="74">
        <v>0</v>
      </c>
      <c r="J26" s="46">
        <f t="shared" si="1"/>
        <v>2</v>
      </c>
      <c r="K26" s="70"/>
      <c r="L26" s="15">
        <v>120</v>
      </c>
      <c r="M26" s="63">
        <f t="shared" si="2"/>
        <v>0</v>
      </c>
      <c r="N26" s="17" t="s">
        <v>16</v>
      </c>
      <c r="O26" s="18"/>
      <c r="P26" s="23">
        <f t="shared" si="3"/>
        <v>0</v>
      </c>
      <c r="Q26" s="88">
        <v>26.39</v>
      </c>
      <c r="R26" s="43">
        <f t="shared" si="4"/>
        <v>0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+'1'!J27</f>
        <v>5</v>
      </c>
      <c r="F27" s="69"/>
      <c r="G27" s="46">
        <f t="shared" si="0"/>
        <v>5</v>
      </c>
      <c r="H27" s="76">
        <v>0</v>
      </c>
      <c r="I27" s="74">
        <v>0</v>
      </c>
      <c r="J27" s="46">
        <f t="shared" si="1"/>
        <v>5</v>
      </c>
      <c r="K27" s="70"/>
      <c r="L27" s="15">
        <v>50</v>
      </c>
      <c r="M27" s="63">
        <f t="shared" si="2"/>
        <v>0</v>
      </c>
      <c r="N27" s="17" t="s">
        <v>16</v>
      </c>
      <c r="O27" s="18"/>
      <c r="P27" s="23">
        <f t="shared" si="3"/>
        <v>0</v>
      </c>
      <c r="Q27" s="88">
        <v>23.69</v>
      </c>
      <c r="R27" s="43">
        <f t="shared" si="4"/>
        <v>0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+'1'!J28</f>
        <v>0</v>
      </c>
      <c r="F28" s="69">
        <v>5</v>
      </c>
      <c r="G28" s="46">
        <f t="shared" si="0"/>
        <v>5</v>
      </c>
      <c r="H28" s="76">
        <v>0</v>
      </c>
      <c r="I28" s="74">
        <v>0</v>
      </c>
      <c r="J28" s="46">
        <f t="shared" si="1"/>
        <v>2</v>
      </c>
      <c r="K28" s="70">
        <v>3</v>
      </c>
      <c r="L28" s="21">
        <v>50</v>
      </c>
      <c r="M28" s="63">
        <f t="shared" si="2"/>
        <v>150</v>
      </c>
      <c r="N28" s="17" t="s">
        <v>16</v>
      </c>
      <c r="O28" s="18"/>
      <c r="P28" s="161">
        <f t="shared" si="3"/>
        <v>150</v>
      </c>
      <c r="Q28" s="88">
        <v>22.49</v>
      </c>
      <c r="R28" s="43">
        <f t="shared" si="4"/>
        <v>67.47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+'1'!J29</f>
        <v>0</v>
      </c>
      <c r="F29" s="69">
        <v>5</v>
      </c>
      <c r="G29" s="46">
        <f t="shared" si="0"/>
        <v>5</v>
      </c>
      <c r="H29" s="76">
        <v>0</v>
      </c>
      <c r="I29" s="74">
        <v>0</v>
      </c>
      <c r="J29" s="46">
        <f t="shared" si="1"/>
        <v>3</v>
      </c>
      <c r="K29" s="70">
        <v>2</v>
      </c>
      <c r="L29" s="21">
        <v>50</v>
      </c>
      <c r="M29" s="63">
        <f t="shared" si="2"/>
        <v>100</v>
      </c>
      <c r="N29" s="17" t="s">
        <v>16</v>
      </c>
      <c r="O29" s="18"/>
      <c r="P29" s="161">
        <f t="shared" si="3"/>
        <v>100</v>
      </c>
      <c r="Q29" s="88">
        <v>17.09</v>
      </c>
      <c r="R29" s="43">
        <f t="shared" si="4"/>
        <v>34.18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+'1'!J30</f>
        <v>15</v>
      </c>
      <c r="F30" s="69"/>
      <c r="G30" s="46">
        <f t="shared" si="0"/>
        <v>15</v>
      </c>
      <c r="H30" s="76">
        <v>0</v>
      </c>
      <c r="I30" s="74">
        <v>0</v>
      </c>
      <c r="J30" s="46">
        <f t="shared" si="1"/>
        <v>10</v>
      </c>
      <c r="K30" s="70">
        <v>5</v>
      </c>
      <c r="L30" s="22">
        <v>50</v>
      </c>
      <c r="M30" s="63">
        <f t="shared" si="2"/>
        <v>250</v>
      </c>
      <c r="N30" s="17" t="s">
        <v>16</v>
      </c>
      <c r="O30" s="18"/>
      <c r="P30" s="161">
        <f t="shared" si="3"/>
        <v>250</v>
      </c>
      <c r="Q30" s="88">
        <v>25.15</v>
      </c>
      <c r="R30" s="43">
        <f t="shared" si="4"/>
        <v>125.75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+'1'!J31</f>
        <v>10</v>
      </c>
      <c r="F31" s="69"/>
      <c r="G31" s="46">
        <f t="shared" si="0"/>
        <v>10</v>
      </c>
      <c r="H31" s="76">
        <v>0</v>
      </c>
      <c r="I31" s="74">
        <v>0</v>
      </c>
      <c r="J31" s="46">
        <f t="shared" si="1"/>
        <v>7</v>
      </c>
      <c r="K31" s="70">
        <v>3</v>
      </c>
      <c r="L31" s="22">
        <v>55</v>
      </c>
      <c r="M31" s="63">
        <f t="shared" si="2"/>
        <v>165</v>
      </c>
      <c r="N31" s="17" t="s">
        <v>16</v>
      </c>
      <c r="O31" s="18"/>
      <c r="P31" s="161">
        <f t="shared" si="3"/>
        <v>165</v>
      </c>
      <c r="Q31" s="88">
        <v>14.35</v>
      </c>
      <c r="R31" s="43">
        <f t="shared" si="4"/>
        <v>43.05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+'1'!J32</f>
        <v>6</v>
      </c>
      <c r="F32" s="69"/>
      <c r="G32" s="46">
        <f t="shared" si="0"/>
        <v>6</v>
      </c>
      <c r="H32" s="76">
        <v>0</v>
      </c>
      <c r="I32" s="74">
        <v>0</v>
      </c>
      <c r="J32" s="46">
        <f t="shared" si="1"/>
        <v>4</v>
      </c>
      <c r="K32" s="70">
        <v>2</v>
      </c>
      <c r="L32" s="22">
        <v>55</v>
      </c>
      <c r="M32" s="63">
        <f t="shared" si="2"/>
        <v>110</v>
      </c>
      <c r="N32" s="17" t="s">
        <v>16</v>
      </c>
      <c r="O32" s="18"/>
      <c r="P32" s="161">
        <f t="shared" si="3"/>
        <v>110</v>
      </c>
      <c r="Q32" s="88">
        <v>19.579999999999998</v>
      </c>
      <c r="R32" s="43">
        <f t="shared" si="4"/>
        <v>39.159999999999997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+'1'!J33</f>
        <v>7</v>
      </c>
      <c r="F33" s="69"/>
      <c r="G33" s="46">
        <f t="shared" si="0"/>
        <v>7</v>
      </c>
      <c r="H33" s="76">
        <v>0</v>
      </c>
      <c r="I33" s="74">
        <v>0</v>
      </c>
      <c r="J33" s="46">
        <f t="shared" si="1"/>
        <v>1</v>
      </c>
      <c r="K33" s="70">
        <v>6</v>
      </c>
      <c r="L33" s="22">
        <v>100</v>
      </c>
      <c r="M33" s="63">
        <f t="shared" si="2"/>
        <v>600</v>
      </c>
      <c r="N33" s="17" t="s">
        <v>1437</v>
      </c>
      <c r="O33" s="18">
        <v>100</v>
      </c>
      <c r="P33" s="161">
        <f t="shared" si="3"/>
        <v>500</v>
      </c>
      <c r="Q33" s="88">
        <v>23.61</v>
      </c>
      <c r="R33" s="43">
        <f t="shared" si="4"/>
        <v>141.66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+'1'!J34</f>
        <v>4</v>
      </c>
      <c r="F34" s="69"/>
      <c r="G34" s="46">
        <f t="shared" si="0"/>
        <v>4</v>
      </c>
      <c r="H34" s="76">
        <v>0</v>
      </c>
      <c r="I34" s="74">
        <v>0</v>
      </c>
      <c r="J34" s="46">
        <f t="shared" si="1"/>
        <v>2</v>
      </c>
      <c r="K34" s="70">
        <v>2</v>
      </c>
      <c r="L34" s="20">
        <v>55</v>
      </c>
      <c r="M34" s="63">
        <f t="shared" si="2"/>
        <v>110</v>
      </c>
      <c r="N34" s="17" t="s">
        <v>16</v>
      </c>
      <c r="O34" s="18"/>
      <c r="P34" s="161">
        <f t="shared" si="3"/>
        <v>110</v>
      </c>
      <c r="Q34" s="88">
        <v>34.25</v>
      </c>
      <c r="R34" s="43">
        <f t="shared" si="4"/>
        <v>68.5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+'1'!J35</f>
        <v>12</v>
      </c>
      <c r="F35" s="69"/>
      <c r="G35" s="46">
        <f t="shared" si="0"/>
        <v>12</v>
      </c>
      <c r="H35" s="76">
        <v>0</v>
      </c>
      <c r="I35" s="74">
        <v>0</v>
      </c>
      <c r="J35" s="46">
        <f t="shared" si="1"/>
        <v>11</v>
      </c>
      <c r="K35" s="70">
        <v>1</v>
      </c>
      <c r="L35" s="15">
        <v>60</v>
      </c>
      <c r="M35" s="63">
        <f t="shared" si="2"/>
        <v>60</v>
      </c>
      <c r="N35" s="17" t="s">
        <v>16</v>
      </c>
      <c r="O35" s="18"/>
      <c r="P35" s="161">
        <f t="shared" si="3"/>
        <v>60</v>
      </c>
      <c r="Q35" s="88">
        <v>23.61</v>
      </c>
      <c r="R35" s="43">
        <f t="shared" si="4"/>
        <v>23.61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+'1'!J36</f>
        <v>5</v>
      </c>
      <c r="F36" s="69"/>
      <c r="G36" s="46">
        <f t="shared" si="0"/>
        <v>5</v>
      </c>
      <c r="H36" s="76">
        <v>0</v>
      </c>
      <c r="I36" s="74">
        <v>0</v>
      </c>
      <c r="J36" s="46">
        <f t="shared" si="1"/>
        <v>3</v>
      </c>
      <c r="K36" s="70">
        <v>2</v>
      </c>
      <c r="L36" s="15">
        <v>100</v>
      </c>
      <c r="M36" s="63">
        <f t="shared" si="2"/>
        <v>200</v>
      </c>
      <c r="N36" s="17" t="s">
        <v>16</v>
      </c>
      <c r="O36" s="18"/>
      <c r="P36" s="161">
        <f t="shared" si="3"/>
        <v>200</v>
      </c>
      <c r="Q36" s="88">
        <v>13.03</v>
      </c>
      <c r="R36" s="43">
        <f t="shared" si="4"/>
        <v>26.06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+'1'!J37</f>
        <v>7</v>
      </c>
      <c r="F37" s="69"/>
      <c r="G37" s="46">
        <f t="shared" si="0"/>
        <v>7</v>
      </c>
      <c r="H37" s="76">
        <v>0</v>
      </c>
      <c r="I37" s="74">
        <v>0</v>
      </c>
      <c r="J37" s="46">
        <f t="shared" si="1"/>
        <v>6</v>
      </c>
      <c r="K37" s="70">
        <v>1</v>
      </c>
      <c r="L37" s="15">
        <v>55</v>
      </c>
      <c r="M37" s="63">
        <f t="shared" si="2"/>
        <v>55</v>
      </c>
      <c r="N37" s="17" t="s">
        <v>16</v>
      </c>
      <c r="O37" s="18"/>
      <c r="P37" s="161">
        <f t="shared" si="3"/>
        <v>55</v>
      </c>
      <c r="Q37" s="88">
        <v>11.91</v>
      </c>
      <c r="R37" s="43">
        <f t="shared" si="4"/>
        <v>11.91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+'1'!J38</f>
        <v>4</v>
      </c>
      <c r="F38" s="69"/>
      <c r="G38" s="46">
        <f t="shared" si="0"/>
        <v>4</v>
      </c>
      <c r="H38" s="76">
        <v>0</v>
      </c>
      <c r="I38" s="74">
        <v>0</v>
      </c>
      <c r="J38" s="46">
        <f t="shared" si="1"/>
        <v>1</v>
      </c>
      <c r="K38" s="70">
        <v>3</v>
      </c>
      <c r="L38" s="15">
        <v>50</v>
      </c>
      <c r="M38" s="63">
        <f>+L38*K38</f>
        <v>150</v>
      </c>
      <c r="N38" s="17" t="s">
        <v>16</v>
      </c>
      <c r="O38" s="18"/>
      <c r="P38" s="161">
        <f>SUM(M38-O38)</f>
        <v>150</v>
      </c>
      <c r="Q38" s="88">
        <v>9.91</v>
      </c>
      <c r="R38" s="43">
        <f>+K38*Q38</f>
        <v>29.73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+'1'!J39</f>
        <v>3</v>
      </c>
      <c r="F39" s="69"/>
      <c r="G39" s="46">
        <f t="shared" si="0"/>
        <v>3</v>
      </c>
      <c r="H39" s="76">
        <v>0</v>
      </c>
      <c r="I39" s="74">
        <v>0</v>
      </c>
      <c r="J39" s="46">
        <f t="shared" si="1"/>
        <v>3</v>
      </c>
      <c r="K39" s="70"/>
      <c r="L39" s="20">
        <v>60</v>
      </c>
      <c r="M39" s="63">
        <f t="shared" si="2"/>
        <v>0</v>
      </c>
      <c r="N39" s="17" t="s">
        <v>16</v>
      </c>
      <c r="O39" s="18"/>
      <c r="P39" s="23">
        <f t="shared" si="3"/>
        <v>0</v>
      </c>
      <c r="Q39" s="88">
        <v>16.690000000000001</v>
      </c>
      <c r="R39" s="43">
        <f t="shared" si="4"/>
        <v>0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+'1'!J40</f>
        <v>1</v>
      </c>
      <c r="F40" s="69">
        <v>15</v>
      </c>
      <c r="G40" s="46">
        <f t="shared" si="0"/>
        <v>16</v>
      </c>
      <c r="H40" s="76">
        <v>0</v>
      </c>
      <c r="I40" s="74">
        <v>0</v>
      </c>
      <c r="J40" s="46">
        <f t="shared" si="1"/>
        <v>14</v>
      </c>
      <c r="K40" s="70">
        <v>2</v>
      </c>
      <c r="L40" s="20">
        <v>50</v>
      </c>
      <c r="M40" s="63">
        <f t="shared" si="2"/>
        <v>100</v>
      </c>
      <c r="N40" s="17" t="s">
        <v>16</v>
      </c>
      <c r="O40" s="18"/>
      <c r="P40" s="161">
        <f t="shared" si="3"/>
        <v>100</v>
      </c>
      <c r="Q40" s="88">
        <v>24.21</v>
      </c>
      <c r="R40" s="43">
        <f t="shared" si="4"/>
        <v>48.42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+'1'!J41</f>
        <v>5</v>
      </c>
      <c r="F41" s="69"/>
      <c r="G41" s="46">
        <f t="shared" si="0"/>
        <v>5</v>
      </c>
      <c r="H41" s="76">
        <v>0</v>
      </c>
      <c r="I41" s="74">
        <v>0</v>
      </c>
      <c r="J41" s="46">
        <f t="shared" si="1"/>
        <v>4</v>
      </c>
      <c r="K41" s="70">
        <v>1</v>
      </c>
      <c r="L41" s="20">
        <v>65</v>
      </c>
      <c r="M41" s="63">
        <f t="shared" si="2"/>
        <v>65</v>
      </c>
      <c r="N41" s="17" t="s">
        <v>1437</v>
      </c>
      <c r="O41" s="18">
        <v>65</v>
      </c>
      <c r="P41" s="23">
        <f t="shared" si="3"/>
        <v>0</v>
      </c>
      <c r="Q41" s="88">
        <v>23.02</v>
      </c>
      <c r="R41" s="43">
        <f t="shared" si="4"/>
        <v>23.02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+'1'!J42</f>
        <v>465</v>
      </c>
      <c r="F42" s="69"/>
      <c r="G42" s="46">
        <f t="shared" si="0"/>
        <v>465</v>
      </c>
      <c r="H42" s="76">
        <v>0</v>
      </c>
      <c r="I42" s="74">
        <v>0</v>
      </c>
      <c r="J42" s="46">
        <f t="shared" si="1"/>
        <v>452</v>
      </c>
      <c r="K42" s="70">
        <v>13</v>
      </c>
      <c r="L42" s="20">
        <v>10</v>
      </c>
      <c r="M42" s="63">
        <f t="shared" si="2"/>
        <v>130</v>
      </c>
      <c r="N42" s="17" t="s">
        <v>16</v>
      </c>
      <c r="O42" s="18"/>
      <c r="P42" s="161">
        <f t="shared" si="3"/>
        <v>130</v>
      </c>
      <c r="Q42" s="88">
        <v>6.3</v>
      </c>
      <c r="R42" s="43">
        <f t="shared" si="4"/>
        <v>81.899999999999991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+'1'!J43</f>
        <v>173</v>
      </c>
      <c r="F43" s="69"/>
      <c r="G43" s="46">
        <f t="shared" si="0"/>
        <v>173</v>
      </c>
      <c r="H43" s="76">
        <v>0</v>
      </c>
      <c r="I43" s="74">
        <v>0</v>
      </c>
      <c r="J43" s="46">
        <f t="shared" si="1"/>
        <v>170</v>
      </c>
      <c r="K43" s="70">
        <v>3</v>
      </c>
      <c r="L43" s="22">
        <v>10</v>
      </c>
      <c r="M43" s="63">
        <f>+L43*K43</f>
        <v>30</v>
      </c>
      <c r="N43" s="17" t="s">
        <v>16</v>
      </c>
      <c r="O43" s="18"/>
      <c r="P43" s="161">
        <f>SUM(M43-O43)</f>
        <v>30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+'1'!J44</f>
        <v>1</v>
      </c>
      <c r="F44" s="69"/>
      <c r="G44" s="46">
        <f t="shared" si="0"/>
        <v>1</v>
      </c>
      <c r="H44" s="76">
        <v>0</v>
      </c>
      <c r="I44" s="74">
        <v>0</v>
      </c>
      <c r="J44" s="46">
        <f t="shared" si="1"/>
        <v>1</v>
      </c>
      <c r="K44" s="70"/>
      <c r="L44" s="20">
        <v>150</v>
      </c>
      <c r="M44" s="63">
        <f t="shared" si="2"/>
        <v>0</v>
      </c>
      <c r="N44" s="17" t="s">
        <v>16</v>
      </c>
      <c r="O44" s="18"/>
      <c r="P44" s="23">
        <f t="shared" si="3"/>
        <v>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+'1'!J45</f>
        <v>9</v>
      </c>
      <c r="F45" s="69"/>
      <c r="G45" s="46">
        <f t="shared" si="0"/>
        <v>9</v>
      </c>
      <c r="H45" s="76">
        <v>0</v>
      </c>
      <c r="I45" s="74">
        <v>1</v>
      </c>
      <c r="J45" s="46">
        <f t="shared" si="1"/>
        <v>5</v>
      </c>
      <c r="K45" s="70">
        <v>3</v>
      </c>
      <c r="L45" s="15">
        <v>150</v>
      </c>
      <c r="M45" s="63">
        <f t="shared" si="2"/>
        <v>450</v>
      </c>
      <c r="N45" s="17" t="s">
        <v>1442</v>
      </c>
      <c r="O45" s="18"/>
      <c r="P45" s="161">
        <f t="shared" si="3"/>
        <v>450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+'1'!J46</f>
        <v>0</v>
      </c>
      <c r="F46" s="69">
        <v>5</v>
      </c>
      <c r="G46" s="46">
        <f t="shared" si="0"/>
        <v>5</v>
      </c>
      <c r="H46" s="76">
        <v>0</v>
      </c>
      <c r="I46" s="74">
        <v>0</v>
      </c>
      <c r="J46" s="46">
        <f t="shared" si="1"/>
        <v>5</v>
      </c>
      <c r="K46" s="70"/>
      <c r="L46" s="15">
        <v>25</v>
      </c>
      <c r="M46" s="63">
        <f t="shared" si="2"/>
        <v>0</v>
      </c>
      <c r="N46" s="17" t="s">
        <v>16</v>
      </c>
      <c r="O46" s="18"/>
      <c r="P46" s="23">
        <f t="shared" si="3"/>
        <v>0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+'1'!J47</f>
        <v>14</v>
      </c>
      <c r="F47" s="69"/>
      <c r="G47" s="46">
        <f t="shared" si="0"/>
        <v>14</v>
      </c>
      <c r="H47" s="76">
        <v>0</v>
      </c>
      <c r="I47" s="74">
        <v>1</v>
      </c>
      <c r="J47" s="46">
        <f t="shared" si="1"/>
        <v>9</v>
      </c>
      <c r="K47" s="70">
        <v>4</v>
      </c>
      <c r="L47" s="15">
        <v>35</v>
      </c>
      <c r="M47" s="63">
        <f t="shared" si="2"/>
        <v>140</v>
      </c>
      <c r="N47" s="17" t="s">
        <v>1437</v>
      </c>
      <c r="O47" s="18">
        <v>35</v>
      </c>
      <c r="P47" s="161">
        <f t="shared" si="3"/>
        <v>105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+'1'!J48</f>
        <v>104</v>
      </c>
      <c r="F48" s="69">
        <v>294</v>
      </c>
      <c r="G48" s="46">
        <f t="shared" si="0"/>
        <v>398</v>
      </c>
      <c r="H48" s="76">
        <v>0</v>
      </c>
      <c r="I48" s="74">
        <v>6</v>
      </c>
      <c r="J48" s="46">
        <f t="shared" si="1"/>
        <v>333</v>
      </c>
      <c r="K48" s="70">
        <v>59</v>
      </c>
      <c r="L48" s="15">
        <v>19</v>
      </c>
      <c r="M48" s="63">
        <f>+L48*K48</f>
        <v>1121</v>
      </c>
      <c r="N48" s="17" t="s">
        <v>1444</v>
      </c>
      <c r="O48" s="18">
        <v>171</v>
      </c>
      <c r="P48" s="161">
        <f>SUM(M48-O48)</f>
        <v>950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+'1'!J49</f>
        <v>190</v>
      </c>
      <c r="F49" s="69">
        <v>8</v>
      </c>
      <c r="G49" s="46">
        <f t="shared" si="0"/>
        <v>198</v>
      </c>
      <c r="H49" s="76">
        <v>0</v>
      </c>
      <c r="I49" s="74">
        <v>50</v>
      </c>
      <c r="J49" s="46">
        <f t="shared" si="1"/>
        <v>141</v>
      </c>
      <c r="K49" s="70">
        <v>7</v>
      </c>
      <c r="L49" s="15">
        <v>25</v>
      </c>
      <c r="M49" s="63">
        <f>+L49*K49</f>
        <v>175</v>
      </c>
      <c r="N49" s="17" t="s">
        <v>1443</v>
      </c>
      <c r="O49" s="18">
        <v>25</v>
      </c>
      <c r="P49" s="161">
        <f>SUM(M49-O49)</f>
        <v>150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+'1'!J50</f>
        <v>83</v>
      </c>
      <c r="F50" s="69"/>
      <c r="G50" s="46">
        <f t="shared" si="0"/>
        <v>83</v>
      </c>
      <c r="H50" s="76">
        <v>0</v>
      </c>
      <c r="I50" s="74">
        <v>50</v>
      </c>
      <c r="J50" s="46">
        <f t="shared" si="1"/>
        <v>23</v>
      </c>
      <c r="K50" s="70">
        <v>10</v>
      </c>
      <c r="L50" s="15">
        <v>25</v>
      </c>
      <c r="M50" s="63">
        <f t="shared" si="2"/>
        <v>250</v>
      </c>
      <c r="N50" s="17" t="s">
        <v>1443</v>
      </c>
      <c r="O50" s="18"/>
      <c r="P50" s="161">
        <f t="shared" si="3"/>
        <v>250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+'1'!J51</f>
        <v>39</v>
      </c>
      <c r="F51" s="69"/>
      <c r="G51" s="46">
        <f t="shared" si="0"/>
        <v>39</v>
      </c>
      <c r="H51" s="76">
        <v>0</v>
      </c>
      <c r="I51" s="74">
        <v>30</v>
      </c>
      <c r="J51" s="46">
        <f t="shared" si="1"/>
        <v>1</v>
      </c>
      <c r="K51" s="70">
        <v>8</v>
      </c>
      <c r="L51" s="20">
        <v>25</v>
      </c>
      <c r="M51" s="63">
        <f>+L51*K51</f>
        <v>200</v>
      </c>
      <c r="N51" s="17" t="s">
        <v>1445</v>
      </c>
      <c r="O51" s="18"/>
      <c r="P51" s="161">
        <f>SUM(M51-O51)</f>
        <v>200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+'1'!J52</f>
        <v>42</v>
      </c>
      <c r="F52" s="69"/>
      <c r="G52" s="46">
        <f t="shared" si="0"/>
        <v>42</v>
      </c>
      <c r="H52" s="76">
        <v>0</v>
      </c>
      <c r="I52" s="74">
        <v>30</v>
      </c>
      <c r="J52" s="46">
        <f t="shared" si="1"/>
        <v>9</v>
      </c>
      <c r="K52" s="70">
        <v>3</v>
      </c>
      <c r="L52" s="20">
        <v>35</v>
      </c>
      <c r="M52" s="63">
        <f>+L52*K52</f>
        <v>105</v>
      </c>
      <c r="N52" s="17" t="s">
        <v>1445</v>
      </c>
      <c r="O52" s="18"/>
      <c r="P52" s="161">
        <f>SUM(M52-O52)</f>
        <v>105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+'1'!J53</f>
        <v>46</v>
      </c>
      <c r="F53" s="69"/>
      <c r="G53" s="46">
        <f t="shared" si="0"/>
        <v>46</v>
      </c>
      <c r="H53" s="76">
        <v>0</v>
      </c>
      <c r="I53" s="74">
        <v>0</v>
      </c>
      <c r="J53" s="46">
        <f t="shared" si="1"/>
        <v>44</v>
      </c>
      <c r="K53" s="70">
        <v>2</v>
      </c>
      <c r="L53" s="15">
        <v>35</v>
      </c>
      <c r="M53" s="63">
        <f>+L53*K53</f>
        <v>70</v>
      </c>
      <c r="N53" s="17" t="s">
        <v>16</v>
      </c>
      <c r="O53" s="18"/>
      <c r="P53" s="161">
        <f>SUM(M53-O53)</f>
        <v>70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+'1'!J54</f>
        <v>16</v>
      </c>
      <c r="F54" s="69"/>
      <c r="G54" s="46">
        <f t="shared" si="0"/>
        <v>16</v>
      </c>
      <c r="H54" s="76">
        <v>0</v>
      </c>
      <c r="I54" s="74">
        <v>0</v>
      </c>
      <c r="J54" s="46">
        <f t="shared" si="1"/>
        <v>12</v>
      </c>
      <c r="K54" s="70">
        <v>4</v>
      </c>
      <c r="L54" s="15">
        <v>35</v>
      </c>
      <c r="M54" s="63">
        <f t="shared" si="2"/>
        <v>140</v>
      </c>
      <c r="N54" s="17" t="s">
        <v>16</v>
      </c>
      <c r="O54" s="18"/>
      <c r="P54" s="161">
        <f t="shared" si="3"/>
        <v>140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+'1'!J55</f>
        <v>8</v>
      </c>
      <c r="F55" s="69"/>
      <c r="G55" s="46">
        <f t="shared" si="0"/>
        <v>8</v>
      </c>
      <c r="H55" s="76">
        <v>0</v>
      </c>
      <c r="I55" s="74">
        <v>0</v>
      </c>
      <c r="J55" s="46">
        <f t="shared" si="1"/>
        <v>5</v>
      </c>
      <c r="K55" s="70">
        <v>3</v>
      </c>
      <c r="L55" s="15">
        <v>120</v>
      </c>
      <c r="M55" s="63">
        <f>+L55*K55</f>
        <v>360</v>
      </c>
      <c r="N55" s="17" t="s">
        <v>16</v>
      </c>
      <c r="O55" s="18"/>
      <c r="P55" s="161">
        <f>SUM(M55-O55)</f>
        <v>360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+'1'!J56</f>
        <v>10</v>
      </c>
      <c r="F56" s="69"/>
      <c r="G56" s="46">
        <f t="shared" si="0"/>
        <v>10</v>
      </c>
      <c r="H56" s="76">
        <v>0</v>
      </c>
      <c r="I56" s="74">
        <v>0</v>
      </c>
      <c r="J56" s="46">
        <f t="shared" si="1"/>
        <v>4</v>
      </c>
      <c r="K56" s="70">
        <v>6</v>
      </c>
      <c r="L56" s="15">
        <v>120</v>
      </c>
      <c r="M56" s="63">
        <f>+L56*K56</f>
        <v>720</v>
      </c>
      <c r="N56" s="17" t="s">
        <v>16</v>
      </c>
      <c r="O56" s="18"/>
      <c r="P56" s="161">
        <f>SUM(M56-O56)</f>
        <v>720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+'1'!J57</f>
        <v>11</v>
      </c>
      <c r="F57" s="69"/>
      <c r="G57" s="46">
        <f t="shared" si="0"/>
        <v>11</v>
      </c>
      <c r="H57" s="76">
        <v>0</v>
      </c>
      <c r="I57" s="74">
        <v>1</v>
      </c>
      <c r="J57" s="46">
        <f t="shared" si="1"/>
        <v>7</v>
      </c>
      <c r="K57" s="70">
        <v>3</v>
      </c>
      <c r="L57" s="20">
        <v>120</v>
      </c>
      <c r="M57" s="63">
        <f t="shared" si="2"/>
        <v>360</v>
      </c>
      <c r="N57" s="17" t="s">
        <v>1442</v>
      </c>
      <c r="O57" s="18"/>
      <c r="P57" s="161">
        <f t="shared" si="3"/>
        <v>360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+'1'!J58</f>
        <v>11</v>
      </c>
      <c r="F58" s="69"/>
      <c r="G58" s="46">
        <f t="shared" si="0"/>
        <v>11</v>
      </c>
      <c r="H58" s="76">
        <v>0</v>
      </c>
      <c r="I58" s="74">
        <v>0</v>
      </c>
      <c r="J58" s="46">
        <f t="shared" si="1"/>
        <v>10</v>
      </c>
      <c r="K58" s="70">
        <v>1</v>
      </c>
      <c r="L58" s="20">
        <v>120</v>
      </c>
      <c r="M58" s="63">
        <f t="shared" si="2"/>
        <v>120</v>
      </c>
      <c r="N58" s="17" t="s">
        <v>16</v>
      </c>
      <c r="O58" s="18"/>
      <c r="P58" s="161">
        <f t="shared" si="3"/>
        <v>120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/>
      <c r="D59" s="10"/>
      <c r="E59" s="62">
        <f>+'1'!J59</f>
        <v>0</v>
      </c>
      <c r="F59" s="69"/>
      <c r="G59" s="46"/>
      <c r="H59" s="76"/>
      <c r="I59" s="74"/>
      <c r="J59" s="46"/>
      <c r="K59" s="70"/>
      <c r="L59" s="20"/>
      <c r="M59" s="63"/>
      <c r="N59" s="17"/>
      <c r="O59" s="18"/>
      <c r="P59" s="23"/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+'1'!J60</f>
        <v>0</v>
      </c>
      <c r="F60" s="69"/>
      <c r="G60" s="46"/>
      <c r="H60" s="76"/>
      <c r="I60" s="74"/>
      <c r="J60" s="46"/>
      <c r="K60" s="70"/>
      <c r="L60" s="20"/>
      <c r="M60" s="63"/>
      <c r="N60" s="17"/>
      <c r="O60" s="18"/>
      <c r="P60" s="23"/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+'1'!J61</f>
        <v>0</v>
      </c>
      <c r="F61" s="69"/>
      <c r="G61" s="46"/>
      <c r="H61" s="76"/>
      <c r="I61" s="74"/>
      <c r="J61" s="46"/>
      <c r="K61" s="70"/>
      <c r="L61" s="20"/>
      <c r="M61" s="63"/>
      <c r="N61" s="17"/>
      <c r="O61" s="18"/>
      <c r="P61" s="23"/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>
        <f>+'1'!J62</f>
        <v>0</v>
      </c>
      <c r="F62" s="69"/>
      <c r="G62" s="46"/>
      <c r="H62" s="76"/>
      <c r="I62" s="74"/>
      <c r="J62" s="46"/>
      <c r="K62" s="70"/>
      <c r="L62" s="20"/>
      <c r="M62" s="63"/>
      <c r="N62" s="17"/>
      <c r="O62" s="18"/>
      <c r="P62" s="23"/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>
        <f>+'1'!J63</f>
        <v>0</v>
      </c>
      <c r="F63" s="69"/>
      <c r="G63" s="46"/>
      <c r="H63" s="76"/>
      <c r="I63" s="74"/>
      <c r="J63" s="46"/>
      <c r="K63" s="70"/>
      <c r="L63" s="20"/>
      <c r="M63" s="63"/>
      <c r="N63" s="17"/>
      <c r="O63" s="18"/>
      <c r="P63" s="23"/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>
        <f>+'1'!J64</f>
        <v>0</v>
      </c>
      <c r="F64" s="69"/>
      <c r="G64" s="46"/>
      <c r="H64" s="76"/>
      <c r="I64" s="74"/>
      <c r="J64" s="46"/>
      <c r="K64" s="70"/>
      <c r="L64" s="20"/>
      <c r="M64" s="63"/>
      <c r="N64" s="17"/>
      <c r="O64" s="18"/>
      <c r="P64" s="23"/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/>
      <c r="F65" s="69"/>
      <c r="G65" s="46"/>
      <c r="H65" s="76"/>
      <c r="I65" s="74"/>
      <c r="J65" s="46"/>
      <c r="K65" s="70"/>
      <c r="L65" s="20"/>
      <c r="M65" s="63"/>
      <c r="N65" s="17"/>
      <c r="O65" s="18"/>
      <c r="P65" s="23"/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4784.0399999999991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18081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/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3989</v>
      </c>
      <c r="O70" s="2">
        <v>3989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>
        <v>2830</v>
      </c>
      <c r="O72" s="2" t="s">
        <v>1446</v>
      </c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546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10716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10675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-41</v>
      </c>
    </row>
    <row r="77" spans="1:19" ht="25.5" x14ac:dyDescent="0.55000000000000004">
      <c r="J77" s="2"/>
      <c r="L77" s="148" t="s">
        <v>211</v>
      </c>
      <c r="M77" s="149"/>
      <c r="N77" s="33">
        <f>+N75-N74</f>
        <v>-41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E003-DBA1-44F5-BD87-B1F9B288F223}">
  <sheetPr filterMode="1">
    <tabColor rgb="FFFFCCFF"/>
    <pageSetUpPr fitToPage="1"/>
  </sheetPr>
  <dimension ref="A1:S152"/>
  <sheetViews>
    <sheetView zoomScale="85" zoomScaleNormal="85" workbookViewId="0">
      <pane xSplit="10" ySplit="4" topLeftCell="K5" activePane="bottomRight" state="frozen"/>
      <selection activeCell="A66" sqref="A66:XFD74"/>
      <selection pane="topRight" activeCell="A66" sqref="A66:XFD74"/>
      <selection pane="bottomLeft" activeCell="A66" sqref="A66:XFD74"/>
      <selection pane="bottomRight" activeCell="N77" sqref="N77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+'2'!J5</f>
        <v>46</v>
      </c>
      <c r="F5" s="69"/>
      <c r="G5" s="46">
        <f t="shared" ref="G5:G58" si="0">E5+F5</f>
        <v>46</v>
      </c>
      <c r="H5" s="76">
        <v>0</v>
      </c>
      <c r="I5" s="74">
        <v>0</v>
      </c>
      <c r="J5" s="46">
        <f t="shared" ref="J5:J58" si="1">+G5-H5-K5-I5</f>
        <v>35</v>
      </c>
      <c r="K5" s="70">
        <v>11</v>
      </c>
      <c r="L5" s="15">
        <v>50</v>
      </c>
      <c r="M5" s="63">
        <f>+L5*K5</f>
        <v>550</v>
      </c>
      <c r="N5" s="17" t="s">
        <v>1437</v>
      </c>
      <c r="O5" s="18">
        <v>50</v>
      </c>
      <c r="P5" s="161">
        <f>SUM(M5-O5)</f>
        <v>500</v>
      </c>
      <c r="Q5" s="88">
        <v>18.97</v>
      </c>
      <c r="R5" s="43">
        <f>+K5*Q5</f>
        <v>208.67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+'2'!J6</f>
        <v>23</v>
      </c>
      <c r="F6" s="69">
        <v>70</v>
      </c>
      <c r="G6" s="46">
        <f t="shared" si="0"/>
        <v>93</v>
      </c>
      <c r="H6" s="76">
        <v>0</v>
      </c>
      <c r="I6" s="74">
        <v>0</v>
      </c>
      <c r="J6" s="46">
        <f t="shared" si="1"/>
        <v>75</v>
      </c>
      <c r="K6" s="70">
        <v>18</v>
      </c>
      <c r="L6" s="15">
        <v>100</v>
      </c>
      <c r="M6" s="63">
        <f t="shared" ref="M6:M58" si="2">+L6*K6</f>
        <v>1800</v>
      </c>
      <c r="N6" s="17" t="s">
        <v>16</v>
      </c>
      <c r="O6" s="18"/>
      <c r="P6" s="161">
        <f t="shared" ref="P6:P58" si="3">SUM(M6-O6)</f>
        <v>1800</v>
      </c>
      <c r="Q6" s="88">
        <v>36.43</v>
      </c>
      <c r="R6" s="43">
        <f t="shared" ref="R6:R65" si="4">+K6*Q6</f>
        <v>655.74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+'2'!J7</f>
        <v>68</v>
      </c>
      <c r="F7" s="69"/>
      <c r="G7" s="46">
        <f t="shared" si="0"/>
        <v>68</v>
      </c>
      <c r="H7" s="76">
        <v>0</v>
      </c>
      <c r="I7" s="74">
        <v>0</v>
      </c>
      <c r="J7" s="46">
        <f t="shared" si="1"/>
        <v>58</v>
      </c>
      <c r="K7" s="70">
        <v>10</v>
      </c>
      <c r="L7" s="15">
        <v>50</v>
      </c>
      <c r="M7" s="63">
        <f t="shared" si="2"/>
        <v>500</v>
      </c>
      <c r="N7" s="17" t="s">
        <v>16</v>
      </c>
      <c r="O7" s="18"/>
      <c r="P7" s="161">
        <f t="shared" si="3"/>
        <v>500</v>
      </c>
      <c r="Q7" s="88">
        <v>19.36</v>
      </c>
      <c r="R7" s="43">
        <f t="shared" si="4"/>
        <v>193.6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+'2'!J8</f>
        <v>0</v>
      </c>
      <c r="F8" s="69">
        <v>10</v>
      </c>
      <c r="G8" s="46">
        <f t="shared" si="0"/>
        <v>10</v>
      </c>
      <c r="H8" s="76">
        <v>0</v>
      </c>
      <c r="I8" s="74">
        <v>0</v>
      </c>
      <c r="J8" s="46">
        <f t="shared" si="1"/>
        <v>5</v>
      </c>
      <c r="K8" s="70">
        <v>5</v>
      </c>
      <c r="L8" s="15">
        <v>65</v>
      </c>
      <c r="M8" s="63">
        <f t="shared" si="2"/>
        <v>325</v>
      </c>
      <c r="N8" s="17" t="s">
        <v>16</v>
      </c>
      <c r="O8" s="18"/>
      <c r="P8" s="161">
        <f t="shared" si="3"/>
        <v>325</v>
      </c>
      <c r="Q8" s="88">
        <v>22.25</v>
      </c>
      <c r="R8" s="43">
        <f t="shared" si="4"/>
        <v>111.25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+'2'!J9</f>
        <v>0</v>
      </c>
      <c r="F9" s="69">
        <v>5</v>
      </c>
      <c r="G9" s="46">
        <f t="shared" si="0"/>
        <v>5</v>
      </c>
      <c r="H9" s="76">
        <v>0</v>
      </c>
      <c r="I9" s="74">
        <v>0</v>
      </c>
      <c r="J9" s="46">
        <f t="shared" si="1"/>
        <v>5</v>
      </c>
      <c r="K9" s="70"/>
      <c r="L9" s="15">
        <v>85</v>
      </c>
      <c r="M9" s="63">
        <f t="shared" si="2"/>
        <v>0</v>
      </c>
      <c r="N9" s="17" t="s">
        <v>16</v>
      </c>
      <c r="O9" s="18"/>
      <c r="P9" s="23">
        <f t="shared" si="3"/>
        <v>0</v>
      </c>
      <c r="Q9" s="88">
        <v>22.65</v>
      </c>
      <c r="R9" s="43">
        <f t="shared" si="4"/>
        <v>0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+'2'!J10</f>
        <v>39</v>
      </c>
      <c r="F10" s="69"/>
      <c r="G10" s="46">
        <f t="shared" si="0"/>
        <v>39</v>
      </c>
      <c r="H10" s="76">
        <v>0</v>
      </c>
      <c r="I10" s="74">
        <v>0</v>
      </c>
      <c r="J10" s="46">
        <f t="shared" si="1"/>
        <v>32</v>
      </c>
      <c r="K10" s="70">
        <v>7</v>
      </c>
      <c r="L10" s="15">
        <v>100</v>
      </c>
      <c r="M10" s="63">
        <f t="shared" si="2"/>
        <v>700</v>
      </c>
      <c r="N10" s="17" t="s">
        <v>16</v>
      </c>
      <c r="O10" s="18"/>
      <c r="P10" s="161">
        <f t="shared" si="3"/>
        <v>700</v>
      </c>
      <c r="Q10" s="88">
        <v>27.98</v>
      </c>
      <c r="R10" s="43">
        <f t="shared" si="4"/>
        <v>195.86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+'2'!J11</f>
        <v>62</v>
      </c>
      <c r="F11" s="69"/>
      <c r="G11" s="46">
        <f t="shared" si="0"/>
        <v>62</v>
      </c>
      <c r="H11" s="76">
        <v>0</v>
      </c>
      <c r="I11" s="74">
        <v>0</v>
      </c>
      <c r="J11" s="46">
        <f t="shared" si="1"/>
        <v>53</v>
      </c>
      <c r="K11" s="70">
        <v>9</v>
      </c>
      <c r="L11" s="15">
        <v>100</v>
      </c>
      <c r="M11" s="63">
        <f t="shared" si="2"/>
        <v>900</v>
      </c>
      <c r="N11" s="17" t="s">
        <v>1447</v>
      </c>
      <c r="O11" s="18"/>
      <c r="P11" s="161">
        <f t="shared" si="3"/>
        <v>900</v>
      </c>
      <c r="Q11" s="88">
        <v>34.64</v>
      </c>
      <c r="R11" s="43">
        <f t="shared" si="4"/>
        <v>311.76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+'2'!J12</f>
        <v>16</v>
      </c>
      <c r="F12" s="69"/>
      <c r="G12" s="46">
        <f t="shared" si="0"/>
        <v>16</v>
      </c>
      <c r="H12" s="76">
        <v>0</v>
      </c>
      <c r="I12" s="74">
        <v>0</v>
      </c>
      <c r="J12" s="46">
        <f t="shared" si="1"/>
        <v>11</v>
      </c>
      <c r="K12" s="70">
        <v>5</v>
      </c>
      <c r="L12" s="20">
        <v>130</v>
      </c>
      <c r="M12" s="63">
        <f t="shared" si="2"/>
        <v>650</v>
      </c>
      <c r="N12" s="17" t="s">
        <v>16</v>
      </c>
      <c r="O12" s="18"/>
      <c r="P12" s="161">
        <f t="shared" si="3"/>
        <v>650</v>
      </c>
      <c r="Q12" s="88">
        <v>46.37</v>
      </c>
      <c r="R12" s="43">
        <f t="shared" si="4"/>
        <v>231.85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+'2'!J13</f>
        <v>0</v>
      </c>
      <c r="F13" s="69"/>
      <c r="G13" s="46">
        <f t="shared" si="0"/>
        <v>0</v>
      </c>
      <c r="H13" s="76">
        <v>0</v>
      </c>
      <c r="I13" s="74">
        <v>0</v>
      </c>
      <c r="J13" s="46">
        <f t="shared" si="1"/>
        <v>0</v>
      </c>
      <c r="K13" s="70"/>
      <c r="L13" s="15">
        <v>130</v>
      </c>
      <c r="M13" s="63">
        <f t="shared" si="2"/>
        <v>0</v>
      </c>
      <c r="N13" s="17" t="s">
        <v>16</v>
      </c>
      <c r="O13" s="18"/>
      <c r="P13" s="23">
        <f t="shared" si="3"/>
        <v>0</v>
      </c>
      <c r="Q13" s="88">
        <v>38.9</v>
      </c>
      <c r="R13" s="43">
        <f t="shared" si="4"/>
        <v>0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+'2'!J14</f>
        <v>16</v>
      </c>
      <c r="F14" s="69"/>
      <c r="G14" s="46">
        <f t="shared" si="0"/>
        <v>16</v>
      </c>
      <c r="H14" s="76">
        <v>0</v>
      </c>
      <c r="I14" s="74">
        <v>0</v>
      </c>
      <c r="J14" s="46">
        <f t="shared" si="1"/>
        <v>13</v>
      </c>
      <c r="K14" s="70">
        <v>3</v>
      </c>
      <c r="L14" s="15">
        <v>50</v>
      </c>
      <c r="M14" s="63">
        <f t="shared" si="2"/>
        <v>150</v>
      </c>
      <c r="N14" s="17" t="s">
        <v>16</v>
      </c>
      <c r="O14" s="18"/>
      <c r="P14" s="161">
        <f t="shared" si="3"/>
        <v>150</v>
      </c>
      <c r="Q14" s="88">
        <v>27.84</v>
      </c>
      <c r="R14" s="43">
        <f t="shared" si="4"/>
        <v>83.52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+'2'!J15</f>
        <v>26</v>
      </c>
      <c r="F15" s="69"/>
      <c r="G15" s="46">
        <f t="shared" si="0"/>
        <v>26</v>
      </c>
      <c r="H15" s="76">
        <v>0</v>
      </c>
      <c r="I15" s="74">
        <v>0</v>
      </c>
      <c r="J15" s="46">
        <f t="shared" si="1"/>
        <v>23</v>
      </c>
      <c r="K15" s="70">
        <v>3</v>
      </c>
      <c r="L15" s="15">
        <v>50</v>
      </c>
      <c r="M15" s="63">
        <f t="shared" si="2"/>
        <v>150</v>
      </c>
      <c r="N15" s="17" t="s">
        <v>16</v>
      </c>
      <c r="O15" s="18"/>
      <c r="P15" s="161">
        <f t="shared" si="3"/>
        <v>150</v>
      </c>
      <c r="Q15" s="88">
        <v>27.12</v>
      </c>
      <c r="R15" s="43">
        <f t="shared" si="4"/>
        <v>81.36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+'2'!J16</f>
        <v>6</v>
      </c>
      <c r="F16" s="69"/>
      <c r="G16" s="46">
        <f t="shared" si="0"/>
        <v>6</v>
      </c>
      <c r="H16" s="76">
        <v>0</v>
      </c>
      <c r="I16" s="74">
        <v>0</v>
      </c>
      <c r="J16" s="46">
        <f t="shared" si="1"/>
        <v>4</v>
      </c>
      <c r="K16" s="70">
        <v>2</v>
      </c>
      <c r="L16" s="20">
        <v>50</v>
      </c>
      <c r="M16" s="63">
        <f t="shared" si="2"/>
        <v>100</v>
      </c>
      <c r="N16" s="17" t="s">
        <v>16</v>
      </c>
      <c r="O16" s="18"/>
      <c r="P16" s="161">
        <f t="shared" si="3"/>
        <v>100</v>
      </c>
      <c r="Q16" s="88">
        <v>15.42</v>
      </c>
      <c r="R16" s="43">
        <f t="shared" si="4"/>
        <v>30.84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+'2'!J17</f>
        <v>4</v>
      </c>
      <c r="F17" s="69">
        <v>10</v>
      </c>
      <c r="G17" s="46">
        <f t="shared" si="0"/>
        <v>14</v>
      </c>
      <c r="H17" s="76">
        <v>0</v>
      </c>
      <c r="I17" s="74">
        <v>0</v>
      </c>
      <c r="J17" s="46">
        <f t="shared" si="1"/>
        <v>9</v>
      </c>
      <c r="K17" s="70">
        <v>5</v>
      </c>
      <c r="L17" s="15">
        <v>50</v>
      </c>
      <c r="M17" s="63">
        <f t="shared" si="2"/>
        <v>250</v>
      </c>
      <c r="N17" s="17" t="s">
        <v>1447</v>
      </c>
      <c r="O17" s="18"/>
      <c r="P17" s="161">
        <f t="shared" si="3"/>
        <v>250</v>
      </c>
      <c r="Q17" s="88">
        <v>17.78</v>
      </c>
      <c r="R17" s="43">
        <f t="shared" si="4"/>
        <v>88.9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+'2'!J18</f>
        <v>6</v>
      </c>
      <c r="F18" s="69">
        <v>10</v>
      </c>
      <c r="G18" s="46">
        <f t="shared" si="0"/>
        <v>16</v>
      </c>
      <c r="H18" s="76">
        <v>0</v>
      </c>
      <c r="I18" s="74">
        <v>0</v>
      </c>
      <c r="J18" s="46">
        <f t="shared" si="1"/>
        <v>8</v>
      </c>
      <c r="K18" s="70">
        <v>8</v>
      </c>
      <c r="L18" s="20">
        <v>50</v>
      </c>
      <c r="M18" s="63">
        <f t="shared" si="2"/>
        <v>400</v>
      </c>
      <c r="N18" s="17" t="s">
        <v>16</v>
      </c>
      <c r="O18" s="18"/>
      <c r="P18" s="161">
        <f t="shared" si="3"/>
        <v>400</v>
      </c>
      <c r="Q18" s="88">
        <v>17.989999999999998</v>
      </c>
      <c r="R18" s="43">
        <f t="shared" si="4"/>
        <v>143.91999999999999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+'2'!J19</f>
        <v>4</v>
      </c>
      <c r="F19" s="69">
        <v>10</v>
      </c>
      <c r="G19" s="46">
        <f t="shared" si="0"/>
        <v>14</v>
      </c>
      <c r="H19" s="76">
        <v>0</v>
      </c>
      <c r="I19" s="74">
        <v>0</v>
      </c>
      <c r="J19" s="46">
        <f t="shared" si="1"/>
        <v>11</v>
      </c>
      <c r="K19" s="70">
        <v>3</v>
      </c>
      <c r="L19" s="15">
        <v>50</v>
      </c>
      <c r="M19" s="63">
        <f t="shared" si="2"/>
        <v>150</v>
      </c>
      <c r="N19" s="17" t="s">
        <v>16</v>
      </c>
      <c r="O19" s="18"/>
      <c r="P19" s="161">
        <f t="shared" si="3"/>
        <v>150</v>
      </c>
      <c r="Q19" s="88">
        <v>20.059999999999999</v>
      </c>
      <c r="R19" s="43">
        <f t="shared" si="4"/>
        <v>60.179999999999993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+'2'!J20</f>
        <v>9</v>
      </c>
      <c r="F20" s="69">
        <v>10</v>
      </c>
      <c r="G20" s="46">
        <f t="shared" si="0"/>
        <v>19</v>
      </c>
      <c r="H20" s="76">
        <v>0</v>
      </c>
      <c r="I20" s="74">
        <v>0</v>
      </c>
      <c r="J20" s="46">
        <f t="shared" si="1"/>
        <v>16</v>
      </c>
      <c r="K20" s="70">
        <v>3</v>
      </c>
      <c r="L20" s="15">
        <v>50</v>
      </c>
      <c r="M20" s="63">
        <f t="shared" si="2"/>
        <v>150</v>
      </c>
      <c r="N20" s="17" t="s">
        <v>16</v>
      </c>
      <c r="O20" s="18"/>
      <c r="P20" s="161">
        <f t="shared" si="3"/>
        <v>150</v>
      </c>
      <c r="Q20" s="88">
        <v>20.32</v>
      </c>
      <c r="R20" s="43">
        <f t="shared" si="4"/>
        <v>60.96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+'2'!J21</f>
        <v>26</v>
      </c>
      <c r="F21" s="69"/>
      <c r="G21" s="46">
        <f t="shared" si="0"/>
        <v>26</v>
      </c>
      <c r="H21" s="76">
        <v>0</v>
      </c>
      <c r="I21" s="74">
        <v>0</v>
      </c>
      <c r="J21" s="46">
        <f t="shared" si="1"/>
        <v>19</v>
      </c>
      <c r="K21" s="70">
        <v>7</v>
      </c>
      <c r="L21" s="15">
        <v>50</v>
      </c>
      <c r="M21" s="63">
        <f t="shared" si="2"/>
        <v>350</v>
      </c>
      <c r="N21" s="17" t="s">
        <v>16</v>
      </c>
      <c r="O21" s="18"/>
      <c r="P21" s="161">
        <f t="shared" si="3"/>
        <v>350</v>
      </c>
      <c r="Q21" s="88">
        <v>16.37</v>
      </c>
      <c r="R21" s="43">
        <f t="shared" si="4"/>
        <v>114.59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+'2'!J22</f>
        <v>6</v>
      </c>
      <c r="F22" s="69"/>
      <c r="G22" s="46">
        <f t="shared" si="0"/>
        <v>6</v>
      </c>
      <c r="H22" s="76">
        <v>0</v>
      </c>
      <c r="I22" s="74">
        <v>0</v>
      </c>
      <c r="J22" s="46">
        <f t="shared" si="1"/>
        <v>6</v>
      </c>
      <c r="K22" s="70"/>
      <c r="L22" s="15">
        <v>120</v>
      </c>
      <c r="M22" s="63">
        <f t="shared" si="2"/>
        <v>0</v>
      </c>
      <c r="N22" s="17" t="s">
        <v>16</v>
      </c>
      <c r="O22" s="18"/>
      <c r="P22" s="23">
        <f t="shared" si="3"/>
        <v>0</v>
      </c>
      <c r="Q22" s="88">
        <v>25.99</v>
      </c>
      <c r="R22" s="43">
        <f t="shared" si="4"/>
        <v>0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+'2'!J23</f>
        <v>5</v>
      </c>
      <c r="F23" s="69"/>
      <c r="G23" s="46">
        <f t="shared" si="0"/>
        <v>5</v>
      </c>
      <c r="H23" s="76">
        <v>0</v>
      </c>
      <c r="I23" s="74">
        <v>0</v>
      </c>
      <c r="J23" s="46">
        <f t="shared" si="1"/>
        <v>4</v>
      </c>
      <c r="K23" s="70">
        <v>1</v>
      </c>
      <c r="L23" s="15">
        <v>120</v>
      </c>
      <c r="M23" s="63">
        <f t="shared" si="2"/>
        <v>120</v>
      </c>
      <c r="N23" s="17" t="s">
        <v>16</v>
      </c>
      <c r="O23" s="18">
        <v>20</v>
      </c>
      <c r="P23" s="161">
        <f t="shared" si="3"/>
        <v>100</v>
      </c>
      <c r="Q23" s="88">
        <v>28.31</v>
      </c>
      <c r="R23" s="43">
        <f t="shared" si="4"/>
        <v>28.31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+'2'!J24</f>
        <v>9</v>
      </c>
      <c r="F24" s="69"/>
      <c r="G24" s="46">
        <f t="shared" si="0"/>
        <v>9</v>
      </c>
      <c r="H24" s="76">
        <v>0</v>
      </c>
      <c r="I24" s="74">
        <v>0</v>
      </c>
      <c r="J24" s="46">
        <f t="shared" si="1"/>
        <v>8</v>
      </c>
      <c r="K24" s="70">
        <v>1</v>
      </c>
      <c r="L24" s="15">
        <v>120</v>
      </c>
      <c r="M24" s="63">
        <f t="shared" si="2"/>
        <v>120</v>
      </c>
      <c r="N24" s="17" t="s">
        <v>16</v>
      </c>
      <c r="O24" s="18">
        <v>20</v>
      </c>
      <c r="P24" s="161">
        <f t="shared" si="3"/>
        <v>100</v>
      </c>
      <c r="Q24" s="88">
        <v>31.07</v>
      </c>
      <c r="R24" s="43">
        <f t="shared" si="4"/>
        <v>31.07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+'2'!J25</f>
        <v>8</v>
      </c>
      <c r="F25" s="69"/>
      <c r="G25" s="46">
        <f t="shared" si="0"/>
        <v>8</v>
      </c>
      <c r="H25" s="76">
        <v>0</v>
      </c>
      <c r="I25" s="74">
        <v>0</v>
      </c>
      <c r="J25" s="46">
        <f t="shared" si="1"/>
        <v>7</v>
      </c>
      <c r="K25" s="70">
        <v>1</v>
      </c>
      <c r="L25" s="20">
        <v>120</v>
      </c>
      <c r="M25" s="63">
        <f t="shared" si="2"/>
        <v>120</v>
      </c>
      <c r="N25" s="17" t="s">
        <v>16</v>
      </c>
      <c r="O25" s="18">
        <v>20</v>
      </c>
      <c r="P25" s="161">
        <f t="shared" si="3"/>
        <v>100</v>
      </c>
      <c r="Q25" s="88">
        <v>29.83</v>
      </c>
      <c r="R25" s="43">
        <f t="shared" si="4"/>
        <v>29.83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+'2'!J26</f>
        <v>2</v>
      </c>
      <c r="F26" s="69"/>
      <c r="G26" s="46">
        <f t="shared" si="0"/>
        <v>2</v>
      </c>
      <c r="H26" s="76">
        <v>0</v>
      </c>
      <c r="I26" s="74">
        <v>0</v>
      </c>
      <c r="J26" s="46">
        <f t="shared" si="1"/>
        <v>1</v>
      </c>
      <c r="K26" s="70">
        <v>1</v>
      </c>
      <c r="L26" s="15">
        <v>120</v>
      </c>
      <c r="M26" s="63">
        <f t="shared" si="2"/>
        <v>120</v>
      </c>
      <c r="N26" s="17" t="s">
        <v>16</v>
      </c>
      <c r="O26" s="18">
        <v>20</v>
      </c>
      <c r="P26" s="161">
        <f t="shared" si="3"/>
        <v>100</v>
      </c>
      <c r="Q26" s="88">
        <v>26.39</v>
      </c>
      <c r="R26" s="43">
        <f t="shared" si="4"/>
        <v>26.39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+'2'!J27</f>
        <v>5</v>
      </c>
      <c r="F27" s="69"/>
      <c r="G27" s="46">
        <f t="shared" si="0"/>
        <v>5</v>
      </c>
      <c r="H27" s="76">
        <v>0</v>
      </c>
      <c r="I27" s="74">
        <v>0</v>
      </c>
      <c r="J27" s="46">
        <f t="shared" si="1"/>
        <v>3</v>
      </c>
      <c r="K27" s="70">
        <v>2</v>
      </c>
      <c r="L27" s="15">
        <v>50</v>
      </c>
      <c r="M27" s="63">
        <f t="shared" si="2"/>
        <v>100</v>
      </c>
      <c r="N27" s="17" t="s">
        <v>16</v>
      </c>
      <c r="O27" s="18"/>
      <c r="P27" s="161">
        <f t="shared" si="3"/>
        <v>100</v>
      </c>
      <c r="Q27" s="88">
        <v>23.69</v>
      </c>
      <c r="R27" s="43">
        <f t="shared" si="4"/>
        <v>47.38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+'2'!J28</f>
        <v>2</v>
      </c>
      <c r="F28" s="69">
        <v>1</v>
      </c>
      <c r="G28" s="46">
        <f t="shared" si="0"/>
        <v>3</v>
      </c>
      <c r="H28" s="76">
        <v>0</v>
      </c>
      <c r="I28" s="74">
        <v>0</v>
      </c>
      <c r="J28" s="46">
        <f t="shared" si="1"/>
        <v>0</v>
      </c>
      <c r="K28" s="70">
        <v>3</v>
      </c>
      <c r="L28" s="21">
        <v>50</v>
      </c>
      <c r="M28" s="63">
        <f t="shared" si="2"/>
        <v>150</v>
      </c>
      <c r="N28" s="17" t="s">
        <v>16</v>
      </c>
      <c r="O28" s="18"/>
      <c r="P28" s="161">
        <f t="shared" si="3"/>
        <v>150</v>
      </c>
      <c r="Q28" s="88">
        <v>22.49</v>
      </c>
      <c r="R28" s="43">
        <f t="shared" si="4"/>
        <v>67.47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+'2'!J29</f>
        <v>3</v>
      </c>
      <c r="F29" s="69"/>
      <c r="G29" s="46">
        <f t="shared" si="0"/>
        <v>3</v>
      </c>
      <c r="H29" s="76">
        <v>0</v>
      </c>
      <c r="I29" s="74">
        <v>0</v>
      </c>
      <c r="J29" s="46">
        <f t="shared" si="1"/>
        <v>2</v>
      </c>
      <c r="K29" s="70">
        <v>1</v>
      </c>
      <c r="L29" s="21">
        <v>50</v>
      </c>
      <c r="M29" s="63">
        <f t="shared" si="2"/>
        <v>50</v>
      </c>
      <c r="N29" s="17" t="s">
        <v>16</v>
      </c>
      <c r="O29" s="18"/>
      <c r="P29" s="161">
        <f t="shared" si="3"/>
        <v>50</v>
      </c>
      <c r="Q29" s="88">
        <v>17.09</v>
      </c>
      <c r="R29" s="43">
        <f t="shared" si="4"/>
        <v>17.09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+'2'!J30</f>
        <v>10</v>
      </c>
      <c r="F30" s="69"/>
      <c r="G30" s="46">
        <f t="shared" si="0"/>
        <v>10</v>
      </c>
      <c r="H30" s="76">
        <v>0</v>
      </c>
      <c r="I30" s="74">
        <v>0</v>
      </c>
      <c r="J30" s="46">
        <f t="shared" si="1"/>
        <v>1</v>
      </c>
      <c r="K30" s="70">
        <v>9</v>
      </c>
      <c r="L30" s="22">
        <v>50</v>
      </c>
      <c r="M30" s="63">
        <f t="shared" si="2"/>
        <v>450</v>
      </c>
      <c r="N30" s="17" t="s">
        <v>1437</v>
      </c>
      <c r="O30" s="18">
        <v>50</v>
      </c>
      <c r="P30" s="161">
        <f t="shared" si="3"/>
        <v>400</v>
      </c>
      <c r="Q30" s="88">
        <v>25.15</v>
      </c>
      <c r="R30" s="43">
        <f t="shared" si="4"/>
        <v>226.35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+'2'!J31</f>
        <v>7</v>
      </c>
      <c r="F31" s="69"/>
      <c r="G31" s="46">
        <f t="shared" si="0"/>
        <v>7</v>
      </c>
      <c r="H31" s="76">
        <v>0</v>
      </c>
      <c r="I31" s="74">
        <v>0</v>
      </c>
      <c r="J31" s="46">
        <f t="shared" si="1"/>
        <v>5</v>
      </c>
      <c r="K31" s="70">
        <v>2</v>
      </c>
      <c r="L31" s="22">
        <v>55</v>
      </c>
      <c r="M31" s="63">
        <f t="shared" si="2"/>
        <v>110</v>
      </c>
      <c r="N31" s="17" t="s">
        <v>16</v>
      </c>
      <c r="O31" s="18"/>
      <c r="P31" s="161">
        <f t="shared" si="3"/>
        <v>110</v>
      </c>
      <c r="Q31" s="88">
        <v>14.35</v>
      </c>
      <c r="R31" s="43">
        <f t="shared" si="4"/>
        <v>28.7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+'2'!J32</f>
        <v>4</v>
      </c>
      <c r="F32" s="69">
        <v>3</v>
      </c>
      <c r="G32" s="46">
        <f t="shared" si="0"/>
        <v>7</v>
      </c>
      <c r="H32" s="76">
        <v>0</v>
      </c>
      <c r="I32" s="74">
        <v>0</v>
      </c>
      <c r="J32" s="46">
        <f t="shared" si="1"/>
        <v>5</v>
      </c>
      <c r="K32" s="70">
        <v>2</v>
      </c>
      <c r="L32" s="22">
        <v>55</v>
      </c>
      <c r="M32" s="63">
        <f t="shared" si="2"/>
        <v>110</v>
      </c>
      <c r="N32" s="17" t="s">
        <v>16</v>
      </c>
      <c r="O32" s="18"/>
      <c r="P32" s="161">
        <f t="shared" si="3"/>
        <v>110</v>
      </c>
      <c r="Q32" s="88">
        <v>19.579999999999998</v>
      </c>
      <c r="R32" s="43">
        <f t="shared" si="4"/>
        <v>39.159999999999997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+'2'!J33</f>
        <v>1</v>
      </c>
      <c r="F33" s="69">
        <v>20</v>
      </c>
      <c r="G33" s="46">
        <f t="shared" si="0"/>
        <v>21</v>
      </c>
      <c r="H33" s="76">
        <v>0</v>
      </c>
      <c r="I33" s="74">
        <v>0</v>
      </c>
      <c r="J33" s="46">
        <f t="shared" si="1"/>
        <v>16</v>
      </c>
      <c r="K33" s="70">
        <v>5</v>
      </c>
      <c r="L33" s="22">
        <v>100</v>
      </c>
      <c r="M33" s="63">
        <f t="shared" si="2"/>
        <v>500</v>
      </c>
      <c r="N33" s="17" t="s">
        <v>16</v>
      </c>
      <c r="O33" s="18"/>
      <c r="P33" s="161">
        <f t="shared" si="3"/>
        <v>500</v>
      </c>
      <c r="Q33" s="88">
        <v>23.61</v>
      </c>
      <c r="R33" s="43">
        <f t="shared" si="4"/>
        <v>118.05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+'2'!J34</f>
        <v>2</v>
      </c>
      <c r="F34" s="69">
        <v>10</v>
      </c>
      <c r="G34" s="46">
        <f t="shared" si="0"/>
        <v>12</v>
      </c>
      <c r="H34" s="76">
        <v>0</v>
      </c>
      <c r="I34" s="74">
        <v>1</v>
      </c>
      <c r="J34" s="46">
        <f t="shared" si="1"/>
        <v>9</v>
      </c>
      <c r="K34" s="70">
        <v>2</v>
      </c>
      <c r="L34" s="20">
        <v>55</v>
      </c>
      <c r="M34" s="63">
        <f t="shared" si="2"/>
        <v>110</v>
      </c>
      <c r="N34" s="17" t="s">
        <v>1447</v>
      </c>
      <c r="O34" s="18"/>
      <c r="P34" s="161">
        <f t="shared" si="3"/>
        <v>110</v>
      </c>
      <c r="Q34" s="88">
        <v>34.25</v>
      </c>
      <c r="R34" s="43">
        <f t="shared" si="4"/>
        <v>68.5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+'2'!J35</f>
        <v>11</v>
      </c>
      <c r="F35" s="69"/>
      <c r="G35" s="46">
        <f t="shared" si="0"/>
        <v>11</v>
      </c>
      <c r="H35" s="76">
        <v>0</v>
      </c>
      <c r="I35" s="74">
        <v>0</v>
      </c>
      <c r="J35" s="46">
        <f t="shared" si="1"/>
        <v>11</v>
      </c>
      <c r="K35" s="70"/>
      <c r="L35" s="15">
        <v>60</v>
      </c>
      <c r="M35" s="63">
        <f t="shared" si="2"/>
        <v>0</v>
      </c>
      <c r="N35" s="17" t="s">
        <v>16</v>
      </c>
      <c r="O35" s="18"/>
      <c r="P35" s="23">
        <f t="shared" si="3"/>
        <v>0</v>
      </c>
      <c r="Q35" s="88">
        <v>23.61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+'2'!J36</f>
        <v>3</v>
      </c>
      <c r="F36" s="69">
        <v>20</v>
      </c>
      <c r="G36" s="46">
        <f t="shared" si="0"/>
        <v>23</v>
      </c>
      <c r="H36" s="76">
        <v>0</v>
      </c>
      <c r="I36" s="74">
        <v>0</v>
      </c>
      <c r="J36" s="46">
        <f t="shared" si="1"/>
        <v>20</v>
      </c>
      <c r="K36" s="70">
        <v>3</v>
      </c>
      <c r="L36" s="15">
        <v>100</v>
      </c>
      <c r="M36" s="63">
        <f t="shared" si="2"/>
        <v>300</v>
      </c>
      <c r="N36" s="17" t="s">
        <v>16</v>
      </c>
      <c r="O36" s="18"/>
      <c r="P36" s="161">
        <f t="shared" si="3"/>
        <v>300</v>
      </c>
      <c r="Q36" s="88">
        <v>13.03</v>
      </c>
      <c r="R36" s="43">
        <f t="shared" si="4"/>
        <v>39.089999999999996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+'2'!J37</f>
        <v>6</v>
      </c>
      <c r="F37" s="69">
        <v>5</v>
      </c>
      <c r="G37" s="46">
        <f t="shared" si="0"/>
        <v>11</v>
      </c>
      <c r="H37" s="76">
        <v>0</v>
      </c>
      <c r="I37" s="74">
        <v>0</v>
      </c>
      <c r="J37" s="46">
        <f t="shared" si="1"/>
        <v>11</v>
      </c>
      <c r="K37" s="70"/>
      <c r="L37" s="15">
        <v>55</v>
      </c>
      <c r="M37" s="63">
        <f t="shared" si="2"/>
        <v>0</v>
      </c>
      <c r="N37" s="17" t="s">
        <v>16</v>
      </c>
      <c r="O37" s="18"/>
      <c r="P37" s="23">
        <f t="shared" si="3"/>
        <v>0</v>
      </c>
      <c r="Q37" s="88">
        <v>11.91</v>
      </c>
      <c r="R37" s="43">
        <f t="shared" si="4"/>
        <v>0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+'2'!J38</f>
        <v>1</v>
      </c>
      <c r="F38" s="69">
        <v>10</v>
      </c>
      <c r="G38" s="46">
        <f t="shared" si="0"/>
        <v>11</v>
      </c>
      <c r="H38" s="76">
        <v>0</v>
      </c>
      <c r="I38" s="74">
        <v>0</v>
      </c>
      <c r="J38" s="46">
        <f t="shared" si="1"/>
        <v>10</v>
      </c>
      <c r="K38" s="70">
        <v>1</v>
      </c>
      <c r="L38" s="15">
        <v>50</v>
      </c>
      <c r="M38" s="63">
        <f>+L38*K38</f>
        <v>50</v>
      </c>
      <c r="N38" s="17" t="s">
        <v>16</v>
      </c>
      <c r="O38" s="18"/>
      <c r="P38" s="161">
        <f>SUM(M38-O38)</f>
        <v>50</v>
      </c>
      <c r="Q38" s="88">
        <v>9.91</v>
      </c>
      <c r="R38" s="43">
        <f>+K38*Q38</f>
        <v>9.91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+'2'!J39</f>
        <v>3</v>
      </c>
      <c r="F39" s="69"/>
      <c r="G39" s="46">
        <f t="shared" si="0"/>
        <v>3</v>
      </c>
      <c r="H39" s="76">
        <v>0</v>
      </c>
      <c r="I39" s="74">
        <v>0</v>
      </c>
      <c r="J39" s="46">
        <f t="shared" si="1"/>
        <v>3</v>
      </c>
      <c r="K39" s="70"/>
      <c r="L39" s="20">
        <v>60</v>
      </c>
      <c r="M39" s="63">
        <f t="shared" si="2"/>
        <v>0</v>
      </c>
      <c r="N39" s="17" t="s">
        <v>16</v>
      </c>
      <c r="O39" s="18"/>
      <c r="P39" s="23">
        <f t="shared" si="3"/>
        <v>0</v>
      </c>
      <c r="Q39" s="88">
        <v>16.690000000000001</v>
      </c>
      <c r="R39" s="43">
        <f t="shared" si="4"/>
        <v>0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+'2'!J40</f>
        <v>14</v>
      </c>
      <c r="F40" s="69"/>
      <c r="G40" s="46">
        <f t="shared" si="0"/>
        <v>14</v>
      </c>
      <c r="H40" s="76">
        <v>0</v>
      </c>
      <c r="I40" s="74">
        <v>0</v>
      </c>
      <c r="J40" s="46">
        <f t="shared" si="1"/>
        <v>9</v>
      </c>
      <c r="K40" s="70">
        <v>5</v>
      </c>
      <c r="L40" s="20">
        <v>50</v>
      </c>
      <c r="M40" s="63">
        <f t="shared" si="2"/>
        <v>250</v>
      </c>
      <c r="N40" s="17" t="s">
        <v>16</v>
      </c>
      <c r="O40" s="18"/>
      <c r="P40" s="161">
        <f t="shared" si="3"/>
        <v>250</v>
      </c>
      <c r="Q40" s="88">
        <v>24.21</v>
      </c>
      <c r="R40" s="43">
        <f t="shared" si="4"/>
        <v>121.05000000000001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+'2'!J41</f>
        <v>4</v>
      </c>
      <c r="F41" s="69"/>
      <c r="G41" s="46">
        <f t="shared" si="0"/>
        <v>4</v>
      </c>
      <c r="H41" s="76">
        <v>0</v>
      </c>
      <c r="I41" s="74">
        <v>0</v>
      </c>
      <c r="J41" s="46">
        <f t="shared" si="1"/>
        <v>4</v>
      </c>
      <c r="K41" s="70"/>
      <c r="L41" s="20">
        <v>50</v>
      </c>
      <c r="M41" s="63">
        <f t="shared" si="2"/>
        <v>0</v>
      </c>
      <c r="N41" s="17" t="s">
        <v>16</v>
      </c>
      <c r="O41" s="18"/>
      <c r="P41" s="23">
        <f t="shared" si="3"/>
        <v>0</v>
      </c>
      <c r="Q41" s="88">
        <v>23.02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+'2'!J42</f>
        <v>452</v>
      </c>
      <c r="F42" s="69"/>
      <c r="G42" s="46">
        <f t="shared" si="0"/>
        <v>452</v>
      </c>
      <c r="H42" s="76">
        <v>0</v>
      </c>
      <c r="I42" s="74">
        <v>0</v>
      </c>
      <c r="J42" s="46">
        <f t="shared" si="1"/>
        <v>382</v>
      </c>
      <c r="K42" s="70">
        <v>70</v>
      </c>
      <c r="L42" s="20">
        <v>0</v>
      </c>
      <c r="M42" s="63">
        <f t="shared" si="2"/>
        <v>0</v>
      </c>
      <c r="N42" s="17" t="s">
        <v>16</v>
      </c>
      <c r="O42" s="18"/>
      <c r="P42" s="23">
        <f t="shared" si="3"/>
        <v>0</v>
      </c>
      <c r="Q42" s="88">
        <v>6.3</v>
      </c>
      <c r="R42" s="43">
        <f t="shared" si="4"/>
        <v>441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+'2'!J43</f>
        <v>170</v>
      </c>
      <c r="F43" s="69"/>
      <c r="G43" s="46">
        <f t="shared" si="0"/>
        <v>170</v>
      </c>
      <c r="H43" s="76">
        <v>0</v>
      </c>
      <c r="I43" s="74">
        <v>0</v>
      </c>
      <c r="J43" s="46">
        <f t="shared" si="1"/>
        <v>169</v>
      </c>
      <c r="K43" s="70">
        <v>1</v>
      </c>
      <c r="L43" s="22">
        <v>10</v>
      </c>
      <c r="M43" s="63">
        <f>+L43*K43</f>
        <v>10</v>
      </c>
      <c r="N43" s="17" t="s">
        <v>16</v>
      </c>
      <c r="O43" s="18"/>
      <c r="P43" s="161">
        <f>SUM(M43-O43)</f>
        <v>10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+'2'!J44</f>
        <v>1</v>
      </c>
      <c r="F44" s="69"/>
      <c r="G44" s="46">
        <f t="shared" si="0"/>
        <v>1</v>
      </c>
      <c r="H44" s="76">
        <v>0</v>
      </c>
      <c r="I44" s="74">
        <v>0</v>
      </c>
      <c r="J44" s="46">
        <f t="shared" si="1"/>
        <v>1</v>
      </c>
      <c r="K44" s="70"/>
      <c r="L44" s="20">
        <v>150</v>
      </c>
      <c r="M44" s="63">
        <f t="shared" si="2"/>
        <v>0</v>
      </c>
      <c r="N44" s="17" t="s">
        <v>16</v>
      </c>
      <c r="O44" s="18"/>
      <c r="P44" s="23">
        <f t="shared" si="3"/>
        <v>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+'2'!J45</f>
        <v>5</v>
      </c>
      <c r="F45" s="69"/>
      <c r="G45" s="46">
        <f t="shared" si="0"/>
        <v>5</v>
      </c>
      <c r="H45" s="76">
        <v>0</v>
      </c>
      <c r="I45" s="74">
        <v>0</v>
      </c>
      <c r="J45" s="46">
        <f t="shared" si="1"/>
        <v>5</v>
      </c>
      <c r="K45" s="70"/>
      <c r="L45" s="15">
        <v>150</v>
      </c>
      <c r="M45" s="63">
        <f t="shared" si="2"/>
        <v>0</v>
      </c>
      <c r="N45" s="17" t="s">
        <v>16</v>
      </c>
      <c r="O45" s="18"/>
      <c r="P45" s="23">
        <f t="shared" si="3"/>
        <v>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+'2'!J46</f>
        <v>5</v>
      </c>
      <c r="F46" s="69"/>
      <c r="G46" s="46">
        <f t="shared" si="0"/>
        <v>5</v>
      </c>
      <c r="H46" s="76">
        <v>1</v>
      </c>
      <c r="I46" s="74">
        <v>0</v>
      </c>
      <c r="J46" s="46">
        <f t="shared" si="1"/>
        <v>0</v>
      </c>
      <c r="K46" s="70">
        <v>4</v>
      </c>
      <c r="L46" s="15">
        <v>25</v>
      </c>
      <c r="M46" s="63">
        <f t="shared" si="2"/>
        <v>100</v>
      </c>
      <c r="N46" s="17" t="s">
        <v>1448</v>
      </c>
      <c r="O46" s="18"/>
      <c r="P46" s="161">
        <f t="shared" si="3"/>
        <v>100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+'2'!J47</f>
        <v>9</v>
      </c>
      <c r="F47" s="69"/>
      <c r="G47" s="46">
        <f t="shared" si="0"/>
        <v>9</v>
      </c>
      <c r="H47" s="76">
        <v>0</v>
      </c>
      <c r="I47" s="74">
        <v>0</v>
      </c>
      <c r="J47" s="46">
        <f t="shared" si="1"/>
        <v>0</v>
      </c>
      <c r="K47" s="70">
        <v>9</v>
      </c>
      <c r="L47" s="15">
        <v>35</v>
      </c>
      <c r="M47" s="63">
        <f t="shared" si="2"/>
        <v>315</v>
      </c>
      <c r="N47" s="17" t="s">
        <v>16</v>
      </c>
      <c r="O47" s="18">
        <v>35</v>
      </c>
      <c r="P47" s="161">
        <f t="shared" si="3"/>
        <v>280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+'2'!J48</f>
        <v>333</v>
      </c>
      <c r="F48" s="69"/>
      <c r="G48" s="46">
        <f t="shared" si="0"/>
        <v>333</v>
      </c>
      <c r="H48" s="76">
        <v>0</v>
      </c>
      <c r="I48" s="74">
        <v>0</v>
      </c>
      <c r="J48" s="46">
        <f t="shared" si="1"/>
        <v>305</v>
      </c>
      <c r="K48" s="70">
        <v>28</v>
      </c>
      <c r="L48" s="15">
        <v>19</v>
      </c>
      <c r="M48" s="63">
        <f>+L48*K48</f>
        <v>532</v>
      </c>
      <c r="N48" s="17" t="s">
        <v>16</v>
      </c>
      <c r="O48" s="18">
        <v>57</v>
      </c>
      <c r="P48" s="161">
        <f>SUM(M48-O48)</f>
        <v>475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+'2'!J49</f>
        <v>141</v>
      </c>
      <c r="F49" s="69"/>
      <c r="G49" s="46">
        <f t="shared" si="0"/>
        <v>141</v>
      </c>
      <c r="H49" s="76">
        <v>0</v>
      </c>
      <c r="I49" s="74">
        <v>7</v>
      </c>
      <c r="J49" s="46">
        <f t="shared" si="1"/>
        <v>102</v>
      </c>
      <c r="K49" s="70">
        <v>32</v>
      </c>
      <c r="L49" s="15">
        <v>25</v>
      </c>
      <c r="M49" s="63">
        <f>+L49*K49</f>
        <v>800</v>
      </c>
      <c r="N49" s="17" t="s">
        <v>1449</v>
      </c>
      <c r="O49" s="18">
        <v>150</v>
      </c>
      <c r="P49" s="161">
        <f>SUM(M49-O49)</f>
        <v>650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+'2'!J50</f>
        <v>23</v>
      </c>
      <c r="F50" s="69"/>
      <c r="G50" s="46">
        <f t="shared" si="0"/>
        <v>23</v>
      </c>
      <c r="H50" s="76">
        <v>0</v>
      </c>
      <c r="I50" s="74">
        <v>0</v>
      </c>
      <c r="J50" s="46">
        <f t="shared" si="1"/>
        <v>9</v>
      </c>
      <c r="K50" s="70">
        <v>14</v>
      </c>
      <c r="L50" s="15">
        <v>25</v>
      </c>
      <c r="M50" s="63">
        <f t="shared" si="2"/>
        <v>350</v>
      </c>
      <c r="N50" s="17" t="s">
        <v>16</v>
      </c>
      <c r="O50" s="18"/>
      <c r="P50" s="161">
        <f t="shared" si="3"/>
        <v>350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+'2'!J51</f>
        <v>1</v>
      </c>
      <c r="F51" s="69"/>
      <c r="G51" s="46">
        <f t="shared" si="0"/>
        <v>1</v>
      </c>
      <c r="H51" s="76">
        <v>0</v>
      </c>
      <c r="I51" s="74">
        <v>0</v>
      </c>
      <c r="J51" s="46">
        <f t="shared" si="1"/>
        <v>1</v>
      </c>
      <c r="K51" s="70"/>
      <c r="L51" s="20">
        <v>25</v>
      </c>
      <c r="M51" s="63">
        <f>+L51*K51</f>
        <v>0</v>
      </c>
      <c r="N51" s="17" t="s">
        <v>16</v>
      </c>
      <c r="O51" s="18"/>
      <c r="P51" s="23">
        <f>SUM(M51-O51)</f>
        <v>0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+'2'!J52</f>
        <v>9</v>
      </c>
      <c r="F52" s="69"/>
      <c r="G52" s="46">
        <f t="shared" si="0"/>
        <v>9</v>
      </c>
      <c r="H52" s="76">
        <v>0</v>
      </c>
      <c r="I52" s="74">
        <v>0</v>
      </c>
      <c r="J52" s="46">
        <f t="shared" si="1"/>
        <v>3</v>
      </c>
      <c r="K52" s="70">
        <v>6</v>
      </c>
      <c r="L52" s="20">
        <v>35</v>
      </c>
      <c r="M52" s="63">
        <f>+L52*K52</f>
        <v>210</v>
      </c>
      <c r="N52" s="17" t="s">
        <v>16</v>
      </c>
      <c r="O52" s="18"/>
      <c r="P52" s="161">
        <f>SUM(M52-O52)</f>
        <v>210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+'2'!J53</f>
        <v>44</v>
      </c>
      <c r="F53" s="69"/>
      <c r="G53" s="46">
        <f t="shared" si="0"/>
        <v>44</v>
      </c>
      <c r="H53" s="76">
        <v>0</v>
      </c>
      <c r="I53" s="74">
        <v>0</v>
      </c>
      <c r="J53" s="46">
        <f t="shared" si="1"/>
        <v>41</v>
      </c>
      <c r="K53" s="70">
        <v>3</v>
      </c>
      <c r="L53" s="15">
        <v>35</v>
      </c>
      <c r="M53" s="63">
        <f>+L53*K53</f>
        <v>105</v>
      </c>
      <c r="N53" s="17" t="s">
        <v>16</v>
      </c>
      <c r="O53" s="18"/>
      <c r="P53" s="161">
        <f>SUM(M53-O53)</f>
        <v>105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+'2'!J54</f>
        <v>12</v>
      </c>
      <c r="F54" s="69"/>
      <c r="G54" s="46">
        <f t="shared" si="0"/>
        <v>12</v>
      </c>
      <c r="H54" s="76">
        <v>0</v>
      </c>
      <c r="I54" s="74">
        <v>0</v>
      </c>
      <c r="J54" s="46">
        <f t="shared" si="1"/>
        <v>6</v>
      </c>
      <c r="K54" s="70">
        <v>6</v>
      </c>
      <c r="L54" s="15">
        <v>35</v>
      </c>
      <c r="M54" s="63">
        <f t="shared" si="2"/>
        <v>210</v>
      </c>
      <c r="N54" s="17" t="s">
        <v>16</v>
      </c>
      <c r="O54" s="18"/>
      <c r="P54" s="161">
        <f t="shared" si="3"/>
        <v>210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+'2'!J55</f>
        <v>5</v>
      </c>
      <c r="F55" s="69"/>
      <c r="G55" s="46">
        <f t="shared" si="0"/>
        <v>5</v>
      </c>
      <c r="H55" s="76">
        <v>0</v>
      </c>
      <c r="I55" s="74">
        <v>0</v>
      </c>
      <c r="J55" s="46">
        <f t="shared" si="1"/>
        <v>3</v>
      </c>
      <c r="K55" s="70">
        <v>2</v>
      </c>
      <c r="L55" s="15">
        <v>120</v>
      </c>
      <c r="M55" s="63">
        <f>+L55*K55</f>
        <v>240</v>
      </c>
      <c r="N55" s="17" t="s">
        <v>1447</v>
      </c>
      <c r="O55" s="18"/>
      <c r="P55" s="161">
        <f>SUM(M55-O55)</f>
        <v>240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+'2'!J56</f>
        <v>4</v>
      </c>
      <c r="F56" s="69"/>
      <c r="G56" s="46">
        <f t="shared" si="0"/>
        <v>4</v>
      </c>
      <c r="H56" s="76">
        <v>0</v>
      </c>
      <c r="I56" s="74">
        <v>0</v>
      </c>
      <c r="J56" s="46">
        <f t="shared" si="1"/>
        <v>4</v>
      </c>
      <c r="K56" s="70"/>
      <c r="L56" s="15">
        <v>120</v>
      </c>
      <c r="M56" s="63">
        <f>+L56*K56</f>
        <v>0</v>
      </c>
      <c r="N56" s="17" t="s">
        <v>16</v>
      </c>
      <c r="O56" s="18"/>
      <c r="P56" s="23">
        <f>SUM(M56-O56)</f>
        <v>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+'2'!J57</f>
        <v>7</v>
      </c>
      <c r="F57" s="69"/>
      <c r="G57" s="46">
        <f t="shared" si="0"/>
        <v>7</v>
      </c>
      <c r="H57" s="76">
        <v>0</v>
      </c>
      <c r="I57" s="74">
        <v>0</v>
      </c>
      <c r="J57" s="46">
        <f t="shared" si="1"/>
        <v>5</v>
      </c>
      <c r="K57" s="70">
        <v>2</v>
      </c>
      <c r="L57" s="20">
        <v>120</v>
      </c>
      <c r="M57" s="63">
        <f t="shared" si="2"/>
        <v>240</v>
      </c>
      <c r="N57" s="17" t="s">
        <v>1447</v>
      </c>
      <c r="O57" s="18"/>
      <c r="P57" s="161">
        <f t="shared" si="3"/>
        <v>240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+'2'!J58</f>
        <v>10</v>
      </c>
      <c r="F58" s="69"/>
      <c r="G58" s="46">
        <f t="shared" si="0"/>
        <v>10</v>
      </c>
      <c r="H58" s="76">
        <v>0</v>
      </c>
      <c r="I58" s="74">
        <v>0</v>
      </c>
      <c r="J58" s="46">
        <f t="shared" si="1"/>
        <v>9</v>
      </c>
      <c r="K58" s="70">
        <v>1</v>
      </c>
      <c r="L58" s="20">
        <v>0</v>
      </c>
      <c r="M58" s="63">
        <f t="shared" si="2"/>
        <v>0</v>
      </c>
      <c r="N58" s="17" t="s">
        <v>1447</v>
      </c>
      <c r="O58" s="18"/>
      <c r="P58" s="23">
        <f t="shared" si="3"/>
        <v>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/>
      <c r="D59" s="10"/>
      <c r="E59" s="62">
        <f>+'2'!J59</f>
        <v>0</v>
      </c>
      <c r="F59" s="69"/>
      <c r="G59" s="46"/>
      <c r="H59" s="76"/>
      <c r="I59" s="74"/>
      <c r="J59" s="46"/>
      <c r="K59" s="70"/>
      <c r="L59" s="20"/>
      <c r="M59" s="63"/>
      <c r="N59" s="17"/>
      <c r="O59" s="18"/>
      <c r="P59" s="23"/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+'2'!J60</f>
        <v>0</v>
      </c>
      <c r="F60" s="69"/>
      <c r="G60" s="46"/>
      <c r="H60" s="76"/>
      <c r="I60" s="74"/>
      <c r="J60" s="46"/>
      <c r="K60" s="70"/>
      <c r="L60" s="20"/>
      <c r="M60" s="63"/>
      <c r="N60" s="17"/>
      <c r="O60" s="18"/>
      <c r="P60" s="23"/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+'2'!J61</f>
        <v>0</v>
      </c>
      <c r="F61" s="69"/>
      <c r="G61" s="46"/>
      <c r="H61" s="76"/>
      <c r="I61" s="74"/>
      <c r="J61" s="46"/>
      <c r="K61" s="70"/>
      <c r="L61" s="20"/>
      <c r="M61" s="63"/>
      <c r="N61" s="17"/>
      <c r="O61" s="18"/>
      <c r="P61" s="23"/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>
        <f>+'2'!J62</f>
        <v>0</v>
      </c>
      <c r="F62" s="69"/>
      <c r="G62" s="46"/>
      <c r="H62" s="76"/>
      <c r="I62" s="74"/>
      <c r="J62" s="46"/>
      <c r="K62" s="70"/>
      <c r="L62" s="20"/>
      <c r="M62" s="63"/>
      <c r="N62" s="17"/>
      <c r="O62" s="18"/>
      <c r="P62" s="23"/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>
        <f>+'2'!J63</f>
        <v>0</v>
      </c>
      <c r="F63" s="69"/>
      <c r="G63" s="46"/>
      <c r="H63" s="76"/>
      <c r="I63" s="74"/>
      <c r="J63" s="46"/>
      <c r="K63" s="70"/>
      <c r="L63" s="20"/>
      <c r="M63" s="63"/>
      <c r="N63" s="17"/>
      <c r="O63" s="18"/>
      <c r="P63" s="23"/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>
        <f>+'2'!J64</f>
        <v>0</v>
      </c>
      <c r="F64" s="69"/>
      <c r="G64" s="46"/>
      <c r="H64" s="76"/>
      <c r="I64" s="74"/>
      <c r="J64" s="46"/>
      <c r="K64" s="70"/>
      <c r="L64" s="20"/>
      <c r="M64" s="63"/>
      <c r="N64" s="17"/>
      <c r="O64" s="18"/>
      <c r="P64" s="23"/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>
        <f>+'2'!J65</f>
        <v>0</v>
      </c>
      <c r="F65" s="69"/>
      <c r="G65" s="46"/>
      <c r="H65" s="76"/>
      <c r="I65" s="74"/>
      <c r="J65" s="46"/>
      <c r="K65" s="70"/>
      <c r="L65" s="20"/>
      <c r="M65" s="63"/>
      <c r="N65" s="17"/>
      <c r="O65" s="18"/>
      <c r="P65" s="23"/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3912.35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12897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>
        <v>15</v>
      </c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4579</v>
      </c>
      <c r="O70" s="2">
        <v>4579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>
        <v>1400</v>
      </c>
      <c r="O72" s="2" t="s">
        <v>1397</v>
      </c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422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6481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6421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-60</v>
      </c>
    </row>
    <row r="77" spans="1:19" ht="25.5" x14ac:dyDescent="0.55000000000000004">
      <c r="J77" s="2"/>
      <c r="L77" s="148" t="s">
        <v>211</v>
      </c>
      <c r="M77" s="149"/>
      <c r="N77" s="33">
        <f>+N75-N74</f>
        <v>-60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ACEC-3760-4510-873C-055C021F4220}">
  <sheetPr filterMode="1">
    <tabColor rgb="FFFFCCFF"/>
    <pageSetUpPr fitToPage="1"/>
  </sheetPr>
  <dimension ref="A1:S152"/>
  <sheetViews>
    <sheetView zoomScale="85" zoomScaleNormal="85" workbookViewId="0">
      <pane xSplit="10" ySplit="4" topLeftCell="K41" activePane="bottomRight" state="frozen"/>
      <selection activeCell="A66" sqref="A66:XFD74"/>
      <selection pane="topRight" activeCell="A66" sqref="A66:XFD74"/>
      <selection pane="bottomLeft" activeCell="A66" sqref="A66:XFD74"/>
      <selection pane="bottomRight" activeCell="K50" sqref="K50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+'3'!J5</f>
        <v>35</v>
      </c>
      <c r="F5" s="69">
        <v>50</v>
      </c>
      <c r="G5" s="46">
        <f t="shared" ref="G5:G58" si="0">E5+F5</f>
        <v>85</v>
      </c>
      <c r="H5" s="76">
        <v>0</v>
      </c>
      <c r="I5" s="74">
        <v>0</v>
      </c>
      <c r="J5" s="46">
        <f t="shared" ref="J5:J58" si="1">+G5-H5-K5-I5</f>
        <v>64</v>
      </c>
      <c r="K5" s="70">
        <v>21</v>
      </c>
      <c r="L5" s="15">
        <v>50</v>
      </c>
      <c r="M5" s="63">
        <f>+L5*K5</f>
        <v>1050</v>
      </c>
      <c r="N5" s="17" t="s">
        <v>16</v>
      </c>
      <c r="O5" s="18"/>
      <c r="P5" s="161">
        <f>SUM(M5-O5)</f>
        <v>1050</v>
      </c>
      <c r="Q5" s="88">
        <v>18.97</v>
      </c>
      <c r="R5" s="43">
        <f>+K5*Q5</f>
        <v>398.37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+'3'!J6</f>
        <v>75</v>
      </c>
      <c r="F6" s="69"/>
      <c r="G6" s="46">
        <f t="shared" si="0"/>
        <v>75</v>
      </c>
      <c r="H6" s="76">
        <v>0</v>
      </c>
      <c r="I6" s="74">
        <v>0</v>
      </c>
      <c r="J6" s="46">
        <f t="shared" si="1"/>
        <v>49</v>
      </c>
      <c r="K6" s="70">
        <v>26</v>
      </c>
      <c r="L6" s="15">
        <v>100</v>
      </c>
      <c r="M6" s="63">
        <f t="shared" ref="M6:M58" si="2">+L6*K6</f>
        <v>2600</v>
      </c>
      <c r="N6" s="17" t="s">
        <v>16</v>
      </c>
      <c r="O6" s="18"/>
      <c r="P6" s="161">
        <f t="shared" ref="P6:P58" si="3">SUM(M6-O6)</f>
        <v>2600</v>
      </c>
      <c r="Q6" s="88">
        <v>36.43</v>
      </c>
      <c r="R6" s="43">
        <f t="shared" ref="R6:R65" si="4">+K6*Q6</f>
        <v>947.18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+'3'!J7</f>
        <v>58</v>
      </c>
      <c r="F7" s="69"/>
      <c r="G7" s="46">
        <f t="shared" si="0"/>
        <v>58</v>
      </c>
      <c r="H7" s="76">
        <v>0</v>
      </c>
      <c r="I7" s="74">
        <v>0</v>
      </c>
      <c r="J7" s="46">
        <f t="shared" si="1"/>
        <v>52</v>
      </c>
      <c r="K7" s="70">
        <v>6</v>
      </c>
      <c r="L7" s="15">
        <v>50</v>
      </c>
      <c r="M7" s="63">
        <f t="shared" si="2"/>
        <v>300</v>
      </c>
      <c r="N7" s="17" t="s">
        <v>16</v>
      </c>
      <c r="O7" s="18"/>
      <c r="P7" s="161">
        <f t="shared" si="3"/>
        <v>300</v>
      </c>
      <c r="Q7" s="88">
        <v>19.36</v>
      </c>
      <c r="R7" s="43">
        <f t="shared" si="4"/>
        <v>116.16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+'3'!J8</f>
        <v>5</v>
      </c>
      <c r="F8" s="69"/>
      <c r="G8" s="46">
        <f t="shared" si="0"/>
        <v>5</v>
      </c>
      <c r="H8" s="76">
        <v>0</v>
      </c>
      <c r="I8" s="74">
        <v>0</v>
      </c>
      <c r="J8" s="46">
        <f t="shared" si="1"/>
        <v>0</v>
      </c>
      <c r="K8" s="70">
        <v>5</v>
      </c>
      <c r="L8" s="15">
        <v>65</v>
      </c>
      <c r="M8" s="63">
        <f t="shared" si="2"/>
        <v>325</v>
      </c>
      <c r="N8" s="17" t="s">
        <v>16</v>
      </c>
      <c r="O8" s="18"/>
      <c r="P8" s="161">
        <f t="shared" si="3"/>
        <v>325</v>
      </c>
      <c r="Q8" s="88">
        <v>22.25</v>
      </c>
      <c r="R8" s="43">
        <f t="shared" si="4"/>
        <v>111.25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+'3'!J9</f>
        <v>5</v>
      </c>
      <c r="F9" s="69"/>
      <c r="G9" s="46">
        <f t="shared" si="0"/>
        <v>5</v>
      </c>
      <c r="H9" s="76">
        <v>0</v>
      </c>
      <c r="I9" s="74">
        <v>0</v>
      </c>
      <c r="J9" s="46">
        <f t="shared" si="1"/>
        <v>0</v>
      </c>
      <c r="K9" s="70">
        <v>5</v>
      </c>
      <c r="L9" s="15">
        <v>85</v>
      </c>
      <c r="M9" s="63">
        <f t="shared" si="2"/>
        <v>425</v>
      </c>
      <c r="N9" s="17" t="s">
        <v>16</v>
      </c>
      <c r="O9" s="18"/>
      <c r="P9" s="161">
        <f t="shared" si="3"/>
        <v>425</v>
      </c>
      <c r="Q9" s="88">
        <v>22.65</v>
      </c>
      <c r="R9" s="43">
        <f t="shared" si="4"/>
        <v>113.25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+'3'!J10</f>
        <v>32</v>
      </c>
      <c r="F10" s="69">
        <v>50</v>
      </c>
      <c r="G10" s="46">
        <f t="shared" si="0"/>
        <v>82</v>
      </c>
      <c r="H10" s="76">
        <v>0</v>
      </c>
      <c r="I10" s="74">
        <v>0</v>
      </c>
      <c r="J10" s="46">
        <f t="shared" si="1"/>
        <v>61</v>
      </c>
      <c r="K10" s="70">
        <v>21</v>
      </c>
      <c r="L10" s="15">
        <v>100</v>
      </c>
      <c r="M10" s="63">
        <f t="shared" si="2"/>
        <v>2100</v>
      </c>
      <c r="N10" s="17" t="s">
        <v>1437</v>
      </c>
      <c r="O10" s="18">
        <v>100</v>
      </c>
      <c r="P10" s="161">
        <f t="shared" si="3"/>
        <v>2000</v>
      </c>
      <c r="Q10" s="88">
        <v>27.98</v>
      </c>
      <c r="R10" s="43">
        <f t="shared" si="4"/>
        <v>587.58000000000004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+'3'!J11</f>
        <v>53</v>
      </c>
      <c r="F11" s="69"/>
      <c r="G11" s="46">
        <f t="shared" si="0"/>
        <v>53</v>
      </c>
      <c r="H11" s="76">
        <v>0</v>
      </c>
      <c r="I11" s="74">
        <v>0</v>
      </c>
      <c r="J11" s="46">
        <f t="shared" si="1"/>
        <v>30</v>
      </c>
      <c r="K11" s="70">
        <v>23</v>
      </c>
      <c r="L11" s="15">
        <v>100</v>
      </c>
      <c r="M11" s="63">
        <f t="shared" si="2"/>
        <v>2300</v>
      </c>
      <c r="N11" s="17" t="s">
        <v>16</v>
      </c>
      <c r="O11" s="18"/>
      <c r="P11" s="161">
        <f t="shared" si="3"/>
        <v>2300</v>
      </c>
      <c r="Q11" s="88">
        <v>34.64</v>
      </c>
      <c r="R11" s="43">
        <f t="shared" si="4"/>
        <v>796.72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+'3'!J12</f>
        <v>11</v>
      </c>
      <c r="F12" s="69"/>
      <c r="G12" s="46">
        <f t="shared" si="0"/>
        <v>11</v>
      </c>
      <c r="H12" s="76">
        <v>0</v>
      </c>
      <c r="I12" s="74">
        <v>0</v>
      </c>
      <c r="J12" s="46">
        <f t="shared" si="1"/>
        <v>8</v>
      </c>
      <c r="K12" s="70">
        <v>3</v>
      </c>
      <c r="L12" s="20">
        <v>130</v>
      </c>
      <c r="M12" s="63">
        <f t="shared" si="2"/>
        <v>390</v>
      </c>
      <c r="N12" s="17" t="s">
        <v>16</v>
      </c>
      <c r="O12" s="18"/>
      <c r="P12" s="161">
        <f t="shared" si="3"/>
        <v>390</v>
      </c>
      <c r="Q12" s="88">
        <v>46.37</v>
      </c>
      <c r="R12" s="43">
        <f t="shared" si="4"/>
        <v>139.10999999999999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+'3'!J13</f>
        <v>0</v>
      </c>
      <c r="F13" s="69"/>
      <c r="G13" s="46">
        <f t="shared" si="0"/>
        <v>0</v>
      </c>
      <c r="H13" s="76">
        <v>0</v>
      </c>
      <c r="I13" s="74">
        <v>0</v>
      </c>
      <c r="J13" s="46">
        <f t="shared" si="1"/>
        <v>0</v>
      </c>
      <c r="K13" s="70"/>
      <c r="L13" s="15">
        <v>130</v>
      </c>
      <c r="M13" s="63">
        <f t="shared" si="2"/>
        <v>0</v>
      </c>
      <c r="N13" s="17" t="s">
        <v>16</v>
      </c>
      <c r="O13" s="18"/>
      <c r="P13" s="23">
        <f t="shared" si="3"/>
        <v>0</v>
      </c>
      <c r="Q13" s="88">
        <v>38.9</v>
      </c>
      <c r="R13" s="43">
        <f t="shared" si="4"/>
        <v>0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+'3'!J14</f>
        <v>13</v>
      </c>
      <c r="F14" s="69"/>
      <c r="G14" s="46">
        <f t="shared" si="0"/>
        <v>13</v>
      </c>
      <c r="H14" s="76">
        <v>0</v>
      </c>
      <c r="I14" s="74">
        <v>0</v>
      </c>
      <c r="J14" s="46">
        <f t="shared" si="1"/>
        <v>10</v>
      </c>
      <c r="K14" s="70">
        <v>3</v>
      </c>
      <c r="L14" s="15">
        <v>50</v>
      </c>
      <c r="M14" s="63">
        <f t="shared" si="2"/>
        <v>150</v>
      </c>
      <c r="N14" s="17" t="s">
        <v>16</v>
      </c>
      <c r="O14" s="18"/>
      <c r="P14" s="161">
        <f t="shared" si="3"/>
        <v>150</v>
      </c>
      <c r="Q14" s="88">
        <v>27.84</v>
      </c>
      <c r="R14" s="43">
        <f t="shared" si="4"/>
        <v>83.52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+'3'!J15</f>
        <v>23</v>
      </c>
      <c r="F15" s="69"/>
      <c r="G15" s="46">
        <f t="shared" si="0"/>
        <v>23</v>
      </c>
      <c r="H15" s="76">
        <v>0</v>
      </c>
      <c r="I15" s="74">
        <v>0</v>
      </c>
      <c r="J15" s="46">
        <f t="shared" si="1"/>
        <v>19</v>
      </c>
      <c r="K15" s="70">
        <v>4</v>
      </c>
      <c r="L15" s="15">
        <v>50</v>
      </c>
      <c r="M15" s="63">
        <f t="shared" si="2"/>
        <v>200</v>
      </c>
      <c r="N15" s="17" t="s">
        <v>16</v>
      </c>
      <c r="O15" s="18"/>
      <c r="P15" s="161">
        <f t="shared" si="3"/>
        <v>200</v>
      </c>
      <c r="Q15" s="88">
        <v>27.12</v>
      </c>
      <c r="R15" s="43">
        <f t="shared" si="4"/>
        <v>108.48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+'3'!J16</f>
        <v>4</v>
      </c>
      <c r="F16" s="69"/>
      <c r="G16" s="46">
        <f t="shared" si="0"/>
        <v>4</v>
      </c>
      <c r="H16" s="76">
        <v>0</v>
      </c>
      <c r="I16" s="74">
        <v>0</v>
      </c>
      <c r="J16" s="46">
        <f t="shared" si="1"/>
        <v>0</v>
      </c>
      <c r="K16" s="70">
        <v>4</v>
      </c>
      <c r="L16" s="20">
        <v>50</v>
      </c>
      <c r="M16" s="63">
        <f t="shared" si="2"/>
        <v>200</v>
      </c>
      <c r="N16" s="17" t="s">
        <v>16</v>
      </c>
      <c r="O16" s="18"/>
      <c r="P16" s="161">
        <f t="shared" si="3"/>
        <v>200</v>
      </c>
      <c r="Q16" s="88">
        <v>15.42</v>
      </c>
      <c r="R16" s="43">
        <f t="shared" si="4"/>
        <v>61.68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+'3'!J17</f>
        <v>9</v>
      </c>
      <c r="F17" s="69"/>
      <c r="G17" s="46">
        <f t="shared" si="0"/>
        <v>9</v>
      </c>
      <c r="H17" s="76">
        <v>0</v>
      </c>
      <c r="I17" s="74">
        <v>0</v>
      </c>
      <c r="J17" s="46">
        <f t="shared" si="1"/>
        <v>6</v>
      </c>
      <c r="K17" s="70">
        <v>3</v>
      </c>
      <c r="L17" s="15">
        <v>50</v>
      </c>
      <c r="M17" s="63">
        <f t="shared" si="2"/>
        <v>150</v>
      </c>
      <c r="N17" s="17" t="s">
        <v>16</v>
      </c>
      <c r="O17" s="18"/>
      <c r="P17" s="161">
        <f t="shared" si="3"/>
        <v>150</v>
      </c>
      <c r="Q17" s="88">
        <v>17.78</v>
      </c>
      <c r="R17" s="43">
        <f t="shared" si="4"/>
        <v>53.34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+'3'!J18</f>
        <v>8</v>
      </c>
      <c r="F18" s="69"/>
      <c r="G18" s="46">
        <f t="shared" si="0"/>
        <v>8</v>
      </c>
      <c r="H18" s="76">
        <v>0</v>
      </c>
      <c r="I18" s="74">
        <v>0</v>
      </c>
      <c r="J18" s="46">
        <f t="shared" si="1"/>
        <v>4</v>
      </c>
      <c r="K18" s="70">
        <v>4</v>
      </c>
      <c r="L18" s="20">
        <v>50</v>
      </c>
      <c r="M18" s="63">
        <f t="shared" si="2"/>
        <v>200</v>
      </c>
      <c r="N18" s="17" t="s">
        <v>1437</v>
      </c>
      <c r="O18" s="18">
        <v>50</v>
      </c>
      <c r="P18" s="161">
        <f t="shared" si="3"/>
        <v>150</v>
      </c>
      <c r="Q18" s="88">
        <v>17.989999999999998</v>
      </c>
      <c r="R18" s="43">
        <f t="shared" si="4"/>
        <v>71.959999999999994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+'3'!J19</f>
        <v>11</v>
      </c>
      <c r="F19" s="69"/>
      <c r="G19" s="46">
        <f t="shared" si="0"/>
        <v>11</v>
      </c>
      <c r="H19" s="76">
        <v>0</v>
      </c>
      <c r="I19" s="74">
        <v>0</v>
      </c>
      <c r="J19" s="46">
        <f t="shared" si="1"/>
        <v>9</v>
      </c>
      <c r="K19" s="70">
        <v>2</v>
      </c>
      <c r="L19" s="15">
        <v>50</v>
      </c>
      <c r="M19" s="63">
        <f t="shared" si="2"/>
        <v>100</v>
      </c>
      <c r="N19" s="17" t="s">
        <v>16</v>
      </c>
      <c r="O19" s="18"/>
      <c r="P19" s="161">
        <f t="shared" si="3"/>
        <v>100</v>
      </c>
      <c r="Q19" s="88">
        <v>20.059999999999999</v>
      </c>
      <c r="R19" s="43">
        <f t="shared" si="4"/>
        <v>40.119999999999997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+'3'!J20</f>
        <v>16</v>
      </c>
      <c r="F20" s="69"/>
      <c r="G20" s="46">
        <f t="shared" si="0"/>
        <v>16</v>
      </c>
      <c r="H20" s="76">
        <v>0</v>
      </c>
      <c r="I20" s="74">
        <v>0</v>
      </c>
      <c r="J20" s="46">
        <f t="shared" si="1"/>
        <v>14</v>
      </c>
      <c r="K20" s="70">
        <v>2</v>
      </c>
      <c r="L20" s="15">
        <v>50</v>
      </c>
      <c r="M20" s="63">
        <f t="shared" si="2"/>
        <v>100</v>
      </c>
      <c r="N20" s="17" t="s">
        <v>16</v>
      </c>
      <c r="O20" s="18"/>
      <c r="P20" s="161">
        <f t="shared" si="3"/>
        <v>100</v>
      </c>
      <c r="Q20" s="88">
        <v>20.32</v>
      </c>
      <c r="R20" s="43">
        <f t="shared" si="4"/>
        <v>40.64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+'3'!J21</f>
        <v>19</v>
      </c>
      <c r="F21" s="69"/>
      <c r="G21" s="46">
        <f t="shared" si="0"/>
        <v>19</v>
      </c>
      <c r="H21" s="76">
        <v>0</v>
      </c>
      <c r="I21" s="74">
        <v>0</v>
      </c>
      <c r="J21" s="46">
        <f t="shared" si="1"/>
        <v>16</v>
      </c>
      <c r="K21" s="70">
        <v>3</v>
      </c>
      <c r="L21" s="15">
        <v>50</v>
      </c>
      <c r="M21" s="63">
        <f t="shared" si="2"/>
        <v>150</v>
      </c>
      <c r="N21" s="17" t="s">
        <v>16</v>
      </c>
      <c r="O21" s="18"/>
      <c r="P21" s="161">
        <f t="shared" si="3"/>
        <v>150</v>
      </c>
      <c r="Q21" s="88">
        <v>16.37</v>
      </c>
      <c r="R21" s="43">
        <f t="shared" si="4"/>
        <v>49.11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+'3'!J22</f>
        <v>6</v>
      </c>
      <c r="F22" s="69"/>
      <c r="G22" s="46">
        <f t="shared" si="0"/>
        <v>6</v>
      </c>
      <c r="H22" s="76">
        <v>0</v>
      </c>
      <c r="I22" s="74">
        <v>0</v>
      </c>
      <c r="J22" s="46">
        <f t="shared" si="1"/>
        <v>6</v>
      </c>
      <c r="K22" s="70"/>
      <c r="L22" s="15">
        <v>120</v>
      </c>
      <c r="M22" s="63">
        <f t="shared" si="2"/>
        <v>0</v>
      </c>
      <c r="N22" s="17" t="s">
        <v>16</v>
      </c>
      <c r="O22" s="18"/>
      <c r="P22" s="23">
        <f t="shared" si="3"/>
        <v>0</v>
      </c>
      <c r="Q22" s="88">
        <v>25.99</v>
      </c>
      <c r="R22" s="43">
        <f t="shared" si="4"/>
        <v>0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+'3'!J23</f>
        <v>4</v>
      </c>
      <c r="F23" s="69"/>
      <c r="G23" s="46">
        <f t="shared" si="0"/>
        <v>4</v>
      </c>
      <c r="H23" s="76">
        <v>0</v>
      </c>
      <c r="I23" s="74">
        <v>0</v>
      </c>
      <c r="J23" s="46">
        <f t="shared" si="1"/>
        <v>4</v>
      </c>
      <c r="K23" s="70"/>
      <c r="L23" s="15">
        <v>120</v>
      </c>
      <c r="M23" s="63">
        <f t="shared" si="2"/>
        <v>0</v>
      </c>
      <c r="N23" s="17" t="s">
        <v>16</v>
      </c>
      <c r="O23" s="18"/>
      <c r="P23" s="23">
        <f t="shared" si="3"/>
        <v>0</v>
      </c>
      <c r="Q23" s="88">
        <v>28.31</v>
      </c>
      <c r="R23" s="43">
        <f t="shared" si="4"/>
        <v>0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+'3'!J24</f>
        <v>8</v>
      </c>
      <c r="F24" s="69"/>
      <c r="G24" s="46">
        <f t="shared" si="0"/>
        <v>8</v>
      </c>
      <c r="H24" s="76">
        <v>0</v>
      </c>
      <c r="I24" s="74">
        <v>0</v>
      </c>
      <c r="J24" s="46">
        <f t="shared" si="1"/>
        <v>8</v>
      </c>
      <c r="K24" s="70"/>
      <c r="L24" s="15">
        <v>120</v>
      </c>
      <c r="M24" s="63">
        <f t="shared" si="2"/>
        <v>0</v>
      </c>
      <c r="N24" s="17" t="s">
        <v>16</v>
      </c>
      <c r="O24" s="18"/>
      <c r="P24" s="23">
        <f t="shared" si="3"/>
        <v>0</v>
      </c>
      <c r="Q24" s="88">
        <v>31.07</v>
      </c>
      <c r="R24" s="43">
        <f t="shared" si="4"/>
        <v>0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+'3'!J25</f>
        <v>7</v>
      </c>
      <c r="F25" s="69"/>
      <c r="G25" s="46">
        <f t="shared" si="0"/>
        <v>7</v>
      </c>
      <c r="H25" s="76">
        <v>0</v>
      </c>
      <c r="I25" s="74">
        <v>0</v>
      </c>
      <c r="J25" s="46">
        <f t="shared" si="1"/>
        <v>7</v>
      </c>
      <c r="K25" s="70"/>
      <c r="L25" s="20">
        <v>120</v>
      </c>
      <c r="M25" s="63">
        <f t="shared" si="2"/>
        <v>0</v>
      </c>
      <c r="N25" s="17" t="s">
        <v>16</v>
      </c>
      <c r="O25" s="18"/>
      <c r="P25" s="23">
        <f t="shared" si="3"/>
        <v>0</v>
      </c>
      <c r="Q25" s="88">
        <v>29.83</v>
      </c>
      <c r="R25" s="43">
        <f t="shared" si="4"/>
        <v>0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+'3'!J26</f>
        <v>1</v>
      </c>
      <c r="F26" s="69">
        <v>1</v>
      </c>
      <c r="G26" s="46">
        <f t="shared" si="0"/>
        <v>2</v>
      </c>
      <c r="H26" s="76">
        <v>0</v>
      </c>
      <c r="I26" s="74">
        <v>0</v>
      </c>
      <c r="J26" s="46">
        <f t="shared" si="1"/>
        <v>0</v>
      </c>
      <c r="K26" s="70">
        <v>2</v>
      </c>
      <c r="L26" s="15">
        <v>120</v>
      </c>
      <c r="M26" s="63">
        <f t="shared" si="2"/>
        <v>240</v>
      </c>
      <c r="N26" s="17" t="s">
        <v>16</v>
      </c>
      <c r="O26" s="18"/>
      <c r="P26" s="161">
        <f t="shared" si="3"/>
        <v>240</v>
      </c>
      <c r="Q26" s="88">
        <v>26.39</v>
      </c>
      <c r="R26" s="43">
        <f t="shared" si="4"/>
        <v>52.78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+'3'!J27</f>
        <v>3</v>
      </c>
      <c r="F27" s="69"/>
      <c r="G27" s="46">
        <f t="shared" si="0"/>
        <v>3</v>
      </c>
      <c r="H27" s="76">
        <v>0</v>
      </c>
      <c r="I27" s="74">
        <v>0</v>
      </c>
      <c r="J27" s="46">
        <f t="shared" si="1"/>
        <v>2</v>
      </c>
      <c r="K27" s="70">
        <v>1</v>
      </c>
      <c r="L27" s="15">
        <v>50</v>
      </c>
      <c r="M27" s="63">
        <f t="shared" si="2"/>
        <v>50</v>
      </c>
      <c r="N27" s="17" t="s">
        <v>16</v>
      </c>
      <c r="O27" s="18"/>
      <c r="P27" s="161">
        <f t="shared" si="3"/>
        <v>50</v>
      </c>
      <c r="Q27" s="88">
        <v>23.69</v>
      </c>
      <c r="R27" s="43">
        <f t="shared" si="4"/>
        <v>23.69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+'3'!J28</f>
        <v>0</v>
      </c>
      <c r="F28" s="69">
        <v>2</v>
      </c>
      <c r="G28" s="46">
        <f t="shared" si="0"/>
        <v>2</v>
      </c>
      <c r="H28" s="76">
        <v>0</v>
      </c>
      <c r="I28" s="74">
        <v>0</v>
      </c>
      <c r="J28" s="46">
        <f t="shared" si="1"/>
        <v>1</v>
      </c>
      <c r="K28" s="70">
        <v>1</v>
      </c>
      <c r="L28" s="21">
        <v>50</v>
      </c>
      <c r="M28" s="63">
        <f t="shared" si="2"/>
        <v>50</v>
      </c>
      <c r="N28" s="17" t="s">
        <v>16</v>
      </c>
      <c r="O28" s="18"/>
      <c r="P28" s="161">
        <f t="shared" si="3"/>
        <v>50</v>
      </c>
      <c r="Q28" s="88">
        <v>22.49</v>
      </c>
      <c r="R28" s="43">
        <f t="shared" si="4"/>
        <v>22.49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+'3'!J29</f>
        <v>2</v>
      </c>
      <c r="F29" s="69">
        <v>5</v>
      </c>
      <c r="G29" s="46">
        <f t="shared" si="0"/>
        <v>7</v>
      </c>
      <c r="H29" s="76">
        <v>0</v>
      </c>
      <c r="I29" s="74">
        <v>0</v>
      </c>
      <c r="J29" s="46">
        <f t="shared" si="1"/>
        <v>5</v>
      </c>
      <c r="K29" s="70">
        <v>2</v>
      </c>
      <c r="L29" s="21">
        <v>50</v>
      </c>
      <c r="M29" s="63">
        <f t="shared" si="2"/>
        <v>100</v>
      </c>
      <c r="N29" s="17" t="s">
        <v>16</v>
      </c>
      <c r="O29" s="18"/>
      <c r="P29" s="161">
        <f t="shared" si="3"/>
        <v>100</v>
      </c>
      <c r="Q29" s="88">
        <v>17.09</v>
      </c>
      <c r="R29" s="43">
        <f t="shared" si="4"/>
        <v>34.18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+'3'!J30</f>
        <v>1</v>
      </c>
      <c r="F30" s="69">
        <v>20</v>
      </c>
      <c r="G30" s="46">
        <f t="shared" si="0"/>
        <v>21</v>
      </c>
      <c r="H30" s="76">
        <v>0</v>
      </c>
      <c r="I30" s="74">
        <v>0</v>
      </c>
      <c r="J30" s="46">
        <f t="shared" si="1"/>
        <v>12</v>
      </c>
      <c r="K30" s="70">
        <v>9</v>
      </c>
      <c r="L30" s="22">
        <v>50</v>
      </c>
      <c r="M30" s="63">
        <f t="shared" si="2"/>
        <v>450</v>
      </c>
      <c r="N30" s="17" t="s">
        <v>16</v>
      </c>
      <c r="O30" s="18"/>
      <c r="P30" s="161">
        <f t="shared" si="3"/>
        <v>450</v>
      </c>
      <c r="Q30" s="88">
        <v>25.15</v>
      </c>
      <c r="R30" s="43">
        <f t="shared" si="4"/>
        <v>226.35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+'3'!J31</f>
        <v>5</v>
      </c>
      <c r="F31" s="69"/>
      <c r="G31" s="46">
        <f t="shared" si="0"/>
        <v>5</v>
      </c>
      <c r="H31" s="76">
        <v>0</v>
      </c>
      <c r="I31" s="74">
        <v>0</v>
      </c>
      <c r="J31" s="46">
        <f t="shared" si="1"/>
        <v>5</v>
      </c>
      <c r="K31" s="70"/>
      <c r="L31" s="22">
        <v>55</v>
      </c>
      <c r="M31" s="63">
        <f t="shared" si="2"/>
        <v>0</v>
      </c>
      <c r="N31" s="17" t="s">
        <v>16</v>
      </c>
      <c r="O31" s="18"/>
      <c r="P31" s="23">
        <f t="shared" si="3"/>
        <v>0</v>
      </c>
      <c r="Q31" s="88">
        <v>14.35</v>
      </c>
      <c r="R31" s="43">
        <f t="shared" si="4"/>
        <v>0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+'3'!J32</f>
        <v>5</v>
      </c>
      <c r="F32" s="69"/>
      <c r="G32" s="46">
        <f t="shared" si="0"/>
        <v>5</v>
      </c>
      <c r="H32" s="76">
        <v>0</v>
      </c>
      <c r="I32" s="74">
        <v>0</v>
      </c>
      <c r="J32" s="46">
        <f t="shared" si="1"/>
        <v>5</v>
      </c>
      <c r="K32" s="70"/>
      <c r="L32" s="22">
        <v>55</v>
      </c>
      <c r="M32" s="63">
        <f t="shared" si="2"/>
        <v>0</v>
      </c>
      <c r="N32" s="17" t="s">
        <v>16</v>
      </c>
      <c r="O32" s="18"/>
      <c r="P32" s="23">
        <f t="shared" si="3"/>
        <v>0</v>
      </c>
      <c r="Q32" s="88">
        <v>19.579999999999998</v>
      </c>
      <c r="R32" s="43">
        <f t="shared" si="4"/>
        <v>0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+'3'!J33</f>
        <v>16</v>
      </c>
      <c r="F33" s="69"/>
      <c r="G33" s="46">
        <f t="shared" si="0"/>
        <v>16</v>
      </c>
      <c r="H33" s="76">
        <v>0</v>
      </c>
      <c r="I33" s="74">
        <v>0</v>
      </c>
      <c r="J33" s="46">
        <f t="shared" si="1"/>
        <v>12</v>
      </c>
      <c r="K33" s="70">
        <v>4</v>
      </c>
      <c r="L33" s="22">
        <v>100</v>
      </c>
      <c r="M33" s="63">
        <f t="shared" si="2"/>
        <v>400</v>
      </c>
      <c r="N33" s="17" t="s">
        <v>16</v>
      </c>
      <c r="O33" s="18"/>
      <c r="P33" s="161">
        <f t="shared" si="3"/>
        <v>400</v>
      </c>
      <c r="Q33" s="88">
        <v>23.61</v>
      </c>
      <c r="R33" s="43">
        <f t="shared" si="4"/>
        <v>94.44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+'3'!J34</f>
        <v>9</v>
      </c>
      <c r="F34" s="69"/>
      <c r="G34" s="46">
        <f t="shared" si="0"/>
        <v>9</v>
      </c>
      <c r="H34" s="76">
        <v>0</v>
      </c>
      <c r="I34" s="74">
        <v>0</v>
      </c>
      <c r="J34" s="46">
        <f t="shared" si="1"/>
        <v>6</v>
      </c>
      <c r="K34" s="70">
        <v>3</v>
      </c>
      <c r="L34" s="20">
        <v>55</v>
      </c>
      <c r="M34" s="63">
        <f t="shared" si="2"/>
        <v>165</v>
      </c>
      <c r="N34" s="17" t="s">
        <v>16</v>
      </c>
      <c r="O34" s="18"/>
      <c r="P34" s="161">
        <f t="shared" si="3"/>
        <v>165</v>
      </c>
      <c r="Q34" s="88">
        <v>34.25</v>
      </c>
      <c r="R34" s="43">
        <f t="shared" si="4"/>
        <v>102.75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+'3'!J35</f>
        <v>11</v>
      </c>
      <c r="F35" s="69"/>
      <c r="G35" s="46">
        <f t="shared" si="0"/>
        <v>11</v>
      </c>
      <c r="H35" s="76">
        <v>0</v>
      </c>
      <c r="I35" s="74">
        <v>0</v>
      </c>
      <c r="J35" s="46">
        <f t="shared" si="1"/>
        <v>10</v>
      </c>
      <c r="K35" s="70">
        <v>1</v>
      </c>
      <c r="L35" s="15">
        <v>60</v>
      </c>
      <c r="M35" s="63">
        <f t="shared" si="2"/>
        <v>60</v>
      </c>
      <c r="N35" s="17" t="s">
        <v>16</v>
      </c>
      <c r="O35" s="18"/>
      <c r="P35" s="161">
        <f t="shared" si="3"/>
        <v>60</v>
      </c>
      <c r="Q35" s="88">
        <v>23.61</v>
      </c>
      <c r="R35" s="43">
        <f t="shared" si="4"/>
        <v>23.61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+'3'!J36</f>
        <v>20</v>
      </c>
      <c r="F36" s="69"/>
      <c r="G36" s="46">
        <f t="shared" si="0"/>
        <v>20</v>
      </c>
      <c r="H36" s="76">
        <v>0</v>
      </c>
      <c r="I36" s="74">
        <v>0</v>
      </c>
      <c r="J36" s="46">
        <f t="shared" si="1"/>
        <v>14</v>
      </c>
      <c r="K36" s="70">
        <v>6</v>
      </c>
      <c r="L36" s="15">
        <v>100</v>
      </c>
      <c r="M36" s="63">
        <f t="shared" si="2"/>
        <v>600</v>
      </c>
      <c r="N36" s="17" t="s">
        <v>16</v>
      </c>
      <c r="O36" s="18"/>
      <c r="P36" s="161">
        <f t="shared" si="3"/>
        <v>600</v>
      </c>
      <c r="Q36" s="88">
        <v>13.03</v>
      </c>
      <c r="R36" s="43">
        <f t="shared" si="4"/>
        <v>78.179999999999993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+'3'!J37</f>
        <v>11</v>
      </c>
      <c r="F37" s="69"/>
      <c r="G37" s="46">
        <f t="shared" si="0"/>
        <v>11</v>
      </c>
      <c r="H37" s="76">
        <v>0</v>
      </c>
      <c r="I37" s="74">
        <v>0</v>
      </c>
      <c r="J37" s="46">
        <f t="shared" si="1"/>
        <v>11</v>
      </c>
      <c r="K37" s="70"/>
      <c r="L37" s="15">
        <v>55</v>
      </c>
      <c r="M37" s="63">
        <f t="shared" si="2"/>
        <v>0</v>
      </c>
      <c r="N37" s="17" t="s">
        <v>16</v>
      </c>
      <c r="O37" s="18"/>
      <c r="P37" s="23">
        <f t="shared" si="3"/>
        <v>0</v>
      </c>
      <c r="Q37" s="88">
        <v>11.91</v>
      </c>
      <c r="R37" s="43">
        <f t="shared" si="4"/>
        <v>0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+'3'!J38</f>
        <v>10</v>
      </c>
      <c r="F38" s="69"/>
      <c r="G38" s="46">
        <f t="shared" si="0"/>
        <v>10</v>
      </c>
      <c r="H38" s="76">
        <v>0</v>
      </c>
      <c r="I38" s="74">
        <v>0</v>
      </c>
      <c r="J38" s="46">
        <f t="shared" si="1"/>
        <v>9</v>
      </c>
      <c r="K38" s="70">
        <v>1</v>
      </c>
      <c r="L38" s="15">
        <v>50</v>
      </c>
      <c r="M38" s="63">
        <f>+L38*K38</f>
        <v>50</v>
      </c>
      <c r="N38" s="17" t="s">
        <v>16</v>
      </c>
      <c r="O38" s="18"/>
      <c r="P38" s="161">
        <f>SUM(M38-O38)</f>
        <v>50</v>
      </c>
      <c r="Q38" s="88">
        <v>9.91</v>
      </c>
      <c r="R38" s="43">
        <f>+K38*Q38</f>
        <v>9.91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+'3'!J39</f>
        <v>3</v>
      </c>
      <c r="F39" s="69"/>
      <c r="G39" s="46">
        <f t="shared" si="0"/>
        <v>3</v>
      </c>
      <c r="H39" s="76">
        <v>0</v>
      </c>
      <c r="I39" s="74">
        <v>0</v>
      </c>
      <c r="J39" s="46">
        <f t="shared" si="1"/>
        <v>2</v>
      </c>
      <c r="K39" s="70">
        <v>1</v>
      </c>
      <c r="L39" s="20">
        <v>35</v>
      </c>
      <c r="M39" s="63">
        <f t="shared" si="2"/>
        <v>35</v>
      </c>
      <c r="N39" s="17" t="s">
        <v>16</v>
      </c>
      <c r="O39" s="18"/>
      <c r="P39" s="161">
        <f t="shared" si="3"/>
        <v>35</v>
      </c>
      <c r="Q39" s="88">
        <v>16.690000000000001</v>
      </c>
      <c r="R39" s="43">
        <f t="shared" si="4"/>
        <v>16.690000000000001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+'3'!J40</f>
        <v>9</v>
      </c>
      <c r="F40" s="69"/>
      <c r="G40" s="46">
        <f t="shared" si="0"/>
        <v>9</v>
      </c>
      <c r="H40" s="76">
        <v>0</v>
      </c>
      <c r="I40" s="74">
        <v>0</v>
      </c>
      <c r="J40" s="46">
        <f t="shared" si="1"/>
        <v>4</v>
      </c>
      <c r="K40" s="70">
        <v>5</v>
      </c>
      <c r="L40" s="20">
        <v>50</v>
      </c>
      <c r="M40" s="63">
        <f t="shared" si="2"/>
        <v>250</v>
      </c>
      <c r="N40" s="17" t="s">
        <v>16</v>
      </c>
      <c r="O40" s="18"/>
      <c r="P40" s="161">
        <f t="shared" si="3"/>
        <v>250</v>
      </c>
      <c r="Q40" s="88">
        <v>24.21</v>
      </c>
      <c r="R40" s="43">
        <f t="shared" si="4"/>
        <v>121.05000000000001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+'3'!J41</f>
        <v>4</v>
      </c>
      <c r="F41" s="69"/>
      <c r="G41" s="46">
        <f t="shared" si="0"/>
        <v>4</v>
      </c>
      <c r="H41" s="76">
        <v>0</v>
      </c>
      <c r="I41" s="74">
        <v>0</v>
      </c>
      <c r="J41" s="46">
        <f t="shared" si="1"/>
        <v>2</v>
      </c>
      <c r="K41" s="70">
        <v>2</v>
      </c>
      <c r="L41" s="20">
        <v>65</v>
      </c>
      <c r="M41" s="63">
        <f t="shared" si="2"/>
        <v>130</v>
      </c>
      <c r="N41" s="17" t="s">
        <v>16</v>
      </c>
      <c r="O41" s="18"/>
      <c r="P41" s="161">
        <f t="shared" si="3"/>
        <v>130</v>
      </c>
      <c r="Q41" s="88">
        <v>23.02</v>
      </c>
      <c r="R41" s="43">
        <f t="shared" si="4"/>
        <v>46.04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+'3'!J42</f>
        <v>382</v>
      </c>
      <c r="F42" s="69"/>
      <c r="G42" s="46">
        <f t="shared" si="0"/>
        <v>382</v>
      </c>
      <c r="H42" s="76">
        <v>0</v>
      </c>
      <c r="I42" s="74">
        <v>0</v>
      </c>
      <c r="J42" s="46">
        <f t="shared" si="1"/>
        <v>379</v>
      </c>
      <c r="K42" s="70">
        <v>3</v>
      </c>
      <c r="L42" s="20">
        <v>10</v>
      </c>
      <c r="M42" s="63">
        <f t="shared" si="2"/>
        <v>30</v>
      </c>
      <c r="N42" s="17" t="s">
        <v>16</v>
      </c>
      <c r="O42" s="18"/>
      <c r="P42" s="161">
        <f t="shared" si="3"/>
        <v>30</v>
      </c>
      <c r="Q42" s="88">
        <v>6.3</v>
      </c>
      <c r="R42" s="43">
        <f t="shared" si="4"/>
        <v>18.899999999999999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+'3'!J43</f>
        <v>169</v>
      </c>
      <c r="F43" s="69"/>
      <c r="G43" s="46">
        <f t="shared" si="0"/>
        <v>169</v>
      </c>
      <c r="H43" s="76">
        <v>0</v>
      </c>
      <c r="I43" s="74">
        <v>0</v>
      </c>
      <c r="J43" s="46">
        <f t="shared" si="1"/>
        <v>162</v>
      </c>
      <c r="K43" s="70">
        <v>7</v>
      </c>
      <c r="L43" s="22">
        <v>10</v>
      </c>
      <c r="M43" s="63">
        <f>+L43*K43</f>
        <v>70</v>
      </c>
      <c r="N43" s="17" t="s">
        <v>16</v>
      </c>
      <c r="O43" s="18">
        <v>20</v>
      </c>
      <c r="P43" s="161">
        <f>SUM(M43-O43)</f>
        <v>50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+'3'!J44</f>
        <v>1</v>
      </c>
      <c r="F44" s="69">
        <v>5</v>
      </c>
      <c r="G44" s="46">
        <f t="shared" si="0"/>
        <v>6</v>
      </c>
      <c r="H44" s="76">
        <v>0</v>
      </c>
      <c r="I44" s="74">
        <v>0</v>
      </c>
      <c r="J44" s="46">
        <f t="shared" si="1"/>
        <v>4</v>
      </c>
      <c r="K44" s="70">
        <v>2</v>
      </c>
      <c r="L44" s="20">
        <v>150</v>
      </c>
      <c r="M44" s="63">
        <f t="shared" si="2"/>
        <v>300</v>
      </c>
      <c r="N44" s="17" t="s">
        <v>16</v>
      </c>
      <c r="O44" s="18"/>
      <c r="P44" s="161">
        <f t="shared" si="3"/>
        <v>300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+'3'!J45</f>
        <v>5</v>
      </c>
      <c r="F45" s="69"/>
      <c r="G45" s="46">
        <f t="shared" si="0"/>
        <v>5</v>
      </c>
      <c r="H45" s="76">
        <v>0</v>
      </c>
      <c r="I45" s="74">
        <v>0</v>
      </c>
      <c r="J45" s="46">
        <f t="shared" si="1"/>
        <v>5</v>
      </c>
      <c r="K45" s="70"/>
      <c r="L45" s="15">
        <v>150</v>
      </c>
      <c r="M45" s="63">
        <f t="shared" si="2"/>
        <v>0</v>
      </c>
      <c r="N45" s="17" t="s">
        <v>16</v>
      </c>
      <c r="O45" s="18"/>
      <c r="P45" s="23">
        <f t="shared" si="3"/>
        <v>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+'3'!J46</f>
        <v>0</v>
      </c>
      <c r="F46" s="69"/>
      <c r="G46" s="46">
        <f t="shared" si="0"/>
        <v>0</v>
      </c>
      <c r="H46" s="76">
        <v>0</v>
      </c>
      <c r="I46" s="74">
        <v>0</v>
      </c>
      <c r="J46" s="46">
        <f t="shared" si="1"/>
        <v>0</v>
      </c>
      <c r="K46" s="70"/>
      <c r="L46" s="15">
        <v>25</v>
      </c>
      <c r="M46" s="63">
        <f t="shared" si="2"/>
        <v>0</v>
      </c>
      <c r="N46" s="17" t="s">
        <v>16</v>
      </c>
      <c r="O46" s="18"/>
      <c r="P46" s="23">
        <f t="shared" si="3"/>
        <v>0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+'3'!J47</f>
        <v>0</v>
      </c>
      <c r="F47" s="69"/>
      <c r="G47" s="46">
        <f t="shared" si="0"/>
        <v>0</v>
      </c>
      <c r="H47" s="76">
        <v>0</v>
      </c>
      <c r="I47" s="74">
        <v>0</v>
      </c>
      <c r="J47" s="46">
        <f t="shared" si="1"/>
        <v>0</v>
      </c>
      <c r="K47" s="70"/>
      <c r="L47" s="15">
        <v>25</v>
      </c>
      <c r="M47" s="63">
        <f t="shared" si="2"/>
        <v>0</v>
      </c>
      <c r="N47" s="17" t="s">
        <v>16</v>
      </c>
      <c r="O47" s="18"/>
      <c r="P47" s="23">
        <f t="shared" si="3"/>
        <v>0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+'3'!J48</f>
        <v>305</v>
      </c>
      <c r="F48" s="69"/>
      <c r="G48" s="46">
        <f t="shared" si="0"/>
        <v>305</v>
      </c>
      <c r="H48" s="76">
        <v>0</v>
      </c>
      <c r="I48" s="74">
        <v>0</v>
      </c>
      <c r="J48" s="46">
        <f t="shared" si="1"/>
        <v>272</v>
      </c>
      <c r="K48" s="70">
        <v>33</v>
      </c>
      <c r="L48" s="15">
        <v>19</v>
      </c>
      <c r="M48" s="63">
        <f>+L48*K48</f>
        <v>627</v>
      </c>
      <c r="N48" s="17" t="s">
        <v>16</v>
      </c>
      <c r="O48" s="18">
        <v>19</v>
      </c>
      <c r="P48" s="161">
        <f>SUM(M48-O48)</f>
        <v>608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+'3'!J49</f>
        <v>102</v>
      </c>
      <c r="F49" s="69"/>
      <c r="G49" s="46">
        <f t="shared" si="0"/>
        <v>102</v>
      </c>
      <c r="H49" s="76">
        <v>0</v>
      </c>
      <c r="I49" s="74">
        <v>0</v>
      </c>
      <c r="J49" s="46">
        <f t="shared" si="1"/>
        <v>85</v>
      </c>
      <c r="K49" s="70">
        <v>17</v>
      </c>
      <c r="L49" s="15">
        <v>25</v>
      </c>
      <c r="M49" s="63">
        <f>+L49*K49</f>
        <v>425</v>
      </c>
      <c r="N49" s="17" t="s">
        <v>16</v>
      </c>
      <c r="O49" s="18">
        <v>100</v>
      </c>
      <c r="P49" s="161">
        <f>SUM(M49-O49)</f>
        <v>325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+'3'!J50</f>
        <v>9</v>
      </c>
      <c r="F50" s="69"/>
      <c r="G50" s="46">
        <f t="shared" si="0"/>
        <v>9</v>
      </c>
      <c r="H50" s="76">
        <v>0</v>
      </c>
      <c r="I50" s="74">
        <v>0</v>
      </c>
      <c r="J50" s="46">
        <f t="shared" si="1"/>
        <v>3</v>
      </c>
      <c r="K50" s="70">
        <v>6</v>
      </c>
      <c r="L50" s="15">
        <v>25</v>
      </c>
      <c r="M50" s="63">
        <f t="shared" si="2"/>
        <v>150</v>
      </c>
      <c r="N50" s="17" t="s">
        <v>16</v>
      </c>
      <c r="O50" s="18"/>
      <c r="P50" s="161">
        <f t="shared" si="3"/>
        <v>150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+'3'!J51</f>
        <v>1</v>
      </c>
      <c r="F51" s="69"/>
      <c r="G51" s="46">
        <f t="shared" si="0"/>
        <v>1</v>
      </c>
      <c r="H51" s="76">
        <v>0</v>
      </c>
      <c r="I51" s="74">
        <v>0</v>
      </c>
      <c r="J51" s="46">
        <f t="shared" si="1"/>
        <v>1</v>
      </c>
      <c r="K51" s="70"/>
      <c r="L51" s="20">
        <v>25</v>
      </c>
      <c r="M51" s="63">
        <f>+L51*K51</f>
        <v>0</v>
      </c>
      <c r="N51" s="17" t="s">
        <v>16</v>
      </c>
      <c r="O51" s="18"/>
      <c r="P51" s="23">
        <f>SUM(M51-O51)</f>
        <v>0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+'3'!J52</f>
        <v>3</v>
      </c>
      <c r="F52" s="69"/>
      <c r="G52" s="46">
        <f t="shared" si="0"/>
        <v>3</v>
      </c>
      <c r="H52" s="76">
        <v>0</v>
      </c>
      <c r="I52" s="74">
        <v>0</v>
      </c>
      <c r="J52" s="46">
        <f t="shared" si="1"/>
        <v>2</v>
      </c>
      <c r="K52" s="70">
        <v>1</v>
      </c>
      <c r="L52" s="20">
        <v>35</v>
      </c>
      <c r="M52" s="63">
        <f>+L52*K52</f>
        <v>35</v>
      </c>
      <c r="N52" s="17" t="s">
        <v>16</v>
      </c>
      <c r="O52" s="18"/>
      <c r="P52" s="161">
        <f>SUM(M52-O52)</f>
        <v>35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+'3'!J53</f>
        <v>41</v>
      </c>
      <c r="F53" s="69"/>
      <c r="G53" s="46">
        <f t="shared" si="0"/>
        <v>41</v>
      </c>
      <c r="H53" s="76">
        <v>0</v>
      </c>
      <c r="I53" s="74">
        <v>0</v>
      </c>
      <c r="J53" s="46">
        <f t="shared" si="1"/>
        <v>40</v>
      </c>
      <c r="K53" s="70">
        <v>1</v>
      </c>
      <c r="L53" s="15">
        <v>35</v>
      </c>
      <c r="M53" s="63">
        <f>+L53*K53</f>
        <v>35</v>
      </c>
      <c r="N53" s="17" t="s">
        <v>16</v>
      </c>
      <c r="O53" s="18"/>
      <c r="P53" s="161">
        <f>SUM(M53-O53)</f>
        <v>35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+'3'!J54</f>
        <v>6</v>
      </c>
      <c r="F54" s="69"/>
      <c r="G54" s="46">
        <f t="shared" si="0"/>
        <v>6</v>
      </c>
      <c r="H54" s="76">
        <v>0</v>
      </c>
      <c r="I54" s="74">
        <v>0</v>
      </c>
      <c r="J54" s="46">
        <f t="shared" si="1"/>
        <v>5</v>
      </c>
      <c r="K54" s="70">
        <v>1</v>
      </c>
      <c r="L54" s="15">
        <v>35</v>
      </c>
      <c r="M54" s="63">
        <f t="shared" si="2"/>
        <v>35</v>
      </c>
      <c r="N54" s="17" t="s">
        <v>16</v>
      </c>
      <c r="O54" s="18"/>
      <c r="P54" s="161">
        <f t="shared" si="3"/>
        <v>35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+'3'!J55</f>
        <v>3</v>
      </c>
      <c r="F55" s="69"/>
      <c r="G55" s="46">
        <f t="shared" si="0"/>
        <v>3</v>
      </c>
      <c r="H55" s="76">
        <v>0</v>
      </c>
      <c r="I55" s="74">
        <v>0</v>
      </c>
      <c r="J55" s="46">
        <f t="shared" si="1"/>
        <v>0</v>
      </c>
      <c r="K55" s="70">
        <v>3</v>
      </c>
      <c r="L55" s="15">
        <v>120</v>
      </c>
      <c r="M55" s="63">
        <f>+L55*K55</f>
        <v>360</v>
      </c>
      <c r="N55" s="17" t="s">
        <v>16</v>
      </c>
      <c r="O55" s="18"/>
      <c r="P55" s="161">
        <f>SUM(M55-O55)</f>
        <v>360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+'3'!J56</f>
        <v>4</v>
      </c>
      <c r="F56" s="69"/>
      <c r="G56" s="46">
        <f t="shared" si="0"/>
        <v>4</v>
      </c>
      <c r="H56" s="76">
        <v>0</v>
      </c>
      <c r="I56" s="74">
        <v>0</v>
      </c>
      <c r="J56" s="46">
        <f t="shared" si="1"/>
        <v>3</v>
      </c>
      <c r="K56" s="70">
        <v>1</v>
      </c>
      <c r="L56" s="15">
        <v>120</v>
      </c>
      <c r="M56" s="63">
        <f>+L56*K56</f>
        <v>120</v>
      </c>
      <c r="N56" s="17" t="s">
        <v>16</v>
      </c>
      <c r="O56" s="18"/>
      <c r="P56" s="161">
        <f>SUM(M56-O56)</f>
        <v>120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+'3'!J57</f>
        <v>5</v>
      </c>
      <c r="F57" s="69"/>
      <c r="G57" s="46">
        <f t="shared" si="0"/>
        <v>5</v>
      </c>
      <c r="H57" s="76">
        <v>0</v>
      </c>
      <c r="I57" s="74">
        <v>0</v>
      </c>
      <c r="J57" s="46">
        <f t="shared" si="1"/>
        <v>4</v>
      </c>
      <c r="K57" s="70">
        <v>1</v>
      </c>
      <c r="L57" s="20">
        <v>120</v>
      </c>
      <c r="M57" s="63">
        <f t="shared" si="2"/>
        <v>120</v>
      </c>
      <c r="N57" s="17" t="s">
        <v>16</v>
      </c>
      <c r="O57" s="18"/>
      <c r="P57" s="161">
        <f t="shared" si="3"/>
        <v>120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+'3'!J58</f>
        <v>9</v>
      </c>
      <c r="F58" s="69"/>
      <c r="G58" s="46">
        <f t="shared" si="0"/>
        <v>9</v>
      </c>
      <c r="H58" s="76">
        <v>0</v>
      </c>
      <c r="I58" s="74">
        <v>0</v>
      </c>
      <c r="J58" s="46">
        <f t="shared" si="1"/>
        <v>9</v>
      </c>
      <c r="K58" s="70"/>
      <c r="L58" s="20">
        <v>120</v>
      </c>
      <c r="M58" s="63">
        <f t="shared" si="2"/>
        <v>0</v>
      </c>
      <c r="N58" s="17" t="s">
        <v>16</v>
      </c>
      <c r="O58" s="18"/>
      <c r="P58" s="23">
        <f t="shared" si="3"/>
        <v>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/>
      <c r="D59" s="10"/>
      <c r="E59" s="62">
        <f>+'3'!J59</f>
        <v>0</v>
      </c>
      <c r="F59" s="69"/>
      <c r="G59" s="46"/>
      <c r="H59" s="76"/>
      <c r="I59" s="74"/>
      <c r="J59" s="46"/>
      <c r="K59" s="70"/>
      <c r="L59" s="20"/>
      <c r="M59" s="63"/>
      <c r="N59" s="17"/>
      <c r="O59" s="18"/>
      <c r="P59" s="23"/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+'3'!J60</f>
        <v>0</v>
      </c>
      <c r="F60" s="69"/>
      <c r="G60" s="46"/>
      <c r="H60" s="76"/>
      <c r="I60" s="74"/>
      <c r="J60" s="46"/>
      <c r="K60" s="70"/>
      <c r="L60" s="20"/>
      <c r="M60" s="63"/>
      <c r="N60" s="17"/>
      <c r="O60" s="18"/>
      <c r="P60" s="23"/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+'3'!J61</f>
        <v>0</v>
      </c>
      <c r="F61" s="69"/>
      <c r="G61" s="46"/>
      <c r="H61" s="76"/>
      <c r="I61" s="74"/>
      <c r="J61" s="46"/>
      <c r="K61" s="70"/>
      <c r="L61" s="20"/>
      <c r="M61" s="63"/>
      <c r="N61" s="17"/>
      <c r="O61" s="18"/>
      <c r="P61" s="23"/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>
        <f>+'3'!J62</f>
        <v>0</v>
      </c>
      <c r="F62" s="69"/>
      <c r="G62" s="46"/>
      <c r="H62" s="76"/>
      <c r="I62" s="74"/>
      <c r="J62" s="46"/>
      <c r="K62" s="70"/>
      <c r="L62" s="20"/>
      <c r="M62" s="63"/>
      <c r="N62" s="17"/>
      <c r="O62" s="18"/>
      <c r="P62" s="23"/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>
        <f>+'3'!J63</f>
        <v>0</v>
      </c>
      <c r="F63" s="69"/>
      <c r="G63" s="46"/>
      <c r="H63" s="76"/>
      <c r="I63" s="74"/>
      <c r="J63" s="46"/>
      <c r="K63" s="70"/>
      <c r="L63" s="20"/>
      <c r="M63" s="63"/>
      <c r="N63" s="17"/>
      <c r="O63" s="18"/>
      <c r="P63" s="23"/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>
        <f>+'3'!J64</f>
        <v>0</v>
      </c>
      <c r="F64" s="69"/>
      <c r="G64" s="46"/>
      <c r="H64" s="76"/>
      <c r="I64" s="74"/>
      <c r="J64" s="46"/>
      <c r="K64" s="70"/>
      <c r="L64" s="20"/>
      <c r="M64" s="63"/>
      <c r="N64" s="17"/>
      <c r="O64" s="18"/>
      <c r="P64" s="23"/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/>
      <c r="F65" s="69"/>
      <c r="G65" s="46"/>
      <c r="H65" s="76"/>
      <c r="I65" s="74"/>
      <c r="J65" s="46"/>
      <c r="K65" s="70"/>
      <c r="L65" s="20"/>
      <c r="M65" s="63"/>
      <c r="N65" s="17"/>
      <c r="O65" s="18"/>
      <c r="P65" s="23"/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4589.5299999999988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15627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>
        <v>15</v>
      </c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6772</v>
      </c>
      <c r="O70" s="2">
        <v>6772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>
        <v>1400</v>
      </c>
      <c r="O72" s="2" t="s">
        <v>1450</v>
      </c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289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7151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7019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-132</v>
      </c>
    </row>
    <row r="77" spans="1:19" ht="25.5" x14ac:dyDescent="0.55000000000000004">
      <c r="J77" s="2"/>
      <c r="L77" s="148" t="s">
        <v>211</v>
      </c>
      <c r="M77" s="149"/>
      <c r="N77" s="33">
        <f>+N75-N74</f>
        <v>-132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6873-CC9D-4C1F-9545-95AE5B9C669D}">
  <sheetPr filterMode="1">
    <tabColor rgb="FFFFCCFF"/>
    <pageSetUpPr fitToPage="1"/>
  </sheetPr>
  <dimension ref="A1:S152"/>
  <sheetViews>
    <sheetView zoomScale="85" zoomScaleNormal="85" workbookViewId="0">
      <pane xSplit="10" ySplit="4" topLeftCell="K44" activePane="bottomRight" state="frozen"/>
      <selection activeCell="A66" sqref="A66:XFD74"/>
      <selection pane="topRight" activeCell="A66" sqref="A66:XFD74"/>
      <selection pane="bottomLeft" activeCell="A66" sqref="A66:XFD74"/>
      <selection pane="bottomRight" activeCell="F51" sqref="F51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+'4'!J5</f>
        <v>64</v>
      </c>
      <c r="F5" s="69">
        <v>10</v>
      </c>
      <c r="G5" s="46">
        <f t="shared" ref="G5:G58" si="0">E5+F5</f>
        <v>74</v>
      </c>
      <c r="H5" s="76">
        <v>0</v>
      </c>
      <c r="I5" s="74">
        <v>0</v>
      </c>
      <c r="J5" s="46">
        <f t="shared" ref="J5:J58" si="1">+G5-H5-K5-I5</f>
        <v>43</v>
      </c>
      <c r="K5" s="70">
        <v>31</v>
      </c>
      <c r="L5" s="15">
        <v>50</v>
      </c>
      <c r="M5" s="63">
        <f>+L5*K5</f>
        <v>1550</v>
      </c>
      <c r="N5" s="17" t="s">
        <v>16</v>
      </c>
      <c r="O5" s="18"/>
      <c r="P5" s="161">
        <f>SUM(M5-O5)</f>
        <v>1550</v>
      </c>
      <c r="Q5" s="88">
        <v>18.97</v>
      </c>
      <c r="R5" s="43">
        <f>+K5*Q5</f>
        <v>588.06999999999994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+'4'!J6</f>
        <v>49</v>
      </c>
      <c r="F6" s="69">
        <v>20</v>
      </c>
      <c r="G6" s="46">
        <f t="shared" si="0"/>
        <v>69</v>
      </c>
      <c r="H6" s="76">
        <v>0</v>
      </c>
      <c r="I6" s="74">
        <v>0</v>
      </c>
      <c r="J6" s="46">
        <f t="shared" si="1"/>
        <v>20</v>
      </c>
      <c r="K6" s="70">
        <v>49</v>
      </c>
      <c r="L6" s="15">
        <v>100</v>
      </c>
      <c r="M6" s="63">
        <f t="shared" ref="M6:M58" si="2">+L6*K6</f>
        <v>4900</v>
      </c>
      <c r="N6" s="17" t="s">
        <v>16</v>
      </c>
      <c r="O6" s="18"/>
      <c r="P6" s="161">
        <f t="shared" ref="P6:P58" si="3">SUM(M6-O6)</f>
        <v>4900</v>
      </c>
      <c r="Q6" s="88">
        <v>36.43</v>
      </c>
      <c r="R6" s="43">
        <f t="shared" ref="R6:R65" si="4">+K6*Q6</f>
        <v>1785.07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+'4'!J7</f>
        <v>52</v>
      </c>
      <c r="F7" s="69"/>
      <c r="G7" s="46">
        <f t="shared" si="0"/>
        <v>52</v>
      </c>
      <c r="H7" s="76">
        <v>0</v>
      </c>
      <c r="I7" s="74">
        <v>0</v>
      </c>
      <c r="J7" s="46">
        <f t="shared" si="1"/>
        <v>38</v>
      </c>
      <c r="K7" s="70">
        <v>14</v>
      </c>
      <c r="L7" s="15">
        <v>50</v>
      </c>
      <c r="M7" s="63">
        <f t="shared" si="2"/>
        <v>700</v>
      </c>
      <c r="N7" s="17" t="s">
        <v>1437</v>
      </c>
      <c r="O7" s="18">
        <v>50</v>
      </c>
      <c r="P7" s="161">
        <f t="shared" si="3"/>
        <v>650</v>
      </c>
      <c r="Q7" s="88">
        <v>19.36</v>
      </c>
      <c r="R7" s="43">
        <f t="shared" si="4"/>
        <v>271.03999999999996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+'4'!J8</f>
        <v>0</v>
      </c>
      <c r="F8" s="69">
        <v>10</v>
      </c>
      <c r="G8" s="46">
        <f t="shared" si="0"/>
        <v>10</v>
      </c>
      <c r="H8" s="76">
        <v>0</v>
      </c>
      <c r="I8" s="74">
        <v>0</v>
      </c>
      <c r="J8" s="46">
        <f t="shared" si="1"/>
        <v>7</v>
      </c>
      <c r="K8" s="70">
        <v>3</v>
      </c>
      <c r="L8" s="15">
        <v>65</v>
      </c>
      <c r="M8" s="63">
        <f t="shared" si="2"/>
        <v>195</v>
      </c>
      <c r="N8" s="17" t="s">
        <v>16</v>
      </c>
      <c r="O8" s="18"/>
      <c r="P8" s="161">
        <f t="shared" si="3"/>
        <v>195</v>
      </c>
      <c r="Q8" s="88">
        <v>22.25</v>
      </c>
      <c r="R8" s="43">
        <f t="shared" si="4"/>
        <v>66.75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+'4'!J9</f>
        <v>0</v>
      </c>
      <c r="F9" s="69">
        <v>5</v>
      </c>
      <c r="G9" s="46">
        <f t="shared" si="0"/>
        <v>5</v>
      </c>
      <c r="H9" s="76">
        <v>0</v>
      </c>
      <c r="I9" s="74">
        <v>0</v>
      </c>
      <c r="J9" s="46">
        <f t="shared" si="1"/>
        <v>0</v>
      </c>
      <c r="K9" s="70">
        <v>5</v>
      </c>
      <c r="L9" s="15">
        <v>85</v>
      </c>
      <c r="M9" s="63">
        <f t="shared" si="2"/>
        <v>425</v>
      </c>
      <c r="N9" s="17" t="s">
        <v>16</v>
      </c>
      <c r="O9" s="18"/>
      <c r="P9" s="161">
        <f t="shared" si="3"/>
        <v>425</v>
      </c>
      <c r="Q9" s="88">
        <v>22.65</v>
      </c>
      <c r="R9" s="43">
        <f t="shared" si="4"/>
        <v>113.25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+'4'!J10</f>
        <v>61</v>
      </c>
      <c r="F10" s="69">
        <v>50</v>
      </c>
      <c r="G10" s="46">
        <f t="shared" si="0"/>
        <v>111</v>
      </c>
      <c r="H10" s="76">
        <v>0</v>
      </c>
      <c r="I10" s="74">
        <v>0</v>
      </c>
      <c r="J10" s="46">
        <f t="shared" si="1"/>
        <v>63</v>
      </c>
      <c r="K10" s="70">
        <v>48</v>
      </c>
      <c r="L10" s="15">
        <v>100</v>
      </c>
      <c r="M10" s="63">
        <f t="shared" si="2"/>
        <v>4800</v>
      </c>
      <c r="N10" s="17" t="s">
        <v>16</v>
      </c>
      <c r="O10" s="18"/>
      <c r="P10" s="161">
        <f t="shared" si="3"/>
        <v>4800</v>
      </c>
      <c r="Q10" s="88">
        <v>27.98</v>
      </c>
      <c r="R10" s="43">
        <f t="shared" si="4"/>
        <v>1343.04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+'4'!J11</f>
        <v>30</v>
      </c>
      <c r="F11" s="69">
        <v>20</v>
      </c>
      <c r="G11" s="46">
        <f t="shared" si="0"/>
        <v>50</v>
      </c>
      <c r="H11" s="76">
        <v>0</v>
      </c>
      <c r="I11" s="74">
        <v>0</v>
      </c>
      <c r="J11" s="46">
        <f t="shared" si="1"/>
        <v>4</v>
      </c>
      <c r="K11" s="70">
        <v>46</v>
      </c>
      <c r="L11" s="15">
        <v>100</v>
      </c>
      <c r="M11" s="63">
        <f t="shared" si="2"/>
        <v>4600</v>
      </c>
      <c r="N11" s="17" t="s">
        <v>1437</v>
      </c>
      <c r="O11" s="18">
        <v>100</v>
      </c>
      <c r="P11" s="161">
        <f t="shared" si="3"/>
        <v>4500</v>
      </c>
      <c r="Q11" s="88">
        <v>34.64</v>
      </c>
      <c r="R11" s="43">
        <f t="shared" si="4"/>
        <v>1593.44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+'4'!J12</f>
        <v>8</v>
      </c>
      <c r="F12" s="69">
        <v>2</v>
      </c>
      <c r="G12" s="46">
        <f t="shared" si="0"/>
        <v>10</v>
      </c>
      <c r="H12" s="76">
        <v>0</v>
      </c>
      <c r="I12" s="74">
        <v>0</v>
      </c>
      <c r="J12" s="46">
        <f t="shared" si="1"/>
        <v>0</v>
      </c>
      <c r="K12" s="70">
        <v>10</v>
      </c>
      <c r="L12" s="20">
        <v>130</v>
      </c>
      <c r="M12" s="63">
        <f t="shared" si="2"/>
        <v>1300</v>
      </c>
      <c r="N12" s="17" t="s">
        <v>16</v>
      </c>
      <c r="O12" s="18"/>
      <c r="P12" s="161">
        <f t="shared" si="3"/>
        <v>1300</v>
      </c>
      <c r="Q12" s="88">
        <v>46.37</v>
      </c>
      <c r="R12" s="43">
        <f t="shared" si="4"/>
        <v>463.7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+'4'!J13</f>
        <v>0</v>
      </c>
      <c r="F13" s="69"/>
      <c r="G13" s="46">
        <f t="shared" si="0"/>
        <v>0</v>
      </c>
      <c r="H13" s="76">
        <v>0</v>
      </c>
      <c r="I13" s="74">
        <v>0</v>
      </c>
      <c r="J13" s="46">
        <f t="shared" si="1"/>
        <v>0</v>
      </c>
      <c r="K13" s="70"/>
      <c r="L13" s="15">
        <v>130</v>
      </c>
      <c r="M13" s="63">
        <f t="shared" si="2"/>
        <v>0</v>
      </c>
      <c r="N13" s="17" t="s">
        <v>16</v>
      </c>
      <c r="O13" s="18"/>
      <c r="P13" s="23">
        <f t="shared" si="3"/>
        <v>0</v>
      </c>
      <c r="Q13" s="88">
        <v>38.9</v>
      </c>
      <c r="R13" s="43">
        <f t="shared" si="4"/>
        <v>0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+'4'!J14</f>
        <v>10</v>
      </c>
      <c r="F14" s="69"/>
      <c r="G14" s="46">
        <f t="shared" si="0"/>
        <v>10</v>
      </c>
      <c r="H14" s="76">
        <v>0</v>
      </c>
      <c r="I14" s="74">
        <v>0</v>
      </c>
      <c r="J14" s="46">
        <f t="shared" si="1"/>
        <v>1</v>
      </c>
      <c r="K14" s="70">
        <v>9</v>
      </c>
      <c r="L14" s="15">
        <v>50</v>
      </c>
      <c r="M14" s="63">
        <f t="shared" si="2"/>
        <v>450</v>
      </c>
      <c r="N14" s="17" t="s">
        <v>16</v>
      </c>
      <c r="O14" s="18"/>
      <c r="P14" s="161">
        <f t="shared" si="3"/>
        <v>450</v>
      </c>
      <c r="Q14" s="88">
        <v>27.84</v>
      </c>
      <c r="R14" s="43">
        <f t="shared" si="4"/>
        <v>250.56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+'4'!J15</f>
        <v>19</v>
      </c>
      <c r="F15" s="69"/>
      <c r="G15" s="46">
        <f t="shared" si="0"/>
        <v>19</v>
      </c>
      <c r="H15" s="76">
        <v>0</v>
      </c>
      <c r="I15" s="74">
        <v>0</v>
      </c>
      <c r="J15" s="46">
        <f t="shared" si="1"/>
        <v>15</v>
      </c>
      <c r="K15" s="70">
        <v>4</v>
      </c>
      <c r="L15" s="15">
        <v>50</v>
      </c>
      <c r="M15" s="63">
        <f t="shared" si="2"/>
        <v>200</v>
      </c>
      <c r="N15" s="17" t="s">
        <v>16</v>
      </c>
      <c r="O15" s="18"/>
      <c r="P15" s="161">
        <f t="shared" si="3"/>
        <v>200</v>
      </c>
      <c r="Q15" s="88">
        <v>27.12</v>
      </c>
      <c r="R15" s="43">
        <f t="shared" si="4"/>
        <v>108.48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+'4'!J16</f>
        <v>0</v>
      </c>
      <c r="F16" s="69">
        <v>5</v>
      </c>
      <c r="G16" s="46">
        <f t="shared" si="0"/>
        <v>5</v>
      </c>
      <c r="H16" s="76">
        <v>0</v>
      </c>
      <c r="I16" s="74">
        <v>0</v>
      </c>
      <c r="J16" s="46">
        <f t="shared" si="1"/>
        <v>1</v>
      </c>
      <c r="K16" s="70">
        <v>4</v>
      </c>
      <c r="L16" s="20">
        <v>50</v>
      </c>
      <c r="M16" s="63">
        <f t="shared" si="2"/>
        <v>200</v>
      </c>
      <c r="N16" s="17" t="s">
        <v>16</v>
      </c>
      <c r="O16" s="18"/>
      <c r="P16" s="161">
        <f t="shared" si="3"/>
        <v>200</v>
      </c>
      <c r="Q16" s="88">
        <v>15.42</v>
      </c>
      <c r="R16" s="43">
        <f t="shared" si="4"/>
        <v>61.68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+'4'!J17</f>
        <v>6</v>
      </c>
      <c r="F17" s="69">
        <v>10</v>
      </c>
      <c r="G17" s="46">
        <f t="shared" si="0"/>
        <v>16</v>
      </c>
      <c r="H17" s="76">
        <v>0</v>
      </c>
      <c r="I17" s="74">
        <v>0</v>
      </c>
      <c r="J17" s="46">
        <f t="shared" si="1"/>
        <v>13</v>
      </c>
      <c r="K17" s="70">
        <v>3</v>
      </c>
      <c r="L17" s="15">
        <v>50</v>
      </c>
      <c r="M17" s="63">
        <f t="shared" si="2"/>
        <v>150</v>
      </c>
      <c r="N17" s="17" t="s">
        <v>16</v>
      </c>
      <c r="O17" s="18"/>
      <c r="P17" s="161">
        <f t="shared" si="3"/>
        <v>150</v>
      </c>
      <c r="Q17" s="88">
        <v>17.78</v>
      </c>
      <c r="R17" s="43">
        <f t="shared" si="4"/>
        <v>53.34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+'4'!J18</f>
        <v>4</v>
      </c>
      <c r="F18" s="69">
        <v>10</v>
      </c>
      <c r="G18" s="46">
        <f t="shared" si="0"/>
        <v>14</v>
      </c>
      <c r="H18" s="76">
        <v>0</v>
      </c>
      <c r="I18" s="74">
        <v>0</v>
      </c>
      <c r="J18" s="46">
        <f t="shared" si="1"/>
        <v>8</v>
      </c>
      <c r="K18" s="70">
        <v>6</v>
      </c>
      <c r="L18" s="20">
        <v>50</v>
      </c>
      <c r="M18" s="63">
        <f t="shared" si="2"/>
        <v>300</v>
      </c>
      <c r="N18" s="17" t="s">
        <v>16</v>
      </c>
      <c r="O18" s="18"/>
      <c r="P18" s="161">
        <f t="shared" si="3"/>
        <v>300</v>
      </c>
      <c r="Q18" s="88">
        <v>17.989999999999998</v>
      </c>
      <c r="R18" s="43">
        <f t="shared" si="4"/>
        <v>107.94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+'4'!J19</f>
        <v>9</v>
      </c>
      <c r="F19" s="69">
        <v>10</v>
      </c>
      <c r="G19" s="46">
        <f t="shared" si="0"/>
        <v>19</v>
      </c>
      <c r="H19" s="76">
        <v>0</v>
      </c>
      <c r="I19" s="74">
        <v>0</v>
      </c>
      <c r="J19" s="46">
        <f t="shared" si="1"/>
        <v>17</v>
      </c>
      <c r="K19" s="70">
        <v>2</v>
      </c>
      <c r="L19" s="15">
        <v>50</v>
      </c>
      <c r="M19" s="63">
        <f t="shared" si="2"/>
        <v>100</v>
      </c>
      <c r="N19" s="17" t="s">
        <v>1437</v>
      </c>
      <c r="O19" s="18">
        <v>50</v>
      </c>
      <c r="P19" s="161">
        <f t="shared" si="3"/>
        <v>50</v>
      </c>
      <c r="Q19" s="88">
        <v>20.059999999999999</v>
      </c>
      <c r="R19" s="43">
        <f t="shared" si="4"/>
        <v>40.119999999999997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+'4'!J20</f>
        <v>14</v>
      </c>
      <c r="F20" s="69"/>
      <c r="G20" s="46">
        <f t="shared" si="0"/>
        <v>14</v>
      </c>
      <c r="H20" s="76">
        <v>0</v>
      </c>
      <c r="I20" s="74">
        <v>0</v>
      </c>
      <c r="J20" s="46">
        <f t="shared" si="1"/>
        <v>6</v>
      </c>
      <c r="K20" s="70">
        <v>8</v>
      </c>
      <c r="L20" s="15">
        <v>50</v>
      </c>
      <c r="M20" s="63">
        <f t="shared" si="2"/>
        <v>400</v>
      </c>
      <c r="N20" s="17" t="s">
        <v>16</v>
      </c>
      <c r="O20" s="18"/>
      <c r="P20" s="161">
        <f t="shared" si="3"/>
        <v>400</v>
      </c>
      <c r="Q20" s="88">
        <v>20.32</v>
      </c>
      <c r="R20" s="43">
        <f t="shared" si="4"/>
        <v>162.56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+'4'!J21</f>
        <v>16</v>
      </c>
      <c r="F21" s="69"/>
      <c r="G21" s="46">
        <f t="shared" si="0"/>
        <v>16</v>
      </c>
      <c r="H21" s="76">
        <v>0</v>
      </c>
      <c r="I21" s="74">
        <v>0</v>
      </c>
      <c r="J21" s="46">
        <f t="shared" si="1"/>
        <v>5</v>
      </c>
      <c r="K21" s="70">
        <v>11</v>
      </c>
      <c r="L21" s="15">
        <v>50</v>
      </c>
      <c r="M21" s="63">
        <f t="shared" si="2"/>
        <v>550</v>
      </c>
      <c r="N21" s="17" t="s">
        <v>1437</v>
      </c>
      <c r="O21" s="18">
        <v>50</v>
      </c>
      <c r="P21" s="161">
        <f t="shared" si="3"/>
        <v>500</v>
      </c>
      <c r="Q21" s="88">
        <v>16.37</v>
      </c>
      <c r="R21" s="43">
        <f t="shared" si="4"/>
        <v>180.07000000000002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+'4'!J22</f>
        <v>6</v>
      </c>
      <c r="F22" s="69">
        <v>5</v>
      </c>
      <c r="G22" s="46">
        <f t="shared" si="0"/>
        <v>11</v>
      </c>
      <c r="H22" s="76">
        <v>0</v>
      </c>
      <c r="I22" s="74">
        <v>0</v>
      </c>
      <c r="J22" s="46">
        <f t="shared" si="1"/>
        <v>10</v>
      </c>
      <c r="K22" s="70">
        <v>1</v>
      </c>
      <c r="L22" s="15">
        <v>120</v>
      </c>
      <c r="M22" s="63">
        <f t="shared" si="2"/>
        <v>120</v>
      </c>
      <c r="N22" s="17" t="s">
        <v>16</v>
      </c>
      <c r="O22" s="18">
        <v>20</v>
      </c>
      <c r="P22" s="161">
        <f t="shared" si="3"/>
        <v>100</v>
      </c>
      <c r="Q22" s="88">
        <v>25.99</v>
      </c>
      <c r="R22" s="43">
        <f t="shared" si="4"/>
        <v>25.99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+'4'!J23</f>
        <v>4</v>
      </c>
      <c r="F23" s="69">
        <v>5</v>
      </c>
      <c r="G23" s="46">
        <f t="shared" si="0"/>
        <v>9</v>
      </c>
      <c r="H23" s="76">
        <v>0</v>
      </c>
      <c r="I23" s="74">
        <v>0</v>
      </c>
      <c r="J23" s="46">
        <f t="shared" si="1"/>
        <v>7</v>
      </c>
      <c r="K23" s="70">
        <v>2</v>
      </c>
      <c r="L23" s="15">
        <v>120</v>
      </c>
      <c r="M23" s="63">
        <f t="shared" si="2"/>
        <v>240</v>
      </c>
      <c r="N23" s="17" t="s">
        <v>16</v>
      </c>
      <c r="O23" s="18">
        <v>26</v>
      </c>
      <c r="P23" s="161">
        <f t="shared" si="3"/>
        <v>214</v>
      </c>
      <c r="Q23" s="88">
        <v>28.31</v>
      </c>
      <c r="R23" s="43">
        <f t="shared" si="4"/>
        <v>56.62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+'4'!J24</f>
        <v>8</v>
      </c>
      <c r="F24" s="69">
        <v>5</v>
      </c>
      <c r="G24" s="46">
        <f t="shared" si="0"/>
        <v>13</v>
      </c>
      <c r="H24" s="76">
        <v>0</v>
      </c>
      <c r="I24" s="74">
        <v>0</v>
      </c>
      <c r="J24" s="46">
        <f t="shared" si="1"/>
        <v>13</v>
      </c>
      <c r="K24" s="70"/>
      <c r="L24" s="15">
        <v>120</v>
      </c>
      <c r="M24" s="63">
        <f t="shared" si="2"/>
        <v>0</v>
      </c>
      <c r="N24" s="17" t="s">
        <v>16</v>
      </c>
      <c r="O24" s="18"/>
      <c r="P24" s="23">
        <f t="shared" si="3"/>
        <v>0</v>
      </c>
      <c r="Q24" s="88">
        <v>31.07</v>
      </c>
      <c r="R24" s="43">
        <f t="shared" si="4"/>
        <v>0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+'4'!J25</f>
        <v>7</v>
      </c>
      <c r="F25" s="69">
        <v>5</v>
      </c>
      <c r="G25" s="46">
        <f t="shared" si="0"/>
        <v>12</v>
      </c>
      <c r="H25" s="76">
        <v>0</v>
      </c>
      <c r="I25" s="74">
        <v>0</v>
      </c>
      <c r="J25" s="46">
        <f t="shared" si="1"/>
        <v>9</v>
      </c>
      <c r="K25" s="70">
        <v>3</v>
      </c>
      <c r="L25" s="20">
        <v>120</v>
      </c>
      <c r="M25" s="63">
        <f t="shared" si="2"/>
        <v>360</v>
      </c>
      <c r="N25" s="17" t="s">
        <v>16</v>
      </c>
      <c r="O25" s="18">
        <v>60</v>
      </c>
      <c r="P25" s="161">
        <f t="shared" si="3"/>
        <v>300</v>
      </c>
      <c r="Q25" s="88">
        <v>29.83</v>
      </c>
      <c r="R25" s="43">
        <f t="shared" si="4"/>
        <v>89.49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+'4'!J26</f>
        <v>0</v>
      </c>
      <c r="F26" s="69">
        <v>10</v>
      </c>
      <c r="G26" s="46">
        <f t="shared" si="0"/>
        <v>10</v>
      </c>
      <c r="H26" s="76">
        <v>0</v>
      </c>
      <c r="I26" s="74">
        <v>0</v>
      </c>
      <c r="J26" s="46">
        <f t="shared" si="1"/>
        <v>9</v>
      </c>
      <c r="K26" s="70">
        <v>1</v>
      </c>
      <c r="L26" s="15">
        <v>120</v>
      </c>
      <c r="M26" s="63">
        <f t="shared" si="2"/>
        <v>120</v>
      </c>
      <c r="N26" s="17" t="s">
        <v>16</v>
      </c>
      <c r="O26" s="18">
        <v>20</v>
      </c>
      <c r="P26" s="161">
        <f t="shared" si="3"/>
        <v>100</v>
      </c>
      <c r="Q26" s="88">
        <v>26.39</v>
      </c>
      <c r="R26" s="43">
        <f t="shared" si="4"/>
        <v>26.39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+'4'!J27</f>
        <v>2</v>
      </c>
      <c r="F27" s="69">
        <v>8</v>
      </c>
      <c r="G27" s="46">
        <f t="shared" si="0"/>
        <v>10</v>
      </c>
      <c r="H27" s="76">
        <v>0</v>
      </c>
      <c r="I27" s="74">
        <v>0</v>
      </c>
      <c r="J27" s="46">
        <f t="shared" si="1"/>
        <v>9</v>
      </c>
      <c r="K27" s="70">
        <v>1</v>
      </c>
      <c r="L27" s="15">
        <v>50</v>
      </c>
      <c r="M27" s="63">
        <f t="shared" si="2"/>
        <v>50</v>
      </c>
      <c r="N27" s="17" t="s">
        <v>16</v>
      </c>
      <c r="O27" s="18"/>
      <c r="P27" s="161">
        <f t="shared" si="3"/>
        <v>50</v>
      </c>
      <c r="Q27" s="88">
        <v>23.69</v>
      </c>
      <c r="R27" s="43">
        <f t="shared" si="4"/>
        <v>23.69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+'4'!J28</f>
        <v>1</v>
      </c>
      <c r="F28" s="69">
        <v>10</v>
      </c>
      <c r="G28" s="46">
        <f t="shared" si="0"/>
        <v>11</v>
      </c>
      <c r="H28" s="76">
        <v>0</v>
      </c>
      <c r="I28" s="74">
        <v>0</v>
      </c>
      <c r="J28" s="46">
        <f t="shared" si="1"/>
        <v>3</v>
      </c>
      <c r="K28" s="70">
        <v>8</v>
      </c>
      <c r="L28" s="21">
        <v>50</v>
      </c>
      <c r="M28" s="63">
        <f t="shared" si="2"/>
        <v>400</v>
      </c>
      <c r="N28" s="17" t="s">
        <v>16</v>
      </c>
      <c r="O28" s="18"/>
      <c r="P28" s="161">
        <f t="shared" si="3"/>
        <v>400</v>
      </c>
      <c r="Q28" s="88">
        <v>22.49</v>
      </c>
      <c r="R28" s="43">
        <f t="shared" si="4"/>
        <v>179.92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+'4'!J29</f>
        <v>5</v>
      </c>
      <c r="F29" s="69">
        <v>10</v>
      </c>
      <c r="G29" s="46">
        <f t="shared" si="0"/>
        <v>15</v>
      </c>
      <c r="H29" s="76">
        <v>0</v>
      </c>
      <c r="I29" s="74">
        <v>0</v>
      </c>
      <c r="J29" s="46">
        <f t="shared" si="1"/>
        <v>12</v>
      </c>
      <c r="K29" s="70">
        <v>3</v>
      </c>
      <c r="L29" s="21">
        <v>50</v>
      </c>
      <c r="M29" s="63">
        <f t="shared" si="2"/>
        <v>150</v>
      </c>
      <c r="N29" s="17" t="s">
        <v>16</v>
      </c>
      <c r="O29" s="18"/>
      <c r="P29" s="161">
        <f t="shared" si="3"/>
        <v>150</v>
      </c>
      <c r="Q29" s="88">
        <v>17.09</v>
      </c>
      <c r="R29" s="43">
        <f t="shared" si="4"/>
        <v>51.269999999999996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+'4'!J30</f>
        <v>12</v>
      </c>
      <c r="F30" s="69">
        <v>20</v>
      </c>
      <c r="G30" s="46">
        <f t="shared" si="0"/>
        <v>32</v>
      </c>
      <c r="H30" s="76">
        <v>0</v>
      </c>
      <c r="I30" s="74">
        <v>0</v>
      </c>
      <c r="J30" s="46">
        <f t="shared" si="1"/>
        <v>14</v>
      </c>
      <c r="K30" s="70">
        <v>18</v>
      </c>
      <c r="L30" s="22">
        <v>50</v>
      </c>
      <c r="M30" s="63">
        <f t="shared" si="2"/>
        <v>900</v>
      </c>
      <c r="N30" s="17" t="s">
        <v>16</v>
      </c>
      <c r="O30" s="18"/>
      <c r="P30" s="161">
        <f t="shared" si="3"/>
        <v>900</v>
      </c>
      <c r="Q30" s="88">
        <v>25.15</v>
      </c>
      <c r="R30" s="43">
        <f t="shared" si="4"/>
        <v>452.7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+'4'!J31</f>
        <v>5</v>
      </c>
      <c r="F31" s="69">
        <v>5</v>
      </c>
      <c r="G31" s="46">
        <f t="shared" si="0"/>
        <v>10</v>
      </c>
      <c r="H31" s="76">
        <v>0</v>
      </c>
      <c r="I31" s="74">
        <v>0</v>
      </c>
      <c r="J31" s="46">
        <f t="shared" si="1"/>
        <v>1</v>
      </c>
      <c r="K31" s="70">
        <v>9</v>
      </c>
      <c r="L31" s="22">
        <v>55</v>
      </c>
      <c r="M31" s="63">
        <f t="shared" si="2"/>
        <v>495</v>
      </c>
      <c r="N31" s="17" t="s">
        <v>16</v>
      </c>
      <c r="O31" s="18"/>
      <c r="P31" s="161">
        <f t="shared" si="3"/>
        <v>495</v>
      </c>
      <c r="Q31" s="88">
        <v>14.35</v>
      </c>
      <c r="R31" s="43">
        <f t="shared" si="4"/>
        <v>129.15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+'4'!J32</f>
        <v>5</v>
      </c>
      <c r="F32" s="69">
        <v>5</v>
      </c>
      <c r="G32" s="46">
        <f t="shared" si="0"/>
        <v>10</v>
      </c>
      <c r="H32" s="76">
        <v>0</v>
      </c>
      <c r="I32" s="74">
        <v>0</v>
      </c>
      <c r="J32" s="46">
        <f t="shared" si="1"/>
        <v>4</v>
      </c>
      <c r="K32" s="70">
        <v>6</v>
      </c>
      <c r="L32" s="22">
        <v>55</v>
      </c>
      <c r="M32" s="63">
        <f t="shared" si="2"/>
        <v>330</v>
      </c>
      <c r="N32" s="17" t="s">
        <v>16</v>
      </c>
      <c r="O32" s="18"/>
      <c r="P32" s="161">
        <f t="shared" si="3"/>
        <v>330</v>
      </c>
      <c r="Q32" s="88">
        <v>19.579999999999998</v>
      </c>
      <c r="R32" s="43">
        <f t="shared" si="4"/>
        <v>117.47999999999999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+'4'!J33</f>
        <v>12</v>
      </c>
      <c r="F33" s="69">
        <v>10</v>
      </c>
      <c r="G33" s="46">
        <f t="shared" si="0"/>
        <v>22</v>
      </c>
      <c r="H33" s="76">
        <v>0</v>
      </c>
      <c r="I33" s="74">
        <v>0</v>
      </c>
      <c r="J33" s="46">
        <f t="shared" si="1"/>
        <v>15</v>
      </c>
      <c r="K33" s="70">
        <v>7</v>
      </c>
      <c r="L33" s="22">
        <v>100</v>
      </c>
      <c r="M33" s="63">
        <f t="shared" si="2"/>
        <v>700</v>
      </c>
      <c r="N33" s="17" t="s">
        <v>16</v>
      </c>
      <c r="O33" s="18"/>
      <c r="P33" s="161">
        <f t="shared" si="3"/>
        <v>700</v>
      </c>
      <c r="Q33" s="88">
        <v>23.61</v>
      </c>
      <c r="R33" s="43">
        <f t="shared" si="4"/>
        <v>165.26999999999998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+'4'!J34</f>
        <v>6</v>
      </c>
      <c r="F34" s="69">
        <v>10</v>
      </c>
      <c r="G34" s="46">
        <f t="shared" si="0"/>
        <v>16</v>
      </c>
      <c r="H34" s="76">
        <v>0</v>
      </c>
      <c r="I34" s="74">
        <v>0</v>
      </c>
      <c r="J34" s="46">
        <f t="shared" si="1"/>
        <v>12</v>
      </c>
      <c r="K34" s="70">
        <v>4</v>
      </c>
      <c r="L34" s="20">
        <v>55</v>
      </c>
      <c r="M34" s="63">
        <f t="shared" si="2"/>
        <v>220</v>
      </c>
      <c r="N34" s="17" t="s">
        <v>16</v>
      </c>
      <c r="O34" s="18"/>
      <c r="P34" s="161">
        <f t="shared" si="3"/>
        <v>220</v>
      </c>
      <c r="Q34" s="88">
        <v>34.25</v>
      </c>
      <c r="R34" s="43">
        <f t="shared" si="4"/>
        <v>137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+'4'!J35</f>
        <v>10</v>
      </c>
      <c r="F35" s="69">
        <v>10</v>
      </c>
      <c r="G35" s="46">
        <f t="shared" si="0"/>
        <v>20</v>
      </c>
      <c r="H35" s="76">
        <v>0</v>
      </c>
      <c r="I35" s="74">
        <v>0</v>
      </c>
      <c r="J35" s="46">
        <f t="shared" si="1"/>
        <v>16</v>
      </c>
      <c r="K35" s="70">
        <v>4</v>
      </c>
      <c r="L35" s="15">
        <v>60</v>
      </c>
      <c r="M35" s="63">
        <f t="shared" si="2"/>
        <v>240</v>
      </c>
      <c r="N35" s="17" t="s">
        <v>16</v>
      </c>
      <c r="O35" s="18"/>
      <c r="P35" s="161">
        <f t="shared" si="3"/>
        <v>240</v>
      </c>
      <c r="Q35" s="88">
        <v>23.61</v>
      </c>
      <c r="R35" s="43">
        <f t="shared" si="4"/>
        <v>94.44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+'4'!J36</f>
        <v>14</v>
      </c>
      <c r="F36" s="69">
        <v>10</v>
      </c>
      <c r="G36" s="46">
        <f t="shared" si="0"/>
        <v>24</v>
      </c>
      <c r="H36" s="76">
        <v>0</v>
      </c>
      <c r="I36" s="74">
        <v>0</v>
      </c>
      <c r="J36" s="46">
        <f t="shared" si="1"/>
        <v>19</v>
      </c>
      <c r="K36" s="70">
        <v>5</v>
      </c>
      <c r="L36" s="15">
        <v>100</v>
      </c>
      <c r="M36" s="63">
        <f t="shared" si="2"/>
        <v>500</v>
      </c>
      <c r="N36" s="17" t="s">
        <v>16</v>
      </c>
      <c r="O36" s="18"/>
      <c r="P36" s="161">
        <f t="shared" si="3"/>
        <v>500</v>
      </c>
      <c r="Q36" s="88">
        <v>13.03</v>
      </c>
      <c r="R36" s="43">
        <f t="shared" si="4"/>
        <v>65.149999999999991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+'4'!J37</f>
        <v>11</v>
      </c>
      <c r="F37" s="69"/>
      <c r="G37" s="46">
        <f t="shared" si="0"/>
        <v>11</v>
      </c>
      <c r="H37" s="76">
        <v>0</v>
      </c>
      <c r="I37" s="74">
        <v>0</v>
      </c>
      <c r="J37" s="46">
        <f t="shared" si="1"/>
        <v>11</v>
      </c>
      <c r="K37" s="70"/>
      <c r="L37" s="15">
        <v>55</v>
      </c>
      <c r="M37" s="63">
        <f t="shared" si="2"/>
        <v>0</v>
      </c>
      <c r="N37" s="17" t="s">
        <v>16</v>
      </c>
      <c r="O37" s="18"/>
      <c r="P37" s="23">
        <f t="shared" si="3"/>
        <v>0</v>
      </c>
      <c r="Q37" s="88">
        <v>11.91</v>
      </c>
      <c r="R37" s="43">
        <f t="shared" si="4"/>
        <v>0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+'4'!J38</f>
        <v>9</v>
      </c>
      <c r="F38" s="69">
        <v>5</v>
      </c>
      <c r="G38" s="46">
        <f t="shared" si="0"/>
        <v>14</v>
      </c>
      <c r="H38" s="76">
        <v>0</v>
      </c>
      <c r="I38" s="74">
        <v>0</v>
      </c>
      <c r="J38" s="46">
        <f t="shared" si="1"/>
        <v>11</v>
      </c>
      <c r="K38" s="70">
        <v>3</v>
      </c>
      <c r="L38" s="15">
        <v>50</v>
      </c>
      <c r="M38" s="63">
        <f>+L38*K38</f>
        <v>150</v>
      </c>
      <c r="N38" s="17" t="s">
        <v>16</v>
      </c>
      <c r="O38" s="18"/>
      <c r="P38" s="161">
        <f>SUM(M38-O38)</f>
        <v>150</v>
      </c>
      <c r="Q38" s="88">
        <v>9.91</v>
      </c>
      <c r="R38" s="43">
        <f>+K38*Q38</f>
        <v>29.73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+'4'!J39</f>
        <v>2</v>
      </c>
      <c r="F39" s="69"/>
      <c r="G39" s="46">
        <f t="shared" si="0"/>
        <v>2</v>
      </c>
      <c r="H39" s="76">
        <v>0</v>
      </c>
      <c r="I39" s="74">
        <v>0</v>
      </c>
      <c r="J39" s="46">
        <f t="shared" si="1"/>
        <v>0</v>
      </c>
      <c r="K39" s="70">
        <v>2</v>
      </c>
      <c r="L39" s="20">
        <v>35</v>
      </c>
      <c r="M39" s="63">
        <f t="shared" si="2"/>
        <v>70</v>
      </c>
      <c r="N39" s="17" t="s">
        <v>16</v>
      </c>
      <c r="O39" s="18"/>
      <c r="P39" s="161">
        <f t="shared" si="3"/>
        <v>70</v>
      </c>
      <c r="Q39" s="88">
        <v>16.690000000000001</v>
      </c>
      <c r="R39" s="43">
        <f t="shared" si="4"/>
        <v>33.380000000000003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+'4'!J40</f>
        <v>4</v>
      </c>
      <c r="F40" s="69"/>
      <c r="G40" s="46">
        <f t="shared" si="0"/>
        <v>4</v>
      </c>
      <c r="H40" s="76">
        <v>0</v>
      </c>
      <c r="I40" s="74">
        <v>0</v>
      </c>
      <c r="J40" s="46">
        <f t="shared" si="1"/>
        <v>1</v>
      </c>
      <c r="K40" s="70">
        <v>3</v>
      </c>
      <c r="L40" s="20">
        <v>50</v>
      </c>
      <c r="M40" s="63">
        <f t="shared" si="2"/>
        <v>150</v>
      </c>
      <c r="N40" s="17" t="s">
        <v>16</v>
      </c>
      <c r="O40" s="18"/>
      <c r="P40" s="161">
        <f t="shared" si="3"/>
        <v>150</v>
      </c>
      <c r="Q40" s="88">
        <v>24.21</v>
      </c>
      <c r="R40" s="43">
        <f t="shared" si="4"/>
        <v>72.63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+'4'!J41</f>
        <v>2</v>
      </c>
      <c r="F41" s="69">
        <v>10</v>
      </c>
      <c r="G41" s="46">
        <f t="shared" si="0"/>
        <v>12</v>
      </c>
      <c r="H41" s="76">
        <v>0</v>
      </c>
      <c r="I41" s="74">
        <v>0</v>
      </c>
      <c r="J41" s="46">
        <f t="shared" si="1"/>
        <v>10</v>
      </c>
      <c r="K41" s="70">
        <v>2</v>
      </c>
      <c r="L41" s="20">
        <v>65</v>
      </c>
      <c r="M41" s="63">
        <f t="shared" si="2"/>
        <v>130</v>
      </c>
      <c r="N41" s="17" t="s">
        <v>16</v>
      </c>
      <c r="O41" s="18"/>
      <c r="P41" s="161">
        <f t="shared" si="3"/>
        <v>130</v>
      </c>
      <c r="Q41" s="88">
        <v>23.02</v>
      </c>
      <c r="R41" s="43">
        <f t="shared" si="4"/>
        <v>46.04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+'4'!J42</f>
        <v>379</v>
      </c>
      <c r="F42" s="69"/>
      <c r="G42" s="46">
        <f t="shared" si="0"/>
        <v>379</v>
      </c>
      <c r="H42" s="76">
        <v>0</v>
      </c>
      <c r="I42" s="74">
        <v>0</v>
      </c>
      <c r="J42" s="46">
        <f t="shared" si="1"/>
        <v>33</v>
      </c>
      <c r="K42" s="70">
        <v>346</v>
      </c>
      <c r="L42" s="20">
        <v>0</v>
      </c>
      <c r="M42" s="63">
        <f t="shared" si="2"/>
        <v>0</v>
      </c>
      <c r="N42" s="17" t="s">
        <v>16</v>
      </c>
      <c r="O42" s="18"/>
      <c r="P42" s="23">
        <f t="shared" si="3"/>
        <v>0</v>
      </c>
      <c r="Q42" s="88">
        <v>6.3</v>
      </c>
      <c r="R42" s="43">
        <f t="shared" si="4"/>
        <v>2179.7999999999997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+'4'!J43</f>
        <v>162</v>
      </c>
      <c r="F43" s="69"/>
      <c r="G43" s="46">
        <f t="shared" si="0"/>
        <v>162</v>
      </c>
      <c r="H43" s="76">
        <v>0</v>
      </c>
      <c r="I43" s="74">
        <v>0</v>
      </c>
      <c r="J43" s="46">
        <f t="shared" si="1"/>
        <v>152</v>
      </c>
      <c r="K43" s="70">
        <v>10</v>
      </c>
      <c r="L43" s="22">
        <v>10</v>
      </c>
      <c r="M43" s="63">
        <f>+L43*K43</f>
        <v>100</v>
      </c>
      <c r="N43" s="17" t="s">
        <v>16</v>
      </c>
      <c r="O43" s="18"/>
      <c r="P43" s="161">
        <f>SUM(M43-O43)</f>
        <v>100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+'4'!J44</f>
        <v>4</v>
      </c>
      <c r="F44" s="69">
        <v>5</v>
      </c>
      <c r="G44" s="46">
        <f t="shared" si="0"/>
        <v>9</v>
      </c>
      <c r="H44" s="76">
        <v>0</v>
      </c>
      <c r="I44" s="74">
        <v>0</v>
      </c>
      <c r="J44" s="46">
        <f t="shared" si="1"/>
        <v>7</v>
      </c>
      <c r="K44" s="70">
        <v>2</v>
      </c>
      <c r="L44" s="20">
        <v>150</v>
      </c>
      <c r="M44" s="63">
        <f t="shared" si="2"/>
        <v>300</v>
      </c>
      <c r="N44" s="17" t="s">
        <v>16</v>
      </c>
      <c r="O44" s="18"/>
      <c r="P44" s="161">
        <f t="shared" si="3"/>
        <v>300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+'4'!J45</f>
        <v>5</v>
      </c>
      <c r="F45" s="69"/>
      <c r="G45" s="46">
        <f t="shared" si="0"/>
        <v>5</v>
      </c>
      <c r="H45" s="76">
        <v>0</v>
      </c>
      <c r="I45" s="74">
        <v>0</v>
      </c>
      <c r="J45" s="46">
        <f t="shared" si="1"/>
        <v>5</v>
      </c>
      <c r="K45" s="70"/>
      <c r="L45" s="15">
        <v>150</v>
      </c>
      <c r="M45" s="63">
        <f t="shared" si="2"/>
        <v>0</v>
      </c>
      <c r="N45" s="17" t="s">
        <v>16</v>
      </c>
      <c r="O45" s="18"/>
      <c r="P45" s="23">
        <f t="shared" si="3"/>
        <v>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+'4'!J46</f>
        <v>0</v>
      </c>
      <c r="F46" s="69">
        <v>10</v>
      </c>
      <c r="G46" s="46">
        <f t="shared" si="0"/>
        <v>10</v>
      </c>
      <c r="H46" s="76">
        <v>0</v>
      </c>
      <c r="I46" s="74">
        <v>0</v>
      </c>
      <c r="J46" s="46">
        <f t="shared" si="1"/>
        <v>2</v>
      </c>
      <c r="K46" s="70">
        <v>8</v>
      </c>
      <c r="L46" s="15">
        <v>25</v>
      </c>
      <c r="M46" s="63">
        <f t="shared" si="2"/>
        <v>200</v>
      </c>
      <c r="N46" s="17" t="s">
        <v>16</v>
      </c>
      <c r="O46" s="18"/>
      <c r="P46" s="161">
        <f t="shared" si="3"/>
        <v>200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+'4'!J47</f>
        <v>0</v>
      </c>
      <c r="F47" s="69">
        <v>16</v>
      </c>
      <c r="G47" s="46">
        <f t="shared" si="0"/>
        <v>16</v>
      </c>
      <c r="H47" s="76">
        <v>0</v>
      </c>
      <c r="I47" s="74">
        <v>0</v>
      </c>
      <c r="J47" s="46">
        <f t="shared" si="1"/>
        <v>6</v>
      </c>
      <c r="K47" s="70">
        <v>10</v>
      </c>
      <c r="L47" s="15">
        <v>35</v>
      </c>
      <c r="M47" s="63">
        <f t="shared" si="2"/>
        <v>350</v>
      </c>
      <c r="N47" s="17" t="s">
        <v>16</v>
      </c>
      <c r="O47" s="18"/>
      <c r="P47" s="161">
        <f t="shared" si="3"/>
        <v>350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+'4'!J48</f>
        <v>272</v>
      </c>
      <c r="F48" s="69"/>
      <c r="G48" s="46">
        <f t="shared" si="0"/>
        <v>272</v>
      </c>
      <c r="H48" s="76">
        <v>0</v>
      </c>
      <c r="I48" s="74">
        <v>0</v>
      </c>
      <c r="J48" s="46">
        <f t="shared" si="1"/>
        <v>181</v>
      </c>
      <c r="K48" s="70">
        <v>91</v>
      </c>
      <c r="L48" s="15">
        <v>19</v>
      </c>
      <c r="M48" s="63">
        <f>+L48*K48</f>
        <v>1729</v>
      </c>
      <c r="N48" s="17" t="s">
        <v>16</v>
      </c>
      <c r="O48" s="18">
        <v>247</v>
      </c>
      <c r="P48" s="161">
        <f>SUM(M48-O48)</f>
        <v>1482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+'4'!J49</f>
        <v>85</v>
      </c>
      <c r="F49" s="69"/>
      <c r="G49" s="46">
        <f t="shared" si="0"/>
        <v>85</v>
      </c>
      <c r="H49" s="76">
        <v>0</v>
      </c>
      <c r="I49" s="74">
        <v>0</v>
      </c>
      <c r="J49" s="46">
        <f t="shared" si="1"/>
        <v>46</v>
      </c>
      <c r="K49" s="70">
        <v>39</v>
      </c>
      <c r="L49" s="15">
        <v>25</v>
      </c>
      <c r="M49" s="63">
        <f>+L49*K49</f>
        <v>975</v>
      </c>
      <c r="N49" s="17" t="s">
        <v>16</v>
      </c>
      <c r="O49" s="18">
        <v>100</v>
      </c>
      <c r="P49" s="161">
        <f>SUM(M49-O49)</f>
        <v>875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+'4'!J50</f>
        <v>3</v>
      </c>
      <c r="F50" s="69">
        <v>40</v>
      </c>
      <c r="G50" s="46">
        <f t="shared" si="0"/>
        <v>43</v>
      </c>
      <c r="H50" s="76">
        <v>0</v>
      </c>
      <c r="I50" s="74">
        <v>0</v>
      </c>
      <c r="J50" s="46">
        <f t="shared" si="1"/>
        <v>18</v>
      </c>
      <c r="K50" s="70">
        <v>25</v>
      </c>
      <c r="L50" s="15">
        <v>25</v>
      </c>
      <c r="M50" s="63">
        <f t="shared" si="2"/>
        <v>625</v>
      </c>
      <c r="N50" s="17" t="s">
        <v>16</v>
      </c>
      <c r="O50" s="18">
        <v>100</v>
      </c>
      <c r="P50" s="161">
        <f t="shared" si="3"/>
        <v>525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+'4'!J51</f>
        <v>1</v>
      </c>
      <c r="F51" s="69"/>
      <c r="G51" s="46">
        <f t="shared" si="0"/>
        <v>1</v>
      </c>
      <c r="H51" s="76">
        <v>0</v>
      </c>
      <c r="I51" s="74">
        <v>0</v>
      </c>
      <c r="J51" s="46">
        <f t="shared" si="1"/>
        <v>1</v>
      </c>
      <c r="K51" s="70"/>
      <c r="L51" s="20">
        <v>25</v>
      </c>
      <c r="M51" s="63">
        <f>+L51*K51</f>
        <v>0</v>
      </c>
      <c r="N51" s="17" t="s">
        <v>16</v>
      </c>
      <c r="O51" s="18"/>
      <c r="P51" s="23">
        <f>SUM(M51-O51)</f>
        <v>0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+'4'!J52</f>
        <v>2</v>
      </c>
      <c r="F52" s="69">
        <v>14</v>
      </c>
      <c r="G52" s="46">
        <f t="shared" si="0"/>
        <v>16</v>
      </c>
      <c r="H52" s="76">
        <v>0</v>
      </c>
      <c r="I52" s="74">
        <v>0</v>
      </c>
      <c r="J52" s="46">
        <f t="shared" si="1"/>
        <v>13</v>
      </c>
      <c r="K52" s="70">
        <v>3</v>
      </c>
      <c r="L52" s="20">
        <v>35</v>
      </c>
      <c r="M52" s="63">
        <f>+L52*K52</f>
        <v>105</v>
      </c>
      <c r="N52" s="17" t="s">
        <v>16</v>
      </c>
      <c r="O52" s="18"/>
      <c r="P52" s="161">
        <f>SUM(M52-O52)</f>
        <v>105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+'4'!J53</f>
        <v>40</v>
      </c>
      <c r="F53" s="69"/>
      <c r="G53" s="46">
        <f t="shared" si="0"/>
        <v>40</v>
      </c>
      <c r="H53" s="76">
        <v>0</v>
      </c>
      <c r="I53" s="74">
        <v>1</v>
      </c>
      <c r="J53" s="46">
        <f t="shared" si="1"/>
        <v>36</v>
      </c>
      <c r="K53" s="70">
        <v>3</v>
      </c>
      <c r="L53" s="15">
        <v>35</v>
      </c>
      <c r="M53" s="63">
        <f>+L53*K53</f>
        <v>105</v>
      </c>
      <c r="N53" s="17" t="s">
        <v>1453</v>
      </c>
      <c r="O53" s="18"/>
      <c r="P53" s="161">
        <f>SUM(M53-O53)</f>
        <v>105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+'4'!J54</f>
        <v>5</v>
      </c>
      <c r="F54" s="69"/>
      <c r="G54" s="46">
        <f t="shared" si="0"/>
        <v>5</v>
      </c>
      <c r="H54" s="76">
        <v>0</v>
      </c>
      <c r="I54" s="74">
        <v>0</v>
      </c>
      <c r="J54" s="46">
        <f t="shared" si="1"/>
        <v>1</v>
      </c>
      <c r="K54" s="70">
        <v>4</v>
      </c>
      <c r="L54" s="15">
        <v>35</v>
      </c>
      <c r="M54" s="63">
        <f t="shared" si="2"/>
        <v>140</v>
      </c>
      <c r="N54" s="17" t="s">
        <v>16</v>
      </c>
      <c r="O54" s="18"/>
      <c r="P54" s="161">
        <f t="shared" si="3"/>
        <v>140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+'4'!J55</f>
        <v>0</v>
      </c>
      <c r="F55" s="69">
        <v>15</v>
      </c>
      <c r="G55" s="46">
        <f t="shared" si="0"/>
        <v>15</v>
      </c>
      <c r="H55" s="76">
        <v>0</v>
      </c>
      <c r="I55" s="74">
        <v>0</v>
      </c>
      <c r="J55" s="46">
        <f t="shared" si="1"/>
        <v>14</v>
      </c>
      <c r="K55" s="70">
        <v>1</v>
      </c>
      <c r="L55" s="15">
        <v>120</v>
      </c>
      <c r="M55" s="63">
        <f>+L55*K55</f>
        <v>120</v>
      </c>
      <c r="N55" s="17" t="s">
        <v>16</v>
      </c>
      <c r="O55" s="18"/>
      <c r="P55" s="161">
        <f>SUM(M55-O55)</f>
        <v>120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+'4'!J56</f>
        <v>3</v>
      </c>
      <c r="F56" s="69">
        <v>15</v>
      </c>
      <c r="G56" s="46">
        <f t="shared" si="0"/>
        <v>18</v>
      </c>
      <c r="H56" s="76">
        <v>0</v>
      </c>
      <c r="I56" s="74">
        <v>0</v>
      </c>
      <c r="J56" s="46">
        <f t="shared" si="1"/>
        <v>15</v>
      </c>
      <c r="K56" s="70">
        <v>3</v>
      </c>
      <c r="L56" s="15">
        <v>120</v>
      </c>
      <c r="M56" s="63">
        <f>+L56*K56</f>
        <v>360</v>
      </c>
      <c r="N56" s="17" t="s">
        <v>16</v>
      </c>
      <c r="O56" s="18"/>
      <c r="P56" s="161">
        <f>SUM(M56-O56)</f>
        <v>360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+'4'!J57</f>
        <v>4</v>
      </c>
      <c r="F57" s="69">
        <v>15</v>
      </c>
      <c r="G57" s="46">
        <f t="shared" si="0"/>
        <v>19</v>
      </c>
      <c r="H57" s="76">
        <v>1</v>
      </c>
      <c r="I57" s="74">
        <v>0</v>
      </c>
      <c r="J57" s="46">
        <f t="shared" si="1"/>
        <v>16</v>
      </c>
      <c r="K57" s="70">
        <v>2</v>
      </c>
      <c r="L57" s="20">
        <v>120</v>
      </c>
      <c r="M57" s="63">
        <f t="shared" si="2"/>
        <v>240</v>
      </c>
      <c r="N57" s="17" t="s">
        <v>1451</v>
      </c>
      <c r="O57" s="18"/>
      <c r="P57" s="161">
        <f t="shared" si="3"/>
        <v>240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+'4'!J58</f>
        <v>9</v>
      </c>
      <c r="F58" s="69">
        <v>15</v>
      </c>
      <c r="G58" s="46">
        <f t="shared" si="0"/>
        <v>24</v>
      </c>
      <c r="H58" s="76">
        <v>0</v>
      </c>
      <c r="I58" s="74">
        <v>0</v>
      </c>
      <c r="J58" s="46">
        <f t="shared" si="1"/>
        <v>22</v>
      </c>
      <c r="K58" s="70">
        <v>2</v>
      </c>
      <c r="L58" s="20">
        <v>120</v>
      </c>
      <c r="M58" s="63">
        <f t="shared" si="2"/>
        <v>240</v>
      </c>
      <c r="N58" s="17" t="s">
        <v>16</v>
      </c>
      <c r="O58" s="18"/>
      <c r="P58" s="161">
        <f t="shared" si="3"/>
        <v>240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/>
      <c r="D59" s="10"/>
      <c r="E59" s="62">
        <f>+'4'!J59</f>
        <v>0</v>
      </c>
      <c r="F59" s="69"/>
      <c r="G59" s="46"/>
      <c r="H59" s="76"/>
      <c r="I59" s="74"/>
      <c r="J59" s="46"/>
      <c r="K59" s="70"/>
      <c r="L59" s="20"/>
      <c r="M59" s="63"/>
      <c r="N59" s="17"/>
      <c r="O59" s="18"/>
      <c r="P59" s="23"/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+'4'!J60</f>
        <v>0</v>
      </c>
      <c r="F60" s="69"/>
      <c r="G60" s="46"/>
      <c r="H60" s="76"/>
      <c r="I60" s="74"/>
      <c r="J60" s="46"/>
      <c r="K60" s="70"/>
      <c r="L60" s="20"/>
      <c r="M60" s="63"/>
      <c r="N60" s="17"/>
      <c r="O60" s="18"/>
      <c r="P60" s="23"/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+'4'!J61</f>
        <v>0</v>
      </c>
      <c r="F61" s="69"/>
      <c r="G61" s="46"/>
      <c r="H61" s="76"/>
      <c r="I61" s="74"/>
      <c r="J61" s="46"/>
      <c r="K61" s="70"/>
      <c r="L61" s="20"/>
      <c r="M61" s="63"/>
      <c r="N61" s="17"/>
      <c r="O61" s="18"/>
      <c r="P61" s="23"/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/>
      <c r="F62" s="69"/>
      <c r="G62" s="46"/>
      <c r="H62" s="76"/>
      <c r="I62" s="74"/>
      <c r="J62" s="46"/>
      <c r="K62" s="70"/>
      <c r="L62" s="20"/>
      <c r="M62" s="63"/>
      <c r="N62" s="17"/>
      <c r="O62" s="18"/>
      <c r="P62" s="23"/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/>
      <c r="F63" s="69"/>
      <c r="G63" s="46"/>
      <c r="H63" s="76"/>
      <c r="I63" s="74"/>
      <c r="J63" s="46"/>
      <c r="K63" s="70"/>
      <c r="L63" s="20"/>
      <c r="M63" s="63"/>
      <c r="N63" s="17"/>
      <c r="O63" s="18"/>
      <c r="P63" s="23"/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/>
      <c r="F64" s="69"/>
      <c r="G64" s="46"/>
      <c r="H64" s="76"/>
      <c r="I64" s="74"/>
      <c r="J64" s="46"/>
      <c r="K64" s="70"/>
      <c r="L64" s="20"/>
      <c r="M64" s="63"/>
      <c r="N64" s="17"/>
      <c r="O64" s="18"/>
      <c r="P64" s="23"/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/>
      <c r="F65" s="69"/>
      <c r="G65" s="46"/>
      <c r="H65" s="76"/>
      <c r="I65" s="74"/>
      <c r="J65" s="46"/>
      <c r="K65" s="70"/>
      <c r="L65" s="20"/>
      <c r="M65" s="63"/>
      <c r="N65" s="17"/>
      <c r="O65" s="18"/>
      <c r="P65" s="23"/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11165.249999999998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31734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>
        <v>15</v>
      </c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9969</v>
      </c>
      <c r="O70" s="2">
        <v>9969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>
        <v>1428</v>
      </c>
      <c r="O72" s="2" t="s">
        <v>1452</v>
      </c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823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19499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19499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0</v>
      </c>
    </row>
    <row r="77" spans="1:19" ht="25.5" x14ac:dyDescent="0.55000000000000004">
      <c r="J77" s="2"/>
      <c r="L77" s="148" t="s">
        <v>211</v>
      </c>
      <c r="M77" s="149"/>
      <c r="N77" s="33">
        <f>+N75-N74</f>
        <v>0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484D-2391-4E8C-979C-CED095C7A619}">
  <sheetPr filterMode="1">
    <tabColor rgb="FFFFCCFF"/>
    <pageSetUpPr fitToPage="1"/>
  </sheetPr>
  <dimension ref="A1:S152"/>
  <sheetViews>
    <sheetView zoomScale="85" zoomScaleNormal="85" workbookViewId="0">
      <pane xSplit="10" ySplit="4" topLeftCell="K5" activePane="bottomRight" state="frozen"/>
      <selection activeCell="A66" sqref="A66:XFD74"/>
      <selection pane="topRight" activeCell="A66" sqref="A66:XFD74"/>
      <selection pane="bottomLeft" activeCell="A66" sqref="A66:XFD74"/>
      <selection pane="bottomRight" activeCell="P76" sqref="P76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+'5'!J5</f>
        <v>43</v>
      </c>
      <c r="F5" s="69"/>
      <c r="G5" s="46">
        <f t="shared" ref="G5:G58" si="0">E5+F5</f>
        <v>43</v>
      </c>
      <c r="H5" s="76">
        <v>0</v>
      </c>
      <c r="I5" s="74">
        <v>0</v>
      </c>
      <c r="J5" s="46">
        <f t="shared" ref="J5:J58" si="1">+G5-H5-K5-I5</f>
        <v>13</v>
      </c>
      <c r="K5" s="70">
        <v>30</v>
      </c>
      <c r="L5" s="15">
        <v>50</v>
      </c>
      <c r="M5" s="63">
        <f>+L5*K5</f>
        <v>1500</v>
      </c>
      <c r="N5" s="17" t="s">
        <v>16</v>
      </c>
      <c r="O5" s="18"/>
      <c r="P5" s="161">
        <f>SUM(M5-O5)</f>
        <v>1500</v>
      </c>
      <c r="Q5" s="88">
        <v>18.97</v>
      </c>
      <c r="R5" s="43">
        <f>+K5*Q5</f>
        <v>569.09999999999991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+'5'!J6</f>
        <v>20</v>
      </c>
      <c r="F6" s="69">
        <v>100</v>
      </c>
      <c r="G6" s="46">
        <f t="shared" si="0"/>
        <v>120</v>
      </c>
      <c r="H6" s="76">
        <v>0</v>
      </c>
      <c r="I6" s="74">
        <v>0</v>
      </c>
      <c r="J6" s="46">
        <f t="shared" si="1"/>
        <v>82</v>
      </c>
      <c r="K6" s="70">
        <v>38</v>
      </c>
      <c r="L6" s="15">
        <v>100</v>
      </c>
      <c r="M6" s="63">
        <f t="shared" ref="M6:M58" si="2">+L6*K6</f>
        <v>3800</v>
      </c>
      <c r="N6" s="17" t="s">
        <v>16</v>
      </c>
      <c r="O6" s="18"/>
      <c r="P6" s="161">
        <f t="shared" ref="P6:P58" si="3">SUM(M6-O6)</f>
        <v>3800</v>
      </c>
      <c r="Q6" s="88">
        <v>36.43</v>
      </c>
      <c r="R6" s="43">
        <f t="shared" ref="R6:R65" si="4">+K6*Q6</f>
        <v>1384.34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+'5'!J7</f>
        <v>38</v>
      </c>
      <c r="F7" s="69">
        <v>50</v>
      </c>
      <c r="G7" s="46">
        <f t="shared" si="0"/>
        <v>88</v>
      </c>
      <c r="H7" s="76">
        <v>0</v>
      </c>
      <c r="I7" s="74">
        <v>0</v>
      </c>
      <c r="J7" s="46">
        <f t="shared" si="1"/>
        <v>79</v>
      </c>
      <c r="K7" s="70">
        <v>9</v>
      </c>
      <c r="L7" s="15">
        <v>50</v>
      </c>
      <c r="M7" s="63">
        <f t="shared" si="2"/>
        <v>450</v>
      </c>
      <c r="N7" s="17" t="s">
        <v>1437</v>
      </c>
      <c r="O7" s="18">
        <v>50</v>
      </c>
      <c r="P7" s="161">
        <f t="shared" si="3"/>
        <v>400</v>
      </c>
      <c r="Q7" s="88">
        <v>19.36</v>
      </c>
      <c r="R7" s="43">
        <f t="shared" si="4"/>
        <v>174.24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+'5'!J8</f>
        <v>7</v>
      </c>
      <c r="F8" s="69"/>
      <c r="G8" s="46">
        <f t="shared" si="0"/>
        <v>7</v>
      </c>
      <c r="H8" s="76">
        <v>0</v>
      </c>
      <c r="I8" s="74">
        <v>0</v>
      </c>
      <c r="J8" s="46">
        <f t="shared" si="1"/>
        <v>0</v>
      </c>
      <c r="K8" s="70">
        <v>7</v>
      </c>
      <c r="L8" s="15">
        <v>65</v>
      </c>
      <c r="M8" s="63">
        <f t="shared" si="2"/>
        <v>455</v>
      </c>
      <c r="N8" s="17" t="s">
        <v>16</v>
      </c>
      <c r="O8" s="18"/>
      <c r="P8" s="161">
        <f t="shared" si="3"/>
        <v>455</v>
      </c>
      <c r="Q8" s="88">
        <v>22.25</v>
      </c>
      <c r="R8" s="43">
        <f t="shared" si="4"/>
        <v>155.75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+'5'!J9</f>
        <v>0</v>
      </c>
      <c r="F9" s="69"/>
      <c r="G9" s="46">
        <f t="shared" si="0"/>
        <v>0</v>
      </c>
      <c r="H9" s="76">
        <v>0</v>
      </c>
      <c r="I9" s="74">
        <v>0</v>
      </c>
      <c r="J9" s="46">
        <f t="shared" si="1"/>
        <v>0</v>
      </c>
      <c r="K9" s="70"/>
      <c r="L9" s="15">
        <v>85</v>
      </c>
      <c r="M9" s="63">
        <f t="shared" si="2"/>
        <v>0</v>
      </c>
      <c r="N9" s="17" t="s">
        <v>16</v>
      </c>
      <c r="O9" s="18"/>
      <c r="P9" s="23">
        <f t="shared" si="3"/>
        <v>0</v>
      </c>
      <c r="Q9" s="88">
        <v>22.65</v>
      </c>
      <c r="R9" s="43">
        <f t="shared" si="4"/>
        <v>0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+'5'!J10</f>
        <v>63</v>
      </c>
      <c r="F10" s="69"/>
      <c r="G10" s="46">
        <f t="shared" si="0"/>
        <v>63</v>
      </c>
      <c r="H10" s="76">
        <v>0</v>
      </c>
      <c r="I10" s="74">
        <v>0</v>
      </c>
      <c r="J10" s="46">
        <f t="shared" si="1"/>
        <v>21</v>
      </c>
      <c r="K10" s="70">
        <v>42</v>
      </c>
      <c r="L10" s="15">
        <v>100</v>
      </c>
      <c r="M10" s="63">
        <f t="shared" si="2"/>
        <v>4200</v>
      </c>
      <c r="N10" s="17" t="s">
        <v>16</v>
      </c>
      <c r="O10" s="18"/>
      <c r="P10" s="161">
        <f t="shared" si="3"/>
        <v>4200</v>
      </c>
      <c r="Q10" s="88">
        <v>27.98</v>
      </c>
      <c r="R10" s="43">
        <f t="shared" si="4"/>
        <v>1175.1600000000001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+'5'!J11</f>
        <v>4</v>
      </c>
      <c r="F11" s="69">
        <v>60</v>
      </c>
      <c r="G11" s="46">
        <f t="shared" si="0"/>
        <v>64</v>
      </c>
      <c r="H11" s="76">
        <v>0</v>
      </c>
      <c r="I11" s="74">
        <v>0</v>
      </c>
      <c r="J11" s="46">
        <f t="shared" si="1"/>
        <v>46</v>
      </c>
      <c r="K11" s="70">
        <v>18</v>
      </c>
      <c r="L11" s="15">
        <v>100</v>
      </c>
      <c r="M11" s="63">
        <f t="shared" si="2"/>
        <v>1800</v>
      </c>
      <c r="N11" s="17" t="s">
        <v>16</v>
      </c>
      <c r="O11" s="18"/>
      <c r="P11" s="161">
        <f t="shared" si="3"/>
        <v>1800</v>
      </c>
      <c r="Q11" s="88">
        <v>34.64</v>
      </c>
      <c r="R11" s="43">
        <f t="shared" si="4"/>
        <v>623.52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+'5'!J12</f>
        <v>0</v>
      </c>
      <c r="F12" s="69">
        <v>9</v>
      </c>
      <c r="G12" s="46">
        <f t="shared" si="0"/>
        <v>9</v>
      </c>
      <c r="H12" s="76">
        <v>0</v>
      </c>
      <c r="I12" s="74">
        <v>0</v>
      </c>
      <c r="J12" s="46">
        <f t="shared" si="1"/>
        <v>0</v>
      </c>
      <c r="K12" s="70">
        <v>9</v>
      </c>
      <c r="L12" s="20">
        <v>130</v>
      </c>
      <c r="M12" s="63">
        <f t="shared" si="2"/>
        <v>1170</v>
      </c>
      <c r="N12" s="17" t="s">
        <v>16</v>
      </c>
      <c r="O12" s="18"/>
      <c r="P12" s="161">
        <f t="shared" si="3"/>
        <v>1170</v>
      </c>
      <c r="Q12" s="88">
        <v>46.37</v>
      </c>
      <c r="R12" s="43">
        <f t="shared" si="4"/>
        <v>417.33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+'5'!J13</f>
        <v>0</v>
      </c>
      <c r="F13" s="69"/>
      <c r="G13" s="46">
        <f t="shared" si="0"/>
        <v>0</v>
      </c>
      <c r="H13" s="76">
        <v>0</v>
      </c>
      <c r="I13" s="74">
        <v>0</v>
      </c>
      <c r="J13" s="46">
        <f t="shared" si="1"/>
        <v>0</v>
      </c>
      <c r="K13" s="70"/>
      <c r="L13" s="15">
        <v>130</v>
      </c>
      <c r="M13" s="63">
        <f t="shared" si="2"/>
        <v>0</v>
      </c>
      <c r="N13" s="17" t="s">
        <v>16</v>
      </c>
      <c r="O13" s="18"/>
      <c r="P13" s="23">
        <f t="shared" si="3"/>
        <v>0</v>
      </c>
      <c r="Q13" s="88">
        <v>38.9</v>
      </c>
      <c r="R13" s="43">
        <f t="shared" si="4"/>
        <v>0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+'5'!J14</f>
        <v>1</v>
      </c>
      <c r="F14" s="69">
        <v>15</v>
      </c>
      <c r="G14" s="46">
        <f t="shared" si="0"/>
        <v>16</v>
      </c>
      <c r="H14" s="76">
        <v>0</v>
      </c>
      <c r="I14" s="74">
        <v>0</v>
      </c>
      <c r="J14" s="46">
        <f t="shared" si="1"/>
        <v>4</v>
      </c>
      <c r="K14" s="70">
        <v>12</v>
      </c>
      <c r="L14" s="15">
        <v>50</v>
      </c>
      <c r="M14" s="63">
        <f t="shared" si="2"/>
        <v>600</v>
      </c>
      <c r="N14" s="17" t="s">
        <v>16</v>
      </c>
      <c r="O14" s="18"/>
      <c r="P14" s="161">
        <f t="shared" si="3"/>
        <v>600</v>
      </c>
      <c r="Q14" s="88">
        <v>27.84</v>
      </c>
      <c r="R14" s="43">
        <f t="shared" si="4"/>
        <v>334.08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+'5'!J15</f>
        <v>15</v>
      </c>
      <c r="F15" s="69"/>
      <c r="G15" s="46">
        <f t="shared" si="0"/>
        <v>15</v>
      </c>
      <c r="H15" s="76">
        <v>0</v>
      </c>
      <c r="I15" s="74">
        <v>0</v>
      </c>
      <c r="J15" s="46">
        <f t="shared" si="1"/>
        <v>7</v>
      </c>
      <c r="K15" s="70">
        <v>8</v>
      </c>
      <c r="L15" s="15">
        <v>50</v>
      </c>
      <c r="M15" s="63">
        <f t="shared" si="2"/>
        <v>400</v>
      </c>
      <c r="N15" s="17" t="s">
        <v>16</v>
      </c>
      <c r="O15" s="18"/>
      <c r="P15" s="161">
        <f t="shared" si="3"/>
        <v>400</v>
      </c>
      <c r="Q15" s="88">
        <v>27.12</v>
      </c>
      <c r="R15" s="43">
        <f t="shared" si="4"/>
        <v>216.96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+'5'!J16</f>
        <v>1</v>
      </c>
      <c r="F16" s="69">
        <v>19</v>
      </c>
      <c r="G16" s="46">
        <f t="shared" si="0"/>
        <v>20</v>
      </c>
      <c r="H16" s="76">
        <v>0</v>
      </c>
      <c r="I16" s="74">
        <v>0</v>
      </c>
      <c r="J16" s="46">
        <f t="shared" si="1"/>
        <v>16</v>
      </c>
      <c r="K16" s="70">
        <v>4</v>
      </c>
      <c r="L16" s="20">
        <v>50</v>
      </c>
      <c r="M16" s="63">
        <f t="shared" si="2"/>
        <v>200</v>
      </c>
      <c r="N16" s="17" t="s">
        <v>16</v>
      </c>
      <c r="O16" s="18"/>
      <c r="P16" s="161">
        <f t="shared" si="3"/>
        <v>200</v>
      </c>
      <c r="Q16" s="88">
        <v>15.42</v>
      </c>
      <c r="R16" s="43">
        <f t="shared" si="4"/>
        <v>61.68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+'5'!J17</f>
        <v>13</v>
      </c>
      <c r="F17" s="69"/>
      <c r="G17" s="46">
        <f t="shared" si="0"/>
        <v>13</v>
      </c>
      <c r="H17" s="76">
        <v>0</v>
      </c>
      <c r="I17" s="74">
        <v>0</v>
      </c>
      <c r="J17" s="46">
        <f t="shared" si="1"/>
        <v>2</v>
      </c>
      <c r="K17" s="70">
        <v>11</v>
      </c>
      <c r="L17" s="15">
        <v>50</v>
      </c>
      <c r="M17" s="63">
        <f t="shared" si="2"/>
        <v>550</v>
      </c>
      <c r="N17" s="17" t="s">
        <v>16</v>
      </c>
      <c r="O17" s="18"/>
      <c r="P17" s="161">
        <f t="shared" si="3"/>
        <v>550</v>
      </c>
      <c r="Q17" s="88">
        <v>17.78</v>
      </c>
      <c r="R17" s="43">
        <f t="shared" si="4"/>
        <v>195.58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+'5'!J18</f>
        <v>8</v>
      </c>
      <c r="F18" s="69"/>
      <c r="G18" s="46">
        <f t="shared" si="0"/>
        <v>8</v>
      </c>
      <c r="H18" s="76">
        <v>0</v>
      </c>
      <c r="I18" s="74">
        <v>0</v>
      </c>
      <c r="J18" s="46">
        <f t="shared" si="1"/>
        <v>0</v>
      </c>
      <c r="K18" s="70">
        <v>8</v>
      </c>
      <c r="L18" s="20">
        <v>50</v>
      </c>
      <c r="M18" s="63">
        <f t="shared" si="2"/>
        <v>400</v>
      </c>
      <c r="N18" s="17" t="s">
        <v>16</v>
      </c>
      <c r="O18" s="18"/>
      <c r="P18" s="161">
        <f t="shared" si="3"/>
        <v>400</v>
      </c>
      <c r="Q18" s="88">
        <v>17.989999999999998</v>
      </c>
      <c r="R18" s="43">
        <f t="shared" si="4"/>
        <v>143.91999999999999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+'5'!J19</f>
        <v>17</v>
      </c>
      <c r="F19" s="69"/>
      <c r="G19" s="46">
        <f t="shared" si="0"/>
        <v>17</v>
      </c>
      <c r="H19" s="76">
        <v>0</v>
      </c>
      <c r="I19" s="74">
        <v>0</v>
      </c>
      <c r="J19" s="46">
        <f t="shared" si="1"/>
        <v>12</v>
      </c>
      <c r="K19" s="70">
        <v>5</v>
      </c>
      <c r="L19" s="15">
        <v>50</v>
      </c>
      <c r="M19" s="63">
        <f t="shared" si="2"/>
        <v>250</v>
      </c>
      <c r="N19" s="17" t="s">
        <v>16</v>
      </c>
      <c r="O19" s="18"/>
      <c r="P19" s="161">
        <f t="shared" si="3"/>
        <v>250</v>
      </c>
      <c r="Q19" s="88">
        <v>20.059999999999999</v>
      </c>
      <c r="R19" s="43">
        <f t="shared" si="4"/>
        <v>100.3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+'5'!J20</f>
        <v>6</v>
      </c>
      <c r="F20" s="69"/>
      <c r="G20" s="46">
        <f t="shared" si="0"/>
        <v>6</v>
      </c>
      <c r="H20" s="76">
        <v>0</v>
      </c>
      <c r="I20" s="74">
        <v>0</v>
      </c>
      <c r="J20" s="46">
        <f t="shared" si="1"/>
        <v>0</v>
      </c>
      <c r="K20" s="70">
        <v>6</v>
      </c>
      <c r="L20" s="15">
        <v>50</v>
      </c>
      <c r="M20" s="63">
        <f t="shared" si="2"/>
        <v>300</v>
      </c>
      <c r="N20" s="17" t="s">
        <v>16</v>
      </c>
      <c r="O20" s="18"/>
      <c r="P20" s="161">
        <f t="shared" si="3"/>
        <v>300</v>
      </c>
      <c r="Q20" s="88">
        <v>20.32</v>
      </c>
      <c r="R20" s="43">
        <f t="shared" si="4"/>
        <v>121.92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+'5'!J21</f>
        <v>5</v>
      </c>
      <c r="F21" s="69">
        <v>20</v>
      </c>
      <c r="G21" s="46">
        <f t="shared" si="0"/>
        <v>25</v>
      </c>
      <c r="H21" s="76">
        <v>0</v>
      </c>
      <c r="I21" s="74">
        <v>0</v>
      </c>
      <c r="J21" s="46">
        <f t="shared" si="1"/>
        <v>17</v>
      </c>
      <c r="K21" s="70">
        <v>8</v>
      </c>
      <c r="L21" s="15">
        <v>50</v>
      </c>
      <c r="M21" s="63">
        <f t="shared" si="2"/>
        <v>400</v>
      </c>
      <c r="N21" s="17" t="s">
        <v>16</v>
      </c>
      <c r="O21" s="18"/>
      <c r="P21" s="161">
        <f t="shared" si="3"/>
        <v>400</v>
      </c>
      <c r="Q21" s="88">
        <v>16.37</v>
      </c>
      <c r="R21" s="43">
        <f t="shared" si="4"/>
        <v>130.96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+'5'!J22</f>
        <v>10</v>
      </c>
      <c r="F22" s="69"/>
      <c r="G22" s="46">
        <f t="shared" si="0"/>
        <v>10</v>
      </c>
      <c r="H22" s="76">
        <v>0</v>
      </c>
      <c r="I22" s="74">
        <v>0</v>
      </c>
      <c r="J22" s="46">
        <f t="shared" si="1"/>
        <v>10</v>
      </c>
      <c r="K22" s="70"/>
      <c r="L22" s="15">
        <v>120</v>
      </c>
      <c r="M22" s="63">
        <f t="shared" si="2"/>
        <v>0</v>
      </c>
      <c r="N22" s="17" t="s">
        <v>16</v>
      </c>
      <c r="O22" s="18"/>
      <c r="P22" s="23">
        <f t="shared" si="3"/>
        <v>0</v>
      </c>
      <c r="Q22" s="88">
        <v>25.99</v>
      </c>
      <c r="R22" s="43">
        <f t="shared" si="4"/>
        <v>0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+'5'!J23</f>
        <v>7</v>
      </c>
      <c r="F23" s="69"/>
      <c r="G23" s="46">
        <f t="shared" si="0"/>
        <v>7</v>
      </c>
      <c r="H23" s="76">
        <v>0</v>
      </c>
      <c r="I23" s="74">
        <v>0</v>
      </c>
      <c r="J23" s="46">
        <f t="shared" si="1"/>
        <v>4</v>
      </c>
      <c r="K23" s="70">
        <v>3</v>
      </c>
      <c r="L23" s="15">
        <v>120</v>
      </c>
      <c r="M23" s="63">
        <f t="shared" si="2"/>
        <v>360</v>
      </c>
      <c r="N23" s="17" t="s">
        <v>16</v>
      </c>
      <c r="O23" s="18">
        <v>60</v>
      </c>
      <c r="P23" s="161">
        <f t="shared" si="3"/>
        <v>300</v>
      </c>
      <c r="Q23" s="88">
        <v>28.31</v>
      </c>
      <c r="R23" s="43">
        <f t="shared" si="4"/>
        <v>84.929999999999993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+'5'!J24</f>
        <v>13</v>
      </c>
      <c r="F24" s="69"/>
      <c r="G24" s="46">
        <f t="shared" si="0"/>
        <v>13</v>
      </c>
      <c r="H24" s="76">
        <v>0</v>
      </c>
      <c r="I24" s="74">
        <v>0</v>
      </c>
      <c r="J24" s="46">
        <f t="shared" si="1"/>
        <v>13</v>
      </c>
      <c r="K24" s="70"/>
      <c r="L24" s="15">
        <v>120</v>
      </c>
      <c r="M24" s="63">
        <f t="shared" si="2"/>
        <v>0</v>
      </c>
      <c r="N24" s="17" t="s">
        <v>16</v>
      </c>
      <c r="O24" s="18"/>
      <c r="P24" s="23">
        <f t="shared" si="3"/>
        <v>0</v>
      </c>
      <c r="Q24" s="88">
        <v>31.07</v>
      </c>
      <c r="R24" s="43">
        <f t="shared" si="4"/>
        <v>0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+'5'!J25</f>
        <v>9</v>
      </c>
      <c r="F25" s="69"/>
      <c r="G25" s="46">
        <f t="shared" si="0"/>
        <v>9</v>
      </c>
      <c r="H25" s="76">
        <v>0</v>
      </c>
      <c r="I25" s="74">
        <v>0</v>
      </c>
      <c r="J25" s="46">
        <f t="shared" si="1"/>
        <v>6</v>
      </c>
      <c r="K25" s="70">
        <v>3</v>
      </c>
      <c r="L25" s="20">
        <v>120</v>
      </c>
      <c r="M25" s="63">
        <f t="shared" si="2"/>
        <v>360</v>
      </c>
      <c r="N25" s="17" t="s">
        <v>16</v>
      </c>
      <c r="O25" s="18">
        <v>60</v>
      </c>
      <c r="P25" s="161">
        <f t="shared" si="3"/>
        <v>300</v>
      </c>
      <c r="Q25" s="88">
        <v>29.83</v>
      </c>
      <c r="R25" s="43">
        <f t="shared" si="4"/>
        <v>89.49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+'5'!J26</f>
        <v>9</v>
      </c>
      <c r="F26" s="69"/>
      <c r="G26" s="46">
        <f t="shared" si="0"/>
        <v>9</v>
      </c>
      <c r="H26" s="76">
        <v>0</v>
      </c>
      <c r="I26" s="74">
        <v>0</v>
      </c>
      <c r="J26" s="46">
        <f t="shared" si="1"/>
        <v>5</v>
      </c>
      <c r="K26" s="70">
        <v>4</v>
      </c>
      <c r="L26" s="15">
        <v>120</v>
      </c>
      <c r="M26" s="63">
        <f t="shared" si="2"/>
        <v>480</v>
      </c>
      <c r="N26" s="17" t="s">
        <v>16</v>
      </c>
      <c r="O26" s="18">
        <v>80</v>
      </c>
      <c r="P26" s="161">
        <f t="shared" si="3"/>
        <v>400</v>
      </c>
      <c r="Q26" s="88">
        <v>26.39</v>
      </c>
      <c r="R26" s="43">
        <f t="shared" si="4"/>
        <v>105.56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+'5'!J27</f>
        <v>9</v>
      </c>
      <c r="F27" s="69"/>
      <c r="G27" s="46">
        <f t="shared" si="0"/>
        <v>9</v>
      </c>
      <c r="H27" s="76">
        <v>0</v>
      </c>
      <c r="I27" s="74">
        <v>0</v>
      </c>
      <c r="J27" s="46">
        <f t="shared" si="1"/>
        <v>7</v>
      </c>
      <c r="K27" s="70">
        <v>2</v>
      </c>
      <c r="L27" s="15">
        <v>50</v>
      </c>
      <c r="M27" s="63">
        <f t="shared" si="2"/>
        <v>100</v>
      </c>
      <c r="N27" s="17" t="s">
        <v>16</v>
      </c>
      <c r="O27" s="18"/>
      <c r="P27" s="161">
        <f t="shared" si="3"/>
        <v>100</v>
      </c>
      <c r="Q27" s="88">
        <v>23.69</v>
      </c>
      <c r="R27" s="43">
        <f t="shared" si="4"/>
        <v>47.38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+'5'!J28</f>
        <v>3</v>
      </c>
      <c r="F28" s="69"/>
      <c r="G28" s="46">
        <f t="shared" si="0"/>
        <v>3</v>
      </c>
      <c r="H28" s="76">
        <v>0</v>
      </c>
      <c r="I28" s="74">
        <v>0</v>
      </c>
      <c r="J28" s="46">
        <f t="shared" si="1"/>
        <v>0</v>
      </c>
      <c r="K28" s="70">
        <v>3</v>
      </c>
      <c r="L28" s="21">
        <v>50</v>
      </c>
      <c r="M28" s="63">
        <f t="shared" si="2"/>
        <v>150</v>
      </c>
      <c r="N28" s="17" t="s">
        <v>16</v>
      </c>
      <c r="O28" s="18"/>
      <c r="P28" s="161">
        <f t="shared" si="3"/>
        <v>150</v>
      </c>
      <c r="Q28" s="88">
        <v>22.49</v>
      </c>
      <c r="R28" s="43">
        <f t="shared" si="4"/>
        <v>67.47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+'5'!J29</f>
        <v>12</v>
      </c>
      <c r="F29" s="69"/>
      <c r="G29" s="46">
        <f t="shared" si="0"/>
        <v>12</v>
      </c>
      <c r="H29" s="76">
        <v>0</v>
      </c>
      <c r="I29" s="74">
        <v>0</v>
      </c>
      <c r="J29" s="46">
        <f t="shared" si="1"/>
        <v>10</v>
      </c>
      <c r="K29" s="70">
        <v>2</v>
      </c>
      <c r="L29" s="21">
        <v>50</v>
      </c>
      <c r="M29" s="63">
        <f t="shared" si="2"/>
        <v>100</v>
      </c>
      <c r="N29" s="17" t="s">
        <v>16</v>
      </c>
      <c r="O29" s="18"/>
      <c r="P29" s="161">
        <f t="shared" si="3"/>
        <v>100</v>
      </c>
      <c r="Q29" s="88">
        <v>17.09</v>
      </c>
      <c r="R29" s="43">
        <f t="shared" si="4"/>
        <v>34.18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+'5'!J30</f>
        <v>14</v>
      </c>
      <c r="F30" s="69"/>
      <c r="G30" s="46">
        <f t="shared" si="0"/>
        <v>14</v>
      </c>
      <c r="H30" s="76">
        <v>0</v>
      </c>
      <c r="I30" s="74">
        <v>0</v>
      </c>
      <c r="J30" s="46">
        <f t="shared" si="1"/>
        <v>3</v>
      </c>
      <c r="K30" s="70">
        <v>11</v>
      </c>
      <c r="L30" s="22">
        <v>50</v>
      </c>
      <c r="M30" s="63">
        <f t="shared" si="2"/>
        <v>550</v>
      </c>
      <c r="N30" s="17" t="s">
        <v>1437</v>
      </c>
      <c r="O30" s="18">
        <v>50</v>
      </c>
      <c r="P30" s="161">
        <f t="shared" si="3"/>
        <v>500</v>
      </c>
      <c r="Q30" s="88">
        <v>25.15</v>
      </c>
      <c r="R30" s="43">
        <f t="shared" si="4"/>
        <v>276.64999999999998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+'5'!J31</f>
        <v>1</v>
      </c>
      <c r="F31" s="69">
        <v>10</v>
      </c>
      <c r="G31" s="46">
        <f t="shared" si="0"/>
        <v>11</v>
      </c>
      <c r="H31" s="76">
        <v>0</v>
      </c>
      <c r="I31" s="74">
        <v>0</v>
      </c>
      <c r="J31" s="46">
        <f t="shared" si="1"/>
        <v>9</v>
      </c>
      <c r="K31" s="70">
        <v>2</v>
      </c>
      <c r="L31" s="22">
        <v>55</v>
      </c>
      <c r="M31" s="63">
        <f t="shared" si="2"/>
        <v>110</v>
      </c>
      <c r="N31" s="17" t="s">
        <v>16</v>
      </c>
      <c r="O31" s="18"/>
      <c r="P31" s="161">
        <f t="shared" si="3"/>
        <v>110</v>
      </c>
      <c r="Q31" s="88">
        <v>14.35</v>
      </c>
      <c r="R31" s="43">
        <f t="shared" si="4"/>
        <v>28.7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+'5'!J32</f>
        <v>4</v>
      </c>
      <c r="F32" s="69">
        <v>10</v>
      </c>
      <c r="G32" s="46">
        <f t="shared" si="0"/>
        <v>14</v>
      </c>
      <c r="H32" s="76">
        <v>0</v>
      </c>
      <c r="I32" s="74">
        <v>0</v>
      </c>
      <c r="J32" s="46">
        <f t="shared" si="1"/>
        <v>12</v>
      </c>
      <c r="K32" s="70">
        <v>2</v>
      </c>
      <c r="L32" s="22">
        <v>55</v>
      </c>
      <c r="M32" s="63">
        <f t="shared" si="2"/>
        <v>110</v>
      </c>
      <c r="N32" s="17" t="s">
        <v>16</v>
      </c>
      <c r="O32" s="18"/>
      <c r="P32" s="161">
        <f t="shared" si="3"/>
        <v>110</v>
      </c>
      <c r="Q32" s="88">
        <v>19.579999999999998</v>
      </c>
      <c r="R32" s="43">
        <f t="shared" si="4"/>
        <v>39.159999999999997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+'5'!J33</f>
        <v>15</v>
      </c>
      <c r="F33" s="69"/>
      <c r="G33" s="46">
        <f t="shared" si="0"/>
        <v>15</v>
      </c>
      <c r="H33" s="76">
        <v>0</v>
      </c>
      <c r="I33" s="74">
        <v>0</v>
      </c>
      <c r="J33" s="46">
        <f t="shared" si="1"/>
        <v>6</v>
      </c>
      <c r="K33" s="70">
        <v>9</v>
      </c>
      <c r="L33" s="22">
        <v>100</v>
      </c>
      <c r="M33" s="63">
        <f t="shared" si="2"/>
        <v>900</v>
      </c>
      <c r="N33" s="17" t="s">
        <v>16</v>
      </c>
      <c r="O33" s="18"/>
      <c r="P33" s="161">
        <f t="shared" si="3"/>
        <v>900</v>
      </c>
      <c r="Q33" s="88">
        <v>23.61</v>
      </c>
      <c r="R33" s="43">
        <f t="shared" si="4"/>
        <v>212.49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+'5'!J34</f>
        <v>12</v>
      </c>
      <c r="F34" s="69"/>
      <c r="G34" s="46">
        <f t="shared" si="0"/>
        <v>12</v>
      </c>
      <c r="H34" s="76">
        <v>0</v>
      </c>
      <c r="I34" s="74">
        <v>0</v>
      </c>
      <c r="J34" s="46">
        <f t="shared" si="1"/>
        <v>11</v>
      </c>
      <c r="K34" s="70">
        <v>1</v>
      </c>
      <c r="L34" s="20">
        <v>55</v>
      </c>
      <c r="M34" s="63">
        <f t="shared" si="2"/>
        <v>55</v>
      </c>
      <c r="N34" s="17" t="s">
        <v>16</v>
      </c>
      <c r="O34" s="18"/>
      <c r="P34" s="161">
        <f t="shared" si="3"/>
        <v>55</v>
      </c>
      <c r="Q34" s="88">
        <v>34.25</v>
      </c>
      <c r="R34" s="43">
        <f t="shared" si="4"/>
        <v>34.25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+'5'!J35</f>
        <v>16</v>
      </c>
      <c r="F35" s="69"/>
      <c r="G35" s="46">
        <f t="shared" si="0"/>
        <v>16</v>
      </c>
      <c r="H35" s="76">
        <v>0</v>
      </c>
      <c r="I35" s="74">
        <v>0</v>
      </c>
      <c r="J35" s="46">
        <f t="shared" si="1"/>
        <v>13</v>
      </c>
      <c r="K35" s="70">
        <v>3</v>
      </c>
      <c r="L35" s="15">
        <v>60</v>
      </c>
      <c r="M35" s="63">
        <f t="shared" si="2"/>
        <v>180</v>
      </c>
      <c r="N35" s="17" t="s">
        <v>16</v>
      </c>
      <c r="O35" s="18"/>
      <c r="P35" s="161">
        <f t="shared" si="3"/>
        <v>180</v>
      </c>
      <c r="Q35" s="88">
        <v>23.61</v>
      </c>
      <c r="R35" s="43">
        <f t="shared" si="4"/>
        <v>70.83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+'5'!J36</f>
        <v>19</v>
      </c>
      <c r="F36" s="69"/>
      <c r="G36" s="46">
        <f t="shared" si="0"/>
        <v>19</v>
      </c>
      <c r="H36" s="76">
        <v>0</v>
      </c>
      <c r="I36" s="74">
        <v>0</v>
      </c>
      <c r="J36" s="46">
        <f t="shared" si="1"/>
        <v>13</v>
      </c>
      <c r="K36" s="70">
        <v>6</v>
      </c>
      <c r="L36" s="15">
        <v>100</v>
      </c>
      <c r="M36" s="63">
        <f t="shared" si="2"/>
        <v>600</v>
      </c>
      <c r="N36" s="17" t="s">
        <v>16</v>
      </c>
      <c r="O36" s="18"/>
      <c r="P36" s="161">
        <f t="shared" si="3"/>
        <v>600</v>
      </c>
      <c r="Q36" s="88">
        <v>13.03</v>
      </c>
      <c r="R36" s="43">
        <f t="shared" si="4"/>
        <v>78.179999999999993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+'5'!J37</f>
        <v>11</v>
      </c>
      <c r="F37" s="69"/>
      <c r="G37" s="46">
        <f t="shared" si="0"/>
        <v>11</v>
      </c>
      <c r="H37" s="76">
        <v>0</v>
      </c>
      <c r="I37" s="74">
        <v>0</v>
      </c>
      <c r="J37" s="46">
        <f t="shared" si="1"/>
        <v>10</v>
      </c>
      <c r="K37" s="70">
        <v>1</v>
      </c>
      <c r="L37" s="15">
        <v>55</v>
      </c>
      <c r="M37" s="63">
        <f t="shared" si="2"/>
        <v>55</v>
      </c>
      <c r="N37" s="17" t="s">
        <v>16</v>
      </c>
      <c r="O37" s="18"/>
      <c r="P37" s="161">
        <f t="shared" si="3"/>
        <v>55</v>
      </c>
      <c r="Q37" s="88">
        <v>11.91</v>
      </c>
      <c r="R37" s="43">
        <f t="shared" si="4"/>
        <v>11.91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+'5'!J38</f>
        <v>11</v>
      </c>
      <c r="F38" s="69"/>
      <c r="G38" s="46">
        <f t="shared" si="0"/>
        <v>11</v>
      </c>
      <c r="H38" s="76">
        <v>0</v>
      </c>
      <c r="I38" s="74">
        <v>0</v>
      </c>
      <c r="J38" s="46">
        <f t="shared" si="1"/>
        <v>2</v>
      </c>
      <c r="K38" s="70">
        <v>9</v>
      </c>
      <c r="L38" s="15">
        <v>50</v>
      </c>
      <c r="M38" s="63">
        <f>+L38*K38</f>
        <v>450</v>
      </c>
      <c r="N38" s="17" t="s">
        <v>16</v>
      </c>
      <c r="O38" s="18"/>
      <c r="P38" s="161">
        <f>SUM(M38-O38)</f>
        <v>450</v>
      </c>
      <c r="Q38" s="88">
        <v>9.91</v>
      </c>
      <c r="R38" s="43">
        <f>+K38*Q38</f>
        <v>89.19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+'5'!J39</f>
        <v>0</v>
      </c>
      <c r="F39" s="69">
        <v>5</v>
      </c>
      <c r="G39" s="46">
        <f t="shared" si="0"/>
        <v>5</v>
      </c>
      <c r="H39" s="76">
        <v>0</v>
      </c>
      <c r="I39" s="74">
        <v>0</v>
      </c>
      <c r="J39" s="46">
        <f t="shared" si="1"/>
        <v>3</v>
      </c>
      <c r="K39" s="70">
        <v>2</v>
      </c>
      <c r="L39" s="20">
        <v>35</v>
      </c>
      <c r="M39" s="63">
        <f t="shared" si="2"/>
        <v>70</v>
      </c>
      <c r="N39" s="17" t="s">
        <v>16</v>
      </c>
      <c r="O39" s="18"/>
      <c r="P39" s="161">
        <f t="shared" si="3"/>
        <v>70</v>
      </c>
      <c r="Q39" s="88">
        <v>16.690000000000001</v>
      </c>
      <c r="R39" s="43">
        <f t="shared" si="4"/>
        <v>33.380000000000003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+'5'!J40</f>
        <v>1</v>
      </c>
      <c r="F40" s="69">
        <v>10</v>
      </c>
      <c r="G40" s="46">
        <f t="shared" si="0"/>
        <v>11</v>
      </c>
      <c r="H40" s="76">
        <v>0</v>
      </c>
      <c r="I40" s="74">
        <v>0</v>
      </c>
      <c r="J40" s="46">
        <f t="shared" si="1"/>
        <v>11</v>
      </c>
      <c r="K40" s="70"/>
      <c r="L40" s="20">
        <v>50</v>
      </c>
      <c r="M40" s="63">
        <f t="shared" si="2"/>
        <v>0</v>
      </c>
      <c r="N40" s="17" t="s">
        <v>16</v>
      </c>
      <c r="O40" s="18"/>
      <c r="P40" s="23">
        <f t="shared" si="3"/>
        <v>0</v>
      </c>
      <c r="Q40" s="88">
        <v>24.21</v>
      </c>
      <c r="R40" s="43">
        <f t="shared" si="4"/>
        <v>0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+'5'!J41</f>
        <v>10</v>
      </c>
      <c r="F41" s="69"/>
      <c r="G41" s="46">
        <f t="shared" si="0"/>
        <v>10</v>
      </c>
      <c r="H41" s="76">
        <v>0</v>
      </c>
      <c r="I41" s="74">
        <v>0</v>
      </c>
      <c r="J41" s="46">
        <f t="shared" si="1"/>
        <v>8</v>
      </c>
      <c r="K41" s="70">
        <v>2</v>
      </c>
      <c r="L41" s="20">
        <v>65</v>
      </c>
      <c r="M41" s="63">
        <f t="shared" si="2"/>
        <v>130</v>
      </c>
      <c r="N41" s="17" t="s">
        <v>16</v>
      </c>
      <c r="O41" s="18"/>
      <c r="P41" s="161">
        <f t="shared" si="3"/>
        <v>130</v>
      </c>
      <c r="Q41" s="88">
        <v>23.02</v>
      </c>
      <c r="R41" s="43">
        <f t="shared" si="4"/>
        <v>46.04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+'5'!J42</f>
        <v>33</v>
      </c>
      <c r="F42" s="69">
        <v>428</v>
      </c>
      <c r="G42" s="46">
        <f t="shared" si="0"/>
        <v>461</v>
      </c>
      <c r="H42" s="76">
        <v>0</v>
      </c>
      <c r="I42" s="74">
        <v>0</v>
      </c>
      <c r="J42" s="46">
        <f t="shared" si="1"/>
        <v>456</v>
      </c>
      <c r="K42" s="70">
        <v>5</v>
      </c>
      <c r="L42" s="20">
        <v>10</v>
      </c>
      <c r="M42" s="63">
        <f t="shared" si="2"/>
        <v>50</v>
      </c>
      <c r="N42" s="17" t="s">
        <v>16</v>
      </c>
      <c r="O42" s="18"/>
      <c r="P42" s="161">
        <f t="shared" si="3"/>
        <v>50</v>
      </c>
      <c r="Q42" s="88">
        <v>6.3</v>
      </c>
      <c r="R42" s="43">
        <f t="shared" si="4"/>
        <v>31.5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+'5'!J43</f>
        <v>152</v>
      </c>
      <c r="F43" s="69"/>
      <c r="G43" s="46">
        <f t="shared" si="0"/>
        <v>152</v>
      </c>
      <c r="H43" s="76">
        <v>0</v>
      </c>
      <c r="I43" s="74">
        <v>0</v>
      </c>
      <c r="J43" s="46">
        <f t="shared" si="1"/>
        <v>136</v>
      </c>
      <c r="K43" s="70">
        <v>16</v>
      </c>
      <c r="L43" s="22">
        <v>10</v>
      </c>
      <c r="M43" s="63">
        <f>+L43*K43</f>
        <v>160</v>
      </c>
      <c r="N43" s="17" t="s">
        <v>16</v>
      </c>
      <c r="O43" s="18"/>
      <c r="P43" s="161">
        <f>SUM(M43-O43)</f>
        <v>160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+'5'!J44</f>
        <v>7</v>
      </c>
      <c r="F44" s="69"/>
      <c r="G44" s="46">
        <f t="shared" si="0"/>
        <v>7</v>
      </c>
      <c r="H44" s="76">
        <v>0</v>
      </c>
      <c r="I44" s="74">
        <v>0</v>
      </c>
      <c r="J44" s="46">
        <f t="shared" si="1"/>
        <v>7</v>
      </c>
      <c r="K44" s="70"/>
      <c r="L44" s="20">
        <v>150</v>
      </c>
      <c r="M44" s="63">
        <f t="shared" si="2"/>
        <v>0</v>
      </c>
      <c r="N44" s="17" t="s">
        <v>16</v>
      </c>
      <c r="O44" s="18"/>
      <c r="P44" s="23">
        <f t="shared" si="3"/>
        <v>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+'5'!J45</f>
        <v>5</v>
      </c>
      <c r="F45" s="69"/>
      <c r="G45" s="46">
        <f t="shared" si="0"/>
        <v>5</v>
      </c>
      <c r="H45" s="76">
        <v>0</v>
      </c>
      <c r="I45" s="74">
        <v>0</v>
      </c>
      <c r="J45" s="46">
        <f t="shared" si="1"/>
        <v>5</v>
      </c>
      <c r="K45" s="70"/>
      <c r="L45" s="15">
        <v>150</v>
      </c>
      <c r="M45" s="63">
        <f t="shared" si="2"/>
        <v>0</v>
      </c>
      <c r="N45" s="17" t="s">
        <v>16</v>
      </c>
      <c r="O45" s="18"/>
      <c r="P45" s="23">
        <f t="shared" si="3"/>
        <v>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+'5'!J46</f>
        <v>2</v>
      </c>
      <c r="F46" s="69">
        <v>1</v>
      </c>
      <c r="G46" s="46">
        <f t="shared" si="0"/>
        <v>3</v>
      </c>
      <c r="H46" s="76">
        <v>0</v>
      </c>
      <c r="I46" s="74">
        <v>0</v>
      </c>
      <c r="J46" s="46">
        <f t="shared" si="1"/>
        <v>0</v>
      </c>
      <c r="K46" s="70">
        <v>3</v>
      </c>
      <c r="L46" s="15">
        <v>25</v>
      </c>
      <c r="M46" s="63">
        <f t="shared" si="2"/>
        <v>75</v>
      </c>
      <c r="N46" s="17" t="s">
        <v>16</v>
      </c>
      <c r="O46" s="18"/>
      <c r="P46" s="161">
        <f t="shared" si="3"/>
        <v>75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+'5'!J47</f>
        <v>6</v>
      </c>
      <c r="F47" s="69">
        <v>7</v>
      </c>
      <c r="G47" s="46">
        <f t="shared" si="0"/>
        <v>13</v>
      </c>
      <c r="H47" s="76">
        <v>0</v>
      </c>
      <c r="I47" s="74">
        <v>0</v>
      </c>
      <c r="J47" s="46">
        <f t="shared" si="1"/>
        <v>8</v>
      </c>
      <c r="K47" s="70">
        <v>5</v>
      </c>
      <c r="L47" s="15">
        <v>35</v>
      </c>
      <c r="M47" s="63">
        <f t="shared" si="2"/>
        <v>175</v>
      </c>
      <c r="N47" s="17" t="s">
        <v>16</v>
      </c>
      <c r="O47" s="18"/>
      <c r="P47" s="161">
        <f t="shared" si="3"/>
        <v>175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+'5'!J48</f>
        <v>181</v>
      </c>
      <c r="F48" s="69"/>
      <c r="G48" s="46">
        <f t="shared" si="0"/>
        <v>181</v>
      </c>
      <c r="H48" s="76">
        <v>0</v>
      </c>
      <c r="I48" s="74">
        <v>0</v>
      </c>
      <c r="J48" s="46">
        <f t="shared" si="1"/>
        <v>153</v>
      </c>
      <c r="K48" s="70">
        <v>28</v>
      </c>
      <c r="L48" s="15">
        <v>19</v>
      </c>
      <c r="M48" s="63">
        <f>+L48*K48</f>
        <v>532</v>
      </c>
      <c r="N48" s="17" t="s">
        <v>16</v>
      </c>
      <c r="O48" s="18">
        <v>97</v>
      </c>
      <c r="P48" s="161">
        <f>SUM(M48-O48)</f>
        <v>435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+'5'!J49</f>
        <v>46</v>
      </c>
      <c r="F49" s="69"/>
      <c r="G49" s="46">
        <f t="shared" si="0"/>
        <v>46</v>
      </c>
      <c r="H49" s="76">
        <v>0</v>
      </c>
      <c r="I49" s="74">
        <v>0</v>
      </c>
      <c r="J49" s="46">
        <f t="shared" si="1"/>
        <v>34</v>
      </c>
      <c r="K49" s="70">
        <v>12</v>
      </c>
      <c r="L49" s="15">
        <v>25</v>
      </c>
      <c r="M49" s="63">
        <f>+L49*K49</f>
        <v>300</v>
      </c>
      <c r="N49" s="17" t="s">
        <v>16</v>
      </c>
      <c r="O49" s="18"/>
      <c r="P49" s="161">
        <f>SUM(M49-O49)</f>
        <v>300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+'5'!J50</f>
        <v>18</v>
      </c>
      <c r="F50" s="69"/>
      <c r="G50" s="46">
        <f t="shared" si="0"/>
        <v>18</v>
      </c>
      <c r="H50" s="76">
        <v>0</v>
      </c>
      <c r="I50" s="74">
        <v>0</v>
      </c>
      <c r="J50" s="46">
        <f t="shared" si="1"/>
        <v>11</v>
      </c>
      <c r="K50" s="70">
        <v>7</v>
      </c>
      <c r="L50" s="15">
        <v>25</v>
      </c>
      <c r="M50" s="63">
        <f t="shared" si="2"/>
        <v>175</v>
      </c>
      <c r="N50" s="17" t="s">
        <v>16</v>
      </c>
      <c r="O50" s="18"/>
      <c r="P50" s="161">
        <f t="shared" si="3"/>
        <v>175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+'5'!J51</f>
        <v>1</v>
      </c>
      <c r="F51" s="69">
        <v>60</v>
      </c>
      <c r="G51" s="46">
        <f t="shared" si="0"/>
        <v>61</v>
      </c>
      <c r="H51" s="76">
        <v>0</v>
      </c>
      <c r="I51" s="74">
        <v>0</v>
      </c>
      <c r="J51" s="46">
        <f t="shared" si="1"/>
        <v>55</v>
      </c>
      <c r="K51" s="70">
        <v>6</v>
      </c>
      <c r="L51" s="20">
        <v>25</v>
      </c>
      <c r="M51" s="63">
        <f>+L51*K51</f>
        <v>150</v>
      </c>
      <c r="N51" s="17" t="s">
        <v>16</v>
      </c>
      <c r="O51" s="18"/>
      <c r="P51" s="161">
        <f>SUM(M51-O51)</f>
        <v>150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+'5'!J52</f>
        <v>13</v>
      </c>
      <c r="F52" s="69"/>
      <c r="G52" s="46">
        <f t="shared" si="0"/>
        <v>13</v>
      </c>
      <c r="H52" s="76">
        <v>0</v>
      </c>
      <c r="I52" s="74">
        <v>0</v>
      </c>
      <c r="J52" s="46">
        <f t="shared" si="1"/>
        <v>11</v>
      </c>
      <c r="K52" s="70">
        <v>2</v>
      </c>
      <c r="L52" s="20">
        <v>35</v>
      </c>
      <c r="M52" s="63">
        <f>+L52*K52</f>
        <v>70</v>
      </c>
      <c r="N52" s="17" t="s">
        <v>16</v>
      </c>
      <c r="O52" s="18"/>
      <c r="P52" s="161">
        <f>SUM(M52-O52)</f>
        <v>70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+'5'!J53</f>
        <v>36</v>
      </c>
      <c r="F53" s="69"/>
      <c r="G53" s="46">
        <f t="shared" si="0"/>
        <v>36</v>
      </c>
      <c r="H53" s="76">
        <v>0</v>
      </c>
      <c r="I53" s="74">
        <v>0</v>
      </c>
      <c r="J53" s="46">
        <f t="shared" si="1"/>
        <v>34</v>
      </c>
      <c r="K53" s="70">
        <v>2</v>
      </c>
      <c r="L53" s="15">
        <v>35</v>
      </c>
      <c r="M53" s="63">
        <f>+L53*K53</f>
        <v>70</v>
      </c>
      <c r="N53" s="17" t="s">
        <v>16</v>
      </c>
      <c r="O53" s="18"/>
      <c r="P53" s="161">
        <f>SUM(M53-O53)</f>
        <v>70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+'5'!J54</f>
        <v>1</v>
      </c>
      <c r="F54" s="69">
        <v>13</v>
      </c>
      <c r="G54" s="46">
        <f t="shared" si="0"/>
        <v>14</v>
      </c>
      <c r="H54" s="76">
        <v>0</v>
      </c>
      <c r="I54" s="74">
        <v>0</v>
      </c>
      <c r="J54" s="46">
        <f t="shared" si="1"/>
        <v>7</v>
      </c>
      <c r="K54" s="70">
        <v>7</v>
      </c>
      <c r="L54" s="15">
        <v>35</v>
      </c>
      <c r="M54" s="63">
        <f t="shared" si="2"/>
        <v>245</v>
      </c>
      <c r="N54" s="17" t="s">
        <v>16</v>
      </c>
      <c r="O54" s="18"/>
      <c r="P54" s="161">
        <f t="shared" si="3"/>
        <v>245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+'5'!J55</f>
        <v>14</v>
      </c>
      <c r="F55" s="69">
        <v>5</v>
      </c>
      <c r="G55" s="46">
        <f t="shared" si="0"/>
        <v>19</v>
      </c>
      <c r="H55" s="76">
        <v>0</v>
      </c>
      <c r="I55" s="74">
        <v>0</v>
      </c>
      <c r="J55" s="46">
        <f t="shared" si="1"/>
        <v>15</v>
      </c>
      <c r="K55" s="70">
        <v>4</v>
      </c>
      <c r="L55" s="15">
        <v>120</v>
      </c>
      <c r="M55" s="63">
        <f>+L55*K55</f>
        <v>480</v>
      </c>
      <c r="N55" s="17" t="s">
        <v>16</v>
      </c>
      <c r="O55" s="18"/>
      <c r="P55" s="161">
        <f>SUM(M55-O55)</f>
        <v>480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+'5'!J56</f>
        <v>15</v>
      </c>
      <c r="F56" s="69">
        <v>5</v>
      </c>
      <c r="G56" s="46">
        <f t="shared" si="0"/>
        <v>20</v>
      </c>
      <c r="H56" s="76">
        <v>0</v>
      </c>
      <c r="I56" s="74">
        <v>0</v>
      </c>
      <c r="J56" s="46">
        <f t="shared" si="1"/>
        <v>20</v>
      </c>
      <c r="K56" s="70"/>
      <c r="L56" s="15">
        <v>120</v>
      </c>
      <c r="M56" s="63">
        <f>+L56*K56</f>
        <v>0</v>
      </c>
      <c r="N56" s="17" t="s">
        <v>16</v>
      </c>
      <c r="O56" s="18"/>
      <c r="P56" s="23">
        <f>SUM(M56-O56)</f>
        <v>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+'5'!J57</f>
        <v>16</v>
      </c>
      <c r="F57" s="69">
        <v>5</v>
      </c>
      <c r="G57" s="46">
        <f t="shared" si="0"/>
        <v>21</v>
      </c>
      <c r="H57" s="76">
        <v>0</v>
      </c>
      <c r="I57" s="74">
        <v>0</v>
      </c>
      <c r="J57" s="46">
        <f t="shared" si="1"/>
        <v>19</v>
      </c>
      <c r="K57" s="70">
        <v>2</v>
      </c>
      <c r="L57" s="20">
        <v>120</v>
      </c>
      <c r="M57" s="63">
        <f t="shared" si="2"/>
        <v>240</v>
      </c>
      <c r="N57" s="17" t="s">
        <v>16</v>
      </c>
      <c r="O57" s="18"/>
      <c r="P57" s="161">
        <f t="shared" si="3"/>
        <v>240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+'5'!J58</f>
        <v>22</v>
      </c>
      <c r="F58" s="69">
        <v>4</v>
      </c>
      <c r="G58" s="46">
        <f t="shared" si="0"/>
        <v>26</v>
      </c>
      <c r="H58" s="76">
        <v>0</v>
      </c>
      <c r="I58" s="74">
        <v>0</v>
      </c>
      <c r="J58" s="46">
        <f t="shared" si="1"/>
        <v>24</v>
      </c>
      <c r="K58" s="70">
        <v>2</v>
      </c>
      <c r="L58" s="20">
        <v>120</v>
      </c>
      <c r="M58" s="63">
        <f t="shared" si="2"/>
        <v>240</v>
      </c>
      <c r="N58" s="17" t="s">
        <v>16</v>
      </c>
      <c r="O58" s="18"/>
      <c r="P58" s="161">
        <f t="shared" si="3"/>
        <v>240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/>
      <c r="D59" s="10"/>
      <c r="E59" s="62">
        <f>+'5'!J59</f>
        <v>0</v>
      </c>
      <c r="F59" s="69"/>
      <c r="G59" s="46"/>
      <c r="H59" s="76"/>
      <c r="I59" s="74"/>
      <c r="J59" s="46"/>
      <c r="K59" s="70"/>
      <c r="L59" s="20"/>
      <c r="M59" s="63"/>
      <c r="N59" s="17"/>
      <c r="O59" s="18"/>
      <c r="P59" s="23"/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+'5'!J60</f>
        <v>0</v>
      </c>
      <c r="F60" s="69"/>
      <c r="G60" s="46"/>
      <c r="H60" s="76"/>
      <c r="I60" s="74"/>
      <c r="J60" s="46"/>
      <c r="K60" s="70"/>
      <c r="L60" s="20"/>
      <c r="M60" s="63"/>
      <c r="N60" s="17"/>
      <c r="O60" s="18"/>
      <c r="P60" s="23"/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+'5'!J61</f>
        <v>0</v>
      </c>
      <c r="F61" s="69"/>
      <c r="G61" s="46"/>
      <c r="H61" s="76"/>
      <c r="I61" s="74"/>
      <c r="J61" s="46"/>
      <c r="K61" s="70"/>
      <c r="L61" s="20"/>
      <c r="M61" s="63"/>
      <c r="N61" s="17"/>
      <c r="O61" s="18"/>
      <c r="P61" s="23"/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>
        <f>+'5'!J62</f>
        <v>0</v>
      </c>
      <c r="F62" s="69"/>
      <c r="G62" s="46"/>
      <c r="H62" s="76"/>
      <c r="I62" s="74"/>
      <c r="J62" s="46"/>
      <c r="K62" s="70"/>
      <c r="L62" s="20"/>
      <c r="M62" s="63"/>
      <c r="N62" s="17"/>
      <c r="O62" s="18"/>
      <c r="P62" s="23"/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>
        <f>+'5'!J63</f>
        <v>0</v>
      </c>
      <c r="F63" s="69"/>
      <c r="G63" s="46"/>
      <c r="H63" s="76"/>
      <c r="I63" s="74"/>
      <c r="J63" s="46"/>
      <c r="K63" s="70"/>
      <c r="L63" s="20"/>
      <c r="M63" s="63"/>
      <c r="N63" s="17"/>
      <c r="O63" s="18"/>
      <c r="P63" s="23"/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>
        <f>+'5'!J64</f>
        <v>0</v>
      </c>
      <c r="F64" s="69"/>
      <c r="G64" s="46"/>
      <c r="H64" s="76"/>
      <c r="I64" s="74"/>
      <c r="J64" s="46"/>
      <c r="K64" s="70"/>
      <c r="L64" s="20"/>
      <c r="M64" s="63"/>
      <c r="N64" s="17"/>
      <c r="O64" s="18"/>
      <c r="P64" s="23"/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/>
      <c r="F65" s="69"/>
      <c r="G65" s="46"/>
      <c r="H65" s="76"/>
      <c r="I65" s="74"/>
      <c r="J65" s="46"/>
      <c r="K65" s="70"/>
      <c r="L65" s="20"/>
      <c r="M65" s="63"/>
      <c r="N65" s="17"/>
      <c r="O65" s="18"/>
      <c r="P65" s="23"/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7186.130000000001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24197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>
        <v>15</v>
      </c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8778</v>
      </c>
      <c r="O70" s="2">
        <v>8778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>
        <v>1400</v>
      </c>
      <c r="O72" s="2" t="s">
        <v>1397</v>
      </c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397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13607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13607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0</v>
      </c>
    </row>
    <row r="77" spans="1:19" ht="25.5" x14ac:dyDescent="0.55000000000000004">
      <c r="J77" s="2"/>
      <c r="L77" s="148" t="s">
        <v>211</v>
      </c>
      <c r="M77" s="149"/>
      <c r="N77" s="33">
        <f>+N75-N74</f>
        <v>0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524C-EB76-4E01-B734-63ECB4E54F5D}">
  <sheetPr filterMode="1">
    <tabColor rgb="FFFFCCFF"/>
    <pageSetUpPr fitToPage="1"/>
  </sheetPr>
  <dimension ref="A1:S152"/>
  <sheetViews>
    <sheetView zoomScale="85" zoomScaleNormal="85" workbookViewId="0">
      <pane xSplit="10" ySplit="4" topLeftCell="K5" activePane="bottomRight" state="frozen"/>
      <selection activeCell="A66" sqref="A66:XFD74"/>
      <selection pane="topRight" activeCell="A66" sqref="A66:XFD74"/>
      <selection pane="bottomLeft" activeCell="A66" sqref="A66:XFD74"/>
      <selection pane="bottomRight" activeCell="D71" sqref="D71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+'6'!J5</f>
        <v>13</v>
      </c>
      <c r="F5" s="69">
        <v>50</v>
      </c>
      <c r="G5" s="46">
        <f t="shared" ref="G5:G58" si="0">E5+F5</f>
        <v>63</v>
      </c>
      <c r="H5" s="76">
        <v>0</v>
      </c>
      <c r="I5" s="74">
        <v>0</v>
      </c>
      <c r="J5" s="46">
        <f t="shared" ref="J5:J58" si="1">+G5-H5-K5-I5</f>
        <v>46</v>
      </c>
      <c r="K5" s="70">
        <v>17</v>
      </c>
      <c r="L5" s="15">
        <v>50</v>
      </c>
      <c r="M5" s="63">
        <f>+L5*K5</f>
        <v>850</v>
      </c>
      <c r="N5" s="17" t="s">
        <v>16</v>
      </c>
      <c r="O5" s="18"/>
      <c r="P5" s="161">
        <f>SUM(M5-O5)</f>
        <v>850</v>
      </c>
      <c r="Q5" s="88">
        <v>18.97</v>
      </c>
      <c r="R5" s="43">
        <f>+K5*Q5</f>
        <v>322.49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+'6'!J6</f>
        <v>82</v>
      </c>
      <c r="F6" s="69"/>
      <c r="G6" s="46">
        <f t="shared" si="0"/>
        <v>82</v>
      </c>
      <c r="H6" s="76">
        <v>0</v>
      </c>
      <c r="I6" s="74">
        <v>0</v>
      </c>
      <c r="J6" s="46">
        <f t="shared" si="1"/>
        <v>41</v>
      </c>
      <c r="K6" s="70">
        <v>41</v>
      </c>
      <c r="L6" s="15">
        <v>100</v>
      </c>
      <c r="M6" s="63">
        <f t="shared" ref="M6:M58" si="2">+L6*K6</f>
        <v>4100</v>
      </c>
      <c r="N6" s="17" t="s">
        <v>16</v>
      </c>
      <c r="O6" s="18"/>
      <c r="P6" s="161">
        <f t="shared" ref="P6:P58" si="3">SUM(M6-O6)</f>
        <v>4100</v>
      </c>
      <c r="Q6" s="88">
        <v>36.43</v>
      </c>
      <c r="R6" s="43">
        <f t="shared" ref="R6:R65" si="4">+K6*Q6</f>
        <v>1493.6299999999999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+'6'!J7</f>
        <v>79</v>
      </c>
      <c r="F7" s="69"/>
      <c r="G7" s="46">
        <f t="shared" si="0"/>
        <v>79</v>
      </c>
      <c r="H7" s="76">
        <v>0</v>
      </c>
      <c r="I7" s="74">
        <v>0</v>
      </c>
      <c r="J7" s="46">
        <f t="shared" si="1"/>
        <v>65</v>
      </c>
      <c r="K7" s="70">
        <v>14</v>
      </c>
      <c r="L7" s="15">
        <v>50</v>
      </c>
      <c r="M7" s="63">
        <f t="shared" si="2"/>
        <v>700</v>
      </c>
      <c r="N7" s="17" t="s">
        <v>1437</v>
      </c>
      <c r="O7" s="18">
        <v>100</v>
      </c>
      <c r="P7" s="161">
        <f t="shared" si="3"/>
        <v>600</v>
      </c>
      <c r="Q7" s="88">
        <v>19.36</v>
      </c>
      <c r="R7" s="43">
        <f t="shared" si="4"/>
        <v>271.03999999999996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+'6'!J8</f>
        <v>0</v>
      </c>
      <c r="F8" s="69">
        <v>10</v>
      </c>
      <c r="G8" s="46">
        <f t="shared" si="0"/>
        <v>10</v>
      </c>
      <c r="H8" s="76">
        <v>0</v>
      </c>
      <c r="I8" s="74">
        <v>0</v>
      </c>
      <c r="J8" s="46">
        <f t="shared" si="1"/>
        <v>4</v>
      </c>
      <c r="K8" s="70">
        <v>6</v>
      </c>
      <c r="L8" s="15">
        <v>65</v>
      </c>
      <c r="M8" s="63">
        <f t="shared" si="2"/>
        <v>390</v>
      </c>
      <c r="N8" s="17" t="s">
        <v>16</v>
      </c>
      <c r="O8" s="18"/>
      <c r="P8" s="161">
        <f t="shared" si="3"/>
        <v>390</v>
      </c>
      <c r="Q8" s="88">
        <v>22.25</v>
      </c>
      <c r="R8" s="43">
        <f t="shared" si="4"/>
        <v>133.5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+'6'!J9</f>
        <v>0</v>
      </c>
      <c r="F9" s="69">
        <v>15</v>
      </c>
      <c r="G9" s="46">
        <f t="shared" si="0"/>
        <v>15</v>
      </c>
      <c r="H9" s="76">
        <v>0</v>
      </c>
      <c r="I9" s="74">
        <v>0</v>
      </c>
      <c r="J9" s="46">
        <f t="shared" si="1"/>
        <v>15</v>
      </c>
      <c r="K9" s="70"/>
      <c r="L9" s="15">
        <v>85</v>
      </c>
      <c r="M9" s="63">
        <f t="shared" si="2"/>
        <v>0</v>
      </c>
      <c r="N9" s="17" t="s">
        <v>16</v>
      </c>
      <c r="O9" s="18"/>
      <c r="P9" s="23">
        <f t="shared" si="3"/>
        <v>0</v>
      </c>
      <c r="Q9" s="88">
        <v>22.65</v>
      </c>
      <c r="R9" s="43">
        <f t="shared" si="4"/>
        <v>0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+'6'!J10</f>
        <v>21</v>
      </c>
      <c r="F10" s="69"/>
      <c r="G10" s="46">
        <f t="shared" si="0"/>
        <v>21</v>
      </c>
      <c r="H10" s="76">
        <v>0</v>
      </c>
      <c r="I10" s="74">
        <v>0</v>
      </c>
      <c r="J10" s="46">
        <f t="shared" si="1"/>
        <v>2</v>
      </c>
      <c r="K10" s="70">
        <v>19</v>
      </c>
      <c r="L10" s="15">
        <v>100</v>
      </c>
      <c r="M10" s="63">
        <f t="shared" si="2"/>
        <v>1900</v>
      </c>
      <c r="N10" s="17" t="s">
        <v>16</v>
      </c>
      <c r="O10" s="18"/>
      <c r="P10" s="161">
        <f t="shared" si="3"/>
        <v>1900</v>
      </c>
      <c r="Q10" s="88">
        <v>27.98</v>
      </c>
      <c r="R10" s="43">
        <f t="shared" si="4"/>
        <v>531.62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+'6'!J11</f>
        <v>46</v>
      </c>
      <c r="F11" s="69"/>
      <c r="G11" s="46">
        <f t="shared" si="0"/>
        <v>46</v>
      </c>
      <c r="H11" s="76">
        <v>0</v>
      </c>
      <c r="I11" s="74">
        <v>0</v>
      </c>
      <c r="J11" s="46">
        <f t="shared" si="1"/>
        <v>11</v>
      </c>
      <c r="K11" s="70">
        <v>35</v>
      </c>
      <c r="L11" s="15">
        <v>100</v>
      </c>
      <c r="M11" s="63">
        <f t="shared" si="2"/>
        <v>3500</v>
      </c>
      <c r="N11" s="17" t="s">
        <v>16</v>
      </c>
      <c r="O11" s="18"/>
      <c r="P11" s="161">
        <f t="shared" si="3"/>
        <v>3500</v>
      </c>
      <c r="Q11" s="88">
        <v>34.64</v>
      </c>
      <c r="R11" s="43">
        <f t="shared" si="4"/>
        <v>1212.4000000000001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+'6'!J12</f>
        <v>0</v>
      </c>
      <c r="F12" s="69">
        <v>20</v>
      </c>
      <c r="G12" s="46">
        <f t="shared" si="0"/>
        <v>20</v>
      </c>
      <c r="H12" s="76">
        <v>0</v>
      </c>
      <c r="I12" s="74">
        <v>0</v>
      </c>
      <c r="J12" s="46">
        <f t="shared" si="1"/>
        <v>10</v>
      </c>
      <c r="K12" s="70">
        <v>10</v>
      </c>
      <c r="L12" s="20">
        <v>130</v>
      </c>
      <c r="M12" s="63">
        <f t="shared" si="2"/>
        <v>1300</v>
      </c>
      <c r="N12" s="17" t="s">
        <v>16</v>
      </c>
      <c r="O12" s="18"/>
      <c r="P12" s="161">
        <f t="shared" si="3"/>
        <v>1300</v>
      </c>
      <c r="Q12" s="88">
        <v>46.37</v>
      </c>
      <c r="R12" s="43">
        <f t="shared" si="4"/>
        <v>463.7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+'6'!J13</f>
        <v>0</v>
      </c>
      <c r="F13" s="69"/>
      <c r="G13" s="46">
        <f t="shared" si="0"/>
        <v>0</v>
      </c>
      <c r="H13" s="76">
        <v>0</v>
      </c>
      <c r="I13" s="74">
        <v>0</v>
      </c>
      <c r="J13" s="46">
        <f t="shared" si="1"/>
        <v>0</v>
      </c>
      <c r="K13" s="70"/>
      <c r="L13" s="15">
        <v>130</v>
      </c>
      <c r="M13" s="63">
        <f t="shared" si="2"/>
        <v>0</v>
      </c>
      <c r="N13" s="17" t="s">
        <v>16</v>
      </c>
      <c r="O13" s="18"/>
      <c r="P13" s="23">
        <f t="shared" si="3"/>
        <v>0</v>
      </c>
      <c r="Q13" s="88">
        <v>38.9</v>
      </c>
      <c r="R13" s="43">
        <f t="shared" si="4"/>
        <v>0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+'6'!J14</f>
        <v>4</v>
      </c>
      <c r="F14" s="69"/>
      <c r="G14" s="46">
        <f t="shared" si="0"/>
        <v>4</v>
      </c>
      <c r="H14" s="76">
        <v>0</v>
      </c>
      <c r="I14" s="74">
        <v>0</v>
      </c>
      <c r="J14" s="46">
        <f t="shared" si="1"/>
        <v>1</v>
      </c>
      <c r="K14" s="70">
        <v>3</v>
      </c>
      <c r="L14" s="15">
        <v>50</v>
      </c>
      <c r="M14" s="63">
        <f t="shared" si="2"/>
        <v>150</v>
      </c>
      <c r="N14" s="17" t="s">
        <v>16</v>
      </c>
      <c r="O14" s="18"/>
      <c r="P14" s="161">
        <f t="shared" si="3"/>
        <v>150</v>
      </c>
      <c r="Q14" s="88">
        <v>27.84</v>
      </c>
      <c r="R14" s="43">
        <f t="shared" si="4"/>
        <v>83.52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+'6'!J15</f>
        <v>7</v>
      </c>
      <c r="F15" s="69"/>
      <c r="G15" s="46">
        <f t="shared" si="0"/>
        <v>7</v>
      </c>
      <c r="H15" s="76">
        <v>0</v>
      </c>
      <c r="I15" s="74">
        <v>0</v>
      </c>
      <c r="J15" s="46">
        <f t="shared" si="1"/>
        <v>3</v>
      </c>
      <c r="K15" s="70">
        <v>4</v>
      </c>
      <c r="L15" s="15">
        <v>50</v>
      </c>
      <c r="M15" s="63">
        <f t="shared" si="2"/>
        <v>200</v>
      </c>
      <c r="N15" s="17" t="s">
        <v>16</v>
      </c>
      <c r="O15" s="18"/>
      <c r="P15" s="161">
        <f t="shared" si="3"/>
        <v>200</v>
      </c>
      <c r="Q15" s="88">
        <v>27.12</v>
      </c>
      <c r="R15" s="43">
        <f t="shared" si="4"/>
        <v>108.48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+'6'!J16</f>
        <v>16</v>
      </c>
      <c r="F16" s="69"/>
      <c r="G16" s="46">
        <f t="shared" si="0"/>
        <v>16</v>
      </c>
      <c r="H16" s="76">
        <v>0</v>
      </c>
      <c r="I16" s="74">
        <v>0</v>
      </c>
      <c r="J16" s="46">
        <f t="shared" si="1"/>
        <v>14</v>
      </c>
      <c r="K16" s="70">
        <v>2</v>
      </c>
      <c r="L16" s="20">
        <v>50</v>
      </c>
      <c r="M16" s="63">
        <f t="shared" si="2"/>
        <v>100</v>
      </c>
      <c r="N16" s="17" t="s">
        <v>16</v>
      </c>
      <c r="O16" s="18"/>
      <c r="P16" s="161">
        <f t="shared" si="3"/>
        <v>100</v>
      </c>
      <c r="Q16" s="88">
        <v>15.42</v>
      </c>
      <c r="R16" s="43">
        <f t="shared" si="4"/>
        <v>30.84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+'6'!J17</f>
        <v>2</v>
      </c>
      <c r="F17" s="69"/>
      <c r="G17" s="46">
        <f t="shared" si="0"/>
        <v>2</v>
      </c>
      <c r="H17" s="76">
        <v>0</v>
      </c>
      <c r="I17" s="74">
        <v>0</v>
      </c>
      <c r="J17" s="46">
        <f t="shared" si="1"/>
        <v>1</v>
      </c>
      <c r="K17" s="70">
        <v>1</v>
      </c>
      <c r="L17" s="15">
        <v>50</v>
      </c>
      <c r="M17" s="63">
        <f t="shared" si="2"/>
        <v>50</v>
      </c>
      <c r="N17" s="17" t="s">
        <v>16</v>
      </c>
      <c r="O17" s="18"/>
      <c r="P17" s="161">
        <f t="shared" si="3"/>
        <v>50</v>
      </c>
      <c r="Q17" s="88">
        <v>17.78</v>
      </c>
      <c r="R17" s="43">
        <f t="shared" si="4"/>
        <v>17.78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+'6'!J18</f>
        <v>0</v>
      </c>
      <c r="F18" s="69">
        <v>10</v>
      </c>
      <c r="G18" s="46">
        <f t="shared" si="0"/>
        <v>10</v>
      </c>
      <c r="H18" s="76">
        <v>0</v>
      </c>
      <c r="I18" s="74">
        <v>0</v>
      </c>
      <c r="J18" s="46">
        <f t="shared" si="1"/>
        <v>8</v>
      </c>
      <c r="K18" s="70">
        <v>2</v>
      </c>
      <c r="L18" s="20">
        <v>50</v>
      </c>
      <c r="M18" s="63">
        <f t="shared" si="2"/>
        <v>100</v>
      </c>
      <c r="N18" s="17" t="s">
        <v>16</v>
      </c>
      <c r="O18" s="18"/>
      <c r="P18" s="161">
        <f t="shared" si="3"/>
        <v>100</v>
      </c>
      <c r="Q18" s="88">
        <v>17.989999999999998</v>
      </c>
      <c r="R18" s="43">
        <f t="shared" si="4"/>
        <v>35.979999999999997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+'6'!J19</f>
        <v>12</v>
      </c>
      <c r="F19" s="69"/>
      <c r="G19" s="46">
        <f t="shared" si="0"/>
        <v>12</v>
      </c>
      <c r="H19" s="76">
        <v>0</v>
      </c>
      <c r="I19" s="74">
        <v>0</v>
      </c>
      <c r="J19" s="46">
        <f t="shared" si="1"/>
        <v>12</v>
      </c>
      <c r="K19" s="70"/>
      <c r="L19" s="15">
        <v>50</v>
      </c>
      <c r="M19" s="63">
        <f t="shared" si="2"/>
        <v>0</v>
      </c>
      <c r="N19" s="17" t="s">
        <v>16</v>
      </c>
      <c r="O19" s="18"/>
      <c r="P19" s="23">
        <f t="shared" si="3"/>
        <v>0</v>
      </c>
      <c r="Q19" s="88">
        <v>20.059999999999999</v>
      </c>
      <c r="R19" s="43">
        <f t="shared" si="4"/>
        <v>0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+'6'!J20</f>
        <v>0</v>
      </c>
      <c r="F20" s="69"/>
      <c r="G20" s="46">
        <f t="shared" si="0"/>
        <v>0</v>
      </c>
      <c r="H20" s="76">
        <v>0</v>
      </c>
      <c r="I20" s="74">
        <v>0</v>
      </c>
      <c r="J20" s="46">
        <f t="shared" si="1"/>
        <v>0</v>
      </c>
      <c r="K20" s="70"/>
      <c r="L20" s="15">
        <v>50</v>
      </c>
      <c r="M20" s="63">
        <f t="shared" si="2"/>
        <v>0</v>
      </c>
      <c r="N20" s="17" t="s">
        <v>16</v>
      </c>
      <c r="O20" s="18"/>
      <c r="P20" s="23">
        <f t="shared" si="3"/>
        <v>0</v>
      </c>
      <c r="Q20" s="88">
        <v>20.32</v>
      </c>
      <c r="R20" s="43">
        <f t="shared" si="4"/>
        <v>0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+'6'!J21</f>
        <v>17</v>
      </c>
      <c r="F21" s="69"/>
      <c r="G21" s="46">
        <f t="shared" si="0"/>
        <v>17</v>
      </c>
      <c r="H21" s="76">
        <v>0</v>
      </c>
      <c r="I21" s="74">
        <v>0</v>
      </c>
      <c r="J21" s="46">
        <f t="shared" si="1"/>
        <v>15</v>
      </c>
      <c r="K21" s="70">
        <v>2</v>
      </c>
      <c r="L21" s="15">
        <v>50</v>
      </c>
      <c r="M21" s="63">
        <f t="shared" si="2"/>
        <v>100</v>
      </c>
      <c r="N21" s="17" t="s">
        <v>16</v>
      </c>
      <c r="O21" s="18"/>
      <c r="P21" s="161">
        <f t="shared" si="3"/>
        <v>100</v>
      </c>
      <c r="Q21" s="88">
        <v>16.37</v>
      </c>
      <c r="R21" s="43">
        <f t="shared" si="4"/>
        <v>32.74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+'6'!J22</f>
        <v>10</v>
      </c>
      <c r="F22" s="69"/>
      <c r="G22" s="46">
        <f t="shared" si="0"/>
        <v>10</v>
      </c>
      <c r="H22" s="76">
        <v>0</v>
      </c>
      <c r="I22" s="74">
        <v>0</v>
      </c>
      <c r="J22" s="46">
        <f t="shared" si="1"/>
        <v>10</v>
      </c>
      <c r="K22" s="70"/>
      <c r="L22" s="15">
        <v>120</v>
      </c>
      <c r="M22" s="63">
        <f t="shared" si="2"/>
        <v>0</v>
      </c>
      <c r="N22" s="17" t="s">
        <v>16</v>
      </c>
      <c r="O22" s="18"/>
      <c r="P22" s="23">
        <f t="shared" si="3"/>
        <v>0</v>
      </c>
      <c r="Q22" s="88">
        <v>25.99</v>
      </c>
      <c r="R22" s="43">
        <f t="shared" si="4"/>
        <v>0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+'6'!J23</f>
        <v>4</v>
      </c>
      <c r="F23" s="69"/>
      <c r="G23" s="46">
        <f t="shared" si="0"/>
        <v>4</v>
      </c>
      <c r="H23" s="76">
        <v>0</v>
      </c>
      <c r="I23" s="74">
        <v>0</v>
      </c>
      <c r="J23" s="46">
        <f t="shared" si="1"/>
        <v>3</v>
      </c>
      <c r="K23" s="70">
        <v>1</v>
      </c>
      <c r="L23" s="15">
        <v>120</v>
      </c>
      <c r="M23" s="63">
        <f t="shared" si="2"/>
        <v>120</v>
      </c>
      <c r="N23" s="17" t="s">
        <v>16</v>
      </c>
      <c r="O23" s="18">
        <v>20</v>
      </c>
      <c r="P23" s="161">
        <f t="shared" si="3"/>
        <v>100</v>
      </c>
      <c r="Q23" s="88">
        <v>28.31</v>
      </c>
      <c r="R23" s="43">
        <f t="shared" si="4"/>
        <v>28.31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+'6'!J24</f>
        <v>13</v>
      </c>
      <c r="F24" s="69"/>
      <c r="G24" s="46">
        <f t="shared" si="0"/>
        <v>13</v>
      </c>
      <c r="H24" s="76">
        <v>0</v>
      </c>
      <c r="I24" s="74">
        <v>0</v>
      </c>
      <c r="J24" s="46">
        <f t="shared" si="1"/>
        <v>12</v>
      </c>
      <c r="K24" s="70">
        <v>1</v>
      </c>
      <c r="L24" s="15">
        <v>120</v>
      </c>
      <c r="M24" s="63">
        <f t="shared" si="2"/>
        <v>120</v>
      </c>
      <c r="N24" s="17" t="s">
        <v>16</v>
      </c>
      <c r="O24" s="18">
        <v>20</v>
      </c>
      <c r="P24" s="161">
        <f t="shared" si="3"/>
        <v>100</v>
      </c>
      <c r="Q24" s="88">
        <v>31.07</v>
      </c>
      <c r="R24" s="43">
        <f t="shared" si="4"/>
        <v>31.07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+'6'!J25</f>
        <v>6</v>
      </c>
      <c r="F25" s="69"/>
      <c r="G25" s="46">
        <f t="shared" si="0"/>
        <v>6</v>
      </c>
      <c r="H25" s="76">
        <v>0</v>
      </c>
      <c r="I25" s="74">
        <v>0</v>
      </c>
      <c r="J25" s="46">
        <f t="shared" si="1"/>
        <v>6</v>
      </c>
      <c r="K25" s="70"/>
      <c r="L25" s="20">
        <v>120</v>
      </c>
      <c r="M25" s="63">
        <f t="shared" si="2"/>
        <v>0</v>
      </c>
      <c r="N25" s="17" t="s">
        <v>16</v>
      </c>
      <c r="O25" s="18"/>
      <c r="P25" s="23">
        <f t="shared" si="3"/>
        <v>0</v>
      </c>
      <c r="Q25" s="88">
        <v>29.83</v>
      </c>
      <c r="R25" s="43">
        <f t="shared" si="4"/>
        <v>0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+'6'!J26</f>
        <v>5</v>
      </c>
      <c r="F26" s="69"/>
      <c r="G26" s="46">
        <f t="shared" si="0"/>
        <v>5</v>
      </c>
      <c r="H26" s="76">
        <v>0</v>
      </c>
      <c r="I26" s="74">
        <v>0</v>
      </c>
      <c r="J26" s="46">
        <f t="shared" si="1"/>
        <v>5</v>
      </c>
      <c r="K26" s="70"/>
      <c r="L26" s="15">
        <v>120</v>
      </c>
      <c r="M26" s="63">
        <f t="shared" si="2"/>
        <v>0</v>
      </c>
      <c r="N26" s="17" t="s">
        <v>16</v>
      </c>
      <c r="O26" s="18"/>
      <c r="P26" s="23">
        <f t="shared" si="3"/>
        <v>0</v>
      </c>
      <c r="Q26" s="88">
        <v>26.39</v>
      </c>
      <c r="R26" s="43">
        <f t="shared" si="4"/>
        <v>0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+'6'!J27</f>
        <v>7</v>
      </c>
      <c r="F27" s="69"/>
      <c r="G27" s="46">
        <f t="shared" si="0"/>
        <v>7</v>
      </c>
      <c r="H27" s="76">
        <v>0</v>
      </c>
      <c r="I27" s="74">
        <v>0</v>
      </c>
      <c r="J27" s="46">
        <f t="shared" si="1"/>
        <v>7</v>
      </c>
      <c r="K27" s="70"/>
      <c r="L27" s="15">
        <v>50</v>
      </c>
      <c r="M27" s="63">
        <f t="shared" si="2"/>
        <v>0</v>
      </c>
      <c r="N27" s="17" t="s">
        <v>16</v>
      </c>
      <c r="O27" s="18"/>
      <c r="P27" s="23">
        <f t="shared" si="3"/>
        <v>0</v>
      </c>
      <c r="Q27" s="88">
        <v>23.69</v>
      </c>
      <c r="R27" s="43">
        <f t="shared" si="4"/>
        <v>0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+'6'!J28</f>
        <v>0</v>
      </c>
      <c r="F28" s="69">
        <v>7</v>
      </c>
      <c r="G28" s="46">
        <f t="shared" si="0"/>
        <v>7</v>
      </c>
      <c r="H28" s="76">
        <v>0</v>
      </c>
      <c r="I28" s="74">
        <v>0</v>
      </c>
      <c r="J28" s="46">
        <f t="shared" si="1"/>
        <v>5</v>
      </c>
      <c r="K28" s="70">
        <v>2</v>
      </c>
      <c r="L28" s="21">
        <v>50</v>
      </c>
      <c r="M28" s="63">
        <f t="shared" si="2"/>
        <v>100</v>
      </c>
      <c r="N28" s="17" t="s">
        <v>16</v>
      </c>
      <c r="O28" s="18"/>
      <c r="P28" s="161">
        <f t="shared" si="3"/>
        <v>100</v>
      </c>
      <c r="Q28" s="88">
        <v>22.49</v>
      </c>
      <c r="R28" s="43">
        <f t="shared" si="4"/>
        <v>44.98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+'6'!J29</f>
        <v>10</v>
      </c>
      <c r="F29" s="69"/>
      <c r="G29" s="46">
        <f t="shared" si="0"/>
        <v>10</v>
      </c>
      <c r="H29" s="76">
        <v>0</v>
      </c>
      <c r="I29" s="74">
        <v>0</v>
      </c>
      <c r="J29" s="46">
        <f t="shared" si="1"/>
        <v>8</v>
      </c>
      <c r="K29" s="70">
        <v>2</v>
      </c>
      <c r="L29" s="21">
        <v>50</v>
      </c>
      <c r="M29" s="63">
        <f t="shared" si="2"/>
        <v>100</v>
      </c>
      <c r="N29" s="17" t="s">
        <v>16</v>
      </c>
      <c r="O29" s="18"/>
      <c r="P29" s="161">
        <f t="shared" si="3"/>
        <v>100</v>
      </c>
      <c r="Q29" s="88">
        <v>17.09</v>
      </c>
      <c r="R29" s="43">
        <f t="shared" si="4"/>
        <v>34.18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+'6'!J30</f>
        <v>3</v>
      </c>
      <c r="F30" s="69">
        <v>20</v>
      </c>
      <c r="G30" s="46">
        <f t="shared" si="0"/>
        <v>23</v>
      </c>
      <c r="H30" s="76">
        <v>0</v>
      </c>
      <c r="I30" s="74">
        <v>0</v>
      </c>
      <c r="J30" s="46">
        <f t="shared" si="1"/>
        <v>3</v>
      </c>
      <c r="K30" s="70">
        <v>20</v>
      </c>
      <c r="L30" s="22">
        <v>50</v>
      </c>
      <c r="M30" s="63">
        <f t="shared" si="2"/>
        <v>1000</v>
      </c>
      <c r="N30" s="17" t="s">
        <v>16</v>
      </c>
      <c r="O30" s="18"/>
      <c r="P30" s="161">
        <f t="shared" si="3"/>
        <v>1000</v>
      </c>
      <c r="Q30" s="88">
        <v>25.15</v>
      </c>
      <c r="R30" s="43">
        <f t="shared" si="4"/>
        <v>503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+'6'!J31</f>
        <v>9</v>
      </c>
      <c r="F31" s="69"/>
      <c r="G31" s="46">
        <f t="shared" si="0"/>
        <v>9</v>
      </c>
      <c r="H31" s="76">
        <v>0</v>
      </c>
      <c r="I31" s="74">
        <v>0</v>
      </c>
      <c r="J31" s="46">
        <f t="shared" si="1"/>
        <v>8</v>
      </c>
      <c r="K31" s="70">
        <v>1</v>
      </c>
      <c r="L31" s="22">
        <v>55</v>
      </c>
      <c r="M31" s="63">
        <f t="shared" si="2"/>
        <v>55</v>
      </c>
      <c r="N31" s="17" t="s">
        <v>16</v>
      </c>
      <c r="O31" s="18"/>
      <c r="P31" s="161">
        <f t="shared" si="3"/>
        <v>55</v>
      </c>
      <c r="Q31" s="88">
        <v>14.35</v>
      </c>
      <c r="R31" s="43">
        <f t="shared" si="4"/>
        <v>14.35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+'6'!J32</f>
        <v>12</v>
      </c>
      <c r="F32" s="69"/>
      <c r="G32" s="46">
        <f t="shared" si="0"/>
        <v>12</v>
      </c>
      <c r="H32" s="76">
        <v>0</v>
      </c>
      <c r="I32" s="74">
        <v>0</v>
      </c>
      <c r="J32" s="46">
        <f t="shared" si="1"/>
        <v>9</v>
      </c>
      <c r="K32" s="70">
        <v>3</v>
      </c>
      <c r="L32" s="22">
        <v>55</v>
      </c>
      <c r="M32" s="63">
        <f t="shared" si="2"/>
        <v>165</v>
      </c>
      <c r="N32" s="17" t="s">
        <v>16</v>
      </c>
      <c r="O32" s="18"/>
      <c r="P32" s="161">
        <f t="shared" si="3"/>
        <v>165</v>
      </c>
      <c r="Q32" s="88">
        <v>19.579999999999998</v>
      </c>
      <c r="R32" s="43">
        <f t="shared" si="4"/>
        <v>58.739999999999995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+'6'!J33</f>
        <v>6</v>
      </c>
      <c r="F33" s="69"/>
      <c r="G33" s="46">
        <f t="shared" si="0"/>
        <v>6</v>
      </c>
      <c r="H33" s="76">
        <v>0</v>
      </c>
      <c r="I33" s="74">
        <v>0</v>
      </c>
      <c r="J33" s="46">
        <f t="shared" si="1"/>
        <v>0</v>
      </c>
      <c r="K33" s="70">
        <v>6</v>
      </c>
      <c r="L33" s="22">
        <v>100</v>
      </c>
      <c r="M33" s="63">
        <f t="shared" si="2"/>
        <v>600</v>
      </c>
      <c r="N33" s="17" t="s">
        <v>16</v>
      </c>
      <c r="O33" s="18"/>
      <c r="P33" s="161">
        <f t="shared" si="3"/>
        <v>600</v>
      </c>
      <c r="Q33" s="88">
        <v>23.61</v>
      </c>
      <c r="R33" s="43">
        <f t="shared" si="4"/>
        <v>141.66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+'6'!J34</f>
        <v>11</v>
      </c>
      <c r="F34" s="69"/>
      <c r="G34" s="46">
        <f t="shared" si="0"/>
        <v>11</v>
      </c>
      <c r="H34" s="76">
        <v>0</v>
      </c>
      <c r="I34" s="74">
        <v>0</v>
      </c>
      <c r="J34" s="46">
        <f t="shared" si="1"/>
        <v>5</v>
      </c>
      <c r="K34" s="70">
        <v>6</v>
      </c>
      <c r="L34" s="20">
        <v>55</v>
      </c>
      <c r="M34" s="63">
        <f t="shared" si="2"/>
        <v>330</v>
      </c>
      <c r="N34" s="17" t="s">
        <v>16</v>
      </c>
      <c r="O34" s="18"/>
      <c r="P34" s="161">
        <f t="shared" si="3"/>
        <v>330</v>
      </c>
      <c r="Q34" s="88">
        <v>34.25</v>
      </c>
      <c r="R34" s="43">
        <f t="shared" si="4"/>
        <v>205.5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+'6'!J35</f>
        <v>13</v>
      </c>
      <c r="F35" s="69"/>
      <c r="G35" s="46">
        <f t="shared" si="0"/>
        <v>13</v>
      </c>
      <c r="H35" s="76">
        <v>0</v>
      </c>
      <c r="I35" s="74">
        <v>0</v>
      </c>
      <c r="J35" s="46">
        <f t="shared" si="1"/>
        <v>10</v>
      </c>
      <c r="K35" s="70">
        <v>3</v>
      </c>
      <c r="L35" s="15">
        <v>60</v>
      </c>
      <c r="M35" s="63">
        <f t="shared" si="2"/>
        <v>180</v>
      </c>
      <c r="N35" s="17" t="s">
        <v>16</v>
      </c>
      <c r="O35" s="18"/>
      <c r="P35" s="161">
        <f t="shared" si="3"/>
        <v>180</v>
      </c>
      <c r="Q35" s="88">
        <v>23.61</v>
      </c>
      <c r="R35" s="43">
        <f t="shared" si="4"/>
        <v>70.83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+'6'!J36</f>
        <v>13</v>
      </c>
      <c r="F36" s="69"/>
      <c r="G36" s="46">
        <f t="shared" si="0"/>
        <v>13</v>
      </c>
      <c r="H36" s="76">
        <v>0</v>
      </c>
      <c r="I36" s="74">
        <v>0</v>
      </c>
      <c r="J36" s="46">
        <f t="shared" si="1"/>
        <v>12</v>
      </c>
      <c r="K36" s="70">
        <v>1</v>
      </c>
      <c r="L36" s="15">
        <v>100</v>
      </c>
      <c r="M36" s="63">
        <f t="shared" si="2"/>
        <v>100</v>
      </c>
      <c r="N36" s="17" t="s">
        <v>16</v>
      </c>
      <c r="O36" s="18"/>
      <c r="P36" s="161">
        <f t="shared" si="3"/>
        <v>100</v>
      </c>
      <c r="Q36" s="88">
        <v>13.03</v>
      </c>
      <c r="R36" s="43">
        <f t="shared" si="4"/>
        <v>13.03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+'6'!J37</f>
        <v>10</v>
      </c>
      <c r="F37" s="69"/>
      <c r="G37" s="46">
        <f t="shared" si="0"/>
        <v>10</v>
      </c>
      <c r="H37" s="76">
        <v>0</v>
      </c>
      <c r="I37" s="74">
        <v>0</v>
      </c>
      <c r="J37" s="46">
        <f t="shared" si="1"/>
        <v>9</v>
      </c>
      <c r="K37" s="70">
        <v>1</v>
      </c>
      <c r="L37" s="15">
        <v>55</v>
      </c>
      <c r="M37" s="63">
        <f t="shared" si="2"/>
        <v>55</v>
      </c>
      <c r="N37" s="17" t="s">
        <v>16</v>
      </c>
      <c r="O37" s="18"/>
      <c r="P37" s="161">
        <f t="shared" si="3"/>
        <v>55</v>
      </c>
      <c r="Q37" s="88">
        <v>11.91</v>
      </c>
      <c r="R37" s="43">
        <f t="shared" si="4"/>
        <v>11.91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+'6'!J38</f>
        <v>2</v>
      </c>
      <c r="F38" s="69"/>
      <c r="G38" s="46">
        <f t="shared" si="0"/>
        <v>2</v>
      </c>
      <c r="H38" s="76">
        <v>0</v>
      </c>
      <c r="I38" s="74">
        <v>0</v>
      </c>
      <c r="J38" s="46">
        <f t="shared" si="1"/>
        <v>1</v>
      </c>
      <c r="K38" s="70">
        <v>1</v>
      </c>
      <c r="L38" s="15">
        <v>50</v>
      </c>
      <c r="M38" s="63">
        <f>+L38*K38</f>
        <v>50</v>
      </c>
      <c r="N38" s="17" t="s">
        <v>16</v>
      </c>
      <c r="O38" s="18"/>
      <c r="P38" s="161">
        <f>SUM(M38-O38)</f>
        <v>50</v>
      </c>
      <c r="Q38" s="88">
        <v>9.91</v>
      </c>
      <c r="R38" s="43">
        <f>+K38*Q38</f>
        <v>9.91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+'6'!J39</f>
        <v>3</v>
      </c>
      <c r="F39" s="69"/>
      <c r="G39" s="46">
        <f t="shared" si="0"/>
        <v>3</v>
      </c>
      <c r="H39" s="76">
        <v>0</v>
      </c>
      <c r="I39" s="74">
        <v>0</v>
      </c>
      <c r="J39" s="46">
        <f t="shared" si="1"/>
        <v>3</v>
      </c>
      <c r="K39" s="70"/>
      <c r="L39" s="20">
        <v>60</v>
      </c>
      <c r="M39" s="63">
        <f t="shared" si="2"/>
        <v>0</v>
      </c>
      <c r="N39" s="17" t="s">
        <v>16</v>
      </c>
      <c r="O39" s="18"/>
      <c r="P39" s="23">
        <f t="shared" si="3"/>
        <v>0</v>
      </c>
      <c r="Q39" s="88">
        <v>16.690000000000001</v>
      </c>
      <c r="R39" s="43">
        <f t="shared" si="4"/>
        <v>0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+'6'!J40</f>
        <v>11</v>
      </c>
      <c r="F40" s="69"/>
      <c r="G40" s="46">
        <f t="shared" si="0"/>
        <v>11</v>
      </c>
      <c r="H40" s="76">
        <v>0</v>
      </c>
      <c r="I40" s="74">
        <v>0</v>
      </c>
      <c r="J40" s="46">
        <f t="shared" si="1"/>
        <v>9</v>
      </c>
      <c r="K40" s="70">
        <v>2</v>
      </c>
      <c r="L40" s="20">
        <v>50</v>
      </c>
      <c r="M40" s="63">
        <f t="shared" si="2"/>
        <v>100</v>
      </c>
      <c r="N40" s="17" t="s">
        <v>16</v>
      </c>
      <c r="O40" s="18"/>
      <c r="P40" s="161">
        <f t="shared" si="3"/>
        <v>100</v>
      </c>
      <c r="Q40" s="88">
        <v>24.21</v>
      </c>
      <c r="R40" s="43">
        <f t="shared" si="4"/>
        <v>48.42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+'6'!J41</f>
        <v>8</v>
      </c>
      <c r="F41" s="69"/>
      <c r="G41" s="46">
        <f t="shared" si="0"/>
        <v>8</v>
      </c>
      <c r="H41" s="76">
        <v>0</v>
      </c>
      <c r="I41" s="74">
        <v>0</v>
      </c>
      <c r="J41" s="46">
        <f t="shared" si="1"/>
        <v>5</v>
      </c>
      <c r="K41" s="70">
        <v>3</v>
      </c>
      <c r="L41" s="20">
        <v>50</v>
      </c>
      <c r="M41" s="63">
        <f t="shared" si="2"/>
        <v>150</v>
      </c>
      <c r="N41" s="17" t="s">
        <v>16</v>
      </c>
      <c r="O41" s="18"/>
      <c r="P41" s="161">
        <f t="shared" si="3"/>
        <v>150</v>
      </c>
      <c r="Q41" s="88">
        <v>23.02</v>
      </c>
      <c r="R41" s="43">
        <f t="shared" si="4"/>
        <v>69.06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+'6'!J42</f>
        <v>456</v>
      </c>
      <c r="F42" s="69"/>
      <c r="G42" s="46">
        <f t="shared" si="0"/>
        <v>456</v>
      </c>
      <c r="H42" s="76">
        <v>0</v>
      </c>
      <c r="I42" s="74">
        <v>0</v>
      </c>
      <c r="J42" s="46">
        <f t="shared" si="1"/>
        <v>283</v>
      </c>
      <c r="K42" s="70">
        <v>173</v>
      </c>
      <c r="L42" s="20">
        <v>0</v>
      </c>
      <c r="M42" s="63">
        <f t="shared" si="2"/>
        <v>0</v>
      </c>
      <c r="N42" s="17" t="s">
        <v>16</v>
      </c>
      <c r="O42" s="18"/>
      <c r="P42" s="23">
        <f t="shared" si="3"/>
        <v>0</v>
      </c>
      <c r="Q42" s="88">
        <v>6.3</v>
      </c>
      <c r="R42" s="43">
        <f t="shared" si="4"/>
        <v>1089.8999999999999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+'6'!J43</f>
        <v>136</v>
      </c>
      <c r="F43" s="69"/>
      <c r="G43" s="46">
        <f t="shared" si="0"/>
        <v>136</v>
      </c>
      <c r="H43" s="76">
        <v>0</v>
      </c>
      <c r="I43" s="74">
        <v>0</v>
      </c>
      <c r="J43" s="46">
        <f t="shared" si="1"/>
        <v>136</v>
      </c>
      <c r="K43" s="70"/>
      <c r="L43" s="22">
        <v>10</v>
      </c>
      <c r="M43" s="63">
        <f>+L43*K43</f>
        <v>0</v>
      </c>
      <c r="N43" s="17" t="s">
        <v>16</v>
      </c>
      <c r="O43" s="18"/>
      <c r="P43" s="23">
        <f>SUM(M43-O43)</f>
        <v>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+'6'!J44</f>
        <v>7</v>
      </c>
      <c r="F44" s="69"/>
      <c r="G44" s="46">
        <f t="shared" si="0"/>
        <v>7</v>
      </c>
      <c r="H44" s="76">
        <v>0</v>
      </c>
      <c r="I44" s="74">
        <v>0</v>
      </c>
      <c r="J44" s="46">
        <f t="shared" si="1"/>
        <v>6</v>
      </c>
      <c r="K44" s="70">
        <v>1</v>
      </c>
      <c r="L44" s="20">
        <v>150</v>
      </c>
      <c r="M44" s="63">
        <f t="shared" si="2"/>
        <v>150</v>
      </c>
      <c r="N44" s="17" t="s">
        <v>16</v>
      </c>
      <c r="O44" s="18"/>
      <c r="P44" s="161">
        <f t="shared" si="3"/>
        <v>150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+'6'!J45</f>
        <v>5</v>
      </c>
      <c r="F45" s="69"/>
      <c r="G45" s="46">
        <f t="shared" si="0"/>
        <v>5</v>
      </c>
      <c r="H45" s="76">
        <v>0</v>
      </c>
      <c r="I45" s="74">
        <v>0</v>
      </c>
      <c r="J45" s="46">
        <f t="shared" si="1"/>
        <v>5</v>
      </c>
      <c r="K45" s="70"/>
      <c r="L45" s="15">
        <v>150</v>
      </c>
      <c r="M45" s="63">
        <f t="shared" si="2"/>
        <v>0</v>
      </c>
      <c r="N45" s="17" t="s">
        <v>16</v>
      </c>
      <c r="O45" s="18"/>
      <c r="P45" s="23">
        <f t="shared" si="3"/>
        <v>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+'6'!J46</f>
        <v>0</v>
      </c>
      <c r="F46" s="69">
        <v>10</v>
      </c>
      <c r="G46" s="46">
        <f t="shared" si="0"/>
        <v>10</v>
      </c>
      <c r="H46" s="76">
        <v>0</v>
      </c>
      <c r="I46" s="74">
        <v>0</v>
      </c>
      <c r="J46" s="46">
        <f t="shared" si="1"/>
        <v>7</v>
      </c>
      <c r="K46" s="70">
        <v>3</v>
      </c>
      <c r="L46" s="15">
        <v>25</v>
      </c>
      <c r="M46" s="63">
        <f t="shared" si="2"/>
        <v>75</v>
      </c>
      <c r="N46" s="17" t="s">
        <v>16</v>
      </c>
      <c r="O46" s="18"/>
      <c r="P46" s="161">
        <f t="shared" si="3"/>
        <v>75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+'6'!J47</f>
        <v>8</v>
      </c>
      <c r="F47" s="69"/>
      <c r="G47" s="46">
        <f t="shared" si="0"/>
        <v>8</v>
      </c>
      <c r="H47" s="76">
        <v>0</v>
      </c>
      <c r="I47" s="74">
        <v>0</v>
      </c>
      <c r="J47" s="46">
        <f t="shared" si="1"/>
        <v>6</v>
      </c>
      <c r="K47" s="70">
        <v>2</v>
      </c>
      <c r="L47" s="15">
        <v>35</v>
      </c>
      <c r="M47" s="63">
        <f t="shared" si="2"/>
        <v>70</v>
      </c>
      <c r="N47" s="17" t="s">
        <v>16</v>
      </c>
      <c r="O47" s="18"/>
      <c r="P47" s="161">
        <f t="shared" si="3"/>
        <v>70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+'6'!J48</f>
        <v>153</v>
      </c>
      <c r="F48" s="69"/>
      <c r="G48" s="46">
        <f t="shared" si="0"/>
        <v>153</v>
      </c>
      <c r="H48" s="76">
        <v>0</v>
      </c>
      <c r="I48" s="74">
        <v>0</v>
      </c>
      <c r="J48" s="46">
        <f t="shared" si="1"/>
        <v>69</v>
      </c>
      <c r="K48" s="70">
        <v>84</v>
      </c>
      <c r="L48" s="15">
        <v>19</v>
      </c>
      <c r="M48" s="63">
        <f>+L48*K48</f>
        <v>1596</v>
      </c>
      <c r="N48" s="17" t="s">
        <v>16</v>
      </c>
      <c r="O48" s="18"/>
      <c r="P48" s="161">
        <f>SUM(M48-O48)</f>
        <v>1596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+'6'!J49</f>
        <v>34</v>
      </c>
      <c r="F49" s="69"/>
      <c r="G49" s="46">
        <f t="shared" si="0"/>
        <v>34</v>
      </c>
      <c r="H49" s="76">
        <v>0</v>
      </c>
      <c r="I49" s="74">
        <v>0</v>
      </c>
      <c r="J49" s="46">
        <f t="shared" si="1"/>
        <v>33</v>
      </c>
      <c r="K49" s="70">
        <v>1</v>
      </c>
      <c r="L49" s="15">
        <v>25</v>
      </c>
      <c r="M49" s="63">
        <f>+L49*K49</f>
        <v>25</v>
      </c>
      <c r="N49" s="17" t="s">
        <v>16</v>
      </c>
      <c r="O49" s="18"/>
      <c r="P49" s="161">
        <f>SUM(M49-O49)</f>
        <v>25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+'6'!J50</f>
        <v>11</v>
      </c>
      <c r="F50" s="69"/>
      <c r="G50" s="46">
        <f t="shared" si="0"/>
        <v>11</v>
      </c>
      <c r="H50" s="76">
        <v>0</v>
      </c>
      <c r="I50" s="74">
        <v>0</v>
      </c>
      <c r="J50" s="46">
        <f t="shared" si="1"/>
        <v>4</v>
      </c>
      <c r="K50" s="70">
        <v>7</v>
      </c>
      <c r="L50" s="15">
        <v>25</v>
      </c>
      <c r="M50" s="63">
        <f t="shared" si="2"/>
        <v>175</v>
      </c>
      <c r="N50" s="17" t="s">
        <v>16</v>
      </c>
      <c r="O50" s="18">
        <v>150</v>
      </c>
      <c r="P50" s="161">
        <f t="shared" si="3"/>
        <v>25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+'6'!J51</f>
        <v>55</v>
      </c>
      <c r="F51" s="69"/>
      <c r="G51" s="46">
        <f t="shared" si="0"/>
        <v>55</v>
      </c>
      <c r="H51" s="76">
        <v>0</v>
      </c>
      <c r="I51" s="74">
        <v>0</v>
      </c>
      <c r="J51" s="46">
        <f t="shared" si="1"/>
        <v>49</v>
      </c>
      <c r="K51" s="70">
        <v>6</v>
      </c>
      <c r="L51" s="20">
        <v>25</v>
      </c>
      <c r="M51" s="63">
        <f>+L51*K51</f>
        <v>150</v>
      </c>
      <c r="N51" s="17" t="s">
        <v>16</v>
      </c>
      <c r="O51" s="18">
        <v>40</v>
      </c>
      <c r="P51" s="161">
        <f>SUM(M51-O51)</f>
        <v>110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+'6'!J52</f>
        <v>11</v>
      </c>
      <c r="F52" s="69"/>
      <c r="G52" s="46">
        <f t="shared" si="0"/>
        <v>11</v>
      </c>
      <c r="H52" s="76">
        <v>0</v>
      </c>
      <c r="I52" s="74">
        <v>0</v>
      </c>
      <c r="J52" s="46">
        <f t="shared" si="1"/>
        <v>6</v>
      </c>
      <c r="K52" s="70">
        <v>5</v>
      </c>
      <c r="L52" s="20">
        <v>35</v>
      </c>
      <c r="M52" s="63">
        <f>+L52*K52</f>
        <v>175</v>
      </c>
      <c r="N52" s="17" t="s">
        <v>16</v>
      </c>
      <c r="O52" s="18"/>
      <c r="P52" s="161">
        <f>SUM(M52-O52)</f>
        <v>175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+'6'!J53</f>
        <v>34</v>
      </c>
      <c r="F53" s="69"/>
      <c r="G53" s="46">
        <f t="shared" si="0"/>
        <v>34</v>
      </c>
      <c r="H53" s="76">
        <v>0</v>
      </c>
      <c r="I53" s="74">
        <v>0</v>
      </c>
      <c r="J53" s="46">
        <f t="shared" si="1"/>
        <v>30</v>
      </c>
      <c r="K53" s="70">
        <v>4</v>
      </c>
      <c r="L53" s="15">
        <v>35</v>
      </c>
      <c r="M53" s="63">
        <f>+L53*K53</f>
        <v>140</v>
      </c>
      <c r="N53" s="17" t="s">
        <v>16</v>
      </c>
      <c r="O53" s="18"/>
      <c r="P53" s="161">
        <f>SUM(M53-O53)</f>
        <v>140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+'6'!J54</f>
        <v>7</v>
      </c>
      <c r="F54" s="69"/>
      <c r="G54" s="46">
        <f t="shared" si="0"/>
        <v>7</v>
      </c>
      <c r="H54" s="76">
        <v>0</v>
      </c>
      <c r="I54" s="74">
        <v>0</v>
      </c>
      <c r="J54" s="46">
        <f t="shared" si="1"/>
        <v>3</v>
      </c>
      <c r="K54" s="70">
        <v>4</v>
      </c>
      <c r="L54" s="15">
        <v>35</v>
      </c>
      <c r="M54" s="63">
        <f t="shared" si="2"/>
        <v>140</v>
      </c>
      <c r="N54" s="17" t="s">
        <v>16</v>
      </c>
      <c r="O54" s="18"/>
      <c r="P54" s="161">
        <f t="shared" si="3"/>
        <v>140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+'6'!J55</f>
        <v>15</v>
      </c>
      <c r="F55" s="69"/>
      <c r="G55" s="46">
        <f t="shared" si="0"/>
        <v>15</v>
      </c>
      <c r="H55" s="76">
        <v>0</v>
      </c>
      <c r="I55" s="74">
        <v>0</v>
      </c>
      <c r="J55" s="46">
        <f t="shared" si="1"/>
        <v>14</v>
      </c>
      <c r="K55" s="70">
        <v>1</v>
      </c>
      <c r="L55" s="15">
        <v>120</v>
      </c>
      <c r="M55" s="63">
        <f>+L55*K55</f>
        <v>120</v>
      </c>
      <c r="N55" s="17" t="s">
        <v>16</v>
      </c>
      <c r="O55" s="18"/>
      <c r="P55" s="161">
        <f>SUM(M55-O55)</f>
        <v>120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+'6'!J56</f>
        <v>20</v>
      </c>
      <c r="F56" s="69"/>
      <c r="G56" s="46">
        <f t="shared" si="0"/>
        <v>20</v>
      </c>
      <c r="H56" s="76">
        <v>0</v>
      </c>
      <c r="I56" s="74">
        <v>0</v>
      </c>
      <c r="J56" s="46">
        <f t="shared" si="1"/>
        <v>19</v>
      </c>
      <c r="K56" s="70">
        <v>1</v>
      </c>
      <c r="L56" s="15">
        <v>120</v>
      </c>
      <c r="M56" s="63">
        <f>+L56*K56</f>
        <v>120</v>
      </c>
      <c r="N56" s="17" t="s">
        <v>16</v>
      </c>
      <c r="O56" s="18"/>
      <c r="P56" s="161">
        <f>SUM(M56-O56)</f>
        <v>120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+'6'!J57</f>
        <v>19</v>
      </c>
      <c r="F57" s="69"/>
      <c r="G57" s="46">
        <f t="shared" si="0"/>
        <v>19</v>
      </c>
      <c r="H57" s="76">
        <v>0</v>
      </c>
      <c r="I57" s="74">
        <v>0</v>
      </c>
      <c r="J57" s="46">
        <f t="shared" si="1"/>
        <v>19</v>
      </c>
      <c r="K57" s="70"/>
      <c r="L57" s="20">
        <v>120</v>
      </c>
      <c r="M57" s="63">
        <f t="shared" si="2"/>
        <v>0</v>
      </c>
      <c r="N57" s="17" t="s">
        <v>16</v>
      </c>
      <c r="O57" s="18"/>
      <c r="P57" s="23">
        <f t="shared" si="3"/>
        <v>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+'6'!J58</f>
        <v>24</v>
      </c>
      <c r="F58" s="69"/>
      <c r="G58" s="46">
        <f t="shared" si="0"/>
        <v>24</v>
      </c>
      <c r="H58" s="76">
        <v>0</v>
      </c>
      <c r="I58" s="74">
        <v>0</v>
      </c>
      <c r="J58" s="46">
        <f t="shared" si="1"/>
        <v>24</v>
      </c>
      <c r="K58" s="70"/>
      <c r="L58" s="20">
        <v>120</v>
      </c>
      <c r="M58" s="63">
        <f t="shared" si="2"/>
        <v>0</v>
      </c>
      <c r="N58" s="17" t="s">
        <v>16</v>
      </c>
      <c r="O58" s="18"/>
      <c r="P58" s="23">
        <f t="shared" si="3"/>
        <v>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/>
      <c r="D59" s="10"/>
      <c r="E59" s="62">
        <f>+'6'!J59</f>
        <v>0</v>
      </c>
      <c r="F59" s="69"/>
      <c r="G59" s="46"/>
      <c r="H59" s="76"/>
      <c r="I59" s="74"/>
      <c r="J59" s="46"/>
      <c r="K59" s="70"/>
      <c r="L59" s="20"/>
      <c r="M59" s="63"/>
      <c r="N59" s="17"/>
      <c r="O59" s="18"/>
      <c r="P59" s="23"/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+'6'!J60</f>
        <v>0</v>
      </c>
      <c r="F60" s="69"/>
      <c r="G60" s="46"/>
      <c r="H60" s="76"/>
      <c r="I60" s="74"/>
      <c r="J60" s="46"/>
      <c r="K60" s="70"/>
      <c r="L60" s="20"/>
      <c r="M60" s="63"/>
      <c r="N60" s="17"/>
      <c r="O60" s="18"/>
      <c r="P60" s="23"/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+'6'!J61</f>
        <v>0</v>
      </c>
      <c r="F61" s="69"/>
      <c r="G61" s="46"/>
      <c r="H61" s="76"/>
      <c r="I61" s="74"/>
      <c r="J61" s="46"/>
      <c r="K61" s="70"/>
      <c r="L61" s="20"/>
      <c r="M61" s="63"/>
      <c r="N61" s="17"/>
      <c r="O61" s="18"/>
      <c r="P61" s="23"/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>
        <f>+'6'!J62</f>
        <v>0</v>
      </c>
      <c r="F62" s="69"/>
      <c r="G62" s="46"/>
      <c r="H62" s="76"/>
      <c r="I62" s="74"/>
      <c r="J62" s="46"/>
      <c r="K62" s="70"/>
      <c r="L62" s="20"/>
      <c r="M62" s="63"/>
      <c r="N62" s="17"/>
      <c r="O62" s="18"/>
      <c r="P62" s="23"/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>
        <f>+'6'!J63</f>
        <v>0</v>
      </c>
      <c r="F63" s="69"/>
      <c r="G63" s="46"/>
      <c r="H63" s="76"/>
      <c r="I63" s="74"/>
      <c r="J63" s="46"/>
      <c r="K63" s="70"/>
      <c r="L63" s="20"/>
      <c r="M63" s="63"/>
      <c r="N63" s="17"/>
      <c r="O63" s="18"/>
      <c r="P63" s="23"/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>
        <f>+'6'!J64</f>
        <v>0</v>
      </c>
      <c r="F64" s="69"/>
      <c r="G64" s="46"/>
      <c r="H64" s="76"/>
      <c r="I64" s="74"/>
      <c r="J64" s="46"/>
      <c r="K64" s="70"/>
      <c r="L64" s="20"/>
      <c r="M64" s="63"/>
      <c r="N64" s="17"/>
      <c r="O64" s="18"/>
      <c r="P64" s="23"/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/>
      <c r="F65" s="69"/>
      <c r="G65" s="46"/>
      <c r="H65" s="76"/>
      <c r="I65" s="74"/>
      <c r="J65" s="46"/>
      <c r="K65" s="70"/>
      <c r="L65" s="20"/>
      <c r="M65" s="63"/>
      <c r="N65" s="17"/>
      <c r="O65" s="18"/>
      <c r="P65" s="23"/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7112.5699999999988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19601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>
        <v>15</v>
      </c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7657</v>
      </c>
      <c r="O70" s="2">
        <v>7657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>
        <v>700</v>
      </c>
      <c r="O72" s="2" t="s">
        <v>1397</v>
      </c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330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10899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10899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0</v>
      </c>
    </row>
    <row r="77" spans="1:19" ht="25.5" x14ac:dyDescent="0.55000000000000004">
      <c r="J77" s="2"/>
      <c r="L77" s="148" t="s">
        <v>211</v>
      </c>
      <c r="M77" s="149"/>
      <c r="N77" s="33">
        <f>+N75-N74</f>
        <v>0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B528-2BC0-4B08-ABFB-6ECDD947065E}">
  <sheetPr filterMode="1">
    <tabColor rgb="FFFFCCFF"/>
    <pageSetUpPr fitToPage="1"/>
  </sheetPr>
  <dimension ref="A1:S152"/>
  <sheetViews>
    <sheetView zoomScale="85" zoomScaleNormal="85" workbookViewId="0">
      <pane xSplit="10" ySplit="4" topLeftCell="N5" activePane="bottomRight" state="frozen"/>
      <selection activeCell="A66" sqref="A66:XFD74"/>
      <selection pane="topRight" activeCell="A66" sqref="A66:XFD74"/>
      <selection pane="bottomLeft" activeCell="A66" sqref="A66:XFD74"/>
      <selection pane="bottomRight" activeCell="P75" sqref="P75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+'7'!J5</f>
        <v>46</v>
      </c>
      <c r="F5" s="69"/>
      <c r="G5" s="46">
        <f t="shared" ref="G5:G58" si="0">E5+F5</f>
        <v>46</v>
      </c>
      <c r="H5" s="76">
        <v>0</v>
      </c>
      <c r="I5" s="74">
        <v>0</v>
      </c>
      <c r="J5" s="46">
        <f t="shared" ref="J5:J58" si="1">+G5-H5-K5-I5</f>
        <v>35</v>
      </c>
      <c r="K5" s="70">
        <v>11</v>
      </c>
      <c r="L5" s="15">
        <v>50</v>
      </c>
      <c r="M5" s="63">
        <f>+L5*K5</f>
        <v>550</v>
      </c>
      <c r="N5" s="17" t="s">
        <v>16</v>
      </c>
      <c r="O5" s="18"/>
      <c r="P5" s="161">
        <f>SUM(M5-O5)</f>
        <v>550</v>
      </c>
      <c r="Q5" s="88">
        <v>18.97</v>
      </c>
      <c r="R5" s="43">
        <f>+K5*Q5</f>
        <v>208.67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+'7'!J6</f>
        <v>41</v>
      </c>
      <c r="F6" s="69"/>
      <c r="G6" s="46">
        <f t="shared" si="0"/>
        <v>41</v>
      </c>
      <c r="H6" s="76">
        <v>0</v>
      </c>
      <c r="I6" s="74">
        <v>0</v>
      </c>
      <c r="J6" s="46">
        <f t="shared" si="1"/>
        <v>27</v>
      </c>
      <c r="K6" s="70">
        <v>14</v>
      </c>
      <c r="L6" s="15">
        <v>100</v>
      </c>
      <c r="M6" s="63">
        <f t="shared" ref="M6:M58" si="2">+L6*K6</f>
        <v>1400</v>
      </c>
      <c r="N6" s="17" t="s">
        <v>16</v>
      </c>
      <c r="O6" s="18"/>
      <c r="P6" s="161">
        <f t="shared" ref="P6:P58" si="3">SUM(M6-O6)</f>
        <v>1400</v>
      </c>
      <c r="Q6" s="88">
        <v>36.43</v>
      </c>
      <c r="R6" s="43">
        <f t="shared" ref="R6:R65" si="4">+K6*Q6</f>
        <v>510.02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+'7'!J7</f>
        <v>65</v>
      </c>
      <c r="F7" s="69"/>
      <c r="G7" s="46">
        <f t="shared" si="0"/>
        <v>65</v>
      </c>
      <c r="H7" s="76">
        <v>0</v>
      </c>
      <c r="I7" s="74">
        <v>0</v>
      </c>
      <c r="J7" s="46">
        <f t="shared" si="1"/>
        <v>62</v>
      </c>
      <c r="K7" s="70">
        <v>3</v>
      </c>
      <c r="L7" s="15">
        <v>50</v>
      </c>
      <c r="M7" s="63">
        <f t="shared" si="2"/>
        <v>150</v>
      </c>
      <c r="N7" s="17" t="s">
        <v>16</v>
      </c>
      <c r="O7" s="18"/>
      <c r="P7" s="161">
        <f t="shared" si="3"/>
        <v>150</v>
      </c>
      <c r="Q7" s="88">
        <v>19.36</v>
      </c>
      <c r="R7" s="43">
        <f t="shared" si="4"/>
        <v>58.08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+'7'!J8</f>
        <v>4</v>
      </c>
      <c r="F8" s="69"/>
      <c r="G8" s="46">
        <f t="shared" si="0"/>
        <v>4</v>
      </c>
      <c r="H8" s="76">
        <v>0</v>
      </c>
      <c r="I8" s="74">
        <v>0</v>
      </c>
      <c r="J8" s="46">
        <f t="shared" si="1"/>
        <v>0</v>
      </c>
      <c r="K8" s="70">
        <v>4</v>
      </c>
      <c r="L8" s="15">
        <v>65</v>
      </c>
      <c r="M8" s="63">
        <f t="shared" si="2"/>
        <v>260</v>
      </c>
      <c r="N8" s="17" t="s">
        <v>16</v>
      </c>
      <c r="O8" s="18"/>
      <c r="P8" s="161">
        <f t="shared" si="3"/>
        <v>260</v>
      </c>
      <c r="Q8" s="88">
        <v>22.25</v>
      </c>
      <c r="R8" s="43">
        <f t="shared" si="4"/>
        <v>89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+'7'!J9</f>
        <v>15</v>
      </c>
      <c r="F9" s="69"/>
      <c r="G9" s="46">
        <f t="shared" si="0"/>
        <v>15</v>
      </c>
      <c r="H9" s="76">
        <v>0</v>
      </c>
      <c r="I9" s="74">
        <v>0</v>
      </c>
      <c r="J9" s="46">
        <f t="shared" si="1"/>
        <v>14</v>
      </c>
      <c r="K9" s="70">
        <v>1</v>
      </c>
      <c r="L9" s="15">
        <v>85</v>
      </c>
      <c r="M9" s="63">
        <f t="shared" si="2"/>
        <v>85</v>
      </c>
      <c r="N9" s="17" t="s">
        <v>16</v>
      </c>
      <c r="O9" s="18"/>
      <c r="P9" s="161">
        <f t="shared" si="3"/>
        <v>85</v>
      </c>
      <c r="Q9" s="88">
        <v>22.65</v>
      </c>
      <c r="R9" s="43">
        <f t="shared" si="4"/>
        <v>22.65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+'7'!J10</f>
        <v>2</v>
      </c>
      <c r="F10" s="69">
        <v>70</v>
      </c>
      <c r="G10" s="46">
        <f t="shared" si="0"/>
        <v>72</v>
      </c>
      <c r="H10" s="76">
        <v>0</v>
      </c>
      <c r="I10" s="74">
        <v>0</v>
      </c>
      <c r="J10" s="46">
        <f t="shared" si="1"/>
        <v>59</v>
      </c>
      <c r="K10" s="70">
        <v>13</v>
      </c>
      <c r="L10" s="15">
        <v>100</v>
      </c>
      <c r="M10" s="63">
        <f t="shared" si="2"/>
        <v>1300</v>
      </c>
      <c r="N10" s="17" t="s">
        <v>16</v>
      </c>
      <c r="O10" s="18"/>
      <c r="P10" s="161">
        <f t="shared" si="3"/>
        <v>1300</v>
      </c>
      <c r="Q10" s="88">
        <v>27.98</v>
      </c>
      <c r="R10" s="43">
        <f t="shared" si="4"/>
        <v>363.74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+'7'!J11</f>
        <v>11</v>
      </c>
      <c r="F11" s="69">
        <v>70</v>
      </c>
      <c r="G11" s="46">
        <f t="shared" si="0"/>
        <v>81</v>
      </c>
      <c r="H11" s="76">
        <v>0</v>
      </c>
      <c r="I11" s="74">
        <v>0</v>
      </c>
      <c r="J11" s="46">
        <f t="shared" si="1"/>
        <v>67</v>
      </c>
      <c r="K11" s="70">
        <v>14</v>
      </c>
      <c r="L11" s="15">
        <v>100</v>
      </c>
      <c r="M11" s="63">
        <f t="shared" si="2"/>
        <v>1400</v>
      </c>
      <c r="N11" s="17" t="s">
        <v>16</v>
      </c>
      <c r="O11" s="18"/>
      <c r="P11" s="161">
        <f t="shared" si="3"/>
        <v>1400</v>
      </c>
      <c r="Q11" s="88">
        <v>34.64</v>
      </c>
      <c r="R11" s="43">
        <f t="shared" si="4"/>
        <v>484.96000000000004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+'7'!J12</f>
        <v>10</v>
      </c>
      <c r="F12" s="69"/>
      <c r="G12" s="46">
        <f t="shared" si="0"/>
        <v>10</v>
      </c>
      <c r="H12" s="76">
        <v>0</v>
      </c>
      <c r="I12" s="74">
        <v>0</v>
      </c>
      <c r="J12" s="46">
        <f t="shared" si="1"/>
        <v>8</v>
      </c>
      <c r="K12" s="70">
        <v>2</v>
      </c>
      <c r="L12" s="20">
        <v>130</v>
      </c>
      <c r="M12" s="63">
        <f t="shared" si="2"/>
        <v>260</v>
      </c>
      <c r="N12" s="17" t="s">
        <v>16</v>
      </c>
      <c r="O12" s="18"/>
      <c r="P12" s="161">
        <f t="shared" si="3"/>
        <v>260</v>
      </c>
      <c r="Q12" s="88">
        <v>46.37</v>
      </c>
      <c r="R12" s="43">
        <f t="shared" si="4"/>
        <v>92.74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+'7'!J13</f>
        <v>0</v>
      </c>
      <c r="F13" s="69"/>
      <c r="G13" s="46">
        <f t="shared" si="0"/>
        <v>0</v>
      </c>
      <c r="H13" s="76">
        <v>0</v>
      </c>
      <c r="I13" s="74">
        <v>0</v>
      </c>
      <c r="J13" s="46">
        <f t="shared" si="1"/>
        <v>0</v>
      </c>
      <c r="K13" s="70"/>
      <c r="L13" s="15">
        <v>130</v>
      </c>
      <c r="M13" s="63">
        <f t="shared" si="2"/>
        <v>0</v>
      </c>
      <c r="N13" s="17" t="s">
        <v>16</v>
      </c>
      <c r="O13" s="18"/>
      <c r="P13" s="23">
        <f t="shared" si="3"/>
        <v>0</v>
      </c>
      <c r="Q13" s="88">
        <v>38.9</v>
      </c>
      <c r="R13" s="43">
        <f t="shared" si="4"/>
        <v>0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+'7'!J14</f>
        <v>1</v>
      </c>
      <c r="F14" s="69">
        <v>15</v>
      </c>
      <c r="G14" s="46">
        <f t="shared" si="0"/>
        <v>16</v>
      </c>
      <c r="H14" s="76">
        <v>0</v>
      </c>
      <c r="I14" s="74">
        <v>0</v>
      </c>
      <c r="J14" s="46">
        <f t="shared" si="1"/>
        <v>8</v>
      </c>
      <c r="K14" s="70">
        <v>8</v>
      </c>
      <c r="L14" s="15">
        <v>50</v>
      </c>
      <c r="M14" s="63">
        <f t="shared" si="2"/>
        <v>400</v>
      </c>
      <c r="N14" s="17" t="s">
        <v>16</v>
      </c>
      <c r="O14" s="18"/>
      <c r="P14" s="161">
        <f t="shared" si="3"/>
        <v>400</v>
      </c>
      <c r="Q14" s="88">
        <v>27.84</v>
      </c>
      <c r="R14" s="43">
        <f t="shared" si="4"/>
        <v>222.72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+'7'!J15</f>
        <v>3</v>
      </c>
      <c r="F15" s="69">
        <v>10</v>
      </c>
      <c r="G15" s="46">
        <f t="shared" si="0"/>
        <v>13</v>
      </c>
      <c r="H15" s="76">
        <v>0</v>
      </c>
      <c r="I15" s="74">
        <v>0</v>
      </c>
      <c r="J15" s="46">
        <f t="shared" si="1"/>
        <v>11</v>
      </c>
      <c r="K15" s="70">
        <v>2</v>
      </c>
      <c r="L15" s="15">
        <v>50</v>
      </c>
      <c r="M15" s="63">
        <f t="shared" si="2"/>
        <v>100</v>
      </c>
      <c r="N15" s="17" t="s">
        <v>16</v>
      </c>
      <c r="O15" s="18"/>
      <c r="P15" s="161">
        <f t="shared" si="3"/>
        <v>100</v>
      </c>
      <c r="Q15" s="88">
        <v>27.12</v>
      </c>
      <c r="R15" s="43">
        <f t="shared" si="4"/>
        <v>54.24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+'7'!J16</f>
        <v>14</v>
      </c>
      <c r="F16" s="69"/>
      <c r="G16" s="46">
        <f t="shared" si="0"/>
        <v>14</v>
      </c>
      <c r="H16" s="76">
        <v>0</v>
      </c>
      <c r="I16" s="74">
        <v>0</v>
      </c>
      <c r="J16" s="46">
        <f t="shared" si="1"/>
        <v>12</v>
      </c>
      <c r="K16" s="70">
        <v>2</v>
      </c>
      <c r="L16" s="20">
        <v>50</v>
      </c>
      <c r="M16" s="63">
        <f t="shared" si="2"/>
        <v>100</v>
      </c>
      <c r="N16" s="17" t="s">
        <v>16</v>
      </c>
      <c r="O16" s="18"/>
      <c r="P16" s="161">
        <f t="shared" si="3"/>
        <v>100</v>
      </c>
      <c r="Q16" s="88">
        <v>15.42</v>
      </c>
      <c r="R16" s="43">
        <f t="shared" si="4"/>
        <v>30.84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+'7'!J17</f>
        <v>1</v>
      </c>
      <c r="F17" s="69">
        <v>10</v>
      </c>
      <c r="G17" s="46">
        <f t="shared" si="0"/>
        <v>11</v>
      </c>
      <c r="H17" s="76">
        <v>0</v>
      </c>
      <c r="I17" s="74">
        <v>0</v>
      </c>
      <c r="J17" s="46">
        <f t="shared" si="1"/>
        <v>9</v>
      </c>
      <c r="K17" s="70">
        <v>2</v>
      </c>
      <c r="L17" s="15">
        <v>50</v>
      </c>
      <c r="M17" s="63">
        <f t="shared" si="2"/>
        <v>100</v>
      </c>
      <c r="N17" s="17" t="s">
        <v>16</v>
      </c>
      <c r="O17" s="18"/>
      <c r="P17" s="161">
        <f t="shared" si="3"/>
        <v>100</v>
      </c>
      <c r="Q17" s="88">
        <v>17.78</v>
      </c>
      <c r="R17" s="43">
        <f t="shared" si="4"/>
        <v>35.56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+'7'!J18</f>
        <v>8</v>
      </c>
      <c r="F18" s="69"/>
      <c r="G18" s="46">
        <f t="shared" si="0"/>
        <v>8</v>
      </c>
      <c r="H18" s="76">
        <v>0</v>
      </c>
      <c r="I18" s="74">
        <v>0</v>
      </c>
      <c r="J18" s="46">
        <f t="shared" si="1"/>
        <v>1</v>
      </c>
      <c r="K18" s="70">
        <v>7</v>
      </c>
      <c r="L18" s="20">
        <v>50</v>
      </c>
      <c r="M18" s="63">
        <f t="shared" si="2"/>
        <v>350</v>
      </c>
      <c r="N18" s="17" t="s">
        <v>16</v>
      </c>
      <c r="O18" s="18"/>
      <c r="P18" s="161">
        <f t="shared" si="3"/>
        <v>350</v>
      </c>
      <c r="Q18" s="88">
        <v>17.989999999999998</v>
      </c>
      <c r="R18" s="43">
        <f t="shared" si="4"/>
        <v>125.92999999999999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+'7'!J19</f>
        <v>12</v>
      </c>
      <c r="F19" s="69"/>
      <c r="G19" s="46">
        <f t="shared" si="0"/>
        <v>12</v>
      </c>
      <c r="H19" s="76">
        <v>0</v>
      </c>
      <c r="I19" s="74">
        <v>0</v>
      </c>
      <c r="J19" s="46">
        <f t="shared" si="1"/>
        <v>11</v>
      </c>
      <c r="K19" s="70">
        <v>1</v>
      </c>
      <c r="L19" s="15">
        <v>50</v>
      </c>
      <c r="M19" s="63">
        <f t="shared" si="2"/>
        <v>50</v>
      </c>
      <c r="N19" s="17" t="s">
        <v>16</v>
      </c>
      <c r="O19" s="18"/>
      <c r="P19" s="161">
        <f t="shared" si="3"/>
        <v>50</v>
      </c>
      <c r="Q19" s="88">
        <v>20.059999999999999</v>
      </c>
      <c r="R19" s="43">
        <f t="shared" si="4"/>
        <v>20.059999999999999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+'7'!J20</f>
        <v>0</v>
      </c>
      <c r="F20" s="69">
        <v>5</v>
      </c>
      <c r="G20" s="46">
        <f t="shared" si="0"/>
        <v>5</v>
      </c>
      <c r="H20" s="76">
        <v>0</v>
      </c>
      <c r="I20" s="74">
        <v>0</v>
      </c>
      <c r="J20" s="46">
        <f t="shared" si="1"/>
        <v>4</v>
      </c>
      <c r="K20" s="70">
        <v>1</v>
      </c>
      <c r="L20" s="15">
        <v>50</v>
      </c>
      <c r="M20" s="63">
        <f t="shared" si="2"/>
        <v>50</v>
      </c>
      <c r="N20" s="17" t="s">
        <v>16</v>
      </c>
      <c r="O20" s="18"/>
      <c r="P20" s="161">
        <f t="shared" si="3"/>
        <v>50</v>
      </c>
      <c r="Q20" s="88">
        <v>20.32</v>
      </c>
      <c r="R20" s="43">
        <f t="shared" si="4"/>
        <v>20.32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+'7'!J21</f>
        <v>15</v>
      </c>
      <c r="F21" s="69">
        <v>15</v>
      </c>
      <c r="G21" s="46">
        <f t="shared" si="0"/>
        <v>30</v>
      </c>
      <c r="H21" s="76">
        <v>0</v>
      </c>
      <c r="I21" s="74">
        <v>0</v>
      </c>
      <c r="J21" s="46">
        <f t="shared" si="1"/>
        <v>29</v>
      </c>
      <c r="K21" s="70">
        <v>1</v>
      </c>
      <c r="L21" s="15">
        <v>50</v>
      </c>
      <c r="M21" s="63">
        <f t="shared" si="2"/>
        <v>50</v>
      </c>
      <c r="N21" s="17" t="s">
        <v>16</v>
      </c>
      <c r="O21" s="18"/>
      <c r="P21" s="161">
        <f t="shared" si="3"/>
        <v>50</v>
      </c>
      <c r="Q21" s="88">
        <v>16.37</v>
      </c>
      <c r="R21" s="43">
        <f t="shared" si="4"/>
        <v>16.37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+'7'!J22</f>
        <v>10</v>
      </c>
      <c r="F22" s="69"/>
      <c r="G22" s="46">
        <f t="shared" si="0"/>
        <v>10</v>
      </c>
      <c r="H22" s="76">
        <v>0</v>
      </c>
      <c r="I22" s="74">
        <v>0</v>
      </c>
      <c r="J22" s="46">
        <f t="shared" si="1"/>
        <v>10</v>
      </c>
      <c r="K22" s="70"/>
      <c r="L22" s="15">
        <v>120</v>
      </c>
      <c r="M22" s="63">
        <f t="shared" si="2"/>
        <v>0</v>
      </c>
      <c r="N22" s="17" t="s">
        <v>16</v>
      </c>
      <c r="O22" s="18"/>
      <c r="P22" s="23">
        <f t="shared" si="3"/>
        <v>0</v>
      </c>
      <c r="Q22" s="88">
        <v>25.99</v>
      </c>
      <c r="R22" s="43">
        <f t="shared" si="4"/>
        <v>0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+'7'!J23</f>
        <v>3</v>
      </c>
      <c r="F23" s="69"/>
      <c r="G23" s="46">
        <f t="shared" si="0"/>
        <v>3</v>
      </c>
      <c r="H23" s="76">
        <v>0</v>
      </c>
      <c r="I23" s="74">
        <v>0</v>
      </c>
      <c r="J23" s="46">
        <f t="shared" si="1"/>
        <v>3</v>
      </c>
      <c r="K23" s="70"/>
      <c r="L23" s="15">
        <v>120</v>
      </c>
      <c r="M23" s="63">
        <f t="shared" si="2"/>
        <v>0</v>
      </c>
      <c r="N23" s="17" t="s">
        <v>16</v>
      </c>
      <c r="O23" s="18"/>
      <c r="P23" s="23">
        <f t="shared" si="3"/>
        <v>0</v>
      </c>
      <c r="Q23" s="88">
        <v>28.31</v>
      </c>
      <c r="R23" s="43">
        <f t="shared" si="4"/>
        <v>0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+'7'!J24</f>
        <v>12</v>
      </c>
      <c r="F24" s="69"/>
      <c r="G24" s="46">
        <f t="shared" si="0"/>
        <v>12</v>
      </c>
      <c r="H24" s="76">
        <v>0</v>
      </c>
      <c r="I24" s="74">
        <v>0</v>
      </c>
      <c r="J24" s="46">
        <f t="shared" si="1"/>
        <v>12</v>
      </c>
      <c r="K24" s="70"/>
      <c r="L24" s="15">
        <v>120</v>
      </c>
      <c r="M24" s="63">
        <f t="shared" si="2"/>
        <v>0</v>
      </c>
      <c r="N24" s="17" t="s">
        <v>16</v>
      </c>
      <c r="O24" s="18"/>
      <c r="P24" s="23">
        <f t="shared" si="3"/>
        <v>0</v>
      </c>
      <c r="Q24" s="88">
        <v>31.07</v>
      </c>
      <c r="R24" s="43">
        <f t="shared" si="4"/>
        <v>0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+'7'!J25</f>
        <v>6</v>
      </c>
      <c r="F25" s="69"/>
      <c r="G25" s="46">
        <f t="shared" si="0"/>
        <v>6</v>
      </c>
      <c r="H25" s="76">
        <v>0</v>
      </c>
      <c r="I25" s="74">
        <v>0</v>
      </c>
      <c r="J25" s="46">
        <f t="shared" si="1"/>
        <v>6</v>
      </c>
      <c r="K25" s="70"/>
      <c r="L25" s="20">
        <v>120</v>
      </c>
      <c r="M25" s="63">
        <f t="shared" si="2"/>
        <v>0</v>
      </c>
      <c r="N25" s="17" t="s">
        <v>16</v>
      </c>
      <c r="O25" s="18"/>
      <c r="P25" s="23">
        <f t="shared" si="3"/>
        <v>0</v>
      </c>
      <c r="Q25" s="88">
        <v>29.83</v>
      </c>
      <c r="R25" s="43">
        <f t="shared" si="4"/>
        <v>0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+'7'!J26</f>
        <v>5</v>
      </c>
      <c r="F26" s="69"/>
      <c r="G26" s="46">
        <f t="shared" si="0"/>
        <v>5</v>
      </c>
      <c r="H26" s="76">
        <v>0</v>
      </c>
      <c r="I26" s="74">
        <v>0</v>
      </c>
      <c r="J26" s="46">
        <f t="shared" si="1"/>
        <v>5</v>
      </c>
      <c r="K26" s="70"/>
      <c r="L26" s="15">
        <v>120</v>
      </c>
      <c r="M26" s="63">
        <f t="shared" si="2"/>
        <v>0</v>
      </c>
      <c r="N26" s="17" t="s">
        <v>16</v>
      </c>
      <c r="O26" s="18"/>
      <c r="P26" s="23">
        <f t="shared" si="3"/>
        <v>0</v>
      </c>
      <c r="Q26" s="88">
        <v>26.39</v>
      </c>
      <c r="R26" s="43">
        <f t="shared" si="4"/>
        <v>0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+'7'!J27</f>
        <v>7</v>
      </c>
      <c r="F27" s="69"/>
      <c r="G27" s="46">
        <f t="shared" si="0"/>
        <v>7</v>
      </c>
      <c r="H27" s="76">
        <v>0</v>
      </c>
      <c r="I27" s="74">
        <v>0</v>
      </c>
      <c r="J27" s="46">
        <f t="shared" si="1"/>
        <v>7</v>
      </c>
      <c r="K27" s="70"/>
      <c r="L27" s="15">
        <v>50</v>
      </c>
      <c r="M27" s="63">
        <f t="shared" si="2"/>
        <v>0</v>
      </c>
      <c r="N27" s="17" t="s">
        <v>16</v>
      </c>
      <c r="O27" s="18"/>
      <c r="P27" s="23">
        <f t="shared" si="3"/>
        <v>0</v>
      </c>
      <c r="Q27" s="88">
        <v>23.69</v>
      </c>
      <c r="R27" s="43">
        <f t="shared" si="4"/>
        <v>0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+'7'!J28</f>
        <v>5</v>
      </c>
      <c r="F28" s="69"/>
      <c r="G28" s="46">
        <f t="shared" si="0"/>
        <v>5</v>
      </c>
      <c r="H28" s="76">
        <v>0</v>
      </c>
      <c r="I28" s="74">
        <v>0</v>
      </c>
      <c r="J28" s="46">
        <f t="shared" si="1"/>
        <v>1</v>
      </c>
      <c r="K28" s="70">
        <v>4</v>
      </c>
      <c r="L28" s="21">
        <v>50</v>
      </c>
      <c r="M28" s="63">
        <f t="shared" si="2"/>
        <v>200</v>
      </c>
      <c r="N28" s="17" t="s">
        <v>16</v>
      </c>
      <c r="O28" s="18"/>
      <c r="P28" s="161">
        <f t="shared" si="3"/>
        <v>200</v>
      </c>
      <c r="Q28" s="88">
        <v>22.49</v>
      </c>
      <c r="R28" s="43">
        <f t="shared" si="4"/>
        <v>89.96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+'7'!J29</f>
        <v>8</v>
      </c>
      <c r="F29" s="69"/>
      <c r="G29" s="46">
        <f t="shared" si="0"/>
        <v>8</v>
      </c>
      <c r="H29" s="76">
        <v>0</v>
      </c>
      <c r="I29" s="74">
        <v>0</v>
      </c>
      <c r="J29" s="46">
        <f t="shared" si="1"/>
        <v>6</v>
      </c>
      <c r="K29" s="70">
        <v>2</v>
      </c>
      <c r="L29" s="21">
        <v>50</v>
      </c>
      <c r="M29" s="63">
        <f t="shared" si="2"/>
        <v>100</v>
      </c>
      <c r="N29" s="17" t="s">
        <v>16</v>
      </c>
      <c r="O29" s="18"/>
      <c r="P29" s="161">
        <f t="shared" si="3"/>
        <v>100</v>
      </c>
      <c r="Q29" s="88">
        <v>17.09</v>
      </c>
      <c r="R29" s="43">
        <f t="shared" si="4"/>
        <v>34.18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+'7'!J30</f>
        <v>3</v>
      </c>
      <c r="F30" s="69">
        <v>5</v>
      </c>
      <c r="G30" s="46">
        <f t="shared" si="0"/>
        <v>8</v>
      </c>
      <c r="H30" s="76">
        <v>0</v>
      </c>
      <c r="I30" s="74">
        <v>0</v>
      </c>
      <c r="J30" s="46">
        <f t="shared" si="1"/>
        <v>4</v>
      </c>
      <c r="K30" s="70">
        <v>4</v>
      </c>
      <c r="L30" s="22">
        <v>50</v>
      </c>
      <c r="M30" s="63">
        <f t="shared" si="2"/>
        <v>200</v>
      </c>
      <c r="N30" s="17" t="s">
        <v>16</v>
      </c>
      <c r="O30" s="18"/>
      <c r="P30" s="161">
        <f t="shared" si="3"/>
        <v>200</v>
      </c>
      <c r="Q30" s="88">
        <v>25.15</v>
      </c>
      <c r="R30" s="43">
        <f t="shared" si="4"/>
        <v>100.6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+'7'!J31</f>
        <v>8</v>
      </c>
      <c r="F31" s="69"/>
      <c r="G31" s="46">
        <f t="shared" si="0"/>
        <v>8</v>
      </c>
      <c r="H31" s="76">
        <v>0</v>
      </c>
      <c r="I31" s="74">
        <v>0</v>
      </c>
      <c r="J31" s="46">
        <f t="shared" si="1"/>
        <v>6</v>
      </c>
      <c r="K31" s="70">
        <v>2</v>
      </c>
      <c r="L31" s="22">
        <v>55</v>
      </c>
      <c r="M31" s="63">
        <f t="shared" si="2"/>
        <v>110</v>
      </c>
      <c r="N31" s="17" t="s">
        <v>16</v>
      </c>
      <c r="O31" s="18"/>
      <c r="P31" s="161">
        <f t="shared" si="3"/>
        <v>110</v>
      </c>
      <c r="Q31" s="88">
        <v>14.35</v>
      </c>
      <c r="R31" s="43">
        <f t="shared" si="4"/>
        <v>28.7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+'7'!J32</f>
        <v>9</v>
      </c>
      <c r="F32" s="69"/>
      <c r="G32" s="46">
        <f t="shared" si="0"/>
        <v>9</v>
      </c>
      <c r="H32" s="76">
        <v>0</v>
      </c>
      <c r="I32" s="74">
        <v>0</v>
      </c>
      <c r="J32" s="46">
        <f t="shared" si="1"/>
        <v>7</v>
      </c>
      <c r="K32" s="70">
        <v>2</v>
      </c>
      <c r="L32" s="22">
        <v>55</v>
      </c>
      <c r="M32" s="63">
        <f t="shared" si="2"/>
        <v>110</v>
      </c>
      <c r="N32" s="17" t="s">
        <v>16</v>
      </c>
      <c r="O32" s="18"/>
      <c r="P32" s="161">
        <f t="shared" si="3"/>
        <v>110</v>
      </c>
      <c r="Q32" s="88">
        <v>19.579999999999998</v>
      </c>
      <c r="R32" s="43">
        <f t="shared" si="4"/>
        <v>39.159999999999997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+'7'!J33</f>
        <v>0</v>
      </c>
      <c r="F33" s="69">
        <v>15</v>
      </c>
      <c r="G33" s="46">
        <f t="shared" si="0"/>
        <v>15</v>
      </c>
      <c r="H33" s="76">
        <v>0</v>
      </c>
      <c r="I33" s="74">
        <v>0</v>
      </c>
      <c r="J33" s="46">
        <f t="shared" si="1"/>
        <v>10</v>
      </c>
      <c r="K33" s="70">
        <v>5</v>
      </c>
      <c r="L33" s="22">
        <v>100</v>
      </c>
      <c r="M33" s="63">
        <f t="shared" si="2"/>
        <v>500</v>
      </c>
      <c r="N33" s="17" t="s">
        <v>16</v>
      </c>
      <c r="O33" s="18"/>
      <c r="P33" s="161">
        <f t="shared" si="3"/>
        <v>500</v>
      </c>
      <c r="Q33" s="88">
        <v>23.61</v>
      </c>
      <c r="R33" s="43">
        <f t="shared" si="4"/>
        <v>118.05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+'7'!J34</f>
        <v>5</v>
      </c>
      <c r="F34" s="69"/>
      <c r="G34" s="46">
        <f t="shared" si="0"/>
        <v>5</v>
      </c>
      <c r="H34" s="76">
        <v>0</v>
      </c>
      <c r="I34" s="74">
        <v>0</v>
      </c>
      <c r="J34" s="46">
        <f t="shared" si="1"/>
        <v>2</v>
      </c>
      <c r="K34" s="70">
        <v>3</v>
      </c>
      <c r="L34" s="20">
        <v>55</v>
      </c>
      <c r="M34" s="63">
        <f t="shared" si="2"/>
        <v>165</v>
      </c>
      <c r="N34" s="17" t="s">
        <v>16</v>
      </c>
      <c r="O34" s="18"/>
      <c r="P34" s="161">
        <f t="shared" si="3"/>
        <v>165</v>
      </c>
      <c r="Q34" s="88">
        <v>34.25</v>
      </c>
      <c r="R34" s="43">
        <f t="shared" si="4"/>
        <v>102.75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+'7'!J35</f>
        <v>10</v>
      </c>
      <c r="F35" s="69"/>
      <c r="G35" s="46">
        <f t="shared" si="0"/>
        <v>10</v>
      </c>
      <c r="H35" s="76">
        <v>0</v>
      </c>
      <c r="I35" s="74">
        <v>0</v>
      </c>
      <c r="J35" s="46">
        <f t="shared" si="1"/>
        <v>6</v>
      </c>
      <c r="K35" s="70">
        <v>4</v>
      </c>
      <c r="L35" s="15">
        <v>60</v>
      </c>
      <c r="M35" s="63">
        <f t="shared" si="2"/>
        <v>240</v>
      </c>
      <c r="N35" s="17" t="s">
        <v>16</v>
      </c>
      <c r="O35" s="18"/>
      <c r="P35" s="161">
        <f t="shared" si="3"/>
        <v>240</v>
      </c>
      <c r="Q35" s="88">
        <v>23.61</v>
      </c>
      <c r="R35" s="43">
        <f t="shared" si="4"/>
        <v>94.44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+'7'!J36</f>
        <v>12</v>
      </c>
      <c r="F36" s="69"/>
      <c r="G36" s="46">
        <f t="shared" si="0"/>
        <v>12</v>
      </c>
      <c r="H36" s="76">
        <v>0</v>
      </c>
      <c r="I36" s="74">
        <v>0</v>
      </c>
      <c r="J36" s="46">
        <f t="shared" si="1"/>
        <v>12</v>
      </c>
      <c r="K36" s="70"/>
      <c r="L36" s="15">
        <v>100</v>
      </c>
      <c r="M36" s="63">
        <f t="shared" si="2"/>
        <v>0</v>
      </c>
      <c r="N36" s="17" t="s">
        <v>16</v>
      </c>
      <c r="O36" s="18"/>
      <c r="P36" s="23">
        <f t="shared" si="3"/>
        <v>0</v>
      </c>
      <c r="Q36" s="88">
        <v>13.03</v>
      </c>
      <c r="R36" s="43">
        <f t="shared" si="4"/>
        <v>0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+'7'!J37</f>
        <v>9</v>
      </c>
      <c r="F37" s="69"/>
      <c r="G37" s="46">
        <f t="shared" si="0"/>
        <v>9</v>
      </c>
      <c r="H37" s="76">
        <v>0</v>
      </c>
      <c r="I37" s="74">
        <v>0</v>
      </c>
      <c r="J37" s="46">
        <f t="shared" si="1"/>
        <v>9</v>
      </c>
      <c r="K37" s="70"/>
      <c r="L37" s="15">
        <v>55</v>
      </c>
      <c r="M37" s="63">
        <f t="shared" si="2"/>
        <v>0</v>
      </c>
      <c r="N37" s="17" t="s">
        <v>16</v>
      </c>
      <c r="O37" s="18"/>
      <c r="P37" s="23">
        <f t="shared" si="3"/>
        <v>0</v>
      </c>
      <c r="Q37" s="88">
        <v>11.91</v>
      </c>
      <c r="R37" s="43">
        <f t="shared" si="4"/>
        <v>0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+'7'!J38</f>
        <v>1</v>
      </c>
      <c r="F38" s="69">
        <v>10</v>
      </c>
      <c r="G38" s="46">
        <f t="shared" si="0"/>
        <v>11</v>
      </c>
      <c r="H38" s="76">
        <v>0</v>
      </c>
      <c r="I38" s="74">
        <v>0</v>
      </c>
      <c r="J38" s="46">
        <f t="shared" si="1"/>
        <v>9</v>
      </c>
      <c r="K38" s="70">
        <v>2</v>
      </c>
      <c r="L38" s="15">
        <v>50</v>
      </c>
      <c r="M38" s="63">
        <f>+L38*K38</f>
        <v>100</v>
      </c>
      <c r="N38" s="17" t="s">
        <v>16</v>
      </c>
      <c r="O38" s="18"/>
      <c r="P38" s="161">
        <f>SUM(M38-O38)</f>
        <v>100</v>
      </c>
      <c r="Q38" s="88">
        <v>9.91</v>
      </c>
      <c r="R38" s="43">
        <f>+K38*Q38</f>
        <v>19.82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+'7'!J39</f>
        <v>3</v>
      </c>
      <c r="F39" s="69">
        <v>5</v>
      </c>
      <c r="G39" s="46">
        <f t="shared" si="0"/>
        <v>8</v>
      </c>
      <c r="H39" s="76">
        <v>0</v>
      </c>
      <c r="I39" s="74">
        <v>0</v>
      </c>
      <c r="J39" s="46">
        <f t="shared" si="1"/>
        <v>3</v>
      </c>
      <c r="K39" s="70">
        <v>5</v>
      </c>
      <c r="L39" s="20">
        <v>35</v>
      </c>
      <c r="M39" s="63">
        <f t="shared" si="2"/>
        <v>175</v>
      </c>
      <c r="N39" s="17" t="s">
        <v>16</v>
      </c>
      <c r="O39" s="18"/>
      <c r="P39" s="161">
        <f t="shared" si="3"/>
        <v>175</v>
      </c>
      <c r="Q39" s="88">
        <v>16.690000000000001</v>
      </c>
      <c r="R39" s="43">
        <f t="shared" si="4"/>
        <v>83.45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+'7'!J40</f>
        <v>9</v>
      </c>
      <c r="F40" s="69"/>
      <c r="G40" s="46">
        <f t="shared" si="0"/>
        <v>9</v>
      </c>
      <c r="H40" s="76">
        <v>0</v>
      </c>
      <c r="I40" s="74">
        <v>0</v>
      </c>
      <c r="J40" s="46">
        <f t="shared" si="1"/>
        <v>8</v>
      </c>
      <c r="K40" s="70">
        <v>1</v>
      </c>
      <c r="L40" s="20">
        <v>50</v>
      </c>
      <c r="M40" s="63">
        <f t="shared" si="2"/>
        <v>50</v>
      </c>
      <c r="N40" s="17" t="s">
        <v>16</v>
      </c>
      <c r="O40" s="18"/>
      <c r="P40" s="161">
        <f t="shared" si="3"/>
        <v>50</v>
      </c>
      <c r="Q40" s="88">
        <v>24.21</v>
      </c>
      <c r="R40" s="43">
        <f t="shared" si="4"/>
        <v>24.21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+'7'!J41</f>
        <v>5</v>
      </c>
      <c r="F41" s="69"/>
      <c r="G41" s="46">
        <f t="shared" si="0"/>
        <v>5</v>
      </c>
      <c r="H41" s="76">
        <v>0</v>
      </c>
      <c r="I41" s="74">
        <v>0</v>
      </c>
      <c r="J41" s="46">
        <f t="shared" si="1"/>
        <v>5</v>
      </c>
      <c r="K41" s="70"/>
      <c r="L41" s="20">
        <v>50</v>
      </c>
      <c r="M41" s="63">
        <f t="shared" si="2"/>
        <v>0</v>
      </c>
      <c r="N41" s="17" t="s">
        <v>16</v>
      </c>
      <c r="O41" s="18"/>
      <c r="P41" s="23">
        <f t="shared" si="3"/>
        <v>0</v>
      </c>
      <c r="Q41" s="88">
        <v>23.02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+'7'!J42</f>
        <v>283</v>
      </c>
      <c r="F42" s="69"/>
      <c r="G42" s="46">
        <f t="shared" si="0"/>
        <v>283</v>
      </c>
      <c r="H42" s="76">
        <v>0</v>
      </c>
      <c r="I42" s="74">
        <v>0</v>
      </c>
      <c r="J42" s="46">
        <f t="shared" si="1"/>
        <v>268</v>
      </c>
      <c r="K42" s="70">
        <v>15</v>
      </c>
      <c r="L42" s="20">
        <v>10</v>
      </c>
      <c r="M42" s="63">
        <f t="shared" si="2"/>
        <v>150</v>
      </c>
      <c r="N42" s="17" t="s">
        <v>16</v>
      </c>
      <c r="O42" s="18"/>
      <c r="P42" s="161">
        <f t="shared" si="3"/>
        <v>150</v>
      </c>
      <c r="Q42" s="88">
        <v>6.3</v>
      </c>
      <c r="R42" s="43">
        <f t="shared" si="4"/>
        <v>94.5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+'7'!J43</f>
        <v>136</v>
      </c>
      <c r="F43" s="69"/>
      <c r="G43" s="46">
        <f t="shared" si="0"/>
        <v>136</v>
      </c>
      <c r="H43" s="76">
        <v>0</v>
      </c>
      <c r="I43" s="74">
        <v>0</v>
      </c>
      <c r="J43" s="46">
        <f t="shared" si="1"/>
        <v>136</v>
      </c>
      <c r="K43" s="70"/>
      <c r="L43" s="22">
        <v>10</v>
      </c>
      <c r="M43" s="63">
        <f>+L43*K43</f>
        <v>0</v>
      </c>
      <c r="N43" s="17" t="s">
        <v>16</v>
      </c>
      <c r="O43" s="18"/>
      <c r="P43" s="23">
        <f>SUM(M43-O43)</f>
        <v>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+'7'!J44</f>
        <v>6</v>
      </c>
      <c r="F44" s="69"/>
      <c r="G44" s="46">
        <f t="shared" si="0"/>
        <v>6</v>
      </c>
      <c r="H44" s="76">
        <v>0</v>
      </c>
      <c r="I44" s="74">
        <v>0</v>
      </c>
      <c r="J44" s="46">
        <f t="shared" si="1"/>
        <v>6</v>
      </c>
      <c r="K44" s="70"/>
      <c r="L44" s="20">
        <v>150</v>
      </c>
      <c r="M44" s="63">
        <f t="shared" si="2"/>
        <v>0</v>
      </c>
      <c r="N44" s="17" t="s">
        <v>16</v>
      </c>
      <c r="O44" s="18"/>
      <c r="P44" s="23">
        <f t="shared" si="3"/>
        <v>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+'7'!J45</f>
        <v>5</v>
      </c>
      <c r="F45" s="69"/>
      <c r="G45" s="46">
        <f t="shared" si="0"/>
        <v>5</v>
      </c>
      <c r="H45" s="76">
        <v>0</v>
      </c>
      <c r="I45" s="74">
        <v>0</v>
      </c>
      <c r="J45" s="46">
        <f t="shared" si="1"/>
        <v>5</v>
      </c>
      <c r="K45" s="70"/>
      <c r="L45" s="15">
        <v>150</v>
      </c>
      <c r="M45" s="63">
        <f t="shared" si="2"/>
        <v>0</v>
      </c>
      <c r="N45" s="17" t="s">
        <v>16</v>
      </c>
      <c r="O45" s="18"/>
      <c r="P45" s="23">
        <f t="shared" si="3"/>
        <v>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+'7'!J46</f>
        <v>7</v>
      </c>
      <c r="F46" s="69">
        <v>5</v>
      </c>
      <c r="G46" s="46">
        <f t="shared" si="0"/>
        <v>12</v>
      </c>
      <c r="H46" s="76">
        <v>0</v>
      </c>
      <c r="I46" s="74">
        <v>0</v>
      </c>
      <c r="J46" s="46">
        <f t="shared" si="1"/>
        <v>11</v>
      </c>
      <c r="K46" s="70">
        <v>1</v>
      </c>
      <c r="L46" s="15">
        <v>25</v>
      </c>
      <c r="M46" s="63">
        <f t="shared" si="2"/>
        <v>25</v>
      </c>
      <c r="N46" s="17" t="s">
        <v>16</v>
      </c>
      <c r="O46" s="18"/>
      <c r="P46" s="161">
        <f t="shared" si="3"/>
        <v>25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+'7'!J47</f>
        <v>6</v>
      </c>
      <c r="F47" s="69"/>
      <c r="G47" s="46">
        <f t="shared" si="0"/>
        <v>6</v>
      </c>
      <c r="H47" s="76">
        <v>0</v>
      </c>
      <c r="I47" s="74">
        <v>0</v>
      </c>
      <c r="J47" s="46">
        <f t="shared" si="1"/>
        <v>6</v>
      </c>
      <c r="K47" s="70"/>
      <c r="L47" s="15">
        <v>25</v>
      </c>
      <c r="M47" s="63">
        <f t="shared" si="2"/>
        <v>0</v>
      </c>
      <c r="N47" s="17" t="s">
        <v>16</v>
      </c>
      <c r="O47" s="18"/>
      <c r="P47" s="23">
        <f t="shared" si="3"/>
        <v>0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+'7'!J48</f>
        <v>69</v>
      </c>
      <c r="F48" s="69"/>
      <c r="G48" s="46">
        <f t="shared" si="0"/>
        <v>69</v>
      </c>
      <c r="H48" s="76">
        <v>0</v>
      </c>
      <c r="I48" s="74">
        <v>0</v>
      </c>
      <c r="J48" s="46">
        <f t="shared" si="1"/>
        <v>59</v>
      </c>
      <c r="K48" s="70">
        <v>10</v>
      </c>
      <c r="L48" s="15">
        <v>19</v>
      </c>
      <c r="M48" s="63">
        <f>+L48*K48</f>
        <v>190</v>
      </c>
      <c r="N48" s="17" t="s">
        <v>16</v>
      </c>
      <c r="O48" s="18">
        <v>19</v>
      </c>
      <c r="P48" s="161">
        <f t="shared" ref="P48:P53" si="5">SUM(M48-O48)</f>
        <v>171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+'7'!J49</f>
        <v>33</v>
      </c>
      <c r="F49" s="69"/>
      <c r="G49" s="46">
        <f t="shared" si="0"/>
        <v>33</v>
      </c>
      <c r="H49" s="76">
        <v>0</v>
      </c>
      <c r="I49" s="74">
        <v>0</v>
      </c>
      <c r="J49" s="46">
        <f t="shared" si="1"/>
        <v>33</v>
      </c>
      <c r="K49" s="70"/>
      <c r="L49" s="15">
        <v>25</v>
      </c>
      <c r="M49" s="63">
        <f>+L49*K49</f>
        <v>0</v>
      </c>
      <c r="N49" s="17" t="s">
        <v>16</v>
      </c>
      <c r="O49" s="18"/>
      <c r="P49" s="23">
        <f t="shared" si="5"/>
        <v>0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+'7'!J50</f>
        <v>4</v>
      </c>
      <c r="F50" s="69"/>
      <c r="G50" s="46">
        <f t="shared" si="0"/>
        <v>4</v>
      </c>
      <c r="H50" s="76">
        <v>0</v>
      </c>
      <c r="I50" s="74">
        <v>0</v>
      </c>
      <c r="J50" s="46">
        <f t="shared" si="1"/>
        <v>3</v>
      </c>
      <c r="K50" s="70">
        <v>1</v>
      </c>
      <c r="L50" s="15">
        <v>25</v>
      </c>
      <c r="M50" s="63">
        <f t="shared" si="2"/>
        <v>25</v>
      </c>
      <c r="N50" s="17" t="s">
        <v>1440</v>
      </c>
      <c r="O50" s="18">
        <v>25</v>
      </c>
      <c r="P50" s="23">
        <f t="shared" si="5"/>
        <v>0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+'7'!J51</f>
        <v>49</v>
      </c>
      <c r="F51" s="69"/>
      <c r="G51" s="46">
        <f t="shared" si="0"/>
        <v>49</v>
      </c>
      <c r="H51" s="76">
        <v>0</v>
      </c>
      <c r="I51" s="74">
        <v>0</v>
      </c>
      <c r="J51" s="46">
        <f t="shared" si="1"/>
        <v>38</v>
      </c>
      <c r="K51" s="70">
        <v>11</v>
      </c>
      <c r="L51" s="20">
        <v>25</v>
      </c>
      <c r="M51" s="63">
        <f>+L51*K51</f>
        <v>275</v>
      </c>
      <c r="N51" s="17" t="s">
        <v>16</v>
      </c>
      <c r="O51" s="18"/>
      <c r="P51" s="161">
        <f t="shared" si="5"/>
        <v>275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+'7'!J52</f>
        <v>6</v>
      </c>
      <c r="F52" s="69"/>
      <c r="G52" s="46">
        <f t="shared" si="0"/>
        <v>6</v>
      </c>
      <c r="H52" s="76">
        <v>0</v>
      </c>
      <c r="I52" s="74">
        <v>0</v>
      </c>
      <c r="J52" s="46">
        <f t="shared" si="1"/>
        <v>6</v>
      </c>
      <c r="K52" s="70"/>
      <c r="L52" s="20">
        <v>35</v>
      </c>
      <c r="M52" s="63">
        <f>+L52*K52</f>
        <v>0</v>
      </c>
      <c r="N52" s="17" t="s">
        <v>16</v>
      </c>
      <c r="O52" s="18"/>
      <c r="P52" s="23">
        <f t="shared" si="5"/>
        <v>0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+'7'!J53</f>
        <v>30</v>
      </c>
      <c r="F53" s="69"/>
      <c r="G53" s="46">
        <f t="shared" si="0"/>
        <v>30</v>
      </c>
      <c r="H53" s="76">
        <v>0</v>
      </c>
      <c r="I53" s="74">
        <v>0</v>
      </c>
      <c r="J53" s="46">
        <f t="shared" si="1"/>
        <v>29</v>
      </c>
      <c r="K53" s="70">
        <v>1</v>
      </c>
      <c r="L53" s="15">
        <v>35</v>
      </c>
      <c r="M53" s="63">
        <f>+L53*K53</f>
        <v>35</v>
      </c>
      <c r="N53" s="17" t="s">
        <v>16</v>
      </c>
      <c r="O53" s="18"/>
      <c r="P53" s="161">
        <f t="shared" si="5"/>
        <v>35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+'7'!J54</f>
        <v>3</v>
      </c>
      <c r="F54" s="69"/>
      <c r="G54" s="46">
        <f t="shared" si="0"/>
        <v>3</v>
      </c>
      <c r="H54" s="76">
        <v>0</v>
      </c>
      <c r="I54" s="74">
        <v>0</v>
      </c>
      <c r="J54" s="46">
        <f t="shared" si="1"/>
        <v>3</v>
      </c>
      <c r="K54" s="70"/>
      <c r="L54" s="15">
        <v>35</v>
      </c>
      <c r="M54" s="63">
        <f t="shared" si="2"/>
        <v>0</v>
      </c>
      <c r="N54" s="17" t="s">
        <v>16</v>
      </c>
      <c r="O54" s="18"/>
      <c r="P54" s="23">
        <f t="shared" si="3"/>
        <v>0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+'7'!J55</f>
        <v>14</v>
      </c>
      <c r="F55" s="69"/>
      <c r="G55" s="46">
        <f t="shared" si="0"/>
        <v>14</v>
      </c>
      <c r="H55" s="76">
        <v>0</v>
      </c>
      <c r="I55" s="74">
        <v>0</v>
      </c>
      <c r="J55" s="46">
        <f t="shared" si="1"/>
        <v>14</v>
      </c>
      <c r="K55" s="70"/>
      <c r="L55" s="15">
        <v>120</v>
      </c>
      <c r="M55" s="63">
        <f>+L55*K55</f>
        <v>0</v>
      </c>
      <c r="N55" s="17" t="s">
        <v>16</v>
      </c>
      <c r="O55" s="18"/>
      <c r="P55" s="23">
        <f>SUM(M55-O55)</f>
        <v>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+'7'!J56</f>
        <v>19</v>
      </c>
      <c r="F56" s="69"/>
      <c r="G56" s="46">
        <f t="shared" si="0"/>
        <v>19</v>
      </c>
      <c r="H56" s="76">
        <v>0</v>
      </c>
      <c r="I56" s="74">
        <v>0</v>
      </c>
      <c r="J56" s="46">
        <f t="shared" si="1"/>
        <v>19</v>
      </c>
      <c r="K56" s="70"/>
      <c r="L56" s="15">
        <v>120</v>
      </c>
      <c r="M56" s="63">
        <f>+L56*K56</f>
        <v>0</v>
      </c>
      <c r="N56" s="17" t="s">
        <v>16</v>
      </c>
      <c r="O56" s="18"/>
      <c r="P56" s="23">
        <f>SUM(M56-O56)</f>
        <v>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+'7'!J57</f>
        <v>19</v>
      </c>
      <c r="F57" s="69"/>
      <c r="G57" s="46">
        <f t="shared" si="0"/>
        <v>19</v>
      </c>
      <c r="H57" s="76">
        <v>0</v>
      </c>
      <c r="I57" s="74">
        <v>0</v>
      </c>
      <c r="J57" s="46">
        <f t="shared" si="1"/>
        <v>18</v>
      </c>
      <c r="K57" s="70">
        <v>1</v>
      </c>
      <c r="L57" s="20">
        <v>120</v>
      </c>
      <c r="M57" s="63">
        <f t="shared" si="2"/>
        <v>120</v>
      </c>
      <c r="N57" s="17" t="s">
        <v>16</v>
      </c>
      <c r="O57" s="18"/>
      <c r="P57" s="161">
        <f t="shared" si="3"/>
        <v>120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+'7'!J58</f>
        <v>24</v>
      </c>
      <c r="F58" s="69"/>
      <c r="G58" s="46">
        <f t="shared" si="0"/>
        <v>24</v>
      </c>
      <c r="H58" s="76">
        <v>0</v>
      </c>
      <c r="I58" s="74">
        <v>0</v>
      </c>
      <c r="J58" s="46">
        <f t="shared" si="1"/>
        <v>23</v>
      </c>
      <c r="K58" s="70">
        <v>1</v>
      </c>
      <c r="L58" s="20">
        <v>120</v>
      </c>
      <c r="M58" s="63">
        <f t="shared" si="2"/>
        <v>120</v>
      </c>
      <c r="N58" s="17" t="s">
        <v>16</v>
      </c>
      <c r="O58" s="18"/>
      <c r="P58" s="161">
        <f t="shared" si="3"/>
        <v>120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/>
      <c r="D59" s="10"/>
      <c r="E59" s="62">
        <f>+'7'!J59</f>
        <v>0</v>
      </c>
      <c r="F59" s="69"/>
      <c r="G59" s="46"/>
      <c r="H59" s="76"/>
      <c r="I59" s="74"/>
      <c r="J59" s="46"/>
      <c r="K59" s="70"/>
      <c r="L59" s="20"/>
      <c r="M59" s="63"/>
      <c r="N59" s="17"/>
      <c r="O59" s="18"/>
      <c r="P59" s="23"/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+'7'!J60</f>
        <v>0</v>
      </c>
      <c r="F60" s="69"/>
      <c r="G60" s="46"/>
      <c r="H60" s="76"/>
      <c r="I60" s="74"/>
      <c r="J60" s="46"/>
      <c r="K60" s="70"/>
      <c r="L60" s="20"/>
      <c r="M60" s="63"/>
      <c r="N60" s="17"/>
      <c r="O60" s="18"/>
      <c r="P60" s="23"/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+'7'!J61</f>
        <v>0</v>
      </c>
      <c r="F61" s="69"/>
      <c r="G61" s="46"/>
      <c r="H61" s="76"/>
      <c r="I61" s="74"/>
      <c r="J61" s="46"/>
      <c r="K61" s="70"/>
      <c r="L61" s="20"/>
      <c r="M61" s="63"/>
      <c r="N61" s="17"/>
      <c r="O61" s="18"/>
      <c r="P61" s="23"/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>
        <f>+'7'!J62</f>
        <v>0</v>
      </c>
      <c r="F62" s="69"/>
      <c r="G62" s="46"/>
      <c r="H62" s="76"/>
      <c r="I62" s="74"/>
      <c r="J62" s="46"/>
      <c r="K62" s="70"/>
      <c r="L62" s="20"/>
      <c r="M62" s="63"/>
      <c r="N62" s="17"/>
      <c r="O62" s="18"/>
      <c r="P62" s="23"/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/>
      <c r="F63" s="69"/>
      <c r="G63" s="46"/>
      <c r="H63" s="76"/>
      <c r="I63" s="74"/>
      <c r="J63" s="46"/>
      <c r="K63" s="70"/>
      <c r="L63" s="20"/>
      <c r="M63" s="63"/>
      <c r="N63" s="17"/>
      <c r="O63" s="18"/>
      <c r="P63" s="23"/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/>
      <c r="F64" s="69"/>
      <c r="G64" s="46"/>
      <c r="H64" s="76"/>
      <c r="I64" s="74"/>
      <c r="J64" s="46"/>
      <c r="K64" s="70"/>
      <c r="L64" s="20"/>
      <c r="M64" s="63"/>
      <c r="N64" s="17"/>
      <c r="O64" s="18"/>
      <c r="P64" s="23"/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/>
      <c r="F65" s="69"/>
      <c r="G65" s="46"/>
      <c r="H65" s="76"/>
      <c r="I65" s="74"/>
      <c r="J65" s="46"/>
      <c r="K65" s="70"/>
      <c r="L65" s="20"/>
      <c r="M65" s="63"/>
      <c r="N65" s="17"/>
      <c r="O65" s="18"/>
      <c r="P65" s="23"/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3185.7199999999993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9495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>
        <v>15</v>
      </c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2485</v>
      </c>
      <c r="O70" s="2">
        <v>2485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>
        <v>5906</v>
      </c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44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1045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1045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0</v>
      </c>
    </row>
    <row r="77" spans="1:19" ht="25.5" x14ac:dyDescent="0.55000000000000004">
      <c r="J77" s="2"/>
      <c r="L77" s="148" t="s">
        <v>211</v>
      </c>
      <c r="M77" s="149"/>
      <c r="N77" s="33">
        <f>+N75-N74</f>
        <v>0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8914-CD70-49EA-9571-1171CE66BAF7}">
  <sheetPr filterMode="1">
    <tabColor rgb="FFFFCCFF"/>
    <pageSetUpPr fitToPage="1"/>
  </sheetPr>
  <dimension ref="A1:S152"/>
  <sheetViews>
    <sheetView zoomScale="85" zoomScaleNormal="85" workbookViewId="0">
      <pane xSplit="10" ySplit="4" topLeftCell="K23" activePane="bottomRight" state="frozen"/>
      <selection activeCell="A66" sqref="A66:XFD74"/>
      <selection pane="topRight" activeCell="A66" sqref="A66:XFD74"/>
      <selection pane="bottomLeft" activeCell="A66" sqref="A66:XFD74"/>
      <selection pane="bottomRight" activeCell="F27" sqref="F27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+'8'!J5</f>
        <v>35</v>
      </c>
      <c r="F5" s="69"/>
      <c r="G5" s="46">
        <f t="shared" ref="G5:G58" si="0">E5+F5</f>
        <v>35</v>
      </c>
      <c r="H5" s="76">
        <v>0</v>
      </c>
      <c r="I5" s="74">
        <v>0</v>
      </c>
      <c r="J5" s="46">
        <f t="shared" ref="J5:J58" si="1">+G5-H5-K5-I5</f>
        <v>8</v>
      </c>
      <c r="K5" s="70">
        <v>27</v>
      </c>
      <c r="L5" s="15">
        <v>50</v>
      </c>
      <c r="M5" s="63">
        <f>+L5*K5</f>
        <v>1350</v>
      </c>
      <c r="N5" s="17" t="s">
        <v>16</v>
      </c>
      <c r="O5" s="18"/>
      <c r="P5" s="161">
        <f>SUM(M5-O5)</f>
        <v>1350</v>
      </c>
      <c r="Q5" s="88">
        <v>18.97</v>
      </c>
      <c r="R5" s="43">
        <f>+K5*Q5</f>
        <v>512.18999999999994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+'8'!J6</f>
        <v>27</v>
      </c>
      <c r="F6" s="69">
        <v>63</v>
      </c>
      <c r="G6" s="46">
        <f t="shared" si="0"/>
        <v>90</v>
      </c>
      <c r="H6" s="76">
        <v>0</v>
      </c>
      <c r="I6" s="74">
        <v>0</v>
      </c>
      <c r="J6" s="46">
        <f t="shared" si="1"/>
        <v>62</v>
      </c>
      <c r="K6" s="70">
        <v>28</v>
      </c>
      <c r="L6" s="15">
        <v>100</v>
      </c>
      <c r="M6" s="63">
        <f t="shared" ref="M6:M58" si="2">+L6*K6</f>
        <v>2800</v>
      </c>
      <c r="N6" s="17" t="s">
        <v>16</v>
      </c>
      <c r="O6" s="18"/>
      <c r="P6" s="161">
        <f t="shared" ref="P6:P58" si="3">SUM(M6-O6)</f>
        <v>2800</v>
      </c>
      <c r="Q6" s="88">
        <v>36.43</v>
      </c>
      <c r="R6" s="43">
        <f t="shared" ref="R6:R65" si="4">+K6*Q6</f>
        <v>1020.04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+'8'!J7</f>
        <v>62</v>
      </c>
      <c r="F7" s="69"/>
      <c r="G7" s="46">
        <f t="shared" si="0"/>
        <v>62</v>
      </c>
      <c r="H7" s="76">
        <v>0</v>
      </c>
      <c r="I7" s="74">
        <v>0</v>
      </c>
      <c r="J7" s="46">
        <f t="shared" si="1"/>
        <v>39</v>
      </c>
      <c r="K7" s="70">
        <v>23</v>
      </c>
      <c r="L7" s="15">
        <v>50</v>
      </c>
      <c r="M7" s="63">
        <f t="shared" si="2"/>
        <v>1150</v>
      </c>
      <c r="N7" s="17" t="s">
        <v>16</v>
      </c>
      <c r="O7" s="18"/>
      <c r="P7" s="161">
        <f t="shared" si="3"/>
        <v>1150</v>
      </c>
      <c r="Q7" s="88">
        <v>19.36</v>
      </c>
      <c r="R7" s="43">
        <f t="shared" si="4"/>
        <v>445.28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+'8'!J8</f>
        <v>0</v>
      </c>
      <c r="F8" s="69"/>
      <c r="G8" s="46">
        <f t="shared" si="0"/>
        <v>0</v>
      </c>
      <c r="H8" s="76">
        <v>0</v>
      </c>
      <c r="I8" s="74">
        <v>0</v>
      </c>
      <c r="J8" s="46">
        <f t="shared" si="1"/>
        <v>0</v>
      </c>
      <c r="K8" s="70"/>
      <c r="L8" s="15">
        <v>65</v>
      </c>
      <c r="M8" s="63">
        <f t="shared" si="2"/>
        <v>0</v>
      </c>
      <c r="N8" s="17" t="s">
        <v>16</v>
      </c>
      <c r="O8" s="18"/>
      <c r="P8" s="23">
        <f t="shared" si="3"/>
        <v>0</v>
      </c>
      <c r="Q8" s="88">
        <v>22.25</v>
      </c>
      <c r="R8" s="43">
        <f t="shared" si="4"/>
        <v>0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+'8'!J9</f>
        <v>14</v>
      </c>
      <c r="F9" s="69"/>
      <c r="G9" s="46">
        <f t="shared" si="0"/>
        <v>14</v>
      </c>
      <c r="H9" s="76">
        <v>0</v>
      </c>
      <c r="I9" s="74">
        <v>0</v>
      </c>
      <c r="J9" s="46">
        <f t="shared" si="1"/>
        <v>13</v>
      </c>
      <c r="K9" s="70">
        <v>1</v>
      </c>
      <c r="L9" s="15">
        <v>85</v>
      </c>
      <c r="M9" s="63">
        <f t="shared" si="2"/>
        <v>85</v>
      </c>
      <c r="N9" s="17" t="s">
        <v>16</v>
      </c>
      <c r="O9" s="18"/>
      <c r="P9" s="161">
        <f t="shared" si="3"/>
        <v>85</v>
      </c>
      <c r="Q9" s="88">
        <v>22.65</v>
      </c>
      <c r="R9" s="43">
        <f t="shared" si="4"/>
        <v>22.65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+'8'!J10</f>
        <v>59</v>
      </c>
      <c r="F10" s="69"/>
      <c r="G10" s="46">
        <f t="shared" si="0"/>
        <v>59</v>
      </c>
      <c r="H10" s="76">
        <v>0</v>
      </c>
      <c r="I10" s="74">
        <v>0</v>
      </c>
      <c r="J10" s="46">
        <f t="shared" si="1"/>
        <v>44</v>
      </c>
      <c r="K10" s="70">
        <v>15</v>
      </c>
      <c r="L10" s="15">
        <v>100</v>
      </c>
      <c r="M10" s="63">
        <f t="shared" si="2"/>
        <v>1500</v>
      </c>
      <c r="N10" s="17" t="s">
        <v>16</v>
      </c>
      <c r="O10" s="18"/>
      <c r="P10" s="161">
        <f t="shared" si="3"/>
        <v>1500</v>
      </c>
      <c r="Q10" s="88">
        <v>27.98</v>
      </c>
      <c r="R10" s="43">
        <f t="shared" si="4"/>
        <v>419.7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+'8'!J11</f>
        <v>67</v>
      </c>
      <c r="F11" s="69"/>
      <c r="G11" s="46">
        <f t="shared" si="0"/>
        <v>67</v>
      </c>
      <c r="H11" s="76">
        <v>0</v>
      </c>
      <c r="I11" s="74">
        <v>0</v>
      </c>
      <c r="J11" s="46">
        <f t="shared" si="1"/>
        <v>58</v>
      </c>
      <c r="K11" s="70">
        <v>9</v>
      </c>
      <c r="L11" s="15">
        <v>100</v>
      </c>
      <c r="M11" s="63">
        <f t="shared" si="2"/>
        <v>900</v>
      </c>
      <c r="N11" s="17" t="s">
        <v>16</v>
      </c>
      <c r="O11" s="18"/>
      <c r="P11" s="161">
        <f t="shared" si="3"/>
        <v>900</v>
      </c>
      <c r="Q11" s="88">
        <v>34.64</v>
      </c>
      <c r="R11" s="43">
        <f t="shared" si="4"/>
        <v>311.76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+'8'!J12</f>
        <v>8</v>
      </c>
      <c r="F12" s="69"/>
      <c r="G12" s="46">
        <f t="shared" si="0"/>
        <v>8</v>
      </c>
      <c r="H12" s="76">
        <v>0</v>
      </c>
      <c r="I12" s="74">
        <v>0</v>
      </c>
      <c r="J12" s="46">
        <f t="shared" si="1"/>
        <v>3</v>
      </c>
      <c r="K12" s="70">
        <v>5</v>
      </c>
      <c r="L12" s="20">
        <v>130</v>
      </c>
      <c r="M12" s="63">
        <f t="shared" si="2"/>
        <v>650</v>
      </c>
      <c r="N12" s="17" t="s">
        <v>16</v>
      </c>
      <c r="O12" s="18"/>
      <c r="P12" s="161">
        <f t="shared" si="3"/>
        <v>650</v>
      </c>
      <c r="Q12" s="88">
        <v>46.37</v>
      </c>
      <c r="R12" s="43">
        <f t="shared" si="4"/>
        <v>231.85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+'8'!J13</f>
        <v>0</v>
      </c>
      <c r="F13" s="69"/>
      <c r="G13" s="46">
        <f t="shared" si="0"/>
        <v>0</v>
      </c>
      <c r="H13" s="76">
        <v>0</v>
      </c>
      <c r="I13" s="74">
        <v>0</v>
      </c>
      <c r="J13" s="46">
        <f t="shared" si="1"/>
        <v>0</v>
      </c>
      <c r="K13" s="70"/>
      <c r="L13" s="15">
        <v>130</v>
      </c>
      <c r="M13" s="63">
        <f t="shared" si="2"/>
        <v>0</v>
      </c>
      <c r="N13" s="17" t="s">
        <v>16</v>
      </c>
      <c r="O13" s="18"/>
      <c r="P13" s="23">
        <f t="shared" si="3"/>
        <v>0</v>
      </c>
      <c r="Q13" s="88">
        <v>38.9</v>
      </c>
      <c r="R13" s="43">
        <f t="shared" si="4"/>
        <v>0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+'8'!J14</f>
        <v>8</v>
      </c>
      <c r="F14" s="69"/>
      <c r="G14" s="46">
        <f t="shared" si="0"/>
        <v>8</v>
      </c>
      <c r="H14" s="76">
        <v>0</v>
      </c>
      <c r="I14" s="74">
        <v>0</v>
      </c>
      <c r="J14" s="46">
        <f t="shared" si="1"/>
        <v>0</v>
      </c>
      <c r="K14" s="70">
        <v>8</v>
      </c>
      <c r="L14" s="15">
        <v>50</v>
      </c>
      <c r="M14" s="63">
        <f t="shared" si="2"/>
        <v>400</v>
      </c>
      <c r="N14" s="17" t="s">
        <v>16</v>
      </c>
      <c r="O14" s="18"/>
      <c r="P14" s="161">
        <f t="shared" si="3"/>
        <v>400</v>
      </c>
      <c r="Q14" s="88">
        <v>27.84</v>
      </c>
      <c r="R14" s="43">
        <f t="shared" si="4"/>
        <v>222.72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+'8'!J15</f>
        <v>11</v>
      </c>
      <c r="F15" s="69"/>
      <c r="G15" s="46">
        <f t="shared" si="0"/>
        <v>11</v>
      </c>
      <c r="H15" s="76">
        <v>0</v>
      </c>
      <c r="I15" s="74">
        <v>0</v>
      </c>
      <c r="J15" s="46">
        <f t="shared" si="1"/>
        <v>10</v>
      </c>
      <c r="K15" s="70">
        <v>1</v>
      </c>
      <c r="L15" s="15">
        <v>50</v>
      </c>
      <c r="M15" s="63">
        <f t="shared" si="2"/>
        <v>50</v>
      </c>
      <c r="N15" s="17" t="s">
        <v>16</v>
      </c>
      <c r="O15" s="18"/>
      <c r="P15" s="161">
        <f t="shared" si="3"/>
        <v>50</v>
      </c>
      <c r="Q15" s="88">
        <v>27.12</v>
      </c>
      <c r="R15" s="43">
        <f t="shared" si="4"/>
        <v>27.12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+'8'!J16</f>
        <v>12</v>
      </c>
      <c r="F16" s="69"/>
      <c r="G16" s="46">
        <f t="shared" si="0"/>
        <v>12</v>
      </c>
      <c r="H16" s="76">
        <v>0</v>
      </c>
      <c r="I16" s="74">
        <v>0</v>
      </c>
      <c r="J16" s="46">
        <f t="shared" si="1"/>
        <v>8</v>
      </c>
      <c r="K16" s="70">
        <v>4</v>
      </c>
      <c r="L16" s="20">
        <v>50</v>
      </c>
      <c r="M16" s="63">
        <f t="shared" si="2"/>
        <v>200</v>
      </c>
      <c r="N16" s="17" t="s">
        <v>16</v>
      </c>
      <c r="O16" s="18"/>
      <c r="P16" s="161">
        <f t="shared" si="3"/>
        <v>200</v>
      </c>
      <c r="Q16" s="88">
        <v>15.42</v>
      </c>
      <c r="R16" s="43">
        <f t="shared" si="4"/>
        <v>61.68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+'8'!J17</f>
        <v>9</v>
      </c>
      <c r="F17" s="69"/>
      <c r="G17" s="46">
        <f t="shared" si="0"/>
        <v>9</v>
      </c>
      <c r="H17" s="76">
        <v>0</v>
      </c>
      <c r="I17" s="74">
        <v>0</v>
      </c>
      <c r="J17" s="46">
        <f t="shared" si="1"/>
        <v>8</v>
      </c>
      <c r="K17" s="70">
        <v>1</v>
      </c>
      <c r="L17" s="15">
        <v>50</v>
      </c>
      <c r="M17" s="63">
        <f t="shared" si="2"/>
        <v>50</v>
      </c>
      <c r="N17" s="17" t="s">
        <v>16</v>
      </c>
      <c r="O17" s="18"/>
      <c r="P17" s="161">
        <f t="shared" si="3"/>
        <v>50</v>
      </c>
      <c r="Q17" s="88">
        <v>17.78</v>
      </c>
      <c r="R17" s="43">
        <f t="shared" si="4"/>
        <v>17.78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+'8'!J18</f>
        <v>1</v>
      </c>
      <c r="F18" s="69"/>
      <c r="G18" s="46">
        <f t="shared" si="0"/>
        <v>1</v>
      </c>
      <c r="H18" s="76">
        <v>0</v>
      </c>
      <c r="I18" s="74">
        <v>0</v>
      </c>
      <c r="J18" s="46">
        <f t="shared" si="1"/>
        <v>0</v>
      </c>
      <c r="K18" s="70">
        <v>1</v>
      </c>
      <c r="L18" s="20">
        <v>50</v>
      </c>
      <c r="M18" s="63">
        <f t="shared" si="2"/>
        <v>50</v>
      </c>
      <c r="N18" s="17" t="s">
        <v>16</v>
      </c>
      <c r="O18" s="18"/>
      <c r="P18" s="161">
        <f t="shared" si="3"/>
        <v>50</v>
      </c>
      <c r="Q18" s="88">
        <v>17.989999999999998</v>
      </c>
      <c r="R18" s="43">
        <f t="shared" si="4"/>
        <v>17.989999999999998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+'8'!J19</f>
        <v>11</v>
      </c>
      <c r="F19" s="69"/>
      <c r="G19" s="46">
        <f t="shared" si="0"/>
        <v>11</v>
      </c>
      <c r="H19" s="76">
        <v>0</v>
      </c>
      <c r="I19" s="74">
        <v>0</v>
      </c>
      <c r="J19" s="46">
        <f t="shared" si="1"/>
        <v>9</v>
      </c>
      <c r="K19" s="70">
        <v>2</v>
      </c>
      <c r="L19" s="15">
        <v>50</v>
      </c>
      <c r="M19" s="63">
        <f t="shared" si="2"/>
        <v>100</v>
      </c>
      <c r="N19" s="17" t="s">
        <v>16</v>
      </c>
      <c r="O19" s="18"/>
      <c r="P19" s="161">
        <f t="shared" si="3"/>
        <v>100</v>
      </c>
      <c r="Q19" s="88">
        <v>20.059999999999999</v>
      </c>
      <c r="R19" s="43">
        <f t="shared" si="4"/>
        <v>40.119999999999997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+'8'!J20</f>
        <v>4</v>
      </c>
      <c r="F20" s="69"/>
      <c r="G20" s="46">
        <f t="shared" si="0"/>
        <v>4</v>
      </c>
      <c r="H20" s="76">
        <v>0</v>
      </c>
      <c r="I20" s="74">
        <v>0</v>
      </c>
      <c r="J20" s="46">
        <f t="shared" si="1"/>
        <v>2</v>
      </c>
      <c r="K20" s="70">
        <v>2</v>
      </c>
      <c r="L20" s="15">
        <v>50</v>
      </c>
      <c r="M20" s="63">
        <f t="shared" si="2"/>
        <v>100</v>
      </c>
      <c r="N20" s="17" t="s">
        <v>16</v>
      </c>
      <c r="O20" s="18"/>
      <c r="P20" s="161">
        <f t="shared" si="3"/>
        <v>100</v>
      </c>
      <c r="Q20" s="88">
        <v>20.32</v>
      </c>
      <c r="R20" s="43">
        <f t="shared" si="4"/>
        <v>40.64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+'8'!J21</f>
        <v>29</v>
      </c>
      <c r="F21" s="69"/>
      <c r="G21" s="46">
        <f t="shared" si="0"/>
        <v>29</v>
      </c>
      <c r="H21" s="76">
        <v>0</v>
      </c>
      <c r="I21" s="74">
        <v>0</v>
      </c>
      <c r="J21" s="46">
        <f t="shared" si="1"/>
        <v>25</v>
      </c>
      <c r="K21" s="70">
        <v>4</v>
      </c>
      <c r="L21" s="15">
        <v>50</v>
      </c>
      <c r="M21" s="63">
        <f t="shared" si="2"/>
        <v>200</v>
      </c>
      <c r="N21" s="17" t="s">
        <v>16</v>
      </c>
      <c r="O21" s="18"/>
      <c r="P21" s="161">
        <f t="shared" si="3"/>
        <v>200</v>
      </c>
      <c r="Q21" s="88">
        <v>16.37</v>
      </c>
      <c r="R21" s="43">
        <f t="shared" si="4"/>
        <v>65.48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+'8'!J22</f>
        <v>10</v>
      </c>
      <c r="F22" s="69"/>
      <c r="G22" s="46">
        <f t="shared" si="0"/>
        <v>10</v>
      </c>
      <c r="H22" s="76">
        <v>0</v>
      </c>
      <c r="I22" s="74">
        <v>0</v>
      </c>
      <c r="J22" s="46">
        <f t="shared" si="1"/>
        <v>8</v>
      </c>
      <c r="K22" s="70">
        <v>2</v>
      </c>
      <c r="L22" s="15">
        <v>120</v>
      </c>
      <c r="M22" s="63">
        <f t="shared" si="2"/>
        <v>240</v>
      </c>
      <c r="N22" s="17" t="s">
        <v>16</v>
      </c>
      <c r="O22" s="18">
        <v>40</v>
      </c>
      <c r="P22" s="161">
        <f t="shared" si="3"/>
        <v>200</v>
      </c>
      <c r="Q22" s="88">
        <v>25.99</v>
      </c>
      <c r="R22" s="43">
        <f t="shared" si="4"/>
        <v>51.98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+'8'!J23</f>
        <v>3</v>
      </c>
      <c r="F23" s="69">
        <v>2</v>
      </c>
      <c r="G23" s="46">
        <f t="shared" si="0"/>
        <v>5</v>
      </c>
      <c r="H23" s="76">
        <v>0</v>
      </c>
      <c r="I23" s="74">
        <v>0</v>
      </c>
      <c r="J23" s="46">
        <f t="shared" si="1"/>
        <v>0</v>
      </c>
      <c r="K23" s="70">
        <v>5</v>
      </c>
      <c r="L23" s="15">
        <v>120</v>
      </c>
      <c r="M23" s="63">
        <f t="shared" si="2"/>
        <v>600</v>
      </c>
      <c r="N23" s="17" t="s">
        <v>16</v>
      </c>
      <c r="O23" s="18">
        <v>100</v>
      </c>
      <c r="P23" s="161">
        <f t="shared" si="3"/>
        <v>500</v>
      </c>
      <c r="Q23" s="88">
        <v>28.31</v>
      </c>
      <c r="R23" s="43">
        <f t="shared" si="4"/>
        <v>141.54999999999998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+'8'!J24</f>
        <v>12</v>
      </c>
      <c r="F24" s="69"/>
      <c r="G24" s="46">
        <f t="shared" si="0"/>
        <v>12</v>
      </c>
      <c r="H24" s="76">
        <v>0</v>
      </c>
      <c r="I24" s="74">
        <v>0</v>
      </c>
      <c r="J24" s="46">
        <f t="shared" si="1"/>
        <v>11</v>
      </c>
      <c r="K24" s="70">
        <v>1</v>
      </c>
      <c r="L24" s="15">
        <v>120</v>
      </c>
      <c r="M24" s="63">
        <f t="shared" si="2"/>
        <v>120</v>
      </c>
      <c r="N24" s="17" t="s">
        <v>16</v>
      </c>
      <c r="O24" s="18">
        <v>20</v>
      </c>
      <c r="P24" s="161">
        <f t="shared" si="3"/>
        <v>100</v>
      </c>
      <c r="Q24" s="88">
        <v>31.07</v>
      </c>
      <c r="R24" s="43">
        <f t="shared" si="4"/>
        <v>31.07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+'8'!J25</f>
        <v>6</v>
      </c>
      <c r="F25" s="69"/>
      <c r="G25" s="46">
        <f t="shared" si="0"/>
        <v>6</v>
      </c>
      <c r="H25" s="76">
        <v>0</v>
      </c>
      <c r="I25" s="74">
        <v>0</v>
      </c>
      <c r="J25" s="46">
        <f t="shared" si="1"/>
        <v>4</v>
      </c>
      <c r="K25" s="70">
        <v>2</v>
      </c>
      <c r="L25" s="20">
        <v>120</v>
      </c>
      <c r="M25" s="63">
        <f t="shared" si="2"/>
        <v>240</v>
      </c>
      <c r="N25" s="17" t="s">
        <v>16</v>
      </c>
      <c r="O25" s="18">
        <v>40</v>
      </c>
      <c r="P25" s="161">
        <f t="shared" si="3"/>
        <v>200</v>
      </c>
      <c r="Q25" s="88">
        <v>29.83</v>
      </c>
      <c r="R25" s="43">
        <f t="shared" si="4"/>
        <v>59.66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+'8'!J26</f>
        <v>5</v>
      </c>
      <c r="F26" s="69">
        <v>1</v>
      </c>
      <c r="G26" s="46">
        <f t="shared" si="0"/>
        <v>6</v>
      </c>
      <c r="H26" s="76">
        <v>0</v>
      </c>
      <c r="I26" s="74">
        <v>0</v>
      </c>
      <c r="J26" s="46">
        <f t="shared" si="1"/>
        <v>0</v>
      </c>
      <c r="K26" s="70">
        <v>6</v>
      </c>
      <c r="L26" s="15">
        <v>120</v>
      </c>
      <c r="M26" s="63">
        <f t="shared" si="2"/>
        <v>720</v>
      </c>
      <c r="N26" s="17" t="s">
        <v>16</v>
      </c>
      <c r="O26" s="18">
        <v>200</v>
      </c>
      <c r="P26" s="161">
        <f t="shared" si="3"/>
        <v>520</v>
      </c>
      <c r="Q26" s="88">
        <v>26.39</v>
      </c>
      <c r="R26" s="43">
        <f t="shared" si="4"/>
        <v>158.34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+'8'!J27</f>
        <v>7</v>
      </c>
      <c r="F27" s="69"/>
      <c r="G27" s="46">
        <f t="shared" si="0"/>
        <v>7</v>
      </c>
      <c r="H27" s="76">
        <v>0</v>
      </c>
      <c r="I27" s="74">
        <v>0</v>
      </c>
      <c r="J27" s="46">
        <f t="shared" si="1"/>
        <v>7</v>
      </c>
      <c r="K27" s="70"/>
      <c r="L27" s="15">
        <v>50</v>
      </c>
      <c r="M27" s="63">
        <f t="shared" si="2"/>
        <v>0</v>
      </c>
      <c r="N27" s="17" t="s">
        <v>16</v>
      </c>
      <c r="O27" s="18"/>
      <c r="P27" s="23">
        <f t="shared" si="3"/>
        <v>0</v>
      </c>
      <c r="Q27" s="88">
        <v>23.69</v>
      </c>
      <c r="R27" s="43">
        <f t="shared" si="4"/>
        <v>0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+'8'!J28</f>
        <v>1</v>
      </c>
      <c r="F28" s="69"/>
      <c r="G28" s="46">
        <f t="shared" si="0"/>
        <v>1</v>
      </c>
      <c r="H28" s="76">
        <v>0</v>
      </c>
      <c r="I28" s="74">
        <v>0</v>
      </c>
      <c r="J28" s="46">
        <f t="shared" si="1"/>
        <v>0</v>
      </c>
      <c r="K28" s="70">
        <v>1</v>
      </c>
      <c r="L28" s="21">
        <v>50</v>
      </c>
      <c r="M28" s="63">
        <f t="shared" si="2"/>
        <v>50</v>
      </c>
      <c r="N28" s="17" t="s">
        <v>16</v>
      </c>
      <c r="O28" s="18"/>
      <c r="P28" s="161">
        <f t="shared" si="3"/>
        <v>50</v>
      </c>
      <c r="Q28" s="88">
        <v>22.49</v>
      </c>
      <c r="R28" s="43">
        <f t="shared" si="4"/>
        <v>22.49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+'8'!J29</f>
        <v>6</v>
      </c>
      <c r="F29" s="69"/>
      <c r="G29" s="46">
        <f t="shared" si="0"/>
        <v>6</v>
      </c>
      <c r="H29" s="76">
        <v>0</v>
      </c>
      <c r="I29" s="74">
        <v>0</v>
      </c>
      <c r="J29" s="46">
        <f t="shared" si="1"/>
        <v>4</v>
      </c>
      <c r="K29" s="70">
        <v>2</v>
      </c>
      <c r="L29" s="21">
        <v>50</v>
      </c>
      <c r="M29" s="63">
        <f t="shared" si="2"/>
        <v>100</v>
      </c>
      <c r="N29" s="17" t="s">
        <v>16</v>
      </c>
      <c r="O29" s="18"/>
      <c r="P29" s="161">
        <f t="shared" si="3"/>
        <v>100</v>
      </c>
      <c r="Q29" s="88">
        <v>17.09</v>
      </c>
      <c r="R29" s="43">
        <f t="shared" si="4"/>
        <v>34.18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+'8'!J30</f>
        <v>4</v>
      </c>
      <c r="F30" s="69"/>
      <c r="G30" s="46">
        <f t="shared" si="0"/>
        <v>4</v>
      </c>
      <c r="H30" s="76">
        <v>0</v>
      </c>
      <c r="I30" s="74">
        <v>0</v>
      </c>
      <c r="J30" s="46">
        <f t="shared" si="1"/>
        <v>1</v>
      </c>
      <c r="K30" s="70">
        <v>3</v>
      </c>
      <c r="L30" s="22">
        <v>50</v>
      </c>
      <c r="M30" s="63">
        <f t="shared" si="2"/>
        <v>150</v>
      </c>
      <c r="N30" s="17" t="s">
        <v>16</v>
      </c>
      <c r="O30" s="18"/>
      <c r="P30" s="161">
        <f t="shared" si="3"/>
        <v>150</v>
      </c>
      <c r="Q30" s="88">
        <v>25.15</v>
      </c>
      <c r="R30" s="43">
        <f t="shared" si="4"/>
        <v>75.449999999999989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+'8'!J31</f>
        <v>6</v>
      </c>
      <c r="F31" s="69"/>
      <c r="G31" s="46">
        <f t="shared" si="0"/>
        <v>6</v>
      </c>
      <c r="H31" s="76">
        <v>0</v>
      </c>
      <c r="I31" s="74">
        <v>0</v>
      </c>
      <c r="J31" s="46">
        <f t="shared" si="1"/>
        <v>6</v>
      </c>
      <c r="K31" s="70"/>
      <c r="L31" s="22">
        <v>55</v>
      </c>
      <c r="M31" s="63">
        <f t="shared" si="2"/>
        <v>0</v>
      </c>
      <c r="N31" s="17" t="s">
        <v>16</v>
      </c>
      <c r="O31" s="18"/>
      <c r="P31" s="23">
        <f t="shared" si="3"/>
        <v>0</v>
      </c>
      <c r="Q31" s="88">
        <v>14.35</v>
      </c>
      <c r="R31" s="43">
        <f t="shared" si="4"/>
        <v>0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+'8'!J32</f>
        <v>7</v>
      </c>
      <c r="F32" s="69"/>
      <c r="G32" s="46">
        <f t="shared" si="0"/>
        <v>7</v>
      </c>
      <c r="H32" s="76">
        <v>0</v>
      </c>
      <c r="I32" s="74">
        <v>0</v>
      </c>
      <c r="J32" s="46">
        <f t="shared" si="1"/>
        <v>7</v>
      </c>
      <c r="K32" s="70"/>
      <c r="L32" s="22">
        <v>55</v>
      </c>
      <c r="M32" s="63">
        <f t="shared" si="2"/>
        <v>0</v>
      </c>
      <c r="N32" s="17" t="s">
        <v>16</v>
      </c>
      <c r="O32" s="18"/>
      <c r="P32" s="23">
        <f t="shared" si="3"/>
        <v>0</v>
      </c>
      <c r="Q32" s="88">
        <v>19.579999999999998</v>
      </c>
      <c r="R32" s="43">
        <f t="shared" si="4"/>
        <v>0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+'8'!J33</f>
        <v>10</v>
      </c>
      <c r="F33" s="69"/>
      <c r="G33" s="46">
        <f t="shared" si="0"/>
        <v>10</v>
      </c>
      <c r="H33" s="76">
        <v>0</v>
      </c>
      <c r="I33" s="74">
        <v>0</v>
      </c>
      <c r="J33" s="46">
        <f t="shared" si="1"/>
        <v>6</v>
      </c>
      <c r="K33" s="70">
        <v>4</v>
      </c>
      <c r="L33" s="22">
        <v>100</v>
      </c>
      <c r="M33" s="63">
        <f t="shared" si="2"/>
        <v>400</v>
      </c>
      <c r="N33" s="17" t="s">
        <v>16</v>
      </c>
      <c r="O33" s="18"/>
      <c r="P33" s="161">
        <f t="shared" si="3"/>
        <v>400</v>
      </c>
      <c r="Q33" s="88">
        <v>23.61</v>
      </c>
      <c r="R33" s="43">
        <f t="shared" si="4"/>
        <v>94.44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+'8'!J34</f>
        <v>2</v>
      </c>
      <c r="F34" s="69"/>
      <c r="G34" s="46">
        <f t="shared" si="0"/>
        <v>2</v>
      </c>
      <c r="H34" s="76">
        <v>0</v>
      </c>
      <c r="I34" s="74">
        <v>0</v>
      </c>
      <c r="J34" s="46">
        <f t="shared" si="1"/>
        <v>1</v>
      </c>
      <c r="K34" s="70">
        <v>1</v>
      </c>
      <c r="L34" s="20">
        <v>55</v>
      </c>
      <c r="M34" s="63">
        <f t="shared" si="2"/>
        <v>55</v>
      </c>
      <c r="N34" s="17" t="s">
        <v>16</v>
      </c>
      <c r="O34" s="18"/>
      <c r="P34" s="161">
        <f t="shared" si="3"/>
        <v>55</v>
      </c>
      <c r="Q34" s="88">
        <v>34.25</v>
      </c>
      <c r="R34" s="43">
        <f t="shared" si="4"/>
        <v>34.25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+'8'!J35</f>
        <v>6</v>
      </c>
      <c r="F35" s="69"/>
      <c r="G35" s="46">
        <f t="shared" si="0"/>
        <v>6</v>
      </c>
      <c r="H35" s="76">
        <v>0</v>
      </c>
      <c r="I35" s="74">
        <v>0</v>
      </c>
      <c r="J35" s="46">
        <f t="shared" si="1"/>
        <v>5</v>
      </c>
      <c r="K35" s="70">
        <v>1</v>
      </c>
      <c r="L35" s="15">
        <v>60</v>
      </c>
      <c r="M35" s="63">
        <f t="shared" si="2"/>
        <v>60</v>
      </c>
      <c r="N35" s="17" t="s">
        <v>16</v>
      </c>
      <c r="O35" s="18"/>
      <c r="P35" s="161">
        <f t="shared" si="3"/>
        <v>60</v>
      </c>
      <c r="Q35" s="88">
        <v>23.61</v>
      </c>
      <c r="R35" s="43">
        <f t="shared" si="4"/>
        <v>23.61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+'8'!J36</f>
        <v>12</v>
      </c>
      <c r="F36" s="69"/>
      <c r="G36" s="46">
        <f t="shared" si="0"/>
        <v>12</v>
      </c>
      <c r="H36" s="76">
        <v>0</v>
      </c>
      <c r="I36" s="74">
        <v>0</v>
      </c>
      <c r="J36" s="46">
        <f t="shared" si="1"/>
        <v>10</v>
      </c>
      <c r="K36" s="70">
        <v>2</v>
      </c>
      <c r="L36" s="15">
        <v>100</v>
      </c>
      <c r="M36" s="63">
        <f t="shared" si="2"/>
        <v>200</v>
      </c>
      <c r="N36" s="17" t="s">
        <v>16</v>
      </c>
      <c r="O36" s="18"/>
      <c r="P36" s="161">
        <f t="shared" si="3"/>
        <v>200</v>
      </c>
      <c r="Q36" s="88">
        <v>13.03</v>
      </c>
      <c r="R36" s="43">
        <f t="shared" si="4"/>
        <v>26.06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+'8'!J37</f>
        <v>9</v>
      </c>
      <c r="F37" s="69"/>
      <c r="G37" s="46">
        <f t="shared" si="0"/>
        <v>9</v>
      </c>
      <c r="H37" s="76">
        <v>0</v>
      </c>
      <c r="I37" s="74">
        <v>0</v>
      </c>
      <c r="J37" s="46">
        <f t="shared" si="1"/>
        <v>9</v>
      </c>
      <c r="K37" s="70"/>
      <c r="L37" s="15">
        <v>55</v>
      </c>
      <c r="M37" s="63">
        <f t="shared" si="2"/>
        <v>0</v>
      </c>
      <c r="N37" s="17" t="s">
        <v>16</v>
      </c>
      <c r="O37" s="18"/>
      <c r="P37" s="23">
        <f t="shared" si="3"/>
        <v>0</v>
      </c>
      <c r="Q37" s="88">
        <v>11.91</v>
      </c>
      <c r="R37" s="43">
        <f t="shared" si="4"/>
        <v>0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+'8'!J38</f>
        <v>9</v>
      </c>
      <c r="F38" s="69"/>
      <c r="G38" s="46">
        <f t="shared" si="0"/>
        <v>9</v>
      </c>
      <c r="H38" s="76">
        <v>0</v>
      </c>
      <c r="I38" s="74">
        <v>0</v>
      </c>
      <c r="J38" s="46">
        <f t="shared" si="1"/>
        <v>9</v>
      </c>
      <c r="K38" s="70"/>
      <c r="L38" s="15">
        <v>50</v>
      </c>
      <c r="M38" s="63">
        <f>+L38*K38</f>
        <v>0</v>
      </c>
      <c r="N38" s="17" t="s">
        <v>16</v>
      </c>
      <c r="O38" s="18"/>
      <c r="P38" s="23">
        <f>SUM(M38-O38)</f>
        <v>0</v>
      </c>
      <c r="Q38" s="88">
        <v>9.91</v>
      </c>
      <c r="R38" s="43">
        <f>+K38*Q38</f>
        <v>0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+'8'!J39</f>
        <v>3</v>
      </c>
      <c r="F39" s="69">
        <v>3</v>
      </c>
      <c r="G39" s="46">
        <f t="shared" si="0"/>
        <v>6</v>
      </c>
      <c r="H39" s="76">
        <v>0</v>
      </c>
      <c r="I39" s="74">
        <v>0</v>
      </c>
      <c r="J39" s="46">
        <f t="shared" si="1"/>
        <v>4</v>
      </c>
      <c r="K39" s="70">
        <v>2</v>
      </c>
      <c r="L39" s="20">
        <v>35</v>
      </c>
      <c r="M39" s="63">
        <f t="shared" si="2"/>
        <v>70</v>
      </c>
      <c r="N39" s="17" t="s">
        <v>16</v>
      </c>
      <c r="O39" s="18"/>
      <c r="P39" s="161">
        <f t="shared" si="3"/>
        <v>70</v>
      </c>
      <c r="Q39" s="88">
        <v>16.690000000000001</v>
      </c>
      <c r="R39" s="43">
        <f t="shared" si="4"/>
        <v>33.380000000000003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+'8'!J40</f>
        <v>8</v>
      </c>
      <c r="F40" s="69"/>
      <c r="G40" s="46">
        <f t="shared" si="0"/>
        <v>8</v>
      </c>
      <c r="H40" s="76">
        <v>0</v>
      </c>
      <c r="I40" s="74">
        <v>0</v>
      </c>
      <c r="J40" s="46">
        <f t="shared" si="1"/>
        <v>7</v>
      </c>
      <c r="K40" s="70">
        <v>1</v>
      </c>
      <c r="L40" s="20">
        <v>50</v>
      </c>
      <c r="M40" s="63">
        <f t="shared" si="2"/>
        <v>50</v>
      </c>
      <c r="N40" s="17" t="s">
        <v>16</v>
      </c>
      <c r="O40" s="18"/>
      <c r="P40" s="161">
        <f t="shared" si="3"/>
        <v>50</v>
      </c>
      <c r="Q40" s="88">
        <v>24.21</v>
      </c>
      <c r="R40" s="43">
        <f t="shared" si="4"/>
        <v>24.21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+'8'!J41</f>
        <v>5</v>
      </c>
      <c r="F41" s="69"/>
      <c r="G41" s="46">
        <f t="shared" si="0"/>
        <v>5</v>
      </c>
      <c r="H41" s="76">
        <v>0</v>
      </c>
      <c r="I41" s="74">
        <v>0</v>
      </c>
      <c r="J41" s="46">
        <f t="shared" si="1"/>
        <v>2</v>
      </c>
      <c r="K41" s="70">
        <v>3</v>
      </c>
      <c r="L41" s="20">
        <v>65</v>
      </c>
      <c r="M41" s="63">
        <f t="shared" si="2"/>
        <v>195</v>
      </c>
      <c r="N41" s="17" t="s">
        <v>16</v>
      </c>
      <c r="O41" s="18">
        <v>45</v>
      </c>
      <c r="P41" s="161">
        <f t="shared" si="3"/>
        <v>150</v>
      </c>
      <c r="Q41" s="88">
        <v>23.02</v>
      </c>
      <c r="R41" s="43">
        <f t="shared" si="4"/>
        <v>69.06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+'8'!J42</f>
        <v>268</v>
      </c>
      <c r="F42" s="69"/>
      <c r="G42" s="46">
        <f t="shared" si="0"/>
        <v>268</v>
      </c>
      <c r="H42" s="76">
        <v>0</v>
      </c>
      <c r="I42" s="74">
        <v>0</v>
      </c>
      <c r="J42" s="46">
        <f t="shared" si="1"/>
        <v>262</v>
      </c>
      <c r="K42" s="70">
        <v>6</v>
      </c>
      <c r="L42" s="20">
        <v>10</v>
      </c>
      <c r="M42" s="63">
        <f t="shared" si="2"/>
        <v>60</v>
      </c>
      <c r="N42" s="17" t="s">
        <v>16</v>
      </c>
      <c r="O42" s="18"/>
      <c r="P42" s="161">
        <f t="shared" si="3"/>
        <v>60</v>
      </c>
      <c r="Q42" s="88">
        <v>6.3</v>
      </c>
      <c r="R42" s="43">
        <f t="shared" si="4"/>
        <v>37.799999999999997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+'8'!J43</f>
        <v>136</v>
      </c>
      <c r="F43" s="69"/>
      <c r="G43" s="46">
        <f t="shared" si="0"/>
        <v>136</v>
      </c>
      <c r="H43" s="76">
        <v>0</v>
      </c>
      <c r="I43" s="74">
        <v>0</v>
      </c>
      <c r="J43" s="46">
        <f t="shared" si="1"/>
        <v>136</v>
      </c>
      <c r="K43" s="70"/>
      <c r="L43" s="22">
        <v>10</v>
      </c>
      <c r="M43" s="63">
        <f>+L43*K43</f>
        <v>0</v>
      </c>
      <c r="N43" s="17" t="s">
        <v>16</v>
      </c>
      <c r="O43" s="18"/>
      <c r="P43" s="23">
        <f>SUM(M43-O43)</f>
        <v>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+'8'!J44</f>
        <v>6</v>
      </c>
      <c r="F44" s="69"/>
      <c r="G44" s="46">
        <f t="shared" si="0"/>
        <v>6</v>
      </c>
      <c r="H44" s="76">
        <v>0</v>
      </c>
      <c r="I44" s="74">
        <v>0</v>
      </c>
      <c r="J44" s="46">
        <f t="shared" si="1"/>
        <v>5</v>
      </c>
      <c r="K44" s="70">
        <v>1</v>
      </c>
      <c r="L44" s="20">
        <v>150</v>
      </c>
      <c r="M44" s="63">
        <f t="shared" si="2"/>
        <v>150</v>
      </c>
      <c r="N44" s="17" t="s">
        <v>16</v>
      </c>
      <c r="O44" s="18"/>
      <c r="P44" s="161">
        <f t="shared" si="3"/>
        <v>150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+'8'!J45</f>
        <v>5</v>
      </c>
      <c r="F45" s="69"/>
      <c r="G45" s="46">
        <f t="shared" si="0"/>
        <v>5</v>
      </c>
      <c r="H45" s="76">
        <v>0</v>
      </c>
      <c r="I45" s="74">
        <v>0</v>
      </c>
      <c r="J45" s="46">
        <f t="shared" si="1"/>
        <v>5</v>
      </c>
      <c r="K45" s="70"/>
      <c r="L45" s="15">
        <v>150</v>
      </c>
      <c r="M45" s="63">
        <f t="shared" si="2"/>
        <v>0</v>
      </c>
      <c r="N45" s="17" t="s">
        <v>16</v>
      </c>
      <c r="O45" s="18"/>
      <c r="P45" s="23">
        <f t="shared" si="3"/>
        <v>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+'8'!J46</f>
        <v>11</v>
      </c>
      <c r="F46" s="69"/>
      <c r="G46" s="46">
        <f t="shared" si="0"/>
        <v>11</v>
      </c>
      <c r="H46" s="76">
        <v>0</v>
      </c>
      <c r="I46" s="74">
        <v>0</v>
      </c>
      <c r="J46" s="46">
        <f t="shared" si="1"/>
        <v>4</v>
      </c>
      <c r="K46" s="70">
        <v>7</v>
      </c>
      <c r="L46" s="15">
        <v>25</v>
      </c>
      <c r="M46" s="63">
        <f t="shared" si="2"/>
        <v>175</v>
      </c>
      <c r="N46" s="17" t="s">
        <v>16</v>
      </c>
      <c r="O46" s="18">
        <v>25</v>
      </c>
      <c r="P46" s="161">
        <f t="shared" si="3"/>
        <v>150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+'8'!J47</f>
        <v>6</v>
      </c>
      <c r="F47" s="69"/>
      <c r="G47" s="46">
        <f t="shared" si="0"/>
        <v>6</v>
      </c>
      <c r="H47" s="76">
        <v>0</v>
      </c>
      <c r="I47" s="74">
        <v>0</v>
      </c>
      <c r="J47" s="46">
        <f t="shared" si="1"/>
        <v>2</v>
      </c>
      <c r="K47" s="70">
        <v>4</v>
      </c>
      <c r="L47" s="15">
        <v>35</v>
      </c>
      <c r="M47" s="63">
        <f t="shared" si="2"/>
        <v>140</v>
      </c>
      <c r="N47" s="17" t="s">
        <v>16</v>
      </c>
      <c r="O47" s="18"/>
      <c r="P47" s="161">
        <f t="shared" si="3"/>
        <v>140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+'8'!J48</f>
        <v>59</v>
      </c>
      <c r="F48" s="69"/>
      <c r="G48" s="46">
        <f t="shared" si="0"/>
        <v>59</v>
      </c>
      <c r="H48" s="76">
        <v>0</v>
      </c>
      <c r="I48" s="74">
        <v>11</v>
      </c>
      <c r="J48" s="46">
        <f t="shared" si="1"/>
        <v>27</v>
      </c>
      <c r="K48" s="70">
        <v>21</v>
      </c>
      <c r="L48" s="15">
        <v>19</v>
      </c>
      <c r="M48" s="63">
        <f>+L48*K48</f>
        <v>399</v>
      </c>
      <c r="N48" s="17" t="s">
        <v>1454</v>
      </c>
      <c r="O48" s="18">
        <v>38</v>
      </c>
      <c r="P48" s="161">
        <f>SUM(M48-O48)</f>
        <v>361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+'8'!J49</f>
        <v>33</v>
      </c>
      <c r="F49" s="69"/>
      <c r="G49" s="46">
        <f t="shared" si="0"/>
        <v>33</v>
      </c>
      <c r="H49" s="76">
        <v>27</v>
      </c>
      <c r="I49" s="74">
        <v>0</v>
      </c>
      <c r="J49" s="46">
        <f t="shared" si="1"/>
        <v>0</v>
      </c>
      <c r="K49" s="70">
        <v>6</v>
      </c>
      <c r="L49" s="15">
        <v>25</v>
      </c>
      <c r="M49" s="63">
        <f>+L49*K49</f>
        <v>150</v>
      </c>
      <c r="N49" s="17" t="s">
        <v>1455</v>
      </c>
      <c r="O49" s="18">
        <v>150</v>
      </c>
      <c r="P49" s="23">
        <f t="shared" si="3"/>
        <v>0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+'8'!J50</f>
        <v>3</v>
      </c>
      <c r="F50" s="69"/>
      <c r="G50" s="46">
        <f t="shared" si="0"/>
        <v>3</v>
      </c>
      <c r="H50" s="76">
        <v>0</v>
      </c>
      <c r="I50" s="74">
        <v>0</v>
      </c>
      <c r="J50" s="46">
        <f t="shared" si="1"/>
        <v>3</v>
      </c>
      <c r="K50" s="70"/>
      <c r="L50" s="15">
        <v>25</v>
      </c>
      <c r="M50" s="63">
        <f t="shared" si="2"/>
        <v>0</v>
      </c>
      <c r="N50" s="17" t="s">
        <v>16</v>
      </c>
      <c r="O50" s="18"/>
      <c r="P50" s="23">
        <f t="shared" si="3"/>
        <v>0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+'8'!J51</f>
        <v>38</v>
      </c>
      <c r="F51" s="69"/>
      <c r="G51" s="46">
        <f t="shared" si="0"/>
        <v>38</v>
      </c>
      <c r="H51" s="76">
        <v>0</v>
      </c>
      <c r="I51" s="74">
        <v>0</v>
      </c>
      <c r="J51" s="46">
        <f t="shared" si="1"/>
        <v>35</v>
      </c>
      <c r="K51" s="70">
        <v>3</v>
      </c>
      <c r="L51" s="20">
        <v>25</v>
      </c>
      <c r="M51" s="63">
        <f>+L51*K51</f>
        <v>75</v>
      </c>
      <c r="N51" s="17" t="s">
        <v>16</v>
      </c>
      <c r="O51" s="18"/>
      <c r="P51" s="161">
        <f>SUM(M51-O51)</f>
        <v>75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+'8'!J52</f>
        <v>6</v>
      </c>
      <c r="F52" s="69"/>
      <c r="G52" s="46">
        <f t="shared" si="0"/>
        <v>6</v>
      </c>
      <c r="H52" s="76">
        <v>0</v>
      </c>
      <c r="I52" s="74">
        <v>0</v>
      </c>
      <c r="J52" s="46">
        <f t="shared" si="1"/>
        <v>5</v>
      </c>
      <c r="K52" s="70">
        <v>1</v>
      </c>
      <c r="L52" s="20">
        <v>35</v>
      </c>
      <c r="M52" s="63">
        <f>+L52*K52</f>
        <v>35</v>
      </c>
      <c r="N52" s="17" t="s">
        <v>16</v>
      </c>
      <c r="O52" s="18"/>
      <c r="P52" s="161">
        <f>SUM(M52-O52)</f>
        <v>35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+'8'!J53</f>
        <v>29</v>
      </c>
      <c r="F53" s="69"/>
      <c r="G53" s="46">
        <f t="shared" si="0"/>
        <v>29</v>
      </c>
      <c r="H53" s="76">
        <v>0</v>
      </c>
      <c r="I53" s="74">
        <v>0</v>
      </c>
      <c r="J53" s="46">
        <f t="shared" si="1"/>
        <v>27</v>
      </c>
      <c r="K53" s="70">
        <v>2</v>
      </c>
      <c r="L53" s="15">
        <v>35</v>
      </c>
      <c r="M53" s="63">
        <f>+L53*K53</f>
        <v>70</v>
      </c>
      <c r="N53" s="17" t="s">
        <v>16</v>
      </c>
      <c r="O53" s="18">
        <v>35</v>
      </c>
      <c r="P53" s="161">
        <f>SUM(M53-O53)</f>
        <v>35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+'8'!J54</f>
        <v>3</v>
      </c>
      <c r="F54" s="69"/>
      <c r="G54" s="46">
        <f t="shared" si="0"/>
        <v>3</v>
      </c>
      <c r="H54" s="76">
        <v>0</v>
      </c>
      <c r="I54" s="74">
        <v>0</v>
      </c>
      <c r="J54" s="46">
        <f t="shared" si="1"/>
        <v>1</v>
      </c>
      <c r="K54" s="70">
        <v>2</v>
      </c>
      <c r="L54" s="15">
        <v>35</v>
      </c>
      <c r="M54" s="63">
        <f t="shared" si="2"/>
        <v>70</v>
      </c>
      <c r="N54" s="17" t="s">
        <v>16</v>
      </c>
      <c r="O54" s="18">
        <v>35</v>
      </c>
      <c r="P54" s="161">
        <f t="shared" si="3"/>
        <v>35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+'8'!J55</f>
        <v>14</v>
      </c>
      <c r="F55" s="69"/>
      <c r="G55" s="46">
        <f t="shared" si="0"/>
        <v>14</v>
      </c>
      <c r="H55" s="76">
        <v>0</v>
      </c>
      <c r="I55" s="74">
        <v>0</v>
      </c>
      <c r="J55" s="46">
        <f t="shared" si="1"/>
        <v>12</v>
      </c>
      <c r="K55" s="70">
        <v>2</v>
      </c>
      <c r="L55" s="15">
        <v>120</v>
      </c>
      <c r="M55" s="63">
        <f>+L55*K55</f>
        <v>240</v>
      </c>
      <c r="N55" s="17" t="s">
        <v>16</v>
      </c>
      <c r="O55" s="18"/>
      <c r="P55" s="161">
        <f>SUM(M55-O55)</f>
        <v>240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+'8'!J56</f>
        <v>19</v>
      </c>
      <c r="F56" s="69"/>
      <c r="G56" s="46">
        <f t="shared" si="0"/>
        <v>19</v>
      </c>
      <c r="H56" s="76">
        <v>0</v>
      </c>
      <c r="I56" s="74">
        <v>0</v>
      </c>
      <c r="J56" s="46">
        <f t="shared" si="1"/>
        <v>18</v>
      </c>
      <c r="K56" s="70">
        <v>1</v>
      </c>
      <c r="L56" s="15">
        <v>120</v>
      </c>
      <c r="M56" s="63">
        <f>+L56*K56</f>
        <v>120</v>
      </c>
      <c r="N56" s="17" t="s">
        <v>16</v>
      </c>
      <c r="O56" s="18"/>
      <c r="P56" s="161">
        <f>SUM(M56-O56)</f>
        <v>120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+'8'!J57</f>
        <v>18</v>
      </c>
      <c r="F57" s="69"/>
      <c r="G57" s="46">
        <f t="shared" si="0"/>
        <v>18</v>
      </c>
      <c r="H57" s="76">
        <v>0</v>
      </c>
      <c r="I57" s="74">
        <v>0</v>
      </c>
      <c r="J57" s="46">
        <f t="shared" si="1"/>
        <v>15</v>
      </c>
      <c r="K57" s="70">
        <v>3</v>
      </c>
      <c r="L57" s="20">
        <v>120</v>
      </c>
      <c r="M57" s="63">
        <f t="shared" si="2"/>
        <v>360</v>
      </c>
      <c r="N57" s="17" t="s">
        <v>16</v>
      </c>
      <c r="O57" s="18"/>
      <c r="P57" s="161">
        <f t="shared" si="3"/>
        <v>360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+'8'!J58</f>
        <v>23</v>
      </c>
      <c r="F58" s="69"/>
      <c r="G58" s="46">
        <f t="shared" si="0"/>
        <v>23</v>
      </c>
      <c r="H58" s="76">
        <v>0</v>
      </c>
      <c r="I58" s="74">
        <v>0</v>
      </c>
      <c r="J58" s="46">
        <f t="shared" si="1"/>
        <v>23</v>
      </c>
      <c r="K58" s="70"/>
      <c r="L58" s="20">
        <v>120</v>
      </c>
      <c r="M58" s="63">
        <f t="shared" si="2"/>
        <v>0</v>
      </c>
      <c r="N58" s="17" t="s">
        <v>16</v>
      </c>
      <c r="O58" s="18"/>
      <c r="P58" s="23">
        <f t="shared" si="3"/>
        <v>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/>
      <c r="D59" s="10"/>
      <c r="E59" s="62">
        <f>+'8'!J59</f>
        <v>0</v>
      </c>
      <c r="F59" s="69"/>
      <c r="G59" s="46"/>
      <c r="H59" s="76"/>
      <c r="I59" s="74"/>
      <c r="J59" s="46"/>
      <c r="K59" s="70"/>
      <c r="L59" s="20"/>
      <c r="M59" s="63"/>
      <c r="N59" s="17"/>
      <c r="O59" s="18"/>
      <c r="P59" s="23"/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+'8'!J60</f>
        <v>0</v>
      </c>
      <c r="F60" s="69"/>
      <c r="G60" s="46"/>
      <c r="H60" s="76"/>
      <c r="I60" s="74"/>
      <c r="J60" s="46"/>
      <c r="K60" s="70"/>
      <c r="L60" s="20"/>
      <c r="M60" s="63"/>
      <c r="N60" s="17"/>
      <c r="O60" s="18"/>
      <c r="P60" s="23"/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+'8'!J61</f>
        <v>0</v>
      </c>
      <c r="F61" s="69"/>
      <c r="G61" s="46"/>
      <c r="H61" s="76"/>
      <c r="I61" s="74"/>
      <c r="J61" s="46"/>
      <c r="K61" s="70"/>
      <c r="L61" s="20"/>
      <c r="M61" s="63"/>
      <c r="N61" s="17"/>
      <c r="O61" s="18"/>
      <c r="P61" s="23"/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>
        <f>+'8'!J62</f>
        <v>0</v>
      </c>
      <c r="F62" s="69"/>
      <c r="G62" s="46"/>
      <c r="H62" s="76"/>
      <c r="I62" s="74"/>
      <c r="J62" s="46"/>
      <c r="K62" s="70"/>
      <c r="L62" s="20"/>
      <c r="M62" s="63"/>
      <c r="N62" s="17"/>
      <c r="O62" s="18"/>
      <c r="P62" s="23"/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/>
      <c r="F63" s="69"/>
      <c r="G63" s="46"/>
      <c r="H63" s="76"/>
      <c r="I63" s="74"/>
      <c r="J63" s="46"/>
      <c r="K63" s="70"/>
      <c r="L63" s="20"/>
      <c r="M63" s="63"/>
      <c r="N63" s="17"/>
      <c r="O63" s="18"/>
      <c r="P63" s="23"/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/>
      <c r="F64" s="69"/>
      <c r="G64" s="46"/>
      <c r="H64" s="76"/>
      <c r="I64" s="74"/>
      <c r="J64" s="46"/>
      <c r="K64" s="70"/>
      <c r="L64" s="20"/>
      <c r="M64" s="63"/>
      <c r="N64" s="17"/>
      <c r="O64" s="18"/>
      <c r="P64" s="23"/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/>
      <c r="F65" s="69"/>
      <c r="G65" s="46"/>
      <c r="H65" s="76"/>
      <c r="I65" s="74"/>
      <c r="J65" s="46"/>
      <c r="K65" s="70"/>
      <c r="L65" s="20"/>
      <c r="M65" s="63"/>
      <c r="N65" s="17"/>
      <c r="O65" s="18"/>
      <c r="P65" s="23"/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4374.53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14879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>
        <v>15</v>
      </c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5522</v>
      </c>
      <c r="O70" s="2">
        <v>5522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>
        <v>1400</v>
      </c>
      <c r="O72" s="2" t="s">
        <v>1397</v>
      </c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728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7214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7214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0</v>
      </c>
    </row>
    <row r="77" spans="1:19" ht="25.5" x14ac:dyDescent="0.55000000000000004">
      <c r="J77" s="2"/>
      <c r="L77" s="148" t="s">
        <v>211</v>
      </c>
      <c r="M77" s="149"/>
      <c r="N77" s="33">
        <f>+N75-N74</f>
        <v>0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F366-7EFC-4416-9872-5D712C9BCE44}">
  <sheetPr filterMode="1">
    <tabColor rgb="FFFFCCFF"/>
    <pageSetUpPr fitToPage="1"/>
  </sheetPr>
  <dimension ref="A1:S152"/>
  <sheetViews>
    <sheetView zoomScale="85" zoomScaleNormal="85" workbookViewId="0">
      <pane xSplit="10" ySplit="4" topLeftCell="K56" activePane="bottomRight" state="frozen"/>
      <selection activeCell="A66" sqref="A66:XFD74"/>
      <selection pane="topRight" activeCell="A66" sqref="A66:XFD74"/>
      <selection pane="bottomLeft" activeCell="A66" sqref="A66:XFD74"/>
      <selection pane="bottomRight" activeCell="Q74" sqref="Q74"/>
    </sheetView>
  </sheetViews>
  <sheetFormatPr defaultColWidth="9" defaultRowHeight="24.75" x14ac:dyDescent="0.5"/>
  <cols>
    <col min="1" max="1" width="6.75" style="2" customWidth="1"/>
    <col min="2" max="2" width="19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6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1376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7"/>
    </row>
    <row r="3" spans="1:18" s="5" customFormat="1" ht="26.45" customHeight="1" x14ac:dyDescent="0.55000000000000004">
      <c r="A3" s="154" t="s">
        <v>1</v>
      </c>
      <c r="B3" s="154" t="s">
        <v>1363</v>
      </c>
      <c r="C3" s="154" t="s">
        <v>2</v>
      </c>
      <c r="D3" s="154" t="s">
        <v>1364</v>
      </c>
      <c r="E3" s="156" t="s">
        <v>3</v>
      </c>
      <c r="F3" s="156" t="s">
        <v>4</v>
      </c>
      <c r="G3" s="156" t="s">
        <v>5</v>
      </c>
      <c r="H3" s="75" t="s">
        <v>6</v>
      </c>
      <c r="I3" s="146" t="s">
        <v>271</v>
      </c>
      <c r="J3" s="156" t="s">
        <v>7</v>
      </c>
      <c r="K3" s="157" t="s">
        <v>8</v>
      </c>
      <c r="L3" s="157"/>
      <c r="M3" s="157"/>
      <c r="N3" s="156" t="s">
        <v>9</v>
      </c>
      <c r="O3" s="158" t="s">
        <v>10</v>
      </c>
      <c r="Q3" s="101" t="s">
        <v>272</v>
      </c>
      <c r="R3" s="150" t="s">
        <v>273</v>
      </c>
    </row>
    <row r="4" spans="1:18" s="5" customFormat="1" ht="26.25" x14ac:dyDescent="0.55000000000000004">
      <c r="A4" s="155"/>
      <c r="B4" s="155"/>
      <c r="C4" s="155"/>
      <c r="D4" s="155"/>
      <c r="E4" s="156"/>
      <c r="F4" s="156"/>
      <c r="G4" s="156"/>
      <c r="H4" s="75" t="s">
        <v>11</v>
      </c>
      <c r="I4" s="147"/>
      <c r="J4" s="156"/>
      <c r="K4" s="157" t="s">
        <v>12</v>
      </c>
      <c r="L4" s="68" t="s">
        <v>13</v>
      </c>
      <c r="M4" s="157" t="s">
        <v>14</v>
      </c>
      <c r="N4" s="156"/>
      <c r="O4" s="158"/>
      <c r="Q4" s="102"/>
      <c r="R4" s="151"/>
    </row>
    <row r="5" spans="1:18" ht="25.5" x14ac:dyDescent="0.55000000000000004">
      <c r="A5" s="10">
        <v>1</v>
      </c>
      <c r="B5" s="110" t="s">
        <v>1422</v>
      </c>
      <c r="C5" s="19" t="s">
        <v>1061</v>
      </c>
      <c r="D5" s="10" t="s">
        <v>429</v>
      </c>
      <c r="E5" s="62">
        <f>+'9'!J5</f>
        <v>8</v>
      </c>
      <c r="F5" s="69"/>
      <c r="G5" s="46">
        <f t="shared" ref="G5:G64" si="0">E5+F5</f>
        <v>8</v>
      </c>
      <c r="H5" s="76">
        <v>0</v>
      </c>
      <c r="I5" s="74">
        <v>0</v>
      </c>
      <c r="J5" s="46">
        <f t="shared" ref="J5:J64" si="1">+G5-H5-K5-I5</f>
        <v>1</v>
      </c>
      <c r="K5" s="70">
        <v>7</v>
      </c>
      <c r="L5" s="15">
        <v>50</v>
      </c>
      <c r="M5" s="63">
        <f>+L5*K5</f>
        <v>350</v>
      </c>
      <c r="N5" s="17" t="s">
        <v>1437</v>
      </c>
      <c r="O5" s="18">
        <v>50</v>
      </c>
      <c r="P5" s="161">
        <f>SUM(M5-O5)</f>
        <v>300</v>
      </c>
      <c r="Q5" s="88">
        <v>18.97</v>
      </c>
      <c r="R5" s="43">
        <f>+K5*Q5</f>
        <v>132.79</v>
      </c>
    </row>
    <row r="6" spans="1:18" ht="25.5" x14ac:dyDescent="0.55000000000000004">
      <c r="A6" s="10">
        <v>2</v>
      </c>
      <c r="B6" s="10">
        <v>1111002</v>
      </c>
      <c r="C6" s="19" t="s">
        <v>1059</v>
      </c>
      <c r="D6" s="10" t="s">
        <v>429</v>
      </c>
      <c r="E6" s="62">
        <f>+'9'!J6</f>
        <v>62</v>
      </c>
      <c r="F6" s="69"/>
      <c r="G6" s="46">
        <f t="shared" si="0"/>
        <v>62</v>
      </c>
      <c r="H6" s="76">
        <v>0</v>
      </c>
      <c r="I6" s="74">
        <v>0</v>
      </c>
      <c r="J6" s="46">
        <f t="shared" si="1"/>
        <v>23</v>
      </c>
      <c r="K6" s="70">
        <v>39</v>
      </c>
      <c r="L6" s="15">
        <v>100</v>
      </c>
      <c r="M6" s="63">
        <f t="shared" ref="M6:M54" si="2">+L6*K6</f>
        <v>3900</v>
      </c>
      <c r="N6" s="17" t="s">
        <v>16</v>
      </c>
      <c r="O6" s="18"/>
      <c r="P6" s="161">
        <f t="shared" ref="P6:P50" si="3">SUM(M6-O6)</f>
        <v>3900</v>
      </c>
      <c r="Q6" s="88">
        <v>36.43</v>
      </c>
      <c r="R6" s="43">
        <f t="shared" ref="R6:R65" si="4">+K6*Q6</f>
        <v>1420.77</v>
      </c>
    </row>
    <row r="7" spans="1:18" ht="25.5" x14ac:dyDescent="0.55000000000000004">
      <c r="A7" s="10">
        <v>3</v>
      </c>
      <c r="B7" s="10">
        <v>1111008</v>
      </c>
      <c r="C7" s="19" t="s">
        <v>1423</v>
      </c>
      <c r="D7" s="10" t="s">
        <v>429</v>
      </c>
      <c r="E7" s="62">
        <f>+'9'!J7</f>
        <v>39</v>
      </c>
      <c r="F7" s="69"/>
      <c r="G7" s="46">
        <f t="shared" si="0"/>
        <v>39</v>
      </c>
      <c r="H7" s="76">
        <v>0</v>
      </c>
      <c r="I7" s="74">
        <v>0</v>
      </c>
      <c r="J7" s="46">
        <f t="shared" si="1"/>
        <v>31</v>
      </c>
      <c r="K7" s="70">
        <v>8</v>
      </c>
      <c r="L7" s="15">
        <v>50</v>
      </c>
      <c r="M7" s="63">
        <f t="shared" si="2"/>
        <v>400</v>
      </c>
      <c r="N7" s="17" t="s">
        <v>1437</v>
      </c>
      <c r="O7" s="18">
        <v>50</v>
      </c>
      <c r="P7" s="161">
        <f t="shared" si="3"/>
        <v>350</v>
      </c>
      <c r="Q7" s="88">
        <v>19.36</v>
      </c>
      <c r="R7" s="43">
        <f t="shared" si="4"/>
        <v>154.88</v>
      </c>
    </row>
    <row r="8" spans="1:18" ht="25.5" x14ac:dyDescent="0.55000000000000004">
      <c r="A8" s="10">
        <v>4</v>
      </c>
      <c r="B8" s="10">
        <v>1111004</v>
      </c>
      <c r="C8" s="19" t="s">
        <v>25</v>
      </c>
      <c r="D8" s="10" t="s">
        <v>429</v>
      </c>
      <c r="E8" s="62">
        <f>+'9'!J8</f>
        <v>0</v>
      </c>
      <c r="F8" s="69"/>
      <c r="G8" s="46">
        <f t="shared" si="0"/>
        <v>0</v>
      </c>
      <c r="H8" s="76">
        <v>0</v>
      </c>
      <c r="I8" s="74">
        <v>0</v>
      </c>
      <c r="J8" s="46">
        <f t="shared" si="1"/>
        <v>0</v>
      </c>
      <c r="K8" s="70"/>
      <c r="L8" s="15">
        <v>65</v>
      </c>
      <c r="M8" s="63">
        <f t="shared" si="2"/>
        <v>0</v>
      </c>
      <c r="N8" s="17" t="s">
        <v>16</v>
      </c>
      <c r="O8" s="18"/>
      <c r="P8" s="23">
        <f t="shared" si="3"/>
        <v>0</v>
      </c>
      <c r="Q8" s="88">
        <v>22.25</v>
      </c>
      <c r="R8" s="43">
        <f t="shared" si="4"/>
        <v>0</v>
      </c>
    </row>
    <row r="9" spans="1:18" ht="25.5" x14ac:dyDescent="0.55000000000000004">
      <c r="A9" s="10">
        <v>5</v>
      </c>
      <c r="B9" s="10">
        <v>1111005</v>
      </c>
      <c r="C9" s="19" t="s">
        <v>1425</v>
      </c>
      <c r="D9" s="10" t="s">
        <v>429</v>
      </c>
      <c r="E9" s="62">
        <f>+'9'!J9</f>
        <v>13</v>
      </c>
      <c r="F9" s="69"/>
      <c r="G9" s="46">
        <f t="shared" si="0"/>
        <v>13</v>
      </c>
      <c r="H9" s="76">
        <v>0</v>
      </c>
      <c r="I9" s="74">
        <v>0</v>
      </c>
      <c r="J9" s="46">
        <f t="shared" si="1"/>
        <v>0</v>
      </c>
      <c r="K9" s="70">
        <v>13</v>
      </c>
      <c r="L9" s="15">
        <v>85</v>
      </c>
      <c r="M9" s="63">
        <f t="shared" si="2"/>
        <v>1105</v>
      </c>
      <c r="N9" s="17" t="s">
        <v>16</v>
      </c>
      <c r="O9" s="18">
        <v>300</v>
      </c>
      <c r="P9" s="161">
        <f t="shared" si="3"/>
        <v>805</v>
      </c>
      <c r="Q9" s="88">
        <v>22.65</v>
      </c>
      <c r="R9" s="43">
        <f t="shared" si="4"/>
        <v>294.45</v>
      </c>
    </row>
    <row r="10" spans="1:18" ht="25.5" x14ac:dyDescent="0.55000000000000004">
      <c r="A10" s="10">
        <v>6</v>
      </c>
      <c r="B10" s="10">
        <v>1111009</v>
      </c>
      <c r="C10" s="19" t="s">
        <v>1424</v>
      </c>
      <c r="D10" s="10" t="s">
        <v>429</v>
      </c>
      <c r="E10" s="62">
        <f>+'9'!J10</f>
        <v>44</v>
      </c>
      <c r="F10" s="69"/>
      <c r="G10" s="46">
        <f t="shared" si="0"/>
        <v>44</v>
      </c>
      <c r="H10" s="76">
        <v>0</v>
      </c>
      <c r="I10" s="74">
        <v>0</v>
      </c>
      <c r="J10" s="46">
        <f t="shared" si="1"/>
        <v>14</v>
      </c>
      <c r="K10" s="70">
        <v>30</v>
      </c>
      <c r="L10" s="15">
        <v>100</v>
      </c>
      <c r="M10" s="63">
        <f t="shared" si="2"/>
        <v>3000</v>
      </c>
      <c r="N10" s="17" t="s">
        <v>16</v>
      </c>
      <c r="O10" s="18"/>
      <c r="P10" s="161">
        <f t="shared" si="3"/>
        <v>3000</v>
      </c>
      <c r="Q10" s="88">
        <v>27.98</v>
      </c>
      <c r="R10" s="43">
        <f t="shared" si="4"/>
        <v>839.4</v>
      </c>
    </row>
    <row r="11" spans="1:18" ht="25.5" x14ac:dyDescent="0.55000000000000004">
      <c r="A11" s="10">
        <v>7</v>
      </c>
      <c r="B11" s="10">
        <v>1111056</v>
      </c>
      <c r="C11" s="19" t="s">
        <v>317</v>
      </c>
      <c r="D11" s="10" t="s">
        <v>429</v>
      </c>
      <c r="E11" s="62">
        <f>+'9'!J11</f>
        <v>58</v>
      </c>
      <c r="F11" s="69"/>
      <c r="G11" s="46">
        <f t="shared" si="0"/>
        <v>58</v>
      </c>
      <c r="H11" s="76">
        <v>0</v>
      </c>
      <c r="I11" s="74">
        <v>0</v>
      </c>
      <c r="J11" s="46">
        <f t="shared" si="1"/>
        <v>37</v>
      </c>
      <c r="K11" s="70">
        <v>21</v>
      </c>
      <c r="L11" s="15">
        <v>100</v>
      </c>
      <c r="M11" s="63">
        <f t="shared" si="2"/>
        <v>2100</v>
      </c>
      <c r="N11" s="17" t="s">
        <v>16</v>
      </c>
      <c r="O11" s="18"/>
      <c r="P11" s="161">
        <f t="shared" si="3"/>
        <v>2100</v>
      </c>
      <c r="Q11" s="88">
        <v>34.64</v>
      </c>
      <c r="R11" s="43">
        <f t="shared" si="4"/>
        <v>727.44</v>
      </c>
    </row>
    <row r="12" spans="1:18" ht="25.5" x14ac:dyDescent="0.55000000000000004">
      <c r="A12" s="10">
        <v>8</v>
      </c>
      <c r="B12" s="10">
        <v>1111006</v>
      </c>
      <c r="C12" s="19" t="s">
        <v>295</v>
      </c>
      <c r="D12" s="10" t="s">
        <v>429</v>
      </c>
      <c r="E12" s="62">
        <f>+'9'!J12</f>
        <v>3</v>
      </c>
      <c r="F12" s="69"/>
      <c r="G12" s="46">
        <f t="shared" si="0"/>
        <v>3</v>
      </c>
      <c r="H12" s="76">
        <v>0</v>
      </c>
      <c r="I12" s="74">
        <v>0</v>
      </c>
      <c r="J12" s="46">
        <f t="shared" si="1"/>
        <v>0</v>
      </c>
      <c r="K12" s="70">
        <v>3</v>
      </c>
      <c r="L12" s="20">
        <v>130</v>
      </c>
      <c r="M12" s="63">
        <f t="shared" si="2"/>
        <v>390</v>
      </c>
      <c r="N12" s="17" t="s">
        <v>16</v>
      </c>
      <c r="O12" s="18"/>
      <c r="P12" s="161">
        <f t="shared" si="3"/>
        <v>390</v>
      </c>
      <c r="Q12" s="88">
        <v>46.37</v>
      </c>
      <c r="R12" s="43">
        <f t="shared" si="4"/>
        <v>139.10999999999999</v>
      </c>
    </row>
    <row r="13" spans="1:18" ht="25.5" x14ac:dyDescent="0.55000000000000004">
      <c r="A13" s="10">
        <v>9</v>
      </c>
      <c r="B13" s="10">
        <v>1111035</v>
      </c>
      <c r="C13" s="19" t="s">
        <v>302</v>
      </c>
      <c r="D13" s="10" t="s">
        <v>429</v>
      </c>
      <c r="E13" s="62">
        <f>+'9'!J13</f>
        <v>0</v>
      </c>
      <c r="F13" s="69"/>
      <c r="G13" s="46">
        <f t="shared" si="0"/>
        <v>0</v>
      </c>
      <c r="H13" s="76">
        <v>0</v>
      </c>
      <c r="I13" s="74">
        <v>0</v>
      </c>
      <c r="J13" s="46">
        <f t="shared" si="1"/>
        <v>0</v>
      </c>
      <c r="K13" s="70"/>
      <c r="L13" s="15">
        <v>130</v>
      </c>
      <c r="M13" s="63">
        <f t="shared" si="2"/>
        <v>0</v>
      </c>
      <c r="N13" s="17" t="s">
        <v>16</v>
      </c>
      <c r="O13" s="18"/>
      <c r="P13" s="23">
        <f t="shared" si="3"/>
        <v>0</v>
      </c>
      <c r="Q13" s="88">
        <v>38.9</v>
      </c>
      <c r="R13" s="43">
        <f t="shared" si="4"/>
        <v>0</v>
      </c>
    </row>
    <row r="14" spans="1:18" ht="25.5" x14ac:dyDescent="0.55000000000000004">
      <c r="A14" s="10">
        <v>10</v>
      </c>
      <c r="B14" s="10">
        <v>1004080</v>
      </c>
      <c r="C14" s="19" t="s">
        <v>49</v>
      </c>
      <c r="D14" s="10" t="s">
        <v>429</v>
      </c>
      <c r="E14" s="62">
        <f>+'9'!J14</f>
        <v>0</v>
      </c>
      <c r="F14" s="69"/>
      <c r="G14" s="46">
        <f t="shared" si="0"/>
        <v>0</v>
      </c>
      <c r="H14" s="76">
        <v>0</v>
      </c>
      <c r="I14" s="74">
        <v>0</v>
      </c>
      <c r="J14" s="46">
        <f t="shared" si="1"/>
        <v>0</v>
      </c>
      <c r="K14" s="70"/>
      <c r="L14" s="15">
        <v>50</v>
      </c>
      <c r="M14" s="63">
        <f t="shared" si="2"/>
        <v>0</v>
      </c>
      <c r="N14" s="17" t="s">
        <v>16</v>
      </c>
      <c r="O14" s="18"/>
      <c r="P14" s="23">
        <f t="shared" si="3"/>
        <v>0</v>
      </c>
      <c r="Q14" s="88">
        <v>27.84</v>
      </c>
      <c r="R14" s="43">
        <f t="shared" si="4"/>
        <v>0</v>
      </c>
    </row>
    <row r="15" spans="1:18" ht="25.5" x14ac:dyDescent="0.55000000000000004">
      <c r="A15" s="10">
        <v>11</v>
      </c>
      <c r="B15" s="10">
        <v>1004081</v>
      </c>
      <c r="C15" s="19" t="s">
        <v>50</v>
      </c>
      <c r="D15" s="10" t="s">
        <v>429</v>
      </c>
      <c r="E15" s="62">
        <f>+'9'!J15</f>
        <v>10</v>
      </c>
      <c r="F15" s="69"/>
      <c r="G15" s="46">
        <f t="shared" si="0"/>
        <v>10</v>
      </c>
      <c r="H15" s="76">
        <v>0</v>
      </c>
      <c r="I15" s="74">
        <v>0</v>
      </c>
      <c r="J15" s="46">
        <f t="shared" si="1"/>
        <v>0</v>
      </c>
      <c r="K15" s="70">
        <v>10</v>
      </c>
      <c r="L15" s="15">
        <v>50</v>
      </c>
      <c r="M15" s="63">
        <f t="shared" si="2"/>
        <v>500</v>
      </c>
      <c r="N15" s="17" t="s">
        <v>16</v>
      </c>
      <c r="O15" s="18">
        <v>150</v>
      </c>
      <c r="P15" s="161">
        <f t="shared" si="3"/>
        <v>350</v>
      </c>
      <c r="Q15" s="88">
        <v>27.12</v>
      </c>
      <c r="R15" s="43">
        <f t="shared" si="4"/>
        <v>271.2</v>
      </c>
    </row>
    <row r="16" spans="1:18" ht="25.5" x14ac:dyDescent="0.55000000000000004">
      <c r="A16" s="10">
        <v>12</v>
      </c>
      <c r="B16" s="10">
        <v>3001200</v>
      </c>
      <c r="C16" s="19" t="s">
        <v>51</v>
      </c>
      <c r="D16" s="10" t="s">
        <v>429</v>
      </c>
      <c r="E16" s="62">
        <f>+'9'!J16</f>
        <v>8</v>
      </c>
      <c r="F16" s="69"/>
      <c r="G16" s="46">
        <f t="shared" si="0"/>
        <v>8</v>
      </c>
      <c r="H16" s="76">
        <v>0</v>
      </c>
      <c r="I16" s="74">
        <v>0</v>
      </c>
      <c r="J16" s="46">
        <f t="shared" si="1"/>
        <v>0</v>
      </c>
      <c r="K16" s="70">
        <v>8</v>
      </c>
      <c r="L16" s="20">
        <v>50</v>
      </c>
      <c r="M16" s="63">
        <f t="shared" si="2"/>
        <v>400</v>
      </c>
      <c r="N16" s="17" t="s">
        <v>16</v>
      </c>
      <c r="O16" s="18">
        <v>175</v>
      </c>
      <c r="P16" s="161">
        <f t="shared" si="3"/>
        <v>225</v>
      </c>
      <c r="Q16" s="88">
        <v>15.42</v>
      </c>
      <c r="R16" s="43">
        <f t="shared" si="4"/>
        <v>123.36</v>
      </c>
    </row>
    <row r="17" spans="1:18" ht="25.5" x14ac:dyDescent="0.55000000000000004">
      <c r="A17" s="10">
        <v>13</v>
      </c>
      <c r="B17" s="10">
        <v>1112015</v>
      </c>
      <c r="C17" s="19" t="s">
        <v>330</v>
      </c>
      <c r="D17" s="10" t="s">
        <v>429</v>
      </c>
      <c r="E17" s="62">
        <f>+'9'!J17</f>
        <v>8</v>
      </c>
      <c r="F17" s="69"/>
      <c r="G17" s="46">
        <f t="shared" si="0"/>
        <v>8</v>
      </c>
      <c r="H17" s="76">
        <v>0</v>
      </c>
      <c r="I17" s="74">
        <v>0</v>
      </c>
      <c r="J17" s="46">
        <f t="shared" si="1"/>
        <v>6</v>
      </c>
      <c r="K17" s="70">
        <v>2</v>
      </c>
      <c r="L17" s="15">
        <v>50</v>
      </c>
      <c r="M17" s="63">
        <f t="shared" si="2"/>
        <v>100</v>
      </c>
      <c r="N17" s="17" t="s">
        <v>16</v>
      </c>
      <c r="O17" s="18"/>
      <c r="P17" s="161">
        <f t="shared" si="3"/>
        <v>100</v>
      </c>
      <c r="Q17" s="88">
        <v>17.78</v>
      </c>
      <c r="R17" s="43">
        <f t="shared" si="4"/>
        <v>35.56</v>
      </c>
    </row>
    <row r="18" spans="1:18" ht="25.5" x14ac:dyDescent="0.55000000000000004">
      <c r="A18" s="10">
        <v>14</v>
      </c>
      <c r="B18" s="10">
        <v>1112013</v>
      </c>
      <c r="C18" s="19" t="s">
        <v>335</v>
      </c>
      <c r="D18" s="10" t="s">
        <v>429</v>
      </c>
      <c r="E18" s="62">
        <f>+'9'!J18</f>
        <v>0</v>
      </c>
      <c r="F18" s="69"/>
      <c r="G18" s="46">
        <f t="shared" si="0"/>
        <v>0</v>
      </c>
      <c r="H18" s="76">
        <v>0</v>
      </c>
      <c r="I18" s="74">
        <v>0</v>
      </c>
      <c r="J18" s="46">
        <f t="shared" si="1"/>
        <v>0</v>
      </c>
      <c r="K18" s="70"/>
      <c r="L18" s="20">
        <v>50</v>
      </c>
      <c r="M18" s="63">
        <f t="shared" si="2"/>
        <v>0</v>
      </c>
      <c r="N18" s="17" t="s">
        <v>16</v>
      </c>
      <c r="O18" s="18"/>
      <c r="P18" s="23">
        <f t="shared" si="3"/>
        <v>0</v>
      </c>
      <c r="Q18" s="88">
        <v>17.989999999999998</v>
      </c>
      <c r="R18" s="43">
        <f t="shared" si="4"/>
        <v>0</v>
      </c>
    </row>
    <row r="19" spans="1:18" ht="25.5" x14ac:dyDescent="0.55000000000000004">
      <c r="A19" s="10">
        <v>15</v>
      </c>
      <c r="B19" s="10">
        <v>1112003</v>
      </c>
      <c r="C19" s="19" t="s">
        <v>327</v>
      </c>
      <c r="D19" s="10" t="s">
        <v>429</v>
      </c>
      <c r="E19" s="62">
        <f>+'9'!J19</f>
        <v>9</v>
      </c>
      <c r="F19" s="69"/>
      <c r="G19" s="46">
        <f t="shared" si="0"/>
        <v>9</v>
      </c>
      <c r="H19" s="76">
        <v>0</v>
      </c>
      <c r="I19" s="74">
        <v>0</v>
      </c>
      <c r="J19" s="46">
        <f t="shared" si="1"/>
        <v>7</v>
      </c>
      <c r="K19" s="70">
        <v>2</v>
      </c>
      <c r="L19" s="15">
        <v>50</v>
      </c>
      <c r="M19" s="63">
        <f t="shared" si="2"/>
        <v>100</v>
      </c>
      <c r="N19" s="17" t="s">
        <v>16</v>
      </c>
      <c r="O19" s="18"/>
      <c r="P19" s="161">
        <f t="shared" si="3"/>
        <v>100</v>
      </c>
      <c r="Q19" s="88">
        <v>20.059999999999999</v>
      </c>
      <c r="R19" s="43">
        <f t="shared" si="4"/>
        <v>40.119999999999997</v>
      </c>
    </row>
    <row r="20" spans="1:18" ht="25.5" x14ac:dyDescent="0.55000000000000004">
      <c r="A20" s="10">
        <v>16</v>
      </c>
      <c r="B20" s="10">
        <v>1112003</v>
      </c>
      <c r="C20" s="19" t="s">
        <v>326</v>
      </c>
      <c r="D20" s="10" t="s">
        <v>429</v>
      </c>
      <c r="E20" s="62">
        <f>+'9'!J20</f>
        <v>2</v>
      </c>
      <c r="F20" s="69"/>
      <c r="G20" s="46">
        <f t="shared" si="0"/>
        <v>2</v>
      </c>
      <c r="H20" s="76">
        <v>0</v>
      </c>
      <c r="I20" s="74">
        <v>0</v>
      </c>
      <c r="J20" s="46">
        <f t="shared" si="1"/>
        <v>0</v>
      </c>
      <c r="K20" s="70">
        <v>2</v>
      </c>
      <c r="L20" s="15">
        <v>50</v>
      </c>
      <c r="M20" s="63">
        <f t="shared" si="2"/>
        <v>100</v>
      </c>
      <c r="N20" s="17" t="s">
        <v>16</v>
      </c>
      <c r="O20" s="18"/>
      <c r="P20" s="161">
        <f t="shared" si="3"/>
        <v>100</v>
      </c>
      <c r="Q20" s="88">
        <v>20.32</v>
      </c>
      <c r="R20" s="43">
        <f t="shared" si="4"/>
        <v>40.64</v>
      </c>
    </row>
    <row r="21" spans="1:18" ht="25.5" x14ac:dyDescent="0.55000000000000004">
      <c r="A21" s="10">
        <v>17</v>
      </c>
      <c r="B21" s="10">
        <v>1112011</v>
      </c>
      <c r="C21" s="19" t="s">
        <v>332</v>
      </c>
      <c r="D21" s="10" t="s">
        <v>429</v>
      </c>
      <c r="E21" s="62">
        <f>+'9'!J21</f>
        <v>25</v>
      </c>
      <c r="F21" s="69"/>
      <c r="G21" s="46">
        <f t="shared" si="0"/>
        <v>25</v>
      </c>
      <c r="H21" s="76">
        <v>0</v>
      </c>
      <c r="I21" s="74">
        <v>0</v>
      </c>
      <c r="J21" s="46">
        <f t="shared" si="1"/>
        <v>22</v>
      </c>
      <c r="K21" s="70">
        <v>3</v>
      </c>
      <c r="L21" s="15">
        <v>50</v>
      </c>
      <c r="M21" s="63">
        <f t="shared" si="2"/>
        <v>150</v>
      </c>
      <c r="N21" s="17" t="s">
        <v>16</v>
      </c>
      <c r="O21" s="18"/>
      <c r="P21" s="161">
        <f t="shared" si="3"/>
        <v>150</v>
      </c>
      <c r="Q21" s="88">
        <v>16.37</v>
      </c>
      <c r="R21" s="43">
        <f t="shared" si="4"/>
        <v>49.11</v>
      </c>
    </row>
    <row r="22" spans="1:18" ht="25.5" x14ac:dyDescent="0.55000000000000004">
      <c r="A22" s="10">
        <v>18</v>
      </c>
      <c r="B22" s="10">
        <v>1112015</v>
      </c>
      <c r="C22" s="19" t="s">
        <v>319</v>
      </c>
      <c r="D22" s="10" t="s">
        <v>429</v>
      </c>
      <c r="E22" s="62">
        <f>+'9'!J22</f>
        <v>8</v>
      </c>
      <c r="F22" s="69"/>
      <c r="G22" s="46">
        <f t="shared" si="0"/>
        <v>8</v>
      </c>
      <c r="H22" s="76">
        <v>0</v>
      </c>
      <c r="I22" s="74">
        <v>0</v>
      </c>
      <c r="J22" s="46">
        <f t="shared" si="1"/>
        <v>6</v>
      </c>
      <c r="K22" s="70">
        <v>2</v>
      </c>
      <c r="L22" s="15">
        <v>120</v>
      </c>
      <c r="M22" s="63">
        <f t="shared" si="2"/>
        <v>240</v>
      </c>
      <c r="N22" s="17" t="s">
        <v>16</v>
      </c>
      <c r="O22" s="18">
        <v>40</v>
      </c>
      <c r="P22" s="161">
        <f t="shared" si="3"/>
        <v>200</v>
      </c>
      <c r="Q22" s="88">
        <v>25.99</v>
      </c>
      <c r="R22" s="43">
        <f t="shared" si="4"/>
        <v>51.98</v>
      </c>
    </row>
    <row r="23" spans="1:18" ht="25.5" x14ac:dyDescent="0.55000000000000004">
      <c r="A23" s="10">
        <v>19</v>
      </c>
      <c r="B23" s="10">
        <v>1112012</v>
      </c>
      <c r="C23" s="19" t="s">
        <v>328</v>
      </c>
      <c r="D23" s="10" t="s">
        <v>429</v>
      </c>
      <c r="E23" s="62">
        <f>+'9'!J23</f>
        <v>0</v>
      </c>
      <c r="F23" s="69">
        <v>2</v>
      </c>
      <c r="G23" s="46">
        <f t="shared" si="0"/>
        <v>2</v>
      </c>
      <c r="H23" s="76">
        <v>0</v>
      </c>
      <c r="I23" s="74">
        <v>0</v>
      </c>
      <c r="J23" s="46">
        <f t="shared" si="1"/>
        <v>0</v>
      </c>
      <c r="K23" s="70">
        <v>2</v>
      </c>
      <c r="L23" s="15">
        <v>120</v>
      </c>
      <c r="M23" s="63">
        <f t="shared" si="2"/>
        <v>240</v>
      </c>
      <c r="N23" s="17" t="s">
        <v>16</v>
      </c>
      <c r="O23" s="18">
        <v>40</v>
      </c>
      <c r="P23" s="161">
        <f t="shared" si="3"/>
        <v>200</v>
      </c>
      <c r="Q23" s="88">
        <v>28.31</v>
      </c>
      <c r="R23" s="43">
        <f t="shared" si="4"/>
        <v>56.62</v>
      </c>
    </row>
    <row r="24" spans="1:18" ht="25.5" x14ac:dyDescent="0.55000000000000004">
      <c r="A24" s="10">
        <v>20</v>
      </c>
      <c r="B24" s="85">
        <v>1112002</v>
      </c>
      <c r="C24" s="19" t="s">
        <v>323</v>
      </c>
      <c r="D24" s="10" t="s">
        <v>429</v>
      </c>
      <c r="E24" s="62">
        <f>+'9'!J24</f>
        <v>11</v>
      </c>
      <c r="F24" s="69"/>
      <c r="G24" s="46">
        <f t="shared" si="0"/>
        <v>11</v>
      </c>
      <c r="H24" s="76">
        <v>0</v>
      </c>
      <c r="I24" s="74">
        <v>0</v>
      </c>
      <c r="J24" s="46">
        <f t="shared" si="1"/>
        <v>10</v>
      </c>
      <c r="K24" s="70">
        <v>1</v>
      </c>
      <c r="L24" s="15">
        <v>120</v>
      </c>
      <c r="M24" s="63">
        <f t="shared" si="2"/>
        <v>120</v>
      </c>
      <c r="N24" s="17" t="s">
        <v>16</v>
      </c>
      <c r="O24" s="18">
        <v>20</v>
      </c>
      <c r="P24" s="161">
        <f t="shared" si="3"/>
        <v>100</v>
      </c>
      <c r="Q24" s="88">
        <v>31.07</v>
      </c>
      <c r="R24" s="43">
        <f t="shared" si="4"/>
        <v>31.07</v>
      </c>
    </row>
    <row r="25" spans="1:18" ht="25.5" x14ac:dyDescent="0.55000000000000004">
      <c r="A25" s="10">
        <v>21</v>
      </c>
      <c r="B25" s="85">
        <v>1112004</v>
      </c>
      <c r="C25" s="19" t="s">
        <v>320</v>
      </c>
      <c r="D25" s="10" t="s">
        <v>429</v>
      </c>
      <c r="E25" s="62">
        <f>+'9'!J25</f>
        <v>4</v>
      </c>
      <c r="F25" s="69"/>
      <c r="G25" s="46">
        <f t="shared" si="0"/>
        <v>4</v>
      </c>
      <c r="H25" s="76">
        <v>0</v>
      </c>
      <c r="I25" s="74">
        <v>0</v>
      </c>
      <c r="J25" s="46">
        <f t="shared" si="1"/>
        <v>3</v>
      </c>
      <c r="K25" s="70">
        <v>1</v>
      </c>
      <c r="L25" s="20">
        <v>120</v>
      </c>
      <c r="M25" s="63">
        <f t="shared" si="2"/>
        <v>120</v>
      </c>
      <c r="N25" s="17" t="s">
        <v>16</v>
      </c>
      <c r="O25" s="18">
        <v>20</v>
      </c>
      <c r="P25" s="161">
        <f t="shared" si="3"/>
        <v>100</v>
      </c>
      <c r="Q25" s="88">
        <v>29.83</v>
      </c>
      <c r="R25" s="43">
        <f t="shared" si="4"/>
        <v>29.83</v>
      </c>
    </row>
    <row r="26" spans="1:18" ht="25.5" x14ac:dyDescent="0.55000000000000004">
      <c r="A26" s="10">
        <v>22</v>
      </c>
      <c r="B26" s="10">
        <v>1112010</v>
      </c>
      <c r="C26" s="19" t="s">
        <v>331</v>
      </c>
      <c r="D26" s="10" t="s">
        <v>429</v>
      </c>
      <c r="E26" s="62">
        <f>+'9'!J26</f>
        <v>0</v>
      </c>
      <c r="F26" s="69">
        <v>2</v>
      </c>
      <c r="G26" s="46">
        <f t="shared" si="0"/>
        <v>2</v>
      </c>
      <c r="H26" s="76">
        <v>0</v>
      </c>
      <c r="I26" s="74">
        <v>0</v>
      </c>
      <c r="J26" s="46">
        <f t="shared" si="1"/>
        <v>0</v>
      </c>
      <c r="K26" s="70">
        <v>2</v>
      </c>
      <c r="L26" s="15">
        <v>120</v>
      </c>
      <c r="M26" s="63">
        <f t="shared" si="2"/>
        <v>240</v>
      </c>
      <c r="N26" s="17" t="s">
        <v>16</v>
      </c>
      <c r="O26" s="18">
        <v>40</v>
      </c>
      <c r="P26" s="161">
        <f t="shared" si="3"/>
        <v>200</v>
      </c>
      <c r="Q26" s="88">
        <v>26.39</v>
      </c>
      <c r="R26" s="43">
        <f t="shared" si="4"/>
        <v>52.78</v>
      </c>
    </row>
    <row r="27" spans="1:18" ht="25.5" x14ac:dyDescent="0.55000000000000004">
      <c r="A27" s="10">
        <v>23</v>
      </c>
      <c r="B27" s="10">
        <v>1113008</v>
      </c>
      <c r="C27" s="19" t="s">
        <v>338</v>
      </c>
      <c r="D27" s="10" t="s">
        <v>429</v>
      </c>
      <c r="E27" s="62">
        <f>+'9'!J27</f>
        <v>7</v>
      </c>
      <c r="F27" s="69"/>
      <c r="G27" s="46">
        <f t="shared" si="0"/>
        <v>7</v>
      </c>
      <c r="H27" s="76">
        <v>0</v>
      </c>
      <c r="I27" s="74">
        <v>0</v>
      </c>
      <c r="J27" s="46">
        <f t="shared" si="1"/>
        <v>7</v>
      </c>
      <c r="K27" s="70"/>
      <c r="L27" s="15">
        <v>50</v>
      </c>
      <c r="M27" s="63">
        <f t="shared" si="2"/>
        <v>0</v>
      </c>
      <c r="N27" s="17" t="s">
        <v>16</v>
      </c>
      <c r="O27" s="18"/>
      <c r="P27" s="23">
        <f t="shared" si="3"/>
        <v>0</v>
      </c>
      <c r="Q27" s="88">
        <v>23.69</v>
      </c>
      <c r="R27" s="43">
        <f t="shared" si="4"/>
        <v>0</v>
      </c>
    </row>
    <row r="28" spans="1:18" ht="25.5" x14ac:dyDescent="0.55000000000000004">
      <c r="A28" s="10">
        <v>24</v>
      </c>
      <c r="B28" s="10">
        <v>1113006</v>
      </c>
      <c r="C28" s="19" t="s">
        <v>337</v>
      </c>
      <c r="D28" s="10" t="s">
        <v>429</v>
      </c>
      <c r="E28" s="62">
        <f>+'9'!J28</f>
        <v>0</v>
      </c>
      <c r="F28" s="69"/>
      <c r="G28" s="46">
        <f t="shared" si="0"/>
        <v>0</v>
      </c>
      <c r="H28" s="76">
        <v>0</v>
      </c>
      <c r="I28" s="74">
        <v>0</v>
      </c>
      <c r="J28" s="46">
        <f t="shared" si="1"/>
        <v>0</v>
      </c>
      <c r="K28" s="70"/>
      <c r="L28" s="21">
        <v>50</v>
      </c>
      <c r="M28" s="63">
        <f t="shared" si="2"/>
        <v>0</v>
      </c>
      <c r="N28" s="17" t="s">
        <v>16</v>
      </c>
      <c r="O28" s="18"/>
      <c r="P28" s="23">
        <f t="shared" si="3"/>
        <v>0</v>
      </c>
      <c r="Q28" s="88">
        <v>22.49</v>
      </c>
      <c r="R28" s="43">
        <f t="shared" si="4"/>
        <v>0</v>
      </c>
    </row>
    <row r="29" spans="1:18" ht="25.5" x14ac:dyDescent="0.55000000000000004">
      <c r="A29" s="10">
        <v>25</v>
      </c>
      <c r="B29" s="10">
        <v>1004062</v>
      </c>
      <c r="C29" s="19" t="s">
        <v>347</v>
      </c>
      <c r="D29" s="10" t="s">
        <v>429</v>
      </c>
      <c r="E29" s="62">
        <f>+'9'!J29</f>
        <v>4</v>
      </c>
      <c r="F29" s="69"/>
      <c r="G29" s="46">
        <f t="shared" si="0"/>
        <v>4</v>
      </c>
      <c r="H29" s="76">
        <v>0</v>
      </c>
      <c r="I29" s="74">
        <v>0</v>
      </c>
      <c r="J29" s="46">
        <f t="shared" si="1"/>
        <v>0</v>
      </c>
      <c r="K29" s="70">
        <v>4</v>
      </c>
      <c r="L29" s="21">
        <v>50</v>
      </c>
      <c r="M29" s="63">
        <f t="shared" si="2"/>
        <v>200</v>
      </c>
      <c r="N29" s="17" t="s">
        <v>16</v>
      </c>
      <c r="O29" s="18">
        <v>100</v>
      </c>
      <c r="P29" s="161">
        <f t="shared" si="3"/>
        <v>100</v>
      </c>
      <c r="Q29" s="88">
        <v>17.09</v>
      </c>
      <c r="R29" s="43">
        <f t="shared" si="4"/>
        <v>68.36</v>
      </c>
    </row>
    <row r="30" spans="1:18" ht="25.5" x14ac:dyDescent="0.55000000000000004">
      <c r="A30" s="10">
        <v>26</v>
      </c>
      <c r="B30" s="10">
        <v>1004076</v>
      </c>
      <c r="C30" s="19" t="s">
        <v>278</v>
      </c>
      <c r="D30" s="10" t="s">
        <v>429</v>
      </c>
      <c r="E30" s="62">
        <f>+'9'!J30</f>
        <v>1</v>
      </c>
      <c r="F30" s="69"/>
      <c r="G30" s="46">
        <f t="shared" si="0"/>
        <v>1</v>
      </c>
      <c r="H30" s="76">
        <v>0</v>
      </c>
      <c r="I30" s="74">
        <v>0</v>
      </c>
      <c r="J30" s="46">
        <f t="shared" si="1"/>
        <v>0</v>
      </c>
      <c r="K30" s="70">
        <v>1</v>
      </c>
      <c r="L30" s="22">
        <v>50</v>
      </c>
      <c r="M30" s="63">
        <f t="shared" si="2"/>
        <v>50</v>
      </c>
      <c r="N30" s="17" t="s">
        <v>16</v>
      </c>
      <c r="O30" s="18"/>
      <c r="P30" s="161">
        <f t="shared" si="3"/>
        <v>50</v>
      </c>
      <c r="Q30" s="88">
        <v>25.15</v>
      </c>
      <c r="R30" s="43">
        <f t="shared" si="4"/>
        <v>25.15</v>
      </c>
    </row>
    <row r="31" spans="1:18" ht="25.5" x14ac:dyDescent="0.55000000000000004">
      <c r="A31" s="10">
        <v>27</v>
      </c>
      <c r="B31" s="10">
        <v>1004063</v>
      </c>
      <c r="C31" s="19" t="s">
        <v>307</v>
      </c>
      <c r="D31" s="10" t="s">
        <v>429</v>
      </c>
      <c r="E31" s="62">
        <f>+'9'!J31</f>
        <v>6</v>
      </c>
      <c r="F31" s="69"/>
      <c r="G31" s="46">
        <f t="shared" si="0"/>
        <v>6</v>
      </c>
      <c r="H31" s="76">
        <v>0</v>
      </c>
      <c r="I31" s="74">
        <v>0</v>
      </c>
      <c r="J31" s="46">
        <f t="shared" si="1"/>
        <v>0</v>
      </c>
      <c r="K31" s="70">
        <v>6</v>
      </c>
      <c r="L31" s="22">
        <v>55</v>
      </c>
      <c r="M31" s="63">
        <f t="shared" si="2"/>
        <v>330</v>
      </c>
      <c r="N31" s="17" t="s">
        <v>16</v>
      </c>
      <c r="O31" s="18">
        <v>110</v>
      </c>
      <c r="P31" s="161">
        <f t="shared" si="3"/>
        <v>220</v>
      </c>
      <c r="Q31" s="88">
        <v>14.35</v>
      </c>
      <c r="R31" s="43">
        <f t="shared" si="4"/>
        <v>86.1</v>
      </c>
    </row>
    <row r="32" spans="1:18" ht="25.5" x14ac:dyDescent="0.55000000000000004">
      <c r="A32" s="10">
        <v>28</v>
      </c>
      <c r="B32" s="10">
        <v>1004065</v>
      </c>
      <c r="C32" s="19" t="s">
        <v>351</v>
      </c>
      <c r="D32" s="10" t="s">
        <v>429</v>
      </c>
      <c r="E32" s="62">
        <f>+'9'!J32</f>
        <v>7</v>
      </c>
      <c r="F32" s="69"/>
      <c r="G32" s="46">
        <f t="shared" si="0"/>
        <v>7</v>
      </c>
      <c r="H32" s="76">
        <v>0</v>
      </c>
      <c r="I32" s="74">
        <v>0</v>
      </c>
      <c r="J32" s="46">
        <f t="shared" si="1"/>
        <v>0</v>
      </c>
      <c r="K32" s="70">
        <v>7</v>
      </c>
      <c r="L32" s="22">
        <v>55</v>
      </c>
      <c r="M32" s="63">
        <f t="shared" si="2"/>
        <v>385</v>
      </c>
      <c r="N32" s="17" t="s">
        <v>16</v>
      </c>
      <c r="O32" s="18">
        <v>165</v>
      </c>
      <c r="P32" s="161">
        <f t="shared" si="3"/>
        <v>220</v>
      </c>
      <c r="Q32" s="88">
        <v>19.579999999999998</v>
      </c>
      <c r="R32" s="43">
        <f t="shared" si="4"/>
        <v>137.06</v>
      </c>
    </row>
    <row r="33" spans="1:18" ht="25.5" x14ac:dyDescent="0.55000000000000004">
      <c r="A33" s="10">
        <v>29</v>
      </c>
      <c r="B33" s="10">
        <v>1200003</v>
      </c>
      <c r="C33" s="19" t="s">
        <v>247</v>
      </c>
      <c r="D33" s="10" t="s">
        <v>436</v>
      </c>
      <c r="E33" s="62">
        <f>+'9'!J33</f>
        <v>6</v>
      </c>
      <c r="F33" s="69"/>
      <c r="G33" s="46">
        <f t="shared" si="0"/>
        <v>6</v>
      </c>
      <c r="H33" s="76">
        <v>0</v>
      </c>
      <c r="I33" s="74">
        <v>0</v>
      </c>
      <c r="J33" s="46">
        <f t="shared" si="1"/>
        <v>0</v>
      </c>
      <c r="K33" s="70">
        <v>6</v>
      </c>
      <c r="L33" s="22">
        <v>100</v>
      </c>
      <c r="M33" s="63">
        <f t="shared" si="2"/>
        <v>600</v>
      </c>
      <c r="N33" s="17" t="s">
        <v>16</v>
      </c>
      <c r="O33" s="18"/>
      <c r="P33" s="161">
        <f t="shared" si="3"/>
        <v>600</v>
      </c>
      <c r="Q33" s="88">
        <v>23.61</v>
      </c>
      <c r="R33" s="43">
        <f t="shared" si="4"/>
        <v>141.66</v>
      </c>
    </row>
    <row r="34" spans="1:18" ht="25.5" x14ac:dyDescent="0.55000000000000004">
      <c r="A34" s="10">
        <v>30</v>
      </c>
      <c r="B34" s="10">
        <v>120002</v>
      </c>
      <c r="C34" s="19" t="s">
        <v>248</v>
      </c>
      <c r="D34" s="10" t="s">
        <v>429</v>
      </c>
      <c r="E34" s="62">
        <f>+'9'!J34</f>
        <v>1</v>
      </c>
      <c r="F34" s="69"/>
      <c r="G34" s="46">
        <f t="shared" si="0"/>
        <v>1</v>
      </c>
      <c r="H34" s="76">
        <v>0</v>
      </c>
      <c r="I34" s="74">
        <v>0</v>
      </c>
      <c r="J34" s="46">
        <f t="shared" si="1"/>
        <v>1</v>
      </c>
      <c r="K34" s="70"/>
      <c r="L34" s="20">
        <v>55</v>
      </c>
      <c r="M34" s="63">
        <f t="shared" si="2"/>
        <v>0</v>
      </c>
      <c r="N34" s="17" t="s">
        <v>16</v>
      </c>
      <c r="O34" s="18"/>
      <c r="P34" s="23">
        <f t="shared" si="3"/>
        <v>0</v>
      </c>
      <c r="Q34" s="88">
        <v>34.25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120001</v>
      </c>
      <c r="C35" s="19" t="s">
        <v>365</v>
      </c>
      <c r="D35" s="10" t="s">
        <v>601</v>
      </c>
      <c r="E35" s="62">
        <f>+'9'!J35</f>
        <v>5</v>
      </c>
      <c r="F35" s="69">
        <v>1</v>
      </c>
      <c r="G35" s="46">
        <f t="shared" si="0"/>
        <v>6</v>
      </c>
      <c r="H35" s="76">
        <v>0</v>
      </c>
      <c r="I35" s="74">
        <v>0</v>
      </c>
      <c r="J35" s="46">
        <f t="shared" si="1"/>
        <v>0</v>
      </c>
      <c r="K35" s="70">
        <v>6</v>
      </c>
      <c r="L35" s="15">
        <v>60</v>
      </c>
      <c r="M35" s="63">
        <f t="shared" si="2"/>
        <v>360</v>
      </c>
      <c r="N35" s="17" t="s">
        <v>16</v>
      </c>
      <c r="O35" s="18"/>
      <c r="P35" s="161">
        <f t="shared" si="3"/>
        <v>360</v>
      </c>
      <c r="Q35" s="88">
        <v>23.61</v>
      </c>
      <c r="R35" s="43">
        <f t="shared" si="4"/>
        <v>141.66</v>
      </c>
    </row>
    <row r="36" spans="1:18" ht="25.5" x14ac:dyDescent="0.55000000000000004">
      <c r="A36" s="10">
        <v>32</v>
      </c>
      <c r="B36" s="10">
        <v>1100004</v>
      </c>
      <c r="C36" s="19" t="s">
        <v>367</v>
      </c>
      <c r="D36" s="10" t="s">
        <v>613</v>
      </c>
      <c r="E36" s="62">
        <f>+'9'!J36</f>
        <v>10</v>
      </c>
      <c r="F36" s="69"/>
      <c r="G36" s="46">
        <f t="shared" si="0"/>
        <v>10</v>
      </c>
      <c r="H36" s="76">
        <v>0</v>
      </c>
      <c r="I36" s="74">
        <v>0</v>
      </c>
      <c r="J36" s="46">
        <f t="shared" si="1"/>
        <v>1</v>
      </c>
      <c r="K36" s="70">
        <v>9</v>
      </c>
      <c r="L36" s="15">
        <v>100</v>
      </c>
      <c r="M36" s="63">
        <f t="shared" si="2"/>
        <v>900</v>
      </c>
      <c r="N36" s="17" t="s">
        <v>16</v>
      </c>
      <c r="O36" s="18"/>
      <c r="P36" s="161">
        <f t="shared" si="3"/>
        <v>900</v>
      </c>
      <c r="Q36" s="88">
        <v>13.03</v>
      </c>
      <c r="R36" s="43">
        <f t="shared" si="4"/>
        <v>117.27</v>
      </c>
    </row>
    <row r="37" spans="1:18" ht="25.5" x14ac:dyDescent="0.55000000000000004">
      <c r="A37" s="10">
        <v>33</v>
      </c>
      <c r="B37" s="10">
        <v>1100003</v>
      </c>
      <c r="C37" s="19" t="s">
        <v>366</v>
      </c>
      <c r="D37" s="10" t="s">
        <v>601</v>
      </c>
      <c r="E37" s="62">
        <f>+'9'!J37</f>
        <v>9</v>
      </c>
      <c r="F37" s="69"/>
      <c r="G37" s="46">
        <f t="shared" si="0"/>
        <v>9</v>
      </c>
      <c r="H37" s="76">
        <v>0</v>
      </c>
      <c r="I37" s="74">
        <v>0</v>
      </c>
      <c r="J37" s="46">
        <f t="shared" si="1"/>
        <v>9</v>
      </c>
      <c r="K37" s="70"/>
      <c r="L37" s="15">
        <v>55</v>
      </c>
      <c r="M37" s="63">
        <f t="shared" si="2"/>
        <v>0</v>
      </c>
      <c r="N37" s="17" t="s">
        <v>16</v>
      </c>
      <c r="O37" s="18"/>
      <c r="P37" s="23">
        <f t="shared" si="3"/>
        <v>0</v>
      </c>
      <c r="Q37" s="88">
        <v>11.91</v>
      </c>
      <c r="R37" s="43">
        <f t="shared" si="4"/>
        <v>0</v>
      </c>
    </row>
    <row r="38" spans="1:18" ht="25.5" x14ac:dyDescent="0.55000000000000004">
      <c r="A38" s="10">
        <v>34</v>
      </c>
      <c r="B38" s="85">
        <v>1004046</v>
      </c>
      <c r="C38" s="19" t="s">
        <v>379</v>
      </c>
      <c r="D38" s="10" t="s">
        <v>613</v>
      </c>
      <c r="E38" s="62">
        <f>+'9'!J38</f>
        <v>9</v>
      </c>
      <c r="F38" s="69"/>
      <c r="G38" s="46">
        <f t="shared" si="0"/>
        <v>9</v>
      </c>
      <c r="H38" s="76">
        <v>0</v>
      </c>
      <c r="I38" s="74">
        <v>0</v>
      </c>
      <c r="J38" s="46">
        <f t="shared" si="1"/>
        <v>0</v>
      </c>
      <c r="K38" s="70">
        <v>9</v>
      </c>
      <c r="L38" s="15">
        <v>50</v>
      </c>
      <c r="M38" s="63">
        <f>+L38*K38</f>
        <v>450</v>
      </c>
      <c r="N38" s="17" t="s">
        <v>16</v>
      </c>
      <c r="O38" s="18">
        <v>225</v>
      </c>
      <c r="P38" s="161">
        <f>SUM(M38-O38)</f>
        <v>225</v>
      </c>
      <c r="Q38" s="88">
        <v>9.91</v>
      </c>
      <c r="R38" s="43">
        <f>+K38*Q38</f>
        <v>89.19</v>
      </c>
    </row>
    <row r="39" spans="1:18" ht="25.5" x14ac:dyDescent="0.55000000000000004">
      <c r="A39" s="10">
        <v>35</v>
      </c>
      <c r="B39" s="10">
        <v>1124002</v>
      </c>
      <c r="C39" s="19" t="s">
        <v>381</v>
      </c>
      <c r="D39" s="10" t="s">
        <v>429</v>
      </c>
      <c r="E39" s="62">
        <f>+'9'!J39</f>
        <v>4</v>
      </c>
      <c r="F39" s="69"/>
      <c r="G39" s="46">
        <f t="shared" si="0"/>
        <v>4</v>
      </c>
      <c r="H39" s="76">
        <v>0</v>
      </c>
      <c r="I39" s="74">
        <v>0</v>
      </c>
      <c r="J39" s="46">
        <f t="shared" si="1"/>
        <v>3</v>
      </c>
      <c r="K39" s="70">
        <v>1</v>
      </c>
      <c r="L39" s="20">
        <v>35</v>
      </c>
      <c r="M39" s="63">
        <f t="shared" si="2"/>
        <v>35</v>
      </c>
      <c r="N39" s="17" t="s">
        <v>16</v>
      </c>
      <c r="O39" s="18"/>
      <c r="P39" s="161">
        <f t="shared" si="3"/>
        <v>35</v>
      </c>
      <c r="Q39" s="88">
        <v>16.690000000000001</v>
      </c>
      <c r="R39" s="43">
        <f t="shared" si="4"/>
        <v>16.690000000000001</v>
      </c>
    </row>
    <row r="40" spans="1:18" ht="25.5" x14ac:dyDescent="0.55000000000000004">
      <c r="A40" s="10">
        <v>36</v>
      </c>
      <c r="B40" s="10">
        <v>1004051</v>
      </c>
      <c r="C40" s="19" t="s">
        <v>249</v>
      </c>
      <c r="D40" s="10" t="s">
        <v>429</v>
      </c>
      <c r="E40" s="62">
        <f>+'9'!J40</f>
        <v>7</v>
      </c>
      <c r="F40" s="69">
        <v>15</v>
      </c>
      <c r="G40" s="46">
        <f t="shared" si="0"/>
        <v>22</v>
      </c>
      <c r="H40" s="76">
        <v>0</v>
      </c>
      <c r="I40" s="74">
        <v>0</v>
      </c>
      <c r="J40" s="46">
        <f t="shared" si="1"/>
        <v>0</v>
      </c>
      <c r="K40" s="70">
        <v>22</v>
      </c>
      <c r="L40" s="20">
        <v>50</v>
      </c>
      <c r="M40" s="63">
        <f t="shared" si="2"/>
        <v>1100</v>
      </c>
      <c r="N40" s="17" t="s">
        <v>16</v>
      </c>
      <c r="O40" s="18">
        <v>500</v>
      </c>
      <c r="P40" s="161">
        <f t="shared" si="3"/>
        <v>600</v>
      </c>
      <c r="Q40" s="88">
        <v>24.21</v>
      </c>
      <c r="R40" s="43">
        <f t="shared" si="4"/>
        <v>532.62</v>
      </c>
    </row>
    <row r="41" spans="1:18" ht="25.5" x14ac:dyDescent="0.55000000000000004">
      <c r="A41" s="10">
        <v>37</v>
      </c>
      <c r="B41" s="10">
        <v>1100002</v>
      </c>
      <c r="C41" s="19" t="s">
        <v>344</v>
      </c>
      <c r="D41" s="10" t="s">
        <v>429</v>
      </c>
      <c r="E41" s="62">
        <f>+'9'!J41</f>
        <v>2</v>
      </c>
      <c r="F41" s="69">
        <v>3</v>
      </c>
      <c r="G41" s="46">
        <f t="shared" si="0"/>
        <v>5</v>
      </c>
      <c r="H41" s="76">
        <v>0</v>
      </c>
      <c r="I41" s="74">
        <v>0</v>
      </c>
      <c r="J41" s="46">
        <f t="shared" si="1"/>
        <v>0</v>
      </c>
      <c r="K41" s="70">
        <v>5</v>
      </c>
      <c r="L41" s="20">
        <v>65</v>
      </c>
      <c r="M41" s="63">
        <f t="shared" si="2"/>
        <v>325</v>
      </c>
      <c r="N41" s="17" t="s">
        <v>16</v>
      </c>
      <c r="O41" s="18">
        <v>65</v>
      </c>
      <c r="P41" s="161">
        <f t="shared" si="3"/>
        <v>260</v>
      </c>
      <c r="Q41" s="88">
        <v>23.02</v>
      </c>
      <c r="R41" s="43">
        <f t="shared" si="4"/>
        <v>115.1</v>
      </c>
    </row>
    <row r="42" spans="1:18" ht="25.5" x14ac:dyDescent="0.55000000000000004">
      <c r="A42" s="10">
        <v>38</v>
      </c>
      <c r="B42" s="10">
        <v>1113208</v>
      </c>
      <c r="C42" s="19" t="s">
        <v>1375</v>
      </c>
      <c r="D42" s="10" t="s">
        <v>561</v>
      </c>
      <c r="E42" s="62">
        <f>+'9'!J42</f>
        <v>262</v>
      </c>
      <c r="F42" s="69"/>
      <c r="G42" s="46">
        <f t="shared" si="0"/>
        <v>262</v>
      </c>
      <c r="H42" s="76">
        <v>262</v>
      </c>
      <c r="I42" s="74">
        <v>0</v>
      </c>
      <c r="J42" s="46">
        <f t="shared" si="1"/>
        <v>0</v>
      </c>
      <c r="K42" s="70"/>
      <c r="L42" s="20">
        <v>10</v>
      </c>
      <c r="M42" s="63">
        <f t="shared" si="2"/>
        <v>0</v>
      </c>
      <c r="N42" s="17" t="s">
        <v>1455</v>
      </c>
      <c r="O42" s="18"/>
      <c r="P42" s="23">
        <f t="shared" si="3"/>
        <v>0</v>
      </c>
      <c r="Q42" s="88">
        <v>6.3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1112400</v>
      </c>
      <c r="C43" s="19" t="s">
        <v>1426</v>
      </c>
      <c r="D43" s="10" t="s">
        <v>429</v>
      </c>
      <c r="E43" s="62">
        <f>+'9'!J43</f>
        <v>136</v>
      </c>
      <c r="F43" s="69"/>
      <c r="G43" s="46">
        <f t="shared" si="0"/>
        <v>136</v>
      </c>
      <c r="H43" s="76">
        <v>0</v>
      </c>
      <c r="I43" s="74">
        <v>95</v>
      </c>
      <c r="J43" s="46">
        <f t="shared" si="1"/>
        <v>20</v>
      </c>
      <c r="K43" s="70">
        <v>21</v>
      </c>
      <c r="L43" s="22">
        <v>10</v>
      </c>
      <c r="M43" s="63">
        <f>+L43*K43</f>
        <v>210</v>
      </c>
      <c r="N43" s="17" t="s">
        <v>1456</v>
      </c>
      <c r="O43" s="18"/>
      <c r="P43" s="161">
        <f>SUM(M43-O43)</f>
        <v>210</v>
      </c>
      <c r="Q43" s="88"/>
      <c r="R43" s="43">
        <f>+K43*Q43</f>
        <v>0</v>
      </c>
    </row>
    <row r="44" spans="1:18" ht="25.5" x14ac:dyDescent="0.55000000000000004">
      <c r="A44" s="10">
        <v>40</v>
      </c>
      <c r="B44" s="10">
        <v>1113171</v>
      </c>
      <c r="C44" s="19" t="s">
        <v>1427</v>
      </c>
      <c r="D44" s="10" t="s">
        <v>429</v>
      </c>
      <c r="E44" s="62">
        <f>+'9'!J44</f>
        <v>5</v>
      </c>
      <c r="F44" s="69"/>
      <c r="G44" s="46">
        <f t="shared" si="0"/>
        <v>5</v>
      </c>
      <c r="H44" s="76">
        <v>0</v>
      </c>
      <c r="I44" s="74">
        <v>0</v>
      </c>
      <c r="J44" s="46">
        <f t="shared" si="1"/>
        <v>3</v>
      </c>
      <c r="K44" s="70">
        <v>2</v>
      </c>
      <c r="L44" s="20">
        <v>150</v>
      </c>
      <c r="M44" s="63">
        <f t="shared" si="2"/>
        <v>300</v>
      </c>
      <c r="N44" s="17" t="s">
        <v>16</v>
      </c>
      <c r="O44" s="18"/>
      <c r="P44" s="161">
        <f t="shared" si="3"/>
        <v>300</v>
      </c>
      <c r="Q44" s="88"/>
      <c r="R44" s="43">
        <f t="shared" si="4"/>
        <v>0</v>
      </c>
    </row>
    <row r="45" spans="1:18" ht="25.5" x14ac:dyDescent="0.55000000000000004">
      <c r="A45" s="10">
        <v>41</v>
      </c>
      <c r="B45" s="10">
        <v>1113170</v>
      </c>
      <c r="C45" s="19" t="s">
        <v>1428</v>
      </c>
      <c r="D45" s="10" t="s">
        <v>429</v>
      </c>
      <c r="E45" s="62">
        <f>+'9'!J45</f>
        <v>5</v>
      </c>
      <c r="F45" s="69"/>
      <c r="G45" s="46">
        <f t="shared" si="0"/>
        <v>5</v>
      </c>
      <c r="H45" s="76">
        <v>0</v>
      </c>
      <c r="I45" s="74">
        <v>0</v>
      </c>
      <c r="J45" s="46">
        <f t="shared" si="1"/>
        <v>5</v>
      </c>
      <c r="K45" s="70"/>
      <c r="L45" s="15">
        <v>150</v>
      </c>
      <c r="M45" s="63">
        <f t="shared" si="2"/>
        <v>0</v>
      </c>
      <c r="N45" s="17" t="s">
        <v>16</v>
      </c>
      <c r="O45" s="18"/>
      <c r="P45" s="23">
        <f t="shared" si="3"/>
        <v>0</v>
      </c>
      <c r="Q45" s="88"/>
      <c r="R45" s="43"/>
    </row>
    <row r="46" spans="1:18" ht="25.5" x14ac:dyDescent="0.55000000000000004">
      <c r="A46" s="10">
        <v>42</v>
      </c>
      <c r="B46" s="10">
        <v>20054646</v>
      </c>
      <c r="C46" s="19" t="s">
        <v>391</v>
      </c>
      <c r="D46" s="10" t="s">
        <v>429</v>
      </c>
      <c r="E46" s="62">
        <f>+'9'!J46</f>
        <v>4</v>
      </c>
      <c r="F46" s="69"/>
      <c r="G46" s="46">
        <f t="shared" si="0"/>
        <v>4</v>
      </c>
      <c r="H46" s="76">
        <v>0</v>
      </c>
      <c r="I46" s="74">
        <v>0</v>
      </c>
      <c r="J46" s="46">
        <f t="shared" si="1"/>
        <v>1</v>
      </c>
      <c r="K46" s="70">
        <v>3</v>
      </c>
      <c r="L46" s="15">
        <v>25</v>
      </c>
      <c r="M46" s="63">
        <f t="shared" si="2"/>
        <v>75</v>
      </c>
      <c r="N46" s="17" t="s">
        <v>16</v>
      </c>
      <c r="O46" s="18"/>
      <c r="P46" s="161">
        <f t="shared" si="3"/>
        <v>75</v>
      </c>
      <c r="Q46" s="88"/>
      <c r="R46" s="43">
        <f t="shared" si="4"/>
        <v>0</v>
      </c>
    </row>
    <row r="47" spans="1:18" ht="25.5" x14ac:dyDescent="0.55000000000000004">
      <c r="A47" s="10">
        <v>43</v>
      </c>
      <c r="B47" s="10">
        <v>1113234</v>
      </c>
      <c r="C47" s="19" t="s">
        <v>1418</v>
      </c>
      <c r="D47" s="10" t="s">
        <v>429</v>
      </c>
      <c r="E47" s="62">
        <f>+'9'!J47</f>
        <v>2</v>
      </c>
      <c r="F47" s="69"/>
      <c r="G47" s="46">
        <f t="shared" si="0"/>
        <v>2</v>
      </c>
      <c r="H47" s="76">
        <v>0</v>
      </c>
      <c r="I47" s="74">
        <v>0</v>
      </c>
      <c r="J47" s="46">
        <f t="shared" si="1"/>
        <v>0</v>
      </c>
      <c r="K47" s="70">
        <v>2</v>
      </c>
      <c r="L47" s="15">
        <v>35</v>
      </c>
      <c r="M47" s="63">
        <f t="shared" si="2"/>
        <v>70</v>
      </c>
      <c r="N47" s="17" t="s">
        <v>16</v>
      </c>
      <c r="O47" s="18">
        <v>35</v>
      </c>
      <c r="P47" s="161">
        <f t="shared" si="3"/>
        <v>35</v>
      </c>
      <c r="Q47" s="88"/>
      <c r="R47" s="43">
        <f t="shared" si="4"/>
        <v>0</v>
      </c>
    </row>
    <row r="48" spans="1:18" ht="25.5" x14ac:dyDescent="0.55000000000000004">
      <c r="A48" s="10">
        <v>45</v>
      </c>
      <c r="B48" s="10">
        <v>20058428</v>
      </c>
      <c r="C48" s="19" t="s">
        <v>1429</v>
      </c>
      <c r="D48" s="10" t="s">
        <v>429</v>
      </c>
      <c r="E48" s="62">
        <f>+'9'!J48</f>
        <v>27</v>
      </c>
      <c r="F48" s="69"/>
      <c r="G48" s="46">
        <f t="shared" si="0"/>
        <v>27</v>
      </c>
      <c r="H48" s="76">
        <v>0</v>
      </c>
      <c r="I48" s="74">
        <v>0</v>
      </c>
      <c r="J48" s="46">
        <f t="shared" si="1"/>
        <v>17</v>
      </c>
      <c r="K48" s="70">
        <v>10</v>
      </c>
      <c r="L48" s="15">
        <v>19</v>
      </c>
      <c r="M48" s="63">
        <f>+L48*K48</f>
        <v>190</v>
      </c>
      <c r="N48" s="17" t="s">
        <v>16</v>
      </c>
      <c r="O48" s="18">
        <v>46</v>
      </c>
      <c r="P48" s="161">
        <f>SUM(M48-O48)</f>
        <v>144</v>
      </c>
      <c r="Q48" s="88"/>
      <c r="R48" s="43">
        <f>+K48*Q48</f>
        <v>0</v>
      </c>
    </row>
    <row r="49" spans="1:18" ht="24" customHeight="1" x14ac:dyDescent="0.55000000000000004">
      <c r="A49" s="10">
        <v>46</v>
      </c>
      <c r="B49" s="10">
        <v>1300047</v>
      </c>
      <c r="C49" s="19" t="s">
        <v>1430</v>
      </c>
      <c r="D49" s="10" t="s">
        <v>429</v>
      </c>
      <c r="E49" s="62">
        <f>+'9'!J49</f>
        <v>0</v>
      </c>
      <c r="F49" s="69"/>
      <c r="G49" s="46">
        <f t="shared" si="0"/>
        <v>0</v>
      </c>
      <c r="H49" s="76">
        <v>0</v>
      </c>
      <c r="I49" s="74">
        <v>0</v>
      </c>
      <c r="J49" s="46">
        <f t="shared" si="1"/>
        <v>0</v>
      </c>
      <c r="K49" s="70"/>
      <c r="L49" s="15">
        <v>25</v>
      </c>
      <c r="M49" s="63">
        <f>+L49*K49</f>
        <v>0</v>
      </c>
      <c r="N49" s="17" t="s">
        <v>16</v>
      </c>
      <c r="O49" s="18"/>
      <c r="P49" s="23">
        <f>SUM(M49-O49)</f>
        <v>0</v>
      </c>
      <c r="Q49" s="88"/>
      <c r="R49" s="43">
        <f>+K49*Q49</f>
        <v>0</v>
      </c>
    </row>
    <row r="50" spans="1:18" ht="25.5" x14ac:dyDescent="0.55000000000000004">
      <c r="A50" s="10">
        <v>47</v>
      </c>
      <c r="B50" s="10">
        <v>1113190</v>
      </c>
      <c r="C50" s="19" t="s">
        <v>1431</v>
      </c>
      <c r="D50" s="10" t="s">
        <v>429</v>
      </c>
      <c r="E50" s="62">
        <f>+'9'!J50</f>
        <v>3</v>
      </c>
      <c r="F50" s="69"/>
      <c r="G50" s="46">
        <f t="shared" si="0"/>
        <v>3</v>
      </c>
      <c r="H50" s="76">
        <v>0</v>
      </c>
      <c r="I50" s="74">
        <v>0</v>
      </c>
      <c r="J50" s="46">
        <f t="shared" si="1"/>
        <v>3</v>
      </c>
      <c r="K50" s="70"/>
      <c r="L50" s="15">
        <v>25</v>
      </c>
      <c r="M50" s="63">
        <f t="shared" si="2"/>
        <v>0</v>
      </c>
      <c r="N50" s="17" t="s">
        <v>16</v>
      </c>
      <c r="O50" s="18"/>
      <c r="P50" s="23">
        <f t="shared" si="3"/>
        <v>0</v>
      </c>
      <c r="Q50" s="88"/>
      <c r="R50" s="43">
        <f t="shared" si="4"/>
        <v>0</v>
      </c>
    </row>
    <row r="51" spans="1:18" ht="25.5" x14ac:dyDescent="0.55000000000000004">
      <c r="A51" s="10">
        <v>48</v>
      </c>
      <c r="B51" s="10">
        <v>1113229</v>
      </c>
      <c r="C51" s="19" t="s">
        <v>1432</v>
      </c>
      <c r="D51" s="10" t="s">
        <v>429</v>
      </c>
      <c r="E51" s="62">
        <f>+'9'!J51</f>
        <v>35</v>
      </c>
      <c r="F51" s="69">
        <v>16</v>
      </c>
      <c r="G51" s="46">
        <f t="shared" si="0"/>
        <v>51</v>
      </c>
      <c r="H51" s="76">
        <v>0</v>
      </c>
      <c r="I51" s="74">
        <v>0</v>
      </c>
      <c r="J51" s="46">
        <f t="shared" si="1"/>
        <v>0</v>
      </c>
      <c r="K51" s="70">
        <v>51</v>
      </c>
      <c r="L51" s="20">
        <v>25</v>
      </c>
      <c r="M51" s="63">
        <f>+L51*K51</f>
        <v>1275</v>
      </c>
      <c r="N51" s="17" t="s">
        <v>16</v>
      </c>
      <c r="O51" s="18">
        <v>638</v>
      </c>
      <c r="P51" s="161">
        <f>SUM(M51-O51)</f>
        <v>637</v>
      </c>
      <c r="Q51" s="88"/>
      <c r="R51" s="43">
        <f>+K51*Q51</f>
        <v>0</v>
      </c>
    </row>
    <row r="52" spans="1:18" ht="24" customHeight="1" x14ac:dyDescent="0.55000000000000004">
      <c r="A52" s="10">
        <v>49</v>
      </c>
      <c r="B52" s="10">
        <v>1113226</v>
      </c>
      <c r="C52" s="19" t="s">
        <v>1433</v>
      </c>
      <c r="D52" s="10" t="s">
        <v>429</v>
      </c>
      <c r="E52" s="62">
        <f>+'9'!J52</f>
        <v>5</v>
      </c>
      <c r="F52" s="69"/>
      <c r="G52" s="46">
        <f t="shared" si="0"/>
        <v>5</v>
      </c>
      <c r="H52" s="76">
        <v>0</v>
      </c>
      <c r="I52" s="74">
        <v>0</v>
      </c>
      <c r="J52" s="46">
        <f t="shared" si="1"/>
        <v>1</v>
      </c>
      <c r="K52" s="70">
        <v>4</v>
      </c>
      <c r="L52" s="20">
        <v>35</v>
      </c>
      <c r="M52" s="63">
        <f>+L52*K52</f>
        <v>140</v>
      </c>
      <c r="N52" s="17" t="s">
        <v>16</v>
      </c>
      <c r="O52" s="18">
        <v>90</v>
      </c>
      <c r="P52" s="161">
        <f>SUM(M52-O52)</f>
        <v>50</v>
      </c>
      <c r="Q52" s="88"/>
      <c r="R52" s="43">
        <f>+K52*Q52</f>
        <v>0</v>
      </c>
    </row>
    <row r="53" spans="1:18" ht="25.5" x14ac:dyDescent="0.55000000000000004">
      <c r="A53" s="10">
        <v>50</v>
      </c>
      <c r="B53" s="10">
        <v>1113227</v>
      </c>
      <c r="C53" s="19" t="s">
        <v>1419</v>
      </c>
      <c r="D53" s="10" t="s">
        <v>429</v>
      </c>
      <c r="E53" s="62">
        <f>+'9'!J53</f>
        <v>27</v>
      </c>
      <c r="F53" s="69"/>
      <c r="G53" s="46">
        <f t="shared" si="0"/>
        <v>27</v>
      </c>
      <c r="H53" s="76">
        <v>0</v>
      </c>
      <c r="I53" s="74">
        <v>0</v>
      </c>
      <c r="J53" s="46">
        <f t="shared" si="1"/>
        <v>21</v>
      </c>
      <c r="K53" s="70">
        <v>6</v>
      </c>
      <c r="L53" s="15">
        <v>35</v>
      </c>
      <c r="M53" s="63">
        <f>+L53*K53</f>
        <v>210</v>
      </c>
      <c r="N53" s="17" t="s">
        <v>16</v>
      </c>
      <c r="O53" s="18">
        <v>135</v>
      </c>
      <c r="P53" s="161">
        <f>SUM(M53-O53)</f>
        <v>75</v>
      </c>
      <c r="Q53" s="88"/>
      <c r="R53" s="43">
        <f>+K53*Q53</f>
        <v>0</v>
      </c>
    </row>
    <row r="54" spans="1:18" ht="25.5" x14ac:dyDescent="0.55000000000000004">
      <c r="A54" s="10">
        <v>51</v>
      </c>
      <c r="B54" s="10">
        <v>1113228</v>
      </c>
      <c r="C54" s="19" t="s">
        <v>1434</v>
      </c>
      <c r="D54" s="10" t="s">
        <v>429</v>
      </c>
      <c r="E54" s="62">
        <f>+'9'!J54</f>
        <v>1</v>
      </c>
      <c r="F54" s="69"/>
      <c r="G54" s="46">
        <f t="shared" si="0"/>
        <v>1</v>
      </c>
      <c r="H54" s="76">
        <v>0</v>
      </c>
      <c r="I54" s="74">
        <v>0</v>
      </c>
      <c r="J54" s="46">
        <f t="shared" si="1"/>
        <v>0</v>
      </c>
      <c r="K54" s="70">
        <v>1</v>
      </c>
      <c r="L54" s="15">
        <v>35</v>
      </c>
      <c r="M54" s="63">
        <f t="shared" si="2"/>
        <v>35</v>
      </c>
      <c r="N54" s="17" t="s">
        <v>16</v>
      </c>
      <c r="O54" s="18"/>
      <c r="P54" s="161">
        <f t="shared" ref="P54:P64" si="5">SUM(M54-O54)</f>
        <v>35</v>
      </c>
      <c r="Q54" s="88"/>
      <c r="R54" s="43">
        <f t="shared" si="4"/>
        <v>0</v>
      </c>
    </row>
    <row r="55" spans="1:18" ht="25.5" x14ac:dyDescent="0.55000000000000004">
      <c r="A55" s="10">
        <v>52</v>
      </c>
      <c r="B55" s="10">
        <v>1004111</v>
      </c>
      <c r="C55" s="19" t="s">
        <v>1435</v>
      </c>
      <c r="D55" s="10" t="s">
        <v>429</v>
      </c>
      <c r="E55" s="62">
        <f>+'9'!J55</f>
        <v>12</v>
      </c>
      <c r="F55" s="69"/>
      <c r="G55" s="46">
        <f t="shared" si="0"/>
        <v>12</v>
      </c>
      <c r="H55" s="76">
        <v>0</v>
      </c>
      <c r="I55" s="74">
        <v>0</v>
      </c>
      <c r="J55" s="46">
        <f t="shared" si="1"/>
        <v>4</v>
      </c>
      <c r="K55" s="70">
        <v>8</v>
      </c>
      <c r="L55" s="15">
        <v>120</v>
      </c>
      <c r="M55" s="63">
        <f>+L55*K55</f>
        <v>960</v>
      </c>
      <c r="N55" s="17" t="s">
        <v>16</v>
      </c>
      <c r="O55" s="18"/>
      <c r="P55" s="161">
        <f t="shared" si="5"/>
        <v>960</v>
      </c>
      <c r="Q55" s="88"/>
      <c r="R55" s="43">
        <f>+K55*Q55</f>
        <v>0</v>
      </c>
    </row>
    <row r="56" spans="1:18" ht="25.5" x14ac:dyDescent="0.55000000000000004">
      <c r="A56" s="10">
        <v>53</v>
      </c>
      <c r="B56" s="10">
        <v>1004113</v>
      </c>
      <c r="C56" s="19" t="s">
        <v>1436</v>
      </c>
      <c r="D56" s="10" t="s">
        <v>429</v>
      </c>
      <c r="E56" s="62">
        <f>+'9'!J56</f>
        <v>18</v>
      </c>
      <c r="F56" s="69"/>
      <c r="G56" s="46">
        <f t="shared" si="0"/>
        <v>18</v>
      </c>
      <c r="H56" s="76">
        <v>0</v>
      </c>
      <c r="I56" s="74">
        <v>0</v>
      </c>
      <c r="J56" s="46">
        <f t="shared" si="1"/>
        <v>14</v>
      </c>
      <c r="K56" s="70">
        <v>4</v>
      </c>
      <c r="L56" s="15">
        <v>120</v>
      </c>
      <c r="M56" s="63">
        <f t="shared" ref="M56:M65" si="6">+L56*K56</f>
        <v>480</v>
      </c>
      <c r="N56" s="17" t="s">
        <v>16</v>
      </c>
      <c r="O56" s="18"/>
      <c r="P56" s="161">
        <f t="shared" si="5"/>
        <v>480</v>
      </c>
      <c r="Q56" s="88"/>
      <c r="R56" s="43">
        <f>+K56*Q56</f>
        <v>0</v>
      </c>
    </row>
    <row r="57" spans="1:18" ht="25.5" x14ac:dyDescent="0.55000000000000004">
      <c r="A57" s="10">
        <v>54</v>
      </c>
      <c r="B57" s="10">
        <v>1004112</v>
      </c>
      <c r="C57" s="19" t="s">
        <v>1421</v>
      </c>
      <c r="D57" s="10" t="s">
        <v>429</v>
      </c>
      <c r="E57" s="62">
        <f>+'9'!J57</f>
        <v>15</v>
      </c>
      <c r="F57" s="69"/>
      <c r="G57" s="46">
        <f t="shared" si="0"/>
        <v>15</v>
      </c>
      <c r="H57" s="76">
        <v>0</v>
      </c>
      <c r="I57" s="74">
        <v>0</v>
      </c>
      <c r="J57" s="46">
        <f t="shared" si="1"/>
        <v>11</v>
      </c>
      <c r="K57" s="70">
        <v>4</v>
      </c>
      <c r="L57" s="20">
        <v>120</v>
      </c>
      <c r="M57" s="63">
        <f t="shared" si="6"/>
        <v>480</v>
      </c>
      <c r="N57" s="17" t="s">
        <v>16</v>
      </c>
      <c r="O57" s="18"/>
      <c r="P57" s="161">
        <f t="shared" si="5"/>
        <v>480</v>
      </c>
      <c r="Q57" s="88"/>
      <c r="R57" s="43">
        <f t="shared" si="4"/>
        <v>0</v>
      </c>
    </row>
    <row r="58" spans="1:18" ht="25.5" x14ac:dyDescent="0.55000000000000004">
      <c r="A58" s="10">
        <v>55</v>
      </c>
      <c r="B58" s="10">
        <v>1100045</v>
      </c>
      <c r="C58" s="19" t="s">
        <v>1420</v>
      </c>
      <c r="D58" s="10" t="s">
        <v>429</v>
      </c>
      <c r="E58" s="62">
        <f>+'9'!J58</f>
        <v>23</v>
      </c>
      <c r="F58" s="69"/>
      <c r="G58" s="46">
        <f t="shared" si="0"/>
        <v>23</v>
      </c>
      <c r="H58" s="76">
        <v>0</v>
      </c>
      <c r="I58" s="74">
        <v>0</v>
      </c>
      <c r="J58" s="46">
        <f t="shared" si="1"/>
        <v>23</v>
      </c>
      <c r="K58" s="70"/>
      <c r="L58" s="20">
        <v>120</v>
      </c>
      <c r="M58" s="63">
        <f t="shared" si="6"/>
        <v>0</v>
      </c>
      <c r="N58" s="17" t="s">
        <v>16</v>
      </c>
      <c r="O58" s="18"/>
      <c r="P58" s="23">
        <f t="shared" si="5"/>
        <v>0</v>
      </c>
      <c r="Q58" s="88"/>
      <c r="R58" s="43">
        <f t="shared" si="4"/>
        <v>0</v>
      </c>
    </row>
    <row r="59" spans="1:18" ht="25.5" x14ac:dyDescent="0.55000000000000004">
      <c r="A59" s="10"/>
      <c r="B59" s="10"/>
      <c r="C59" s="19" t="s">
        <v>1457</v>
      </c>
      <c r="D59" s="10" t="s">
        <v>429</v>
      </c>
      <c r="E59" s="62">
        <f>+'9'!J59</f>
        <v>0</v>
      </c>
      <c r="F59" s="69">
        <v>405</v>
      </c>
      <c r="G59" s="46">
        <f t="shared" si="0"/>
        <v>405</v>
      </c>
      <c r="H59" s="76">
        <v>0</v>
      </c>
      <c r="I59" s="74">
        <v>0</v>
      </c>
      <c r="J59" s="46">
        <f t="shared" si="1"/>
        <v>0</v>
      </c>
      <c r="K59" s="70">
        <v>405</v>
      </c>
      <c r="L59" s="20">
        <v>15</v>
      </c>
      <c r="M59" s="63">
        <f t="shared" si="6"/>
        <v>6075</v>
      </c>
      <c r="N59" s="17" t="s">
        <v>1458</v>
      </c>
      <c r="O59" s="18"/>
      <c r="P59" s="161">
        <f t="shared" si="5"/>
        <v>6075</v>
      </c>
      <c r="Q59" s="88"/>
      <c r="R59" s="43">
        <f t="shared" si="4"/>
        <v>0</v>
      </c>
    </row>
    <row r="60" spans="1:18" ht="25.5" x14ac:dyDescent="0.55000000000000004">
      <c r="A60" s="10"/>
      <c r="B60" s="10"/>
      <c r="C60" s="19"/>
      <c r="D60" s="10"/>
      <c r="E60" s="62">
        <f>+'9'!J60</f>
        <v>0</v>
      </c>
      <c r="F60" s="69"/>
      <c r="G60" s="46">
        <f t="shared" si="0"/>
        <v>0</v>
      </c>
      <c r="H60" s="76">
        <v>0</v>
      </c>
      <c r="I60" s="74">
        <v>0</v>
      </c>
      <c r="J60" s="46">
        <f t="shared" si="1"/>
        <v>0</v>
      </c>
      <c r="K60" s="70"/>
      <c r="L60" s="20"/>
      <c r="M60" s="63">
        <f t="shared" si="6"/>
        <v>0</v>
      </c>
      <c r="N60" s="17"/>
      <c r="O60" s="18"/>
      <c r="P60" s="23">
        <f t="shared" si="5"/>
        <v>0</v>
      </c>
      <c r="Q60" s="88"/>
      <c r="R60" s="43">
        <f t="shared" si="4"/>
        <v>0</v>
      </c>
    </row>
    <row r="61" spans="1:18" ht="25.15" customHeight="1" x14ac:dyDescent="0.55000000000000004">
      <c r="A61" s="10"/>
      <c r="B61" s="10"/>
      <c r="C61" s="19"/>
      <c r="D61" s="10"/>
      <c r="E61" s="62">
        <f>+'9'!J61</f>
        <v>0</v>
      </c>
      <c r="F61" s="69"/>
      <c r="G61" s="46">
        <f t="shared" si="0"/>
        <v>0</v>
      </c>
      <c r="H61" s="76">
        <v>0</v>
      </c>
      <c r="I61" s="74">
        <v>0</v>
      </c>
      <c r="J61" s="46">
        <f t="shared" si="1"/>
        <v>0</v>
      </c>
      <c r="K61" s="70"/>
      <c r="L61" s="20"/>
      <c r="M61" s="63">
        <f t="shared" si="6"/>
        <v>0</v>
      </c>
      <c r="N61" s="17"/>
      <c r="O61" s="18"/>
      <c r="P61" s="23">
        <f t="shared" si="5"/>
        <v>0</v>
      </c>
      <c r="Q61" s="88"/>
      <c r="R61" s="43">
        <f t="shared" si="4"/>
        <v>0</v>
      </c>
    </row>
    <row r="62" spans="1:18" ht="25.5" x14ac:dyDescent="0.55000000000000004">
      <c r="A62" s="10"/>
      <c r="B62" s="10"/>
      <c r="C62" s="19"/>
      <c r="D62" s="10"/>
      <c r="E62" s="62">
        <f>+'9'!J62</f>
        <v>0</v>
      </c>
      <c r="F62" s="69"/>
      <c r="G62" s="46">
        <f t="shared" si="0"/>
        <v>0</v>
      </c>
      <c r="H62" s="76">
        <v>0</v>
      </c>
      <c r="I62" s="74">
        <v>0</v>
      </c>
      <c r="J62" s="46">
        <f t="shared" si="1"/>
        <v>0</v>
      </c>
      <c r="K62" s="70"/>
      <c r="L62" s="20"/>
      <c r="M62" s="63">
        <f t="shared" si="6"/>
        <v>0</v>
      </c>
      <c r="N62" s="17"/>
      <c r="O62" s="18"/>
      <c r="P62" s="23">
        <f t="shared" si="5"/>
        <v>0</v>
      </c>
      <c r="Q62" s="88"/>
      <c r="R62" s="43">
        <f t="shared" si="4"/>
        <v>0</v>
      </c>
    </row>
    <row r="63" spans="1:18" ht="25.5" x14ac:dyDescent="0.55000000000000004">
      <c r="A63" s="10"/>
      <c r="B63" s="10"/>
      <c r="C63" s="19"/>
      <c r="D63" s="10"/>
      <c r="E63" s="62">
        <f>+'9'!J63</f>
        <v>0</v>
      </c>
      <c r="F63" s="69"/>
      <c r="G63" s="46">
        <f t="shared" si="0"/>
        <v>0</v>
      </c>
      <c r="H63" s="76">
        <v>0</v>
      </c>
      <c r="I63" s="74">
        <v>0</v>
      </c>
      <c r="J63" s="46">
        <f t="shared" si="1"/>
        <v>0</v>
      </c>
      <c r="K63" s="70"/>
      <c r="L63" s="20"/>
      <c r="M63" s="63">
        <f t="shared" si="6"/>
        <v>0</v>
      </c>
      <c r="N63" s="17"/>
      <c r="O63" s="18"/>
      <c r="P63" s="23">
        <f t="shared" si="5"/>
        <v>0</v>
      </c>
      <c r="Q63" s="88"/>
      <c r="R63" s="43">
        <f t="shared" si="4"/>
        <v>0</v>
      </c>
    </row>
    <row r="64" spans="1:18" ht="25.5" x14ac:dyDescent="0.55000000000000004">
      <c r="A64" s="10"/>
      <c r="B64" s="10"/>
      <c r="C64" s="19"/>
      <c r="D64" s="10"/>
      <c r="E64" s="62"/>
      <c r="F64" s="69"/>
      <c r="G64" s="46">
        <f t="shared" si="0"/>
        <v>0</v>
      </c>
      <c r="H64" s="76">
        <v>0</v>
      </c>
      <c r="I64" s="74">
        <v>0</v>
      </c>
      <c r="J64" s="46">
        <f t="shared" si="1"/>
        <v>0</v>
      </c>
      <c r="K64" s="70"/>
      <c r="L64" s="20"/>
      <c r="M64" s="63">
        <f t="shared" si="6"/>
        <v>0</v>
      </c>
      <c r="N64" s="17"/>
      <c r="O64" s="18"/>
      <c r="P64" s="23">
        <f t="shared" si="5"/>
        <v>0</v>
      </c>
      <c r="Q64" s="88"/>
      <c r="R64" s="43">
        <f t="shared" si="4"/>
        <v>0</v>
      </c>
    </row>
    <row r="65" spans="1:19" ht="25.5" x14ac:dyDescent="0.55000000000000004">
      <c r="A65" s="10"/>
      <c r="B65" s="10"/>
      <c r="C65" s="19"/>
      <c r="D65" s="10"/>
      <c r="E65" s="62"/>
      <c r="F65" s="69"/>
      <c r="G65" s="46"/>
      <c r="H65" s="76"/>
      <c r="I65" s="74"/>
      <c r="J65" s="46"/>
      <c r="K65" s="70"/>
      <c r="L65" s="20"/>
      <c r="M65" s="63">
        <f t="shared" si="6"/>
        <v>0</v>
      </c>
      <c r="N65" s="17"/>
      <c r="O65" s="18"/>
      <c r="P65" s="23"/>
      <c r="Q65" s="88"/>
      <c r="R65" s="43">
        <f t="shared" si="4"/>
        <v>0</v>
      </c>
    </row>
    <row r="66" spans="1:19" ht="25.5" x14ac:dyDescent="0.55000000000000004">
      <c r="A66" s="1"/>
      <c r="E66" s="24"/>
      <c r="F66" s="25"/>
      <c r="G66" s="24"/>
      <c r="H66" s="25"/>
      <c r="I66" s="25"/>
      <c r="J66" s="24"/>
      <c r="K66" s="24"/>
      <c r="L66" s="26"/>
      <c r="M66" s="28"/>
      <c r="N66" s="27"/>
      <c r="O66" s="18">
        <v>0</v>
      </c>
      <c r="P66" s="72" t="s">
        <v>213</v>
      </c>
      <c r="Q66" s="89"/>
      <c r="R66" s="73">
        <f>SUM(R5:R65)</f>
        <v>5961.9699999999984</v>
      </c>
      <c r="S66" s="73"/>
    </row>
    <row r="67" spans="1:19" ht="25.5" customHeight="1" x14ac:dyDescent="0.5">
      <c r="A67" s="1"/>
      <c r="E67" s="24"/>
      <c r="F67" s="25"/>
      <c r="G67" s="24"/>
      <c r="H67" s="25"/>
      <c r="I67" s="25"/>
      <c r="J67" s="24"/>
      <c r="K67" s="152" t="s">
        <v>212</v>
      </c>
      <c r="L67" s="153"/>
      <c r="M67" s="30">
        <f>+O66</f>
        <v>0</v>
      </c>
      <c r="N67" s="27"/>
      <c r="O67" s="29"/>
    </row>
    <row r="68" spans="1:19" ht="25.5" x14ac:dyDescent="0.55000000000000004">
      <c r="A68" s="1"/>
      <c r="E68" s="31"/>
      <c r="G68" s="31"/>
      <c r="J68" s="31"/>
      <c r="K68" s="32"/>
      <c r="L68" s="159" t="s">
        <v>202</v>
      </c>
      <c r="M68" s="159"/>
      <c r="N68" s="33">
        <f>SUM(M5:M67)</f>
        <v>28790</v>
      </c>
    </row>
    <row r="69" spans="1:19" ht="25.5" x14ac:dyDescent="0.55000000000000004">
      <c r="A69" s="1"/>
      <c r="E69" s="31"/>
      <c r="G69" s="31"/>
      <c r="J69" s="31"/>
      <c r="L69" s="148" t="s">
        <v>203</v>
      </c>
      <c r="M69" s="149"/>
      <c r="N69" s="36"/>
    </row>
    <row r="70" spans="1:19" ht="25.5" x14ac:dyDescent="0.55000000000000004">
      <c r="A70" s="1"/>
      <c r="E70" s="31"/>
      <c r="G70" s="31"/>
      <c r="J70" s="31"/>
      <c r="L70" s="148" t="s">
        <v>204</v>
      </c>
      <c r="M70" s="149"/>
      <c r="N70" s="36">
        <f>SUM(O70:AF70)</f>
        <v>7599</v>
      </c>
      <c r="O70" s="2">
        <v>7599</v>
      </c>
    </row>
    <row r="71" spans="1:19" ht="25.5" x14ac:dyDescent="0.55000000000000004">
      <c r="A71" s="1"/>
      <c r="E71" s="31"/>
      <c r="G71" s="31"/>
      <c r="J71" s="31"/>
      <c r="L71" s="148" t="s">
        <v>205</v>
      </c>
      <c r="M71" s="149"/>
      <c r="N71" s="36">
        <v>0</v>
      </c>
    </row>
    <row r="72" spans="1:19" ht="25.5" x14ac:dyDescent="0.55000000000000004">
      <c r="A72" s="1"/>
      <c r="E72" s="31"/>
      <c r="G72" s="31"/>
      <c r="J72" s="31"/>
      <c r="L72" s="148" t="s">
        <v>206</v>
      </c>
      <c r="M72" s="149"/>
      <c r="N72" s="36">
        <v>1400</v>
      </c>
      <c r="O72" s="2" t="s">
        <v>1450</v>
      </c>
    </row>
    <row r="73" spans="1:19" ht="25.5" x14ac:dyDescent="0.55000000000000004">
      <c r="A73" s="1"/>
      <c r="E73" s="31"/>
      <c r="G73" s="31"/>
      <c r="J73" s="31"/>
      <c r="L73" s="148" t="s">
        <v>207</v>
      </c>
      <c r="M73" s="149"/>
      <c r="N73" s="37">
        <f>SUM(O5:O66)</f>
        <v>2994</v>
      </c>
    </row>
    <row r="74" spans="1:19" ht="25.5" x14ac:dyDescent="0.55000000000000004">
      <c r="A74" s="1"/>
      <c r="E74" s="31"/>
      <c r="G74" s="31"/>
      <c r="J74" s="31"/>
      <c r="L74" s="148" t="s">
        <v>208</v>
      </c>
      <c r="M74" s="149"/>
      <c r="N74" s="33">
        <f>N68-N69-N70-N72-N73</f>
        <v>16797</v>
      </c>
    </row>
    <row r="75" spans="1:19" ht="25.5" x14ac:dyDescent="0.55000000000000004">
      <c r="A75" s="1"/>
      <c r="E75" s="31"/>
      <c r="G75" s="31"/>
      <c r="J75" s="31"/>
      <c r="L75" s="148" t="s">
        <v>209</v>
      </c>
      <c r="M75" s="149"/>
      <c r="N75" s="37">
        <v>16797</v>
      </c>
    </row>
    <row r="76" spans="1:19" ht="25.5" x14ac:dyDescent="0.55000000000000004">
      <c r="A76" s="1"/>
      <c r="E76" s="31"/>
      <c r="G76" s="31"/>
      <c r="J76" s="31"/>
      <c r="L76" s="148" t="s">
        <v>210</v>
      </c>
      <c r="M76" s="149"/>
      <c r="N76" s="33">
        <f>+N75-N74</f>
        <v>0</v>
      </c>
    </row>
    <row r="77" spans="1:19" ht="25.5" x14ac:dyDescent="0.55000000000000004">
      <c r="J77" s="2"/>
      <c r="L77" s="148" t="s">
        <v>211</v>
      </c>
      <c r="M77" s="149"/>
      <c r="N77" s="33">
        <f>+N75-N74</f>
        <v>0</v>
      </c>
    </row>
    <row r="78" spans="1:19" x14ac:dyDescent="0.5">
      <c r="J78" s="2"/>
      <c r="L78" s="2"/>
    </row>
    <row r="79" spans="1:19" ht="25.5" x14ac:dyDescent="0.55000000000000004">
      <c r="J79" s="2"/>
      <c r="L79" s="71" t="s">
        <v>270</v>
      </c>
      <c r="M79" s="2" t="s">
        <v>1378</v>
      </c>
    </row>
    <row r="80" spans="1:19" x14ac:dyDescent="0.5">
      <c r="J80" s="2"/>
      <c r="L80" s="2"/>
    </row>
    <row r="81" spans="10:12" x14ac:dyDescent="0.5">
      <c r="J81" s="2"/>
      <c r="L81" s="2"/>
    </row>
    <row r="82" spans="10:12" x14ac:dyDescent="0.5">
      <c r="J82" s="2"/>
      <c r="L82" s="2"/>
    </row>
    <row r="83" spans="10:12" x14ac:dyDescent="0.5">
      <c r="J83" s="2"/>
      <c r="L83" s="2"/>
    </row>
    <row r="84" spans="10:12" x14ac:dyDescent="0.5">
      <c r="J84" s="2"/>
      <c r="L84" s="2"/>
    </row>
    <row r="85" spans="10:12" x14ac:dyDescent="0.5">
      <c r="J85" s="2"/>
      <c r="L85" s="2"/>
    </row>
    <row r="86" spans="10:12" x14ac:dyDescent="0.5">
      <c r="J86" s="2"/>
      <c r="L86" s="2"/>
    </row>
    <row r="87" spans="10:12" x14ac:dyDescent="0.5">
      <c r="J87" s="2"/>
      <c r="L87" s="2"/>
    </row>
    <row r="88" spans="10:12" x14ac:dyDescent="0.5">
      <c r="J88" s="2"/>
      <c r="L88" s="2"/>
    </row>
    <row r="89" spans="10:12" x14ac:dyDescent="0.5">
      <c r="J89" s="2"/>
      <c r="L89" s="2"/>
    </row>
    <row r="90" spans="10:12" x14ac:dyDescent="0.5">
      <c r="J90" s="2"/>
      <c r="L90" s="2"/>
    </row>
    <row r="91" spans="10:12" x14ac:dyDescent="0.5">
      <c r="J91" s="2"/>
      <c r="L91" s="2"/>
    </row>
    <row r="92" spans="10:12" x14ac:dyDescent="0.5">
      <c r="J92" s="2"/>
      <c r="L92" s="2"/>
    </row>
    <row r="93" spans="10:12" x14ac:dyDescent="0.5">
      <c r="J93" s="2"/>
      <c r="L93" s="2"/>
    </row>
    <row r="94" spans="10:12" x14ac:dyDescent="0.5">
      <c r="J94" s="2"/>
      <c r="L94" s="2"/>
    </row>
    <row r="95" spans="10:12" x14ac:dyDescent="0.5">
      <c r="J95" s="2"/>
      <c r="L95" s="2"/>
    </row>
    <row r="96" spans="10:12" x14ac:dyDescent="0.5">
      <c r="J96" s="2"/>
      <c r="L96" s="2"/>
    </row>
    <row r="97" spans="10:12" x14ac:dyDescent="0.5">
      <c r="J97" s="2"/>
      <c r="L97" s="2"/>
    </row>
    <row r="98" spans="10:12" x14ac:dyDescent="0.5">
      <c r="J98" s="2"/>
      <c r="L98" s="2"/>
    </row>
    <row r="99" spans="10:12" x14ac:dyDescent="0.5">
      <c r="J99" s="2"/>
      <c r="L99" s="2"/>
    </row>
    <row r="100" spans="10:12" x14ac:dyDescent="0.5">
      <c r="J100" s="2"/>
      <c r="L100" s="2"/>
    </row>
    <row r="101" spans="10:12" x14ac:dyDescent="0.5">
      <c r="J101" s="2"/>
      <c r="L101" s="2"/>
    </row>
    <row r="102" spans="10:12" x14ac:dyDescent="0.5">
      <c r="J102" s="2"/>
      <c r="L102" s="2"/>
    </row>
    <row r="103" spans="10:12" x14ac:dyDescent="0.5">
      <c r="J103" s="2"/>
      <c r="L103" s="2"/>
    </row>
    <row r="104" spans="10:12" x14ac:dyDescent="0.5">
      <c r="J104" s="2"/>
      <c r="L104" s="2"/>
    </row>
    <row r="105" spans="10:12" x14ac:dyDescent="0.5">
      <c r="J105" s="2"/>
      <c r="L105" s="2"/>
    </row>
    <row r="106" spans="10:12" x14ac:dyDescent="0.5">
      <c r="J106" s="2"/>
      <c r="L106" s="2"/>
    </row>
    <row r="107" spans="10:12" x14ac:dyDescent="0.5">
      <c r="J107" s="2"/>
      <c r="L107" s="2"/>
    </row>
    <row r="108" spans="10:12" x14ac:dyDescent="0.5">
      <c r="J108" s="2"/>
      <c r="L108" s="2"/>
    </row>
    <row r="109" spans="10:12" x14ac:dyDescent="0.5">
      <c r="J109" s="2"/>
      <c r="L109" s="2"/>
    </row>
    <row r="110" spans="10:12" x14ac:dyDescent="0.5">
      <c r="J110" s="2"/>
      <c r="L110" s="2"/>
    </row>
    <row r="111" spans="10:12" x14ac:dyDescent="0.5">
      <c r="J111" s="2"/>
      <c r="L111" s="2"/>
    </row>
    <row r="112" spans="10:12" x14ac:dyDescent="0.5">
      <c r="J112" s="2"/>
      <c r="L112" s="2"/>
    </row>
    <row r="113" spans="10:12" x14ac:dyDescent="0.5">
      <c r="J113" s="2"/>
      <c r="L113" s="2"/>
    </row>
    <row r="114" spans="10:12" x14ac:dyDescent="0.5">
      <c r="J114" s="2"/>
      <c r="L114" s="2"/>
    </row>
    <row r="115" spans="10:12" x14ac:dyDescent="0.5">
      <c r="J115" s="2"/>
      <c r="L115" s="2"/>
    </row>
    <row r="116" spans="10:12" x14ac:dyDescent="0.5">
      <c r="J116" s="2"/>
      <c r="L116" s="2"/>
    </row>
    <row r="117" spans="10:12" x14ac:dyDescent="0.5">
      <c r="J117" s="2"/>
      <c r="L117" s="2"/>
    </row>
    <row r="118" spans="10:12" x14ac:dyDescent="0.5">
      <c r="J118" s="2"/>
      <c r="L118" s="2"/>
    </row>
    <row r="119" spans="10:12" x14ac:dyDescent="0.5">
      <c r="J119" s="2"/>
      <c r="L119" s="2"/>
    </row>
    <row r="120" spans="10:12" x14ac:dyDescent="0.5">
      <c r="J120" s="2"/>
      <c r="L120" s="2"/>
    </row>
    <row r="121" spans="10:12" x14ac:dyDescent="0.5">
      <c r="J121" s="2"/>
      <c r="L121" s="2"/>
    </row>
    <row r="122" spans="10:12" x14ac:dyDescent="0.5">
      <c r="J122" s="2"/>
      <c r="L122" s="2"/>
    </row>
    <row r="123" spans="10:12" x14ac:dyDescent="0.5">
      <c r="J123" s="2"/>
      <c r="L123" s="2"/>
    </row>
    <row r="124" spans="10:12" x14ac:dyDescent="0.5">
      <c r="J124" s="2"/>
      <c r="L124" s="2"/>
    </row>
    <row r="125" spans="10:12" x14ac:dyDescent="0.5">
      <c r="J125" s="2"/>
      <c r="L125" s="2"/>
    </row>
    <row r="126" spans="10:12" x14ac:dyDescent="0.5">
      <c r="J126" s="2"/>
      <c r="L126" s="2"/>
    </row>
    <row r="127" spans="10:12" x14ac:dyDescent="0.5">
      <c r="J127" s="2"/>
      <c r="L127" s="2"/>
    </row>
    <row r="128" spans="10:12" x14ac:dyDescent="0.5">
      <c r="J128" s="2"/>
      <c r="L128" s="2"/>
    </row>
    <row r="129" spans="10:12" x14ac:dyDescent="0.5">
      <c r="J129" s="2"/>
      <c r="L129" s="2"/>
    </row>
    <row r="130" spans="10:12" x14ac:dyDescent="0.5">
      <c r="J130" s="2"/>
      <c r="L130" s="2"/>
    </row>
    <row r="131" spans="10:12" x14ac:dyDescent="0.5">
      <c r="J131" s="2"/>
      <c r="L131" s="2"/>
    </row>
    <row r="132" spans="10:12" x14ac:dyDescent="0.5">
      <c r="J132" s="2"/>
      <c r="L132" s="2"/>
    </row>
    <row r="133" spans="10:12" x14ac:dyDescent="0.5">
      <c r="J133" s="2"/>
      <c r="L133" s="2"/>
    </row>
    <row r="134" spans="10:12" x14ac:dyDescent="0.5">
      <c r="J134" s="2"/>
      <c r="L134" s="2"/>
    </row>
    <row r="135" spans="10:12" x14ac:dyDescent="0.5">
      <c r="J135" s="2"/>
      <c r="L135" s="2"/>
    </row>
    <row r="136" spans="10:12" x14ac:dyDescent="0.5">
      <c r="J136" s="2"/>
      <c r="L136" s="2"/>
    </row>
    <row r="137" spans="10:12" x14ac:dyDescent="0.5">
      <c r="J137" s="2"/>
      <c r="L137" s="2"/>
    </row>
    <row r="138" spans="10:12" x14ac:dyDescent="0.5">
      <c r="J138" s="2"/>
      <c r="L138" s="2"/>
    </row>
    <row r="139" spans="10:12" x14ac:dyDescent="0.5">
      <c r="J139" s="2"/>
      <c r="L139" s="2"/>
    </row>
    <row r="140" spans="10:12" x14ac:dyDescent="0.5">
      <c r="J140" s="2"/>
      <c r="L140" s="2"/>
    </row>
    <row r="141" spans="10:12" x14ac:dyDescent="0.5">
      <c r="J141" s="2"/>
      <c r="L141" s="2"/>
    </row>
    <row r="142" spans="10:12" x14ac:dyDescent="0.5">
      <c r="J142" s="2"/>
      <c r="L142" s="2"/>
    </row>
    <row r="143" spans="10:12" x14ac:dyDescent="0.5">
      <c r="J143" s="2"/>
      <c r="L143" s="2"/>
    </row>
    <row r="144" spans="10:12" x14ac:dyDescent="0.5">
      <c r="J144" s="2"/>
      <c r="L144" s="2"/>
    </row>
    <row r="145" spans="10:12" x14ac:dyDescent="0.5">
      <c r="J145" s="2"/>
      <c r="L145" s="2"/>
    </row>
    <row r="146" spans="10:12" x14ac:dyDescent="0.5">
      <c r="J146" s="2"/>
      <c r="L146" s="2"/>
    </row>
    <row r="147" spans="10:12" x14ac:dyDescent="0.5">
      <c r="J147" s="2"/>
      <c r="L147" s="2"/>
    </row>
    <row r="148" spans="10:12" x14ac:dyDescent="0.5">
      <c r="J148" s="2"/>
      <c r="L148" s="2"/>
    </row>
    <row r="149" spans="10:12" x14ac:dyDescent="0.5">
      <c r="J149" s="2"/>
      <c r="L149" s="2"/>
    </row>
    <row r="150" spans="10:12" x14ac:dyDescent="0.5">
      <c r="J150" s="2"/>
      <c r="L150" s="2"/>
    </row>
    <row r="151" spans="10:12" x14ac:dyDescent="0.5">
      <c r="J151" s="2"/>
      <c r="L151" s="2"/>
    </row>
    <row r="152" spans="10:12" x14ac:dyDescent="0.5">
      <c r="J152" s="2"/>
      <c r="L152" s="2"/>
    </row>
  </sheetData>
  <autoFilter ref="A1:S77" xr:uid="{A8659A1D-7742-48A0-A8EC-0F2280F9B025}">
    <filterColumn colId="12">
      <filters blank="1">
        <filter val="100.00"/>
        <filter val="110.00"/>
        <filter val="120.00"/>
        <filter val="150.00"/>
        <filter val="180.00"/>
        <filter val="200.00"/>
        <filter val="250.00"/>
        <filter val="300.00"/>
        <filter val="315.00"/>
        <filter val="35.00"/>
        <filter val="40.00"/>
        <filter val="400.00"/>
        <filter val="50.00"/>
        <filter val="55.00"/>
        <filter val="65.00"/>
        <filter val="70.00"/>
        <filter val="75.00"/>
        <filter val="800.00"/>
        <filter val="85.00"/>
        <filter val="เป็นเงิน"/>
      </filters>
    </filterColumn>
  </autoFilter>
  <mergeCells count="1">
    <mergeCell ref="A2:O2"/>
  </mergeCells>
  <pageMargins left="0.25" right="0.25" top="0.75" bottom="0.26" header="0.3" footer="0.3"/>
  <pageSetup paperSize="9" scale="3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11" t="s">
        <v>241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O2" s="212" t="s">
        <v>0</v>
      </c>
      <c r="P2" s="212"/>
      <c r="Q2" s="212"/>
      <c r="R2" s="212"/>
      <c r="S2" s="212"/>
      <c r="T2" s="212"/>
      <c r="U2" s="212"/>
      <c r="V2" s="212"/>
      <c r="W2" s="212"/>
      <c r="X2" s="212"/>
      <c r="Y2" s="212"/>
    </row>
    <row r="3" spans="1:26" s="5" customFormat="1" ht="26.25" x14ac:dyDescent="0.55000000000000004">
      <c r="A3" s="213" t="s">
        <v>1</v>
      </c>
      <c r="B3" s="213" t="s">
        <v>2</v>
      </c>
      <c r="C3" s="214" t="s">
        <v>3</v>
      </c>
      <c r="D3" s="214" t="s">
        <v>4</v>
      </c>
      <c r="E3" s="214" t="s">
        <v>5</v>
      </c>
      <c r="F3" s="4" t="s">
        <v>6</v>
      </c>
      <c r="G3" s="216" t="s">
        <v>7</v>
      </c>
      <c r="H3" s="218" t="s">
        <v>8</v>
      </c>
      <c r="I3" s="219"/>
      <c r="J3" s="220"/>
      <c r="K3" s="221" t="s">
        <v>9</v>
      </c>
      <c r="L3" s="223" t="s">
        <v>10</v>
      </c>
      <c r="O3" s="213" t="s">
        <v>1</v>
      </c>
      <c r="P3" s="213" t="s">
        <v>2</v>
      </c>
      <c r="Q3" s="214" t="s">
        <v>3</v>
      </c>
      <c r="R3" s="214" t="s">
        <v>4</v>
      </c>
      <c r="S3" s="214" t="s">
        <v>5</v>
      </c>
      <c r="T3" s="4" t="s">
        <v>6</v>
      </c>
      <c r="U3" s="216" t="s">
        <v>7</v>
      </c>
      <c r="V3" s="218" t="s">
        <v>8</v>
      </c>
      <c r="W3" s="219"/>
      <c r="X3" s="220"/>
      <c r="Y3" s="221" t="s">
        <v>9</v>
      </c>
      <c r="Z3" s="223" t="s">
        <v>10</v>
      </c>
    </row>
    <row r="4" spans="1:26" s="5" customFormat="1" ht="27" thickBot="1" x14ac:dyDescent="0.6">
      <c r="A4" s="213"/>
      <c r="B4" s="213"/>
      <c r="C4" s="215"/>
      <c r="D4" s="215"/>
      <c r="E4" s="215"/>
      <c r="F4" s="6" t="s">
        <v>11</v>
      </c>
      <c r="G4" s="217"/>
      <c r="H4" s="7" t="s">
        <v>12</v>
      </c>
      <c r="I4" s="8" t="s">
        <v>13</v>
      </c>
      <c r="J4" s="9" t="s">
        <v>14</v>
      </c>
      <c r="K4" s="222"/>
      <c r="L4" s="223"/>
      <c r="O4" s="213"/>
      <c r="P4" s="213"/>
      <c r="Q4" s="215"/>
      <c r="R4" s="215"/>
      <c r="S4" s="215"/>
      <c r="T4" s="6" t="s">
        <v>11</v>
      </c>
      <c r="U4" s="217"/>
      <c r="V4" s="7" t="s">
        <v>12</v>
      </c>
      <c r="W4" s="8" t="s">
        <v>13</v>
      </c>
      <c r="X4" s="9" t="s">
        <v>14</v>
      </c>
      <c r="Y4" s="222"/>
      <c r="Z4" s="22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0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0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0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0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0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0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0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0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0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0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0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0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0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0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0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0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0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0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0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0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0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0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0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0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0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0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0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0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0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0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0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0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0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0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0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0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0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0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0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0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0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0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0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0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0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0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0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0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0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0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0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0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0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24" t="s">
        <v>119</v>
      </c>
      <c r="Q107" s="225"/>
      <c r="R107" s="225"/>
      <c r="S107" s="225"/>
      <c r="T107" s="225"/>
      <c r="U107" s="225"/>
      <c r="V107" s="225"/>
      <c r="W107" s="22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0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0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0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0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0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0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0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0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0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0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0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0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0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0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0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0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0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0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0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0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0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0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0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0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0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0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0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0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0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0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0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0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0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0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0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0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0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0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0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0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0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0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0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0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0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0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0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0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0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0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0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0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0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0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0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0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0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0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0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0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0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0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0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0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0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0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0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0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0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0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0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0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0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0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0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0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0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0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0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0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0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0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237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0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239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0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240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0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242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0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243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0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244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0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0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0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0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0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0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0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0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0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0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29" t="s">
        <v>213</v>
      </c>
      <c r="N205" s="22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230" t="s">
        <v>212</v>
      </c>
      <c r="I206" s="231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32" t="s">
        <v>202</v>
      </c>
      <c r="J207" s="23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27" t="s">
        <v>203</v>
      </c>
      <c r="J208" s="22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27" t="s">
        <v>205</v>
      </c>
      <c r="J210" s="228"/>
      <c r="K210" s="36">
        <v>0</v>
      </c>
    </row>
    <row r="211" spans="1:11" ht="25.5" x14ac:dyDescent="0.55000000000000004">
      <c r="A211" s="1"/>
      <c r="C211" s="31"/>
      <c r="E211" s="31"/>
      <c r="G211" s="31"/>
      <c r="I211" s="227" t="s">
        <v>206</v>
      </c>
      <c r="J211" s="228"/>
      <c r="K211" s="36">
        <v>0</v>
      </c>
    </row>
    <row r="212" spans="1:11" ht="25.5" x14ac:dyDescent="0.55000000000000004">
      <c r="A212" s="1"/>
      <c r="C212" s="31"/>
      <c r="E212" s="31"/>
      <c r="G212" s="31"/>
      <c r="I212" s="227" t="s">
        <v>207</v>
      </c>
      <c r="J212" s="22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27" t="s">
        <v>208</v>
      </c>
      <c r="J213" s="22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27" t="s">
        <v>209</v>
      </c>
      <c r="J214" s="228"/>
      <c r="K214" s="37">
        <v>0</v>
      </c>
    </row>
    <row r="215" spans="1:11" ht="25.5" x14ac:dyDescent="0.55000000000000004">
      <c r="A215" s="1"/>
      <c r="C215" s="31"/>
      <c r="E215" s="31"/>
      <c r="G215" s="31"/>
      <c r="I215" s="227" t="s">
        <v>210</v>
      </c>
      <c r="J215" s="228"/>
      <c r="K215" s="33">
        <f>+K214-K213</f>
        <v>0</v>
      </c>
    </row>
    <row r="216" spans="1:11" ht="25.5" x14ac:dyDescent="0.55000000000000004">
      <c r="G216" s="2"/>
      <c r="I216" s="227" t="s">
        <v>211</v>
      </c>
      <c r="J216" s="22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20</vt:i4>
      </vt:variant>
      <vt:variant>
        <vt:lpstr>ช่วงที่มีชื่อ</vt:lpstr>
      </vt:variant>
      <vt:variant>
        <vt:i4>2</vt:i4>
      </vt:variant>
    </vt:vector>
  </HeadingPairs>
  <TitlesOfParts>
    <vt:vector size="22" baseType="lpstr">
      <vt:lpstr>DATA POS</vt:lpstr>
      <vt:lpstr>ต้นทุนพี่ตุ๊ก</vt:lpstr>
      <vt:lpstr>สรุป</vt:lpstr>
      <vt:lpstr>สรุปการขาย</vt:lpstr>
      <vt:lpstr>ค่าเช่าบูธ</vt:lpstr>
      <vt:lpstr>ค่าแรงพนักงาน</vt:lpstr>
      <vt:lpstr>ยกมา</vt:lpstr>
      <vt:lpstr>29</vt:lpstr>
      <vt:lpstr>30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2025-12-14T02:52:12Z</cp:lastPrinted>
  <dcterms:created xsi:type="dcterms:W3CDTF">2023-12-01T06:41:03Z</dcterms:created>
  <dcterms:modified xsi:type="dcterms:W3CDTF">2025-12-14T03:47:13Z</dcterms:modified>
</cp:coreProperties>
</file>