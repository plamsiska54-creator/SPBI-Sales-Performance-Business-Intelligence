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Project Sales\ต้นทุนบูธ\"/>
    </mc:Choice>
  </mc:AlternateContent>
  <xr:revisionPtr revIDLastSave="0" documentId="8_{EFCDAFA1-C033-461B-8E08-4A7170A1830B}" xr6:coauthVersionLast="47" xr6:coauthVersionMax="47" xr10:uidLastSave="{00000000-0000-0000-0000-000000000000}"/>
  <bookViews>
    <workbookView xWindow="28680" yWindow="-120" windowWidth="29040" windowHeight="15720" xr2:uid="{DA34FDE4-9833-4811-AF77-C628F39F0021}"/>
  </bookViews>
  <sheets>
    <sheet name="ม.ค. 68" sheetId="1" r:id="rId1"/>
    <sheet name="ก.พ. 68" sheetId="2" r:id="rId2"/>
    <sheet name="มี.ค. 68" sheetId="3" r:id="rId3"/>
    <sheet name="เม.ย. 68" sheetId="4" r:id="rId4"/>
    <sheet name="พ.ค. 68" sheetId="5" r:id="rId5"/>
    <sheet name="มิ.ย.68" sheetId="6" r:id="rId6"/>
    <sheet name="ก.ค. 68" sheetId="7" r:id="rId7"/>
    <sheet name="ส.ค. 68" sheetId="8" r:id="rId8"/>
    <sheet name="ก.ย. 68" sheetId="9" r:id="rId9"/>
    <sheet name="ต.ค. 68" sheetId="10" r:id="rId10"/>
    <sheet name="พ.ย.68" sheetId="11" r:id="rId11"/>
    <sheet name="ธ.ค.68" sheetId="12" r:id="rId12"/>
  </sheets>
  <externalReferences>
    <externalReference r:id="rId13"/>
  </externalReferences>
  <definedNames>
    <definedName name="_xlnm._FilterDatabase" localSheetId="6" hidden="1">'ก.ค. 68'!$A$2:$AA$2</definedName>
    <definedName name="_xlnm._FilterDatabase" localSheetId="1" hidden="1">'ก.พ. 68'!$A$2:$AA$2</definedName>
    <definedName name="_xlnm._FilterDatabase" localSheetId="8" hidden="1">'ก.ย. 68'!$A$2:$AA$2</definedName>
    <definedName name="_xlnm._FilterDatabase" localSheetId="9" hidden="1">'ต.ค. 68'!$A$2:$AA$2</definedName>
    <definedName name="_xlnm._FilterDatabase" localSheetId="11" hidden="1">'ธ.ค.68'!$A$2:$AA$2</definedName>
    <definedName name="_xlnm._FilterDatabase" localSheetId="4" hidden="1">'พ.ค. 68'!$A$2:$AA$2</definedName>
    <definedName name="_xlnm._FilterDatabase" localSheetId="10" hidden="1">'พ.ย.68'!$A$2:$AA$2</definedName>
    <definedName name="_xlnm._FilterDatabase" localSheetId="0" hidden="1">'ม.ค. 68'!$A$2:$AA$2</definedName>
    <definedName name="_xlnm._FilterDatabase" localSheetId="5" hidden="1">'มิ.ย.68'!$A$2:$AA$2</definedName>
    <definedName name="_xlnm._FilterDatabase" localSheetId="2" hidden="1">'มี.ค. 68'!$A$2:$AA$2</definedName>
    <definedName name="_xlnm._FilterDatabase" localSheetId="3" hidden="1">'เม.ย. 68'!$A$2:$AA$2</definedName>
    <definedName name="_xlnm._FilterDatabase" localSheetId="7" hidden="1">'ส.ค. 68'!$A$2:$AA$2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12" l="1"/>
  <c r="W13" i="12"/>
  <c r="V13" i="12"/>
  <c r="U13" i="12"/>
  <c r="T13" i="12"/>
  <c r="S13" i="12"/>
  <c r="R13" i="12"/>
  <c r="Q13" i="12"/>
  <c r="P13" i="12"/>
  <c r="O13" i="12"/>
  <c r="N13" i="12"/>
  <c r="M13" i="12"/>
  <c r="K13" i="12"/>
  <c r="J13" i="12"/>
  <c r="I13" i="12"/>
  <c r="G13" i="12"/>
  <c r="E13" i="12"/>
  <c r="D13" i="12"/>
  <c r="G12" i="12"/>
  <c r="F12" i="12"/>
  <c r="H12" i="12" s="1"/>
  <c r="Z12" i="12" s="1"/>
  <c r="G11" i="12"/>
  <c r="H11" i="12" s="1"/>
  <c r="Z11" i="12" s="1"/>
  <c r="F11" i="12"/>
  <c r="G10" i="12"/>
  <c r="F10" i="12"/>
  <c r="H10" i="12" s="1"/>
  <c r="Z10" i="12" s="1"/>
  <c r="G9" i="12"/>
  <c r="H9" i="12" s="1"/>
  <c r="Z9" i="12" s="1"/>
  <c r="F9" i="12"/>
  <c r="G8" i="12"/>
  <c r="F8" i="12"/>
  <c r="H8" i="12" s="1"/>
  <c r="Z8" i="12" s="1"/>
  <c r="G7" i="12"/>
  <c r="H7" i="12" s="1"/>
  <c r="Z7" i="12" s="1"/>
  <c r="F7" i="12"/>
  <c r="X6" i="12"/>
  <c r="L6" i="12"/>
  <c r="H6" i="12"/>
  <c r="Z6" i="12" s="1"/>
  <c r="X5" i="12"/>
  <c r="L5" i="12"/>
  <c r="H5" i="12"/>
  <c r="Z5" i="12" s="1"/>
  <c r="X4" i="12"/>
  <c r="L4" i="12"/>
  <c r="G4" i="12"/>
  <c r="F4" i="12"/>
  <c r="F13" i="12" s="1"/>
  <c r="G3" i="12"/>
  <c r="F3" i="12"/>
  <c r="H3" i="12" s="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K13" i="11"/>
  <c r="J13" i="11"/>
  <c r="I13" i="11"/>
  <c r="E13" i="11"/>
  <c r="D13" i="11"/>
  <c r="G12" i="11"/>
  <c r="F12" i="11"/>
  <c r="H12" i="11" s="1"/>
  <c r="Z12" i="11" s="1"/>
  <c r="G11" i="11"/>
  <c r="F11" i="11"/>
  <c r="H11" i="11" s="1"/>
  <c r="Z11" i="11" s="1"/>
  <c r="G10" i="11"/>
  <c r="F10" i="11"/>
  <c r="H10" i="11" s="1"/>
  <c r="Z10" i="11" s="1"/>
  <c r="G9" i="11"/>
  <c r="F9" i="11"/>
  <c r="H9" i="11" s="1"/>
  <c r="Z9" i="11" s="1"/>
  <c r="G8" i="11"/>
  <c r="G13" i="11" s="1"/>
  <c r="F8" i="11"/>
  <c r="G7" i="11"/>
  <c r="F7" i="11"/>
  <c r="H7" i="11" s="1"/>
  <c r="Z7" i="11" s="1"/>
  <c r="X6" i="11"/>
  <c r="L6" i="11"/>
  <c r="H6" i="11"/>
  <c r="Z6" i="11" s="1"/>
  <c r="X5" i="11"/>
  <c r="L5" i="11"/>
  <c r="H5" i="11"/>
  <c r="Z5" i="11" s="1"/>
  <c r="X4" i="11"/>
  <c r="L4" i="11"/>
  <c r="L13" i="11" s="1"/>
  <c r="H4" i="11"/>
  <c r="Z4" i="11" s="1"/>
  <c r="G4" i="11"/>
  <c r="F4" i="11"/>
  <c r="G3" i="11"/>
  <c r="F3" i="11"/>
  <c r="H3" i="11" s="1"/>
  <c r="Z3" i="11" s="1"/>
  <c r="Y13" i="10"/>
  <c r="W13" i="10"/>
  <c r="V13" i="10"/>
  <c r="U13" i="10"/>
  <c r="T13" i="10"/>
  <c r="S13" i="10"/>
  <c r="R13" i="10"/>
  <c r="Q13" i="10"/>
  <c r="P13" i="10"/>
  <c r="O13" i="10"/>
  <c r="N13" i="10"/>
  <c r="K13" i="10"/>
  <c r="J13" i="10"/>
  <c r="E13" i="10"/>
  <c r="D13" i="10"/>
  <c r="X12" i="10"/>
  <c r="L12" i="10"/>
  <c r="I12" i="10"/>
  <c r="G12" i="10"/>
  <c r="F12" i="10"/>
  <c r="H12" i="10" s="1"/>
  <c r="Z12" i="10" s="1"/>
  <c r="X11" i="10"/>
  <c r="L11" i="10"/>
  <c r="I11" i="10"/>
  <c r="G11" i="10"/>
  <c r="F11" i="10"/>
  <c r="H11" i="10" s="1"/>
  <c r="Z11" i="10" s="1"/>
  <c r="X10" i="10"/>
  <c r="L10" i="10"/>
  <c r="I10" i="10"/>
  <c r="G10" i="10"/>
  <c r="F10" i="10"/>
  <c r="H10" i="10" s="1"/>
  <c r="Z10" i="10" s="1"/>
  <c r="X9" i="10"/>
  <c r="L9" i="10"/>
  <c r="I9" i="10"/>
  <c r="G9" i="10"/>
  <c r="F9" i="10"/>
  <c r="H9" i="10" s="1"/>
  <c r="Z9" i="10" s="1"/>
  <c r="X8" i="10"/>
  <c r="M8" i="10"/>
  <c r="M13" i="10" s="1"/>
  <c r="L8" i="10"/>
  <c r="I8" i="10"/>
  <c r="G8" i="10"/>
  <c r="F8" i="10"/>
  <c r="H8" i="10" s="1"/>
  <c r="Z8" i="10" s="1"/>
  <c r="X7" i="10"/>
  <c r="L7" i="10"/>
  <c r="I7" i="10"/>
  <c r="G7" i="10"/>
  <c r="F7" i="10"/>
  <c r="H7" i="10" s="1"/>
  <c r="Z7" i="10" s="1"/>
  <c r="X6" i="10"/>
  <c r="L6" i="10"/>
  <c r="I6" i="10"/>
  <c r="G6" i="10"/>
  <c r="H6" i="10" s="1"/>
  <c r="Z6" i="10" s="1"/>
  <c r="F6" i="10"/>
  <c r="X5" i="10"/>
  <c r="L5" i="10"/>
  <c r="I5" i="10"/>
  <c r="G5" i="10"/>
  <c r="F5" i="10"/>
  <c r="H5" i="10" s="1"/>
  <c r="Z5" i="10" s="1"/>
  <c r="X4" i="10"/>
  <c r="X13" i="10" s="1"/>
  <c r="L4" i="10"/>
  <c r="I4" i="10"/>
  <c r="G4" i="10"/>
  <c r="F4" i="10"/>
  <c r="H4" i="10" s="1"/>
  <c r="X3" i="10"/>
  <c r="M3" i="10"/>
  <c r="L3" i="10"/>
  <c r="I3" i="10"/>
  <c r="G3" i="10"/>
  <c r="G13" i="10" s="1"/>
  <c r="F3" i="10"/>
  <c r="H3" i="10" s="1"/>
  <c r="Z3" i="10" s="1"/>
  <c r="Y13" i="9"/>
  <c r="X13" i="9"/>
  <c r="W13" i="9"/>
  <c r="V13" i="9"/>
  <c r="U13" i="9"/>
  <c r="T13" i="9"/>
  <c r="S13" i="9"/>
  <c r="R13" i="9"/>
  <c r="Q13" i="9"/>
  <c r="P13" i="9"/>
  <c r="O13" i="9"/>
  <c r="N13" i="9"/>
  <c r="K13" i="9"/>
  <c r="J13" i="9"/>
  <c r="I13" i="9"/>
  <c r="E13" i="9"/>
  <c r="D13" i="9"/>
  <c r="X12" i="9"/>
  <c r="L12" i="9"/>
  <c r="I12" i="9"/>
  <c r="G12" i="9"/>
  <c r="F12" i="9"/>
  <c r="H12" i="9" s="1"/>
  <c r="Z12" i="9" s="1"/>
  <c r="X11" i="9"/>
  <c r="L11" i="9"/>
  <c r="I11" i="9"/>
  <c r="F11" i="9"/>
  <c r="H11" i="9" s="1"/>
  <c r="Z11" i="9" s="1"/>
  <c r="Z10" i="9"/>
  <c r="X10" i="9"/>
  <c r="L10" i="9"/>
  <c r="I10" i="9"/>
  <c r="G10" i="9"/>
  <c r="F10" i="9"/>
  <c r="H10" i="9" s="1"/>
  <c r="X9" i="9"/>
  <c r="L9" i="9"/>
  <c r="I9" i="9"/>
  <c r="G9" i="9"/>
  <c r="F9" i="9"/>
  <c r="H9" i="9" s="1"/>
  <c r="Z9" i="9" s="1"/>
  <c r="X8" i="9"/>
  <c r="M8" i="9"/>
  <c r="M13" i="9" s="1"/>
  <c r="L8" i="9"/>
  <c r="L13" i="9" s="1"/>
  <c r="I8" i="9"/>
  <c r="Z8" i="9" s="1"/>
  <c r="G8" i="9"/>
  <c r="F8" i="9"/>
  <c r="H8" i="9" s="1"/>
  <c r="X7" i="9"/>
  <c r="L7" i="9"/>
  <c r="I7" i="9"/>
  <c r="G7" i="9"/>
  <c r="F7" i="9"/>
  <c r="H7" i="9" s="1"/>
  <c r="Z7" i="9" s="1"/>
  <c r="X6" i="9"/>
  <c r="L6" i="9"/>
  <c r="I6" i="9"/>
  <c r="G6" i="9"/>
  <c r="H6" i="9" s="1"/>
  <c r="Z6" i="9" s="1"/>
  <c r="F6" i="9"/>
  <c r="X5" i="9"/>
  <c r="L5" i="9"/>
  <c r="I5" i="9"/>
  <c r="G5" i="9"/>
  <c r="G13" i="9" s="1"/>
  <c r="F5" i="9"/>
  <c r="H5" i="9" s="1"/>
  <c r="Z5" i="9" s="1"/>
  <c r="X4" i="9"/>
  <c r="L4" i="9"/>
  <c r="I4" i="9"/>
  <c r="F4" i="9"/>
  <c r="H4" i="9" s="1"/>
  <c r="Z4" i="9" s="1"/>
  <c r="X3" i="9"/>
  <c r="Z3" i="9" s="1"/>
  <c r="M3" i="9"/>
  <c r="L3" i="9"/>
  <c r="I3" i="9"/>
  <c r="G3" i="9"/>
  <c r="F3" i="9"/>
  <c r="H3" i="9" s="1"/>
  <c r="Y14" i="8"/>
  <c r="W14" i="8"/>
  <c r="V14" i="8"/>
  <c r="U14" i="8"/>
  <c r="T14" i="8"/>
  <c r="S14" i="8"/>
  <c r="R14" i="8"/>
  <c r="Q14" i="8"/>
  <c r="P14" i="8"/>
  <c r="O14" i="8"/>
  <c r="N14" i="8"/>
  <c r="K14" i="8"/>
  <c r="J14" i="8"/>
  <c r="E14" i="8"/>
  <c r="D14" i="8"/>
  <c r="Z13" i="8"/>
  <c r="X13" i="8"/>
  <c r="L13" i="8"/>
  <c r="I13" i="8"/>
  <c r="G13" i="8"/>
  <c r="F13" i="8"/>
  <c r="H13" i="8" s="1"/>
  <c r="X12" i="8"/>
  <c r="L12" i="8"/>
  <c r="I12" i="8"/>
  <c r="G12" i="8"/>
  <c r="F12" i="8"/>
  <c r="H12" i="8" s="1"/>
  <c r="Z12" i="8" s="1"/>
  <c r="X11" i="8"/>
  <c r="L11" i="8"/>
  <c r="I11" i="8"/>
  <c r="G11" i="8"/>
  <c r="F11" i="8"/>
  <c r="H11" i="8" s="1"/>
  <c r="Z11" i="8" s="1"/>
  <c r="X10" i="8"/>
  <c r="L10" i="8"/>
  <c r="I10" i="8"/>
  <c r="G10" i="8"/>
  <c r="F10" i="8"/>
  <c r="H10" i="8" s="1"/>
  <c r="X9" i="8"/>
  <c r="M9" i="8"/>
  <c r="L9" i="8"/>
  <c r="I9" i="8"/>
  <c r="G9" i="8"/>
  <c r="F9" i="8"/>
  <c r="H9" i="8" s="1"/>
  <c r="Z9" i="8" s="1"/>
  <c r="X8" i="8"/>
  <c r="L8" i="8"/>
  <c r="I8" i="8"/>
  <c r="G8" i="8"/>
  <c r="H8" i="8" s="1"/>
  <c r="Z8" i="8" s="1"/>
  <c r="F8" i="8"/>
  <c r="X7" i="8"/>
  <c r="L7" i="8"/>
  <c r="I7" i="8"/>
  <c r="G7" i="8"/>
  <c r="H7" i="8" s="1"/>
  <c r="Z7" i="8" s="1"/>
  <c r="F7" i="8"/>
  <c r="X6" i="8"/>
  <c r="L6" i="8"/>
  <c r="I6" i="8"/>
  <c r="G6" i="8"/>
  <c r="F6" i="8"/>
  <c r="H6" i="8" s="1"/>
  <c r="Z6" i="8" s="1"/>
  <c r="X5" i="8"/>
  <c r="L5" i="8"/>
  <c r="I5" i="8"/>
  <c r="G5" i="8"/>
  <c r="F5" i="8"/>
  <c r="H5" i="8" s="1"/>
  <c r="Z5" i="8" s="1"/>
  <c r="X4" i="8"/>
  <c r="L4" i="8"/>
  <c r="I4" i="8"/>
  <c r="G4" i="8"/>
  <c r="F4" i="8"/>
  <c r="H4" i="8" s="1"/>
  <c r="Z4" i="8" s="1"/>
  <c r="X3" i="8"/>
  <c r="M3" i="8"/>
  <c r="M14" i="8" s="1"/>
  <c r="L3" i="8"/>
  <c r="I3" i="8"/>
  <c r="I14" i="8" s="1"/>
  <c r="G3" i="8"/>
  <c r="F3" i="8"/>
  <c r="H3" i="8" s="1"/>
  <c r="Y14" i="7"/>
  <c r="W14" i="7"/>
  <c r="V14" i="7"/>
  <c r="U14" i="7"/>
  <c r="T14" i="7"/>
  <c r="S14" i="7"/>
  <c r="R14" i="7"/>
  <c r="Q14" i="7"/>
  <c r="P14" i="7"/>
  <c r="O14" i="7"/>
  <c r="N14" i="7"/>
  <c r="K14" i="7"/>
  <c r="J14" i="7"/>
  <c r="E14" i="7"/>
  <c r="D14" i="7"/>
  <c r="X13" i="7"/>
  <c r="L13" i="7"/>
  <c r="I13" i="7"/>
  <c r="G13" i="7"/>
  <c r="F13" i="7"/>
  <c r="H13" i="7" s="1"/>
  <c r="Z13" i="7" s="1"/>
  <c r="X12" i="7"/>
  <c r="Z12" i="7" s="1"/>
  <c r="L12" i="7"/>
  <c r="I12" i="7"/>
  <c r="G12" i="7"/>
  <c r="F12" i="7"/>
  <c r="H12" i="7" s="1"/>
  <c r="X11" i="7"/>
  <c r="L11" i="7"/>
  <c r="I11" i="7"/>
  <c r="G11" i="7"/>
  <c r="F11" i="7"/>
  <c r="H11" i="7" s="1"/>
  <c r="Z11" i="7" s="1"/>
  <c r="X10" i="7"/>
  <c r="L10" i="7"/>
  <c r="I10" i="7"/>
  <c r="G10" i="7"/>
  <c r="F10" i="7"/>
  <c r="H10" i="7" s="1"/>
  <c r="Z10" i="7" s="1"/>
  <c r="X9" i="7"/>
  <c r="M9" i="7"/>
  <c r="M14" i="7" s="1"/>
  <c r="L9" i="7"/>
  <c r="I9" i="7"/>
  <c r="G9" i="7"/>
  <c r="F9" i="7"/>
  <c r="H9" i="7" s="1"/>
  <c r="Z9" i="7" s="1"/>
  <c r="X8" i="7"/>
  <c r="L8" i="7"/>
  <c r="I8" i="7"/>
  <c r="H8" i="7"/>
  <c r="Z8" i="7" s="1"/>
  <c r="G8" i="7"/>
  <c r="F8" i="7"/>
  <c r="X7" i="7"/>
  <c r="L7" i="7"/>
  <c r="I7" i="7"/>
  <c r="G7" i="7"/>
  <c r="F7" i="7"/>
  <c r="H7" i="7" s="1"/>
  <c r="Z7" i="7" s="1"/>
  <c r="X6" i="7"/>
  <c r="L6" i="7"/>
  <c r="I6" i="7"/>
  <c r="G6" i="7"/>
  <c r="F6" i="7"/>
  <c r="H6" i="7" s="1"/>
  <c r="Z6" i="7" s="1"/>
  <c r="X5" i="7"/>
  <c r="L5" i="7"/>
  <c r="I5" i="7"/>
  <c r="G5" i="7"/>
  <c r="F5" i="7"/>
  <c r="H5" i="7" s="1"/>
  <c r="Z5" i="7" s="1"/>
  <c r="X4" i="7"/>
  <c r="L4" i="7"/>
  <c r="L14" i="7" s="1"/>
  <c r="I4" i="7"/>
  <c r="G4" i="7"/>
  <c r="F4" i="7"/>
  <c r="H4" i="7" s="1"/>
  <c r="Z4" i="7" s="1"/>
  <c r="X3" i="7"/>
  <c r="M3" i="7"/>
  <c r="L3" i="7"/>
  <c r="I3" i="7"/>
  <c r="G3" i="7"/>
  <c r="F3" i="7"/>
  <c r="Y15" i="6"/>
  <c r="W15" i="6"/>
  <c r="V15" i="6"/>
  <c r="U15" i="6"/>
  <c r="T15" i="6"/>
  <c r="S15" i="6"/>
  <c r="R15" i="6"/>
  <c r="Q15" i="6"/>
  <c r="P15" i="6"/>
  <c r="O15" i="6"/>
  <c r="N15" i="6"/>
  <c r="M15" i="6"/>
  <c r="K15" i="6"/>
  <c r="J15" i="6"/>
  <c r="E15" i="6"/>
  <c r="D15" i="6"/>
  <c r="X14" i="6"/>
  <c r="L14" i="6"/>
  <c r="I14" i="6"/>
  <c r="G14" i="6"/>
  <c r="F14" i="6"/>
  <c r="H14" i="6" s="1"/>
  <c r="Z14" i="6" s="1"/>
  <c r="X13" i="6"/>
  <c r="L13" i="6"/>
  <c r="I13" i="6"/>
  <c r="G13" i="6"/>
  <c r="F13" i="6"/>
  <c r="H13" i="6" s="1"/>
  <c r="Z13" i="6" s="1"/>
  <c r="X12" i="6"/>
  <c r="L12" i="6"/>
  <c r="I12" i="6"/>
  <c r="G12" i="6"/>
  <c r="F12" i="6"/>
  <c r="H12" i="6" s="1"/>
  <c r="Z12" i="6" s="1"/>
  <c r="X11" i="6"/>
  <c r="L11" i="6"/>
  <c r="I11" i="6"/>
  <c r="G11" i="6"/>
  <c r="F11" i="6"/>
  <c r="H11" i="6" s="1"/>
  <c r="Z11" i="6" s="1"/>
  <c r="X10" i="6"/>
  <c r="L10" i="6"/>
  <c r="I10" i="6"/>
  <c r="H10" i="6"/>
  <c r="Z10" i="6" s="1"/>
  <c r="G10" i="6"/>
  <c r="F10" i="6"/>
  <c r="X9" i="6"/>
  <c r="M9" i="6"/>
  <c r="L9" i="6"/>
  <c r="I9" i="6"/>
  <c r="G9" i="6"/>
  <c r="F9" i="6"/>
  <c r="H9" i="6" s="1"/>
  <c r="Z9" i="6" s="1"/>
  <c r="X8" i="6"/>
  <c r="L8" i="6"/>
  <c r="I8" i="6"/>
  <c r="G8" i="6"/>
  <c r="H8" i="6" s="1"/>
  <c r="Z8" i="6" s="1"/>
  <c r="F8" i="6"/>
  <c r="X7" i="6"/>
  <c r="L7" i="6"/>
  <c r="I7" i="6"/>
  <c r="G7" i="6"/>
  <c r="F7" i="6"/>
  <c r="H7" i="6" s="1"/>
  <c r="Z7" i="6" s="1"/>
  <c r="X6" i="6"/>
  <c r="L6" i="6"/>
  <c r="L15" i="6" s="1"/>
  <c r="I6" i="6"/>
  <c r="H6" i="6"/>
  <c r="Z6" i="6" s="1"/>
  <c r="G6" i="6"/>
  <c r="F6" i="6"/>
  <c r="X5" i="6"/>
  <c r="L5" i="6"/>
  <c r="I5" i="6"/>
  <c r="G5" i="6"/>
  <c r="F5" i="6"/>
  <c r="H5" i="6" s="1"/>
  <c r="Z5" i="6" s="1"/>
  <c r="X4" i="6"/>
  <c r="X15" i="6" s="1"/>
  <c r="L4" i="6"/>
  <c r="I4" i="6"/>
  <c r="I15" i="6" s="1"/>
  <c r="G4" i="6"/>
  <c r="G15" i="6" s="1"/>
  <c r="F4" i="6"/>
  <c r="Z3" i="6"/>
  <c r="X3" i="6"/>
  <c r="M3" i="6"/>
  <c r="L3" i="6"/>
  <c r="I3" i="6"/>
  <c r="G3" i="6"/>
  <c r="F3" i="6"/>
  <c r="H3" i="6" s="1"/>
  <c r="Y15" i="5"/>
  <c r="W15" i="5"/>
  <c r="V15" i="5"/>
  <c r="U15" i="5"/>
  <c r="T15" i="5"/>
  <c r="S15" i="5"/>
  <c r="R15" i="5"/>
  <c r="Q15" i="5"/>
  <c r="P15" i="5"/>
  <c r="O15" i="5"/>
  <c r="N15" i="5"/>
  <c r="K15" i="5"/>
  <c r="J15" i="5"/>
  <c r="F15" i="5"/>
  <c r="E15" i="5"/>
  <c r="D15" i="5"/>
  <c r="Z14" i="5"/>
  <c r="X14" i="5"/>
  <c r="L14" i="5"/>
  <c r="I14" i="5"/>
  <c r="G14" i="5"/>
  <c r="F14" i="5"/>
  <c r="H14" i="5" s="1"/>
  <c r="X13" i="5"/>
  <c r="L13" i="5"/>
  <c r="I13" i="5"/>
  <c r="G13" i="5"/>
  <c r="F13" i="5"/>
  <c r="H13" i="5" s="1"/>
  <c r="Z13" i="5" s="1"/>
  <c r="X12" i="5"/>
  <c r="L12" i="5"/>
  <c r="I12" i="5"/>
  <c r="Z12" i="5" s="1"/>
  <c r="G12" i="5"/>
  <c r="F12" i="5"/>
  <c r="H12" i="5" s="1"/>
  <c r="X11" i="5"/>
  <c r="L11" i="5"/>
  <c r="I11" i="5"/>
  <c r="G11" i="5"/>
  <c r="F11" i="5"/>
  <c r="H11" i="5" s="1"/>
  <c r="Z11" i="5" s="1"/>
  <c r="X10" i="5"/>
  <c r="L10" i="5"/>
  <c r="I10" i="5"/>
  <c r="G10" i="5"/>
  <c r="H10" i="5" s="1"/>
  <c r="Z10" i="5" s="1"/>
  <c r="F10" i="5"/>
  <c r="X9" i="5"/>
  <c r="M9" i="5"/>
  <c r="L9" i="5"/>
  <c r="I9" i="5"/>
  <c r="G9" i="5"/>
  <c r="F9" i="5"/>
  <c r="H9" i="5" s="1"/>
  <c r="Z9" i="5" s="1"/>
  <c r="X8" i="5"/>
  <c r="L8" i="5"/>
  <c r="I8" i="5"/>
  <c r="I15" i="5" s="1"/>
  <c r="G8" i="5"/>
  <c r="F8" i="5"/>
  <c r="H8" i="5" s="1"/>
  <c r="Z8" i="5" s="1"/>
  <c r="X7" i="5"/>
  <c r="L7" i="5"/>
  <c r="I7" i="5"/>
  <c r="G7" i="5"/>
  <c r="G15" i="5" s="1"/>
  <c r="F7" i="5"/>
  <c r="X6" i="5"/>
  <c r="L6" i="5"/>
  <c r="I6" i="5"/>
  <c r="G6" i="5"/>
  <c r="F6" i="5"/>
  <c r="H6" i="5" s="1"/>
  <c r="Z6" i="5" s="1"/>
  <c r="X5" i="5"/>
  <c r="L5" i="5"/>
  <c r="I5" i="5"/>
  <c r="G5" i="5"/>
  <c r="F5" i="5"/>
  <c r="H5" i="5" s="1"/>
  <c r="Z5" i="5" s="1"/>
  <c r="X4" i="5"/>
  <c r="X15" i="5" s="1"/>
  <c r="L4" i="5"/>
  <c r="I4" i="5"/>
  <c r="G4" i="5"/>
  <c r="F4" i="5"/>
  <c r="H4" i="5" s="1"/>
  <c r="X3" i="5"/>
  <c r="M3" i="5"/>
  <c r="M15" i="5" s="1"/>
  <c r="L3" i="5"/>
  <c r="L15" i="5" s="1"/>
  <c r="I3" i="5"/>
  <c r="G3" i="5"/>
  <c r="F3" i="5"/>
  <c r="H3" i="5" s="1"/>
  <c r="Z3" i="5" s="1"/>
  <c r="Y15" i="4"/>
  <c r="W15" i="4"/>
  <c r="V15" i="4"/>
  <c r="U15" i="4"/>
  <c r="T15" i="4"/>
  <c r="S15" i="4"/>
  <c r="R15" i="4"/>
  <c r="Q15" i="4"/>
  <c r="P15" i="4"/>
  <c r="O15" i="4"/>
  <c r="N15" i="4"/>
  <c r="K15" i="4"/>
  <c r="J15" i="4"/>
  <c r="G15" i="4"/>
  <c r="F15" i="4"/>
  <c r="E15" i="4"/>
  <c r="D15" i="4"/>
  <c r="X14" i="4"/>
  <c r="L14" i="4"/>
  <c r="I14" i="4"/>
  <c r="G14" i="4"/>
  <c r="F14" i="4"/>
  <c r="H14" i="4" s="1"/>
  <c r="Z14" i="4" s="1"/>
  <c r="X13" i="4"/>
  <c r="L13" i="4"/>
  <c r="I13" i="4"/>
  <c r="G13" i="4"/>
  <c r="F13" i="4"/>
  <c r="H13" i="4" s="1"/>
  <c r="Z13" i="4" s="1"/>
  <c r="X12" i="4"/>
  <c r="Z12" i="4" s="1"/>
  <c r="L12" i="4"/>
  <c r="I12" i="4"/>
  <c r="H12" i="4"/>
  <c r="G12" i="4"/>
  <c r="F12" i="4"/>
  <c r="X11" i="4"/>
  <c r="L11" i="4"/>
  <c r="I11" i="4"/>
  <c r="G11" i="4"/>
  <c r="F11" i="4"/>
  <c r="H11" i="4" s="1"/>
  <c r="Z11" i="4" s="1"/>
  <c r="X10" i="4"/>
  <c r="L10" i="4"/>
  <c r="I10" i="4"/>
  <c r="H10" i="4"/>
  <c r="Z10" i="4" s="1"/>
  <c r="G10" i="4"/>
  <c r="F10" i="4"/>
  <c r="X9" i="4"/>
  <c r="M9" i="4"/>
  <c r="L9" i="4"/>
  <c r="I9" i="4"/>
  <c r="G9" i="4"/>
  <c r="F9" i="4"/>
  <c r="H9" i="4" s="1"/>
  <c r="Z9" i="4" s="1"/>
  <c r="X8" i="4"/>
  <c r="L8" i="4"/>
  <c r="I8" i="4"/>
  <c r="G8" i="4"/>
  <c r="F8" i="4"/>
  <c r="H8" i="4" s="1"/>
  <c r="Z8" i="4" s="1"/>
  <c r="X7" i="4"/>
  <c r="L7" i="4"/>
  <c r="I7" i="4"/>
  <c r="G7" i="4"/>
  <c r="F7" i="4"/>
  <c r="H7" i="4" s="1"/>
  <c r="Z7" i="4" s="1"/>
  <c r="X6" i="4"/>
  <c r="L6" i="4"/>
  <c r="I6" i="4"/>
  <c r="G6" i="4"/>
  <c r="F6" i="4"/>
  <c r="H6" i="4" s="1"/>
  <c r="Z6" i="4" s="1"/>
  <c r="X5" i="4"/>
  <c r="X15" i="4" s="1"/>
  <c r="L5" i="4"/>
  <c r="I5" i="4"/>
  <c r="G5" i="4"/>
  <c r="F5" i="4"/>
  <c r="H5" i="4" s="1"/>
  <c r="X4" i="4"/>
  <c r="L4" i="4"/>
  <c r="I4" i="4"/>
  <c r="G4" i="4"/>
  <c r="F4" i="4"/>
  <c r="H4" i="4" s="1"/>
  <c r="Z4" i="4" s="1"/>
  <c r="X3" i="4"/>
  <c r="M3" i="4"/>
  <c r="M15" i="4" s="1"/>
  <c r="L3" i="4"/>
  <c r="I3" i="4"/>
  <c r="I15" i="4" s="1"/>
  <c r="G3" i="4"/>
  <c r="F3" i="4"/>
  <c r="H3" i="4" s="1"/>
  <c r="Z3" i="4" s="1"/>
  <c r="W16" i="3"/>
  <c r="V16" i="3"/>
  <c r="U16" i="3"/>
  <c r="T16" i="3"/>
  <c r="S16" i="3"/>
  <c r="R16" i="3"/>
  <c r="Q16" i="3"/>
  <c r="P16" i="3"/>
  <c r="O16" i="3"/>
  <c r="N16" i="3"/>
  <c r="K16" i="3"/>
  <c r="J16" i="3"/>
  <c r="E16" i="3"/>
  <c r="D16" i="3"/>
  <c r="Y15" i="3"/>
  <c r="Y16" i="3" s="1"/>
  <c r="X15" i="3"/>
  <c r="L15" i="3"/>
  <c r="I15" i="3"/>
  <c r="G15" i="3"/>
  <c r="F15" i="3"/>
  <c r="H15" i="3" s="1"/>
  <c r="Z15" i="3" s="1"/>
  <c r="X14" i="3"/>
  <c r="L14" i="3"/>
  <c r="I14" i="3"/>
  <c r="G14" i="3"/>
  <c r="F14" i="3"/>
  <c r="H14" i="3" s="1"/>
  <c r="Z14" i="3" s="1"/>
  <c r="X13" i="3"/>
  <c r="L13" i="3"/>
  <c r="I13" i="3"/>
  <c r="H13" i="3"/>
  <c r="Z13" i="3" s="1"/>
  <c r="G13" i="3"/>
  <c r="F13" i="3"/>
  <c r="X12" i="3"/>
  <c r="L12" i="3"/>
  <c r="I12" i="3"/>
  <c r="G12" i="3"/>
  <c r="F12" i="3"/>
  <c r="H12" i="3" s="1"/>
  <c r="Z12" i="3" s="1"/>
  <c r="X11" i="3"/>
  <c r="L11" i="3"/>
  <c r="I11" i="3"/>
  <c r="G11" i="3"/>
  <c r="F11" i="3"/>
  <c r="H11" i="3" s="1"/>
  <c r="Z11" i="3" s="1"/>
  <c r="X10" i="3"/>
  <c r="L10" i="3"/>
  <c r="I10" i="3"/>
  <c r="G10" i="3"/>
  <c r="F10" i="3"/>
  <c r="H10" i="3" s="1"/>
  <c r="Z10" i="3" s="1"/>
  <c r="Z9" i="3"/>
  <c r="X9" i="3"/>
  <c r="M9" i="3"/>
  <c r="L9" i="3"/>
  <c r="I9" i="3"/>
  <c r="G9" i="3"/>
  <c r="F9" i="3"/>
  <c r="H9" i="3" s="1"/>
  <c r="X8" i="3"/>
  <c r="L8" i="3"/>
  <c r="I8" i="3"/>
  <c r="G8" i="3"/>
  <c r="F8" i="3"/>
  <c r="H8" i="3" s="1"/>
  <c r="Z8" i="3" s="1"/>
  <c r="X7" i="3"/>
  <c r="L7" i="3"/>
  <c r="I7" i="3"/>
  <c r="I16" i="3" s="1"/>
  <c r="H7" i="3"/>
  <c r="Z7" i="3" s="1"/>
  <c r="G7" i="3"/>
  <c r="F7" i="3"/>
  <c r="X6" i="3"/>
  <c r="L6" i="3"/>
  <c r="I6" i="3"/>
  <c r="G6" i="3"/>
  <c r="F6" i="3"/>
  <c r="H6" i="3" s="1"/>
  <c r="Z6" i="3" s="1"/>
  <c r="X5" i="3"/>
  <c r="X16" i="3" s="1"/>
  <c r="L5" i="3"/>
  <c r="I5" i="3"/>
  <c r="G5" i="3"/>
  <c r="F5" i="3"/>
  <c r="H5" i="3" s="1"/>
  <c r="Z5" i="3" s="1"/>
  <c r="Z4" i="3"/>
  <c r="X4" i="3"/>
  <c r="L4" i="3"/>
  <c r="I4" i="3"/>
  <c r="H4" i="3"/>
  <c r="G4" i="3"/>
  <c r="F4" i="3"/>
  <c r="X3" i="3"/>
  <c r="M3" i="3"/>
  <c r="L3" i="3"/>
  <c r="I3" i="3"/>
  <c r="G3" i="3"/>
  <c r="F3" i="3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E15" i="2"/>
  <c r="D15" i="2"/>
  <c r="G14" i="2"/>
  <c r="F14" i="2"/>
  <c r="H14" i="2" s="1"/>
  <c r="Z14" i="2" s="1"/>
  <c r="G13" i="2"/>
  <c r="F13" i="2"/>
  <c r="H13" i="2" s="1"/>
  <c r="Z13" i="2" s="1"/>
  <c r="I12" i="2"/>
  <c r="G12" i="2"/>
  <c r="H12" i="2" s="1"/>
  <c r="Z12" i="2" s="1"/>
  <c r="F12" i="2"/>
  <c r="I11" i="2"/>
  <c r="G11" i="2"/>
  <c r="F11" i="2"/>
  <c r="H11" i="2" s="1"/>
  <c r="Z11" i="2" s="1"/>
  <c r="I10" i="2"/>
  <c r="G10" i="2"/>
  <c r="F10" i="2"/>
  <c r="H10" i="2" s="1"/>
  <c r="Z10" i="2" s="1"/>
  <c r="M9" i="2"/>
  <c r="I9" i="2"/>
  <c r="G9" i="2"/>
  <c r="F9" i="2"/>
  <c r="H9" i="2" s="1"/>
  <c r="Z9" i="2" s="1"/>
  <c r="I8" i="2"/>
  <c r="G8" i="2"/>
  <c r="F8" i="2"/>
  <c r="H8" i="2" s="1"/>
  <c r="Z8" i="2" s="1"/>
  <c r="G7" i="2"/>
  <c r="F7" i="2"/>
  <c r="H7" i="2" s="1"/>
  <c r="Z7" i="2" s="1"/>
  <c r="I6" i="2"/>
  <c r="G6" i="2"/>
  <c r="F6" i="2"/>
  <c r="H6" i="2" s="1"/>
  <c r="Z6" i="2" s="1"/>
  <c r="I5" i="2"/>
  <c r="G5" i="2"/>
  <c r="F5" i="2"/>
  <c r="H5" i="2" s="1"/>
  <c r="Z5" i="2" s="1"/>
  <c r="I4" i="2"/>
  <c r="G4" i="2"/>
  <c r="F4" i="2"/>
  <c r="H4" i="2" s="1"/>
  <c r="Z4" i="2" s="1"/>
  <c r="M3" i="2"/>
  <c r="I3" i="2"/>
  <c r="I15" i="2" s="1"/>
  <c r="G3" i="2"/>
  <c r="G15" i="2" s="1"/>
  <c r="F3" i="2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E15" i="1"/>
  <c r="D15" i="1"/>
  <c r="H14" i="1"/>
  <c r="Z14" i="1" s="1"/>
  <c r="G14" i="1"/>
  <c r="F14" i="1"/>
  <c r="G13" i="1"/>
  <c r="F13" i="1"/>
  <c r="H13" i="1" s="1"/>
  <c r="Z13" i="1" s="1"/>
  <c r="I12" i="1"/>
  <c r="G12" i="1"/>
  <c r="F12" i="1"/>
  <c r="H12" i="1" s="1"/>
  <c r="Z12" i="1" s="1"/>
  <c r="I11" i="1"/>
  <c r="G11" i="1"/>
  <c r="F11" i="1"/>
  <c r="H11" i="1" s="1"/>
  <c r="Z11" i="1" s="1"/>
  <c r="Z10" i="1"/>
  <c r="I10" i="1"/>
  <c r="G10" i="1"/>
  <c r="F10" i="1"/>
  <c r="H10" i="1" s="1"/>
  <c r="M9" i="1"/>
  <c r="I9" i="1"/>
  <c r="G9" i="1"/>
  <c r="F9" i="1"/>
  <c r="H9" i="1" s="1"/>
  <c r="Z9" i="1" s="1"/>
  <c r="I8" i="1"/>
  <c r="G8" i="1"/>
  <c r="F8" i="1"/>
  <c r="H8" i="1" s="1"/>
  <c r="Z8" i="1" s="1"/>
  <c r="H7" i="1"/>
  <c r="Z7" i="1" s="1"/>
  <c r="G7" i="1"/>
  <c r="F7" i="1"/>
  <c r="I6" i="1"/>
  <c r="H6" i="1"/>
  <c r="Z6" i="1" s="1"/>
  <c r="G6" i="1"/>
  <c r="F6" i="1"/>
  <c r="I5" i="1"/>
  <c r="G5" i="1"/>
  <c r="F5" i="1"/>
  <c r="H5" i="1" s="1"/>
  <c r="Z5" i="1" s="1"/>
  <c r="I4" i="1"/>
  <c r="G4" i="1"/>
  <c r="F4" i="1"/>
  <c r="M3" i="1"/>
  <c r="I3" i="1"/>
  <c r="H3" i="1"/>
  <c r="G3" i="1"/>
  <c r="F3" i="1"/>
  <c r="Z5" i="4" l="1"/>
  <c r="Z15" i="4" s="1"/>
  <c r="D16" i="4" s="1"/>
  <c r="D17" i="4" s="1"/>
  <c r="Z4" i="5"/>
  <c r="H14" i="8"/>
  <c r="Z3" i="8"/>
  <c r="Z13" i="9"/>
  <c r="D14" i="9" s="1"/>
  <c r="D15" i="9" s="1"/>
  <c r="H13" i="9"/>
  <c r="F15" i="1"/>
  <c r="G15" i="1"/>
  <c r="Z15" i="5"/>
  <c r="D16" i="5" s="1"/>
  <c r="D17" i="5" s="1"/>
  <c r="G14" i="8"/>
  <c r="G16" i="3"/>
  <c r="Z10" i="8"/>
  <c r="I13" i="10"/>
  <c r="F16" i="3"/>
  <c r="H15" i="4"/>
  <c r="F13" i="11"/>
  <c r="H8" i="11"/>
  <c r="Z8" i="11" s="1"/>
  <c r="H4" i="1"/>
  <c r="Z4" i="1" s="1"/>
  <c r="L14" i="8"/>
  <c r="X14" i="8"/>
  <c r="Z4" i="10"/>
  <c r="Z13" i="10" s="1"/>
  <c r="D14" i="10" s="1"/>
  <c r="D15" i="10" s="1"/>
  <c r="Z13" i="11"/>
  <c r="D14" i="11" s="1"/>
  <c r="D15" i="11" s="1"/>
  <c r="F15" i="6"/>
  <c r="H4" i="6"/>
  <c r="Z4" i="6" s="1"/>
  <c r="Z15" i="6" s="1"/>
  <c r="D16" i="6" s="1"/>
  <c r="D17" i="6" s="1"/>
  <c r="L13" i="10"/>
  <c r="G14" i="7"/>
  <c r="I14" i="7"/>
  <c r="H3" i="3"/>
  <c r="F15" i="2"/>
  <c r="L16" i="3"/>
  <c r="X14" i="7"/>
  <c r="H13" i="12"/>
  <c r="M16" i="3"/>
  <c r="H3" i="7"/>
  <c r="F14" i="7"/>
  <c r="L15" i="4"/>
  <c r="F14" i="8"/>
  <c r="F13" i="10"/>
  <c r="H3" i="2"/>
  <c r="Z3" i="12"/>
  <c r="Z13" i="12" s="1"/>
  <c r="D14" i="12" s="1"/>
  <c r="D15" i="12" s="1"/>
  <c r="H13" i="10"/>
  <c r="H15" i="1"/>
  <c r="H4" i="12"/>
  <c r="Z4" i="12" s="1"/>
  <c r="I15" i="1"/>
  <c r="L13" i="12"/>
  <c r="F13" i="9"/>
  <c r="X13" i="12"/>
  <c r="Z3" i="1"/>
  <c r="Z15" i="1" s="1"/>
  <c r="D16" i="1" s="1"/>
  <c r="D17" i="1" s="1"/>
  <c r="H7" i="5"/>
  <c r="Z7" i="5" s="1"/>
  <c r="H15" i="2" l="1"/>
  <c r="Z3" i="2"/>
  <c r="Z15" i="2" s="1"/>
  <c r="D16" i="2" s="1"/>
  <c r="D17" i="2" s="1"/>
  <c r="H15" i="6"/>
  <c r="Z3" i="3"/>
  <c r="Z16" i="3" s="1"/>
  <c r="D17" i="3" s="1"/>
  <c r="D18" i="3" s="1"/>
  <c r="H16" i="3"/>
  <c r="H14" i="7"/>
  <c r="Z3" i="7"/>
  <c r="Z14" i="7" s="1"/>
  <c r="D15" i="7" s="1"/>
  <c r="D16" i="7" s="1"/>
  <c r="Z14" i="8"/>
  <c r="D15" i="8" s="1"/>
  <c r="D16" i="8" s="1"/>
  <c r="H15" i="5"/>
  <c r="H1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L15" authorId="0" shapeId="0" xr:uid="{75B7FA63-FBF3-4A81-83A6-619850FCCE02}">
      <text>
        <r>
          <rPr>
            <b/>
            <sz val="9"/>
            <color indexed="81"/>
            <rFont val="Tahoma"/>
            <family val="2"/>
          </rPr>
          <t xml:space="preserve">ค่าแรงฟิวส์ ต่อวัน / 2 คูณด้วยจำนวน 7 วัน
</t>
        </r>
      </text>
    </comment>
    <comment ref="Y15" authorId="0" shapeId="0" xr:uid="{63E8330A-A77B-417D-9FD8-F63AC686145E}">
      <text>
        <r>
          <rPr>
            <b/>
            <sz val="9"/>
            <color indexed="81"/>
            <rFont val="Tahoma"/>
            <family val="2"/>
          </rPr>
          <t xml:space="preserve">ค่าเบี้ยเลี้ยง 200
ค่าที่พัก 550
รวม 750 บาท 
ของกานคิด 750/วัน
ของฟิวส์คิด 375/วัน เพราะแบ่งไปการตลาดครึ่งนึง กับ บู๊ซ ครึ่งนึง
</t>
        </r>
      </text>
    </comment>
    <comment ref="X16" authorId="0" shapeId="0" xr:uid="{049400F8-5009-417C-83C1-7B0F1EC2AB61}">
      <text>
        <r>
          <rPr>
            <b/>
            <sz val="9"/>
            <color indexed="81"/>
            <rFont val="Tahoma"/>
            <family val="2"/>
          </rPr>
          <t xml:space="preserve">ค่าน้ำมันกานต์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X15" authorId="0" shapeId="0" xr:uid="{9EE2E020-A972-439F-8D1F-79020C06748F}">
      <text>
        <r>
          <rPr>
            <b/>
            <sz val="9"/>
            <color indexed="81"/>
            <rFont val="Tahoma"/>
            <family val="2"/>
          </rPr>
          <t xml:space="preserve">ค่าน้ำมันกานต์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X15" authorId="0" shapeId="0" xr:uid="{614D3DE8-8FEC-474C-AEF1-8C60F920E197}">
      <text>
        <r>
          <rPr>
            <b/>
            <sz val="9"/>
            <color indexed="81"/>
            <rFont val="Tahoma"/>
            <family val="2"/>
          </rPr>
          <t xml:space="preserve">ค่าน้ำมันกานต์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X15" authorId="0" shapeId="0" xr:uid="{F1201F82-2A91-494E-A6CE-17ED256B32FF}">
      <text>
        <r>
          <rPr>
            <b/>
            <sz val="9"/>
            <color indexed="81"/>
            <rFont val="Tahoma"/>
            <family val="2"/>
          </rPr>
          <t xml:space="preserve">ค่าน้ำมันกานต์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X14" authorId="0" shapeId="0" xr:uid="{CCA63D3D-25AA-4BCE-95D3-6271C39C6235}">
      <text>
        <r>
          <rPr>
            <b/>
            <sz val="9"/>
            <color indexed="81"/>
            <rFont val="Tahoma"/>
            <family val="2"/>
          </rPr>
          <t xml:space="preserve">ค่าน้ำมันกานต์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X14" authorId="0" shapeId="0" xr:uid="{5E79E52D-7443-4814-8D17-D13DCBD2ADC5}">
      <text>
        <r>
          <rPr>
            <b/>
            <sz val="9"/>
            <color indexed="81"/>
            <rFont val="Tahoma"/>
            <family val="2"/>
          </rPr>
          <t xml:space="preserve">ค่าน้ำมันกานต์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X13" authorId="0" shapeId="0" xr:uid="{1710804D-888F-4A3C-8F73-189FC3D42DBD}">
      <text>
        <r>
          <rPr>
            <b/>
            <sz val="9"/>
            <color indexed="81"/>
            <rFont val="Tahoma"/>
            <family val="2"/>
          </rPr>
          <t xml:space="preserve">ค่าน้ำมันกานต์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X13" authorId="0" shapeId="0" xr:uid="{BD369705-62CD-4D17-B5EA-FEC11DB88198}">
      <text>
        <r>
          <rPr>
            <b/>
            <sz val="9"/>
            <color indexed="81"/>
            <rFont val="Tahoma"/>
            <family val="2"/>
          </rPr>
          <t xml:space="preserve">ค่าน้ำมันกานต์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X13" authorId="0" shapeId="0" xr:uid="{DB275B52-F2D0-44F3-B917-19C64A2D1D53}">
      <text>
        <r>
          <rPr>
            <b/>
            <sz val="9"/>
            <color indexed="81"/>
            <rFont val="Tahoma"/>
            <family val="2"/>
          </rPr>
          <t xml:space="preserve">ค่าน้ำมันกานต์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X13" authorId="0" shapeId="0" xr:uid="{1E5203FF-8245-449A-9D4D-57460995752B}">
      <text>
        <r>
          <rPr>
            <b/>
            <sz val="9"/>
            <color indexed="81"/>
            <rFont val="Tahoma"/>
            <family val="2"/>
          </rPr>
          <t xml:space="preserve">ค่าน้ำมันกานต์
</t>
        </r>
      </text>
    </comment>
  </commentList>
</comments>
</file>

<file path=xl/sharedStrings.xml><?xml version="1.0" encoding="utf-8"?>
<sst xmlns="http://schemas.openxmlformats.org/spreadsheetml/2006/main" count="507" uniqueCount="53">
  <si>
    <t>ข้อมูลเทียบกำไร - ขาดทุน ของบู๊ซ เดือน มกราคม 2568</t>
  </si>
  <si>
    <t>ลำดับ</t>
  </si>
  <si>
    <t>รหัส</t>
  </si>
  <si>
    <t>บูธ</t>
  </si>
  <si>
    <t>ยอดขาย</t>
  </si>
  <si>
    <t>ส่วนลด</t>
  </si>
  <si>
    <t>คงเหลือยอดขาย</t>
  </si>
  <si>
    <t>ค่าต้นทุนขนม</t>
  </si>
  <si>
    <t>คงเหลือกำไรหลังจากหักต้นทุน</t>
  </si>
  <si>
    <t>ค่าแรงพนักงานบู๊ช</t>
  </si>
  <si>
    <t>ค่าคอมพนักงานบู๊ซ</t>
  </si>
  <si>
    <t>ค่าคอม (พิเศษ)พนักงานบู๊ซ</t>
  </si>
  <si>
    <t>ค่าพนักงานรายเดือนที่เกี่ยวข้อง</t>
  </si>
  <si>
    <t>ค่าเช่า</t>
  </si>
  <si>
    <t>ค่าภาษีโรงเรือน</t>
  </si>
  <si>
    <t>ค่าน้ำ</t>
  </si>
  <si>
    <t>ค่าไฟ</t>
  </si>
  <si>
    <t>ค่าธรรมเนียมโอนเงิน</t>
  </si>
  <si>
    <t>ค่าเน็ต</t>
  </si>
  <si>
    <t>ค่าโทรศัพท์</t>
  </si>
  <si>
    <t>ค่าส่วนกลาง</t>
  </si>
  <si>
    <t>ค่าน้ำแข็ง</t>
  </si>
  <si>
    <t>ค่าขนมนอก</t>
  </si>
  <si>
    <t>ค่าป้าย</t>
  </si>
  <si>
    <t>ค่าขนส่ง</t>
  </si>
  <si>
    <t>ค่าใช้จ่ายอื่น ๆ</t>
  </si>
  <si>
    <t>คงเหลือกำไรหลังจากหักต้นทุน และ ค่าใช้จ่าย</t>
  </si>
  <si>
    <t>ลำพยา 3 (ใหม่)</t>
  </si>
  <si>
    <t>ร้านใหม่ (ปตท.คุณาวรรณ)</t>
  </si>
  <si>
    <t>หน้ามอ (ม.เกษตร)</t>
  </si>
  <si>
    <t>ลำพยา 3 (เก่า)</t>
  </si>
  <si>
    <t>ไทวัสดุ</t>
  </si>
  <si>
    <t xml:space="preserve">แก้วมณีกาญ </t>
  </si>
  <si>
    <t>ลำพยา 2 (ใหม่)</t>
  </si>
  <si>
    <t>ธรรมศาลา</t>
  </si>
  <si>
    <t>ตลาดดิโอโซน</t>
  </si>
  <si>
    <t>ปตท.ราชบุรี</t>
  </si>
  <si>
    <t>ปิ่นเกล้า -ศาลายา</t>
  </si>
  <si>
    <t>ชัยพฤกษ์ - นนทบุรี</t>
  </si>
  <si>
    <t>รวม</t>
  </si>
  <si>
    <t>บาท</t>
  </si>
  <si>
    <t>กำไร</t>
  </si>
  <si>
    <t>คิดเป็น %</t>
  </si>
  <si>
    <t>ค่าขนส่งพนักงานรายเดือน</t>
  </si>
  <si>
    <t>Event เซ็นทรัลโคราช</t>
  </si>
  <si>
    <t>ข้อมูลเทียบกำไร - ขาดทุน ของบู๊ซ เดือน  เมษายน  2568</t>
  </si>
  <si>
    <t>ข้อมูลเทียบกำไร - ขาดทุน ของบู๊ซ เดือน พฤษาคม 2568</t>
  </si>
  <si>
    <t>ข้อมูลเทียบกำไร - ขาดทุน ของบู๊ซ เดือน มิถุนายน 2568</t>
  </si>
  <si>
    <t>ข้อมูลเทียบกำไร - ขาดทุน ของบู๊ซ เดือน กรกฏาคม 2568</t>
  </si>
  <si>
    <t xml:space="preserve">ข้อมูลเทียบกำไร - ขาดทุน ของบู๊ซ เดือน สิงหาคม  2568 </t>
  </si>
  <si>
    <t>ค่าน้ำประปา</t>
  </si>
  <si>
    <t xml:space="preserve">ข้อมูลเทียบกำไร - ขาดทุน ของบู๊ซ เดือน กันยายน  2568  </t>
  </si>
  <si>
    <t>คุณาวรรณ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</si>
</sst>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20"/>
      <color theme="1"/>
      <name val="Angsana New"/>
      <family val="1"/>
    </font>
    <font>
      <sz val="11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24"/>
      <color rgb="FFFF0000"/>
      <name val="Angsana New"/>
      <family val="1"/>
    </font>
    <font>
      <b/>
      <sz val="9"/>
      <color indexed="81"/>
      <name val="Tahoma"/>
      <family val="2"/>
    </font>
    <font>
      <sz val="18"/>
      <color theme="1"/>
      <name val="Angsana New"/>
      <family val="1"/>
    </font>
    <font>
      <b/>
      <sz val="18"/>
      <color rgb="FFFF0000"/>
      <name val="Angsana New"/>
      <family val="1"/>
    </font>
    <font>
      <sz val="17"/>
      <color theme="1"/>
      <name val="AngsanaUPC"/>
      <family val="1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3" fontId="6" fillId="0" borderId="0" xfId="1" applyFont="1" applyFill="1" applyBorder="1"/>
    <xf numFmtId="43" fontId="6" fillId="3" borderId="0" xfId="1" applyFont="1" applyFill="1" applyBorder="1"/>
    <xf numFmtId="43" fontId="5" fillId="0" borderId="0" xfId="1" applyFont="1" applyFill="1" applyBorder="1"/>
    <xf numFmtId="0" fontId="4" fillId="3" borderId="0" xfId="0" applyFont="1" applyFill="1" applyAlignment="1">
      <alignment horizontal="right"/>
    </xf>
    <xf numFmtId="43" fontId="4" fillId="3" borderId="1" xfId="0" applyNumberFormat="1" applyFont="1" applyFill="1" applyBorder="1"/>
    <xf numFmtId="43" fontId="4" fillId="0" borderId="1" xfId="0" applyNumberFormat="1" applyFont="1" applyBorder="1"/>
    <xf numFmtId="0" fontId="4" fillId="0" borderId="0" xfId="0" applyFont="1" applyAlignment="1">
      <alignment horizontal="left"/>
    </xf>
    <xf numFmtId="9" fontId="3" fillId="0" borderId="0" xfId="2" applyFont="1"/>
    <xf numFmtId="43" fontId="4" fillId="3" borderId="0" xfId="1" applyFont="1" applyFill="1" applyBorder="1"/>
    <xf numFmtId="0" fontId="7" fillId="0" borderId="0" xfId="0" applyFont="1" applyAlignment="1">
      <alignment horizontal="center"/>
    </xf>
    <xf numFmtId="9" fontId="4" fillId="3" borderId="0" xfId="2" applyFont="1" applyFill="1" applyBorder="1"/>
    <xf numFmtId="43" fontId="6" fillId="4" borderId="0" xfId="1" applyFont="1" applyFill="1" applyBorder="1"/>
    <xf numFmtId="43" fontId="6" fillId="5" borderId="0" xfId="1" applyFont="1" applyFill="1" applyBorder="1"/>
    <xf numFmtId="43" fontId="6" fillId="6" borderId="0" xfId="1" applyFont="1" applyFill="1" applyBorder="1"/>
    <xf numFmtId="43" fontId="6" fillId="7" borderId="0" xfId="1" applyFont="1" applyFill="1" applyBorder="1"/>
    <xf numFmtId="43" fontId="9" fillId="0" borderId="0" xfId="1" applyFont="1" applyFill="1" applyBorder="1"/>
    <xf numFmtId="43" fontId="10" fillId="0" borderId="1" xfId="0" applyNumberFormat="1" applyFont="1" applyBorder="1"/>
    <xf numFmtId="43" fontId="11" fillId="0" borderId="0" xfId="1" applyFont="1" applyFill="1" applyBorder="1" applyAlignment="1">
      <alignment horizontal="center"/>
    </xf>
  </cellXfs>
  <cellStyles count="3">
    <cellStyle name="จุลภาค" xfId="1" builtinId="3"/>
    <cellStyle name="ปกติ" xfId="0" builtinId="0"/>
    <cellStyle name="เปอร์เซ็นต์" xfId="2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3591;&#3634;&#3609;&#3605;&#3657;&#3609;&#3611;&#3634;&#3621;&#3660;&#3617;/3.&#3591;&#3634;&#3609;&#3610;&#3641;&#3608;/&#3605;&#3657;&#3609;&#3607;&#3640;&#3609;&#3610;&#3641;&#3608;/&#3611;&#3637;%2068/&#3586;&#3657;&#3629;&#3617;&#3641;&#3621;&#3605;&#3657;&#3609;&#3607;&#3640;&#3609;&#3610;&#3641;&#3658;&#3595;&#3649;&#3610;&#3610;&#3621;&#3632;&#3648;&#3629;&#3637;&#3618;&#3604;%20(&#3651;&#3627;&#3617;&#3656;)%2031-12-68.xlsx" TargetMode="External"/><Relationship Id="rId2" Type="http://schemas.openxmlformats.org/officeDocument/2006/relationships/externalLinkPath" Target="file:///C:\Users\Wanwa\OneDrive\Desktop\&#3591;&#3634;&#3609;&#3605;&#3657;&#3609;&#3611;&#3634;&#3621;&#3660;&#3617;\3.&#3591;&#3634;&#3609;&#3610;&#3641;&#3608;\&#3605;&#3657;&#3609;&#3607;&#3640;&#3609;&#3610;&#3641;&#3608;\&#3611;&#3637;%2068\&#3586;&#3657;&#3629;&#3617;&#3641;&#3621;&#3605;&#3657;&#3609;&#3607;&#3640;&#3609;&#3610;&#3641;&#3658;&#3595;&#3649;&#3610;&#3610;&#3621;&#3632;&#3648;&#3629;&#3637;&#3618;&#3604;%20(&#3651;&#3627;&#3617;&#3656;)%2031-12-68.xlsx" TargetMode="External"/><Relationship Id="rId1" Type="http://schemas.openxmlformats.org/officeDocument/2006/relationships/externalLinkPath" Target="/Users/Wanwa/OneDrive/Desktop/&#3591;&#3634;&#3609;&#3605;&#3657;&#3609;&#3611;&#3634;&#3621;&#3660;&#3617;/3.&#3591;&#3634;&#3609;&#3610;&#3641;&#3608;/&#3605;&#3657;&#3609;&#3607;&#3640;&#3609;&#3610;&#3641;&#3608;/&#3611;&#3637;%2068/&#3586;&#3657;&#3629;&#3617;&#3641;&#3621;&#3605;&#3657;&#3609;&#3607;&#3640;&#3609;&#3610;&#3641;&#3658;&#3595;&#3649;&#3610;&#3610;&#3621;&#3632;&#3648;&#3629;&#3637;&#3618;&#3604;%20(&#3651;&#3627;&#3617;&#3656;)%2031-12-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te"/>
      <sheetName val="ส.ค. 67"/>
      <sheetName val="ก.ย. 67"/>
      <sheetName val="ต.ค. 67"/>
      <sheetName val="พ.ย. 67"/>
      <sheetName val="ธ.ค. 67"/>
      <sheetName val="ม.ค. 68"/>
      <sheetName val="ก.พ. 68"/>
      <sheetName val="มี.ค. 68"/>
      <sheetName val="เม.ย. 68"/>
      <sheetName val="พ.ค. 68"/>
      <sheetName val="มิ.ย.68"/>
      <sheetName val="ก.ค. 68"/>
      <sheetName val="ส.ค. 68"/>
      <sheetName val="ก.ย. 68"/>
      <sheetName val="ต.ค. 68"/>
      <sheetName val="พ.ย.68"/>
      <sheetName val="ธ.ค.68"/>
      <sheetName val="Sheet1"/>
      <sheetName val="สัญญาเช่าบู๊ซ"/>
      <sheetName val="รายชื่อพนักงานรายเดือ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8">
          <cell r="K8">
            <v>230.76923076923077</v>
          </cell>
        </row>
        <row r="9">
          <cell r="C9">
            <v>3580.5558333333333</v>
          </cell>
        </row>
        <row r="10">
          <cell r="G10">
            <v>17553.885833333334</v>
          </cell>
        </row>
      </sheetData>
    </sheetDataSet>
  </externalBook>
</externalLink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6B086-574E-4A2B-BD93-B000C089DBF7}">
  <sheetPr>
    <tabColor theme="8" tint="-0.249977111117893"/>
    <pageSetUpPr fitToPage="1"/>
  </sheetPr>
  <dimension ref="A1:AB20"/>
  <sheetViews>
    <sheetView tabSelected="1" zoomScale="80" zoomScaleNormal="80" workbookViewId="0">
      <pane xSplit="3" ySplit="2" topLeftCell="L3" activePane="bottomRight" state="frozen"/>
      <selection activeCell="Z4" sqref="Z4:Z6"/>
      <selection pane="topRight" activeCell="Z4" sqref="Z4:Z6"/>
      <selection pane="bottomLeft" activeCell="Z4" sqref="Z4:Z6"/>
      <selection pane="bottomRight" activeCell="Z4" sqref="Z4:Z6"/>
    </sheetView>
  </sheetViews>
  <sheetFormatPr defaultColWidth="9" defaultRowHeight="15.6" x14ac:dyDescent="0.4"/>
  <cols>
    <col min="1" max="1" width="5.3984375" style="2" bestFit="1" customWidth="1"/>
    <col min="2" max="2" width="9.3984375" style="2" bestFit="1" customWidth="1"/>
    <col min="3" max="3" width="22.3984375" style="2" bestFit="1" customWidth="1"/>
    <col min="4" max="4" width="13.59765625" style="2" customWidth="1"/>
    <col min="5" max="5" width="12.09765625" style="2" customWidth="1"/>
    <col min="6" max="6" width="14.09765625" style="2" customWidth="1"/>
    <col min="7" max="7" width="12.19921875" style="2" customWidth="1"/>
    <col min="8" max="8" width="13.19921875" style="2" customWidth="1"/>
    <col min="9" max="22" width="13.3984375" style="2" customWidth="1"/>
    <col min="23" max="24" width="13.3984375" style="2" hidden="1" customWidth="1"/>
    <col min="25" max="25" width="13.3984375" style="2" customWidth="1"/>
    <col min="26" max="26" width="16.69921875" style="2" customWidth="1"/>
    <col min="27" max="16384" width="9" style="2"/>
  </cols>
  <sheetData>
    <row r="1" spans="1:28" ht="28.8" x14ac:dyDescent="0.75">
      <c r="A1" s="1" t="s">
        <v>0</v>
      </c>
    </row>
    <row r="2" spans="1:28" s="4" customFormat="1" ht="79.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</row>
    <row r="3" spans="1:28" ht="23.4" x14ac:dyDescent="0.6">
      <c r="A3" s="5">
        <v>1</v>
      </c>
      <c r="B3" s="5">
        <v>10203</v>
      </c>
      <c r="C3" s="6" t="s">
        <v>27</v>
      </c>
      <c r="D3" s="7">
        <v>128861</v>
      </c>
      <c r="E3" s="7">
        <v>7753</v>
      </c>
      <c r="F3" s="7">
        <f>+D3-E3</f>
        <v>121108</v>
      </c>
      <c r="G3" s="7">
        <f>+D3*0.5</f>
        <v>64430.5</v>
      </c>
      <c r="H3" s="7">
        <f t="shared" ref="H3:H13" si="0">+F3-G3</f>
        <v>56677.5</v>
      </c>
      <c r="I3" s="7">
        <f>17988.319-844.32-200</f>
        <v>16943.999</v>
      </c>
      <c r="J3" s="7">
        <v>844.32</v>
      </c>
      <c r="K3" s="7">
        <v>200</v>
      </c>
      <c r="L3" s="7">
        <v>5272.727272727273</v>
      </c>
      <c r="M3" s="7">
        <f>14884+14884</f>
        <v>29768</v>
      </c>
      <c r="N3" s="7">
        <v>1041.8800000000001</v>
      </c>
      <c r="O3" s="7">
        <v>0</v>
      </c>
      <c r="P3" s="7">
        <v>5623.92</v>
      </c>
      <c r="Q3" s="7">
        <v>0</v>
      </c>
      <c r="R3" s="8">
        <v>642</v>
      </c>
      <c r="S3" s="8">
        <v>206.96</v>
      </c>
      <c r="T3" s="7">
        <v>0</v>
      </c>
      <c r="U3" s="7">
        <v>0</v>
      </c>
      <c r="V3" s="7">
        <v>0</v>
      </c>
      <c r="W3" s="7"/>
      <c r="X3" s="7"/>
      <c r="Y3" s="7">
        <v>0</v>
      </c>
      <c r="Z3" s="9">
        <f>+H3-I3-J3-L3-M3-O3-P3-S3-T3-U3-V3-W3-X3-Y3-Q3-R3-K3-N3</f>
        <v>-3866.3062727272682</v>
      </c>
    </row>
    <row r="4" spans="1:28" ht="23.4" x14ac:dyDescent="0.6">
      <c r="A4" s="5">
        <v>2</v>
      </c>
      <c r="B4" s="5">
        <v>10204</v>
      </c>
      <c r="C4" s="6" t="s">
        <v>28</v>
      </c>
      <c r="D4" s="7">
        <v>220203</v>
      </c>
      <c r="E4" s="7">
        <v>51628</v>
      </c>
      <c r="F4" s="7">
        <f>+D4-E4</f>
        <v>168575</v>
      </c>
      <c r="G4" s="7">
        <f t="shared" ref="G4:G13" si="1">+D4*0.5</f>
        <v>110101.5</v>
      </c>
      <c r="H4" s="7">
        <f t="shared" si="0"/>
        <v>58473.5</v>
      </c>
      <c r="I4" s="7">
        <f>17988.319-2743-500</f>
        <v>14745.319</v>
      </c>
      <c r="J4" s="7">
        <v>2743</v>
      </c>
      <c r="K4" s="7">
        <v>500</v>
      </c>
      <c r="L4" s="7">
        <v>5272.727272727273</v>
      </c>
      <c r="M4" s="7">
        <v>5820</v>
      </c>
      <c r="N4" s="7">
        <v>1041.8800000000001</v>
      </c>
      <c r="O4" s="7">
        <v>35</v>
      </c>
      <c r="P4" s="7">
        <v>2823.16</v>
      </c>
      <c r="Q4" s="7">
        <v>465</v>
      </c>
      <c r="R4" s="7">
        <v>0</v>
      </c>
      <c r="S4" s="8">
        <v>206.96</v>
      </c>
      <c r="T4" s="7">
        <v>0</v>
      </c>
      <c r="U4" s="7">
        <v>0</v>
      </c>
      <c r="V4" s="7">
        <v>0</v>
      </c>
      <c r="W4" s="7"/>
      <c r="X4" s="7"/>
      <c r="Y4" s="7">
        <v>0</v>
      </c>
      <c r="Z4" s="9">
        <f t="shared" ref="Z4:Z13" si="2">+H4-I4-J4-L4-M4-O4-P4-S4-T4-U4-V4-W4-X4-Y4-Q4-R4-K4-N4</f>
        <v>24820.453727272725</v>
      </c>
    </row>
    <row r="5" spans="1:28" ht="24" customHeight="1" x14ac:dyDescent="0.6">
      <c r="A5" s="5">
        <v>3</v>
      </c>
      <c r="B5" s="5">
        <v>10205</v>
      </c>
      <c r="C5" s="6" t="s">
        <v>29</v>
      </c>
      <c r="D5" s="7">
        <v>133710</v>
      </c>
      <c r="E5" s="7">
        <v>19125</v>
      </c>
      <c r="F5" s="7">
        <f t="shared" ref="F5:F13" si="3">+D5-E5</f>
        <v>114585</v>
      </c>
      <c r="G5" s="7">
        <f t="shared" si="1"/>
        <v>66855</v>
      </c>
      <c r="H5" s="7">
        <f t="shared" si="0"/>
        <v>47730</v>
      </c>
      <c r="I5" s="7">
        <f>17988.319-583.4-300</f>
        <v>17104.918999999998</v>
      </c>
      <c r="J5" s="7">
        <v>583.4</v>
      </c>
      <c r="K5" s="7">
        <v>300</v>
      </c>
      <c r="L5" s="7">
        <v>5272.727272727273</v>
      </c>
      <c r="M5" s="7">
        <v>0</v>
      </c>
      <c r="N5" s="7">
        <v>0</v>
      </c>
      <c r="O5" s="7">
        <v>0</v>
      </c>
      <c r="P5" s="7">
        <v>12343.79</v>
      </c>
      <c r="Q5" s="7">
        <v>0</v>
      </c>
      <c r="R5" s="8">
        <v>961.93</v>
      </c>
      <c r="S5" s="8">
        <v>206.96</v>
      </c>
      <c r="T5" s="7">
        <v>0</v>
      </c>
      <c r="U5" s="7">
        <v>94</v>
      </c>
      <c r="V5" s="7">
        <v>580</v>
      </c>
      <c r="W5" s="7"/>
      <c r="X5" s="7"/>
      <c r="Y5" s="7">
        <v>99</v>
      </c>
      <c r="Z5" s="9">
        <f t="shared" si="2"/>
        <v>10183.273727272728</v>
      </c>
    </row>
    <row r="6" spans="1:28" ht="23.4" x14ac:dyDescent="0.6">
      <c r="A6" s="5">
        <v>4</v>
      </c>
      <c r="B6" s="5">
        <v>10207</v>
      </c>
      <c r="C6" s="6" t="s">
        <v>30</v>
      </c>
      <c r="D6" s="7">
        <v>154600</v>
      </c>
      <c r="E6" s="7">
        <v>6916</v>
      </c>
      <c r="F6" s="7">
        <f t="shared" si="3"/>
        <v>147684</v>
      </c>
      <c r="G6" s="7">
        <f t="shared" si="1"/>
        <v>77300</v>
      </c>
      <c r="H6" s="7">
        <f t="shared" si="0"/>
        <v>70384</v>
      </c>
      <c r="I6" s="7">
        <f>17988.319-1907.36-400</f>
        <v>15680.958999999999</v>
      </c>
      <c r="J6" s="7">
        <v>1907.36</v>
      </c>
      <c r="K6" s="7">
        <v>400</v>
      </c>
      <c r="L6" s="7">
        <v>5272.727272727273</v>
      </c>
      <c r="M6" s="7">
        <v>11000</v>
      </c>
      <c r="N6" s="7">
        <v>0</v>
      </c>
      <c r="O6" s="7">
        <v>0</v>
      </c>
      <c r="P6" s="7">
        <v>2730</v>
      </c>
      <c r="Q6" s="7">
        <v>0</v>
      </c>
      <c r="R6" s="7">
        <v>0</v>
      </c>
      <c r="S6" s="8">
        <v>206.96</v>
      </c>
      <c r="T6" s="7">
        <v>0</v>
      </c>
      <c r="U6" s="7">
        <v>0</v>
      </c>
      <c r="V6" s="7">
        <v>0</v>
      </c>
      <c r="W6" s="7"/>
      <c r="X6" s="7"/>
      <c r="Y6" s="7">
        <v>0</v>
      </c>
      <c r="Z6" s="9">
        <f t="shared" si="2"/>
        <v>33185.993727272726</v>
      </c>
    </row>
    <row r="7" spans="1:28" ht="23.4" x14ac:dyDescent="0.6">
      <c r="A7" s="5">
        <v>5</v>
      </c>
      <c r="B7" s="5">
        <v>10208</v>
      </c>
      <c r="C7" s="6" t="s">
        <v>31</v>
      </c>
      <c r="D7" s="7">
        <v>54540</v>
      </c>
      <c r="E7" s="7">
        <v>7470</v>
      </c>
      <c r="F7" s="7">
        <f t="shared" si="3"/>
        <v>47070</v>
      </c>
      <c r="G7" s="7">
        <f t="shared" si="1"/>
        <v>27270</v>
      </c>
      <c r="H7" s="7">
        <f t="shared" si="0"/>
        <v>19800</v>
      </c>
      <c r="I7" s="7">
        <v>17988.319</v>
      </c>
      <c r="J7" s="7">
        <v>0</v>
      </c>
      <c r="K7" s="7">
        <v>0</v>
      </c>
      <c r="L7" s="7">
        <v>5272.727272727273</v>
      </c>
      <c r="M7" s="7">
        <v>6741</v>
      </c>
      <c r="N7" s="7">
        <v>441</v>
      </c>
      <c r="O7" s="7">
        <v>0</v>
      </c>
      <c r="P7" s="7">
        <v>1171.01</v>
      </c>
      <c r="Q7" s="7">
        <v>0</v>
      </c>
      <c r="R7" s="7">
        <v>0</v>
      </c>
      <c r="S7" s="8">
        <v>206.96</v>
      </c>
      <c r="T7" s="7">
        <v>259.37</v>
      </c>
      <c r="U7" s="7">
        <v>0</v>
      </c>
      <c r="V7" s="7">
        <v>0</v>
      </c>
      <c r="W7" s="7"/>
      <c r="X7" s="7"/>
      <c r="Y7" s="7">
        <v>100</v>
      </c>
      <c r="Z7" s="9">
        <f t="shared" si="2"/>
        <v>-12380.386272727272</v>
      </c>
    </row>
    <row r="8" spans="1:28" ht="23.4" x14ac:dyDescent="0.6">
      <c r="A8" s="5">
        <v>6</v>
      </c>
      <c r="B8" s="5">
        <v>10209</v>
      </c>
      <c r="C8" s="6" t="s">
        <v>32</v>
      </c>
      <c r="D8" s="7">
        <v>154050</v>
      </c>
      <c r="E8" s="7">
        <v>22555</v>
      </c>
      <c r="F8" s="7">
        <f t="shared" si="3"/>
        <v>131495</v>
      </c>
      <c r="G8" s="7">
        <f t="shared" si="1"/>
        <v>77025</v>
      </c>
      <c r="H8" s="7">
        <f t="shared" si="0"/>
        <v>54470</v>
      </c>
      <c r="I8" s="7">
        <f>17988.319-1259.8-200</f>
        <v>16528.519</v>
      </c>
      <c r="J8" s="7">
        <v>1259.8</v>
      </c>
      <c r="K8" s="7">
        <v>200</v>
      </c>
      <c r="L8" s="7">
        <v>5272.727272727273</v>
      </c>
      <c r="M8" s="7">
        <v>16000</v>
      </c>
      <c r="N8" s="7">
        <v>212.52</v>
      </c>
      <c r="O8" s="7">
        <v>0</v>
      </c>
      <c r="P8" s="7">
        <v>3036</v>
      </c>
      <c r="Q8" s="7">
        <v>0</v>
      </c>
      <c r="R8" s="8">
        <v>642</v>
      </c>
      <c r="S8" s="8">
        <v>206.96</v>
      </c>
      <c r="T8" s="7">
        <v>0</v>
      </c>
      <c r="U8" s="7">
        <v>0</v>
      </c>
      <c r="V8" s="7">
        <v>0</v>
      </c>
      <c r="W8" s="7"/>
      <c r="X8" s="7"/>
      <c r="Y8" s="7">
        <v>69</v>
      </c>
      <c r="Z8" s="9">
        <f t="shared" si="2"/>
        <v>11042.473727272725</v>
      </c>
    </row>
    <row r="9" spans="1:28" ht="23.4" x14ac:dyDescent="0.6">
      <c r="A9" s="5">
        <v>7</v>
      </c>
      <c r="B9" s="5">
        <v>10210</v>
      </c>
      <c r="C9" s="6" t="s">
        <v>33</v>
      </c>
      <c r="D9" s="7">
        <v>144070</v>
      </c>
      <c r="E9" s="7">
        <v>13198</v>
      </c>
      <c r="F9" s="7">
        <f t="shared" si="3"/>
        <v>130872</v>
      </c>
      <c r="G9" s="7">
        <f t="shared" si="1"/>
        <v>72035</v>
      </c>
      <c r="H9" s="7">
        <f t="shared" si="0"/>
        <v>58837</v>
      </c>
      <c r="I9" s="7">
        <f>17988.319-1234.88-100</f>
        <v>16653.438999999998</v>
      </c>
      <c r="J9" s="7">
        <v>1234.8800000000001</v>
      </c>
      <c r="K9" s="7">
        <v>100</v>
      </c>
      <c r="L9" s="7">
        <v>5272.727272727273</v>
      </c>
      <c r="M9" s="7">
        <f>14884+14884</f>
        <v>29768</v>
      </c>
      <c r="N9" s="7">
        <v>0</v>
      </c>
      <c r="O9" s="7">
        <v>0</v>
      </c>
      <c r="P9" s="7">
        <v>6278.76</v>
      </c>
      <c r="Q9" s="7">
        <v>465</v>
      </c>
      <c r="R9" s="8">
        <v>642</v>
      </c>
      <c r="S9" s="8">
        <v>206.96</v>
      </c>
      <c r="T9" s="7">
        <v>0</v>
      </c>
      <c r="U9" s="7">
        <v>0</v>
      </c>
      <c r="V9" s="7">
        <v>0</v>
      </c>
      <c r="W9" s="7"/>
      <c r="X9" s="7"/>
      <c r="Y9" s="7">
        <v>0</v>
      </c>
      <c r="Z9" s="9">
        <f t="shared" si="2"/>
        <v>-1784.7662727272682</v>
      </c>
    </row>
    <row r="10" spans="1:28" ht="23.4" x14ac:dyDescent="0.6">
      <c r="A10" s="5">
        <v>8</v>
      </c>
      <c r="B10" s="5">
        <v>10219</v>
      </c>
      <c r="C10" s="6" t="s">
        <v>34</v>
      </c>
      <c r="D10" s="7">
        <v>109220</v>
      </c>
      <c r="E10" s="7">
        <v>13561</v>
      </c>
      <c r="F10" s="7">
        <f t="shared" si="3"/>
        <v>95659</v>
      </c>
      <c r="G10" s="7">
        <f t="shared" si="1"/>
        <v>54610</v>
      </c>
      <c r="H10" s="7">
        <f t="shared" si="0"/>
        <v>41049</v>
      </c>
      <c r="I10" s="7">
        <f>17988.319-100</f>
        <v>17888.319</v>
      </c>
      <c r="J10" s="7">
        <v>0</v>
      </c>
      <c r="K10" s="7">
        <v>100</v>
      </c>
      <c r="L10" s="7">
        <v>5272.727272727273</v>
      </c>
      <c r="M10" s="7">
        <v>16500</v>
      </c>
      <c r="N10" s="7">
        <v>301.83</v>
      </c>
      <c r="O10" s="7">
        <v>0</v>
      </c>
      <c r="P10" s="7">
        <v>3844.5</v>
      </c>
      <c r="Q10" s="7">
        <v>450</v>
      </c>
      <c r="R10" s="7">
        <v>0</v>
      </c>
      <c r="S10" s="8">
        <v>206.96</v>
      </c>
      <c r="T10" s="7">
        <v>467.29</v>
      </c>
      <c r="U10" s="7">
        <v>0</v>
      </c>
      <c r="V10" s="7">
        <v>0</v>
      </c>
      <c r="W10" s="7"/>
      <c r="X10" s="7"/>
      <c r="Y10" s="7">
        <v>69</v>
      </c>
      <c r="Z10" s="9">
        <f t="shared" si="2"/>
        <v>-4051.6262727272715</v>
      </c>
    </row>
    <row r="11" spans="1:28" ht="23.4" x14ac:dyDescent="0.6">
      <c r="A11" s="5">
        <v>9</v>
      </c>
      <c r="B11" s="5">
        <v>10235</v>
      </c>
      <c r="C11" s="6" t="s">
        <v>35</v>
      </c>
      <c r="D11" s="7">
        <v>130539</v>
      </c>
      <c r="E11" s="7">
        <v>17342</v>
      </c>
      <c r="F11" s="7">
        <f t="shared" si="3"/>
        <v>113197</v>
      </c>
      <c r="G11" s="7">
        <f t="shared" si="1"/>
        <v>65269.5</v>
      </c>
      <c r="H11" s="7">
        <f t="shared" si="0"/>
        <v>47927.5</v>
      </c>
      <c r="I11" s="7">
        <f>17988.319-527-300</f>
        <v>17161.319</v>
      </c>
      <c r="J11" s="7">
        <v>527</v>
      </c>
      <c r="K11" s="7">
        <v>300</v>
      </c>
      <c r="L11" s="7">
        <v>5272.727272727273</v>
      </c>
      <c r="M11" s="7">
        <v>12000</v>
      </c>
      <c r="N11" s="7">
        <v>0</v>
      </c>
      <c r="O11" s="7">
        <v>0</v>
      </c>
      <c r="P11" s="7">
        <v>4609.5600000000004</v>
      </c>
      <c r="Q11" s="7">
        <v>0</v>
      </c>
      <c r="R11" s="8">
        <v>642</v>
      </c>
      <c r="S11" s="8">
        <v>212.72</v>
      </c>
      <c r="T11" s="7">
        <v>0</v>
      </c>
      <c r="U11" s="7">
        <v>0</v>
      </c>
      <c r="V11" s="7">
        <v>0</v>
      </c>
      <c r="W11" s="7"/>
      <c r="X11" s="7"/>
      <c r="Y11" s="7">
        <v>0</v>
      </c>
      <c r="Z11" s="9">
        <f t="shared" si="2"/>
        <v>7202.1737272727269</v>
      </c>
    </row>
    <row r="12" spans="1:28" ht="23.4" x14ac:dyDescent="0.6">
      <c r="A12" s="5">
        <v>10</v>
      </c>
      <c r="B12" s="5">
        <v>10264</v>
      </c>
      <c r="C12" s="6" t="s">
        <v>36</v>
      </c>
      <c r="D12" s="7">
        <v>162953</v>
      </c>
      <c r="E12" s="7">
        <v>25706</v>
      </c>
      <c r="F12" s="7">
        <f t="shared" si="3"/>
        <v>137247</v>
      </c>
      <c r="G12" s="7">
        <f t="shared" si="1"/>
        <v>81476.5</v>
      </c>
      <c r="H12" s="7">
        <f t="shared" si="0"/>
        <v>55770.5</v>
      </c>
      <c r="I12" s="7">
        <f>17988.319-1489-300</f>
        <v>16199.319</v>
      </c>
      <c r="J12" s="7">
        <v>1489</v>
      </c>
      <c r="K12" s="7">
        <v>300</v>
      </c>
      <c r="L12" s="7">
        <v>5272.727272727273</v>
      </c>
      <c r="M12" s="7">
        <v>21000</v>
      </c>
      <c r="N12" s="7">
        <v>0</v>
      </c>
      <c r="O12" s="7">
        <v>0</v>
      </c>
      <c r="P12" s="7">
        <v>4609.5600000000004</v>
      </c>
      <c r="Q12" s="7">
        <v>420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/>
      <c r="X12" s="7"/>
      <c r="Y12" s="7">
        <v>0</v>
      </c>
      <c r="Z12" s="9">
        <f t="shared" si="2"/>
        <v>6479.8937272727244</v>
      </c>
    </row>
    <row r="13" spans="1:28" ht="23.4" x14ac:dyDescent="0.6">
      <c r="A13" s="5">
        <v>11</v>
      </c>
      <c r="B13" s="5">
        <v>10377</v>
      </c>
      <c r="C13" s="6" t="s">
        <v>37</v>
      </c>
      <c r="D13" s="7">
        <v>73879</v>
      </c>
      <c r="E13" s="7">
        <v>6305</v>
      </c>
      <c r="F13" s="7">
        <f t="shared" si="3"/>
        <v>67574</v>
      </c>
      <c r="G13" s="7">
        <f t="shared" si="1"/>
        <v>36939.5</v>
      </c>
      <c r="H13" s="7">
        <f t="shared" si="0"/>
        <v>30634.5</v>
      </c>
      <c r="I13" s="7">
        <v>17988.319</v>
      </c>
      <c r="J13" s="7">
        <v>0</v>
      </c>
      <c r="K13" s="7">
        <v>0</v>
      </c>
      <c r="L13" s="7">
        <v>5272.727272727273</v>
      </c>
      <c r="M13" s="7">
        <v>22000</v>
      </c>
      <c r="N13" s="7">
        <v>708.75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/>
      <c r="X13" s="7"/>
      <c r="Y13" s="7">
        <v>0</v>
      </c>
      <c r="Z13" s="9">
        <f t="shared" si="2"/>
        <v>-15335.296272727272</v>
      </c>
    </row>
    <row r="14" spans="1:28" ht="23.4" x14ac:dyDescent="0.6">
      <c r="A14" s="5">
        <v>12</v>
      </c>
      <c r="B14" s="5">
        <v>10371</v>
      </c>
      <c r="C14" s="6" t="s">
        <v>38</v>
      </c>
      <c r="D14" s="7">
        <v>49462</v>
      </c>
      <c r="E14" s="7">
        <v>6518</v>
      </c>
      <c r="F14" s="7">
        <f>+D14-E14</f>
        <v>42944</v>
      </c>
      <c r="G14" s="7">
        <f>+D14*0.5</f>
        <v>24731</v>
      </c>
      <c r="H14" s="7">
        <f>+F14-G14</f>
        <v>18213</v>
      </c>
      <c r="I14" s="7">
        <v>17988.319</v>
      </c>
      <c r="J14" s="7">
        <v>0</v>
      </c>
      <c r="K14" s="7">
        <v>0</v>
      </c>
      <c r="L14" s="7">
        <v>5272.727272727273</v>
      </c>
      <c r="M14" s="7">
        <v>12000</v>
      </c>
      <c r="N14" s="7">
        <v>420</v>
      </c>
      <c r="O14" s="7">
        <v>0</v>
      </c>
      <c r="P14" s="7">
        <v>5213.04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/>
      <c r="X14" s="7"/>
      <c r="Y14" s="7">
        <v>75</v>
      </c>
      <c r="Z14" s="9">
        <f>+H14-I14-J14-L14-M14-O14-P14-S14-T14-U14-V14-W14-X14-Y14-Q14-R14-K14-N14</f>
        <v>-22756.086272727272</v>
      </c>
    </row>
    <row r="15" spans="1:28" ht="27" thickBot="1" x14ac:dyDescent="0.75">
      <c r="C15" s="10" t="s">
        <v>39</v>
      </c>
      <c r="D15" s="11">
        <f t="shared" ref="D15:X15" si="4">SUM(D3:D14)</f>
        <v>1516087</v>
      </c>
      <c r="E15" s="12">
        <f t="shared" si="4"/>
        <v>198077</v>
      </c>
      <c r="F15" s="12">
        <f t="shared" si="4"/>
        <v>1318010</v>
      </c>
      <c r="G15" s="12">
        <f t="shared" si="4"/>
        <v>758043.5</v>
      </c>
      <c r="H15" s="12">
        <f t="shared" si="4"/>
        <v>559966.5</v>
      </c>
      <c r="I15" s="12">
        <f>SUM(I3:I14)</f>
        <v>202871.06799999994</v>
      </c>
      <c r="J15" s="12">
        <f t="shared" si="4"/>
        <v>10588.76</v>
      </c>
      <c r="K15" s="12">
        <f t="shared" si="4"/>
        <v>2400</v>
      </c>
      <c r="L15" s="12">
        <f>SUM(L3:L14)</f>
        <v>63272.727272727272</v>
      </c>
      <c r="M15" s="12">
        <f t="shared" si="4"/>
        <v>182597</v>
      </c>
      <c r="N15" s="12">
        <f t="shared" si="4"/>
        <v>4167.8600000000006</v>
      </c>
      <c r="O15" s="12">
        <f t="shared" si="4"/>
        <v>35</v>
      </c>
      <c r="P15" s="12">
        <f t="shared" si="4"/>
        <v>52283.299999999996</v>
      </c>
      <c r="Q15" s="12">
        <f t="shared" si="4"/>
        <v>1800</v>
      </c>
      <c r="R15" s="12">
        <f t="shared" si="4"/>
        <v>3529.93</v>
      </c>
      <c r="S15" s="12">
        <f t="shared" si="4"/>
        <v>1868.4</v>
      </c>
      <c r="T15" s="12">
        <f t="shared" si="4"/>
        <v>726.66000000000008</v>
      </c>
      <c r="U15" s="12">
        <f t="shared" si="4"/>
        <v>94</v>
      </c>
      <c r="V15" s="12">
        <f t="shared" si="4"/>
        <v>580</v>
      </c>
      <c r="W15" s="12">
        <f t="shared" si="4"/>
        <v>0</v>
      </c>
      <c r="X15" s="12">
        <f t="shared" si="4"/>
        <v>0</v>
      </c>
      <c r="Y15" s="12">
        <f>SUM(Y3:Y14)</f>
        <v>412</v>
      </c>
      <c r="Z15" s="12">
        <f>SUM(Z3:Z14)</f>
        <v>32739.794727272736</v>
      </c>
      <c r="AA15" s="13" t="s">
        <v>40</v>
      </c>
      <c r="AB15" s="14"/>
    </row>
    <row r="16" spans="1:28" ht="35.4" thickTop="1" x14ac:dyDescent="0.9">
      <c r="C16" s="10" t="s">
        <v>41</v>
      </c>
      <c r="D16" s="15">
        <f>+Z15</f>
        <v>32739.794727272736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3:10" ht="34.799999999999997" x14ac:dyDescent="0.9">
      <c r="C17" s="10" t="s">
        <v>42</v>
      </c>
      <c r="D17" s="17">
        <f>+D16/D15</f>
        <v>2.1594931377468929E-2</v>
      </c>
      <c r="J17" s="16"/>
    </row>
    <row r="18" spans="3:10" ht="34.799999999999997" x14ac:dyDescent="0.9">
      <c r="J18" s="16"/>
    </row>
    <row r="19" spans="3:10" ht="34.799999999999997" x14ac:dyDescent="0.9">
      <c r="J19" s="16"/>
    </row>
    <row r="20" spans="3:10" ht="34.799999999999997" x14ac:dyDescent="0.9">
      <c r="J20" s="16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1048576">
    <cfRule type="cellIs" dxfId="11" priority="1" operator="lessThan">
      <formula>0</formula>
    </cfRule>
  </conditionalFormatting>
  <pageMargins left="0.25" right="0.25" top="0.75" bottom="0.75" header="0.3" footer="0.3"/>
  <pageSetup paperSize="9" scale="8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50BA-C928-43C6-83C9-66DD7E8588CB}">
  <sheetPr>
    <tabColor theme="8" tint="-0.249977111117893"/>
    <pageSetUpPr fitToPage="1"/>
  </sheetPr>
  <dimension ref="A1:AB20"/>
  <sheetViews>
    <sheetView zoomScale="80" zoomScaleNormal="80" workbookViewId="0">
      <pane xSplit="3" ySplit="2" topLeftCell="L3" activePane="bottomRight" state="frozen"/>
      <selection activeCell="Z4" sqref="Z4:Z6"/>
      <selection pane="topRight" activeCell="Z4" sqref="Z4:Z6"/>
      <selection pane="bottomLeft" activeCell="Z4" sqref="Z4:Z6"/>
      <selection pane="bottomRight" activeCell="Z4" sqref="Z4:Z6"/>
    </sheetView>
  </sheetViews>
  <sheetFormatPr defaultColWidth="9" defaultRowHeight="15.6" x14ac:dyDescent="0.4"/>
  <cols>
    <col min="1" max="1" width="5.3984375" style="2" bestFit="1" customWidth="1"/>
    <col min="2" max="2" width="9.3984375" style="2" bestFit="1" customWidth="1"/>
    <col min="3" max="3" width="22.3984375" style="2" bestFit="1" customWidth="1"/>
    <col min="4" max="4" width="13.59765625" style="2" customWidth="1"/>
    <col min="5" max="5" width="12.09765625" style="2" customWidth="1"/>
    <col min="6" max="6" width="14.09765625" style="2" customWidth="1"/>
    <col min="7" max="7" width="12.19921875" style="2" customWidth="1"/>
    <col min="8" max="8" width="13.19921875" style="2" customWidth="1"/>
    <col min="9" max="22" width="13.3984375" style="2" customWidth="1"/>
    <col min="23" max="24" width="13.3984375" style="2" hidden="1" customWidth="1"/>
    <col min="25" max="25" width="13.3984375" style="2" customWidth="1"/>
    <col min="26" max="26" width="16.69921875" style="2" customWidth="1"/>
    <col min="27" max="16384" width="9" style="2"/>
  </cols>
  <sheetData>
    <row r="1" spans="1:28" ht="28.8" x14ac:dyDescent="0.75">
      <c r="A1" s="1" t="s">
        <v>0</v>
      </c>
    </row>
    <row r="2" spans="1:28" s="4" customFormat="1" ht="79.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</row>
    <row r="3" spans="1:28" ht="23.4" x14ac:dyDescent="0.6">
      <c r="A3" s="5">
        <v>1</v>
      </c>
      <c r="B3" s="5">
        <v>10203</v>
      </c>
      <c r="C3" s="6" t="s">
        <v>27</v>
      </c>
      <c r="D3" s="7">
        <v>76605</v>
      </c>
      <c r="E3" s="7">
        <v>1370</v>
      </c>
      <c r="F3" s="7">
        <f>+D3-E3</f>
        <v>75235</v>
      </c>
      <c r="G3" s="7">
        <f>+D3*0.5</f>
        <v>38302.5</v>
      </c>
      <c r="H3" s="18">
        <f t="shared" ref="H3:H13" si="0">+F3-G3</f>
        <v>36932.5</v>
      </c>
      <c r="I3" s="19">
        <f>17988.319-844.32-200</f>
        <v>16943.999</v>
      </c>
      <c r="J3" s="7">
        <v>0</v>
      </c>
      <c r="K3" s="7">
        <v>0</v>
      </c>
      <c r="L3" s="7">
        <v>5272.727272727273</v>
      </c>
      <c r="M3" s="7">
        <f>14884+14884</f>
        <v>29768</v>
      </c>
      <c r="N3" s="7">
        <v>0</v>
      </c>
      <c r="O3" s="7">
        <v>0</v>
      </c>
      <c r="P3" s="7">
        <v>5534.04</v>
      </c>
      <c r="Q3" s="7">
        <v>405</v>
      </c>
      <c r="R3" s="8">
        <v>642</v>
      </c>
      <c r="S3" s="8">
        <v>206.96</v>
      </c>
      <c r="T3" s="7">
        <v>0</v>
      </c>
      <c r="U3" s="7">
        <v>0</v>
      </c>
      <c r="V3" s="7">
        <v>0</v>
      </c>
      <c r="W3" s="7"/>
      <c r="X3" s="7"/>
      <c r="Y3" s="7">
        <v>56</v>
      </c>
      <c r="Z3" s="9">
        <f>+H3-I3-J3-L3-M3-O3-P3-S3-T3-U3-V3-W3-X3-Y3-Q3-R3-K3-N3</f>
        <v>-21896.226272727272</v>
      </c>
    </row>
    <row r="4" spans="1:28" ht="23.4" x14ac:dyDescent="0.6">
      <c r="A4" s="5">
        <v>2</v>
      </c>
      <c r="B4" s="5">
        <v>10204</v>
      </c>
      <c r="C4" s="6" t="s">
        <v>28</v>
      </c>
      <c r="D4" s="7">
        <v>100514</v>
      </c>
      <c r="E4" s="7">
        <v>14479</v>
      </c>
      <c r="F4" s="7">
        <f>+D4-E4</f>
        <v>86035</v>
      </c>
      <c r="G4" s="7">
        <f t="shared" ref="G4:G13" si="1">+D4*0.5</f>
        <v>50257</v>
      </c>
      <c r="H4" s="18">
        <f t="shared" si="0"/>
        <v>35778</v>
      </c>
      <c r="I4" s="19">
        <f>17988.319-2743-500</f>
        <v>14745.319</v>
      </c>
      <c r="J4" s="7">
        <v>0</v>
      </c>
      <c r="K4" s="7">
        <v>100</v>
      </c>
      <c r="L4" s="7">
        <v>5272.727272727273</v>
      </c>
      <c r="M4" s="7">
        <v>5820</v>
      </c>
      <c r="N4" s="7">
        <v>0</v>
      </c>
      <c r="O4" s="7">
        <v>0</v>
      </c>
      <c r="P4" s="7">
        <v>3249.27</v>
      </c>
      <c r="Q4" s="7">
        <v>135</v>
      </c>
      <c r="R4" s="7">
        <v>0</v>
      </c>
      <c r="S4" s="8">
        <v>206.96</v>
      </c>
      <c r="T4" s="7">
        <v>0</v>
      </c>
      <c r="U4" s="7">
        <v>0</v>
      </c>
      <c r="V4" s="7">
        <v>0</v>
      </c>
      <c r="W4" s="7"/>
      <c r="X4" s="7"/>
      <c r="Y4" s="7">
        <v>56</v>
      </c>
      <c r="Z4" s="9">
        <f t="shared" ref="Z4:Z13" si="2">+H4-I4-J4-L4-M4-O4-P4-S4-T4-U4-V4-W4-X4-Y4-Q4-R4-K4-N4</f>
        <v>6192.723727272728</v>
      </c>
    </row>
    <row r="5" spans="1:28" ht="24" customHeight="1" x14ac:dyDescent="0.6">
      <c r="A5" s="5">
        <v>3</v>
      </c>
      <c r="B5" s="5">
        <v>10205</v>
      </c>
      <c r="C5" s="6" t="s">
        <v>29</v>
      </c>
      <c r="D5" s="7">
        <v>83633</v>
      </c>
      <c r="E5" s="7">
        <v>10423</v>
      </c>
      <c r="F5" s="7">
        <f t="shared" ref="F5:F13" si="3">+D5-E5</f>
        <v>73210</v>
      </c>
      <c r="G5" s="7">
        <f t="shared" si="1"/>
        <v>41816.5</v>
      </c>
      <c r="H5" s="18">
        <f t="shared" si="0"/>
        <v>31393.5</v>
      </c>
      <c r="I5" s="19">
        <f>17988.319-583.4-300</f>
        <v>17104.918999999998</v>
      </c>
      <c r="J5" s="7">
        <v>0</v>
      </c>
      <c r="K5" s="7">
        <v>0</v>
      </c>
      <c r="L5" s="7">
        <v>5272.727272727273</v>
      </c>
      <c r="M5" s="7">
        <v>0</v>
      </c>
      <c r="N5" s="7">
        <v>0</v>
      </c>
      <c r="O5" s="7">
        <v>0</v>
      </c>
      <c r="P5" s="7">
        <v>3249.27</v>
      </c>
      <c r="Q5" s="7">
        <v>0</v>
      </c>
      <c r="R5" s="8">
        <v>961.93</v>
      </c>
      <c r="S5" s="8">
        <v>206.96</v>
      </c>
      <c r="T5" s="7">
        <v>0</v>
      </c>
      <c r="U5" s="7">
        <v>50</v>
      </c>
      <c r="V5" s="7">
        <v>895</v>
      </c>
      <c r="W5" s="7"/>
      <c r="X5" s="7"/>
      <c r="Y5" s="7">
        <v>20</v>
      </c>
      <c r="Z5" s="9">
        <f t="shared" si="2"/>
        <v>3632.6937272727296</v>
      </c>
    </row>
    <row r="6" spans="1:28" ht="23.4" x14ac:dyDescent="0.6">
      <c r="A6" s="5">
        <v>4</v>
      </c>
      <c r="B6" s="5">
        <v>10207</v>
      </c>
      <c r="C6" s="6" t="s">
        <v>30</v>
      </c>
      <c r="D6" s="7">
        <v>92105</v>
      </c>
      <c r="E6" s="7">
        <v>2480</v>
      </c>
      <c r="F6" s="7">
        <f t="shared" si="3"/>
        <v>89625</v>
      </c>
      <c r="G6" s="7">
        <f t="shared" si="1"/>
        <v>46052.5</v>
      </c>
      <c r="H6" s="18">
        <f t="shared" si="0"/>
        <v>43572.5</v>
      </c>
      <c r="I6" s="19">
        <f>17988.319-1907.36-400</f>
        <v>15680.958999999999</v>
      </c>
      <c r="J6" s="7">
        <v>0</v>
      </c>
      <c r="K6" s="7">
        <v>0</v>
      </c>
      <c r="L6" s="7">
        <v>5272.727272727273</v>
      </c>
      <c r="M6" s="7">
        <v>11000</v>
      </c>
      <c r="N6" s="7">
        <v>0</v>
      </c>
      <c r="O6" s="7">
        <v>0</v>
      </c>
      <c r="P6" s="7">
        <v>2604</v>
      </c>
      <c r="Q6" s="7">
        <v>0</v>
      </c>
      <c r="R6" s="7">
        <v>0</v>
      </c>
      <c r="S6" s="8">
        <v>206.96</v>
      </c>
      <c r="T6" s="7">
        <v>0</v>
      </c>
      <c r="U6" s="7">
        <v>0</v>
      </c>
      <c r="V6" s="7">
        <v>0</v>
      </c>
      <c r="W6" s="7"/>
      <c r="X6" s="7"/>
      <c r="Y6" s="7">
        <v>0</v>
      </c>
      <c r="Z6" s="9">
        <f t="shared" si="2"/>
        <v>8807.8537272727299</v>
      </c>
    </row>
    <row r="7" spans="1:28" ht="23.4" x14ac:dyDescent="0.6">
      <c r="A7" s="5">
        <v>5</v>
      </c>
      <c r="B7" s="5">
        <v>10208</v>
      </c>
      <c r="C7" s="6" t="s">
        <v>31</v>
      </c>
      <c r="D7" s="7">
        <v>43015</v>
      </c>
      <c r="E7" s="7">
        <v>2360</v>
      </c>
      <c r="F7" s="7">
        <f t="shared" si="3"/>
        <v>40655</v>
      </c>
      <c r="G7" s="7">
        <f t="shared" si="1"/>
        <v>21507.5</v>
      </c>
      <c r="H7" s="18">
        <f t="shared" si="0"/>
        <v>19147.5</v>
      </c>
      <c r="I7" s="19">
        <v>17988.319</v>
      </c>
      <c r="J7" s="7">
        <v>0</v>
      </c>
      <c r="K7" s="7">
        <v>0</v>
      </c>
      <c r="L7" s="7">
        <v>5272.727272727273</v>
      </c>
      <c r="M7" s="7">
        <v>6741</v>
      </c>
      <c r="N7" s="7">
        <v>441</v>
      </c>
      <c r="O7" s="7">
        <v>0</v>
      </c>
      <c r="P7" s="7">
        <v>1073</v>
      </c>
      <c r="Q7" s="7">
        <v>0</v>
      </c>
      <c r="R7" s="7">
        <v>0</v>
      </c>
      <c r="S7" s="8">
        <v>206.96</v>
      </c>
      <c r="T7" s="7">
        <v>259.37</v>
      </c>
      <c r="U7" s="7">
        <v>0</v>
      </c>
      <c r="V7" s="7">
        <v>0</v>
      </c>
      <c r="W7" s="7"/>
      <c r="X7" s="7"/>
      <c r="Y7" s="7">
        <v>0</v>
      </c>
      <c r="Z7" s="9">
        <f t="shared" si="2"/>
        <v>-12834.876272727271</v>
      </c>
    </row>
    <row r="8" spans="1:28" ht="23.4" x14ac:dyDescent="0.6">
      <c r="A8" s="5">
        <v>6</v>
      </c>
      <c r="B8" s="5">
        <v>10209</v>
      </c>
      <c r="C8" s="6" t="s">
        <v>32</v>
      </c>
      <c r="D8" s="7">
        <v>101970</v>
      </c>
      <c r="E8" s="7">
        <v>17724</v>
      </c>
      <c r="F8" s="7">
        <f t="shared" si="3"/>
        <v>84246</v>
      </c>
      <c r="G8" s="7">
        <f t="shared" si="1"/>
        <v>50985</v>
      </c>
      <c r="H8" s="18">
        <f t="shared" si="0"/>
        <v>33261</v>
      </c>
      <c r="I8" s="19">
        <f>17988.319-1259.8-200</f>
        <v>16528.519</v>
      </c>
      <c r="J8" s="7">
        <v>0</v>
      </c>
      <c r="K8" s="7">
        <v>0</v>
      </c>
      <c r="L8" s="7">
        <v>5272.727272727273</v>
      </c>
      <c r="M8" s="7">
        <v>16000</v>
      </c>
      <c r="N8" s="7">
        <v>0</v>
      </c>
      <c r="O8" s="7">
        <v>0</v>
      </c>
      <c r="P8" s="19">
        <v>3388</v>
      </c>
      <c r="Q8" s="7">
        <v>0</v>
      </c>
      <c r="R8" s="8">
        <v>642</v>
      </c>
      <c r="S8" s="8">
        <v>206.96</v>
      </c>
      <c r="T8" s="7">
        <v>0</v>
      </c>
      <c r="U8" s="7">
        <v>0</v>
      </c>
      <c r="V8" s="7">
        <v>0</v>
      </c>
      <c r="W8" s="7"/>
      <c r="X8" s="7"/>
      <c r="Y8" s="7">
        <v>79</v>
      </c>
      <c r="Z8" s="9">
        <f t="shared" si="2"/>
        <v>-8856.2062727272714</v>
      </c>
    </row>
    <row r="9" spans="1:28" ht="23.4" x14ac:dyDescent="0.6">
      <c r="A9" s="5">
        <v>7</v>
      </c>
      <c r="B9" s="5">
        <v>10210</v>
      </c>
      <c r="C9" s="6" t="s">
        <v>33</v>
      </c>
      <c r="D9" s="7">
        <v>89145</v>
      </c>
      <c r="E9" s="7">
        <v>2705</v>
      </c>
      <c r="F9" s="7">
        <f t="shared" si="3"/>
        <v>86440</v>
      </c>
      <c r="G9" s="7">
        <f t="shared" si="1"/>
        <v>44572.5</v>
      </c>
      <c r="H9" s="18">
        <f t="shared" si="0"/>
        <v>41867.5</v>
      </c>
      <c r="I9" s="19">
        <f>17988.319-1234.88-100</f>
        <v>16653.438999999998</v>
      </c>
      <c r="J9" s="7">
        <v>0</v>
      </c>
      <c r="K9" s="7">
        <v>0</v>
      </c>
      <c r="L9" s="7">
        <v>5272.727272727273</v>
      </c>
      <c r="M9" s="7">
        <f>14884+14884</f>
        <v>29768</v>
      </c>
      <c r="N9" s="7">
        <v>0</v>
      </c>
      <c r="O9" s="7">
        <v>0</v>
      </c>
      <c r="P9" s="7">
        <v>5091</v>
      </c>
      <c r="Q9" s="7">
        <v>405</v>
      </c>
      <c r="R9" s="8">
        <v>642</v>
      </c>
      <c r="S9" s="8">
        <v>206.96</v>
      </c>
      <c r="T9" s="7">
        <v>0</v>
      </c>
      <c r="U9" s="7">
        <v>0</v>
      </c>
      <c r="V9" s="7">
        <v>0</v>
      </c>
      <c r="W9" s="7"/>
      <c r="X9" s="7"/>
      <c r="Y9" s="7">
        <v>0</v>
      </c>
      <c r="Z9" s="9">
        <f t="shared" si="2"/>
        <v>-16171.62627272727</v>
      </c>
    </row>
    <row r="10" spans="1:28" ht="23.4" x14ac:dyDescent="0.6">
      <c r="A10" s="5">
        <v>8</v>
      </c>
      <c r="B10" s="5">
        <v>10219</v>
      </c>
      <c r="C10" s="6" t="s">
        <v>34</v>
      </c>
      <c r="D10" s="7">
        <v>62385</v>
      </c>
      <c r="E10" s="7">
        <v>8640</v>
      </c>
      <c r="F10" s="7">
        <f t="shared" si="3"/>
        <v>53745</v>
      </c>
      <c r="G10" s="7">
        <f t="shared" si="1"/>
        <v>31192.5</v>
      </c>
      <c r="H10" s="18">
        <f t="shared" si="0"/>
        <v>22552.5</v>
      </c>
      <c r="I10" s="19">
        <f>17988.319-100</f>
        <v>17888.319</v>
      </c>
      <c r="J10" s="7">
        <v>0</v>
      </c>
      <c r="K10" s="7">
        <v>0</v>
      </c>
      <c r="L10" s="7">
        <v>5272.727272727273</v>
      </c>
      <c r="M10" s="7">
        <v>16500</v>
      </c>
      <c r="N10" s="7">
        <v>0</v>
      </c>
      <c r="O10" s="7">
        <v>0</v>
      </c>
      <c r="P10" s="7">
        <v>3514</v>
      </c>
      <c r="Q10" s="7">
        <v>420</v>
      </c>
      <c r="R10" s="7">
        <v>0</v>
      </c>
      <c r="S10" s="8">
        <v>206.96</v>
      </c>
      <c r="T10" s="7">
        <v>467.29</v>
      </c>
      <c r="U10" s="7">
        <v>0</v>
      </c>
      <c r="V10" s="7">
        <v>0</v>
      </c>
      <c r="W10" s="7"/>
      <c r="X10" s="7"/>
      <c r="Y10" s="7">
        <v>123</v>
      </c>
      <c r="Z10" s="9">
        <f t="shared" si="2"/>
        <v>-21839.796272727272</v>
      </c>
    </row>
    <row r="11" spans="1:28" ht="23.4" x14ac:dyDescent="0.6">
      <c r="A11" s="5">
        <v>9</v>
      </c>
      <c r="B11" s="5">
        <v>10235</v>
      </c>
      <c r="C11" s="6" t="s">
        <v>35</v>
      </c>
      <c r="D11" s="7">
        <v>57961</v>
      </c>
      <c r="E11" s="7">
        <v>8816</v>
      </c>
      <c r="F11" s="7">
        <f t="shared" si="3"/>
        <v>49145</v>
      </c>
      <c r="G11" s="7">
        <f t="shared" si="1"/>
        <v>28980.5</v>
      </c>
      <c r="H11" s="18">
        <f t="shared" si="0"/>
        <v>20164.5</v>
      </c>
      <c r="I11" s="19">
        <f>17988.319-527-300</f>
        <v>17161.319</v>
      </c>
      <c r="J11" s="7">
        <v>0</v>
      </c>
      <c r="K11" s="7">
        <v>0</v>
      </c>
      <c r="L11" s="7">
        <v>5272.727272727273</v>
      </c>
      <c r="M11" s="7">
        <v>12000</v>
      </c>
      <c r="N11" s="7">
        <v>0</v>
      </c>
      <c r="O11" s="7">
        <v>0</v>
      </c>
      <c r="P11" s="7">
        <v>5065.38</v>
      </c>
      <c r="Q11" s="7">
        <v>0</v>
      </c>
      <c r="R11" s="8">
        <v>642</v>
      </c>
      <c r="S11" s="8">
        <v>212.72</v>
      </c>
      <c r="T11" s="7">
        <v>0</v>
      </c>
      <c r="U11" s="7">
        <v>0</v>
      </c>
      <c r="V11" s="7">
        <v>0</v>
      </c>
      <c r="W11" s="7"/>
      <c r="X11" s="7"/>
      <c r="Y11" s="7">
        <v>0</v>
      </c>
      <c r="Z11" s="9">
        <f t="shared" si="2"/>
        <v>-20189.646272727274</v>
      </c>
    </row>
    <row r="12" spans="1:28" ht="23.4" x14ac:dyDescent="0.6">
      <c r="A12" s="5">
        <v>10</v>
      </c>
      <c r="B12" s="5">
        <v>10264</v>
      </c>
      <c r="C12" s="6" t="s">
        <v>36</v>
      </c>
      <c r="D12" s="7">
        <v>64522</v>
      </c>
      <c r="E12" s="7">
        <v>5214</v>
      </c>
      <c r="F12" s="7">
        <f t="shared" si="3"/>
        <v>59308</v>
      </c>
      <c r="G12" s="7">
        <f t="shared" si="1"/>
        <v>32261</v>
      </c>
      <c r="H12" s="18">
        <f t="shared" si="0"/>
        <v>27047</v>
      </c>
      <c r="I12" s="19">
        <f>17988.319-1489-300</f>
        <v>16199.319</v>
      </c>
      <c r="J12" s="7">
        <v>0</v>
      </c>
      <c r="K12" s="7">
        <v>0</v>
      </c>
      <c r="L12" s="7">
        <v>5272.727272727273</v>
      </c>
      <c r="M12" s="7">
        <v>21000</v>
      </c>
      <c r="N12" s="7">
        <v>0</v>
      </c>
      <c r="O12" s="7">
        <v>0</v>
      </c>
      <c r="P12" s="7">
        <v>3922.62</v>
      </c>
      <c r="Q12" s="7">
        <v>360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/>
      <c r="X12" s="7"/>
      <c r="Y12" s="7">
        <v>0</v>
      </c>
      <c r="Z12" s="9">
        <f t="shared" si="2"/>
        <v>-19707.666272727271</v>
      </c>
    </row>
    <row r="13" spans="1:28" ht="23.4" x14ac:dyDescent="0.6">
      <c r="A13" s="5">
        <v>11</v>
      </c>
      <c r="B13" s="5">
        <v>10377</v>
      </c>
      <c r="C13" s="6" t="s">
        <v>37</v>
      </c>
      <c r="D13" s="7">
        <v>49485</v>
      </c>
      <c r="E13" s="7">
        <v>4273</v>
      </c>
      <c r="F13" s="7">
        <f t="shared" si="3"/>
        <v>45212</v>
      </c>
      <c r="G13" s="7">
        <f t="shared" si="1"/>
        <v>24742.5</v>
      </c>
      <c r="H13" s="18">
        <f t="shared" si="0"/>
        <v>20469.5</v>
      </c>
      <c r="I13" s="19">
        <v>17988.319</v>
      </c>
      <c r="J13" s="7">
        <v>0</v>
      </c>
      <c r="K13" s="7">
        <v>0</v>
      </c>
      <c r="L13" s="7">
        <v>5272.727272727273</v>
      </c>
      <c r="M13" s="7">
        <v>22000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/>
      <c r="X13" s="7"/>
      <c r="Y13" s="7">
        <v>0</v>
      </c>
      <c r="Z13" s="9">
        <f t="shared" si="2"/>
        <v>-24791.546272727272</v>
      </c>
    </row>
    <row r="14" spans="1:28" ht="23.4" x14ac:dyDescent="0.6">
      <c r="A14" s="5">
        <v>12</v>
      </c>
      <c r="B14" s="5">
        <v>10371</v>
      </c>
      <c r="C14" s="6" t="s">
        <v>38</v>
      </c>
      <c r="D14" s="7">
        <v>36350</v>
      </c>
      <c r="E14" s="7">
        <v>4465</v>
      </c>
      <c r="F14" s="7">
        <f>+D14-E14</f>
        <v>31885</v>
      </c>
      <c r="G14" s="7">
        <f>+D14*0.5</f>
        <v>18175</v>
      </c>
      <c r="H14" s="18">
        <f>+F14-G14</f>
        <v>13710</v>
      </c>
      <c r="I14" s="19">
        <v>17988.319</v>
      </c>
      <c r="J14" s="7">
        <v>0</v>
      </c>
      <c r="K14" s="7">
        <v>0</v>
      </c>
      <c r="L14" s="7">
        <v>5272.727272727273</v>
      </c>
      <c r="M14" s="7">
        <v>12000</v>
      </c>
      <c r="N14" s="7">
        <v>0</v>
      </c>
      <c r="O14" s="7">
        <v>0</v>
      </c>
      <c r="P14" s="7">
        <v>5155.26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/>
      <c r="X14" s="7"/>
      <c r="Y14" s="7">
        <v>0</v>
      </c>
      <c r="Z14" s="9">
        <f>+H14-I14-J14-L14-M14-O14-P14-S14-T14-U14-V14-W14-X14-Y14-Q14-R14-K14-N14</f>
        <v>-26706.30627272727</v>
      </c>
    </row>
    <row r="15" spans="1:28" ht="27" thickBot="1" x14ac:dyDescent="0.75">
      <c r="C15" s="10" t="s">
        <v>39</v>
      </c>
      <c r="D15" s="11">
        <f t="shared" ref="D15:X15" si="4">SUM(D3:D14)</f>
        <v>857690</v>
      </c>
      <c r="E15" s="12">
        <f t="shared" si="4"/>
        <v>82949</v>
      </c>
      <c r="F15" s="12">
        <f t="shared" si="4"/>
        <v>774741</v>
      </c>
      <c r="G15" s="12">
        <f t="shared" si="4"/>
        <v>428845</v>
      </c>
      <c r="H15" s="12">
        <f t="shared" si="4"/>
        <v>345896</v>
      </c>
      <c r="I15" s="12">
        <f>SUM(I3:I14)</f>
        <v>202871.06799999994</v>
      </c>
      <c r="J15" s="12">
        <f t="shared" si="4"/>
        <v>0</v>
      </c>
      <c r="K15" s="12">
        <f t="shared" si="4"/>
        <v>100</v>
      </c>
      <c r="L15" s="12">
        <f t="shared" si="4"/>
        <v>63272.727272727272</v>
      </c>
      <c r="M15" s="12">
        <f t="shared" si="4"/>
        <v>182597</v>
      </c>
      <c r="N15" s="12">
        <f t="shared" si="4"/>
        <v>441</v>
      </c>
      <c r="O15" s="12">
        <f t="shared" si="4"/>
        <v>0</v>
      </c>
      <c r="P15" s="12">
        <f t="shared" si="4"/>
        <v>41845.840000000004</v>
      </c>
      <c r="Q15" s="12">
        <f t="shared" si="4"/>
        <v>1725</v>
      </c>
      <c r="R15" s="12">
        <f t="shared" si="4"/>
        <v>3529.93</v>
      </c>
      <c r="S15" s="12">
        <f t="shared" si="4"/>
        <v>1868.4</v>
      </c>
      <c r="T15" s="12">
        <f t="shared" si="4"/>
        <v>726.66000000000008</v>
      </c>
      <c r="U15" s="12">
        <f t="shared" si="4"/>
        <v>50</v>
      </c>
      <c r="V15" s="12">
        <f t="shared" si="4"/>
        <v>895</v>
      </c>
      <c r="W15" s="12">
        <f t="shared" si="4"/>
        <v>0</v>
      </c>
      <c r="X15" s="12">
        <f t="shared" si="4"/>
        <v>0</v>
      </c>
      <c r="Y15" s="12">
        <f>SUM(Y3:Y14)</f>
        <v>334</v>
      </c>
      <c r="Z15" s="12">
        <f>SUM(Z3:Z14)</f>
        <v>-154360.62527272725</v>
      </c>
      <c r="AA15" s="13" t="s">
        <v>40</v>
      </c>
      <c r="AB15" s="14"/>
    </row>
    <row r="16" spans="1:28" ht="35.4" thickTop="1" x14ac:dyDescent="0.9">
      <c r="C16" s="10" t="s">
        <v>41</v>
      </c>
      <c r="D16" s="15">
        <f>+Z15</f>
        <v>-154360.62527272725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3:10" ht="34.799999999999997" x14ac:dyDescent="0.9">
      <c r="C17" s="10" t="s">
        <v>42</v>
      </c>
      <c r="D17" s="17">
        <f>+D16/D15</f>
        <v>-0.17997251369693859</v>
      </c>
      <c r="J17" s="16"/>
    </row>
    <row r="18" spans="3:10" ht="34.799999999999997" x14ac:dyDescent="0.9">
      <c r="J18" s="16"/>
    </row>
    <row r="19" spans="3:10" ht="34.799999999999997" x14ac:dyDescent="0.9">
      <c r="J19" s="16"/>
    </row>
    <row r="20" spans="3:10" ht="34.799999999999997" x14ac:dyDescent="0.9">
      <c r="J20" s="16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1048576">
    <cfRule type="cellIs" dxfId="10" priority="1" operator="lessThan">
      <formula>0</formula>
    </cfRule>
  </conditionalFormatting>
  <pageMargins left="0.25" right="0.25" top="0.75" bottom="0.75" header="0.3" footer="0.3"/>
  <pageSetup paperSize="9" scale="8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8E43-669C-4E40-9EF9-56F6E0445D17}">
  <sheetPr>
    <tabColor theme="8" tint="-0.249977111117893"/>
    <pageSetUpPr fitToPage="1"/>
  </sheetPr>
  <dimension ref="A1:AB21"/>
  <sheetViews>
    <sheetView zoomScaleNormal="100" workbookViewId="0">
      <pane xSplit="3" ySplit="2" topLeftCell="Q3" activePane="bottomRight" state="frozen"/>
      <selection activeCell="Z4" sqref="Z4:Z6"/>
      <selection pane="topRight" activeCell="Z4" sqref="Z4:Z6"/>
      <selection pane="bottomLeft" activeCell="Z4" sqref="Z4:Z6"/>
      <selection pane="bottomRight" activeCell="Z4" sqref="Z4:Z6"/>
    </sheetView>
  </sheetViews>
  <sheetFormatPr defaultColWidth="9" defaultRowHeight="15.6" x14ac:dyDescent="0.4"/>
  <cols>
    <col min="1" max="1" width="5.3984375" style="2" bestFit="1" customWidth="1"/>
    <col min="2" max="2" width="9.3984375" style="2" bestFit="1" customWidth="1"/>
    <col min="3" max="3" width="22.3984375" style="2" bestFit="1" customWidth="1"/>
    <col min="4" max="4" width="13.59765625" style="2" customWidth="1"/>
    <col min="5" max="5" width="12.09765625" style="2" customWidth="1"/>
    <col min="6" max="6" width="14.09765625" style="2" customWidth="1"/>
    <col min="7" max="7" width="12.19921875" style="2" customWidth="1"/>
    <col min="8" max="8" width="13.19921875" style="2" customWidth="1"/>
    <col min="9" max="25" width="13.3984375" style="2" customWidth="1"/>
    <col min="26" max="26" width="16.69921875" style="2" customWidth="1"/>
    <col min="27" max="16384" width="9" style="2"/>
  </cols>
  <sheetData>
    <row r="1" spans="1:28" ht="28.8" x14ac:dyDescent="0.75">
      <c r="A1" s="1" t="s">
        <v>0</v>
      </c>
    </row>
    <row r="2" spans="1:28" s="4" customFormat="1" ht="79.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43</v>
      </c>
      <c r="Y2" s="3" t="s">
        <v>25</v>
      </c>
      <c r="Z2" s="3" t="s">
        <v>26</v>
      </c>
    </row>
    <row r="3" spans="1:28" ht="23.4" x14ac:dyDescent="0.6">
      <c r="A3" s="5">
        <v>1</v>
      </c>
      <c r="B3" s="5">
        <v>10203</v>
      </c>
      <c r="C3" s="6" t="s">
        <v>27</v>
      </c>
      <c r="D3" s="7">
        <v>87995</v>
      </c>
      <c r="E3" s="7">
        <v>3285</v>
      </c>
      <c r="F3" s="7">
        <f>+D3-E3</f>
        <v>84710</v>
      </c>
      <c r="G3" s="7">
        <f>+D3*0.5</f>
        <v>43997.5</v>
      </c>
      <c r="H3" s="7">
        <f t="shared" ref="H3:H13" si="0">+F3-G3</f>
        <v>40712.5</v>
      </c>
      <c r="I3" s="8">
        <f>+[1]รายชื่อพนักงานรายเดือน!G10</f>
        <v>17553.885833333334</v>
      </c>
      <c r="J3" s="7">
        <v>0</v>
      </c>
      <c r="K3" s="7">
        <v>0</v>
      </c>
      <c r="L3" s="7">
        <f>+[1]รายชื่อพนักงานรายเดือน!C9</f>
        <v>3580.5558333333333</v>
      </c>
      <c r="M3" s="7">
        <f>14884+14884</f>
        <v>29768</v>
      </c>
      <c r="N3" s="7">
        <v>0</v>
      </c>
      <c r="O3" s="7">
        <v>0</v>
      </c>
      <c r="P3" s="7">
        <v>5340</v>
      </c>
      <c r="Q3" s="7">
        <v>420</v>
      </c>
      <c r="R3" s="7">
        <v>0</v>
      </c>
      <c r="S3" s="7">
        <v>206.96</v>
      </c>
      <c r="T3" s="7">
        <v>0</v>
      </c>
      <c r="U3" s="7">
        <v>0</v>
      </c>
      <c r="V3" s="7">
        <v>0</v>
      </c>
      <c r="W3" s="7"/>
      <c r="X3" s="7">
        <f>+[1]รายชื่อพนักงานรายเดือน!K8</f>
        <v>230.76923076923077</v>
      </c>
      <c r="Y3" s="7">
        <v>39</v>
      </c>
      <c r="Z3" s="9">
        <f>+H3-I3-J3-L3-M3-O3-P3-S3-T3-U3-V3-W3-X3-Y3-Q3-R3-K3-N3</f>
        <v>-16426.670897435895</v>
      </c>
    </row>
    <row r="4" spans="1:28" ht="23.4" x14ac:dyDescent="0.6">
      <c r="A4" s="5">
        <v>2</v>
      </c>
      <c r="B4" s="5">
        <v>10204</v>
      </c>
      <c r="C4" s="6" t="s">
        <v>28</v>
      </c>
      <c r="D4" s="7">
        <v>109670</v>
      </c>
      <c r="E4" s="7">
        <v>17060</v>
      </c>
      <c r="F4" s="7">
        <f>+D4-E4</f>
        <v>92610</v>
      </c>
      <c r="G4" s="7">
        <f t="shared" ref="G4:G15" si="1">+D4*0.5</f>
        <v>54835</v>
      </c>
      <c r="H4" s="7">
        <f t="shared" si="0"/>
        <v>37775</v>
      </c>
      <c r="I4" s="8">
        <f>+[1]รายชื่อพนักงานรายเดือน!G10</f>
        <v>17553.885833333334</v>
      </c>
      <c r="J4" s="7">
        <v>0</v>
      </c>
      <c r="K4" s="7">
        <v>0</v>
      </c>
      <c r="L4" s="7">
        <f>+[1]รายชื่อพนักงานรายเดือน!C9</f>
        <v>3580.5558333333333</v>
      </c>
      <c r="M4" s="7">
        <v>5820</v>
      </c>
      <c r="N4" s="7">
        <v>0</v>
      </c>
      <c r="O4" s="7">
        <v>38</v>
      </c>
      <c r="P4" s="7">
        <v>3249</v>
      </c>
      <c r="Q4" s="7">
        <v>75</v>
      </c>
      <c r="R4" s="7">
        <v>0</v>
      </c>
      <c r="S4" s="7">
        <v>206.96</v>
      </c>
      <c r="T4" s="7">
        <v>0</v>
      </c>
      <c r="U4" s="7">
        <v>0</v>
      </c>
      <c r="V4" s="7">
        <v>0</v>
      </c>
      <c r="W4" s="7"/>
      <c r="X4" s="7">
        <f>+[1]รายชื่อพนักงานรายเดือน!K8</f>
        <v>230.76923076923077</v>
      </c>
      <c r="Y4" s="7">
        <v>100</v>
      </c>
      <c r="Z4" s="9">
        <f t="shared" ref="Z4:Z13" si="2">+H4-I4-J4-L4-M4-O4-P4-S4-T4-U4-V4-W4-X4-Y4-Q4-R4-K4-N4</f>
        <v>6920.8291025641038</v>
      </c>
    </row>
    <row r="5" spans="1:28" ht="24" customHeight="1" x14ac:dyDescent="0.6">
      <c r="A5" s="5">
        <v>3</v>
      </c>
      <c r="B5" s="5">
        <v>10205</v>
      </c>
      <c r="C5" s="6" t="s">
        <v>29</v>
      </c>
      <c r="D5" s="7">
        <v>100135</v>
      </c>
      <c r="E5" s="7">
        <v>16250</v>
      </c>
      <c r="F5" s="7">
        <f t="shared" ref="F5:F13" si="3">+D5-E5</f>
        <v>83885</v>
      </c>
      <c r="G5" s="7">
        <f t="shared" si="1"/>
        <v>50067.5</v>
      </c>
      <c r="H5" s="7">
        <f t="shared" si="0"/>
        <v>33817.5</v>
      </c>
      <c r="I5" s="8">
        <f>+[1]รายชื่อพนักงานรายเดือน!G10</f>
        <v>17553.885833333334</v>
      </c>
      <c r="J5" s="7">
        <v>0</v>
      </c>
      <c r="K5" s="7">
        <v>0</v>
      </c>
      <c r="L5" s="7">
        <f>+[1]รายชื่อพนักงานรายเดือน!C9</f>
        <v>3580.5558333333333</v>
      </c>
      <c r="M5" s="7">
        <v>0</v>
      </c>
      <c r="N5" s="7">
        <v>0</v>
      </c>
      <c r="O5" s="7">
        <v>110</v>
      </c>
      <c r="P5" s="7">
        <v>14787.99</v>
      </c>
      <c r="Q5" s="7">
        <v>0</v>
      </c>
      <c r="R5" s="7">
        <v>0</v>
      </c>
      <c r="S5" s="7">
        <v>206.96</v>
      </c>
      <c r="T5" s="7">
        <v>0</v>
      </c>
      <c r="U5" s="7">
        <v>70</v>
      </c>
      <c r="V5" s="7">
        <v>120</v>
      </c>
      <c r="W5" s="7"/>
      <c r="X5" s="7">
        <f>+[1]รายชื่อพนักงานรายเดือน!K8</f>
        <v>230.76923076923077</v>
      </c>
      <c r="Y5" s="7">
        <v>163</v>
      </c>
      <c r="Z5" s="9">
        <f t="shared" si="2"/>
        <v>-3005.6608974358983</v>
      </c>
    </row>
    <row r="6" spans="1:28" ht="23.4" x14ac:dyDescent="0.6">
      <c r="A6" s="5">
        <v>4</v>
      </c>
      <c r="B6" s="5">
        <v>10207</v>
      </c>
      <c r="C6" s="6" t="s">
        <v>30</v>
      </c>
      <c r="D6" s="7">
        <v>105850</v>
      </c>
      <c r="E6" s="7">
        <v>1585</v>
      </c>
      <c r="F6" s="7">
        <f t="shared" si="3"/>
        <v>104265</v>
      </c>
      <c r="G6" s="7">
        <f t="shared" si="1"/>
        <v>52925</v>
      </c>
      <c r="H6" s="7">
        <f t="shared" si="0"/>
        <v>51340</v>
      </c>
      <c r="I6" s="8">
        <f>+[1]รายชื่อพนักงานรายเดือน!G10</f>
        <v>17553.885833333334</v>
      </c>
      <c r="J6" s="7">
        <v>170.6</v>
      </c>
      <c r="K6" s="7">
        <v>0</v>
      </c>
      <c r="L6" s="7">
        <f>+[1]รายชื่อพนักงานรายเดือน!C9</f>
        <v>3580.5558333333333</v>
      </c>
      <c r="M6" s="7">
        <v>9000</v>
      </c>
      <c r="N6" s="7">
        <v>0</v>
      </c>
      <c r="O6" s="7">
        <v>0</v>
      </c>
      <c r="P6" s="7">
        <v>2868</v>
      </c>
      <c r="Q6" s="7">
        <v>450</v>
      </c>
      <c r="R6" s="7">
        <v>0</v>
      </c>
      <c r="S6" s="7">
        <v>206.96</v>
      </c>
      <c r="T6" s="7">
        <v>0</v>
      </c>
      <c r="U6" s="7">
        <v>0</v>
      </c>
      <c r="V6" s="7">
        <v>0</v>
      </c>
      <c r="W6" s="7"/>
      <c r="X6" s="7">
        <f>+[1]รายชื่อพนักงานรายเดือน!K8</f>
        <v>230.76923076923077</v>
      </c>
      <c r="Y6" s="7">
        <v>0</v>
      </c>
      <c r="Z6" s="9">
        <f t="shared" si="2"/>
        <v>17279.229102564106</v>
      </c>
    </row>
    <row r="7" spans="1:28" ht="23.4" x14ac:dyDescent="0.6">
      <c r="A7" s="5">
        <v>5</v>
      </c>
      <c r="B7" s="5">
        <v>10208</v>
      </c>
      <c r="C7" s="6" t="s">
        <v>31</v>
      </c>
      <c r="D7" s="7">
        <v>46320</v>
      </c>
      <c r="E7" s="7">
        <v>2215</v>
      </c>
      <c r="F7" s="7">
        <f t="shared" si="3"/>
        <v>44105</v>
      </c>
      <c r="G7" s="7">
        <f t="shared" si="1"/>
        <v>23160</v>
      </c>
      <c r="H7" s="7">
        <f t="shared" si="0"/>
        <v>20945</v>
      </c>
      <c r="I7" s="8">
        <f>+[1]รายชื่อพนักงานรายเดือน!G10</f>
        <v>17553.885833333334</v>
      </c>
      <c r="J7" s="7">
        <v>0</v>
      </c>
      <c r="K7" s="7">
        <v>0</v>
      </c>
      <c r="L7" s="7">
        <f>+[1]รายชื่อพนักงานรายเดือน!C9</f>
        <v>3580.5558333333333</v>
      </c>
      <c r="M7" s="7">
        <v>6741</v>
      </c>
      <c r="N7" s="7">
        <v>441</v>
      </c>
      <c r="O7" s="7">
        <v>0</v>
      </c>
      <c r="P7" s="7">
        <v>1171.01</v>
      </c>
      <c r="Q7" s="7">
        <v>0</v>
      </c>
      <c r="R7" s="7">
        <v>0</v>
      </c>
      <c r="S7" s="7">
        <v>206.96</v>
      </c>
      <c r="T7" s="7">
        <v>259.37</v>
      </c>
      <c r="U7" s="7">
        <v>0</v>
      </c>
      <c r="V7" s="7">
        <v>0</v>
      </c>
      <c r="W7" s="7"/>
      <c r="X7" s="7">
        <f>+[1]รายชื่อพนักงานรายเดือน!K8</f>
        <v>230.76923076923077</v>
      </c>
      <c r="Y7" s="7">
        <v>0</v>
      </c>
      <c r="Z7" s="9">
        <f t="shared" si="2"/>
        <v>-9239.5508974358982</v>
      </c>
    </row>
    <row r="8" spans="1:28" ht="23.4" x14ac:dyDescent="0.6">
      <c r="A8" s="5">
        <v>6</v>
      </c>
      <c r="B8" s="5">
        <v>10209</v>
      </c>
      <c r="C8" s="6" t="s">
        <v>32</v>
      </c>
      <c r="D8" s="7">
        <v>100690</v>
      </c>
      <c r="E8" s="7">
        <v>21122</v>
      </c>
      <c r="F8" s="7">
        <f t="shared" si="3"/>
        <v>79568</v>
      </c>
      <c r="G8" s="7">
        <f t="shared" si="1"/>
        <v>50345</v>
      </c>
      <c r="H8" s="7">
        <f t="shared" si="0"/>
        <v>29223</v>
      </c>
      <c r="I8" s="8">
        <f>+[1]รายชื่อพนักงานรายเดือน!G10</f>
        <v>17553.885833333334</v>
      </c>
      <c r="J8" s="7">
        <v>0</v>
      </c>
      <c r="K8" s="7">
        <v>0</v>
      </c>
      <c r="L8" s="7">
        <f>+[1]รายชื่อพนักงานรายเดือน!C9</f>
        <v>3580.5558333333333</v>
      </c>
      <c r="M8" s="7">
        <v>16000</v>
      </c>
      <c r="N8" s="7">
        <v>0</v>
      </c>
      <c r="O8" s="7">
        <v>0</v>
      </c>
      <c r="P8" s="7">
        <v>3784</v>
      </c>
      <c r="Q8" s="7">
        <v>0</v>
      </c>
      <c r="R8" s="7">
        <v>0</v>
      </c>
      <c r="S8" s="7">
        <v>206.96</v>
      </c>
      <c r="T8" s="7">
        <v>0</v>
      </c>
      <c r="U8" s="7">
        <v>0</v>
      </c>
      <c r="V8" s="7">
        <v>0</v>
      </c>
      <c r="W8" s="7"/>
      <c r="X8" s="7">
        <f>+[1]รายชื่อพนักงานรายเดือน!K8</f>
        <v>230.76923076923077</v>
      </c>
      <c r="Y8" s="7">
        <v>0</v>
      </c>
      <c r="Z8" s="9">
        <f t="shared" si="2"/>
        <v>-12133.170897435897</v>
      </c>
    </row>
    <row r="9" spans="1:28" ht="23.4" x14ac:dyDescent="0.6">
      <c r="A9" s="5">
        <v>7</v>
      </c>
      <c r="B9" s="5">
        <v>10210</v>
      </c>
      <c r="C9" s="6" t="s">
        <v>33</v>
      </c>
      <c r="D9" s="7">
        <v>104635</v>
      </c>
      <c r="E9" s="7">
        <v>2139</v>
      </c>
      <c r="F9" s="7">
        <f t="shared" si="3"/>
        <v>102496</v>
      </c>
      <c r="G9" s="7">
        <f t="shared" si="1"/>
        <v>52317.5</v>
      </c>
      <c r="H9" s="7">
        <f t="shared" si="0"/>
        <v>50178.5</v>
      </c>
      <c r="I9" s="8">
        <f>+[1]รายชื่อพนักงานรายเดือน!G10</f>
        <v>17553.885833333334</v>
      </c>
      <c r="J9" s="7">
        <v>99.84</v>
      </c>
      <c r="K9" s="7">
        <v>0</v>
      </c>
      <c r="L9" s="7">
        <f>+[1]รายชื่อพนักงานรายเดือน!C9</f>
        <v>3580.5558333333333</v>
      </c>
      <c r="M9" s="7">
        <f>14884+14884</f>
        <v>29768</v>
      </c>
      <c r="N9" s="7">
        <v>0</v>
      </c>
      <c r="O9" s="7">
        <v>0</v>
      </c>
      <c r="P9" s="7">
        <v>4795.74</v>
      </c>
      <c r="Q9" s="7">
        <v>465</v>
      </c>
      <c r="R9" s="7">
        <v>0</v>
      </c>
      <c r="S9" s="7">
        <v>206.96</v>
      </c>
      <c r="T9" s="7">
        <v>0</v>
      </c>
      <c r="U9" s="7">
        <v>0</v>
      </c>
      <c r="V9" s="7">
        <v>0</v>
      </c>
      <c r="W9" s="7"/>
      <c r="X9" s="7">
        <f>+[1]รายชื่อพนักงานรายเดือน!K8</f>
        <v>230.76923076923077</v>
      </c>
      <c r="Y9" s="7">
        <v>0</v>
      </c>
      <c r="Z9" s="9">
        <f t="shared" si="2"/>
        <v>-6522.2508974358961</v>
      </c>
    </row>
    <row r="10" spans="1:28" ht="23.4" x14ac:dyDescent="0.6">
      <c r="A10" s="5">
        <v>8</v>
      </c>
      <c r="B10" s="5">
        <v>10219</v>
      </c>
      <c r="C10" s="6" t="s">
        <v>34</v>
      </c>
      <c r="D10" s="7">
        <v>82715</v>
      </c>
      <c r="E10" s="7">
        <v>10325</v>
      </c>
      <c r="F10" s="7">
        <f t="shared" si="3"/>
        <v>72390</v>
      </c>
      <c r="G10" s="7">
        <f t="shared" si="1"/>
        <v>41357.5</v>
      </c>
      <c r="H10" s="7">
        <f t="shared" si="0"/>
        <v>31032.5</v>
      </c>
      <c r="I10" s="8">
        <f>+[1]รายชื่อพนักงานรายเดือน!G10</f>
        <v>17553.885833333334</v>
      </c>
      <c r="J10" s="7">
        <v>0</v>
      </c>
      <c r="K10" s="7">
        <v>0</v>
      </c>
      <c r="L10" s="7">
        <f>+[1]รายชื่อพนักงานรายเดือน!C9</f>
        <v>3580.5558333333333</v>
      </c>
      <c r="M10" s="7">
        <v>16500</v>
      </c>
      <c r="N10" s="7">
        <v>0</v>
      </c>
      <c r="O10" s="7">
        <v>0</v>
      </c>
      <c r="P10" s="7">
        <v>3674</v>
      </c>
      <c r="Q10" s="7">
        <v>450</v>
      </c>
      <c r="R10" s="7">
        <v>0</v>
      </c>
      <c r="S10" s="7">
        <v>0</v>
      </c>
      <c r="T10" s="7">
        <v>467.29</v>
      </c>
      <c r="U10" s="7">
        <v>0</v>
      </c>
      <c r="V10" s="7">
        <v>0</v>
      </c>
      <c r="W10" s="7"/>
      <c r="X10" s="7">
        <f>+[1]รายชื่อพนักงานรายเดือน!K8</f>
        <v>230.76923076923077</v>
      </c>
      <c r="Y10" s="7">
        <v>0</v>
      </c>
      <c r="Z10" s="9">
        <f t="shared" si="2"/>
        <v>-11424.000897435899</v>
      </c>
    </row>
    <row r="11" spans="1:28" ht="23.4" x14ac:dyDescent="0.6">
      <c r="A11" s="5">
        <v>9</v>
      </c>
      <c r="B11" s="5">
        <v>10235</v>
      </c>
      <c r="C11" s="6" t="s">
        <v>35</v>
      </c>
      <c r="D11" s="7">
        <v>66893</v>
      </c>
      <c r="E11" s="7">
        <v>7988</v>
      </c>
      <c r="F11" s="7">
        <f t="shared" si="3"/>
        <v>58905</v>
      </c>
      <c r="G11" s="7">
        <f t="shared" si="1"/>
        <v>33446.5</v>
      </c>
      <c r="H11" s="7">
        <f t="shared" si="0"/>
        <v>25458.5</v>
      </c>
      <c r="I11" s="8">
        <f>+[1]รายชื่อพนักงานรายเดือน!G10</f>
        <v>17553.885833333334</v>
      </c>
      <c r="J11" s="7">
        <v>0</v>
      </c>
      <c r="K11" s="7">
        <v>0</v>
      </c>
      <c r="L11" s="7">
        <f>+[1]รายชื่อพนักงานรายเดือน!C9</f>
        <v>3580.5558333333333</v>
      </c>
      <c r="M11" s="7">
        <v>12000</v>
      </c>
      <c r="N11" s="7">
        <v>0</v>
      </c>
      <c r="O11" s="7">
        <v>0</v>
      </c>
      <c r="P11" s="7">
        <v>5616</v>
      </c>
      <c r="Q11" s="7">
        <v>0</v>
      </c>
      <c r="R11" s="7">
        <v>0</v>
      </c>
      <c r="S11" s="7">
        <v>212.72</v>
      </c>
      <c r="T11" s="7">
        <v>0</v>
      </c>
      <c r="U11" s="7">
        <v>0</v>
      </c>
      <c r="V11" s="7">
        <v>0</v>
      </c>
      <c r="W11" s="7"/>
      <c r="X11" s="7">
        <f>+[1]รายชื่อพนักงานรายเดือน!K8</f>
        <v>230.76923076923077</v>
      </c>
      <c r="Y11" s="7">
        <v>0</v>
      </c>
      <c r="Z11" s="9">
        <f t="shared" si="2"/>
        <v>-13735.430897435897</v>
      </c>
    </row>
    <row r="12" spans="1:28" ht="23.4" x14ac:dyDescent="0.6">
      <c r="A12" s="5">
        <v>10</v>
      </c>
      <c r="B12" s="5">
        <v>10264</v>
      </c>
      <c r="C12" s="6" t="s">
        <v>36</v>
      </c>
      <c r="D12" s="7">
        <v>75085</v>
      </c>
      <c r="E12" s="7">
        <v>3690</v>
      </c>
      <c r="F12" s="7">
        <f t="shared" si="3"/>
        <v>71395</v>
      </c>
      <c r="G12" s="7">
        <f t="shared" si="1"/>
        <v>37542.5</v>
      </c>
      <c r="H12" s="7">
        <f t="shared" si="0"/>
        <v>33852.5</v>
      </c>
      <c r="I12" s="8">
        <f>+[1]รายชื่อพนักงานรายเดือน!G10</f>
        <v>17553.885833333334</v>
      </c>
      <c r="J12" s="7">
        <v>0</v>
      </c>
      <c r="K12" s="7">
        <v>0</v>
      </c>
      <c r="L12" s="7">
        <f>+[1]รายชื่อพนักงานรายเดือน!C9</f>
        <v>3580.5558333333333</v>
      </c>
      <c r="M12" s="7">
        <v>22050</v>
      </c>
      <c r="N12" s="7">
        <v>0</v>
      </c>
      <c r="O12" s="7">
        <v>0</v>
      </c>
      <c r="P12" s="7">
        <v>4416.96</v>
      </c>
      <c r="Q12" s="7">
        <v>450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/>
      <c r="X12" s="7">
        <f>+[1]รายชื่อพนักงานรายเดือน!K8</f>
        <v>230.76923076923077</v>
      </c>
      <c r="Y12" s="7">
        <v>79</v>
      </c>
      <c r="Z12" s="9">
        <f t="shared" si="2"/>
        <v>-14508.670897435899</v>
      </c>
    </row>
    <row r="13" spans="1:28" ht="23.4" x14ac:dyDescent="0.6">
      <c r="A13" s="5">
        <v>11</v>
      </c>
      <c r="B13" s="5">
        <v>10377</v>
      </c>
      <c r="C13" s="6" t="s">
        <v>37</v>
      </c>
      <c r="D13" s="7">
        <v>55720</v>
      </c>
      <c r="E13" s="7">
        <v>6001</v>
      </c>
      <c r="F13" s="7">
        <f t="shared" si="3"/>
        <v>49719</v>
      </c>
      <c r="G13" s="7">
        <f t="shared" si="1"/>
        <v>27860</v>
      </c>
      <c r="H13" s="7">
        <f t="shared" si="0"/>
        <v>21859</v>
      </c>
      <c r="I13" s="8">
        <f>+[1]รายชื่อพนักงานรายเดือน!G10</f>
        <v>17553.885833333334</v>
      </c>
      <c r="J13" s="7">
        <v>0</v>
      </c>
      <c r="K13" s="7">
        <v>0</v>
      </c>
      <c r="L13" s="7">
        <f>+[1]รายชื่อพนักงานรายเดือน!C9</f>
        <v>3580.5558333333333</v>
      </c>
      <c r="M13" s="7">
        <v>20250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/>
      <c r="X13" s="7">
        <f>+[1]รายชื่อพนักงานรายเดือน!K8</f>
        <v>230.76923076923077</v>
      </c>
      <c r="Y13" s="7">
        <v>0</v>
      </c>
      <c r="Z13" s="9">
        <f t="shared" si="2"/>
        <v>-19756.210897435896</v>
      </c>
    </row>
    <row r="14" spans="1:28" ht="23.4" x14ac:dyDescent="0.6">
      <c r="A14" s="5">
        <v>12</v>
      </c>
      <c r="B14" s="5">
        <v>10371</v>
      </c>
      <c r="C14" s="6" t="s">
        <v>38</v>
      </c>
      <c r="D14" s="7">
        <v>33315</v>
      </c>
      <c r="E14" s="7">
        <v>5583</v>
      </c>
      <c r="F14" s="7">
        <f>+D14-E14</f>
        <v>27732</v>
      </c>
      <c r="G14" s="7">
        <f t="shared" si="1"/>
        <v>16657.5</v>
      </c>
      <c r="H14" s="7">
        <f>+F14-G14</f>
        <v>11074.5</v>
      </c>
      <c r="I14" s="8">
        <f>+[1]รายชื่อพนักงานรายเดือน!G10</f>
        <v>17553.885833333334</v>
      </c>
      <c r="J14" s="7">
        <v>0</v>
      </c>
      <c r="K14" s="7">
        <v>0</v>
      </c>
      <c r="L14" s="7">
        <f>+[1]รายชื่อพนักงานรายเดือน!C9</f>
        <v>3580.5558333333333</v>
      </c>
      <c r="M14" s="7">
        <v>12000</v>
      </c>
      <c r="N14" s="7">
        <v>0</v>
      </c>
      <c r="O14" s="7">
        <v>0</v>
      </c>
      <c r="P14" s="7">
        <v>6201.72</v>
      </c>
      <c r="Q14" s="7">
        <v>0</v>
      </c>
      <c r="R14" s="7">
        <v>1070</v>
      </c>
      <c r="S14" s="7">
        <v>0</v>
      </c>
      <c r="T14" s="7">
        <v>0</v>
      </c>
      <c r="U14" s="7">
        <v>0</v>
      </c>
      <c r="V14" s="7">
        <v>0</v>
      </c>
      <c r="W14" s="7"/>
      <c r="X14" s="7">
        <f>+[1]รายชื่อพนักงานรายเดือน!K8</f>
        <v>230.76923076923077</v>
      </c>
      <c r="Y14" s="7">
        <v>53</v>
      </c>
      <c r="Z14" s="9">
        <f>+H14-I14-J14-L14-M14-O14-P14-S14-T14-U14-V14-W14-X14-Y14-Q14-R14-K14-N14</f>
        <v>-29615.430897435897</v>
      </c>
    </row>
    <row r="15" spans="1:28" ht="23.4" x14ac:dyDescent="0.6">
      <c r="A15" s="5">
        <v>13</v>
      </c>
      <c r="B15" s="5">
        <v>10380</v>
      </c>
      <c r="C15" s="6" t="s">
        <v>44</v>
      </c>
      <c r="D15" s="7">
        <v>12265</v>
      </c>
      <c r="E15" s="7">
        <v>281</v>
      </c>
      <c r="F15" s="7">
        <f>+D15-E15</f>
        <v>11984</v>
      </c>
      <c r="G15" s="7">
        <f t="shared" si="1"/>
        <v>6132.5</v>
      </c>
      <c r="H15" s="7">
        <f>+F15-G15</f>
        <v>5851.5</v>
      </c>
      <c r="I15" s="8">
        <f>600*6</f>
        <v>3600</v>
      </c>
      <c r="J15" s="7">
        <v>0</v>
      </c>
      <c r="K15" s="7">
        <v>0</v>
      </c>
      <c r="L15" s="7">
        <f>1516.67+3033.333</f>
        <v>4550.0030000000006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/>
      <c r="X15" s="7">
        <f>+[1]รายชื่อพนักงานรายเดือน!K8</f>
        <v>230.76923076923077</v>
      </c>
      <c r="Y15" s="7">
        <f>750*1.5*6</f>
        <v>6750</v>
      </c>
      <c r="Z15" s="9">
        <f>+H15-I15-J15-L15-M15-O15-P15-S15-T15-U15-V15-W15-X15-Y15-Q15-R15-K15-N15</f>
        <v>-9279.2722307692311</v>
      </c>
    </row>
    <row r="16" spans="1:28" ht="27" thickBot="1" x14ac:dyDescent="0.75">
      <c r="C16" s="10" t="s">
        <v>39</v>
      </c>
      <c r="D16" s="11">
        <f>SUM(D3:D15)</f>
        <v>981288</v>
      </c>
      <c r="E16" s="12">
        <f>SUM(E3:E15)</f>
        <v>97524</v>
      </c>
      <c r="F16" s="12">
        <f t="shared" ref="F16:X16" si="4">SUM(F3:F15)</f>
        <v>883764</v>
      </c>
      <c r="G16" s="12">
        <f t="shared" si="4"/>
        <v>490644</v>
      </c>
      <c r="H16" s="12">
        <f t="shared" si="4"/>
        <v>393120</v>
      </c>
      <c r="I16" s="11">
        <f>SUM(I3:I15)</f>
        <v>214246.63</v>
      </c>
      <c r="J16" s="12">
        <f t="shared" si="4"/>
        <v>270.44</v>
      </c>
      <c r="K16" s="12">
        <f t="shared" si="4"/>
        <v>0</v>
      </c>
      <c r="L16" s="12">
        <f t="shared" si="4"/>
        <v>47516.672999999995</v>
      </c>
      <c r="M16" s="12">
        <f t="shared" si="4"/>
        <v>179897</v>
      </c>
      <c r="N16" s="12">
        <f t="shared" si="4"/>
        <v>441</v>
      </c>
      <c r="O16" s="12">
        <f t="shared" si="4"/>
        <v>148</v>
      </c>
      <c r="P16" s="12">
        <f t="shared" si="4"/>
        <v>55904.42</v>
      </c>
      <c r="Q16" s="12">
        <f t="shared" si="4"/>
        <v>2310</v>
      </c>
      <c r="R16" s="12">
        <f t="shared" si="4"/>
        <v>1070</v>
      </c>
      <c r="S16" s="12">
        <f t="shared" si="4"/>
        <v>1661.44</v>
      </c>
      <c r="T16" s="12">
        <f t="shared" si="4"/>
        <v>726.66000000000008</v>
      </c>
      <c r="U16" s="12">
        <f t="shared" si="4"/>
        <v>70</v>
      </c>
      <c r="V16" s="12">
        <f t="shared" si="4"/>
        <v>120</v>
      </c>
      <c r="W16" s="12">
        <f t="shared" si="4"/>
        <v>0</v>
      </c>
      <c r="X16" s="12">
        <f t="shared" si="4"/>
        <v>3000.0000000000005</v>
      </c>
      <c r="Y16" s="12">
        <f>SUM(Y3:Y15)</f>
        <v>7184</v>
      </c>
      <c r="Z16" s="12">
        <f>SUM(Z3:Z15)</f>
        <v>-121446.26299999999</v>
      </c>
      <c r="AA16" s="13" t="s">
        <v>40</v>
      </c>
      <c r="AB16" s="14"/>
    </row>
    <row r="17" spans="3:26" ht="35.4" thickTop="1" x14ac:dyDescent="0.9">
      <c r="C17" s="10" t="s">
        <v>41</v>
      </c>
      <c r="D17" s="15">
        <f>+Z16</f>
        <v>-121446.26299999999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3:26" ht="34.799999999999997" x14ac:dyDescent="0.9">
      <c r="C18" s="10" t="s">
        <v>42</v>
      </c>
      <c r="D18" s="17">
        <f>+D17/D16</f>
        <v>-0.12376209940404855</v>
      </c>
      <c r="J18" s="16"/>
    </row>
    <row r="19" spans="3:26" ht="34.799999999999997" x14ac:dyDescent="0.9">
      <c r="J19" s="16"/>
    </row>
    <row r="20" spans="3:26" ht="34.799999999999997" x14ac:dyDescent="0.9">
      <c r="J20" s="16"/>
    </row>
    <row r="21" spans="3:26" ht="34.799999999999997" x14ac:dyDescent="0.9">
      <c r="J21" s="16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16 Z18:Z1048576">
    <cfRule type="cellIs" dxfId="9" priority="1" operator="lessThan">
      <formula>0</formula>
    </cfRule>
  </conditionalFormatting>
  <pageMargins left="0.25" right="0.25" top="0.75" bottom="0.75" header="0.3" footer="0.3"/>
  <pageSetup paperSize="9" scale="37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9D39-DD97-4C3F-820A-06AD314B3E14}">
  <sheetPr>
    <tabColor theme="8" tint="-0.249977111117893"/>
    <pageSetUpPr fitToPage="1"/>
  </sheetPr>
  <dimension ref="A1:AB20"/>
  <sheetViews>
    <sheetView zoomScaleNormal="100" workbookViewId="0">
      <pane xSplit="3" ySplit="2" topLeftCell="S3" activePane="bottomRight" state="frozen"/>
      <selection activeCell="Z4" sqref="Z4:Z6"/>
      <selection pane="topRight" activeCell="Z4" sqref="Z4:Z6"/>
      <selection pane="bottomLeft" activeCell="Z4" sqref="Z4:Z6"/>
      <selection pane="bottomRight" activeCell="Z4" sqref="Z4:Z6"/>
    </sheetView>
  </sheetViews>
  <sheetFormatPr defaultColWidth="9" defaultRowHeight="15.6" x14ac:dyDescent="0.4"/>
  <cols>
    <col min="1" max="1" width="5.3984375" style="2" bestFit="1" customWidth="1"/>
    <col min="2" max="2" width="9.3984375" style="2" bestFit="1" customWidth="1"/>
    <col min="3" max="3" width="22.3984375" style="2" bestFit="1" customWidth="1"/>
    <col min="4" max="4" width="13.59765625" style="2" customWidth="1"/>
    <col min="5" max="5" width="12.09765625" style="2" customWidth="1"/>
    <col min="6" max="6" width="14.09765625" style="2" customWidth="1"/>
    <col min="7" max="7" width="12.19921875" style="2" customWidth="1"/>
    <col min="8" max="8" width="13.19921875" style="2" customWidth="1"/>
    <col min="9" max="25" width="13.3984375" style="2" customWidth="1"/>
    <col min="26" max="26" width="16.69921875" style="2" customWidth="1"/>
    <col min="27" max="16384" width="9" style="2"/>
  </cols>
  <sheetData>
    <row r="1" spans="1:28" ht="28.8" x14ac:dyDescent="0.75">
      <c r="A1" s="1" t="s">
        <v>45</v>
      </c>
    </row>
    <row r="2" spans="1:28" s="4" customFormat="1" ht="79.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43</v>
      </c>
      <c r="Y2" s="3" t="s">
        <v>25</v>
      </c>
      <c r="Z2" s="3" t="s">
        <v>26</v>
      </c>
    </row>
    <row r="3" spans="1:28" ht="23.4" x14ac:dyDescent="0.6">
      <c r="A3" s="5">
        <v>1</v>
      </c>
      <c r="B3" s="5">
        <v>10203</v>
      </c>
      <c r="C3" s="6" t="s">
        <v>27</v>
      </c>
      <c r="D3" s="7">
        <v>85432</v>
      </c>
      <c r="E3" s="7">
        <v>7845</v>
      </c>
      <c r="F3" s="7">
        <f>+D3-E3</f>
        <v>77587</v>
      </c>
      <c r="G3" s="7">
        <f>+D3*0.5</f>
        <v>42716</v>
      </c>
      <c r="H3" s="7">
        <f t="shared" ref="H3:H13" si="0">+F3-G3</f>
        <v>34871</v>
      </c>
      <c r="I3" s="20">
        <f>+[1]รายชื่อพนักงานรายเดือน!G10</f>
        <v>17553.885833333334</v>
      </c>
      <c r="J3" s="7">
        <v>0</v>
      </c>
      <c r="K3" s="7">
        <v>100</v>
      </c>
      <c r="L3" s="20">
        <f>+[1]รายชื่อพนักงานรายเดือน!C9</f>
        <v>3580.5558333333333</v>
      </c>
      <c r="M3" s="7">
        <f>14884+14884</f>
        <v>29768</v>
      </c>
      <c r="N3" s="7">
        <v>0</v>
      </c>
      <c r="O3" s="7">
        <v>0</v>
      </c>
      <c r="P3" s="7">
        <v>5442</v>
      </c>
      <c r="Q3" s="7">
        <v>315</v>
      </c>
      <c r="R3" s="7">
        <v>0</v>
      </c>
      <c r="S3" s="7">
        <v>206.96</v>
      </c>
      <c r="T3" s="7">
        <v>0</v>
      </c>
      <c r="U3" s="7">
        <v>0</v>
      </c>
      <c r="V3" s="7">
        <v>0</v>
      </c>
      <c r="W3" s="7"/>
      <c r="X3" s="7">
        <f>+[1]รายชื่อพนักงานรายเดือน!K8</f>
        <v>230.76923076923077</v>
      </c>
      <c r="Y3" s="7">
        <v>39</v>
      </c>
      <c r="Z3" s="9">
        <f t="shared" ref="Z3:Z14" si="1">+H3-I3-J3-L3-M3-O3-P3-S3-T3-U3-V3-W3-X3-Y3-Q3-R3-K3-N3</f>
        <v>-22365.170897435895</v>
      </c>
    </row>
    <row r="4" spans="1:28" ht="23.4" x14ac:dyDescent="0.6">
      <c r="A4" s="5">
        <v>2</v>
      </c>
      <c r="B4" s="5">
        <v>10204</v>
      </c>
      <c r="C4" s="6" t="s">
        <v>28</v>
      </c>
      <c r="D4" s="7">
        <v>85089</v>
      </c>
      <c r="E4" s="7">
        <v>12239</v>
      </c>
      <c r="F4" s="7">
        <f>+D4-E4</f>
        <v>72850</v>
      </c>
      <c r="G4" s="7">
        <f t="shared" ref="G4:G14" si="2">+D4*0.5</f>
        <v>42544.5</v>
      </c>
      <c r="H4" s="7">
        <f t="shared" si="0"/>
        <v>30305.5</v>
      </c>
      <c r="I4" s="20">
        <f>+[1]รายชื่อพนักงานรายเดือน!G10</f>
        <v>17553.885833333334</v>
      </c>
      <c r="J4" s="7">
        <v>0</v>
      </c>
      <c r="K4" s="7">
        <v>0</v>
      </c>
      <c r="L4" s="20">
        <f>+[1]รายชื่อพนักงานรายเดือน!C9</f>
        <v>3580.5558333333333</v>
      </c>
      <c r="M4" s="7">
        <v>5820</v>
      </c>
      <c r="N4" s="7">
        <v>0</v>
      </c>
      <c r="O4" s="7">
        <v>38</v>
      </c>
      <c r="P4" s="7">
        <v>4011.95</v>
      </c>
      <c r="Q4" s="7">
        <v>15</v>
      </c>
      <c r="R4" s="7">
        <v>0</v>
      </c>
      <c r="S4" s="7">
        <v>206.96</v>
      </c>
      <c r="T4" s="7">
        <v>0</v>
      </c>
      <c r="U4" s="7">
        <v>0</v>
      </c>
      <c r="V4" s="7">
        <v>0</v>
      </c>
      <c r="W4" s="7"/>
      <c r="X4" s="7">
        <f>+[1]รายชื่อพนักงานรายเดือน!K8</f>
        <v>230.76923076923077</v>
      </c>
      <c r="Y4" s="7"/>
      <c r="Z4" s="9">
        <f t="shared" si="1"/>
        <v>-1151.6208974358981</v>
      </c>
    </row>
    <row r="5" spans="1:28" ht="24" customHeight="1" x14ac:dyDescent="0.6">
      <c r="A5" s="5">
        <v>3</v>
      </c>
      <c r="B5" s="5">
        <v>10205</v>
      </c>
      <c r="C5" s="6" t="s">
        <v>29</v>
      </c>
      <c r="D5" s="7">
        <v>92555</v>
      </c>
      <c r="E5" s="7">
        <v>10547</v>
      </c>
      <c r="F5" s="7">
        <f t="shared" ref="F5:F13" si="3">+D5-E5</f>
        <v>82008</v>
      </c>
      <c r="G5" s="7">
        <f t="shared" si="2"/>
        <v>46277.5</v>
      </c>
      <c r="H5" s="7">
        <f t="shared" si="0"/>
        <v>35730.5</v>
      </c>
      <c r="I5" s="20">
        <f>+[1]รายชื่อพนักงานรายเดือน!G10</f>
        <v>17553.885833333334</v>
      </c>
      <c r="J5" s="7">
        <v>0</v>
      </c>
      <c r="K5" s="7">
        <v>0</v>
      </c>
      <c r="L5" s="20">
        <f>+[1]รายชื่อพนักงานรายเดือน!C9</f>
        <v>3580.5558333333333</v>
      </c>
      <c r="M5" s="7">
        <v>0</v>
      </c>
      <c r="N5" s="7">
        <v>0</v>
      </c>
      <c r="O5" s="7">
        <v>40</v>
      </c>
      <c r="P5" s="7">
        <v>14009.12</v>
      </c>
      <c r="Q5" s="7">
        <v>0</v>
      </c>
      <c r="R5" s="7">
        <v>0</v>
      </c>
      <c r="S5" s="7">
        <v>206.96</v>
      </c>
      <c r="T5" s="7">
        <v>0</v>
      </c>
      <c r="U5" s="7">
        <v>100</v>
      </c>
      <c r="V5" s="7">
        <v>405</v>
      </c>
      <c r="W5" s="7"/>
      <c r="X5" s="7">
        <f>+[1]รายชื่อพนักงานรายเดือน!K8</f>
        <v>230.76923076923077</v>
      </c>
      <c r="Y5" s="7">
        <v>15</v>
      </c>
      <c r="Z5" s="9">
        <f t="shared" si="1"/>
        <v>-410.79089743589913</v>
      </c>
    </row>
    <row r="6" spans="1:28" ht="23.4" x14ac:dyDescent="0.6">
      <c r="A6" s="5">
        <v>4</v>
      </c>
      <c r="B6" s="5">
        <v>10207</v>
      </c>
      <c r="C6" s="6" t="s">
        <v>30</v>
      </c>
      <c r="D6" s="7">
        <v>106235</v>
      </c>
      <c r="E6" s="7">
        <v>1250</v>
      </c>
      <c r="F6" s="7">
        <f t="shared" si="3"/>
        <v>104985</v>
      </c>
      <c r="G6" s="7">
        <f t="shared" si="2"/>
        <v>53117.5</v>
      </c>
      <c r="H6" s="7">
        <f t="shared" si="0"/>
        <v>51867.5</v>
      </c>
      <c r="I6" s="20">
        <f>+[1]รายชื่อพนักงานรายเดือน!G10</f>
        <v>17553.885833333334</v>
      </c>
      <c r="J6" s="7">
        <v>199.4</v>
      </c>
      <c r="K6" s="7">
        <v>100</v>
      </c>
      <c r="L6" s="20">
        <f>+[1]รายชื่อพนักงานรายเดือน!C9</f>
        <v>3580.5558333333333</v>
      </c>
      <c r="M6" s="7">
        <v>9000</v>
      </c>
      <c r="N6" s="7">
        <v>0</v>
      </c>
      <c r="O6" s="7">
        <v>0</v>
      </c>
      <c r="P6" s="7">
        <v>3195</v>
      </c>
      <c r="Q6" s="7">
        <v>405</v>
      </c>
      <c r="R6" s="7">
        <v>0</v>
      </c>
      <c r="S6" s="7">
        <v>206.96</v>
      </c>
      <c r="T6" s="7">
        <v>0</v>
      </c>
      <c r="U6" s="7">
        <v>0</v>
      </c>
      <c r="V6" s="7">
        <v>0</v>
      </c>
      <c r="W6" s="7"/>
      <c r="X6" s="7">
        <f>+[1]รายชื่อพนักงานรายเดือน!K8</f>
        <v>230.76923076923077</v>
      </c>
      <c r="Y6" s="7">
        <v>0</v>
      </c>
      <c r="Z6" s="9">
        <f t="shared" si="1"/>
        <v>17395.929102564103</v>
      </c>
    </row>
    <row r="7" spans="1:28" ht="23.4" x14ac:dyDescent="0.6">
      <c r="A7" s="5">
        <v>5</v>
      </c>
      <c r="B7" s="5">
        <v>10208</v>
      </c>
      <c r="C7" s="6" t="s">
        <v>31</v>
      </c>
      <c r="D7" s="7">
        <v>48945</v>
      </c>
      <c r="E7" s="7">
        <v>1335</v>
      </c>
      <c r="F7" s="7">
        <f t="shared" si="3"/>
        <v>47610</v>
      </c>
      <c r="G7" s="7">
        <f t="shared" si="2"/>
        <v>24472.5</v>
      </c>
      <c r="H7" s="7">
        <f t="shared" si="0"/>
        <v>23137.5</v>
      </c>
      <c r="I7" s="20">
        <f>+[1]รายชื่อพนักงานรายเดือน!G10</f>
        <v>17553.885833333334</v>
      </c>
      <c r="J7" s="7">
        <v>0</v>
      </c>
      <c r="K7" s="7">
        <v>0</v>
      </c>
      <c r="L7" s="20">
        <f>+[1]รายชื่อพนักงานรายเดือน!C9</f>
        <v>3580.5558333333333</v>
      </c>
      <c r="M7" s="7">
        <v>6741</v>
      </c>
      <c r="N7" s="7">
        <v>441</v>
      </c>
      <c r="O7" s="7">
        <v>0</v>
      </c>
      <c r="P7" s="7">
        <v>1361</v>
      </c>
      <c r="Q7" s="7">
        <v>0</v>
      </c>
      <c r="R7" s="7">
        <v>0</v>
      </c>
      <c r="S7" s="7">
        <v>206.96</v>
      </c>
      <c r="T7" s="7">
        <v>242.4</v>
      </c>
      <c r="U7" s="7">
        <v>0</v>
      </c>
      <c r="V7" s="7">
        <v>0</v>
      </c>
      <c r="W7" s="7"/>
      <c r="X7" s="7">
        <f>+[1]รายชื่อพนักงานรายเดือน!K8</f>
        <v>230.76923076923077</v>
      </c>
      <c r="Y7" s="7">
        <v>0</v>
      </c>
      <c r="Z7" s="9">
        <f t="shared" si="1"/>
        <v>-7220.0708974358977</v>
      </c>
    </row>
    <row r="8" spans="1:28" ht="23.4" x14ac:dyDescent="0.6">
      <c r="A8" s="5">
        <v>6</v>
      </c>
      <c r="B8" s="5">
        <v>10209</v>
      </c>
      <c r="C8" s="6" t="s">
        <v>32</v>
      </c>
      <c r="D8" s="7">
        <v>121395</v>
      </c>
      <c r="E8" s="7">
        <v>22644</v>
      </c>
      <c r="F8" s="7">
        <f t="shared" si="3"/>
        <v>98751</v>
      </c>
      <c r="G8" s="7">
        <f t="shared" si="2"/>
        <v>60697.5</v>
      </c>
      <c r="H8" s="7">
        <f t="shared" si="0"/>
        <v>38053.5</v>
      </c>
      <c r="I8" s="20">
        <f>+[1]รายชื่อพนักงานรายเดือน!G10</f>
        <v>17553.885833333334</v>
      </c>
      <c r="J8" s="7">
        <v>0</v>
      </c>
      <c r="K8" s="7">
        <v>200</v>
      </c>
      <c r="L8" s="20">
        <f>+[1]รายชื่อพนักงานรายเดือน!C9</f>
        <v>3580.5558333333333</v>
      </c>
      <c r="M8" s="7">
        <v>16000</v>
      </c>
      <c r="N8" s="7">
        <v>0</v>
      </c>
      <c r="O8" s="7">
        <v>0</v>
      </c>
      <c r="P8" s="7">
        <v>3982</v>
      </c>
      <c r="Q8" s="7">
        <v>0</v>
      </c>
      <c r="R8" s="7">
        <v>0</v>
      </c>
      <c r="S8" s="7">
        <v>206.96</v>
      </c>
      <c r="T8" s="7">
        <v>0</v>
      </c>
      <c r="U8" s="7">
        <v>0</v>
      </c>
      <c r="V8" s="7">
        <v>0</v>
      </c>
      <c r="W8" s="7"/>
      <c r="X8" s="7">
        <f>+[1]รายชื่อพนักงานรายเดือน!K8</f>
        <v>230.76923076923077</v>
      </c>
      <c r="Y8" s="7">
        <v>89</v>
      </c>
      <c r="Z8" s="9">
        <f t="shared" si="1"/>
        <v>-3789.6708974358967</v>
      </c>
    </row>
    <row r="9" spans="1:28" ht="23.4" x14ac:dyDescent="0.6">
      <c r="A9" s="5">
        <v>7</v>
      </c>
      <c r="B9" s="5">
        <v>10210</v>
      </c>
      <c r="C9" s="6" t="s">
        <v>33</v>
      </c>
      <c r="D9" s="7">
        <v>128085</v>
      </c>
      <c r="E9" s="7">
        <v>3885</v>
      </c>
      <c r="F9" s="7">
        <f t="shared" si="3"/>
        <v>124200</v>
      </c>
      <c r="G9" s="7">
        <f t="shared" si="2"/>
        <v>64042.5</v>
      </c>
      <c r="H9" s="7">
        <f t="shared" si="0"/>
        <v>60157.5</v>
      </c>
      <c r="I9" s="20">
        <f>+[1]รายชื่อพนักงานรายเดือน!G10</f>
        <v>17553.885833333334</v>
      </c>
      <c r="J9" s="7">
        <v>968</v>
      </c>
      <c r="K9" s="7">
        <v>200</v>
      </c>
      <c r="L9" s="20">
        <f>+[1]รายชื่อพนักงานรายเดือน!C9</f>
        <v>3580.5558333333333</v>
      </c>
      <c r="M9" s="7">
        <f>14884+14884</f>
        <v>29768</v>
      </c>
      <c r="N9" s="7">
        <v>0</v>
      </c>
      <c r="O9" s="7">
        <v>0</v>
      </c>
      <c r="P9" s="7">
        <v>5730</v>
      </c>
      <c r="Q9" s="7">
        <v>435</v>
      </c>
      <c r="R9" s="7">
        <v>0</v>
      </c>
      <c r="S9" s="7">
        <v>206.96</v>
      </c>
      <c r="T9" s="7">
        <v>0</v>
      </c>
      <c r="U9" s="7">
        <v>0</v>
      </c>
      <c r="V9" s="7">
        <v>0</v>
      </c>
      <c r="W9" s="7"/>
      <c r="X9" s="7">
        <f>+[1]รายชื่อพนักงานรายเดือน!K8</f>
        <v>230.76923076923077</v>
      </c>
      <c r="Y9" s="7">
        <v>0</v>
      </c>
      <c r="Z9" s="9">
        <f t="shared" si="1"/>
        <v>1484.3291025641033</v>
      </c>
    </row>
    <row r="10" spans="1:28" ht="23.4" x14ac:dyDescent="0.6">
      <c r="A10" s="5">
        <v>8</v>
      </c>
      <c r="B10" s="5">
        <v>10219</v>
      </c>
      <c r="C10" s="6" t="s">
        <v>34</v>
      </c>
      <c r="D10" s="7">
        <v>88441</v>
      </c>
      <c r="E10" s="7">
        <v>10501</v>
      </c>
      <c r="F10" s="7">
        <f t="shared" si="3"/>
        <v>77940</v>
      </c>
      <c r="G10" s="7">
        <f t="shared" si="2"/>
        <v>44220.5</v>
      </c>
      <c r="H10" s="7">
        <f t="shared" si="0"/>
        <v>33719.5</v>
      </c>
      <c r="I10" s="20">
        <f>+[1]รายชื่อพนักงานรายเดือน!G10</f>
        <v>17553.885833333334</v>
      </c>
      <c r="J10" s="7">
        <v>0</v>
      </c>
      <c r="K10" s="7">
        <v>0</v>
      </c>
      <c r="L10" s="20">
        <f>+[1]รายชื่อพนักงานรายเดือน!C9</f>
        <v>3580.5558333333333</v>
      </c>
      <c r="M10" s="7">
        <v>16500</v>
      </c>
      <c r="N10" s="7">
        <v>0</v>
      </c>
      <c r="O10" s="7">
        <v>0</v>
      </c>
      <c r="P10" s="7">
        <v>3663</v>
      </c>
      <c r="Q10" s="7">
        <v>450</v>
      </c>
      <c r="R10" s="7">
        <v>0</v>
      </c>
      <c r="S10" s="7">
        <v>0</v>
      </c>
      <c r="T10" s="7">
        <v>467.29</v>
      </c>
      <c r="U10" s="7">
        <v>0</v>
      </c>
      <c r="V10" s="7">
        <v>0</v>
      </c>
      <c r="W10" s="7"/>
      <c r="X10" s="7">
        <f>+[1]รายชื่อพนักงานรายเดือน!K8</f>
        <v>230.76923076923077</v>
      </c>
      <c r="Y10" s="7">
        <v>83</v>
      </c>
      <c r="Z10" s="9">
        <f t="shared" si="1"/>
        <v>-8809.0008974358989</v>
      </c>
    </row>
    <row r="11" spans="1:28" ht="23.4" x14ac:dyDescent="0.6">
      <c r="A11" s="5">
        <v>9</v>
      </c>
      <c r="B11" s="5">
        <v>10235</v>
      </c>
      <c r="C11" s="6" t="s">
        <v>35</v>
      </c>
      <c r="D11" s="7">
        <v>69085</v>
      </c>
      <c r="E11" s="7">
        <v>8210</v>
      </c>
      <c r="F11" s="7">
        <f t="shared" si="3"/>
        <v>60875</v>
      </c>
      <c r="G11" s="7">
        <f t="shared" si="2"/>
        <v>34542.5</v>
      </c>
      <c r="H11" s="7">
        <f t="shared" si="0"/>
        <v>26332.5</v>
      </c>
      <c r="I11" s="20">
        <f>+[1]รายชื่อพนักงานรายเดือน!G10</f>
        <v>17553.885833333334</v>
      </c>
      <c r="J11" s="7">
        <v>0</v>
      </c>
      <c r="K11" s="7">
        <v>0</v>
      </c>
      <c r="L11" s="20">
        <f>+[1]รายชื่อพนักงานรายเดือน!C9</f>
        <v>3580.5558333333333</v>
      </c>
      <c r="M11" s="7">
        <v>12000</v>
      </c>
      <c r="N11" s="7">
        <v>0</v>
      </c>
      <c r="O11" s="7">
        <v>15</v>
      </c>
      <c r="P11" s="7">
        <v>5370</v>
      </c>
      <c r="Q11" s="7">
        <v>0</v>
      </c>
      <c r="R11" s="7">
        <v>0</v>
      </c>
      <c r="S11" s="7">
        <v>212.72</v>
      </c>
      <c r="T11" s="7">
        <v>0</v>
      </c>
      <c r="U11" s="7">
        <v>0</v>
      </c>
      <c r="V11" s="7">
        <v>0</v>
      </c>
      <c r="W11" s="7"/>
      <c r="X11" s="7">
        <f>+[1]รายชื่อพนักงานรายเดือน!K8</f>
        <v>230.76923076923077</v>
      </c>
      <c r="Y11" s="7">
        <v>0</v>
      </c>
      <c r="Z11" s="9">
        <f t="shared" si="1"/>
        <v>-12630.430897435897</v>
      </c>
    </row>
    <row r="12" spans="1:28" ht="23.4" x14ac:dyDescent="0.6">
      <c r="A12" s="5">
        <v>10</v>
      </c>
      <c r="B12" s="5">
        <v>10264</v>
      </c>
      <c r="C12" s="6" t="s">
        <v>36</v>
      </c>
      <c r="D12" s="7">
        <v>92460</v>
      </c>
      <c r="E12" s="7">
        <v>7545</v>
      </c>
      <c r="F12" s="7">
        <f t="shared" si="3"/>
        <v>84915</v>
      </c>
      <c r="G12" s="7">
        <f t="shared" si="2"/>
        <v>46230</v>
      </c>
      <c r="H12" s="7">
        <f t="shared" si="0"/>
        <v>38685</v>
      </c>
      <c r="I12" s="20">
        <f>+[1]รายชื่อพนักงานรายเดือน!G10</f>
        <v>17553.885833333334</v>
      </c>
      <c r="J12" s="7">
        <v>0</v>
      </c>
      <c r="K12" s="7">
        <v>0</v>
      </c>
      <c r="L12" s="20">
        <f>+[1]รายชื่อพนักงานรายเดือน!C9</f>
        <v>3580.5558333333333</v>
      </c>
      <c r="M12" s="7">
        <v>22050</v>
      </c>
      <c r="N12" s="7">
        <v>0</v>
      </c>
      <c r="O12" s="7">
        <v>0</v>
      </c>
      <c r="P12" s="7">
        <v>4974</v>
      </c>
      <c r="Q12" s="7">
        <v>420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/>
      <c r="X12" s="7">
        <f>+[1]รายชื่อพนักงานรายเดือน!K8</f>
        <v>230.76923076923077</v>
      </c>
      <c r="Y12" s="7">
        <v>59</v>
      </c>
      <c r="Z12" s="9">
        <f t="shared" si="1"/>
        <v>-10183.210897435896</v>
      </c>
    </row>
    <row r="13" spans="1:28" ht="23.4" x14ac:dyDescent="0.6">
      <c r="A13" s="5">
        <v>11</v>
      </c>
      <c r="B13" s="5">
        <v>10377</v>
      </c>
      <c r="C13" s="6" t="s">
        <v>37</v>
      </c>
      <c r="D13" s="7">
        <v>67365</v>
      </c>
      <c r="E13" s="7">
        <v>8125</v>
      </c>
      <c r="F13" s="7">
        <f t="shared" si="3"/>
        <v>59240</v>
      </c>
      <c r="G13" s="7">
        <f t="shared" si="2"/>
        <v>33682.5</v>
      </c>
      <c r="H13" s="7">
        <f t="shared" si="0"/>
        <v>25557.5</v>
      </c>
      <c r="I13" s="20">
        <f>+[1]รายชื่อพนักงานรายเดือน!G10</f>
        <v>17553.885833333334</v>
      </c>
      <c r="J13" s="7">
        <v>0</v>
      </c>
      <c r="K13" s="7">
        <v>0</v>
      </c>
      <c r="L13" s="20">
        <f>+[1]รายชื่อพนักงานรายเดือน!C9</f>
        <v>3580.5558333333333</v>
      </c>
      <c r="M13" s="7">
        <v>20250</v>
      </c>
      <c r="N13" s="7">
        <v>0</v>
      </c>
      <c r="O13" s="7">
        <v>0</v>
      </c>
      <c r="P13" s="7"/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/>
      <c r="X13" s="7">
        <f>+[1]รายชื่อพนักงานรายเดือน!K8</f>
        <v>230.76923076923077</v>
      </c>
      <c r="Y13" s="7">
        <v>0</v>
      </c>
      <c r="Z13" s="9">
        <f t="shared" si="1"/>
        <v>-16057.710897435898</v>
      </c>
    </row>
    <row r="14" spans="1:28" ht="23.4" x14ac:dyDescent="0.6">
      <c r="A14" s="5">
        <v>12</v>
      </c>
      <c r="B14" s="5">
        <v>10371</v>
      </c>
      <c r="C14" s="6" t="s">
        <v>38</v>
      </c>
      <c r="D14" s="7">
        <v>32595</v>
      </c>
      <c r="E14" s="7">
        <v>5100</v>
      </c>
      <c r="F14" s="7">
        <f>+D14-E14</f>
        <v>27495</v>
      </c>
      <c r="G14" s="7">
        <f t="shared" si="2"/>
        <v>16297.5</v>
      </c>
      <c r="H14" s="7">
        <f>+F14-G14</f>
        <v>11197.5</v>
      </c>
      <c r="I14" s="20">
        <f>+[1]รายชื่อพนักงานรายเดือน!G10</f>
        <v>17553.885833333334</v>
      </c>
      <c r="J14" s="7">
        <v>0</v>
      </c>
      <c r="K14" s="7">
        <v>0</v>
      </c>
      <c r="L14" s="20">
        <f>+[1]รายชื่อพนักงานรายเดือน!C9</f>
        <v>3580.5558333333333</v>
      </c>
      <c r="M14" s="7">
        <v>12000</v>
      </c>
      <c r="N14" s="7">
        <v>0</v>
      </c>
      <c r="O14" s="7">
        <v>0</v>
      </c>
      <c r="P14" s="7">
        <v>4614</v>
      </c>
      <c r="Q14" s="7">
        <v>0</v>
      </c>
      <c r="R14" s="7">
        <v>1070</v>
      </c>
      <c r="S14" s="7">
        <v>0</v>
      </c>
      <c r="T14" s="7">
        <v>0</v>
      </c>
      <c r="U14" s="7">
        <v>0</v>
      </c>
      <c r="V14" s="7">
        <v>0</v>
      </c>
      <c r="W14" s="7"/>
      <c r="X14" s="7">
        <f>+[1]รายชื่อพนักงานรายเดือน!K8</f>
        <v>230.76923076923077</v>
      </c>
      <c r="Y14" s="7">
        <v>53</v>
      </c>
      <c r="Z14" s="9">
        <f t="shared" si="1"/>
        <v>-27904.710897435896</v>
      </c>
    </row>
    <row r="15" spans="1:28" ht="27" thickBot="1" x14ac:dyDescent="0.75">
      <c r="C15" s="10" t="s">
        <v>39</v>
      </c>
      <c r="D15" s="11">
        <f t="shared" ref="D15:Z15" si="4">SUM(D3:D14)</f>
        <v>1017682</v>
      </c>
      <c r="E15" s="12">
        <f t="shared" si="4"/>
        <v>99226</v>
      </c>
      <c r="F15" s="12">
        <f t="shared" si="4"/>
        <v>918456</v>
      </c>
      <c r="G15" s="12">
        <f t="shared" si="4"/>
        <v>508841</v>
      </c>
      <c r="H15" s="12">
        <f t="shared" si="4"/>
        <v>409615</v>
      </c>
      <c r="I15" s="11">
        <f t="shared" si="4"/>
        <v>210646.63</v>
      </c>
      <c r="J15" s="12">
        <f t="shared" si="4"/>
        <v>1167.4000000000001</v>
      </c>
      <c r="K15" s="12">
        <f t="shared" si="4"/>
        <v>600</v>
      </c>
      <c r="L15" s="11">
        <f>SUM(L3:L14)</f>
        <v>42966.669999999991</v>
      </c>
      <c r="M15" s="12">
        <f t="shared" si="4"/>
        <v>179897</v>
      </c>
      <c r="N15" s="12">
        <f t="shared" si="4"/>
        <v>441</v>
      </c>
      <c r="O15" s="12">
        <f t="shared" si="4"/>
        <v>93</v>
      </c>
      <c r="P15" s="12">
        <f t="shared" si="4"/>
        <v>56352.07</v>
      </c>
      <c r="Q15" s="12">
        <f t="shared" si="4"/>
        <v>2040</v>
      </c>
      <c r="R15" s="12">
        <f t="shared" si="4"/>
        <v>1070</v>
      </c>
      <c r="S15" s="12">
        <f t="shared" si="4"/>
        <v>1661.44</v>
      </c>
      <c r="T15" s="12">
        <f t="shared" si="4"/>
        <v>709.69</v>
      </c>
      <c r="U15" s="12">
        <f t="shared" si="4"/>
        <v>100</v>
      </c>
      <c r="V15" s="12">
        <f t="shared" si="4"/>
        <v>405</v>
      </c>
      <c r="W15" s="12">
        <f t="shared" si="4"/>
        <v>0</v>
      </c>
      <c r="X15" s="12">
        <f t="shared" si="4"/>
        <v>2769.2307692307695</v>
      </c>
      <c r="Y15" s="12">
        <f t="shared" si="4"/>
        <v>338</v>
      </c>
      <c r="Z15" s="12">
        <f t="shared" si="4"/>
        <v>-91642.130769230775</v>
      </c>
      <c r="AA15" s="13" t="s">
        <v>40</v>
      </c>
      <c r="AB15" s="14"/>
    </row>
    <row r="16" spans="1:28" ht="35.4" thickTop="1" x14ac:dyDescent="0.9">
      <c r="C16" s="10" t="s">
        <v>41</v>
      </c>
      <c r="D16" s="15">
        <f>+Z15</f>
        <v>-91642.130769230775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3:10" ht="34.799999999999997" x14ac:dyDescent="0.9">
      <c r="C17" s="10" t="s">
        <v>42</v>
      </c>
      <c r="D17" s="17">
        <f>+D16/D15</f>
        <v>-9.0049868985823442E-2</v>
      </c>
      <c r="J17" s="16"/>
    </row>
    <row r="18" spans="3:10" ht="34.799999999999997" x14ac:dyDescent="0.9">
      <c r="J18" s="16"/>
    </row>
    <row r="19" spans="3:10" ht="34.799999999999997" x14ac:dyDescent="0.9">
      <c r="J19" s="16"/>
    </row>
    <row r="20" spans="3:10" ht="34.799999999999997" x14ac:dyDescent="0.9">
      <c r="J20" s="16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15 Z17:Z1048576">
    <cfRule type="cellIs" dxfId="8" priority="1" operator="lessThan">
      <formula>0</formula>
    </cfRule>
  </conditionalFormatting>
  <pageMargins left="0.25" right="0.25" top="0.75" bottom="0.75" header="0.3" footer="0.3"/>
  <pageSetup paperSize="9" scale="37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981C-89DB-4D9D-B32D-55BA0217FEBD}">
  <sheetPr>
    <tabColor theme="8" tint="-0.249977111117893"/>
    <pageSetUpPr fitToPage="1"/>
  </sheetPr>
  <dimension ref="A1:AB20"/>
  <sheetViews>
    <sheetView zoomScaleNormal="100" workbookViewId="0">
      <pane xSplit="3" ySplit="2" topLeftCell="Q3" activePane="bottomRight" state="frozen"/>
      <selection activeCell="Z4" sqref="Z4:Z6"/>
      <selection pane="topRight" activeCell="Z4" sqref="Z4:Z6"/>
      <selection pane="bottomLeft" activeCell="Z4" sqref="Z4:Z6"/>
      <selection pane="bottomRight" activeCell="Z4" sqref="Z4:Z6"/>
    </sheetView>
  </sheetViews>
  <sheetFormatPr defaultColWidth="9" defaultRowHeight="15.6" x14ac:dyDescent="0.4"/>
  <cols>
    <col min="1" max="1" width="5.3984375" style="2" bestFit="1" customWidth="1"/>
    <col min="2" max="2" width="9.3984375" style="2" bestFit="1" customWidth="1"/>
    <col min="3" max="3" width="22.3984375" style="2" bestFit="1" customWidth="1"/>
    <col min="4" max="4" width="13.59765625" style="2" customWidth="1"/>
    <col min="5" max="5" width="12.09765625" style="2" customWidth="1"/>
    <col min="6" max="6" width="14.09765625" style="2" customWidth="1"/>
    <col min="7" max="7" width="12.19921875" style="2" customWidth="1"/>
    <col min="8" max="8" width="13.19921875" style="2" customWidth="1"/>
    <col min="9" max="25" width="13.3984375" style="2" customWidth="1"/>
    <col min="26" max="26" width="16.69921875" style="2" customWidth="1"/>
    <col min="27" max="16384" width="9" style="2"/>
  </cols>
  <sheetData>
    <row r="1" spans="1:28" ht="28.8" x14ac:dyDescent="0.75">
      <c r="A1" s="1" t="s">
        <v>46</v>
      </c>
    </row>
    <row r="2" spans="1:28" s="4" customFormat="1" ht="79.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43</v>
      </c>
      <c r="Y2" s="3" t="s">
        <v>25</v>
      </c>
      <c r="Z2" s="3" t="s">
        <v>26</v>
      </c>
    </row>
    <row r="3" spans="1:28" ht="23.4" x14ac:dyDescent="0.6">
      <c r="A3" s="5">
        <v>1</v>
      </c>
      <c r="B3" s="5">
        <v>10203</v>
      </c>
      <c r="C3" s="6" t="s">
        <v>27</v>
      </c>
      <c r="D3" s="7">
        <v>97740</v>
      </c>
      <c r="E3" s="7">
        <v>7050</v>
      </c>
      <c r="F3" s="7">
        <f>+D3-E3</f>
        <v>90690</v>
      </c>
      <c r="G3" s="7">
        <f>+D3*0.5</f>
        <v>48870</v>
      </c>
      <c r="H3" s="7">
        <f t="shared" ref="H3:H13" si="0">+F3-G3</f>
        <v>41820</v>
      </c>
      <c r="I3" s="20">
        <f>+[1]รายชื่อพนักงานรายเดือน!G10</f>
        <v>17553.885833333334</v>
      </c>
      <c r="J3" s="7">
        <v>0</v>
      </c>
      <c r="K3" s="7"/>
      <c r="L3" s="20">
        <f>+[1]รายชื่อพนักงานรายเดือน!C9</f>
        <v>3580.5558333333333</v>
      </c>
      <c r="M3" s="7">
        <f>14884+14884</f>
        <v>29768</v>
      </c>
      <c r="N3" s="7">
        <v>0</v>
      </c>
      <c r="O3" s="7">
        <v>0</v>
      </c>
      <c r="P3" s="7">
        <v>5243</v>
      </c>
      <c r="Q3" s="7">
        <v>270</v>
      </c>
      <c r="R3" s="7">
        <v>0</v>
      </c>
      <c r="S3" s="7">
        <v>206.96</v>
      </c>
      <c r="T3" s="7">
        <v>0</v>
      </c>
      <c r="U3" s="7">
        <v>0</v>
      </c>
      <c r="V3" s="7">
        <v>0</v>
      </c>
      <c r="W3" s="7"/>
      <c r="X3" s="7">
        <f>+[1]รายชื่อพนักงานรายเดือน!K8</f>
        <v>230.76923076923077</v>
      </c>
      <c r="Y3" s="7">
        <v>79</v>
      </c>
      <c r="Z3" s="9">
        <f t="shared" ref="Z3:Z14" si="1">+H3-I3-J3-L3-M3-O3-P3-S3-T3-U3-V3-W3-X3-Y3-Q3-R3-K3-N3</f>
        <v>-15112.170897435895</v>
      </c>
    </row>
    <row r="4" spans="1:28" ht="23.4" x14ac:dyDescent="0.6">
      <c r="A4" s="5">
        <v>2</v>
      </c>
      <c r="B4" s="5">
        <v>10204</v>
      </c>
      <c r="C4" s="6" t="s">
        <v>28</v>
      </c>
      <c r="D4" s="7">
        <v>78800</v>
      </c>
      <c r="E4" s="7">
        <v>14251</v>
      </c>
      <c r="F4" s="7">
        <f>+D4-E4</f>
        <v>64549</v>
      </c>
      <c r="G4" s="7">
        <f t="shared" ref="G4:G14" si="2">+D4*0.5</f>
        <v>39400</v>
      </c>
      <c r="H4" s="7">
        <f t="shared" si="0"/>
        <v>25149</v>
      </c>
      <c r="I4" s="20">
        <f>+[1]รายชื่อพนักงานรายเดือน!G10</f>
        <v>17553.885833333334</v>
      </c>
      <c r="J4" s="7">
        <v>0</v>
      </c>
      <c r="K4" s="7">
        <v>0</v>
      </c>
      <c r="L4" s="20">
        <f>+[1]รายชื่อพนักงานรายเดือน!C9</f>
        <v>3580.5558333333333</v>
      </c>
      <c r="M4" s="7">
        <v>5820</v>
      </c>
      <c r="N4" s="7">
        <v>0</v>
      </c>
      <c r="O4" s="7">
        <v>35</v>
      </c>
      <c r="P4" s="7">
        <v>4074.41</v>
      </c>
      <c r="Q4" s="7"/>
      <c r="R4" s="7">
        <v>0</v>
      </c>
      <c r="S4" s="7">
        <v>206.96</v>
      </c>
      <c r="T4" s="7">
        <v>0</v>
      </c>
      <c r="U4" s="7">
        <v>0</v>
      </c>
      <c r="V4" s="7">
        <v>0</v>
      </c>
      <c r="W4" s="7"/>
      <c r="X4" s="7">
        <f>+[1]รายชื่อพนักงานรายเดือน!K8</f>
        <v>230.76923076923077</v>
      </c>
      <c r="Y4" s="7">
        <v>46</v>
      </c>
      <c r="Z4" s="9">
        <f t="shared" si="1"/>
        <v>-6398.5808974358979</v>
      </c>
    </row>
    <row r="5" spans="1:28" ht="24" customHeight="1" x14ac:dyDescent="0.6">
      <c r="A5" s="5">
        <v>3</v>
      </c>
      <c r="B5" s="5">
        <v>10205</v>
      </c>
      <c r="C5" s="6" t="s">
        <v>29</v>
      </c>
      <c r="D5" s="7">
        <v>82134</v>
      </c>
      <c r="E5" s="7">
        <v>15966</v>
      </c>
      <c r="F5" s="7">
        <f t="shared" ref="F5:F13" si="3">+D5-E5</f>
        <v>66168</v>
      </c>
      <c r="G5" s="7">
        <f t="shared" si="2"/>
        <v>41067</v>
      </c>
      <c r="H5" s="7">
        <f t="shared" si="0"/>
        <v>25101</v>
      </c>
      <c r="I5" s="20">
        <f>+[1]รายชื่อพนักงานรายเดือน!G10</f>
        <v>17553.885833333334</v>
      </c>
      <c r="J5" s="7">
        <v>0</v>
      </c>
      <c r="K5" s="7">
        <v>0</v>
      </c>
      <c r="L5" s="20">
        <f>+[1]รายชื่อพนักงานรายเดือน!C9</f>
        <v>3580.5558333333333</v>
      </c>
      <c r="M5" s="7">
        <v>0</v>
      </c>
      <c r="N5" s="7">
        <v>0</v>
      </c>
      <c r="O5" s="7">
        <v>40</v>
      </c>
      <c r="P5" s="7">
        <v>12491</v>
      </c>
      <c r="Q5" s="7">
        <v>0</v>
      </c>
      <c r="R5" s="7">
        <v>0</v>
      </c>
      <c r="S5" s="7">
        <v>206.96</v>
      </c>
      <c r="T5" s="7">
        <v>0</v>
      </c>
      <c r="U5" s="7">
        <v>79</v>
      </c>
      <c r="V5" s="7">
        <v>310</v>
      </c>
      <c r="W5" s="7"/>
      <c r="X5" s="7">
        <f>+[1]รายชื่อพนักงานรายเดือน!K8</f>
        <v>230.76923076923077</v>
      </c>
      <c r="Y5" s="7">
        <v>321</v>
      </c>
      <c r="Z5" s="9">
        <f t="shared" si="1"/>
        <v>-9712.1708974358971</v>
      </c>
    </row>
    <row r="6" spans="1:28" ht="23.4" x14ac:dyDescent="0.6">
      <c r="A6" s="5">
        <v>4</v>
      </c>
      <c r="B6" s="5">
        <v>10207</v>
      </c>
      <c r="C6" s="6" t="s">
        <v>30</v>
      </c>
      <c r="D6" s="7">
        <v>105714</v>
      </c>
      <c r="E6" s="7">
        <v>1454</v>
      </c>
      <c r="F6" s="7">
        <f t="shared" si="3"/>
        <v>104260</v>
      </c>
      <c r="G6" s="7">
        <f t="shared" si="2"/>
        <v>52857</v>
      </c>
      <c r="H6" s="7">
        <f t="shared" si="0"/>
        <v>51403</v>
      </c>
      <c r="I6" s="20">
        <f>+[1]รายชื่อพนักงานรายเดือน!G10</f>
        <v>17553.885833333334</v>
      </c>
      <c r="J6" s="7">
        <v>170.4</v>
      </c>
      <c r="K6" s="7"/>
      <c r="L6" s="20">
        <f>+[1]รายชื่อพนักงานรายเดือน!C9</f>
        <v>3580.5558333333333</v>
      </c>
      <c r="M6" s="7">
        <v>9000</v>
      </c>
      <c r="N6" s="7">
        <v>0</v>
      </c>
      <c r="O6" s="7">
        <v>0</v>
      </c>
      <c r="P6" s="7">
        <v>2850</v>
      </c>
      <c r="Q6" s="7"/>
      <c r="R6" s="7">
        <v>0</v>
      </c>
      <c r="S6" s="7">
        <v>206.96</v>
      </c>
      <c r="T6" s="7">
        <v>0</v>
      </c>
      <c r="U6" s="7">
        <v>0</v>
      </c>
      <c r="V6" s="7">
        <v>0</v>
      </c>
      <c r="W6" s="7"/>
      <c r="X6" s="7">
        <f>+[1]รายชื่อพนักงานรายเดือน!K8</f>
        <v>230.76923076923077</v>
      </c>
      <c r="Y6" s="7">
        <v>0</v>
      </c>
      <c r="Z6" s="9">
        <f t="shared" si="1"/>
        <v>17810.429102564103</v>
      </c>
    </row>
    <row r="7" spans="1:28" ht="23.4" x14ac:dyDescent="0.6">
      <c r="A7" s="5">
        <v>5</v>
      </c>
      <c r="B7" s="5">
        <v>10208</v>
      </c>
      <c r="C7" s="6" t="s">
        <v>31</v>
      </c>
      <c r="D7" s="7">
        <v>62176</v>
      </c>
      <c r="E7" s="7">
        <v>8931</v>
      </c>
      <c r="F7" s="7">
        <f t="shared" si="3"/>
        <v>53245</v>
      </c>
      <c r="G7" s="7">
        <f t="shared" si="2"/>
        <v>31088</v>
      </c>
      <c r="H7" s="7">
        <f t="shared" si="0"/>
        <v>22157</v>
      </c>
      <c r="I7" s="20">
        <f>+[1]รายชื่อพนักงานรายเดือน!G10</f>
        <v>17553.885833333334</v>
      </c>
      <c r="J7" s="7">
        <v>0</v>
      </c>
      <c r="K7" s="7">
        <v>0</v>
      </c>
      <c r="L7" s="20">
        <f>+[1]รายชื่อพนักงานรายเดือน!C9</f>
        <v>3580.5558333333333</v>
      </c>
      <c r="M7" s="7">
        <v>6741</v>
      </c>
      <c r="N7" s="7"/>
      <c r="O7" s="7">
        <v>0</v>
      </c>
      <c r="P7" s="7">
        <v>1332.02</v>
      </c>
      <c r="Q7" s="7">
        <v>0</v>
      </c>
      <c r="R7" s="7">
        <v>0</v>
      </c>
      <c r="S7" s="7">
        <v>206.96</v>
      </c>
      <c r="T7" s="7">
        <v>242.4</v>
      </c>
      <c r="U7" s="7">
        <v>0</v>
      </c>
      <c r="V7" s="7">
        <v>0</v>
      </c>
      <c r="W7" s="7"/>
      <c r="X7" s="7">
        <f>+[1]รายชื่อพนักงานรายเดือน!K8</f>
        <v>230.76923076923077</v>
      </c>
      <c r="Y7" s="7">
        <v>330</v>
      </c>
      <c r="Z7" s="9">
        <f t="shared" si="1"/>
        <v>-8060.5908974358981</v>
      </c>
    </row>
    <row r="8" spans="1:28" ht="23.4" x14ac:dyDescent="0.6">
      <c r="A8" s="5">
        <v>6</v>
      </c>
      <c r="B8" s="5">
        <v>10209</v>
      </c>
      <c r="C8" s="6" t="s">
        <v>32</v>
      </c>
      <c r="D8" s="7">
        <v>117315</v>
      </c>
      <c r="E8" s="7">
        <v>18697</v>
      </c>
      <c r="F8" s="7">
        <f t="shared" si="3"/>
        <v>98618</v>
      </c>
      <c r="G8" s="7">
        <f t="shared" si="2"/>
        <v>58657.5</v>
      </c>
      <c r="H8" s="7">
        <f t="shared" si="0"/>
        <v>39960.5</v>
      </c>
      <c r="I8" s="20">
        <f>+[1]รายชื่อพนักงานรายเดือน!G10</f>
        <v>17553.885833333334</v>
      </c>
      <c r="J8" s="7">
        <v>0</v>
      </c>
      <c r="K8" s="7">
        <v>100</v>
      </c>
      <c r="L8" s="20">
        <f>+[1]รายชื่อพนักงานรายเดือน!C9</f>
        <v>3580.5558333333333</v>
      </c>
      <c r="M8" s="7">
        <v>16000</v>
      </c>
      <c r="N8" s="7">
        <v>0</v>
      </c>
      <c r="O8" s="7">
        <v>0</v>
      </c>
      <c r="P8" s="7">
        <v>3901.26</v>
      </c>
      <c r="Q8" s="7">
        <v>0</v>
      </c>
      <c r="R8" s="7">
        <v>0</v>
      </c>
      <c r="S8" s="7">
        <v>206.96</v>
      </c>
      <c r="T8" s="7">
        <v>0</v>
      </c>
      <c r="U8" s="7">
        <v>0</v>
      </c>
      <c r="V8" s="7">
        <v>0</v>
      </c>
      <c r="W8" s="7"/>
      <c r="X8" s="7">
        <f>+[1]รายชื่อพนักงานรายเดือน!K8</f>
        <v>230.76923076923077</v>
      </c>
      <c r="Y8" s="7">
        <v>65</v>
      </c>
      <c r="Z8" s="9">
        <f t="shared" si="1"/>
        <v>-1677.9308974358967</v>
      </c>
    </row>
    <row r="9" spans="1:28" ht="23.4" x14ac:dyDescent="0.6">
      <c r="A9" s="5">
        <v>7</v>
      </c>
      <c r="B9" s="5">
        <v>10210</v>
      </c>
      <c r="C9" s="6" t="s">
        <v>33</v>
      </c>
      <c r="D9" s="7">
        <v>102104</v>
      </c>
      <c r="E9" s="7">
        <v>2949</v>
      </c>
      <c r="F9" s="7">
        <f t="shared" si="3"/>
        <v>99155</v>
      </c>
      <c r="G9" s="7">
        <f t="shared" si="2"/>
        <v>51052</v>
      </c>
      <c r="H9" s="7">
        <f t="shared" si="0"/>
        <v>48103</v>
      </c>
      <c r="I9" s="20">
        <f>+[1]รายชื่อพนักงานรายเดือน!G10</f>
        <v>17553.885833333334</v>
      </c>
      <c r="J9" s="7"/>
      <c r="K9" s="7"/>
      <c r="L9" s="20">
        <f>+[1]รายชื่อพนักงานรายเดือน!C9</f>
        <v>3580.5558333333333</v>
      </c>
      <c r="M9" s="7">
        <f>14884+14884</f>
        <v>29768</v>
      </c>
      <c r="N9" s="7">
        <v>0</v>
      </c>
      <c r="O9" s="7">
        <v>0</v>
      </c>
      <c r="P9" s="7">
        <v>5670</v>
      </c>
      <c r="Q9" s="7">
        <v>465</v>
      </c>
      <c r="R9" s="7">
        <v>0</v>
      </c>
      <c r="S9" s="7">
        <v>206.96</v>
      </c>
      <c r="T9" s="7">
        <v>0</v>
      </c>
      <c r="U9" s="7">
        <v>0</v>
      </c>
      <c r="V9" s="7">
        <v>0</v>
      </c>
      <c r="W9" s="7"/>
      <c r="X9" s="7">
        <f>+[1]รายชื่อพนักงานรายเดือน!K8</f>
        <v>230.76923076923077</v>
      </c>
      <c r="Y9" s="7">
        <v>0</v>
      </c>
      <c r="Z9" s="9">
        <f t="shared" si="1"/>
        <v>-9372.1708974358953</v>
      </c>
    </row>
    <row r="10" spans="1:28" ht="23.4" x14ac:dyDescent="0.6">
      <c r="A10" s="5">
        <v>8</v>
      </c>
      <c r="B10" s="5">
        <v>10219</v>
      </c>
      <c r="C10" s="6" t="s">
        <v>34</v>
      </c>
      <c r="D10" s="7">
        <v>83276</v>
      </c>
      <c r="E10" s="7">
        <v>7387</v>
      </c>
      <c r="F10" s="7">
        <f t="shared" si="3"/>
        <v>75889</v>
      </c>
      <c r="G10" s="7">
        <f t="shared" si="2"/>
        <v>41638</v>
      </c>
      <c r="H10" s="7">
        <f t="shared" si="0"/>
        <v>34251</v>
      </c>
      <c r="I10" s="20">
        <f>+[1]รายชื่อพนักงานรายเดือน!G10</f>
        <v>17553.885833333334</v>
      </c>
      <c r="J10" s="7">
        <v>0</v>
      </c>
      <c r="K10" s="7">
        <v>0</v>
      </c>
      <c r="L10" s="20">
        <f>+[1]รายชื่อพนักงานรายเดือน!C9</f>
        <v>3580.5558333333333</v>
      </c>
      <c r="M10" s="7">
        <v>16500</v>
      </c>
      <c r="N10" s="7">
        <v>0</v>
      </c>
      <c r="O10" s="7">
        <v>0</v>
      </c>
      <c r="P10" s="7">
        <v>3645</v>
      </c>
      <c r="Q10" s="7">
        <v>420</v>
      </c>
      <c r="R10" s="7">
        <v>0</v>
      </c>
      <c r="S10" s="7">
        <v>0</v>
      </c>
      <c r="T10" s="7">
        <v>467.29</v>
      </c>
      <c r="U10" s="7">
        <v>0</v>
      </c>
      <c r="V10" s="7">
        <v>0</v>
      </c>
      <c r="W10" s="7"/>
      <c r="X10" s="7">
        <f>+[1]รายชื่อพนักงานรายเดือน!K8</f>
        <v>230.76923076923077</v>
      </c>
      <c r="Y10" s="7">
        <v>561</v>
      </c>
      <c r="Z10" s="9">
        <f t="shared" si="1"/>
        <v>-8707.5008974358971</v>
      </c>
    </row>
    <row r="11" spans="1:28" ht="23.4" x14ac:dyDescent="0.6">
      <c r="A11" s="5">
        <v>9</v>
      </c>
      <c r="B11" s="5">
        <v>10235</v>
      </c>
      <c r="C11" s="6" t="s">
        <v>35</v>
      </c>
      <c r="D11" s="7">
        <v>75229</v>
      </c>
      <c r="E11" s="7">
        <v>10661</v>
      </c>
      <c r="F11" s="7">
        <f t="shared" si="3"/>
        <v>64568</v>
      </c>
      <c r="G11" s="7">
        <f t="shared" si="2"/>
        <v>37614.5</v>
      </c>
      <c r="H11" s="7">
        <f t="shared" si="0"/>
        <v>26953.5</v>
      </c>
      <c r="I11" s="20">
        <f>+[1]รายชื่อพนักงานรายเดือน!G10</f>
        <v>17553.885833333334</v>
      </c>
      <c r="J11" s="7">
        <v>0</v>
      </c>
      <c r="K11" s="7">
        <v>0</v>
      </c>
      <c r="L11" s="20">
        <f>+[1]รายชื่อพนักงานรายเดือน!C9</f>
        <v>3580.5558333333333</v>
      </c>
      <c r="M11" s="7">
        <v>12000</v>
      </c>
      <c r="N11" s="7">
        <v>0</v>
      </c>
      <c r="O11" s="7"/>
      <c r="P11" s="7">
        <v>5814</v>
      </c>
      <c r="Q11" s="7">
        <v>0</v>
      </c>
      <c r="R11" s="7">
        <v>0</v>
      </c>
      <c r="S11" s="7">
        <v>212.72</v>
      </c>
      <c r="T11" s="7">
        <v>0</v>
      </c>
      <c r="U11" s="7">
        <v>0</v>
      </c>
      <c r="V11" s="7">
        <v>0</v>
      </c>
      <c r="W11" s="7"/>
      <c r="X11" s="7">
        <f>+[1]รายชื่อพนักงานรายเดือน!K8</f>
        <v>230.76923076923077</v>
      </c>
      <c r="Y11" s="7">
        <v>0</v>
      </c>
      <c r="Z11" s="9">
        <f t="shared" si="1"/>
        <v>-12438.430897435897</v>
      </c>
    </row>
    <row r="12" spans="1:28" ht="23.4" x14ac:dyDescent="0.6">
      <c r="A12" s="5">
        <v>10</v>
      </c>
      <c r="B12" s="5">
        <v>10264</v>
      </c>
      <c r="C12" s="6" t="s">
        <v>36</v>
      </c>
      <c r="D12" s="7">
        <v>99440</v>
      </c>
      <c r="E12" s="7">
        <v>6960</v>
      </c>
      <c r="F12" s="7">
        <f t="shared" si="3"/>
        <v>92480</v>
      </c>
      <c r="G12" s="7">
        <f t="shared" si="2"/>
        <v>49720</v>
      </c>
      <c r="H12" s="7">
        <f t="shared" si="0"/>
        <v>42760</v>
      </c>
      <c r="I12" s="20">
        <f>+[1]รายชื่อพนักงานรายเดือน!G10</f>
        <v>17553.885833333334</v>
      </c>
      <c r="J12" s="7">
        <v>0</v>
      </c>
      <c r="K12" s="7">
        <v>0</v>
      </c>
      <c r="L12" s="20">
        <f>+[1]รายชื่อพนักงานรายเดือน!C9</f>
        <v>3580.5558333333333</v>
      </c>
      <c r="M12" s="7">
        <v>22050</v>
      </c>
      <c r="N12" s="7">
        <v>0</v>
      </c>
      <c r="O12" s="7">
        <v>0</v>
      </c>
      <c r="P12" s="7">
        <v>4886</v>
      </c>
      <c r="Q12" s="7">
        <v>345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/>
      <c r="X12" s="7">
        <f>+[1]รายชื่อพนักงานรายเดือน!K8</f>
        <v>230.76923076923077</v>
      </c>
      <c r="Y12" s="7"/>
      <c r="Z12" s="9">
        <f t="shared" si="1"/>
        <v>-5886.2108974358962</v>
      </c>
    </row>
    <row r="13" spans="1:28" ht="23.4" x14ac:dyDescent="0.6">
      <c r="A13" s="5">
        <v>11</v>
      </c>
      <c r="B13" s="5">
        <v>10377</v>
      </c>
      <c r="C13" s="6" t="s">
        <v>37</v>
      </c>
      <c r="D13" s="7">
        <v>55265</v>
      </c>
      <c r="E13" s="7">
        <v>9442</v>
      </c>
      <c r="F13" s="7">
        <f t="shared" si="3"/>
        <v>45823</v>
      </c>
      <c r="G13" s="7">
        <f t="shared" si="2"/>
        <v>27632.5</v>
      </c>
      <c r="H13" s="7">
        <f t="shared" si="0"/>
        <v>18190.5</v>
      </c>
      <c r="I13" s="20">
        <f>+[1]รายชื่อพนักงานรายเดือน!G10</f>
        <v>17553.885833333334</v>
      </c>
      <c r="J13" s="7">
        <v>0</v>
      </c>
      <c r="K13" s="7">
        <v>0</v>
      </c>
      <c r="L13" s="20">
        <f>+[1]รายชื่อพนักงานรายเดือน!C9</f>
        <v>3580.5558333333333</v>
      </c>
      <c r="M13" s="7">
        <v>20250</v>
      </c>
      <c r="N13" s="7">
        <v>0</v>
      </c>
      <c r="O13" s="7">
        <v>0</v>
      </c>
      <c r="P13" s="7"/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/>
      <c r="X13" s="7">
        <f>+[1]รายชื่อพนักงานรายเดือน!K8</f>
        <v>230.76923076923077</v>
      </c>
      <c r="Y13" s="7">
        <v>0</v>
      </c>
      <c r="Z13" s="9">
        <f t="shared" si="1"/>
        <v>-23424.710897435896</v>
      </c>
    </row>
    <row r="14" spans="1:28" ht="23.4" x14ac:dyDescent="0.6">
      <c r="A14" s="5">
        <v>12</v>
      </c>
      <c r="B14" s="5">
        <v>10371</v>
      </c>
      <c r="C14" s="6" t="s">
        <v>38</v>
      </c>
      <c r="D14" s="7">
        <v>36058</v>
      </c>
      <c r="E14" s="7">
        <v>5824</v>
      </c>
      <c r="F14" s="7">
        <f>+D14-E14</f>
        <v>30234</v>
      </c>
      <c r="G14" s="7">
        <f t="shared" si="2"/>
        <v>18029</v>
      </c>
      <c r="H14" s="7">
        <f>+F14-G14</f>
        <v>12205</v>
      </c>
      <c r="I14" s="20">
        <f>+[1]รายชื่อพนักงานรายเดือน!G10</f>
        <v>17553.885833333334</v>
      </c>
      <c r="J14" s="7">
        <v>0</v>
      </c>
      <c r="K14" s="7">
        <v>0</v>
      </c>
      <c r="L14" s="20">
        <f>+[1]รายชื่อพนักงานรายเดือน!C9</f>
        <v>3580.5558333333333</v>
      </c>
      <c r="M14" s="7">
        <v>12000</v>
      </c>
      <c r="N14" s="7">
        <v>0</v>
      </c>
      <c r="O14" s="7">
        <v>0</v>
      </c>
      <c r="P14" s="7">
        <v>4618</v>
      </c>
      <c r="Q14" s="7">
        <v>0</v>
      </c>
      <c r="R14" s="7">
        <v>1070</v>
      </c>
      <c r="S14" s="7">
        <v>0</v>
      </c>
      <c r="T14" s="7">
        <v>0</v>
      </c>
      <c r="U14" s="7">
        <v>0</v>
      </c>
      <c r="V14" s="7">
        <v>0</v>
      </c>
      <c r="W14" s="7"/>
      <c r="X14" s="7">
        <f>+[1]รายชื่อพนักงานรายเดือน!K8</f>
        <v>230.76923076923077</v>
      </c>
      <c r="Y14" s="7"/>
      <c r="Z14" s="9">
        <f t="shared" si="1"/>
        <v>-26848.210897435896</v>
      </c>
    </row>
    <row r="15" spans="1:28" ht="27" thickBot="1" x14ac:dyDescent="0.75">
      <c r="C15" s="10" t="s">
        <v>39</v>
      </c>
      <c r="D15" s="11">
        <f t="shared" ref="D15:E15" si="4">SUM(D3:D14)</f>
        <v>995251</v>
      </c>
      <c r="E15" s="12">
        <f t="shared" si="4"/>
        <v>109572</v>
      </c>
      <c r="F15" s="12">
        <f>SUM(F3:F14)</f>
        <v>885679</v>
      </c>
      <c r="G15" s="12">
        <f>SUM(G3:G14)</f>
        <v>497625.5</v>
      </c>
      <c r="H15" s="12">
        <f>SUM(H3:H14)</f>
        <v>388053.5</v>
      </c>
      <c r="I15" s="11">
        <f>SUM(I3:I14)</f>
        <v>210646.63</v>
      </c>
      <c r="J15" s="12">
        <f t="shared" ref="J15:Z15" si="5">SUM(J3:J14)</f>
        <v>170.4</v>
      </c>
      <c r="K15" s="12">
        <f t="shared" si="5"/>
        <v>100</v>
      </c>
      <c r="L15" s="11">
        <f>SUM(L3:L14)</f>
        <v>42966.669999999991</v>
      </c>
      <c r="M15" s="12">
        <f t="shared" si="5"/>
        <v>179897</v>
      </c>
      <c r="N15" s="12">
        <f t="shared" si="5"/>
        <v>0</v>
      </c>
      <c r="O15" s="12">
        <f t="shared" si="5"/>
        <v>75</v>
      </c>
      <c r="P15" s="12">
        <f t="shared" si="5"/>
        <v>54524.69</v>
      </c>
      <c r="Q15" s="12">
        <f t="shared" si="5"/>
        <v>1500</v>
      </c>
      <c r="R15" s="12">
        <f t="shared" si="5"/>
        <v>1070</v>
      </c>
      <c r="S15" s="12">
        <f t="shared" si="5"/>
        <v>1661.44</v>
      </c>
      <c r="T15" s="12">
        <f t="shared" si="5"/>
        <v>709.69</v>
      </c>
      <c r="U15" s="12">
        <f t="shared" si="5"/>
        <v>79</v>
      </c>
      <c r="V15" s="12">
        <f t="shared" si="5"/>
        <v>310</v>
      </c>
      <c r="W15" s="12">
        <f t="shared" si="5"/>
        <v>0</v>
      </c>
      <c r="X15" s="12">
        <f t="shared" si="5"/>
        <v>2769.2307692307695</v>
      </c>
      <c r="Y15" s="12">
        <f t="shared" si="5"/>
        <v>1402</v>
      </c>
      <c r="Z15" s="12">
        <f t="shared" si="5"/>
        <v>-109828.25076923077</v>
      </c>
      <c r="AA15" s="13" t="s">
        <v>40</v>
      </c>
      <c r="AB15" s="14"/>
    </row>
    <row r="16" spans="1:28" ht="35.4" thickTop="1" x14ac:dyDescent="0.9">
      <c r="C16" s="10" t="s">
        <v>41</v>
      </c>
      <c r="D16" s="15">
        <f>+Z15</f>
        <v>-109828.25076923077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3:10" ht="34.799999999999997" x14ac:dyDescent="0.9">
      <c r="C17" s="10" t="s">
        <v>42</v>
      </c>
      <c r="D17" s="17">
        <f>+D16/D15</f>
        <v>-0.11035231390797977</v>
      </c>
      <c r="J17" s="16"/>
    </row>
    <row r="18" spans="3:10" ht="34.799999999999997" x14ac:dyDescent="0.9">
      <c r="J18" s="16"/>
    </row>
    <row r="19" spans="3:10" ht="34.799999999999997" x14ac:dyDescent="0.9">
      <c r="J19" s="16"/>
    </row>
    <row r="20" spans="3:10" ht="34.799999999999997" x14ac:dyDescent="0.9">
      <c r="J20" s="16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15 Z17:Z1048576">
    <cfRule type="cellIs" dxfId="7" priority="1" operator="lessThan">
      <formula>0</formula>
    </cfRule>
  </conditionalFormatting>
  <pageMargins left="0.25" right="0.25" top="0.75" bottom="0.75" header="0.3" footer="0.3"/>
  <pageSetup paperSize="9" scale="37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F902-1665-4EC3-9511-BB22C17F8B2E}">
  <sheetPr>
    <tabColor theme="8" tint="-0.249977111117893"/>
    <pageSetUpPr fitToPage="1"/>
  </sheetPr>
  <dimension ref="A1:AB20"/>
  <sheetViews>
    <sheetView zoomScale="90" zoomScaleNormal="90" workbookViewId="0">
      <pane xSplit="3" ySplit="2" topLeftCell="P3" activePane="bottomRight" state="frozen"/>
      <selection activeCell="Z4" sqref="Z4:Z6"/>
      <selection pane="topRight" activeCell="Z4" sqref="Z4:Z6"/>
      <selection pane="bottomLeft" activeCell="Z4" sqref="Z4:Z6"/>
      <selection pane="bottomRight" activeCell="Z4" sqref="Z4:Z6"/>
    </sheetView>
  </sheetViews>
  <sheetFormatPr defaultColWidth="9" defaultRowHeight="15.6" x14ac:dyDescent="0.4"/>
  <cols>
    <col min="1" max="1" width="5.3984375" style="2" bestFit="1" customWidth="1"/>
    <col min="2" max="2" width="9.3984375" style="2" bestFit="1" customWidth="1"/>
    <col min="3" max="3" width="22.3984375" style="2" bestFit="1" customWidth="1"/>
    <col min="4" max="4" width="13.59765625" style="2" customWidth="1"/>
    <col min="5" max="5" width="12.09765625" style="2" customWidth="1"/>
    <col min="6" max="6" width="14.09765625" style="2" customWidth="1"/>
    <col min="7" max="7" width="12.19921875" style="2" customWidth="1"/>
    <col min="8" max="8" width="13.19921875" style="2" customWidth="1"/>
    <col min="9" max="25" width="13.3984375" style="2" customWidth="1"/>
    <col min="26" max="26" width="16.69921875" style="2" customWidth="1"/>
    <col min="27" max="16384" width="9" style="2"/>
  </cols>
  <sheetData>
    <row r="1" spans="1:28" ht="28.8" x14ac:dyDescent="0.75">
      <c r="A1" s="1" t="s">
        <v>47</v>
      </c>
    </row>
    <row r="2" spans="1:28" s="4" customFormat="1" ht="79.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43</v>
      </c>
      <c r="Y2" s="3" t="s">
        <v>25</v>
      </c>
      <c r="Z2" s="3" t="s">
        <v>26</v>
      </c>
    </row>
    <row r="3" spans="1:28" ht="23.4" x14ac:dyDescent="0.6">
      <c r="A3" s="5">
        <v>1</v>
      </c>
      <c r="B3" s="5">
        <v>10203</v>
      </c>
      <c r="C3" s="6" t="s">
        <v>27</v>
      </c>
      <c r="D3" s="7">
        <v>94145</v>
      </c>
      <c r="E3" s="7">
        <v>2690</v>
      </c>
      <c r="F3" s="7">
        <f>+D3-E3</f>
        <v>91455</v>
      </c>
      <c r="G3" s="7">
        <f>+D3*0.5</f>
        <v>47072.5</v>
      </c>
      <c r="H3" s="7">
        <f t="shared" ref="H3:H13" si="0">+F3-G3</f>
        <v>44382.5</v>
      </c>
      <c r="I3" s="18">
        <f>+[1]รายชื่อพนักงานรายเดือน!G10</f>
        <v>17553.885833333334</v>
      </c>
      <c r="J3" s="7">
        <v>0</v>
      </c>
      <c r="K3" s="7">
        <v>0</v>
      </c>
      <c r="L3" s="20">
        <f>+[1]รายชื่อพนักงานรายเดือน!C9</f>
        <v>3580.5558333333333</v>
      </c>
      <c r="M3" s="7">
        <f>14884+14884</f>
        <v>29768</v>
      </c>
      <c r="N3" s="7">
        <v>0</v>
      </c>
      <c r="O3" s="7">
        <v>0</v>
      </c>
      <c r="P3" s="7">
        <v>6099</v>
      </c>
      <c r="Q3" s="7">
        <v>120</v>
      </c>
      <c r="R3" s="7">
        <v>0</v>
      </c>
      <c r="S3" s="7">
        <v>206.96</v>
      </c>
      <c r="T3" s="7">
        <v>0</v>
      </c>
      <c r="U3" s="7">
        <v>0</v>
      </c>
      <c r="V3" s="7">
        <v>0</v>
      </c>
      <c r="W3" s="7"/>
      <c r="X3" s="7">
        <f>+[1]รายชื่อพนักงานรายเดือน!K8</f>
        <v>230.76923076923077</v>
      </c>
      <c r="Y3" s="7">
        <v>25</v>
      </c>
      <c r="Z3" s="9">
        <f t="shared" ref="Z3:Z14" si="1">+H3-I3-J3-L3-M3-O3-P3-S3-T3-U3-V3-W3-X3-Y3-Q3-R3-K3-N3</f>
        <v>-13201.670897435895</v>
      </c>
    </row>
    <row r="4" spans="1:28" ht="23.4" x14ac:dyDescent="0.6">
      <c r="A4" s="5">
        <v>2</v>
      </c>
      <c r="B4" s="5">
        <v>10204</v>
      </c>
      <c r="C4" s="6" t="s">
        <v>28</v>
      </c>
      <c r="D4" s="7">
        <v>79465</v>
      </c>
      <c r="E4" s="7">
        <v>15115</v>
      </c>
      <c r="F4" s="7">
        <f>+D4-E4</f>
        <v>64350</v>
      </c>
      <c r="G4" s="7">
        <f t="shared" ref="G4:G14" si="2">+D4*0.5</f>
        <v>39732.5</v>
      </c>
      <c r="H4" s="7">
        <f t="shared" si="0"/>
        <v>24617.5</v>
      </c>
      <c r="I4" s="18">
        <f>+[1]รายชื่อพนักงานรายเดือน!G10</f>
        <v>17553.885833333334</v>
      </c>
      <c r="J4" s="7">
        <v>0</v>
      </c>
      <c r="K4" s="7">
        <v>0</v>
      </c>
      <c r="L4" s="20">
        <f>+[1]รายชื่อพนักงานรายเดือน!C9</f>
        <v>3580.5558333333333</v>
      </c>
      <c r="M4" s="7">
        <v>5820</v>
      </c>
      <c r="N4" s="7">
        <v>0</v>
      </c>
      <c r="O4" s="7">
        <v>41</v>
      </c>
      <c r="P4" s="7">
        <v>4707</v>
      </c>
      <c r="Q4" s="7">
        <v>75</v>
      </c>
      <c r="R4" s="7">
        <v>0</v>
      </c>
      <c r="S4" s="7">
        <v>206.96</v>
      </c>
      <c r="T4" s="7">
        <v>0</v>
      </c>
      <c r="U4" s="7">
        <v>0</v>
      </c>
      <c r="V4" s="7">
        <v>0</v>
      </c>
      <c r="W4" s="7"/>
      <c r="X4" s="7">
        <f>+[1]รายชื่อพนักงานรายเดือน!K8</f>
        <v>230.76923076923077</v>
      </c>
      <c r="Y4" s="7">
        <v>46</v>
      </c>
      <c r="Z4" s="9">
        <f t="shared" si="1"/>
        <v>-7643.670897435898</v>
      </c>
    </row>
    <row r="5" spans="1:28" ht="24" customHeight="1" x14ac:dyDescent="0.6">
      <c r="A5" s="5">
        <v>3</v>
      </c>
      <c r="B5" s="5">
        <v>10205</v>
      </c>
      <c r="C5" s="6" t="s">
        <v>29</v>
      </c>
      <c r="D5" s="7">
        <v>93345</v>
      </c>
      <c r="E5" s="7">
        <v>15693</v>
      </c>
      <c r="F5" s="7">
        <f t="shared" ref="F5:F13" si="3">+D5-E5</f>
        <v>77652</v>
      </c>
      <c r="G5" s="7">
        <f t="shared" si="2"/>
        <v>46672.5</v>
      </c>
      <c r="H5" s="7">
        <f t="shared" si="0"/>
        <v>30979.5</v>
      </c>
      <c r="I5" s="18">
        <f>+[1]รายชื่อพนักงานรายเดือน!G10</f>
        <v>17553.885833333334</v>
      </c>
      <c r="J5" s="7">
        <v>0</v>
      </c>
      <c r="K5" s="7">
        <v>0</v>
      </c>
      <c r="L5" s="20">
        <f>+[1]รายชื่อพนักงานรายเดือน!C9</f>
        <v>3580.5558333333333</v>
      </c>
      <c r="M5" s="7">
        <v>0</v>
      </c>
      <c r="N5" s="7">
        <v>0</v>
      </c>
      <c r="O5" s="7">
        <v>25</v>
      </c>
      <c r="P5" s="7">
        <v>12491</v>
      </c>
      <c r="Q5" s="7">
        <v>0</v>
      </c>
      <c r="R5" s="7">
        <v>0</v>
      </c>
      <c r="S5" s="7">
        <v>206.96</v>
      </c>
      <c r="T5" s="7">
        <v>0</v>
      </c>
      <c r="U5" s="7">
        <v>50</v>
      </c>
      <c r="V5" s="7">
        <v>170</v>
      </c>
      <c r="W5" s="7"/>
      <c r="X5" s="7">
        <f>+[1]รายชื่อพนักงานรายเดือน!K8</f>
        <v>230.76923076923077</v>
      </c>
      <c r="Y5" s="7">
        <v>1343.25</v>
      </c>
      <c r="Z5" s="9">
        <f t="shared" si="1"/>
        <v>-4671.920897435899</v>
      </c>
    </row>
    <row r="6" spans="1:28" ht="23.4" x14ac:dyDescent="0.6">
      <c r="A6" s="5">
        <v>4</v>
      </c>
      <c r="B6" s="5">
        <v>10207</v>
      </c>
      <c r="C6" s="6" t="s">
        <v>30</v>
      </c>
      <c r="D6" s="7">
        <v>80975</v>
      </c>
      <c r="E6" s="7">
        <v>845</v>
      </c>
      <c r="F6" s="7">
        <f t="shared" si="3"/>
        <v>80130</v>
      </c>
      <c r="G6" s="7">
        <f t="shared" si="2"/>
        <v>40487.5</v>
      </c>
      <c r="H6" s="7">
        <f t="shared" si="0"/>
        <v>39642.5</v>
      </c>
      <c r="I6" s="18">
        <f>+[1]รายชื่อพนักงานรายเดือน!G10</f>
        <v>17553.885833333334</v>
      </c>
      <c r="J6" s="7">
        <v>0</v>
      </c>
      <c r="K6" s="7">
        <v>0</v>
      </c>
      <c r="L6" s="20">
        <f>+[1]รายชื่อพนักงานรายเดือน!C9</f>
        <v>3580.5558333333333</v>
      </c>
      <c r="M6" s="7">
        <v>9000</v>
      </c>
      <c r="N6" s="7">
        <v>0</v>
      </c>
      <c r="O6" s="7">
        <v>0</v>
      </c>
      <c r="P6" s="7">
        <v>2826</v>
      </c>
      <c r="Q6" s="7">
        <v>405</v>
      </c>
      <c r="R6" s="7">
        <v>0</v>
      </c>
      <c r="S6" s="7">
        <v>206.96</v>
      </c>
      <c r="T6" s="7">
        <v>0</v>
      </c>
      <c r="U6" s="7">
        <v>0</v>
      </c>
      <c r="V6" s="7">
        <v>0</v>
      </c>
      <c r="W6" s="7"/>
      <c r="X6" s="7">
        <f>+[1]รายชื่อพนักงานรายเดือน!K8</f>
        <v>230.76923076923077</v>
      </c>
      <c r="Y6" s="7">
        <v>1236</v>
      </c>
      <c r="Z6" s="9">
        <f t="shared" si="1"/>
        <v>4603.3291025641038</v>
      </c>
    </row>
    <row r="7" spans="1:28" ht="23.4" x14ac:dyDescent="0.6">
      <c r="A7" s="5">
        <v>5</v>
      </c>
      <c r="B7" s="5">
        <v>10208</v>
      </c>
      <c r="C7" s="6" t="s">
        <v>31</v>
      </c>
      <c r="D7" s="7">
        <v>63340</v>
      </c>
      <c r="E7" s="7">
        <v>7910</v>
      </c>
      <c r="F7" s="7">
        <f t="shared" si="3"/>
        <v>55430</v>
      </c>
      <c r="G7" s="7">
        <f t="shared" si="2"/>
        <v>31670</v>
      </c>
      <c r="H7" s="7">
        <f t="shared" si="0"/>
        <v>23760</v>
      </c>
      <c r="I7" s="18">
        <f>+[1]รายชื่อพนักงานรายเดือน!G10</f>
        <v>17553.885833333334</v>
      </c>
      <c r="J7" s="7">
        <v>0</v>
      </c>
      <c r="K7" s="7">
        <v>0</v>
      </c>
      <c r="L7" s="20">
        <f>+[1]รายชื่อพนักงานรายเดือน!C9</f>
        <v>3580.5558333333333</v>
      </c>
      <c r="M7" s="7">
        <v>6741</v>
      </c>
      <c r="N7" s="7"/>
      <c r="O7" s="7">
        <v>0</v>
      </c>
      <c r="P7" s="7">
        <v>1463.76</v>
      </c>
      <c r="Q7" s="7">
        <v>0</v>
      </c>
      <c r="R7" s="7">
        <v>0</v>
      </c>
      <c r="S7" s="7">
        <v>206.96</v>
      </c>
      <c r="T7" s="7">
        <v>259.37</v>
      </c>
      <c r="U7" s="7">
        <v>0</v>
      </c>
      <c r="V7" s="7">
        <v>0</v>
      </c>
      <c r="W7" s="7"/>
      <c r="X7" s="7">
        <f>+[1]รายชื่อพนักงานรายเดือน!K8</f>
        <v>230.76923076923077</v>
      </c>
      <c r="Y7" s="7">
        <v>330</v>
      </c>
      <c r="Z7" s="9">
        <f t="shared" si="1"/>
        <v>-6606.3008974358982</v>
      </c>
    </row>
    <row r="8" spans="1:28" ht="23.4" x14ac:dyDescent="0.6">
      <c r="A8" s="5">
        <v>6</v>
      </c>
      <c r="B8" s="5">
        <v>10209</v>
      </c>
      <c r="C8" s="6" t="s">
        <v>32</v>
      </c>
      <c r="D8" s="7">
        <v>111105</v>
      </c>
      <c r="E8" s="7">
        <v>14837</v>
      </c>
      <c r="F8" s="7">
        <f t="shared" si="3"/>
        <v>96268</v>
      </c>
      <c r="G8" s="7">
        <f t="shared" si="2"/>
        <v>55552.5</v>
      </c>
      <c r="H8" s="7">
        <f t="shared" si="0"/>
        <v>40715.5</v>
      </c>
      <c r="I8" s="18">
        <f>+[1]รายชื่อพนักงานรายเดือน!G10</f>
        <v>17553.885833333334</v>
      </c>
      <c r="J8" s="7">
        <v>0</v>
      </c>
      <c r="K8" s="7">
        <v>0</v>
      </c>
      <c r="L8" s="20">
        <f>+[1]รายชื่อพนักงานรายเดือน!C9</f>
        <v>3580.5558333333333</v>
      </c>
      <c r="M8" s="7">
        <v>16000</v>
      </c>
      <c r="N8" s="7">
        <v>0</v>
      </c>
      <c r="O8" s="7">
        <v>0</v>
      </c>
      <c r="P8" s="7">
        <v>3307.5</v>
      </c>
      <c r="Q8" s="7">
        <v>0</v>
      </c>
      <c r="R8" s="7">
        <v>0</v>
      </c>
      <c r="S8" s="7">
        <v>206.96</v>
      </c>
      <c r="T8" s="7">
        <v>0</v>
      </c>
      <c r="U8" s="7">
        <v>0</v>
      </c>
      <c r="V8" s="7">
        <v>0</v>
      </c>
      <c r="W8" s="7"/>
      <c r="X8" s="7">
        <f>+[1]รายชื่อพนักงานรายเดือน!K8</f>
        <v>230.76923076923077</v>
      </c>
      <c r="Y8" s="7">
        <v>65</v>
      </c>
      <c r="Z8" s="9">
        <f t="shared" si="1"/>
        <v>-229.17089743589648</v>
      </c>
    </row>
    <row r="9" spans="1:28" ht="23.4" x14ac:dyDescent="0.6">
      <c r="A9" s="5">
        <v>7</v>
      </c>
      <c r="B9" s="5">
        <v>10210</v>
      </c>
      <c r="C9" s="6" t="s">
        <v>33</v>
      </c>
      <c r="D9" s="7">
        <v>89530</v>
      </c>
      <c r="E9" s="7">
        <v>3730</v>
      </c>
      <c r="F9" s="7">
        <f t="shared" si="3"/>
        <v>85800</v>
      </c>
      <c r="G9" s="7">
        <f t="shared" si="2"/>
        <v>44765</v>
      </c>
      <c r="H9" s="7">
        <f t="shared" si="0"/>
        <v>41035</v>
      </c>
      <c r="I9" s="18">
        <f>+[1]รายชื่อพนักงานรายเดือน!G10</f>
        <v>17553.885833333334</v>
      </c>
      <c r="J9" s="7"/>
      <c r="K9" s="7">
        <v>0</v>
      </c>
      <c r="L9" s="20">
        <f>+[1]รายชื่อพนักงานรายเดือน!C9</f>
        <v>3580.5558333333333</v>
      </c>
      <c r="M9" s="7">
        <f>14884+14884</f>
        <v>29768</v>
      </c>
      <c r="N9" s="7">
        <v>0</v>
      </c>
      <c r="O9" s="7">
        <v>0</v>
      </c>
      <c r="P9" s="7">
        <v>5578.98</v>
      </c>
      <c r="Q9" s="7">
        <v>435</v>
      </c>
      <c r="R9" s="7">
        <v>0</v>
      </c>
      <c r="S9" s="7">
        <v>206.96</v>
      </c>
      <c r="T9" s="7">
        <v>0</v>
      </c>
      <c r="U9" s="7">
        <v>0</v>
      </c>
      <c r="V9" s="7">
        <v>0</v>
      </c>
      <c r="W9" s="7"/>
      <c r="X9" s="7">
        <f>+[1]รายชื่อพนักงานรายเดือน!K8</f>
        <v>230.76923076923077</v>
      </c>
      <c r="Y9" s="7">
        <v>0</v>
      </c>
      <c r="Z9" s="9">
        <f t="shared" si="1"/>
        <v>-16319.150897435895</v>
      </c>
    </row>
    <row r="10" spans="1:28" ht="23.4" x14ac:dyDescent="0.6">
      <c r="A10" s="5">
        <v>8</v>
      </c>
      <c r="B10" s="5">
        <v>10219</v>
      </c>
      <c r="C10" s="6" t="s">
        <v>34</v>
      </c>
      <c r="D10" s="7">
        <v>87655</v>
      </c>
      <c r="E10" s="7">
        <v>5985</v>
      </c>
      <c r="F10" s="7">
        <f t="shared" si="3"/>
        <v>81670</v>
      </c>
      <c r="G10" s="7">
        <f t="shared" si="2"/>
        <v>43827.5</v>
      </c>
      <c r="H10" s="7">
        <f t="shared" si="0"/>
        <v>37842.5</v>
      </c>
      <c r="I10" s="18">
        <f>+[1]รายชื่อพนักงานรายเดือน!G10</f>
        <v>17553.885833333334</v>
      </c>
      <c r="J10" s="7">
        <v>0</v>
      </c>
      <c r="K10" s="7">
        <v>0</v>
      </c>
      <c r="L10" s="20">
        <f>+[1]รายชื่อพนักงานรายเดือน!C9</f>
        <v>3580.5558333333333</v>
      </c>
      <c r="M10" s="7">
        <v>16500</v>
      </c>
      <c r="N10" s="7">
        <v>0</v>
      </c>
      <c r="O10" s="7">
        <v>0</v>
      </c>
      <c r="P10" s="7">
        <v>3558.5</v>
      </c>
      <c r="Q10" s="7">
        <v>435</v>
      </c>
      <c r="R10" s="7">
        <v>0</v>
      </c>
      <c r="S10" s="7">
        <v>0</v>
      </c>
      <c r="T10" s="7">
        <v>467.29</v>
      </c>
      <c r="U10" s="7">
        <v>0</v>
      </c>
      <c r="V10" s="7">
        <v>0</v>
      </c>
      <c r="W10" s="7"/>
      <c r="X10" s="7">
        <f>+[1]รายชื่อพนักงานรายเดือน!K8</f>
        <v>230.76923076923077</v>
      </c>
      <c r="Y10" s="7">
        <v>78</v>
      </c>
      <c r="Z10" s="9">
        <f t="shared" si="1"/>
        <v>-4561.5008974358971</v>
      </c>
    </row>
    <row r="11" spans="1:28" ht="23.4" x14ac:dyDescent="0.6">
      <c r="A11" s="5">
        <v>9</v>
      </c>
      <c r="B11" s="5">
        <v>10235</v>
      </c>
      <c r="C11" s="6" t="s">
        <v>35</v>
      </c>
      <c r="D11" s="7">
        <v>89170</v>
      </c>
      <c r="E11" s="7">
        <v>12030</v>
      </c>
      <c r="F11" s="7">
        <f t="shared" si="3"/>
        <v>77140</v>
      </c>
      <c r="G11" s="7">
        <f t="shared" si="2"/>
        <v>44585</v>
      </c>
      <c r="H11" s="7">
        <f t="shared" si="0"/>
        <v>32555</v>
      </c>
      <c r="I11" s="18">
        <f>+[1]รายชื่อพนักงานรายเดือน!G10</f>
        <v>17553.885833333334</v>
      </c>
      <c r="J11" s="7">
        <v>0</v>
      </c>
      <c r="K11" s="7">
        <v>0</v>
      </c>
      <c r="L11" s="20">
        <f>+[1]รายชื่อพนักงานรายเดือน!C9</f>
        <v>3580.5558333333333</v>
      </c>
      <c r="M11" s="7">
        <v>12000</v>
      </c>
      <c r="N11" s="7">
        <v>0</v>
      </c>
      <c r="O11" s="7"/>
      <c r="P11" s="7">
        <v>5856</v>
      </c>
      <c r="Q11" s="7">
        <v>0</v>
      </c>
      <c r="R11" s="7">
        <v>0</v>
      </c>
      <c r="S11" s="7">
        <v>212.72</v>
      </c>
      <c r="T11" s="7">
        <v>0</v>
      </c>
      <c r="U11" s="7">
        <v>0</v>
      </c>
      <c r="V11" s="7">
        <v>0</v>
      </c>
      <c r="W11" s="7"/>
      <c r="X11" s="7">
        <f>+[1]รายชื่อพนักงานรายเดือน!K8</f>
        <v>230.76923076923077</v>
      </c>
      <c r="Y11" s="7">
        <v>0</v>
      </c>
      <c r="Z11" s="9">
        <f t="shared" si="1"/>
        <v>-6878.9308974358983</v>
      </c>
    </row>
    <row r="12" spans="1:28" ht="23.4" x14ac:dyDescent="0.6">
      <c r="A12" s="5">
        <v>10</v>
      </c>
      <c r="B12" s="5">
        <v>10264</v>
      </c>
      <c r="C12" s="6" t="s">
        <v>36</v>
      </c>
      <c r="D12" s="7">
        <v>95940</v>
      </c>
      <c r="E12" s="7">
        <v>6955</v>
      </c>
      <c r="F12" s="7">
        <f t="shared" si="3"/>
        <v>88985</v>
      </c>
      <c r="G12" s="7">
        <f t="shared" si="2"/>
        <v>47970</v>
      </c>
      <c r="H12" s="7">
        <f t="shared" si="0"/>
        <v>41015</v>
      </c>
      <c r="I12" s="18">
        <f>+[1]รายชื่อพนักงานรายเดือน!G10</f>
        <v>17553.885833333334</v>
      </c>
      <c r="J12" s="7">
        <v>0</v>
      </c>
      <c r="K12" s="7">
        <v>0</v>
      </c>
      <c r="L12" s="20">
        <f>+[1]รายชื่อพนักงานรายเดือน!C9</f>
        <v>3580.5558333333333</v>
      </c>
      <c r="M12" s="7">
        <v>22050</v>
      </c>
      <c r="N12" s="7">
        <v>0</v>
      </c>
      <c r="O12" s="7">
        <v>0</v>
      </c>
      <c r="P12" s="7">
        <v>4770</v>
      </c>
      <c r="Q12" s="7">
        <v>375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/>
      <c r="X12" s="7">
        <f>+[1]รายชื่อพนักงานรายเดือน!K8</f>
        <v>230.76923076923077</v>
      </c>
      <c r="Y12" s="7">
        <v>25</v>
      </c>
      <c r="Z12" s="9">
        <f t="shared" si="1"/>
        <v>-7570.2108974358962</v>
      </c>
    </row>
    <row r="13" spans="1:28" ht="23.4" x14ac:dyDescent="0.6">
      <c r="A13" s="5">
        <v>11</v>
      </c>
      <c r="B13" s="5">
        <v>10377</v>
      </c>
      <c r="C13" s="6" t="s">
        <v>37</v>
      </c>
      <c r="D13" s="7">
        <v>58665</v>
      </c>
      <c r="E13" s="7">
        <v>7197</v>
      </c>
      <c r="F13" s="7">
        <f t="shared" si="3"/>
        <v>51468</v>
      </c>
      <c r="G13" s="7">
        <f t="shared" si="2"/>
        <v>29332.5</v>
      </c>
      <c r="H13" s="7">
        <f t="shared" si="0"/>
        <v>22135.5</v>
      </c>
      <c r="I13" s="18">
        <f>+[1]รายชื่อพนักงานรายเดือน!G10</f>
        <v>17553.885833333334</v>
      </c>
      <c r="J13" s="7">
        <v>0</v>
      </c>
      <c r="K13" s="7">
        <v>0</v>
      </c>
      <c r="L13" s="20">
        <f>+[1]รายชื่อพนักงานรายเดือน!C9</f>
        <v>3580.5558333333333</v>
      </c>
      <c r="M13" s="7">
        <v>20250</v>
      </c>
      <c r="N13" s="7">
        <v>0</v>
      </c>
      <c r="O13" s="7">
        <v>0</v>
      </c>
      <c r="P13" s="7"/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/>
      <c r="X13" s="7">
        <f>+[1]รายชื่อพนักงานรายเดือน!K8</f>
        <v>230.76923076923077</v>
      </c>
      <c r="Y13" s="7">
        <v>0</v>
      </c>
      <c r="Z13" s="9">
        <f t="shared" si="1"/>
        <v>-19479.710897435896</v>
      </c>
    </row>
    <row r="14" spans="1:28" ht="23.4" x14ac:dyDescent="0.6">
      <c r="A14" s="5">
        <v>12</v>
      </c>
      <c r="B14" s="5">
        <v>10371</v>
      </c>
      <c r="C14" s="6" t="s">
        <v>38</v>
      </c>
      <c r="D14" s="7">
        <v>35425</v>
      </c>
      <c r="E14" s="7">
        <v>4982</v>
      </c>
      <c r="F14" s="7">
        <f>+D14-E14</f>
        <v>30443</v>
      </c>
      <c r="G14" s="7">
        <f t="shared" si="2"/>
        <v>17712.5</v>
      </c>
      <c r="H14" s="7">
        <f>+F14-G14</f>
        <v>12730.5</v>
      </c>
      <c r="I14" s="18">
        <f>+[1]รายชื่อพนักงานรายเดือน!G10</f>
        <v>17553.885833333334</v>
      </c>
      <c r="J14" s="7">
        <v>0</v>
      </c>
      <c r="K14" s="7">
        <v>0</v>
      </c>
      <c r="L14" s="20">
        <f>+[1]รายชื่อพนักงานรายเดือน!C9</f>
        <v>3580.5558333333333</v>
      </c>
      <c r="M14" s="7">
        <v>12000</v>
      </c>
      <c r="N14" s="7">
        <v>0</v>
      </c>
      <c r="O14" s="7">
        <v>0</v>
      </c>
      <c r="P14" s="7">
        <v>4618</v>
      </c>
      <c r="Q14" s="7">
        <v>0</v>
      </c>
      <c r="R14" s="7">
        <v>1070</v>
      </c>
      <c r="S14" s="7">
        <v>0</v>
      </c>
      <c r="T14" s="7">
        <v>0</v>
      </c>
      <c r="U14" s="7">
        <v>0</v>
      </c>
      <c r="V14" s="7">
        <v>0</v>
      </c>
      <c r="W14" s="7"/>
      <c r="X14" s="7">
        <f>+[1]รายชื่อพนักงานรายเดือน!K8</f>
        <v>230.76923076923077</v>
      </c>
      <c r="Y14" s="7"/>
      <c r="Z14" s="9">
        <f t="shared" si="1"/>
        <v>-26322.710897435896</v>
      </c>
    </row>
    <row r="15" spans="1:28" ht="27" thickBot="1" x14ac:dyDescent="0.75">
      <c r="C15" s="10" t="s">
        <v>39</v>
      </c>
      <c r="D15" s="11">
        <f t="shared" ref="D15:E15" si="4">SUM(D3:D14)</f>
        <v>978760</v>
      </c>
      <c r="E15" s="12">
        <f t="shared" si="4"/>
        <v>97969</v>
      </c>
      <c r="F15" s="12">
        <f>SUM(F3:F14)</f>
        <v>880791</v>
      </c>
      <c r="G15" s="12">
        <f>SUM(G3:G14)</f>
        <v>489380</v>
      </c>
      <c r="H15" s="12">
        <f>SUM(H3:H14)</f>
        <v>391411</v>
      </c>
      <c r="I15" s="11">
        <f>SUM(I3:I14)</f>
        <v>210646.63</v>
      </c>
      <c r="J15" s="12">
        <f t="shared" ref="J15:Z15" si="5">SUM(J3:J14)</f>
        <v>0</v>
      </c>
      <c r="K15" s="12">
        <f t="shared" si="5"/>
        <v>0</v>
      </c>
      <c r="L15" s="11">
        <f>SUM(L3:L14)</f>
        <v>42966.669999999991</v>
      </c>
      <c r="M15" s="12">
        <f t="shared" si="5"/>
        <v>179897</v>
      </c>
      <c r="N15" s="12">
        <f t="shared" si="5"/>
        <v>0</v>
      </c>
      <c r="O15" s="12">
        <f t="shared" si="5"/>
        <v>66</v>
      </c>
      <c r="P15" s="12">
        <f t="shared" si="5"/>
        <v>55275.74</v>
      </c>
      <c r="Q15" s="12">
        <f t="shared" si="5"/>
        <v>1845</v>
      </c>
      <c r="R15" s="12">
        <f t="shared" si="5"/>
        <v>1070</v>
      </c>
      <c r="S15" s="12">
        <f t="shared" si="5"/>
        <v>1661.44</v>
      </c>
      <c r="T15" s="12">
        <f t="shared" si="5"/>
        <v>726.66000000000008</v>
      </c>
      <c r="U15" s="12">
        <f t="shared" si="5"/>
        <v>50</v>
      </c>
      <c r="V15" s="12">
        <f t="shared" si="5"/>
        <v>170</v>
      </c>
      <c r="W15" s="12">
        <f t="shared" si="5"/>
        <v>0</v>
      </c>
      <c r="X15" s="12">
        <f t="shared" si="5"/>
        <v>2769.2307692307695</v>
      </c>
      <c r="Y15" s="12">
        <f t="shared" si="5"/>
        <v>3148.25</v>
      </c>
      <c r="Z15" s="12">
        <f t="shared" si="5"/>
        <v>-108881.62076923077</v>
      </c>
      <c r="AA15" s="13" t="s">
        <v>40</v>
      </c>
      <c r="AB15" s="14"/>
    </row>
    <row r="16" spans="1:28" ht="35.4" thickTop="1" x14ac:dyDescent="0.9">
      <c r="C16" s="10" t="s">
        <v>41</v>
      </c>
      <c r="D16" s="15">
        <f>+Z15</f>
        <v>-108881.62076923077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3:10" ht="34.799999999999997" x14ac:dyDescent="0.9">
      <c r="C17" s="10" t="s">
        <v>42</v>
      </c>
      <c r="D17" s="17">
        <f>+D16/D15</f>
        <v>-0.11124445294988636</v>
      </c>
      <c r="J17" s="16"/>
    </row>
    <row r="18" spans="3:10" ht="34.799999999999997" x14ac:dyDescent="0.9">
      <c r="J18" s="16"/>
    </row>
    <row r="19" spans="3:10" ht="34.799999999999997" x14ac:dyDescent="0.9">
      <c r="J19" s="16"/>
    </row>
    <row r="20" spans="3:10" ht="34.799999999999997" x14ac:dyDescent="0.9">
      <c r="J20" s="16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15 Z17:Z1048576">
    <cfRule type="cellIs" dxfId="6" priority="1" operator="lessThan">
      <formula>0</formula>
    </cfRule>
  </conditionalFormatting>
  <pageMargins left="0.25" right="0.25" top="0.75" bottom="0.75" header="0.3" footer="0.3"/>
  <pageSetup paperSize="9" scale="37" fitToHeight="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D5A35-09D3-4BB5-9B83-792293597E88}">
  <sheetPr>
    <tabColor theme="8" tint="-0.249977111117893"/>
    <pageSetUpPr fitToPage="1"/>
  </sheetPr>
  <dimension ref="A1:AB19"/>
  <sheetViews>
    <sheetView zoomScale="90" zoomScaleNormal="90" workbookViewId="0">
      <pane xSplit="3" ySplit="2" topLeftCell="Q3" activePane="bottomRight" state="frozen"/>
      <selection activeCell="Z4" sqref="Z4:Z6"/>
      <selection pane="topRight" activeCell="Z4" sqref="Z4:Z6"/>
      <selection pane="bottomLeft" activeCell="Z4" sqref="Z4:Z6"/>
      <selection pane="bottomRight" activeCell="Z4" sqref="Z4:Z6"/>
    </sheetView>
  </sheetViews>
  <sheetFormatPr defaultColWidth="9" defaultRowHeight="15.6" x14ac:dyDescent="0.4"/>
  <cols>
    <col min="1" max="1" width="5.3984375" style="2" bestFit="1" customWidth="1"/>
    <col min="2" max="2" width="9.3984375" style="2" bestFit="1" customWidth="1"/>
    <col min="3" max="3" width="24.8984375" style="2" customWidth="1"/>
    <col min="4" max="4" width="13.59765625" style="2" customWidth="1"/>
    <col min="5" max="5" width="12.09765625" style="2" customWidth="1"/>
    <col min="6" max="6" width="14.09765625" style="2" customWidth="1"/>
    <col min="7" max="7" width="12.19921875" style="2" customWidth="1"/>
    <col min="8" max="8" width="13.19921875" style="2" customWidth="1"/>
    <col min="9" max="25" width="13.3984375" style="2" customWidth="1"/>
    <col min="26" max="26" width="16.69921875" style="2" customWidth="1"/>
    <col min="27" max="16384" width="9" style="2"/>
  </cols>
  <sheetData>
    <row r="1" spans="1:28" ht="28.8" x14ac:dyDescent="0.75">
      <c r="A1" s="1" t="s">
        <v>48</v>
      </c>
    </row>
    <row r="2" spans="1:28" s="4" customFormat="1" ht="79.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43</v>
      </c>
      <c r="Y2" s="3" t="s">
        <v>25</v>
      </c>
      <c r="Z2" s="3" t="s">
        <v>26</v>
      </c>
    </row>
    <row r="3" spans="1:28" ht="23.4" x14ac:dyDescent="0.6">
      <c r="A3" s="5">
        <v>1</v>
      </c>
      <c r="B3" s="5">
        <v>10203</v>
      </c>
      <c r="C3" s="6" t="s">
        <v>27</v>
      </c>
      <c r="D3" s="7">
        <v>112715</v>
      </c>
      <c r="E3" s="7">
        <v>5093</v>
      </c>
      <c r="F3" s="7">
        <f>+D3-E3</f>
        <v>107622</v>
      </c>
      <c r="G3" s="7">
        <f>+D3*0.5</f>
        <v>56357.5</v>
      </c>
      <c r="H3" s="7">
        <f t="shared" ref="H3:H13" si="0">+F3-G3</f>
        <v>51264.5</v>
      </c>
      <c r="I3" s="18">
        <f>+[1]รายชื่อพนักงานรายเดือน!G10</f>
        <v>17553.885833333334</v>
      </c>
      <c r="J3" s="7">
        <v>304.88</v>
      </c>
      <c r="K3" s="7">
        <v>100</v>
      </c>
      <c r="L3" s="20">
        <f>+[1]รายชื่อพนักงานรายเดือน!C9</f>
        <v>3580.5558333333333</v>
      </c>
      <c r="M3" s="7">
        <f>14884+14884</f>
        <v>29768</v>
      </c>
      <c r="N3" s="7">
        <v>0</v>
      </c>
      <c r="O3" s="7">
        <v>0</v>
      </c>
      <c r="P3" s="7">
        <v>6381.48</v>
      </c>
      <c r="Q3" s="7">
        <v>450</v>
      </c>
      <c r="R3" s="7">
        <v>0</v>
      </c>
      <c r="S3" s="7">
        <v>206.96</v>
      </c>
      <c r="T3" s="7">
        <v>0</v>
      </c>
      <c r="U3" s="7">
        <v>0</v>
      </c>
      <c r="V3" s="7">
        <v>0</v>
      </c>
      <c r="W3" s="7">
        <v>0</v>
      </c>
      <c r="X3" s="7">
        <f>+[1]รายชื่อพนักงานรายเดือน!K8</f>
        <v>230.76923076923077</v>
      </c>
      <c r="Y3" s="7">
        <v>65</v>
      </c>
      <c r="Z3" s="9">
        <f t="shared" ref="Z3:Z13" si="1">+H3-I3-J3-L3-M3-O3-P3-S3-T3-U3-V3-W3-X3-Y3-Q3-R3-K3-N3</f>
        <v>-7377.0308974358932</v>
      </c>
    </row>
    <row r="4" spans="1:28" ht="23.4" x14ac:dyDescent="0.6">
      <c r="A4" s="5">
        <v>2</v>
      </c>
      <c r="B4" s="5">
        <v>10204</v>
      </c>
      <c r="C4" s="6" t="s">
        <v>28</v>
      </c>
      <c r="D4" s="7">
        <v>109775</v>
      </c>
      <c r="E4" s="7">
        <v>31607</v>
      </c>
      <c r="F4" s="7">
        <f>+D4-E4</f>
        <v>78168</v>
      </c>
      <c r="G4" s="7">
        <f t="shared" ref="G4:G13" si="2">+D4*0.5</f>
        <v>54887.5</v>
      </c>
      <c r="H4" s="7">
        <f t="shared" si="0"/>
        <v>23280.5</v>
      </c>
      <c r="I4" s="18">
        <f>+[1]รายชื่อพนักงานรายเดือน!G10</f>
        <v>17553.885833333334</v>
      </c>
      <c r="J4" s="7">
        <v>0</v>
      </c>
      <c r="K4" s="7">
        <v>0</v>
      </c>
      <c r="L4" s="20">
        <f>+[1]รายชื่อพนักงานรายเดือน!C9</f>
        <v>3580.5558333333333</v>
      </c>
      <c r="M4" s="7">
        <v>5820</v>
      </c>
      <c r="N4" s="7">
        <v>0</v>
      </c>
      <c r="O4" s="7">
        <v>48</v>
      </c>
      <c r="P4" s="7">
        <v>5052.97</v>
      </c>
      <c r="Q4" s="7">
        <v>45</v>
      </c>
      <c r="R4" s="7">
        <v>0</v>
      </c>
      <c r="S4" s="7">
        <v>206.96</v>
      </c>
      <c r="T4" s="7">
        <v>0</v>
      </c>
      <c r="U4" s="7">
        <v>100</v>
      </c>
      <c r="V4" s="7">
        <v>630</v>
      </c>
      <c r="W4" s="7">
        <v>0</v>
      </c>
      <c r="X4" s="7">
        <f>+[1]รายชื่อพนักงานรายเดือน!K8</f>
        <v>230.76923076923077</v>
      </c>
      <c r="Y4" s="7">
        <v>10</v>
      </c>
      <c r="Z4" s="9">
        <f t="shared" si="1"/>
        <v>-9997.6408974358965</v>
      </c>
    </row>
    <row r="5" spans="1:28" ht="24" customHeight="1" x14ac:dyDescent="0.6">
      <c r="A5" s="5">
        <v>3</v>
      </c>
      <c r="B5" s="5">
        <v>10205</v>
      </c>
      <c r="C5" s="6" t="s">
        <v>29</v>
      </c>
      <c r="D5" s="7">
        <v>101790</v>
      </c>
      <c r="E5" s="7">
        <v>21232</v>
      </c>
      <c r="F5" s="7">
        <f t="shared" ref="F5:F13" si="3">+D5-E5</f>
        <v>80558</v>
      </c>
      <c r="G5" s="7">
        <f t="shared" si="2"/>
        <v>50895</v>
      </c>
      <c r="H5" s="7">
        <f t="shared" si="0"/>
        <v>29663</v>
      </c>
      <c r="I5" s="18">
        <f>+[1]รายชื่อพนักงานรายเดือน!G10</f>
        <v>17553.885833333334</v>
      </c>
      <c r="J5" s="7">
        <v>0</v>
      </c>
      <c r="K5" s="7">
        <v>0</v>
      </c>
      <c r="L5" s="20">
        <f>+[1]รายชื่อพนักงานรายเดือน!C9</f>
        <v>3580.5558333333333</v>
      </c>
      <c r="M5" s="7">
        <v>0</v>
      </c>
      <c r="N5" s="7">
        <v>0</v>
      </c>
      <c r="O5" s="7">
        <v>40</v>
      </c>
      <c r="P5" s="7">
        <v>12639.28</v>
      </c>
      <c r="Q5" s="7">
        <v>0</v>
      </c>
      <c r="R5" s="7">
        <v>0</v>
      </c>
      <c r="S5" s="7">
        <v>206.96</v>
      </c>
      <c r="T5" s="7">
        <v>0</v>
      </c>
      <c r="U5" s="7"/>
      <c r="V5" s="7"/>
      <c r="W5" s="7">
        <v>0</v>
      </c>
      <c r="X5" s="7">
        <f>+[1]รายชื่อพนักงานรายเดือน!K8</f>
        <v>230.76923076923077</v>
      </c>
      <c r="Y5" s="7"/>
      <c r="Z5" s="9">
        <f t="shared" si="1"/>
        <v>-4588.4508974358987</v>
      </c>
    </row>
    <row r="6" spans="1:28" ht="23.4" x14ac:dyDescent="0.6">
      <c r="A6" s="5">
        <v>4</v>
      </c>
      <c r="B6" s="5">
        <v>10207</v>
      </c>
      <c r="C6" s="6" t="s">
        <v>30</v>
      </c>
      <c r="D6" s="7">
        <v>106341</v>
      </c>
      <c r="E6" s="7">
        <v>3225</v>
      </c>
      <c r="F6" s="7">
        <f t="shared" si="3"/>
        <v>103116</v>
      </c>
      <c r="G6" s="7">
        <f t="shared" si="2"/>
        <v>53170.5</v>
      </c>
      <c r="H6" s="7">
        <f t="shared" si="0"/>
        <v>49945.5</v>
      </c>
      <c r="I6" s="18">
        <f>+[1]รายชื่อพนักงานรายเดือน!G10</f>
        <v>17553.885833333334</v>
      </c>
      <c r="J6" s="7">
        <v>124.64</v>
      </c>
      <c r="K6" s="7">
        <v>0</v>
      </c>
      <c r="L6" s="20">
        <f>+[1]รายชื่อพนักงานรายเดือน!C9</f>
        <v>3580.5558333333333</v>
      </c>
      <c r="M6" s="7">
        <v>9000</v>
      </c>
      <c r="N6" s="7">
        <v>0</v>
      </c>
      <c r="O6" s="7">
        <v>0</v>
      </c>
      <c r="P6" s="7">
        <v>2560</v>
      </c>
      <c r="Q6" s="7">
        <v>465</v>
      </c>
      <c r="R6" s="7">
        <v>0</v>
      </c>
      <c r="S6" s="7">
        <v>206.96</v>
      </c>
      <c r="T6" s="7">
        <v>0</v>
      </c>
      <c r="U6" s="7">
        <v>0</v>
      </c>
      <c r="V6" s="7">
        <v>0</v>
      </c>
      <c r="W6" s="7">
        <v>0</v>
      </c>
      <c r="X6" s="7">
        <f>+[1]รายชื่อพนักงานรายเดือน!K8</f>
        <v>230.76923076923077</v>
      </c>
      <c r="Y6" s="7">
        <v>94</v>
      </c>
      <c r="Z6" s="9">
        <f t="shared" si="1"/>
        <v>16129.689102564105</v>
      </c>
    </row>
    <row r="7" spans="1:28" ht="23.4" x14ac:dyDescent="0.6">
      <c r="A7" s="5">
        <v>5</v>
      </c>
      <c r="B7" s="5">
        <v>10208</v>
      </c>
      <c r="C7" s="6" t="s">
        <v>31</v>
      </c>
      <c r="D7" s="7">
        <v>77604</v>
      </c>
      <c r="E7" s="7">
        <v>18192</v>
      </c>
      <c r="F7" s="7">
        <f t="shared" si="3"/>
        <v>59412</v>
      </c>
      <c r="G7" s="7">
        <f t="shared" si="2"/>
        <v>38802</v>
      </c>
      <c r="H7" s="7">
        <f t="shared" si="0"/>
        <v>20610</v>
      </c>
      <c r="I7" s="18">
        <f>+[1]รายชื่อพนักงานรายเดือน!G10</f>
        <v>17553.885833333334</v>
      </c>
      <c r="J7" s="7">
        <v>0</v>
      </c>
      <c r="K7" s="7">
        <v>0</v>
      </c>
      <c r="L7" s="20">
        <f>+[1]รายชื่อพนักงานรายเดือน!C9</f>
        <v>3580.5558333333333</v>
      </c>
      <c r="M7" s="7">
        <v>6741</v>
      </c>
      <c r="N7" s="7">
        <v>0</v>
      </c>
      <c r="O7" s="7">
        <v>0</v>
      </c>
      <c r="P7" s="7">
        <v>1288.1099999999999</v>
      </c>
      <c r="Q7" s="7">
        <v>0</v>
      </c>
      <c r="R7" s="7">
        <v>0</v>
      </c>
      <c r="S7" s="7">
        <v>206.96</v>
      </c>
      <c r="T7" s="7">
        <v>259.37</v>
      </c>
      <c r="U7" s="7">
        <v>0</v>
      </c>
      <c r="V7" s="7">
        <v>0</v>
      </c>
      <c r="W7" s="7">
        <v>0</v>
      </c>
      <c r="X7" s="7">
        <f>+[1]รายชื่อพนักงานรายเดือน!K8</f>
        <v>230.76923076923077</v>
      </c>
      <c r="Y7" s="7"/>
      <c r="Z7" s="9">
        <f t="shared" si="1"/>
        <v>-9250.6508974358985</v>
      </c>
    </row>
    <row r="8" spans="1:28" ht="23.4" x14ac:dyDescent="0.6">
      <c r="A8" s="5">
        <v>6</v>
      </c>
      <c r="B8" s="5">
        <v>10209</v>
      </c>
      <c r="C8" s="6" t="s">
        <v>32</v>
      </c>
      <c r="D8" s="7">
        <v>154824</v>
      </c>
      <c r="E8" s="7">
        <v>36143</v>
      </c>
      <c r="F8" s="7">
        <f t="shared" si="3"/>
        <v>118681</v>
      </c>
      <c r="G8" s="7">
        <f t="shared" si="2"/>
        <v>77412</v>
      </c>
      <c r="H8" s="7">
        <f t="shared" si="0"/>
        <v>41269</v>
      </c>
      <c r="I8" s="18">
        <f>+[1]รายชื่อพนักงานรายเดือน!G10</f>
        <v>17553.885833333334</v>
      </c>
      <c r="J8" s="7">
        <v>747.24</v>
      </c>
      <c r="K8" s="7">
        <v>200</v>
      </c>
      <c r="L8" s="20">
        <f>+[1]รายชื่อพนักงานรายเดือน!C9</f>
        <v>3580.5558333333333</v>
      </c>
      <c r="M8" s="7">
        <v>16000</v>
      </c>
      <c r="N8" s="7">
        <v>0</v>
      </c>
      <c r="O8" s="7">
        <v>0</v>
      </c>
      <c r="P8" s="7">
        <v>2979</v>
      </c>
      <c r="Q8" s="7">
        <v>0</v>
      </c>
      <c r="R8" s="7">
        <v>0</v>
      </c>
      <c r="S8" s="7">
        <v>206.96</v>
      </c>
      <c r="T8" s="7">
        <v>0</v>
      </c>
      <c r="U8" s="7">
        <v>0</v>
      </c>
      <c r="V8" s="7">
        <v>0</v>
      </c>
      <c r="W8" s="7">
        <v>0</v>
      </c>
      <c r="X8" s="7">
        <f>+[1]รายชื่อพนักงานรายเดือน!K8</f>
        <v>230.76923076923077</v>
      </c>
      <c r="Y8" s="7">
        <v>239</v>
      </c>
      <c r="Z8" s="9">
        <f t="shared" si="1"/>
        <v>-468.41089743589805</v>
      </c>
    </row>
    <row r="9" spans="1:28" ht="23.4" x14ac:dyDescent="0.6">
      <c r="A9" s="5">
        <v>7</v>
      </c>
      <c r="B9" s="5">
        <v>10210</v>
      </c>
      <c r="C9" s="6" t="s">
        <v>33</v>
      </c>
      <c r="D9" s="7">
        <v>107861</v>
      </c>
      <c r="E9" s="7">
        <v>7683</v>
      </c>
      <c r="F9" s="7">
        <f t="shared" si="3"/>
        <v>100178</v>
      </c>
      <c r="G9" s="7">
        <f t="shared" si="2"/>
        <v>53930.5</v>
      </c>
      <c r="H9" s="7">
        <f t="shared" si="0"/>
        <v>46247.5</v>
      </c>
      <c r="I9" s="18">
        <f>+[1]รายชื่อพนักงานรายเดือน!G10</f>
        <v>17553.885833333334</v>
      </c>
      <c r="J9" s="7">
        <v>7.12</v>
      </c>
      <c r="K9" s="7">
        <v>100</v>
      </c>
      <c r="L9" s="20">
        <f>+[1]รายชื่อพนักงานรายเดือน!C9</f>
        <v>3580.5558333333333</v>
      </c>
      <c r="M9" s="7">
        <f>14884+14884</f>
        <v>29768</v>
      </c>
      <c r="N9" s="7">
        <v>0</v>
      </c>
      <c r="O9" s="7">
        <v>0</v>
      </c>
      <c r="P9" s="7">
        <v>5560</v>
      </c>
      <c r="Q9" s="7">
        <v>465</v>
      </c>
      <c r="R9" s="7">
        <v>0</v>
      </c>
      <c r="S9" s="7">
        <v>206.96</v>
      </c>
      <c r="T9" s="7">
        <v>0</v>
      </c>
      <c r="U9" s="7">
        <v>0</v>
      </c>
      <c r="V9" s="7">
        <v>0</v>
      </c>
      <c r="W9" s="7">
        <v>0</v>
      </c>
      <c r="X9" s="7">
        <f>+[1]รายชื่อพนักงานรายเดือน!K8</f>
        <v>230.76923076923077</v>
      </c>
      <c r="Y9" s="7">
        <v>10</v>
      </c>
      <c r="Z9" s="9">
        <f t="shared" si="1"/>
        <v>-11234.790897435894</v>
      </c>
    </row>
    <row r="10" spans="1:28" ht="23.4" x14ac:dyDescent="0.6">
      <c r="A10" s="5">
        <v>8</v>
      </c>
      <c r="B10" s="5">
        <v>10219</v>
      </c>
      <c r="C10" s="6" t="s">
        <v>34</v>
      </c>
      <c r="D10" s="7">
        <v>95690</v>
      </c>
      <c r="E10" s="7">
        <v>10335</v>
      </c>
      <c r="F10" s="7">
        <f t="shared" si="3"/>
        <v>85355</v>
      </c>
      <c r="G10" s="7">
        <f t="shared" si="2"/>
        <v>47845</v>
      </c>
      <c r="H10" s="7">
        <f t="shared" si="0"/>
        <v>37510</v>
      </c>
      <c r="I10" s="18">
        <f>+[1]รายชื่อพนักงานรายเดือน!G10</f>
        <v>17553.885833333334</v>
      </c>
      <c r="J10" s="7">
        <v>0</v>
      </c>
      <c r="K10" s="7">
        <v>0</v>
      </c>
      <c r="L10" s="20">
        <f>+[1]รายชื่อพนักงานรายเดือน!C9</f>
        <v>3580.5558333333333</v>
      </c>
      <c r="M10" s="7">
        <v>16500</v>
      </c>
      <c r="N10" s="7">
        <v>0</v>
      </c>
      <c r="O10" s="7">
        <v>0</v>
      </c>
      <c r="P10" s="7">
        <v>3833.5</v>
      </c>
      <c r="Q10" s="7">
        <v>465</v>
      </c>
      <c r="R10" s="7">
        <v>0</v>
      </c>
      <c r="S10" s="7">
        <v>0</v>
      </c>
      <c r="T10" s="7">
        <v>467.29</v>
      </c>
      <c r="U10" s="7">
        <v>0</v>
      </c>
      <c r="V10" s="7">
        <v>0</v>
      </c>
      <c r="W10" s="7">
        <v>0</v>
      </c>
      <c r="X10" s="7">
        <f>+[1]รายชื่อพนักงานรายเดือน!K8</f>
        <v>230.76923076923077</v>
      </c>
      <c r="Y10" s="7"/>
      <c r="Z10" s="9">
        <f t="shared" si="1"/>
        <v>-5121.000897435898</v>
      </c>
    </row>
    <row r="11" spans="1:28" ht="23.4" x14ac:dyDescent="0.6">
      <c r="A11" s="5">
        <v>9</v>
      </c>
      <c r="B11" s="5">
        <v>10235</v>
      </c>
      <c r="C11" s="6" t="s">
        <v>35</v>
      </c>
      <c r="D11" s="7">
        <v>94145</v>
      </c>
      <c r="E11" s="7">
        <v>19525</v>
      </c>
      <c r="F11" s="7">
        <f t="shared" si="3"/>
        <v>74620</v>
      </c>
      <c r="G11" s="7">
        <f t="shared" si="2"/>
        <v>47072.5</v>
      </c>
      <c r="H11" s="7">
        <f t="shared" si="0"/>
        <v>27547.5</v>
      </c>
      <c r="I11" s="18">
        <f>+[1]รายชื่อพนักงานรายเดือน!G10</f>
        <v>17553.885833333334</v>
      </c>
      <c r="J11" s="7">
        <v>0</v>
      </c>
      <c r="K11" s="7">
        <v>0</v>
      </c>
      <c r="L11" s="20">
        <f>+[1]รายชื่อพนักงานรายเดือน!C9</f>
        <v>3580.5558333333333</v>
      </c>
      <c r="M11" s="7">
        <v>12000</v>
      </c>
      <c r="N11" s="7">
        <v>0</v>
      </c>
      <c r="O11" s="7">
        <v>15</v>
      </c>
      <c r="P11" s="7">
        <v>5838</v>
      </c>
      <c r="Q11" s="7">
        <v>0</v>
      </c>
      <c r="R11" s="7">
        <v>0</v>
      </c>
      <c r="S11" s="7">
        <v>212.72</v>
      </c>
      <c r="T11" s="7">
        <v>0</v>
      </c>
      <c r="U11" s="7">
        <v>0</v>
      </c>
      <c r="V11" s="7">
        <v>0</v>
      </c>
      <c r="W11" s="7">
        <v>0</v>
      </c>
      <c r="X11" s="7">
        <f>+[1]รายชื่อพนักงานรายเดือน!K8</f>
        <v>230.76923076923077</v>
      </c>
      <c r="Y11" s="7">
        <v>0</v>
      </c>
      <c r="Z11" s="9">
        <f t="shared" si="1"/>
        <v>-11883.430897435897</v>
      </c>
    </row>
    <row r="12" spans="1:28" ht="23.4" x14ac:dyDescent="0.6">
      <c r="A12" s="5">
        <v>10</v>
      </c>
      <c r="B12" s="5">
        <v>10264</v>
      </c>
      <c r="C12" s="6" t="s">
        <v>36</v>
      </c>
      <c r="D12" s="7">
        <v>84433</v>
      </c>
      <c r="E12" s="7">
        <v>10592</v>
      </c>
      <c r="F12" s="7">
        <f t="shared" si="3"/>
        <v>73841</v>
      </c>
      <c r="G12" s="7">
        <f t="shared" si="2"/>
        <v>42216.5</v>
      </c>
      <c r="H12" s="7">
        <f t="shared" si="0"/>
        <v>31624.5</v>
      </c>
      <c r="I12" s="18">
        <f>+[1]รายชื่อพนักงานรายเดือน!G10</f>
        <v>17553.885833333334</v>
      </c>
      <c r="J12" s="7">
        <v>0</v>
      </c>
      <c r="K12" s="7">
        <v>0</v>
      </c>
      <c r="L12" s="20">
        <f>+[1]รายชื่อพนักงานรายเดือน!C9</f>
        <v>3580.5558333333333</v>
      </c>
      <c r="M12" s="7">
        <v>22050</v>
      </c>
      <c r="N12" s="7">
        <v>0</v>
      </c>
      <c r="O12" s="7">
        <v>0</v>
      </c>
      <c r="P12" s="7">
        <v>5257</v>
      </c>
      <c r="Q12" s="7">
        <v>330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f>+[1]รายชื่อพนักงานรายเดือน!K8</f>
        <v>230.76923076923077</v>
      </c>
      <c r="Y12" s="7"/>
      <c r="Z12" s="9">
        <f t="shared" si="1"/>
        <v>-17377.710897435896</v>
      </c>
    </row>
    <row r="13" spans="1:28" ht="23.4" x14ac:dyDescent="0.6">
      <c r="A13" s="5">
        <v>11</v>
      </c>
      <c r="B13" s="5">
        <v>10377</v>
      </c>
      <c r="C13" s="6" t="s">
        <v>37</v>
      </c>
      <c r="D13" s="7">
        <v>76285</v>
      </c>
      <c r="E13" s="7">
        <v>12066</v>
      </c>
      <c r="F13" s="7">
        <f t="shared" si="3"/>
        <v>64219</v>
      </c>
      <c r="G13" s="7">
        <f t="shared" si="2"/>
        <v>38142.5</v>
      </c>
      <c r="H13" s="7">
        <f t="shared" si="0"/>
        <v>26076.5</v>
      </c>
      <c r="I13" s="18">
        <f>+[1]รายชื่อพนักงานรายเดือน!G10</f>
        <v>17553.885833333334</v>
      </c>
      <c r="J13" s="7">
        <v>0</v>
      </c>
      <c r="K13" s="7">
        <v>0</v>
      </c>
      <c r="L13" s="20">
        <f>+[1]รายชื่อพนักงานรายเดือน!C9</f>
        <v>3580.5558333333333</v>
      </c>
      <c r="M13" s="7">
        <v>20250</v>
      </c>
      <c r="N13" s="7">
        <v>0</v>
      </c>
      <c r="O13" s="7">
        <v>0</v>
      </c>
      <c r="P13" s="7">
        <v>5758.74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f>+[1]รายชื่อพนักงานรายเดือน!K8</f>
        <v>230.76923076923077</v>
      </c>
      <c r="Y13" s="7">
        <v>0</v>
      </c>
      <c r="Z13" s="9">
        <f t="shared" si="1"/>
        <v>-21297.450897435898</v>
      </c>
    </row>
    <row r="14" spans="1:28" ht="27" thickBot="1" x14ac:dyDescent="0.75">
      <c r="C14" s="10" t="s">
        <v>39</v>
      </c>
      <c r="D14" s="11">
        <f t="shared" ref="D14:Z14" si="4">SUM(D3:D13)</f>
        <v>1121463</v>
      </c>
      <c r="E14" s="12">
        <f t="shared" si="4"/>
        <v>175693</v>
      </c>
      <c r="F14" s="12">
        <f t="shared" si="4"/>
        <v>945770</v>
      </c>
      <c r="G14" s="12">
        <f t="shared" si="4"/>
        <v>560731.5</v>
      </c>
      <c r="H14" s="12">
        <f t="shared" si="4"/>
        <v>385038.5</v>
      </c>
      <c r="I14" s="11">
        <f>SUM(I3:I13)</f>
        <v>193092.74416666667</v>
      </c>
      <c r="J14" s="12">
        <f t="shared" si="4"/>
        <v>1183.8799999999999</v>
      </c>
      <c r="K14" s="12">
        <f t="shared" si="4"/>
        <v>400</v>
      </c>
      <c r="L14" s="11">
        <f>SUM(L3:L13)</f>
        <v>39386.114166666659</v>
      </c>
      <c r="M14" s="12">
        <f t="shared" si="4"/>
        <v>167897</v>
      </c>
      <c r="N14" s="12">
        <f t="shared" si="4"/>
        <v>0</v>
      </c>
      <c r="O14" s="12">
        <f t="shared" si="4"/>
        <v>103</v>
      </c>
      <c r="P14" s="12">
        <f t="shared" si="4"/>
        <v>57148.08</v>
      </c>
      <c r="Q14" s="12">
        <f t="shared" si="4"/>
        <v>2220</v>
      </c>
      <c r="R14" s="12">
        <f t="shared" si="4"/>
        <v>0</v>
      </c>
      <c r="S14" s="12">
        <f t="shared" si="4"/>
        <v>1661.44</v>
      </c>
      <c r="T14" s="12">
        <f t="shared" si="4"/>
        <v>726.66000000000008</v>
      </c>
      <c r="U14" s="12">
        <f t="shared" si="4"/>
        <v>100</v>
      </c>
      <c r="V14" s="12">
        <f t="shared" si="4"/>
        <v>630</v>
      </c>
      <c r="W14" s="12">
        <f t="shared" si="4"/>
        <v>0</v>
      </c>
      <c r="X14" s="12">
        <f t="shared" si="4"/>
        <v>2538.4615384615386</v>
      </c>
      <c r="Y14" s="12">
        <f t="shared" si="4"/>
        <v>418</v>
      </c>
      <c r="Z14" s="12">
        <f t="shared" si="4"/>
        <v>-82466.879871794867</v>
      </c>
      <c r="AA14" s="13" t="s">
        <v>40</v>
      </c>
      <c r="AB14" s="14"/>
    </row>
    <row r="15" spans="1:28" ht="35.4" thickTop="1" x14ac:dyDescent="0.9">
      <c r="C15" s="10" t="s">
        <v>41</v>
      </c>
      <c r="D15" s="15">
        <f>+Z14</f>
        <v>-82466.879871794867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8" ht="34.799999999999997" x14ac:dyDescent="0.9">
      <c r="C16" s="10" t="s">
        <v>42</v>
      </c>
      <c r="D16" s="17">
        <f>+D15/D14</f>
        <v>-7.3535087534581947E-2</v>
      </c>
      <c r="J16" s="16"/>
    </row>
    <row r="17" spans="10:10" ht="34.799999999999997" x14ac:dyDescent="0.9">
      <c r="J17" s="16"/>
    </row>
    <row r="18" spans="10:10" ht="34.799999999999997" x14ac:dyDescent="0.9">
      <c r="J18" s="16"/>
    </row>
    <row r="19" spans="10:10" ht="34.799999999999997" x14ac:dyDescent="0.9">
      <c r="J19" s="16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14 Z16:Z1048576">
    <cfRule type="cellIs" dxfId="5" priority="1" operator="lessThan">
      <formula>0</formula>
    </cfRule>
  </conditionalFormatting>
  <pageMargins left="0.25" right="0.25" top="0.75" bottom="0.75" header="0.3" footer="0.3"/>
  <pageSetup paperSize="9" scale="37" fitToHeight="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BC81-65B0-46B2-8A6C-50AFCDF0C927}">
  <sheetPr>
    <tabColor theme="8" tint="-0.249977111117893"/>
    <pageSetUpPr fitToPage="1"/>
  </sheetPr>
  <dimension ref="A1:AB19"/>
  <sheetViews>
    <sheetView zoomScale="90" zoomScaleNormal="90" workbookViewId="0">
      <pane xSplit="3" ySplit="2" topLeftCell="P3" activePane="bottomRight" state="frozen"/>
      <selection activeCell="Z4" sqref="Z4:Z6"/>
      <selection pane="topRight" activeCell="Z4" sqref="Z4:Z6"/>
      <selection pane="bottomLeft" activeCell="Z4" sqref="Z4:Z6"/>
      <selection pane="bottomRight" activeCell="Z4" sqref="Z4:Z6"/>
    </sheetView>
  </sheetViews>
  <sheetFormatPr defaultColWidth="9" defaultRowHeight="15.6" x14ac:dyDescent="0.4"/>
  <cols>
    <col min="1" max="1" width="5.3984375" style="2" bestFit="1" customWidth="1"/>
    <col min="2" max="2" width="9.3984375" style="2" bestFit="1" customWidth="1"/>
    <col min="3" max="3" width="24.8984375" style="2" customWidth="1"/>
    <col min="4" max="4" width="13.59765625" style="2" customWidth="1"/>
    <col min="5" max="5" width="12.09765625" style="2" customWidth="1"/>
    <col min="6" max="6" width="14.09765625" style="2" customWidth="1"/>
    <col min="7" max="7" width="12.19921875" style="2" customWidth="1"/>
    <col min="8" max="8" width="13.19921875" style="2" customWidth="1"/>
    <col min="9" max="25" width="13.3984375" style="2" customWidth="1"/>
    <col min="26" max="26" width="16.69921875" style="2" customWidth="1"/>
    <col min="27" max="16384" width="9" style="2"/>
  </cols>
  <sheetData>
    <row r="1" spans="1:28" ht="28.8" x14ac:dyDescent="0.75">
      <c r="A1" s="1" t="s">
        <v>49</v>
      </c>
    </row>
    <row r="2" spans="1:28" s="4" customFormat="1" ht="79.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50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43</v>
      </c>
      <c r="Y2" s="3" t="s">
        <v>25</v>
      </c>
      <c r="Z2" s="3" t="s">
        <v>26</v>
      </c>
    </row>
    <row r="3" spans="1:28" ht="23.4" x14ac:dyDescent="0.6">
      <c r="A3" s="5">
        <v>1</v>
      </c>
      <c r="B3" s="5">
        <v>10203</v>
      </c>
      <c r="C3" s="6" t="s">
        <v>27</v>
      </c>
      <c r="D3" s="7">
        <v>98384</v>
      </c>
      <c r="E3" s="7">
        <v>6485</v>
      </c>
      <c r="F3" s="7">
        <f>+D3-E3</f>
        <v>91899</v>
      </c>
      <c r="G3" s="7">
        <f>+D3*0.5</f>
        <v>49192</v>
      </c>
      <c r="H3" s="7">
        <f t="shared" ref="H3:H13" si="0">+F3-G3</f>
        <v>42707</v>
      </c>
      <c r="I3" s="18">
        <f>+[1]รายชื่อพนักงานรายเดือน!G10</f>
        <v>17553.885833333334</v>
      </c>
      <c r="J3" s="7">
        <v>0</v>
      </c>
      <c r="K3" s="7">
        <v>100</v>
      </c>
      <c r="L3" s="20">
        <f>+[1]รายชื่อพนักงานรายเดือน!C9</f>
        <v>3580.5558333333333</v>
      </c>
      <c r="M3" s="7">
        <f>14884+14884</f>
        <v>29768</v>
      </c>
      <c r="N3" s="7">
        <v>0</v>
      </c>
      <c r="O3" s="7">
        <v>0</v>
      </c>
      <c r="P3" s="7">
        <v>5964</v>
      </c>
      <c r="Q3" s="7">
        <v>465</v>
      </c>
      <c r="R3" s="7">
        <v>0</v>
      </c>
      <c r="S3" s="7">
        <v>206.96</v>
      </c>
      <c r="T3" s="7">
        <v>0</v>
      </c>
      <c r="U3" s="7">
        <v>0</v>
      </c>
      <c r="V3" s="7">
        <v>0</v>
      </c>
      <c r="W3" s="7">
        <v>0</v>
      </c>
      <c r="X3" s="7">
        <f>+[1]รายชื่อพนักงานรายเดือน!K8</f>
        <v>230.76923076923077</v>
      </c>
      <c r="Y3" s="7">
        <v>65</v>
      </c>
      <c r="Z3" s="9">
        <f>+H3-I3-J3-L3-M3-O3-P3-S3-T3-U3-V3-W3-X3-Y3-Q3-R3-K3-N3</f>
        <v>-15227.170897435895</v>
      </c>
    </row>
    <row r="4" spans="1:28" ht="23.4" x14ac:dyDescent="0.6">
      <c r="A4" s="5">
        <v>2</v>
      </c>
      <c r="B4" s="5">
        <v>10204</v>
      </c>
      <c r="C4" s="6" t="s">
        <v>28</v>
      </c>
      <c r="D4" s="7">
        <v>103566</v>
      </c>
      <c r="E4" s="7">
        <v>20351</v>
      </c>
      <c r="F4" s="7">
        <f>+D4-E4</f>
        <v>83215</v>
      </c>
      <c r="G4" s="7">
        <f t="shared" ref="G4:G13" si="1">+D4*0.5</f>
        <v>51783</v>
      </c>
      <c r="H4" s="7">
        <f t="shared" si="0"/>
        <v>31432</v>
      </c>
      <c r="I4" s="18">
        <f>+[1]รายชื่อพนักงานรายเดือน!G10</f>
        <v>17553.885833333334</v>
      </c>
      <c r="J4" s="7">
        <v>0</v>
      </c>
      <c r="K4" s="7">
        <v>0</v>
      </c>
      <c r="L4" s="20">
        <f>+[1]รายชื่อพนักงานรายเดือน!C9</f>
        <v>3580.5558333333333</v>
      </c>
      <c r="M4" s="7">
        <v>5820</v>
      </c>
      <c r="N4" s="7">
        <v>0</v>
      </c>
      <c r="O4" s="7">
        <v>60</v>
      </c>
      <c r="P4" s="7">
        <v>5235.83</v>
      </c>
      <c r="Q4" s="7">
        <v>120</v>
      </c>
      <c r="R4" s="7">
        <v>0</v>
      </c>
      <c r="S4" s="7">
        <v>206.96</v>
      </c>
      <c r="T4" s="7">
        <v>0</v>
      </c>
      <c r="U4" s="7">
        <v>0</v>
      </c>
      <c r="V4" s="7">
        <v>0</v>
      </c>
      <c r="W4" s="7">
        <v>0</v>
      </c>
      <c r="X4" s="7">
        <f>+[1]รายชื่อพนักงานรายเดือน!K8</f>
        <v>230.76923076923077</v>
      </c>
      <c r="Y4" s="7">
        <v>204</v>
      </c>
      <c r="Z4" s="9">
        <f t="shared" ref="Z4:Z13" si="2">+H4-I4-J4-L4-M4-O4-P4-S4-T4-U4-V4-W4-X4-Y4-Q4-R4-K4-N4</f>
        <v>-1580.0008974358982</v>
      </c>
    </row>
    <row r="5" spans="1:28" ht="24" customHeight="1" x14ac:dyDescent="0.6">
      <c r="A5" s="5">
        <v>3</v>
      </c>
      <c r="B5" s="5">
        <v>10205</v>
      </c>
      <c r="C5" s="6" t="s">
        <v>29</v>
      </c>
      <c r="D5" s="7">
        <v>102926</v>
      </c>
      <c r="E5" s="7">
        <v>17947</v>
      </c>
      <c r="F5" s="7">
        <f t="shared" ref="F5:F13" si="3">+D5-E5</f>
        <v>84979</v>
      </c>
      <c r="G5" s="7">
        <f t="shared" si="1"/>
        <v>51463</v>
      </c>
      <c r="H5" s="7">
        <f t="shared" si="0"/>
        <v>33516</v>
      </c>
      <c r="I5" s="18">
        <f>+[1]รายชื่อพนักงานรายเดือน!G10</f>
        <v>17553.885833333334</v>
      </c>
      <c r="J5" s="7">
        <v>0</v>
      </c>
      <c r="K5" s="7">
        <v>0</v>
      </c>
      <c r="L5" s="20">
        <f>+[1]รายชื่อพนักงานรายเดือน!C9</f>
        <v>3580.5558333333333</v>
      </c>
      <c r="M5" s="7">
        <v>0</v>
      </c>
      <c r="N5" s="7">
        <v>0</v>
      </c>
      <c r="O5" s="7">
        <v>40</v>
      </c>
      <c r="P5" s="7">
        <v>12743.07</v>
      </c>
      <c r="Q5" s="7">
        <v>0</v>
      </c>
      <c r="R5" s="7">
        <v>0</v>
      </c>
      <c r="S5" s="7">
        <v>206.96</v>
      </c>
      <c r="T5" s="7">
        <v>0</v>
      </c>
      <c r="U5" s="7">
        <v>0</v>
      </c>
      <c r="V5" s="7">
        <v>830</v>
      </c>
      <c r="W5" s="7">
        <v>0</v>
      </c>
      <c r="X5" s="7">
        <f>+[1]รายชื่อพนักงานรายเดือน!K8</f>
        <v>230.76923076923077</v>
      </c>
      <c r="Y5" s="7">
        <v>374</v>
      </c>
      <c r="Z5" s="9">
        <f t="shared" si="2"/>
        <v>-2043.240897435898</v>
      </c>
    </row>
    <row r="6" spans="1:28" ht="23.4" x14ac:dyDescent="0.6">
      <c r="A6" s="5">
        <v>4</v>
      </c>
      <c r="B6" s="5">
        <v>10207</v>
      </c>
      <c r="C6" s="6" t="s">
        <v>30</v>
      </c>
      <c r="D6" s="7">
        <v>94162</v>
      </c>
      <c r="E6" s="7">
        <v>1995</v>
      </c>
      <c r="F6" s="7">
        <f t="shared" si="3"/>
        <v>92167</v>
      </c>
      <c r="G6" s="7">
        <f t="shared" si="1"/>
        <v>47081</v>
      </c>
      <c r="H6" s="7">
        <f t="shared" si="0"/>
        <v>45086</v>
      </c>
      <c r="I6" s="18">
        <f>+[1]รายชื่อพนักงานรายเดือน!G10</f>
        <v>17553.885833333334</v>
      </c>
      <c r="J6" s="7">
        <v>0</v>
      </c>
      <c r="K6" s="7">
        <v>100</v>
      </c>
      <c r="L6" s="20">
        <f>+[1]รายชื่อพนักงานรายเดือน!C9</f>
        <v>3580.5558333333333</v>
      </c>
      <c r="M6" s="7">
        <v>8100</v>
      </c>
      <c r="N6" s="7">
        <v>0</v>
      </c>
      <c r="O6" s="7">
        <v>0</v>
      </c>
      <c r="P6" s="7">
        <v>2497</v>
      </c>
      <c r="Q6" s="7">
        <v>450</v>
      </c>
      <c r="R6" s="7">
        <v>0</v>
      </c>
      <c r="S6" s="7">
        <v>206.96</v>
      </c>
      <c r="T6" s="7">
        <v>0</v>
      </c>
      <c r="U6" s="7">
        <v>0</v>
      </c>
      <c r="V6" s="7">
        <v>0</v>
      </c>
      <c r="W6" s="7">
        <v>0</v>
      </c>
      <c r="X6" s="7">
        <f>+[1]รายชื่อพนักงานรายเดือน!K8</f>
        <v>230.76923076923077</v>
      </c>
      <c r="Y6" s="7">
        <v>69</v>
      </c>
      <c r="Z6" s="9">
        <f t="shared" si="2"/>
        <v>12297.829102564105</v>
      </c>
    </row>
    <row r="7" spans="1:28" ht="23.4" x14ac:dyDescent="0.6">
      <c r="A7" s="5">
        <v>5</v>
      </c>
      <c r="B7" s="5">
        <v>10208</v>
      </c>
      <c r="C7" s="6" t="s">
        <v>31</v>
      </c>
      <c r="D7" s="7">
        <v>58440</v>
      </c>
      <c r="E7" s="7">
        <v>10080</v>
      </c>
      <c r="F7" s="7">
        <f t="shared" si="3"/>
        <v>48360</v>
      </c>
      <c r="G7" s="7">
        <f t="shared" si="1"/>
        <v>29220</v>
      </c>
      <c r="H7" s="7">
        <f t="shared" si="0"/>
        <v>19140</v>
      </c>
      <c r="I7" s="18">
        <f>+[1]รายชื่อพนักงานรายเดือน!G10</f>
        <v>17553.885833333334</v>
      </c>
      <c r="J7" s="7">
        <v>0</v>
      </c>
      <c r="K7" s="7">
        <v>0</v>
      </c>
      <c r="L7" s="20">
        <f>+[1]รายชื่อพนักงานรายเดือน!C9</f>
        <v>3580.5558333333333</v>
      </c>
      <c r="M7" s="7">
        <v>0</v>
      </c>
      <c r="N7" s="7">
        <v>0</v>
      </c>
      <c r="O7" s="7">
        <v>0</v>
      </c>
      <c r="P7" s="7">
        <v>1320</v>
      </c>
      <c r="Q7" s="7">
        <v>0</v>
      </c>
      <c r="R7" s="7">
        <v>0</v>
      </c>
      <c r="S7" s="7">
        <v>206.96</v>
      </c>
      <c r="T7" s="7">
        <v>0</v>
      </c>
      <c r="U7" s="7">
        <v>0</v>
      </c>
      <c r="V7" s="7">
        <v>0</v>
      </c>
      <c r="W7" s="7">
        <v>0</v>
      </c>
      <c r="X7" s="7">
        <f>+[1]รายชื่อพนักงานรายเดือน!K8</f>
        <v>230.76923076923077</v>
      </c>
      <c r="Y7" s="7">
        <v>0</v>
      </c>
      <c r="Z7" s="9">
        <f t="shared" si="2"/>
        <v>-3752.170897435898</v>
      </c>
    </row>
    <row r="8" spans="1:28" ht="23.4" x14ac:dyDescent="0.6">
      <c r="A8" s="5">
        <v>6</v>
      </c>
      <c r="B8" s="5">
        <v>10209</v>
      </c>
      <c r="C8" s="6" t="s">
        <v>32</v>
      </c>
      <c r="D8" s="7">
        <v>124018</v>
      </c>
      <c r="E8" s="7">
        <v>21524</v>
      </c>
      <c r="F8" s="7">
        <f t="shared" si="3"/>
        <v>102494</v>
      </c>
      <c r="G8" s="7">
        <f t="shared" si="1"/>
        <v>62009</v>
      </c>
      <c r="H8" s="7">
        <f t="shared" si="0"/>
        <v>40485</v>
      </c>
      <c r="I8" s="18">
        <f>+[1]รายชื่อพนักงานรายเดือน!G10</f>
        <v>17553.885833333334</v>
      </c>
      <c r="J8" s="7">
        <v>99.76</v>
      </c>
      <c r="K8" s="7">
        <v>100</v>
      </c>
      <c r="L8" s="20">
        <f>+[1]รายชื่อพนักงานรายเดือน!C9</f>
        <v>3580.5558333333333</v>
      </c>
      <c r="M8" s="7">
        <v>16000</v>
      </c>
      <c r="N8" s="7">
        <v>0</v>
      </c>
      <c r="O8" s="7">
        <v>0</v>
      </c>
      <c r="P8" s="7">
        <v>3307.5</v>
      </c>
      <c r="Q8" s="7">
        <v>0</v>
      </c>
      <c r="R8" s="7">
        <v>0</v>
      </c>
      <c r="S8" s="7">
        <v>206.96</v>
      </c>
      <c r="T8" s="7">
        <v>0</v>
      </c>
      <c r="U8" s="7">
        <v>0</v>
      </c>
      <c r="V8" s="7">
        <v>0</v>
      </c>
      <c r="W8" s="7">
        <v>0</v>
      </c>
      <c r="X8" s="7">
        <f>+[1]รายชื่อพนักงานรายเดือน!K8</f>
        <v>230.76923076923077</v>
      </c>
      <c r="Y8" s="7">
        <v>95</v>
      </c>
      <c r="Z8" s="9">
        <f t="shared" si="2"/>
        <v>-689.43089743589485</v>
      </c>
    </row>
    <row r="9" spans="1:28" ht="23.4" x14ac:dyDescent="0.6">
      <c r="A9" s="5">
        <v>7</v>
      </c>
      <c r="B9" s="5">
        <v>10210</v>
      </c>
      <c r="C9" s="6" t="s">
        <v>33</v>
      </c>
      <c r="D9" s="7">
        <v>106692</v>
      </c>
      <c r="E9" s="7">
        <v>5270</v>
      </c>
      <c r="F9" s="7">
        <f t="shared" si="3"/>
        <v>101422</v>
      </c>
      <c r="G9" s="7">
        <f t="shared" si="1"/>
        <v>53346</v>
      </c>
      <c r="H9" s="7">
        <f t="shared" si="0"/>
        <v>48076</v>
      </c>
      <c r="I9" s="18">
        <f>+[1]รายชื่อพนักงานรายเดือน!G10</f>
        <v>17553.885833333334</v>
      </c>
      <c r="J9" s="7">
        <v>56.88</v>
      </c>
      <c r="K9" s="7">
        <v>0</v>
      </c>
      <c r="L9" s="20">
        <f>+[1]รายชื่อพนักงานรายเดือน!C9</f>
        <v>3580.5558333333333</v>
      </c>
      <c r="M9" s="7">
        <f>14884+14884</f>
        <v>29768</v>
      </c>
      <c r="N9" s="7">
        <v>0</v>
      </c>
      <c r="O9" s="7">
        <v>0</v>
      </c>
      <c r="P9" s="7">
        <v>11020</v>
      </c>
      <c r="Q9" s="7">
        <v>465</v>
      </c>
      <c r="R9" s="7">
        <v>0</v>
      </c>
      <c r="S9" s="7">
        <v>206.96</v>
      </c>
      <c r="T9" s="7">
        <v>0</v>
      </c>
      <c r="U9" s="7">
        <v>0</v>
      </c>
      <c r="V9" s="7">
        <v>0</v>
      </c>
      <c r="W9" s="7">
        <v>0</v>
      </c>
      <c r="X9" s="7">
        <f>+[1]รายชื่อพนักงานรายเดือน!K8</f>
        <v>230.76923076923077</v>
      </c>
      <c r="Y9" s="7">
        <v>0</v>
      </c>
      <c r="Z9" s="9">
        <f t="shared" si="2"/>
        <v>-14806.050897435896</v>
      </c>
    </row>
    <row r="10" spans="1:28" ht="23.4" x14ac:dyDescent="0.6">
      <c r="A10" s="5">
        <v>8</v>
      </c>
      <c r="B10" s="5">
        <v>10219</v>
      </c>
      <c r="C10" s="6" t="s">
        <v>34</v>
      </c>
      <c r="D10" s="7">
        <v>94062</v>
      </c>
      <c r="E10" s="7">
        <v>10487</v>
      </c>
      <c r="F10" s="7">
        <f t="shared" si="3"/>
        <v>83575</v>
      </c>
      <c r="G10" s="7">
        <f t="shared" si="1"/>
        <v>47031</v>
      </c>
      <c r="H10" s="7">
        <f t="shared" si="0"/>
        <v>36544</v>
      </c>
      <c r="I10" s="18">
        <f>+[1]รายชื่อพนักงานรายเดือน!G10</f>
        <v>17553.885833333334</v>
      </c>
      <c r="J10" s="7">
        <v>0</v>
      </c>
      <c r="K10" s="7">
        <v>100</v>
      </c>
      <c r="L10" s="20">
        <f>+[1]รายชื่อพนักงานรายเดือน!C9</f>
        <v>3580.5558333333333</v>
      </c>
      <c r="M10" s="7">
        <v>16500</v>
      </c>
      <c r="N10" s="7">
        <v>0</v>
      </c>
      <c r="O10" s="7">
        <v>0</v>
      </c>
      <c r="P10" s="7">
        <v>4625.3900000000003</v>
      </c>
      <c r="Q10" s="7">
        <v>465</v>
      </c>
      <c r="R10" s="7">
        <v>0</v>
      </c>
      <c r="S10" s="7">
        <v>0</v>
      </c>
      <c r="T10" s="7">
        <v>233.64</v>
      </c>
      <c r="U10" s="7">
        <v>0</v>
      </c>
      <c r="V10" s="7">
        <v>0</v>
      </c>
      <c r="W10" s="7">
        <v>0</v>
      </c>
      <c r="X10" s="7">
        <f>+[1]รายชื่อพนักงานรายเดือน!K8</f>
        <v>230.76923076923077</v>
      </c>
      <c r="Y10" s="7">
        <v>0</v>
      </c>
      <c r="Z10" s="9">
        <f t="shared" si="2"/>
        <v>-6745.2408974358987</v>
      </c>
    </row>
    <row r="11" spans="1:28" ht="23.4" x14ac:dyDescent="0.6">
      <c r="A11" s="5">
        <v>9</v>
      </c>
      <c r="B11" s="5">
        <v>10235</v>
      </c>
      <c r="C11" s="6" t="s">
        <v>35</v>
      </c>
      <c r="D11" s="7">
        <v>93364</v>
      </c>
      <c r="E11" s="7">
        <v>17390</v>
      </c>
      <c r="F11" s="7">
        <f t="shared" si="3"/>
        <v>75974</v>
      </c>
      <c r="G11" s="7">
        <f t="shared" si="1"/>
        <v>46682</v>
      </c>
      <c r="H11" s="7">
        <f t="shared" si="0"/>
        <v>29292</v>
      </c>
      <c r="I11" s="18">
        <f>+[1]รายชื่อพนักงานรายเดือน!G10</f>
        <v>17553.885833333334</v>
      </c>
      <c r="J11" s="7">
        <v>0</v>
      </c>
      <c r="K11" s="7">
        <v>0</v>
      </c>
      <c r="L11" s="20">
        <f>+[1]รายชื่อพนักงานรายเดือน!C9</f>
        <v>3580.5558333333333</v>
      </c>
      <c r="M11" s="7">
        <v>12000</v>
      </c>
      <c r="N11" s="7">
        <v>0</v>
      </c>
      <c r="O11" s="7">
        <v>0</v>
      </c>
      <c r="P11" s="7">
        <v>6606</v>
      </c>
      <c r="Q11" s="7">
        <v>0</v>
      </c>
      <c r="R11" s="7">
        <v>0</v>
      </c>
      <c r="S11" s="7">
        <v>212.72</v>
      </c>
      <c r="T11" s="7">
        <v>0</v>
      </c>
      <c r="U11" s="7">
        <v>0</v>
      </c>
      <c r="V11" s="7">
        <v>0</v>
      </c>
      <c r="W11" s="7">
        <v>0</v>
      </c>
      <c r="X11" s="7">
        <f>+[1]รายชื่อพนักงานรายเดือน!K8</f>
        <v>230.76923076923077</v>
      </c>
      <c r="Y11" s="7">
        <v>19</v>
      </c>
      <c r="Z11" s="9">
        <f t="shared" si="2"/>
        <v>-10910.930897435897</v>
      </c>
    </row>
    <row r="12" spans="1:28" ht="23.4" x14ac:dyDescent="0.6">
      <c r="A12" s="5">
        <v>10</v>
      </c>
      <c r="B12" s="5">
        <v>10264</v>
      </c>
      <c r="C12" s="6" t="s">
        <v>36</v>
      </c>
      <c r="D12" s="7">
        <v>81099</v>
      </c>
      <c r="E12" s="7">
        <v>7790</v>
      </c>
      <c r="F12" s="7">
        <f t="shared" si="3"/>
        <v>73309</v>
      </c>
      <c r="G12" s="7">
        <f t="shared" si="1"/>
        <v>40549.5</v>
      </c>
      <c r="H12" s="7">
        <f t="shared" si="0"/>
        <v>32759.5</v>
      </c>
      <c r="I12" s="18">
        <f>+[1]รายชื่อพนักงานรายเดือน!G10</f>
        <v>17553.885833333334</v>
      </c>
      <c r="J12" s="7">
        <v>0</v>
      </c>
      <c r="K12" s="7">
        <v>0</v>
      </c>
      <c r="L12" s="20">
        <f>+[1]รายชื่อพนักงานรายเดือน!C9</f>
        <v>3580.5558333333333</v>
      </c>
      <c r="M12" s="7">
        <v>22050</v>
      </c>
      <c r="N12" s="7">
        <v>0</v>
      </c>
      <c r="O12" s="7">
        <v>0</v>
      </c>
      <c r="P12" s="7">
        <v>5257</v>
      </c>
      <c r="Q12" s="7">
        <v>465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f>+[1]รายชื่อพนักงานรายเดือน!K8</f>
        <v>230.76923076923077</v>
      </c>
      <c r="Y12" s="7">
        <v>0</v>
      </c>
      <c r="Z12" s="9">
        <f t="shared" si="2"/>
        <v>-16377.710897435898</v>
      </c>
    </row>
    <row r="13" spans="1:28" ht="23.4" x14ac:dyDescent="0.6">
      <c r="A13" s="5">
        <v>11</v>
      </c>
      <c r="B13" s="5">
        <v>10377</v>
      </c>
      <c r="C13" s="6" t="s">
        <v>37</v>
      </c>
      <c r="D13" s="7">
        <v>75174</v>
      </c>
      <c r="E13" s="7">
        <v>10391</v>
      </c>
      <c r="F13" s="7">
        <f t="shared" si="3"/>
        <v>64783</v>
      </c>
      <c r="G13" s="7">
        <f t="shared" si="1"/>
        <v>37587</v>
      </c>
      <c r="H13" s="7">
        <f t="shared" si="0"/>
        <v>27196</v>
      </c>
      <c r="I13" s="18">
        <f>+[1]รายชื่อพนักงานรายเดือน!G10</f>
        <v>17553.885833333334</v>
      </c>
      <c r="J13" s="7">
        <v>0</v>
      </c>
      <c r="K13" s="7">
        <v>0</v>
      </c>
      <c r="L13" s="20">
        <f>+[1]รายชื่อพนักงานรายเดือน!C9</f>
        <v>3580.5558333333333</v>
      </c>
      <c r="M13" s="7">
        <v>20250</v>
      </c>
      <c r="N13" s="7">
        <v>0</v>
      </c>
      <c r="O13" s="7">
        <v>0</v>
      </c>
      <c r="P13" s="7">
        <v>5358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f>+[1]รายชื่อพนักงานรายเดือน!K8</f>
        <v>230.76923076923077</v>
      </c>
      <c r="Y13" s="7">
        <v>138</v>
      </c>
      <c r="Z13" s="9">
        <f t="shared" si="2"/>
        <v>-19915.210897435896</v>
      </c>
    </row>
    <row r="14" spans="1:28" ht="27" thickBot="1" x14ac:dyDescent="0.75">
      <c r="C14" s="10" t="s">
        <v>39</v>
      </c>
      <c r="D14" s="11">
        <f t="shared" ref="D14:X14" si="4">SUM(D3:D13)</f>
        <v>1031887</v>
      </c>
      <c r="E14" s="12">
        <f t="shared" si="4"/>
        <v>129710</v>
      </c>
      <c r="F14" s="12">
        <f t="shared" si="4"/>
        <v>902177</v>
      </c>
      <c r="G14" s="12">
        <f t="shared" si="4"/>
        <v>515943.5</v>
      </c>
      <c r="H14" s="12">
        <f t="shared" si="4"/>
        <v>386233.5</v>
      </c>
      <c r="I14" s="11">
        <f t="shared" si="4"/>
        <v>193092.74416666667</v>
      </c>
      <c r="J14" s="12">
        <f t="shared" si="4"/>
        <v>156.64000000000001</v>
      </c>
      <c r="K14" s="12">
        <f t="shared" si="4"/>
        <v>400</v>
      </c>
      <c r="L14" s="11">
        <f>SUM(L3:L13)</f>
        <v>39386.114166666659</v>
      </c>
      <c r="M14" s="12">
        <f>SUM(M3:M13)</f>
        <v>160256</v>
      </c>
      <c r="N14" s="12">
        <f t="shared" si="4"/>
        <v>0</v>
      </c>
      <c r="O14" s="12">
        <f t="shared" si="4"/>
        <v>100</v>
      </c>
      <c r="P14" s="12">
        <f>SUM(P3:P13)</f>
        <v>63933.79</v>
      </c>
      <c r="Q14" s="12">
        <f t="shared" si="4"/>
        <v>2430</v>
      </c>
      <c r="R14" s="12">
        <f t="shared" si="4"/>
        <v>0</v>
      </c>
      <c r="S14" s="12">
        <f>SUM(S3:S13)</f>
        <v>1661.44</v>
      </c>
      <c r="T14" s="12">
        <f t="shared" si="4"/>
        <v>233.64</v>
      </c>
      <c r="U14" s="12">
        <f t="shared" si="4"/>
        <v>0</v>
      </c>
      <c r="V14" s="12">
        <f t="shared" si="4"/>
        <v>830</v>
      </c>
      <c r="W14" s="12">
        <f t="shared" si="4"/>
        <v>0</v>
      </c>
      <c r="X14" s="12">
        <f t="shared" si="4"/>
        <v>2538.4615384615386</v>
      </c>
      <c r="Y14" s="12">
        <f>SUM(Y3:Y13)</f>
        <v>964</v>
      </c>
      <c r="Z14" s="12">
        <f>SUM(Z3:Z13)</f>
        <v>-79749.329871794878</v>
      </c>
      <c r="AA14" s="13" t="s">
        <v>40</v>
      </c>
      <c r="AB14" s="14"/>
    </row>
    <row r="15" spans="1:28" ht="35.4" thickTop="1" x14ac:dyDescent="0.9">
      <c r="C15" s="10" t="s">
        <v>41</v>
      </c>
      <c r="D15" s="15">
        <f>+Z14</f>
        <v>-79749.329871794878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8" ht="34.799999999999997" x14ac:dyDescent="0.9">
      <c r="C16" s="10" t="s">
        <v>42</v>
      </c>
      <c r="D16" s="17">
        <f>+D15/D14</f>
        <v>-7.7284944835815245E-2</v>
      </c>
      <c r="J16" s="16"/>
    </row>
    <row r="17" spans="10:10" ht="34.799999999999997" x14ac:dyDescent="0.9">
      <c r="J17" s="16"/>
    </row>
    <row r="18" spans="10:10" ht="34.799999999999997" x14ac:dyDescent="0.9">
      <c r="J18" s="16"/>
    </row>
    <row r="19" spans="10:10" ht="34.799999999999997" x14ac:dyDescent="0.9">
      <c r="J19" s="16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14 Z16:Z1048576">
    <cfRule type="cellIs" dxfId="4" priority="1" operator="lessThan">
      <formula>0</formula>
    </cfRule>
  </conditionalFormatting>
  <pageMargins left="0.25" right="0.25" top="0.75" bottom="0.75" header="0.3" footer="0.3"/>
  <pageSetup paperSize="9" scale="37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33EB-2953-4344-9DB4-8DB2F46E947C}">
  <sheetPr>
    <tabColor theme="8" tint="-0.249977111117893"/>
  </sheetPr>
  <dimension ref="A1:AB18"/>
  <sheetViews>
    <sheetView zoomScale="90" zoomScaleNormal="90" workbookViewId="0">
      <pane xSplit="3" ySplit="2" topLeftCell="I3" activePane="bottomRight" state="frozen"/>
      <selection activeCell="Z4" sqref="Z4:Z6"/>
      <selection pane="topRight" activeCell="Z4" sqref="Z4:Z6"/>
      <selection pane="bottomLeft" activeCell="Z4" sqref="Z4:Z6"/>
      <selection pane="bottomRight" activeCell="Z4" sqref="Z4:Z6"/>
    </sheetView>
  </sheetViews>
  <sheetFormatPr defaultColWidth="9" defaultRowHeight="15.6" x14ac:dyDescent="0.4"/>
  <cols>
    <col min="1" max="1" width="4" style="2" customWidth="1"/>
    <col min="2" max="2" width="7.09765625" style="2" customWidth="1"/>
    <col min="3" max="3" width="14" style="2" customWidth="1"/>
    <col min="4" max="4" width="11.69921875" style="2" customWidth="1"/>
    <col min="5" max="6" width="11.59765625" style="2" customWidth="1"/>
    <col min="7" max="7" width="12.19921875" style="2" customWidth="1"/>
    <col min="8" max="8" width="11.69921875" style="2" customWidth="1"/>
    <col min="9" max="9" width="12.3984375" style="2" customWidth="1"/>
    <col min="10" max="10" width="6.3984375" style="2" customWidth="1"/>
    <col min="11" max="11" width="10.09765625" style="2" customWidth="1"/>
    <col min="12" max="12" width="10.8984375" style="2" customWidth="1"/>
    <col min="13" max="13" width="11.59765625" style="2" customWidth="1"/>
    <col min="14" max="14" width="6.59765625" style="2" customWidth="1"/>
    <col min="15" max="15" width="9" style="2" customWidth="1"/>
    <col min="16" max="16" width="12.09765625" style="2" customWidth="1"/>
    <col min="17" max="17" width="10.09765625" style="2" customWidth="1"/>
    <col min="18" max="18" width="5.69921875" style="2" customWidth="1"/>
    <col min="19" max="19" width="9.19921875" style="2" customWidth="1"/>
    <col min="20" max="20" width="8.09765625" style="2" customWidth="1"/>
    <col min="21" max="21" width="7.5" style="2" customWidth="1"/>
    <col min="22" max="22" width="7.59765625" style="2" customWidth="1"/>
    <col min="23" max="23" width="4.69921875" style="2" customWidth="1"/>
    <col min="24" max="24" width="10.8984375" style="2" customWidth="1"/>
    <col min="25" max="25" width="9.3984375" style="2" customWidth="1"/>
    <col min="26" max="26" width="14" style="2" customWidth="1"/>
    <col min="27" max="27" width="0" style="2" hidden="1" customWidth="1"/>
    <col min="28" max="16384" width="9" style="2"/>
  </cols>
  <sheetData>
    <row r="1" spans="1:28" ht="28.8" x14ac:dyDescent="0.75">
      <c r="A1" s="1" t="s">
        <v>51</v>
      </c>
    </row>
    <row r="2" spans="1:28" s="4" customFormat="1" ht="105.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50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43</v>
      </c>
      <c r="Y2" s="3" t="s">
        <v>25</v>
      </c>
      <c r="Z2" s="3" t="s">
        <v>26</v>
      </c>
    </row>
    <row r="3" spans="1:28" ht="25.8" x14ac:dyDescent="0.65">
      <c r="A3" s="5">
        <v>1</v>
      </c>
      <c r="B3" s="5">
        <v>10203</v>
      </c>
      <c r="C3" s="6" t="s">
        <v>27</v>
      </c>
      <c r="D3" s="7">
        <v>130338</v>
      </c>
      <c r="E3" s="7">
        <v>10180</v>
      </c>
      <c r="F3" s="7">
        <f>+D3-E3</f>
        <v>120158</v>
      </c>
      <c r="G3" s="7">
        <f>+D3*0.5</f>
        <v>65169</v>
      </c>
      <c r="H3" s="21">
        <f t="shared" ref="H3:H11" si="0">+F3-G3</f>
        <v>54989</v>
      </c>
      <c r="I3" s="18">
        <f>+[1]รายชื่อพนักงานรายเดือน!G10</f>
        <v>17553.885833333334</v>
      </c>
      <c r="J3" s="7">
        <v>0</v>
      </c>
      <c r="K3" s="7">
        <v>0</v>
      </c>
      <c r="L3" s="20">
        <f>+[1]รายชื่อพนักงานรายเดือน!C9</f>
        <v>3580.5558333333333</v>
      </c>
      <c r="M3" s="7">
        <f>14884+14884</f>
        <v>29768</v>
      </c>
      <c r="N3" s="22">
        <v>0</v>
      </c>
      <c r="O3" s="22">
        <v>0</v>
      </c>
      <c r="P3" s="7">
        <v>5706</v>
      </c>
      <c r="Q3" s="22">
        <v>30</v>
      </c>
      <c r="R3" s="22">
        <v>0</v>
      </c>
      <c r="S3" s="7">
        <v>206.96</v>
      </c>
      <c r="T3" s="22">
        <v>0</v>
      </c>
      <c r="U3" s="22">
        <v>0</v>
      </c>
      <c r="V3" s="22">
        <v>0</v>
      </c>
      <c r="W3" s="22">
        <v>0</v>
      </c>
      <c r="X3" s="22">
        <f>+[1]รายชื่อพนักงานรายเดือน!K8</f>
        <v>230.76923076923077</v>
      </c>
      <c r="Y3" s="7">
        <v>55</v>
      </c>
      <c r="Z3" s="9">
        <f>+H3-I3-J3-L3-M3-O3-P3-S3-T3-U3-V3-W3-X3-Y3-Q3-R3-K3-N3</f>
        <v>-2142.1708974358967</v>
      </c>
    </row>
    <row r="4" spans="1:28" ht="25.8" x14ac:dyDescent="0.65">
      <c r="A4" s="5">
        <v>2</v>
      </c>
      <c r="B4" s="5">
        <v>10204</v>
      </c>
      <c r="C4" s="6" t="s">
        <v>52</v>
      </c>
      <c r="D4" s="7">
        <v>99389</v>
      </c>
      <c r="E4" s="7">
        <v>22483</v>
      </c>
      <c r="F4" s="7">
        <f t="shared" ref="F4:F12" si="1">+D4-E4</f>
        <v>76906</v>
      </c>
      <c r="G4" s="7">
        <v>22483</v>
      </c>
      <c r="H4" s="21">
        <f t="shared" si="0"/>
        <v>54423</v>
      </c>
      <c r="I4" s="18">
        <f>+[1]รายชื่อพนักงานรายเดือน!G10</f>
        <v>17553.885833333334</v>
      </c>
      <c r="J4" s="7">
        <v>0</v>
      </c>
      <c r="K4" s="7">
        <v>100</v>
      </c>
      <c r="L4" s="20">
        <f>+[1]รายชื่อพนักงานรายเดือน!C9</f>
        <v>3580.5558333333333</v>
      </c>
      <c r="M4" s="7">
        <v>5820</v>
      </c>
      <c r="N4" s="22">
        <v>0</v>
      </c>
      <c r="O4" s="22">
        <v>44</v>
      </c>
      <c r="P4" s="7">
        <v>4639.88</v>
      </c>
      <c r="Q4" s="22">
        <v>150</v>
      </c>
      <c r="R4" s="22">
        <v>0</v>
      </c>
      <c r="S4" s="7">
        <v>206.96</v>
      </c>
      <c r="T4" s="22">
        <v>0</v>
      </c>
      <c r="U4" s="22">
        <v>0</v>
      </c>
      <c r="V4" s="22">
        <v>0</v>
      </c>
      <c r="W4" s="22">
        <v>0</v>
      </c>
      <c r="X4" s="22">
        <f>+[1]รายชื่อพนักงานรายเดือน!K8</f>
        <v>230.76923076923077</v>
      </c>
      <c r="Y4" s="7">
        <v>309</v>
      </c>
      <c r="Z4" s="9">
        <f t="shared" ref="Z4:Z11" si="2">+H4-I4-J4-L4-M4-O4-P4-S4-T4-U4-V4-W4-X4-Y4-Q4-R4-K4-N4</f>
        <v>21787.949102564104</v>
      </c>
    </row>
    <row r="5" spans="1:28" ht="24" customHeight="1" x14ac:dyDescent="0.65">
      <c r="A5" s="5">
        <v>3</v>
      </c>
      <c r="B5" s="5">
        <v>10205</v>
      </c>
      <c r="C5" s="6" t="s">
        <v>29</v>
      </c>
      <c r="D5" s="7">
        <v>100126</v>
      </c>
      <c r="E5" s="7">
        <v>16775</v>
      </c>
      <c r="F5" s="7">
        <f t="shared" si="1"/>
        <v>83351</v>
      </c>
      <c r="G5" s="7">
        <f t="shared" ref="G5:G10" si="3">+D5*0.5</f>
        <v>50063</v>
      </c>
      <c r="H5" s="21">
        <f t="shared" si="0"/>
        <v>33288</v>
      </c>
      <c r="I5" s="18">
        <f>+[1]รายชื่อพนักงานรายเดือน!G10</f>
        <v>17553.885833333334</v>
      </c>
      <c r="J5" s="7">
        <v>0</v>
      </c>
      <c r="K5" s="7">
        <v>0</v>
      </c>
      <c r="L5" s="20">
        <f>+[1]รายชื่อพนักงานรายเดือน!C9</f>
        <v>3580.5558333333333</v>
      </c>
      <c r="M5" s="7">
        <v>0</v>
      </c>
      <c r="N5" s="22">
        <v>0</v>
      </c>
      <c r="O5" s="22">
        <v>40</v>
      </c>
      <c r="P5" s="7">
        <v>11641.15</v>
      </c>
      <c r="Q5" s="22">
        <v>0</v>
      </c>
      <c r="R5" s="22">
        <v>0</v>
      </c>
      <c r="S5" s="7">
        <v>206.96</v>
      </c>
      <c r="T5" s="22">
        <v>0</v>
      </c>
      <c r="U5" s="22">
        <v>50</v>
      </c>
      <c r="V5" s="22">
        <v>290</v>
      </c>
      <c r="W5" s="22">
        <v>0</v>
      </c>
      <c r="X5" s="22">
        <f>+[1]รายชื่อพนักงานรายเดือน!K8</f>
        <v>230.76923076923077</v>
      </c>
      <c r="Y5" s="7">
        <v>55</v>
      </c>
      <c r="Z5" s="9">
        <f t="shared" si="2"/>
        <v>-360.32089743589796</v>
      </c>
    </row>
    <row r="6" spans="1:28" ht="25.8" x14ac:dyDescent="0.65">
      <c r="A6" s="5">
        <v>4</v>
      </c>
      <c r="B6" s="5">
        <v>10207</v>
      </c>
      <c r="C6" s="6" t="s">
        <v>30</v>
      </c>
      <c r="D6" s="7">
        <v>79294</v>
      </c>
      <c r="E6" s="7">
        <v>1401</v>
      </c>
      <c r="F6" s="7">
        <f t="shared" si="1"/>
        <v>77893</v>
      </c>
      <c r="G6" s="7">
        <f t="shared" si="3"/>
        <v>39647</v>
      </c>
      <c r="H6" s="21">
        <f t="shared" si="0"/>
        <v>38246</v>
      </c>
      <c r="I6" s="18">
        <f>+[1]รายชื่อพนักงานรายเดือน!G10</f>
        <v>17553.885833333334</v>
      </c>
      <c r="J6" s="7">
        <v>0</v>
      </c>
      <c r="K6" s="7">
        <v>0</v>
      </c>
      <c r="L6" s="20">
        <f>+[1]รายชื่อพนักงานรายเดือน!C9</f>
        <v>3580.5558333333333</v>
      </c>
      <c r="M6" s="7">
        <v>8100</v>
      </c>
      <c r="N6" s="22">
        <v>0</v>
      </c>
      <c r="O6" s="22">
        <v>0</v>
      </c>
      <c r="P6" s="7">
        <v>2270</v>
      </c>
      <c r="Q6" s="22">
        <v>435</v>
      </c>
      <c r="R6" s="22">
        <v>0</v>
      </c>
      <c r="S6" s="7">
        <v>206.96</v>
      </c>
      <c r="T6" s="22">
        <v>0</v>
      </c>
      <c r="U6" s="22">
        <v>0</v>
      </c>
      <c r="V6" s="22">
        <v>0</v>
      </c>
      <c r="W6" s="22">
        <v>0</v>
      </c>
      <c r="X6" s="22">
        <f>+[1]รายชื่อพนักงานรายเดือน!K8</f>
        <v>230.76923076923077</v>
      </c>
      <c r="Y6" s="7">
        <v>2496</v>
      </c>
      <c r="Z6" s="9">
        <f t="shared" si="2"/>
        <v>3372.8291025641038</v>
      </c>
    </row>
    <row r="7" spans="1:28" ht="25.8" x14ac:dyDescent="0.65">
      <c r="A7" s="5">
        <v>5</v>
      </c>
      <c r="B7" s="5">
        <v>10209</v>
      </c>
      <c r="C7" s="6" t="s">
        <v>32</v>
      </c>
      <c r="D7" s="7">
        <v>109483</v>
      </c>
      <c r="E7" s="7">
        <v>18549</v>
      </c>
      <c r="F7" s="7">
        <f t="shared" si="1"/>
        <v>90934</v>
      </c>
      <c r="G7" s="7">
        <f t="shared" si="3"/>
        <v>54741.5</v>
      </c>
      <c r="H7" s="21">
        <f t="shared" si="0"/>
        <v>36192.5</v>
      </c>
      <c r="I7" s="18">
        <f>+[1]รายชื่อพนักงานรายเดือน!G10</f>
        <v>17553.885833333334</v>
      </c>
      <c r="J7" s="7">
        <v>0</v>
      </c>
      <c r="K7" s="7">
        <v>0</v>
      </c>
      <c r="L7" s="20">
        <f>+[1]รายชื่อพนักงานรายเดือน!C9</f>
        <v>3580.5558333333333</v>
      </c>
      <c r="M7" s="7">
        <v>16000</v>
      </c>
      <c r="N7" s="22">
        <v>0</v>
      </c>
      <c r="O7" s="22">
        <v>0</v>
      </c>
      <c r="P7" s="7">
        <v>3415</v>
      </c>
      <c r="Q7" s="22">
        <v>0</v>
      </c>
      <c r="R7" s="22">
        <v>0</v>
      </c>
      <c r="S7" s="7">
        <v>206.96</v>
      </c>
      <c r="T7" s="22">
        <v>0</v>
      </c>
      <c r="U7" s="22">
        <v>0</v>
      </c>
      <c r="V7" s="22">
        <v>0</v>
      </c>
      <c r="W7" s="22">
        <v>0</v>
      </c>
      <c r="X7" s="22">
        <f>+[1]รายชื่อพนักงานรายเดือน!K8</f>
        <v>230.76923076923077</v>
      </c>
      <c r="Y7" s="7">
        <v>95</v>
      </c>
      <c r="Z7" s="9">
        <f t="shared" si="2"/>
        <v>-4889.670897435898</v>
      </c>
    </row>
    <row r="8" spans="1:28" ht="25.8" x14ac:dyDescent="0.65">
      <c r="A8" s="5">
        <v>6</v>
      </c>
      <c r="B8" s="5">
        <v>10210</v>
      </c>
      <c r="C8" s="6" t="s">
        <v>33</v>
      </c>
      <c r="D8" s="7">
        <v>97598</v>
      </c>
      <c r="E8" s="7">
        <v>4010</v>
      </c>
      <c r="F8" s="7">
        <f t="shared" si="1"/>
        <v>93588</v>
      </c>
      <c r="G8" s="7">
        <f t="shared" si="3"/>
        <v>48799</v>
      </c>
      <c r="H8" s="21">
        <f t="shared" si="0"/>
        <v>44789</v>
      </c>
      <c r="I8" s="18">
        <f>+[1]รายชื่อพนักงานรายเดือน!G10</f>
        <v>17553.885833333334</v>
      </c>
      <c r="J8" s="7">
        <v>0</v>
      </c>
      <c r="K8" s="7">
        <v>0</v>
      </c>
      <c r="L8" s="20">
        <f>+[1]รายชื่อพนักงานรายเดือน!C9</f>
        <v>3580.5558333333333</v>
      </c>
      <c r="M8" s="7">
        <f>14884+14884</f>
        <v>29768</v>
      </c>
      <c r="N8" s="22">
        <v>0</v>
      </c>
      <c r="O8" s="22">
        <v>0</v>
      </c>
      <c r="P8" s="7">
        <v>4380</v>
      </c>
      <c r="Q8" s="22">
        <v>450</v>
      </c>
      <c r="R8" s="22">
        <v>0</v>
      </c>
      <c r="S8" s="7">
        <v>206.96</v>
      </c>
      <c r="T8" s="22">
        <v>0</v>
      </c>
      <c r="U8" s="22">
        <v>0</v>
      </c>
      <c r="V8" s="22">
        <v>0</v>
      </c>
      <c r="W8" s="22">
        <v>0</v>
      </c>
      <c r="X8" s="22">
        <f>+[1]รายชื่อพนักงานรายเดือน!K8</f>
        <v>230.76923076923077</v>
      </c>
      <c r="Y8" s="7">
        <v>300</v>
      </c>
      <c r="Z8" s="9">
        <f t="shared" si="2"/>
        <v>-11681.170897435895</v>
      </c>
    </row>
    <row r="9" spans="1:28" ht="25.8" x14ac:dyDescent="0.65">
      <c r="A9" s="5">
        <v>7</v>
      </c>
      <c r="B9" s="5">
        <v>10219</v>
      </c>
      <c r="C9" s="6" t="s">
        <v>34</v>
      </c>
      <c r="D9" s="7">
        <v>76633</v>
      </c>
      <c r="E9" s="7">
        <v>7996</v>
      </c>
      <c r="F9" s="7">
        <f t="shared" si="1"/>
        <v>68637</v>
      </c>
      <c r="G9" s="7">
        <f t="shared" si="3"/>
        <v>38316.5</v>
      </c>
      <c r="H9" s="21">
        <f t="shared" si="0"/>
        <v>30320.5</v>
      </c>
      <c r="I9" s="18">
        <f>+[1]รายชื่อพนักงานรายเดือน!G10</f>
        <v>17553.885833333334</v>
      </c>
      <c r="J9" s="7">
        <v>0</v>
      </c>
      <c r="K9" s="7">
        <v>0</v>
      </c>
      <c r="L9" s="20">
        <f>+[1]รายชื่อพนักงานรายเดือน!C9</f>
        <v>3580.5558333333333</v>
      </c>
      <c r="M9" s="7">
        <v>16500</v>
      </c>
      <c r="N9" s="22">
        <v>0</v>
      </c>
      <c r="O9" s="22">
        <v>0</v>
      </c>
      <c r="P9" s="7">
        <v>3503.5</v>
      </c>
      <c r="Q9" s="22">
        <v>450</v>
      </c>
      <c r="R9" s="22">
        <v>0</v>
      </c>
      <c r="S9" s="7">
        <v>206.96</v>
      </c>
      <c r="T9" s="7">
        <v>467.29</v>
      </c>
      <c r="U9" s="22">
        <v>0</v>
      </c>
      <c r="V9" s="22">
        <v>0</v>
      </c>
      <c r="W9" s="22">
        <v>0</v>
      </c>
      <c r="X9" s="22">
        <f>+[1]รายชื่อพนักงานรายเดือน!K8</f>
        <v>230.76923076923077</v>
      </c>
      <c r="Y9" s="7">
        <v>0</v>
      </c>
      <c r="Z9" s="9">
        <f t="shared" si="2"/>
        <v>-12172.460897435898</v>
      </c>
    </row>
    <row r="10" spans="1:28" ht="25.8" x14ac:dyDescent="0.65">
      <c r="A10" s="5">
        <v>8</v>
      </c>
      <c r="B10" s="5">
        <v>10235</v>
      </c>
      <c r="C10" s="6" t="s">
        <v>35</v>
      </c>
      <c r="D10" s="7">
        <v>98784</v>
      </c>
      <c r="E10" s="7">
        <v>18186</v>
      </c>
      <c r="F10" s="7">
        <f t="shared" si="1"/>
        <v>80598</v>
      </c>
      <c r="G10" s="7">
        <f t="shared" si="3"/>
        <v>49392</v>
      </c>
      <c r="H10" s="21">
        <f t="shared" si="0"/>
        <v>31206</v>
      </c>
      <c r="I10" s="18">
        <f>+[1]รายชื่อพนักงานรายเดือน!G10</f>
        <v>17553.885833333334</v>
      </c>
      <c r="J10" s="7">
        <v>0</v>
      </c>
      <c r="K10" s="7">
        <v>0</v>
      </c>
      <c r="L10" s="20">
        <f>+[1]รายชื่อพนักงานรายเดือน!C9</f>
        <v>3580.5558333333333</v>
      </c>
      <c r="M10" s="7">
        <v>12000</v>
      </c>
      <c r="N10" s="22">
        <v>0</v>
      </c>
      <c r="O10" s="22">
        <v>0</v>
      </c>
      <c r="P10" s="7">
        <v>5610</v>
      </c>
      <c r="Q10" s="22">
        <v>0</v>
      </c>
      <c r="R10" s="22">
        <v>0</v>
      </c>
      <c r="S10" s="7">
        <v>0</v>
      </c>
      <c r="T10" s="22">
        <v>0</v>
      </c>
      <c r="U10" s="22">
        <v>0</v>
      </c>
      <c r="V10" s="22">
        <v>0</v>
      </c>
      <c r="W10" s="22">
        <v>0</v>
      </c>
      <c r="X10" s="22">
        <f>+[1]รายชื่อพนักงานรายเดือน!K8</f>
        <v>230.76923076923077</v>
      </c>
      <c r="Y10" s="7">
        <v>0</v>
      </c>
      <c r="Z10" s="9">
        <f t="shared" si="2"/>
        <v>-7769.210897435898</v>
      </c>
    </row>
    <row r="11" spans="1:28" ht="25.8" x14ac:dyDescent="0.65">
      <c r="A11" s="5">
        <v>9</v>
      </c>
      <c r="B11" s="5">
        <v>10264</v>
      </c>
      <c r="C11" s="6" t="s">
        <v>36</v>
      </c>
      <c r="D11" s="7">
        <v>75227</v>
      </c>
      <c r="E11" s="7">
        <v>6734</v>
      </c>
      <c r="F11" s="7">
        <f t="shared" si="1"/>
        <v>68493</v>
      </c>
      <c r="G11" s="7">
        <v>6734</v>
      </c>
      <c r="H11" s="21">
        <f t="shared" si="0"/>
        <v>61759</v>
      </c>
      <c r="I11" s="18">
        <f>+[1]รายชื่อพนักงานรายเดือน!G10</f>
        <v>17553.885833333334</v>
      </c>
      <c r="J11" s="7">
        <v>0</v>
      </c>
      <c r="K11" s="7">
        <v>0</v>
      </c>
      <c r="L11" s="20">
        <f>+[1]รายชื่อพนักงานรายเดือน!C9</f>
        <v>3580.5558333333333</v>
      </c>
      <c r="M11" s="7">
        <v>22050</v>
      </c>
      <c r="N11" s="22">
        <v>0</v>
      </c>
      <c r="O11" s="22">
        <v>0</v>
      </c>
      <c r="P11" s="7">
        <v>4188</v>
      </c>
      <c r="Q11" s="22">
        <v>420</v>
      </c>
      <c r="R11" s="22">
        <v>0</v>
      </c>
      <c r="S11" s="7">
        <v>212.72</v>
      </c>
      <c r="T11" s="22">
        <v>0</v>
      </c>
      <c r="U11" s="22">
        <v>0</v>
      </c>
      <c r="V11" s="22">
        <v>0</v>
      </c>
      <c r="W11" s="22">
        <v>0</v>
      </c>
      <c r="X11" s="22">
        <f>+[1]รายชื่อพนักงานรายเดือน!K8</f>
        <v>230.76923076923077</v>
      </c>
      <c r="Y11" s="7">
        <v>38</v>
      </c>
      <c r="Z11" s="9">
        <f t="shared" si="2"/>
        <v>13485.069102564104</v>
      </c>
    </row>
    <row r="12" spans="1:28" ht="25.8" x14ac:dyDescent="0.65">
      <c r="A12" s="5">
        <v>10</v>
      </c>
      <c r="B12" s="5">
        <v>10377</v>
      </c>
      <c r="C12" s="6" t="s">
        <v>37</v>
      </c>
      <c r="D12" s="7">
        <v>66437</v>
      </c>
      <c r="E12" s="7">
        <v>10245</v>
      </c>
      <c r="F12" s="7">
        <f t="shared" si="1"/>
        <v>56192</v>
      </c>
      <c r="G12" s="7">
        <f>+D12*0.5</f>
        <v>33218.5</v>
      </c>
      <c r="H12" s="21">
        <f>+F12-G12</f>
        <v>22973.5</v>
      </c>
      <c r="I12" s="18">
        <f>+[1]รายชื่อพนักงานรายเดือน!G10</f>
        <v>17553.885833333334</v>
      </c>
      <c r="J12" s="7">
        <v>0</v>
      </c>
      <c r="K12" s="7">
        <v>0</v>
      </c>
      <c r="L12" s="20">
        <f>+[1]รายชื่อพนักงานรายเดือน!C9</f>
        <v>3580.5558333333333</v>
      </c>
      <c r="M12" s="7">
        <v>20250</v>
      </c>
      <c r="N12" s="22">
        <v>0</v>
      </c>
      <c r="O12" s="22">
        <v>0</v>
      </c>
      <c r="P12" s="7">
        <v>5832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f>+[1]รายชื่อพนักงานรายเดือน!K8</f>
        <v>230.76923076923077</v>
      </c>
      <c r="Y12" s="7">
        <v>0</v>
      </c>
      <c r="Z12" s="9">
        <f>+H12-I12-J12-L12-M12-O12-P12-S12-T12-U12-V12-W12-X12-Y12-Q12-R12-K12-N12</f>
        <v>-24473.710897435896</v>
      </c>
    </row>
    <row r="13" spans="1:28" ht="27" thickBot="1" x14ac:dyDescent="0.75">
      <c r="C13" s="10" t="s">
        <v>39</v>
      </c>
      <c r="D13" s="11">
        <f t="shared" ref="D13:Z13" si="4">SUM(D3:D12)</f>
        <v>933309</v>
      </c>
      <c r="E13" s="12">
        <f t="shared" si="4"/>
        <v>116559</v>
      </c>
      <c r="F13" s="12">
        <f t="shared" si="4"/>
        <v>816750</v>
      </c>
      <c r="G13" s="12">
        <f t="shared" si="4"/>
        <v>408563.5</v>
      </c>
      <c r="H13" s="23">
        <f t="shared" si="4"/>
        <v>408186.5</v>
      </c>
      <c r="I13" s="11">
        <f>SUM(I3:I12)</f>
        <v>175538.85833333334</v>
      </c>
      <c r="J13" s="12">
        <f t="shared" si="4"/>
        <v>0</v>
      </c>
      <c r="K13" s="12">
        <f t="shared" si="4"/>
        <v>100</v>
      </c>
      <c r="L13" s="11">
        <f>SUM(L3:L12)</f>
        <v>35805.558333333327</v>
      </c>
      <c r="M13" s="12">
        <f t="shared" si="4"/>
        <v>160256</v>
      </c>
      <c r="N13" s="12">
        <f t="shared" si="4"/>
        <v>0</v>
      </c>
      <c r="O13" s="12">
        <f t="shared" si="4"/>
        <v>84</v>
      </c>
      <c r="P13" s="12">
        <f t="shared" si="4"/>
        <v>51185.53</v>
      </c>
      <c r="Q13" s="12">
        <f t="shared" si="4"/>
        <v>1935</v>
      </c>
      <c r="R13" s="12">
        <f t="shared" si="4"/>
        <v>0</v>
      </c>
      <c r="S13" s="12">
        <f t="shared" si="4"/>
        <v>1661.44</v>
      </c>
      <c r="T13" s="12">
        <f t="shared" si="4"/>
        <v>467.29</v>
      </c>
      <c r="U13" s="12">
        <f t="shared" si="4"/>
        <v>50</v>
      </c>
      <c r="V13" s="12">
        <f t="shared" si="4"/>
        <v>290</v>
      </c>
      <c r="W13" s="12">
        <f t="shared" si="4"/>
        <v>0</v>
      </c>
      <c r="X13" s="12">
        <f t="shared" si="4"/>
        <v>2307.6923076923076</v>
      </c>
      <c r="Y13" s="12">
        <f t="shared" si="4"/>
        <v>3348</v>
      </c>
      <c r="Z13" s="12">
        <f t="shared" si="4"/>
        <v>-24842.868974358964</v>
      </c>
      <c r="AA13" s="13" t="s">
        <v>40</v>
      </c>
      <c r="AB13" s="14"/>
    </row>
    <row r="14" spans="1:28" ht="35.4" thickTop="1" x14ac:dyDescent="0.9">
      <c r="C14" s="10" t="s">
        <v>41</v>
      </c>
      <c r="D14" s="15">
        <f>+Z13</f>
        <v>-24842.868974358964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8" ht="34.799999999999997" x14ac:dyDescent="0.9">
      <c r="C15" s="10" t="s">
        <v>42</v>
      </c>
      <c r="D15" s="17">
        <f>+D14/D13</f>
        <v>-2.6618053586067385E-2</v>
      </c>
      <c r="J15" s="16"/>
    </row>
    <row r="16" spans="1:28" ht="34.799999999999997" x14ac:dyDescent="0.9">
      <c r="J16" s="16"/>
    </row>
    <row r="17" spans="10:10" ht="34.799999999999997" x14ac:dyDescent="0.9">
      <c r="J17" s="16"/>
    </row>
    <row r="18" spans="10:10" ht="34.799999999999997" x14ac:dyDescent="0.9">
      <c r="J18" s="16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13 Z15:Z1048576">
    <cfRule type="cellIs" dxfId="3" priority="1" operator="lessThan">
      <formula>0</formula>
    </cfRule>
  </conditionalFormatting>
  <pageMargins left="0.11811023622047245" right="0.11811023622047245" top="0.74803149606299213" bottom="0.74803149606299213" header="0.31496062992125984" footer="0.31496062992125984"/>
  <pageSetup paperSize="9" scale="55" fitToHeight="0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1F5C-44E6-4C42-B76A-C76CF8942869}">
  <sheetPr>
    <tabColor theme="8" tint="-0.249977111117893"/>
  </sheetPr>
  <dimension ref="A1:AB18"/>
  <sheetViews>
    <sheetView zoomScale="80" zoomScaleNormal="80" workbookViewId="0">
      <pane xSplit="3" ySplit="2" topLeftCell="J3" activePane="bottomRight" state="frozen"/>
      <selection activeCell="Z4" sqref="Z4:Z6"/>
      <selection pane="topRight" activeCell="Z4" sqref="Z4:Z6"/>
      <selection pane="bottomLeft" activeCell="Z4" sqref="Z4:Z6"/>
      <selection pane="bottomRight" activeCell="Z4" sqref="Z4:Z6"/>
    </sheetView>
  </sheetViews>
  <sheetFormatPr defaultColWidth="9" defaultRowHeight="15.6" x14ac:dyDescent="0.4"/>
  <cols>
    <col min="1" max="1" width="4" style="2" customWidth="1"/>
    <col min="2" max="2" width="7.09765625" style="2" customWidth="1"/>
    <col min="3" max="3" width="14" style="2" customWidth="1"/>
    <col min="4" max="4" width="13.69921875" style="2" customWidth="1"/>
    <col min="5" max="5" width="14" style="2" customWidth="1"/>
    <col min="6" max="6" width="13" style="2" customWidth="1"/>
    <col min="7" max="7" width="13.59765625" style="2" customWidth="1"/>
    <col min="8" max="8" width="15.19921875" style="2" customWidth="1"/>
    <col min="9" max="9" width="16.8984375" style="2" customWidth="1"/>
    <col min="10" max="10" width="14.8984375" style="2" customWidth="1"/>
    <col min="11" max="11" width="15.09765625" style="2" customWidth="1"/>
    <col min="12" max="12" width="12.19921875" style="2" customWidth="1"/>
    <col min="13" max="13" width="13.19921875" style="2" customWidth="1"/>
    <col min="14" max="14" width="11.8984375" style="2" customWidth="1"/>
    <col min="15" max="15" width="13.3984375" style="2" customWidth="1"/>
    <col min="16" max="16" width="12.8984375" style="2" customWidth="1"/>
    <col min="17" max="17" width="10.09765625" style="2" customWidth="1"/>
    <col min="18" max="18" width="8.09765625" style="2" customWidth="1"/>
    <col min="19" max="19" width="11.3984375" style="2" customWidth="1"/>
    <col min="20" max="20" width="10.3984375" style="2" customWidth="1"/>
    <col min="21" max="21" width="9.8984375" style="2" customWidth="1"/>
    <col min="22" max="22" width="9.69921875" style="2" customWidth="1"/>
    <col min="23" max="23" width="7.19921875" style="2" customWidth="1"/>
    <col min="24" max="25" width="11" style="2" customWidth="1"/>
    <col min="26" max="26" width="14" style="2" customWidth="1"/>
    <col min="27" max="27" width="0.8984375" style="2" customWidth="1"/>
    <col min="28" max="16384" width="9" style="2"/>
  </cols>
  <sheetData>
    <row r="1" spans="1:28" ht="28.8" x14ac:dyDescent="0.75">
      <c r="A1" s="1" t="s">
        <v>51</v>
      </c>
    </row>
    <row r="2" spans="1:28" s="4" customFormat="1" ht="105.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50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43</v>
      </c>
      <c r="Y2" s="3" t="s">
        <v>25</v>
      </c>
      <c r="Z2" s="3" t="s">
        <v>26</v>
      </c>
    </row>
    <row r="3" spans="1:28" ht="25.8" x14ac:dyDescent="0.65">
      <c r="A3" s="5">
        <v>1</v>
      </c>
      <c r="B3" s="5">
        <v>10203</v>
      </c>
      <c r="C3" s="6" t="s">
        <v>27</v>
      </c>
      <c r="D3" s="24">
        <v>158317</v>
      </c>
      <c r="E3" s="24">
        <v>4675</v>
      </c>
      <c r="F3" s="7">
        <f>+D3-E3</f>
        <v>153642</v>
      </c>
      <c r="G3" s="7">
        <f>+D3*0.5</f>
        <v>79158.5</v>
      </c>
      <c r="H3" s="21">
        <f t="shared" ref="H3:H11" si="0">+F3-G3</f>
        <v>74483.5</v>
      </c>
      <c r="I3" s="18">
        <f>+[1]รายชื่อพนักงานรายเดือน!G10</f>
        <v>17553.885833333334</v>
      </c>
      <c r="J3" s="7">
        <v>2145</v>
      </c>
      <c r="K3" s="7">
        <v>300</v>
      </c>
      <c r="L3" s="20">
        <f>+[1]รายชื่อพนักงานรายเดือน!C9</f>
        <v>3580.5558333333333</v>
      </c>
      <c r="M3" s="7">
        <f>14884+14884</f>
        <v>29768</v>
      </c>
      <c r="N3" s="22">
        <v>0</v>
      </c>
      <c r="O3" s="22">
        <v>0</v>
      </c>
      <c r="P3" s="7">
        <v>6666</v>
      </c>
      <c r="Q3" s="22">
        <v>0</v>
      </c>
      <c r="R3" s="22">
        <v>0</v>
      </c>
      <c r="S3" s="7">
        <v>206.96</v>
      </c>
      <c r="T3" s="22">
        <v>0</v>
      </c>
      <c r="U3" s="22">
        <v>0</v>
      </c>
      <c r="V3" s="22">
        <v>0</v>
      </c>
      <c r="W3" s="22">
        <v>0</v>
      </c>
      <c r="X3" s="22">
        <f>+[1]รายชื่อพนักงานรายเดือน!K8</f>
        <v>230.76923076923077</v>
      </c>
      <c r="Y3" s="7">
        <v>65</v>
      </c>
      <c r="Z3" s="9">
        <f>+H3-I3-J3-L3-M3-O3-P3-S3-T3-U3-V3-W3-X3-Y3-Q3-R3-K3-N3</f>
        <v>13967.329102564105</v>
      </c>
    </row>
    <row r="4" spans="1:28" ht="25.8" x14ac:dyDescent="0.65">
      <c r="A4" s="5">
        <v>2</v>
      </c>
      <c r="B4" s="5">
        <v>10204</v>
      </c>
      <c r="C4" s="6" t="s">
        <v>52</v>
      </c>
      <c r="D4" s="24">
        <v>98342</v>
      </c>
      <c r="E4" s="24">
        <v>20242</v>
      </c>
      <c r="F4" s="7">
        <f t="shared" ref="F4:F12" si="1">+D4-E4</f>
        <v>78100</v>
      </c>
      <c r="G4" s="7">
        <f t="shared" ref="G4:G12" si="2">+D4*0.5</f>
        <v>49171</v>
      </c>
      <c r="H4" s="21">
        <f t="shared" si="0"/>
        <v>28929</v>
      </c>
      <c r="I4" s="18">
        <f>+[1]รายชื่อพนักงานรายเดือน!G10</f>
        <v>17553.885833333334</v>
      </c>
      <c r="J4" s="7">
        <v>0</v>
      </c>
      <c r="K4" s="7">
        <v>0</v>
      </c>
      <c r="L4" s="20">
        <f>+[1]รายชื่อพนักงานรายเดือน!C9</f>
        <v>3580.5558333333333</v>
      </c>
      <c r="M4" s="7">
        <v>5820</v>
      </c>
      <c r="N4" s="22">
        <v>0</v>
      </c>
      <c r="O4" s="22">
        <v>57</v>
      </c>
      <c r="P4" s="7">
        <v>5129.83</v>
      </c>
      <c r="Q4" s="22">
        <v>90</v>
      </c>
      <c r="R4" s="22">
        <v>0</v>
      </c>
      <c r="S4" s="7">
        <v>206.96</v>
      </c>
      <c r="T4" s="22">
        <v>0</v>
      </c>
      <c r="U4" s="22">
        <v>0</v>
      </c>
      <c r="V4" s="22">
        <v>0</v>
      </c>
      <c r="W4" s="22">
        <v>0</v>
      </c>
      <c r="X4" s="22">
        <f>+[1]รายชื่อพนักงานรายเดือน!K8</f>
        <v>230.76923076923077</v>
      </c>
      <c r="Y4" s="7">
        <v>1457</v>
      </c>
      <c r="Z4" s="9">
        <f t="shared" ref="Z4:Z11" si="3">+H4-I4-J4-L4-M4-O4-P4-S4-T4-U4-V4-W4-X4-Y4-Q4-R4-K4-N4</f>
        <v>-5197.0008974358989</v>
      </c>
    </row>
    <row r="5" spans="1:28" ht="24" customHeight="1" x14ac:dyDescent="0.65">
      <c r="A5" s="5">
        <v>3</v>
      </c>
      <c r="B5" s="5">
        <v>10205</v>
      </c>
      <c r="C5" s="6" t="s">
        <v>29</v>
      </c>
      <c r="D5" s="24">
        <v>107510</v>
      </c>
      <c r="E5" s="24">
        <v>14642</v>
      </c>
      <c r="F5" s="7">
        <f t="shared" si="1"/>
        <v>92868</v>
      </c>
      <c r="G5" s="7">
        <f t="shared" si="2"/>
        <v>53755</v>
      </c>
      <c r="H5" s="21">
        <f t="shared" si="0"/>
        <v>39113</v>
      </c>
      <c r="I5" s="18">
        <f>+[1]รายชื่อพนักงานรายเดือน!G10</f>
        <v>17553.885833333334</v>
      </c>
      <c r="J5" s="7">
        <v>0</v>
      </c>
      <c r="K5" s="7">
        <v>100</v>
      </c>
      <c r="L5" s="20">
        <f>+[1]รายชื่อพนักงานรายเดือน!C9</f>
        <v>3580.5558333333333</v>
      </c>
      <c r="M5" s="7">
        <v>0</v>
      </c>
      <c r="N5" s="22">
        <v>0</v>
      </c>
      <c r="O5" s="22">
        <v>40</v>
      </c>
      <c r="P5" s="7">
        <v>11979.22</v>
      </c>
      <c r="Q5" s="22">
        <v>0</v>
      </c>
      <c r="R5" s="22">
        <v>0</v>
      </c>
      <c r="S5" s="7">
        <v>206.96</v>
      </c>
      <c r="T5" s="22">
        <v>0</v>
      </c>
      <c r="U5" s="22">
        <v>110</v>
      </c>
      <c r="V5" s="22">
        <v>355</v>
      </c>
      <c r="W5" s="22">
        <v>0</v>
      </c>
      <c r="X5" s="22">
        <f>+[1]รายชื่อพนักงานรายเดือน!K8</f>
        <v>230.76923076923077</v>
      </c>
      <c r="Y5" s="7">
        <v>1532</v>
      </c>
      <c r="Z5" s="9">
        <f t="shared" si="3"/>
        <v>3424.6091025641044</v>
      </c>
    </row>
    <row r="6" spans="1:28" ht="25.8" x14ac:dyDescent="0.65">
      <c r="A6" s="5">
        <v>4</v>
      </c>
      <c r="B6" s="5">
        <v>10207</v>
      </c>
      <c r="C6" s="6" t="s">
        <v>30</v>
      </c>
      <c r="D6" s="24">
        <v>112779</v>
      </c>
      <c r="E6" s="24">
        <v>1797</v>
      </c>
      <c r="F6" s="7">
        <f t="shared" si="1"/>
        <v>110982</v>
      </c>
      <c r="G6" s="7">
        <f t="shared" si="2"/>
        <v>56389.5</v>
      </c>
      <c r="H6" s="21">
        <f t="shared" si="0"/>
        <v>54592.5</v>
      </c>
      <c r="I6" s="18">
        <f>+[1]รายชื่อพนักงานรายเดือน!G10</f>
        <v>17553.885833333334</v>
      </c>
      <c r="J6" s="7">
        <v>439.28</v>
      </c>
      <c r="K6" s="7">
        <v>100</v>
      </c>
      <c r="L6" s="20">
        <f>+[1]รายชื่อพนักงานรายเดือน!C9</f>
        <v>3580.5558333333333</v>
      </c>
      <c r="M6" s="7">
        <v>8100</v>
      </c>
      <c r="N6" s="22">
        <v>0</v>
      </c>
      <c r="O6" s="22">
        <v>0</v>
      </c>
      <c r="P6" s="7">
        <v>2466</v>
      </c>
      <c r="Q6" s="22">
        <v>420</v>
      </c>
      <c r="R6" s="22">
        <v>0</v>
      </c>
      <c r="S6" s="7">
        <v>206.96</v>
      </c>
      <c r="T6" s="22">
        <v>0</v>
      </c>
      <c r="U6" s="22">
        <v>0</v>
      </c>
      <c r="V6" s="22">
        <v>0</v>
      </c>
      <c r="W6" s="22">
        <v>0</v>
      </c>
      <c r="X6" s="22">
        <f>+[1]รายชื่อพนักงานรายเดือน!K8</f>
        <v>230.76923076923077</v>
      </c>
      <c r="Y6" s="7">
        <v>2466</v>
      </c>
      <c r="Z6" s="9">
        <f t="shared" si="3"/>
        <v>19029.049102564106</v>
      </c>
    </row>
    <row r="7" spans="1:28" ht="25.8" x14ac:dyDescent="0.65">
      <c r="A7" s="5">
        <v>5</v>
      </c>
      <c r="B7" s="5">
        <v>10209</v>
      </c>
      <c r="C7" s="6" t="s">
        <v>32</v>
      </c>
      <c r="D7" s="24">
        <v>164645</v>
      </c>
      <c r="E7" s="24">
        <v>22624</v>
      </c>
      <c r="F7" s="7">
        <f t="shared" si="1"/>
        <v>142021</v>
      </c>
      <c r="G7" s="7">
        <f t="shared" si="2"/>
        <v>82322.5</v>
      </c>
      <c r="H7" s="21">
        <f t="shared" si="0"/>
        <v>59698.5</v>
      </c>
      <c r="I7" s="18">
        <f>+[1]รายชื่อพนักงานรายเดือน!G10</f>
        <v>17553.885833333334</v>
      </c>
      <c r="J7" s="7">
        <v>1680.84</v>
      </c>
      <c r="K7" s="7">
        <v>400</v>
      </c>
      <c r="L7" s="20">
        <f>+[1]รายชื่อพนักงานรายเดือน!C9</f>
        <v>3580.5558333333333</v>
      </c>
      <c r="M7" s="7">
        <v>16000</v>
      </c>
      <c r="N7" s="22">
        <v>0</v>
      </c>
      <c r="O7" s="22">
        <v>0</v>
      </c>
      <c r="P7" s="7">
        <v>3046</v>
      </c>
      <c r="Q7" s="22">
        <v>0</v>
      </c>
      <c r="R7" s="22">
        <v>0</v>
      </c>
      <c r="S7" s="7">
        <v>206.96</v>
      </c>
      <c r="T7" s="22">
        <v>0</v>
      </c>
      <c r="U7" s="22">
        <v>0</v>
      </c>
      <c r="V7" s="22">
        <v>0</v>
      </c>
      <c r="W7" s="22">
        <v>0</v>
      </c>
      <c r="X7" s="22">
        <f>+[1]รายชื่อพนักงานรายเดือน!K8</f>
        <v>230.76923076923077</v>
      </c>
      <c r="Y7" s="7">
        <v>95</v>
      </c>
      <c r="Z7" s="9">
        <f t="shared" si="3"/>
        <v>16904.489102564108</v>
      </c>
    </row>
    <row r="8" spans="1:28" ht="25.8" x14ac:dyDescent="0.65">
      <c r="A8" s="5">
        <v>6</v>
      </c>
      <c r="B8" s="5">
        <v>10210</v>
      </c>
      <c r="C8" s="6" t="s">
        <v>33</v>
      </c>
      <c r="D8" s="24">
        <v>125605</v>
      </c>
      <c r="E8" s="24">
        <v>2560</v>
      </c>
      <c r="F8" s="7">
        <f t="shared" si="1"/>
        <v>123045</v>
      </c>
      <c r="G8" s="7">
        <f t="shared" si="2"/>
        <v>62802.5</v>
      </c>
      <c r="H8" s="21">
        <f t="shared" si="0"/>
        <v>60242.5</v>
      </c>
      <c r="I8" s="18">
        <f>+[1]รายชื่อพนักงานรายเดือน!G10</f>
        <v>17553.885833333334</v>
      </c>
      <c r="J8" s="7">
        <v>921.8</v>
      </c>
      <c r="K8" s="7">
        <v>0</v>
      </c>
      <c r="L8" s="20">
        <f>+[1]รายชื่อพนักงานรายเดือน!C9</f>
        <v>3580.5558333333333</v>
      </c>
      <c r="M8" s="7">
        <f>14884+14884</f>
        <v>29768</v>
      </c>
      <c r="N8" s="22">
        <v>0</v>
      </c>
      <c r="O8" s="22">
        <v>0</v>
      </c>
      <c r="P8" s="7">
        <v>4764</v>
      </c>
      <c r="Q8" s="22">
        <v>450</v>
      </c>
      <c r="R8" s="22">
        <v>0</v>
      </c>
      <c r="S8" s="7">
        <v>206.96</v>
      </c>
      <c r="T8" s="22">
        <v>0</v>
      </c>
      <c r="U8" s="22">
        <v>0</v>
      </c>
      <c r="V8" s="22">
        <v>0</v>
      </c>
      <c r="W8" s="22">
        <v>0</v>
      </c>
      <c r="X8" s="22">
        <f>+[1]รายชื่อพนักงานรายเดือน!K8</f>
        <v>230.76923076923077</v>
      </c>
      <c r="Y8" s="7">
        <v>40</v>
      </c>
      <c r="Z8" s="9">
        <f t="shared" si="3"/>
        <v>2726.5291025641004</v>
      </c>
    </row>
    <row r="9" spans="1:28" ht="25.8" x14ac:dyDescent="0.65">
      <c r="A9" s="5">
        <v>7</v>
      </c>
      <c r="B9" s="5">
        <v>10219</v>
      </c>
      <c r="C9" s="6" t="s">
        <v>34</v>
      </c>
      <c r="D9" s="24">
        <v>93428</v>
      </c>
      <c r="E9" s="24">
        <v>5483</v>
      </c>
      <c r="F9" s="7">
        <f t="shared" si="1"/>
        <v>87945</v>
      </c>
      <c r="G9" s="7">
        <f t="shared" si="2"/>
        <v>46714</v>
      </c>
      <c r="H9" s="21">
        <f t="shared" si="0"/>
        <v>41231</v>
      </c>
      <c r="I9" s="18">
        <f>+[1]รายชื่อพนักงานรายเดือน!G10</f>
        <v>17553.885833333334</v>
      </c>
      <c r="J9" s="7">
        <v>0</v>
      </c>
      <c r="K9" s="7">
        <v>0</v>
      </c>
      <c r="L9" s="20">
        <f>+[1]รายชื่อพนักงานรายเดือน!C9</f>
        <v>3580.5558333333333</v>
      </c>
      <c r="M9" s="7">
        <v>16500</v>
      </c>
      <c r="N9" s="22">
        <v>0</v>
      </c>
      <c r="O9" s="22">
        <v>0</v>
      </c>
      <c r="P9" s="7">
        <v>3778.5</v>
      </c>
      <c r="Q9" s="22">
        <v>465</v>
      </c>
      <c r="R9" s="22">
        <v>0</v>
      </c>
      <c r="S9" s="7">
        <v>206.96</v>
      </c>
      <c r="T9" s="7">
        <v>467.29</v>
      </c>
      <c r="U9" s="22">
        <v>0</v>
      </c>
      <c r="V9" s="22">
        <v>0</v>
      </c>
      <c r="W9" s="22">
        <v>0</v>
      </c>
      <c r="X9" s="22">
        <f>+[1]รายชื่อพนักงานรายเดือน!K8</f>
        <v>230.76923076923077</v>
      </c>
      <c r="Y9" s="7">
        <v>138</v>
      </c>
      <c r="Z9" s="9">
        <f t="shared" si="3"/>
        <v>-1689.9608974358964</v>
      </c>
    </row>
    <row r="10" spans="1:28" ht="25.8" x14ac:dyDescent="0.65">
      <c r="A10" s="5">
        <v>8</v>
      </c>
      <c r="B10" s="5">
        <v>10235</v>
      </c>
      <c r="C10" s="6" t="s">
        <v>35</v>
      </c>
      <c r="D10" s="24">
        <v>79648</v>
      </c>
      <c r="E10" s="24">
        <v>10565</v>
      </c>
      <c r="F10" s="7">
        <f t="shared" si="1"/>
        <v>69083</v>
      </c>
      <c r="G10" s="7">
        <f t="shared" si="2"/>
        <v>39824</v>
      </c>
      <c r="H10" s="21">
        <f t="shared" si="0"/>
        <v>29259</v>
      </c>
      <c r="I10" s="18">
        <f>+[1]รายชื่อพนักงานรายเดือน!G10</f>
        <v>17553.885833333334</v>
      </c>
      <c r="J10" s="7">
        <v>0</v>
      </c>
      <c r="K10" s="7">
        <v>0</v>
      </c>
      <c r="L10" s="20">
        <f>+[1]รายชื่อพนักงานรายเดือน!C9</f>
        <v>3580.5558333333333</v>
      </c>
      <c r="M10" s="7">
        <v>12000</v>
      </c>
      <c r="N10" s="22">
        <v>0</v>
      </c>
      <c r="O10" s="22">
        <v>0</v>
      </c>
      <c r="P10" s="7">
        <v>6156</v>
      </c>
      <c r="Q10" s="22">
        <v>0</v>
      </c>
      <c r="R10" s="22">
        <v>0</v>
      </c>
      <c r="S10" s="7">
        <v>0</v>
      </c>
      <c r="T10" s="22">
        <v>0</v>
      </c>
      <c r="U10" s="22">
        <v>0</v>
      </c>
      <c r="V10" s="22">
        <v>0</v>
      </c>
      <c r="W10" s="22">
        <v>0</v>
      </c>
      <c r="X10" s="22">
        <f>+[1]รายชื่อพนักงานรายเดือน!K8</f>
        <v>230.76923076923077</v>
      </c>
      <c r="Y10" s="7">
        <v>0</v>
      </c>
      <c r="Z10" s="9">
        <f t="shared" si="3"/>
        <v>-10262.210897435898</v>
      </c>
    </row>
    <row r="11" spans="1:28" ht="25.8" x14ac:dyDescent="0.65">
      <c r="A11" s="5">
        <v>9</v>
      </c>
      <c r="B11" s="5">
        <v>10264</v>
      </c>
      <c r="C11" s="6" t="s">
        <v>36</v>
      </c>
      <c r="D11" s="24">
        <v>36505</v>
      </c>
      <c r="E11" s="24">
        <v>3320</v>
      </c>
      <c r="F11" s="7">
        <f t="shared" si="1"/>
        <v>33185</v>
      </c>
      <c r="G11" s="7">
        <f t="shared" si="2"/>
        <v>18252.5</v>
      </c>
      <c r="H11" s="21">
        <f t="shared" si="0"/>
        <v>14932.5</v>
      </c>
      <c r="I11" s="18">
        <f>+[1]รายชื่อพนักงานรายเดือน!G10</f>
        <v>17553.885833333334</v>
      </c>
      <c r="J11" s="7">
        <v>0</v>
      </c>
      <c r="K11" s="7">
        <v>0</v>
      </c>
      <c r="L11" s="20">
        <f>+[1]รายชื่อพนักงานรายเดือน!C9</f>
        <v>3580.5558333333333</v>
      </c>
      <c r="M11" s="7">
        <v>22050</v>
      </c>
      <c r="N11" s="22">
        <v>0</v>
      </c>
      <c r="O11" s="22">
        <v>0</v>
      </c>
      <c r="P11" s="7">
        <v>4944</v>
      </c>
      <c r="Q11" s="22">
        <v>75</v>
      </c>
      <c r="R11" s="22">
        <v>0</v>
      </c>
      <c r="S11" s="7">
        <v>212.72</v>
      </c>
      <c r="T11" s="22">
        <v>0</v>
      </c>
      <c r="U11" s="22">
        <v>0</v>
      </c>
      <c r="V11" s="22">
        <v>0</v>
      </c>
      <c r="W11" s="22">
        <v>0</v>
      </c>
      <c r="X11" s="22">
        <f>+[1]รายชื่อพนักงานรายเดือน!K8</f>
        <v>230.76923076923077</v>
      </c>
      <c r="Y11" s="7">
        <v>293</v>
      </c>
      <c r="Z11" s="9">
        <f t="shared" si="3"/>
        <v>-34007.430897435901</v>
      </c>
    </row>
    <row r="12" spans="1:28" ht="25.8" x14ac:dyDescent="0.65">
      <c r="A12" s="5">
        <v>10</v>
      </c>
      <c r="B12" s="5">
        <v>10377</v>
      </c>
      <c r="C12" s="6" t="s">
        <v>37</v>
      </c>
      <c r="D12" s="24">
        <v>65200</v>
      </c>
      <c r="E12" s="24">
        <v>12320</v>
      </c>
      <c r="F12" s="7">
        <f t="shared" si="1"/>
        <v>52880</v>
      </c>
      <c r="G12" s="7">
        <f t="shared" si="2"/>
        <v>32600</v>
      </c>
      <c r="H12" s="21">
        <f>+F12-G12</f>
        <v>20280</v>
      </c>
      <c r="I12" s="18">
        <f>+[1]รายชื่อพนักงานรายเดือน!G10</f>
        <v>17553.885833333334</v>
      </c>
      <c r="J12" s="7">
        <v>0</v>
      </c>
      <c r="K12" s="7">
        <v>0</v>
      </c>
      <c r="L12" s="20">
        <f>+[1]รายชื่อพนักงานรายเดือน!C9</f>
        <v>3580.5558333333333</v>
      </c>
      <c r="M12" s="7">
        <v>20250</v>
      </c>
      <c r="N12" s="22">
        <v>0</v>
      </c>
      <c r="O12" s="22">
        <v>0</v>
      </c>
      <c r="P12" s="7">
        <v>4950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f>+[1]รายชื่อพนักงานรายเดือน!K8</f>
        <v>230.76923076923077</v>
      </c>
      <c r="Y12" s="7">
        <v>0</v>
      </c>
      <c r="Z12" s="9">
        <f>+H12-I12-J12-L12-M12-O12-P12-S12-T12-U12-V12-W12-X12-Y12-Q12-R12-K12-N12</f>
        <v>-26285.210897435896</v>
      </c>
    </row>
    <row r="13" spans="1:28" ht="27" thickBot="1" x14ac:dyDescent="0.75">
      <c r="C13" s="10" t="s">
        <v>39</v>
      </c>
      <c r="D13" s="11">
        <f t="shared" ref="D13:Z13" si="4">SUM(D3:D12)</f>
        <v>1041979</v>
      </c>
      <c r="E13" s="12">
        <f t="shared" si="4"/>
        <v>98228</v>
      </c>
      <c r="F13" s="12">
        <f t="shared" si="4"/>
        <v>943751</v>
      </c>
      <c r="G13" s="12">
        <f t="shared" si="4"/>
        <v>520989.5</v>
      </c>
      <c r="H13" s="23">
        <f t="shared" si="4"/>
        <v>422761.5</v>
      </c>
      <c r="I13" s="11">
        <f>SUM(I3:I12)</f>
        <v>175538.85833333334</v>
      </c>
      <c r="J13" s="12">
        <f t="shared" si="4"/>
        <v>5186.92</v>
      </c>
      <c r="K13" s="12">
        <f t="shared" si="4"/>
        <v>900</v>
      </c>
      <c r="L13" s="11">
        <f>SUM(L3:L12)</f>
        <v>35805.558333333327</v>
      </c>
      <c r="M13" s="12">
        <f t="shared" si="4"/>
        <v>160256</v>
      </c>
      <c r="N13" s="12">
        <f t="shared" si="4"/>
        <v>0</v>
      </c>
      <c r="O13" s="12">
        <f t="shared" si="4"/>
        <v>97</v>
      </c>
      <c r="P13" s="12">
        <f t="shared" si="4"/>
        <v>53879.55</v>
      </c>
      <c r="Q13" s="12">
        <f t="shared" si="4"/>
        <v>1500</v>
      </c>
      <c r="R13" s="12">
        <f t="shared" si="4"/>
        <v>0</v>
      </c>
      <c r="S13" s="12">
        <f t="shared" si="4"/>
        <v>1661.44</v>
      </c>
      <c r="T13" s="12">
        <f t="shared" si="4"/>
        <v>467.29</v>
      </c>
      <c r="U13" s="12">
        <f t="shared" si="4"/>
        <v>110</v>
      </c>
      <c r="V13" s="12">
        <f t="shared" si="4"/>
        <v>355</v>
      </c>
      <c r="W13" s="12">
        <f t="shared" si="4"/>
        <v>0</v>
      </c>
      <c r="X13" s="12">
        <f t="shared" si="4"/>
        <v>2307.6923076923076</v>
      </c>
      <c r="Y13" s="12">
        <f t="shared" si="4"/>
        <v>6086</v>
      </c>
      <c r="Z13" s="12">
        <f t="shared" si="4"/>
        <v>-21389.80897435897</v>
      </c>
      <c r="AA13" s="13" t="s">
        <v>40</v>
      </c>
      <c r="AB13" s="14"/>
    </row>
    <row r="14" spans="1:28" ht="35.4" thickTop="1" x14ac:dyDescent="0.9">
      <c r="C14" s="10" t="s">
        <v>41</v>
      </c>
      <c r="D14" s="15">
        <f>+Z13</f>
        <v>-21389.80897435897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8" ht="34.799999999999997" x14ac:dyDescent="0.9">
      <c r="C15" s="10" t="s">
        <v>42</v>
      </c>
      <c r="D15" s="17">
        <f>+D14/D13</f>
        <v>-2.0528061481430018E-2</v>
      </c>
      <c r="J15" s="16"/>
    </row>
    <row r="16" spans="1:28" ht="34.799999999999997" x14ac:dyDescent="0.9">
      <c r="J16" s="16"/>
    </row>
    <row r="17" spans="10:10" ht="34.799999999999997" x14ac:dyDescent="0.9">
      <c r="J17" s="16"/>
    </row>
    <row r="18" spans="10:10" ht="34.799999999999997" x14ac:dyDescent="0.9">
      <c r="J18" s="16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13 Z15:Z1048576">
    <cfRule type="cellIs" dxfId="2" priority="1" operator="lessThan">
      <formula>0</formula>
    </cfRule>
  </conditionalFormatting>
  <pageMargins left="0.11811023622047245" right="0.11811023622047245" top="0.74803149606299213" bottom="0.74803149606299213" header="0.31496062992125984" footer="0.31496062992125984"/>
  <pageSetup paperSize="9" scale="55" fitToHeight="0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BC9D-10BB-4F27-A4E7-4E2F608D9942}">
  <sheetPr>
    <tabColor theme="8" tint="-0.249977111117893"/>
  </sheetPr>
  <dimension ref="A1:AB18"/>
  <sheetViews>
    <sheetView zoomScale="80" zoomScaleNormal="80" workbookViewId="0">
      <pane xSplit="3" ySplit="2" topLeftCell="K3" activePane="bottomRight" state="frozen"/>
      <selection activeCell="Z4" sqref="Z4:Z6"/>
      <selection pane="topRight" activeCell="Z4" sqref="Z4:Z6"/>
      <selection pane="bottomLeft" activeCell="Z4" sqref="Z4:Z6"/>
      <selection pane="bottomRight" activeCell="Z4" sqref="Z4:Z6"/>
    </sheetView>
  </sheetViews>
  <sheetFormatPr defaultColWidth="9" defaultRowHeight="15.6" x14ac:dyDescent="0.4"/>
  <cols>
    <col min="1" max="1" width="4" style="2" customWidth="1"/>
    <col min="2" max="2" width="7.09765625" style="2" customWidth="1"/>
    <col min="3" max="3" width="15.19921875" style="2" customWidth="1"/>
    <col min="4" max="4" width="13.69921875" style="2" customWidth="1"/>
    <col min="5" max="5" width="14" style="2" customWidth="1"/>
    <col min="6" max="6" width="13" style="2" customWidth="1"/>
    <col min="7" max="7" width="13.59765625" style="2" customWidth="1"/>
    <col min="8" max="8" width="15.19921875" style="2" customWidth="1"/>
    <col min="9" max="9" width="16.8984375" style="2" customWidth="1"/>
    <col min="10" max="10" width="14.8984375" style="2" customWidth="1"/>
    <col min="11" max="11" width="15.09765625" style="2" customWidth="1"/>
    <col min="12" max="12" width="12.19921875" style="2" customWidth="1"/>
    <col min="13" max="13" width="13.19921875" style="2" customWidth="1"/>
    <col min="14" max="14" width="11.8984375" style="2" customWidth="1"/>
    <col min="15" max="15" width="13.3984375" style="2" customWidth="1"/>
    <col min="16" max="16" width="12.8984375" style="2" customWidth="1"/>
    <col min="17" max="17" width="10.09765625" style="2" customWidth="1"/>
    <col min="18" max="18" width="8.09765625" style="2" customWidth="1"/>
    <col min="19" max="19" width="11.3984375" style="2" customWidth="1"/>
    <col min="20" max="20" width="10.3984375" style="2" customWidth="1"/>
    <col min="21" max="21" width="9.8984375" style="2" customWidth="1"/>
    <col min="22" max="22" width="9.69921875" style="2" customWidth="1"/>
    <col min="23" max="23" width="7.19921875" style="2" customWidth="1"/>
    <col min="24" max="25" width="11" style="2" customWidth="1"/>
    <col min="26" max="26" width="14" style="2" customWidth="1"/>
    <col min="27" max="27" width="0.8984375" style="2" customWidth="1"/>
    <col min="28" max="16384" width="9" style="2"/>
  </cols>
  <sheetData>
    <row r="1" spans="1:28" ht="28.8" x14ac:dyDescent="0.75">
      <c r="A1" s="1" t="s">
        <v>51</v>
      </c>
    </row>
    <row r="2" spans="1:28" s="4" customFormat="1" ht="105.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50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43</v>
      </c>
      <c r="Y2" s="3" t="s">
        <v>25</v>
      </c>
      <c r="Z2" s="3" t="s">
        <v>26</v>
      </c>
    </row>
    <row r="3" spans="1:28" ht="25.8" x14ac:dyDescent="0.65">
      <c r="A3" s="5">
        <v>1</v>
      </c>
      <c r="B3" s="5">
        <v>10203</v>
      </c>
      <c r="C3" s="6" t="s">
        <v>27</v>
      </c>
      <c r="D3" s="24">
        <v>0</v>
      </c>
      <c r="E3" s="24">
        <v>0</v>
      </c>
      <c r="F3" s="7">
        <f>+D3-E3</f>
        <v>0</v>
      </c>
      <c r="G3" s="7">
        <f>+D3*0.5</f>
        <v>0</v>
      </c>
      <c r="H3" s="21">
        <f t="shared" ref="H3:H11" si="0">+F3-G3</f>
        <v>0</v>
      </c>
      <c r="I3" s="18">
        <v>0</v>
      </c>
      <c r="J3" s="7">
        <v>0</v>
      </c>
      <c r="K3" s="7">
        <v>0</v>
      </c>
      <c r="L3" s="20">
        <v>0</v>
      </c>
      <c r="M3" s="7">
        <v>0</v>
      </c>
      <c r="N3" s="22">
        <v>0</v>
      </c>
      <c r="O3" s="22">
        <v>0</v>
      </c>
      <c r="P3" s="7">
        <v>0</v>
      </c>
      <c r="Q3" s="22">
        <v>0</v>
      </c>
      <c r="R3" s="22">
        <v>0</v>
      </c>
      <c r="S3" s="7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7">
        <v>0</v>
      </c>
      <c r="Z3" s="9">
        <f>+H3-I3-J3-L3-M3-O3-P3-S3-T3-U3-V3-W3-X3-Y3-Q3-R3-K3-N3</f>
        <v>0</v>
      </c>
    </row>
    <row r="4" spans="1:28" ht="25.8" x14ac:dyDescent="0.65">
      <c r="A4" s="5">
        <v>2</v>
      </c>
      <c r="B4" s="5">
        <v>10204</v>
      </c>
      <c r="C4" s="6" t="s">
        <v>52</v>
      </c>
      <c r="D4" s="24">
        <v>74929</v>
      </c>
      <c r="E4" s="24">
        <v>16434</v>
      </c>
      <c r="F4" s="7">
        <f t="shared" ref="F4:F12" si="1">+D4-E4</f>
        <v>58495</v>
      </c>
      <c r="G4" s="7">
        <f t="shared" ref="G4:G12" si="2">+D4*0.5</f>
        <v>37464.5</v>
      </c>
      <c r="H4" s="21">
        <f t="shared" si="0"/>
        <v>21030.5</v>
      </c>
      <c r="I4" s="18">
        <v>0</v>
      </c>
      <c r="J4" s="7">
        <v>0</v>
      </c>
      <c r="K4" s="7">
        <v>0</v>
      </c>
      <c r="L4" s="20">
        <f>+[1]รายชื่อพนักงานรายเดือน!C9</f>
        <v>3580.5558333333333</v>
      </c>
      <c r="M4" s="7">
        <v>5820</v>
      </c>
      <c r="N4" s="22">
        <v>0</v>
      </c>
      <c r="O4" s="22">
        <v>54</v>
      </c>
      <c r="P4" s="7">
        <v>4590.8900000000003</v>
      </c>
      <c r="Q4" s="22">
        <v>30</v>
      </c>
      <c r="R4" s="22">
        <v>0</v>
      </c>
      <c r="S4" s="7">
        <v>206.96</v>
      </c>
      <c r="T4" s="22">
        <v>0</v>
      </c>
      <c r="U4" s="22">
        <v>0</v>
      </c>
      <c r="V4" s="22">
        <v>0</v>
      </c>
      <c r="W4" s="22">
        <v>0</v>
      </c>
      <c r="X4" s="22">
        <f>+[1]รายชื่อพนักงานรายเดือน!K8</f>
        <v>230.76923076923077</v>
      </c>
      <c r="Y4" s="7">
        <v>174</v>
      </c>
      <c r="Z4" s="9">
        <f t="shared" ref="Z4:Z11" si="3">+H4-I4-J4-L4-M4-O4-P4-S4-T4-U4-V4-W4-X4-Y4-Q4-R4-K4-N4</f>
        <v>6343.3249358974372</v>
      </c>
    </row>
    <row r="5" spans="1:28" ht="24" customHeight="1" x14ac:dyDescent="0.65">
      <c r="A5" s="5">
        <v>3</v>
      </c>
      <c r="B5" s="5">
        <v>10205</v>
      </c>
      <c r="C5" s="6" t="s">
        <v>29</v>
      </c>
      <c r="D5" s="24">
        <v>93705</v>
      </c>
      <c r="E5" s="24">
        <v>14522</v>
      </c>
      <c r="F5" s="7">
        <v>93705</v>
      </c>
      <c r="G5" s="7">
        <v>14522</v>
      </c>
      <c r="H5" s="21">
        <f t="shared" si="0"/>
        <v>79183</v>
      </c>
      <c r="I5" s="18">
        <v>0</v>
      </c>
      <c r="J5" s="7">
        <v>0</v>
      </c>
      <c r="K5" s="7">
        <v>0</v>
      </c>
      <c r="L5" s="20">
        <f>+[1]รายชื่อพนักงานรายเดือน!C9</f>
        <v>3580.5558333333333</v>
      </c>
      <c r="M5" s="7">
        <v>0</v>
      </c>
      <c r="N5" s="22">
        <v>0</v>
      </c>
      <c r="O5" s="22">
        <v>40</v>
      </c>
      <c r="P5" s="7">
        <v>11464.77</v>
      </c>
      <c r="Q5" s="22">
        <v>0</v>
      </c>
      <c r="R5" s="22">
        <v>0</v>
      </c>
      <c r="S5" s="7">
        <v>206.96</v>
      </c>
      <c r="T5" s="22">
        <v>0</v>
      </c>
      <c r="U5" s="22">
        <v>50</v>
      </c>
      <c r="V5" s="22">
        <v>890</v>
      </c>
      <c r="W5" s="22">
        <v>0</v>
      </c>
      <c r="X5" s="22">
        <f>+[1]รายชื่อพนักงานรายเดือน!K8</f>
        <v>230.76923076923077</v>
      </c>
      <c r="Y5" s="7">
        <v>90</v>
      </c>
      <c r="Z5" s="9">
        <f t="shared" si="3"/>
        <v>62629.944935897431</v>
      </c>
    </row>
    <row r="6" spans="1:28" ht="25.8" x14ac:dyDescent="0.65">
      <c r="A6" s="5">
        <v>4</v>
      </c>
      <c r="B6" s="5">
        <v>10207</v>
      </c>
      <c r="C6" s="6" t="s">
        <v>30</v>
      </c>
      <c r="D6" s="24">
        <v>111483</v>
      </c>
      <c r="E6" s="24">
        <v>1950</v>
      </c>
      <c r="F6" s="7">
        <v>111483</v>
      </c>
      <c r="G6" s="7">
        <v>1950</v>
      </c>
      <c r="H6" s="21">
        <f t="shared" si="0"/>
        <v>109533</v>
      </c>
      <c r="I6" s="18">
        <v>0</v>
      </c>
      <c r="J6" s="7">
        <v>381.32</v>
      </c>
      <c r="K6" s="7">
        <v>0</v>
      </c>
      <c r="L6" s="20">
        <f>+[1]รายชื่อพนักงานรายเดือน!C9</f>
        <v>3580.5558333333333</v>
      </c>
      <c r="M6" s="7">
        <v>8100</v>
      </c>
      <c r="N6" s="22">
        <v>351</v>
      </c>
      <c r="O6" s="22">
        <v>0</v>
      </c>
      <c r="P6" s="7">
        <v>2136</v>
      </c>
      <c r="Q6" s="22">
        <v>0</v>
      </c>
      <c r="R6" s="22">
        <v>0</v>
      </c>
      <c r="S6" s="7">
        <v>206.96</v>
      </c>
      <c r="T6" s="22">
        <v>0</v>
      </c>
      <c r="U6" s="22">
        <v>0</v>
      </c>
      <c r="V6" s="22">
        <v>0</v>
      </c>
      <c r="W6" s="22">
        <v>0</v>
      </c>
      <c r="X6" s="22">
        <f>+[1]รายชื่อพนักงานรายเดือน!K8</f>
        <v>230.76923076923077</v>
      </c>
      <c r="Y6" s="7">
        <v>2487</v>
      </c>
      <c r="Z6" s="9">
        <f t="shared" si="3"/>
        <v>92059.394935897421</v>
      </c>
    </row>
    <row r="7" spans="1:28" ht="25.8" x14ac:dyDescent="0.65">
      <c r="A7" s="5">
        <v>5</v>
      </c>
      <c r="B7" s="5">
        <v>10209</v>
      </c>
      <c r="C7" s="6" t="s">
        <v>32</v>
      </c>
      <c r="D7" s="24">
        <v>0</v>
      </c>
      <c r="E7" s="24">
        <v>0</v>
      </c>
      <c r="F7" s="7">
        <f t="shared" si="1"/>
        <v>0</v>
      </c>
      <c r="G7" s="7">
        <f t="shared" si="2"/>
        <v>0</v>
      </c>
      <c r="H7" s="21">
        <f t="shared" si="0"/>
        <v>0</v>
      </c>
      <c r="I7" s="18">
        <v>0</v>
      </c>
      <c r="J7" s="7">
        <v>0</v>
      </c>
      <c r="K7" s="7">
        <v>0</v>
      </c>
      <c r="L7" s="20">
        <v>0</v>
      </c>
      <c r="M7" s="7">
        <v>0</v>
      </c>
      <c r="N7" s="22">
        <v>0</v>
      </c>
      <c r="O7" s="22">
        <v>0</v>
      </c>
      <c r="P7" s="7">
        <v>0</v>
      </c>
      <c r="Q7" s="22">
        <v>0</v>
      </c>
      <c r="R7" s="22">
        <v>0</v>
      </c>
      <c r="S7" s="7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7">
        <v>0</v>
      </c>
      <c r="Z7" s="9">
        <f t="shared" si="3"/>
        <v>0</v>
      </c>
    </row>
    <row r="8" spans="1:28" ht="25.8" x14ac:dyDescent="0.65">
      <c r="A8" s="5">
        <v>6</v>
      </c>
      <c r="B8" s="5">
        <v>10210</v>
      </c>
      <c r="C8" s="6" t="s">
        <v>33</v>
      </c>
      <c r="D8" s="24">
        <v>0</v>
      </c>
      <c r="E8" s="24">
        <v>0</v>
      </c>
      <c r="F8" s="7">
        <f t="shared" si="1"/>
        <v>0</v>
      </c>
      <c r="G8" s="7">
        <f t="shared" si="2"/>
        <v>0</v>
      </c>
      <c r="H8" s="21">
        <f t="shared" si="0"/>
        <v>0</v>
      </c>
      <c r="I8" s="18">
        <v>0</v>
      </c>
      <c r="J8" s="7">
        <v>0</v>
      </c>
      <c r="K8" s="7">
        <v>0</v>
      </c>
      <c r="L8" s="20">
        <v>0</v>
      </c>
      <c r="M8" s="7">
        <v>0</v>
      </c>
      <c r="N8" s="22">
        <v>0</v>
      </c>
      <c r="O8" s="22">
        <v>0</v>
      </c>
      <c r="P8" s="7">
        <v>0</v>
      </c>
      <c r="Q8" s="22">
        <v>0</v>
      </c>
      <c r="R8" s="22">
        <v>0</v>
      </c>
      <c r="S8" s="7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7">
        <v>0</v>
      </c>
      <c r="Z8" s="9">
        <f t="shared" si="3"/>
        <v>0</v>
      </c>
    </row>
    <row r="9" spans="1:28" ht="25.8" x14ac:dyDescent="0.65">
      <c r="A9" s="5">
        <v>7</v>
      </c>
      <c r="B9" s="5">
        <v>10219</v>
      </c>
      <c r="C9" s="6" t="s">
        <v>34</v>
      </c>
      <c r="D9" s="24">
        <v>0</v>
      </c>
      <c r="E9" s="24">
        <v>0</v>
      </c>
      <c r="F9" s="7">
        <f t="shared" si="1"/>
        <v>0</v>
      </c>
      <c r="G9" s="7">
        <f t="shared" si="2"/>
        <v>0</v>
      </c>
      <c r="H9" s="21">
        <f t="shared" si="0"/>
        <v>0</v>
      </c>
      <c r="I9" s="18">
        <v>0</v>
      </c>
      <c r="J9" s="7">
        <v>0</v>
      </c>
      <c r="K9" s="7">
        <v>0</v>
      </c>
      <c r="L9" s="20">
        <v>0</v>
      </c>
      <c r="M9" s="7">
        <v>0</v>
      </c>
      <c r="N9" s="22">
        <v>0</v>
      </c>
      <c r="O9" s="22">
        <v>0</v>
      </c>
      <c r="P9" s="7">
        <v>500.5</v>
      </c>
      <c r="Q9" s="22">
        <v>0</v>
      </c>
      <c r="R9" s="22">
        <v>0</v>
      </c>
      <c r="S9" s="7">
        <v>0</v>
      </c>
      <c r="T9" s="7">
        <v>0</v>
      </c>
      <c r="U9" s="22">
        <v>0</v>
      </c>
      <c r="V9" s="22">
        <v>0</v>
      </c>
      <c r="W9" s="22">
        <v>0</v>
      </c>
      <c r="X9" s="22">
        <v>0</v>
      </c>
      <c r="Y9" s="7">
        <v>0</v>
      </c>
      <c r="Z9" s="9">
        <f t="shared" si="3"/>
        <v>-500.5</v>
      </c>
    </row>
    <row r="10" spans="1:28" ht="25.8" x14ac:dyDescent="0.65">
      <c r="A10" s="5">
        <v>8</v>
      </c>
      <c r="B10" s="5">
        <v>10235</v>
      </c>
      <c r="C10" s="6" t="s">
        <v>35</v>
      </c>
      <c r="D10" s="24">
        <v>0</v>
      </c>
      <c r="E10" s="24">
        <v>0</v>
      </c>
      <c r="F10" s="7">
        <f t="shared" si="1"/>
        <v>0</v>
      </c>
      <c r="G10" s="7">
        <f t="shared" si="2"/>
        <v>0</v>
      </c>
      <c r="H10" s="21">
        <f t="shared" si="0"/>
        <v>0</v>
      </c>
      <c r="I10" s="18">
        <v>0</v>
      </c>
      <c r="J10" s="7">
        <v>0</v>
      </c>
      <c r="K10" s="7">
        <v>0</v>
      </c>
      <c r="L10" s="20">
        <v>0</v>
      </c>
      <c r="M10" s="7">
        <v>0</v>
      </c>
      <c r="N10" s="22">
        <v>0</v>
      </c>
      <c r="O10" s="22">
        <v>0</v>
      </c>
      <c r="P10" s="7">
        <v>0</v>
      </c>
      <c r="Q10" s="22">
        <v>0</v>
      </c>
      <c r="R10" s="22">
        <v>0</v>
      </c>
      <c r="S10" s="7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7">
        <v>0</v>
      </c>
      <c r="Z10" s="9">
        <f t="shared" si="3"/>
        <v>0</v>
      </c>
    </row>
    <row r="11" spans="1:28" ht="25.8" x14ac:dyDescent="0.65">
      <c r="A11" s="5">
        <v>9</v>
      </c>
      <c r="B11" s="5">
        <v>10264</v>
      </c>
      <c r="C11" s="6" t="s">
        <v>36</v>
      </c>
      <c r="D11" s="24">
        <v>0</v>
      </c>
      <c r="E11" s="24">
        <v>0</v>
      </c>
      <c r="F11" s="7">
        <f t="shared" si="1"/>
        <v>0</v>
      </c>
      <c r="G11" s="7">
        <f t="shared" si="2"/>
        <v>0</v>
      </c>
      <c r="H11" s="21">
        <f t="shared" si="0"/>
        <v>0</v>
      </c>
      <c r="I11" s="18">
        <v>0</v>
      </c>
      <c r="J11" s="7">
        <v>0</v>
      </c>
      <c r="K11" s="7">
        <v>0</v>
      </c>
      <c r="L11" s="20">
        <v>0</v>
      </c>
      <c r="M11" s="7">
        <v>0</v>
      </c>
      <c r="N11" s="22">
        <v>0</v>
      </c>
      <c r="O11" s="22">
        <v>0</v>
      </c>
      <c r="P11" s="7">
        <v>0</v>
      </c>
      <c r="Q11" s="22">
        <v>0</v>
      </c>
      <c r="R11" s="22">
        <v>0</v>
      </c>
      <c r="S11" s="7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7">
        <v>0</v>
      </c>
      <c r="Z11" s="9">
        <f t="shared" si="3"/>
        <v>0</v>
      </c>
    </row>
    <row r="12" spans="1:28" ht="25.8" x14ac:dyDescent="0.65">
      <c r="A12" s="5">
        <v>10</v>
      </c>
      <c r="B12" s="5">
        <v>10377</v>
      </c>
      <c r="C12" s="6" t="s">
        <v>37</v>
      </c>
      <c r="D12" s="24">
        <v>0</v>
      </c>
      <c r="E12" s="24">
        <v>0</v>
      </c>
      <c r="F12" s="7">
        <f t="shared" si="1"/>
        <v>0</v>
      </c>
      <c r="G12" s="7">
        <f t="shared" si="2"/>
        <v>0</v>
      </c>
      <c r="H12" s="21">
        <f>+F12-G12</f>
        <v>0</v>
      </c>
      <c r="I12" s="18">
        <v>0</v>
      </c>
      <c r="J12" s="7">
        <v>0</v>
      </c>
      <c r="K12" s="7">
        <v>0</v>
      </c>
      <c r="L12" s="20">
        <v>0</v>
      </c>
      <c r="M12" s="7">
        <v>0</v>
      </c>
      <c r="N12" s="22">
        <v>0</v>
      </c>
      <c r="O12" s="22">
        <v>0</v>
      </c>
      <c r="P12" s="7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7">
        <v>0</v>
      </c>
      <c r="Z12" s="9">
        <f>+H12-I12-J12-L12-M12-O12-P12-S12-T12-U12-V12-W12-X12-Y12-Q12-R12-K12-N12</f>
        <v>0</v>
      </c>
    </row>
    <row r="13" spans="1:28" ht="27" thickBot="1" x14ac:dyDescent="0.75">
      <c r="C13" s="10" t="s">
        <v>39</v>
      </c>
      <c r="D13" s="11">
        <f t="shared" ref="D13:Z13" si="4">SUM(D3:D12)</f>
        <v>280117</v>
      </c>
      <c r="E13" s="12">
        <f t="shared" si="4"/>
        <v>32906</v>
      </c>
      <c r="F13" s="12">
        <f t="shared" si="4"/>
        <v>263683</v>
      </c>
      <c r="G13" s="12">
        <f t="shared" si="4"/>
        <v>53936.5</v>
      </c>
      <c r="H13" s="23">
        <f t="shared" si="4"/>
        <v>209746.5</v>
      </c>
      <c r="I13" s="11">
        <f>SUM(I3:I12)</f>
        <v>0</v>
      </c>
      <c r="J13" s="12">
        <f t="shared" si="4"/>
        <v>381.32</v>
      </c>
      <c r="K13" s="12">
        <f t="shared" si="4"/>
        <v>0</v>
      </c>
      <c r="L13" s="11">
        <f>SUM(L3:L12)</f>
        <v>10741.6675</v>
      </c>
      <c r="M13" s="12">
        <f t="shared" si="4"/>
        <v>13920</v>
      </c>
      <c r="N13" s="12">
        <f t="shared" si="4"/>
        <v>351</v>
      </c>
      <c r="O13" s="12">
        <f t="shared" si="4"/>
        <v>94</v>
      </c>
      <c r="P13" s="12">
        <f t="shared" si="4"/>
        <v>18692.16</v>
      </c>
      <c r="Q13" s="12">
        <f t="shared" si="4"/>
        <v>30</v>
      </c>
      <c r="R13" s="12">
        <f t="shared" si="4"/>
        <v>0</v>
      </c>
      <c r="S13" s="12">
        <f t="shared" si="4"/>
        <v>620.88</v>
      </c>
      <c r="T13" s="12">
        <f t="shared" si="4"/>
        <v>0</v>
      </c>
      <c r="U13" s="12">
        <f t="shared" si="4"/>
        <v>50</v>
      </c>
      <c r="V13" s="12">
        <f t="shared" si="4"/>
        <v>890</v>
      </c>
      <c r="W13" s="12">
        <f t="shared" si="4"/>
        <v>0</v>
      </c>
      <c r="X13" s="12">
        <f t="shared" si="4"/>
        <v>692.30769230769238</v>
      </c>
      <c r="Y13" s="12">
        <f t="shared" si="4"/>
        <v>2751</v>
      </c>
      <c r="Z13" s="12">
        <f t="shared" si="4"/>
        <v>160532.16480769229</v>
      </c>
      <c r="AA13" s="13" t="s">
        <v>40</v>
      </c>
      <c r="AB13" s="14"/>
    </row>
    <row r="14" spans="1:28" ht="35.4" thickTop="1" x14ac:dyDescent="0.9">
      <c r="C14" s="10" t="s">
        <v>41</v>
      </c>
      <c r="D14" s="15">
        <f>+Z13</f>
        <v>160532.16480769229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8" ht="34.799999999999997" x14ac:dyDescent="0.9">
      <c r="C15" s="10" t="s">
        <v>42</v>
      </c>
      <c r="D15" s="17">
        <f>+D14/D13</f>
        <v>0.57308969040683821</v>
      </c>
      <c r="J15" s="16"/>
    </row>
    <row r="16" spans="1:28" ht="34.799999999999997" x14ac:dyDescent="0.9">
      <c r="J16" s="16"/>
    </row>
    <row r="17" spans="10:10" ht="34.799999999999997" x14ac:dyDescent="0.9">
      <c r="J17" s="16"/>
    </row>
    <row r="18" spans="10:10" ht="34.799999999999997" x14ac:dyDescent="0.9">
      <c r="J18" s="16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13 Z15:Z1048576">
    <cfRule type="cellIs" dxfId="1" priority="1" operator="lessThan">
      <formula>0</formula>
    </cfRule>
  </conditionalFormatting>
  <pageMargins left="0.11811023622047245" right="0.11811023622047245" top="0.74803149606299213" bottom="0.74803149606299213" header="0.31496062992125984" footer="0.31496062992125984"/>
  <pageSetup paperSize="9" scale="55" fitToHeight="0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C732-DB06-431E-95C2-EF19298694DA}">
  <sheetPr>
    <tabColor theme="8" tint="-0.249977111117893"/>
  </sheetPr>
  <dimension ref="A1:AB18"/>
  <sheetViews>
    <sheetView zoomScale="80" zoomScaleNormal="80" workbookViewId="0">
      <pane xSplit="3" ySplit="2" topLeftCell="K3" activePane="bottomRight" state="frozen"/>
      <selection activeCell="Z4" sqref="Z4:Z6"/>
      <selection pane="topRight" activeCell="Z4" sqref="Z4:Z6"/>
      <selection pane="bottomLeft" activeCell="Z4" sqref="Z4:Z6"/>
      <selection pane="bottomRight" activeCell="Z4" sqref="Z4:Z6"/>
    </sheetView>
  </sheetViews>
  <sheetFormatPr defaultColWidth="9" defaultRowHeight="15.6" x14ac:dyDescent="0.4"/>
  <cols>
    <col min="1" max="1" width="4" style="2" customWidth="1"/>
    <col min="2" max="2" width="7.09765625" style="2" customWidth="1"/>
    <col min="3" max="3" width="15.19921875" style="2" customWidth="1"/>
    <col min="4" max="4" width="13.69921875" style="2" customWidth="1"/>
    <col min="5" max="5" width="14" style="2" customWidth="1"/>
    <col min="6" max="6" width="13" style="2" customWidth="1"/>
    <col min="7" max="7" width="13.59765625" style="2" customWidth="1"/>
    <col min="8" max="8" width="15.19921875" style="2" customWidth="1"/>
    <col min="9" max="9" width="16.8984375" style="2" customWidth="1"/>
    <col min="10" max="10" width="14.8984375" style="2" customWidth="1"/>
    <col min="11" max="11" width="15.09765625" style="2" customWidth="1"/>
    <col min="12" max="12" width="12.19921875" style="2" customWidth="1"/>
    <col min="13" max="13" width="13.19921875" style="2" customWidth="1"/>
    <col min="14" max="14" width="11.8984375" style="2" customWidth="1"/>
    <col min="15" max="15" width="13.3984375" style="2" customWidth="1"/>
    <col min="16" max="16" width="12.8984375" style="2" customWidth="1"/>
    <col min="17" max="17" width="10.09765625" style="2" customWidth="1"/>
    <col min="18" max="18" width="8.09765625" style="2" customWidth="1"/>
    <col min="19" max="19" width="11.3984375" style="2" customWidth="1"/>
    <col min="20" max="20" width="10.3984375" style="2" customWidth="1"/>
    <col min="21" max="21" width="9.8984375" style="2" customWidth="1"/>
    <col min="22" max="22" width="9.69921875" style="2" customWidth="1"/>
    <col min="23" max="23" width="7.19921875" style="2" customWidth="1"/>
    <col min="24" max="25" width="11" style="2" customWidth="1"/>
    <col min="26" max="26" width="14" style="2" customWidth="1"/>
    <col min="27" max="27" width="0.8984375" style="2" customWidth="1"/>
    <col min="28" max="16384" width="9" style="2"/>
  </cols>
  <sheetData>
    <row r="1" spans="1:28" ht="28.8" x14ac:dyDescent="0.75">
      <c r="A1" s="1" t="s">
        <v>51</v>
      </c>
    </row>
    <row r="2" spans="1:28" s="4" customFormat="1" ht="105.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50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43</v>
      </c>
      <c r="Y2" s="3" t="s">
        <v>25</v>
      </c>
      <c r="Z2" s="3" t="s">
        <v>26</v>
      </c>
    </row>
    <row r="3" spans="1:28" ht="25.8" x14ac:dyDescent="0.65">
      <c r="A3" s="5">
        <v>1</v>
      </c>
      <c r="B3" s="5">
        <v>10203</v>
      </c>
      <c r="C3" s="6" t="s">
        <v>27</v>
      </c>
      <c r="D3" s="24">
        <v>0</v>
      </c>
      <c r="E3" s="24">
        <v>0</v>
      </c>
      <c r="F3" s="7">
        <f>+D3-E3</f>
        <v>0</v>
      </c>
      <c r="G3" s="7">
        <f>+D3*0.5</f>
        <v>0</v>
      </c>
      <c r="H3" s="21">
        <f t="shared" ref="H3:H11" si="0">+F3-G3</f>
        <v>0</v>
      </c>
      <c r="I3" s="18">
        <v>0</v>
      </c>
      <c r="J3" s="7">
        <v>0</v>
      </c>
      <c r="K3" s="7">
        <v>0</v>
      </c>
      <c r="L3" s="20">
        <v>0</v>
      </c>
      <c r="M3" s="7">
        <v>0</v>
      </c>
      <c r="N3" s="22">
        <v>0</v>
      </c>
      <c r="O3" s="22">
        <v>0</v>
      </c>
      <c r="P3" s="7">
        <v>0</v>
      </c>
      <c r="Q3" s="22">
        <v>0</v>
      </c>
      <c r="R3" s="22">
        <v>0</v>
      </c>
      <c r="S3" s="7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7">
        <v>0</v>
      </c>
      <c r="Z3" s="9">
        <f>+H3-I3-J3-L3-M3-O3-P3-S3-T3-U3-V3-W3-X3-Y3-Q3-R3-K3-N3</f>
        <v>0</v>
      </c>
    </row>
    <row r="4" spans="1:28" ht="25.8" x14ac:dyDescent="0.65">
      <c r="A4" s="5">
        <v>2</v>
      </c>
      <c r="B4" s="5">
        <v>10204</v>
      </c>
      <c r="C4" s="6" t="s">
        <v>52</v>
      </c>
      <c r="D4" s="24">
        <v>189325</v>
      </c>
      <c r="E4" s="24">
        <v>43445</v>
      </c>
      <c r="F4" s="7">
        <f t="shared" ref="F4:F12" si="1">+D4-E4</f>
        <v>145880</v>
      </c>
      <c r="G4" s="7">
        <f t="shared" ref="G4:G12" si="2">+D4*0.5</f>
        <v>94662.5</v>
      </c>
      <c r="H4" s="21">
        <f t="shared" si="0"/>
        <v>51217.5</v>
      </c>
      <c r="I4" s="18">
        <v>0</v>
      </c>
      <c r="J4" s="7">
        <v>1711.2</v>
      </c>
      <c r="K4" s="7">
        <v>500</v>
      </c>
      <c r="L4" s="20">
        <f>+[1]รายชื่อพนักงานรายเดือน!C9</f>
        <v>3580.5558333333333</v>
      </c>
      <c r="M4" s="7">
        <v>5820</v>
      </c>
      <c r="N4" s="22">
        <v>0</v>
      </c>
      <c r="O4" s="22">
        <v>44</v>
      </c>
      <c r="P4" s="7">
        <v>3606.11</v>
      </c>
      <c r="Q4" s="22">
        <v>0</v>
      </c>
      <c r="R4" s="22">
        <v>0</v>
      </c>
      <c r="S4" s="7">
        <v>206.96</v>
      </c>
      <c r="T4" s="22">
        <v>0</v>
      </c>
      <c r="U4" s="22">
        <v>0</v>
      </c>
      <c r="V4" s="22">
        <v>0</v>
      </c>
      <c r="W4" s="22">
        <v>0</v>
      </c>
      <c r="X4" s="22">
        <f>+[1]รายชื่อพนักงานรายเดือน!K8</f>
        <v>230.76923076923077</v>
      </c>
      <c r="Y4" s="7">
        <v>44</v>
      </c>
      <c r="Z4" s="9">
        <f t="shared" ref="Z4:Z11" si="3">+H4-I4-J4-L4-M4-O4-P4-S4-T4-U4-V4-W4-X4-Y4-Q4-R4-K4-N4</f>
        <v>35473.904935897437</v>
      </c>
    </row>
    <row r="5" spans="1:28" ht="24" customHeight="1" x14ac:dyDescent="0.65">
      <c r="A5" s="5">
        <v>3</v>
      </c>
      <c r="B5" s="5">
        <v>10205</v>
      </c>
      <c r="C5" s="6" t="s">
        <v>29</v>
      </c>
      <c r="D5" s="24">
        <v>241437</v>
      </c>
      <c r="E5" s="24">
        <v>35138</v>
      </c>
      <c r="F5" s="7">
        <v>93705</v>
      </c>
      <c r="G5" s="7">
        <v>14522</v>
      </c>
      <c r="H5" s="21">
        <f t="shared" si="0"/>
        <v>79183</v>
      </c>
      <c r="I5" s="18">
        <v>0</v>
      </c>
      <c r="J5" s="7">
        <v>4251.96</v>
      </c>
      <c r="K5" s="7">
        <v>700</v>
      </c>
      <c r="L5" s="20">
        <f>+[1]รายชื่อพนักงานรายเดือน!C9</f>
        <v>3580.5558333333333</v>
      </c>
      <c r="M5" s="7">
        <v>0</v>
      </c>
      <c r="N5" s="22">
        <v>0</v>
      </c>
      <c r="O5" s="22">
        <v>40</v>
      </c>
      <c r="P5" s="7">
        <v>10396.709999999999</v>
      </c>
      <c r="Q5" s="22">
        <v>0</v>
      </c>
      <c r="R5" s="22">
        <v>0</v>
      </c>
      <c r="S5" s="7">
        <v>206.96</v>
      </c>
      <c r="T5" s="22">
        <v>0</v>
      </c>
      <c r="U5" s="22">
        <v>50</v>
      </c>
      <c r="V5" s="22">
        <v>140</v>
      </c>
      <c r="W5" s="22">
        <v>0</v>
      </c>
      <c r="X5" s="22">
        <f>+[1]รายชื่อพนักงานรายเดือน!K8</f>
        <v>230.76923076923077</v>
      </c>
      <c r="Y5" s="7">
        <v>144</v>
      </c>
      <c r="Z5" s="9">
        <f t="shared" si="3"/>
        <v>59442.044935897429</v>
      </c>
    </row>
    <row r="6" spans="1:28" ht="25.8" x14ac:dyDescent="0.65">
      <c r="A6" s="5">
        <v>4</v>
      </c>
      <c r="B6" s="5">
        <v>10207</v>
      </c>
      <c r="C6" s="6" t="s">
        <v>30</v>
      </c>
      <c r="D6" s="24">
        <v>154470</v>
      </c>
      <c r="E6" s="24">
        <v>15305</v>
      </c>
      <c r="F6" s="7">
        <v>111483</v>
      </c>
      <c r="G6" s="7">
        <v>1950</v>
      </c>
      <c r="H6" s="21">
        <f t="shared" si="0"/>
        <v>109533</v>
      </c>
      <c r="I6" s="18">
        <v>0</v>
      </c>
      <c r="J6" s="7">
        <v>1566.6</v>
      </c>
      <c r="K6" s="7">
        <v>500</v>
      </c>
      <c r="L6" s="20">
        <f>+[1]รายชื่อพนักงานรายเดือน!C9</f>
        <v>3580.5558333333333</v>
      </c>
      <c r="M6" s="7">
        <v>8100</v>
      </c>
      <c r="N6" s="22">
        <v>351</v>
      </c>
      <c r="O6" s="22">
        <v>0</v>
      </c>
      <c r="P6" s="7">
        <v>2490</v>
      </c>
      <c r="Q6" s="22">
        <v>0</v>
      </c>
      <c r="R6" s="22">
        <v>0</v>
      </c>
      <c r="S6" s="7">
        <v>206.96</v>
      </c>
      <c r="T6" s="22">
        <v>0</v>
      </c>
      <c r="U6" s="22">
        <v>0</v>
      </c>
      <c r="V6" s="22">
        <v>0</v>
      </c>
      <c r="W6" s="22">
        <v>0</v>
      </c>
      <c r="X6" s="22">
        <f>+[1]รายชื่อพนักงานรายเดือน!K8</f>
        <v>230.76923076923077</v>
      </c>
      <c r="Y6" s="7">
        <v>2490</v>
      </c>
      <c r="Z6" s="9">
        <f t="shared" si="3"/>
        <v>90017.114935897422</v>
      </c>
    </row>
    <row r="7" spans="1:28" ht="25.8" x14ac:dyDescent="0.65">
      <c r="A7" s="5">
        <v>5</v>
      </c>
      <c r="B7" s="5">
        <v>10209</v>
      </c>
      <c r="C7" s="6" t="s">
        <v>32</v>
      </c>
      <c r="D7" s="24">
        <v>0</v>
      </c>
      <c r="E7" s="24">
        <v>0</v>
      </c>
      <c r="F7" s="7">
        <f t="shared" si="1"/>
        <v>0</v>
      </c>
      <c r="G7" s="7">
        <f t="shared" si="2"/>
        <v>0</v>
      </c>
      <c r="H7" s="21">
        <f t="shared" si="0"/>
        <v>0</v>
      </c>
      <c r="I7" s="18">
        <v>0</v>
      </c>
      <c r="J7" s="7">
        <v>0</v>
      </c>
      <c r="K7" s="7">
        <v>0</v>
      </c>
      <c r="L7" s="20">
        <v>0</v>
      </c>
      <c r="M7" s="7">
        <v>0</v>
      </c>
      <c r="N7" s="22">
        <v>0</v>
      </c>
      <c r="O7" s="22">
        <v>0</v>
      </c>
      <c r="P7" s="7">
        <v>0</v>
      </c>
      <c r="Q7" s="22">
        <v>0</v>
      </c>
      <c r="R7" s="22">
        <v>0</v>
      </c>
      <c r="S7" s="7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7">
        <v>0</v>
      </c>
      <c r="Z7" s="9">
        <f t="shared" si="3"/>
        <v>0</v>
      </c>
    </row>
    <row r="8" spans="1:28" ht="25.8" x14ac:dyDescent="0.65">
      <c r="A8" s="5">
        <v>6</v>
      </c>
      <c r="B8" s="5">
        <v>10210</v>
      </c>
      <c r="C8" s="6" t="s">
        <v>33</v>
      </c>
      <c r="D8" s="24">
        <v>0</v>
      </c>
      <c r="E8" s="24">
        <v>0</v>
      </c>
      <c r="F8" s="7">
        <f t="shared" si="1"/>
        <v>0</v>
      </c>
      <c r="G8" s="7">
        <f t="shared" si="2"/>
        <v>0</v>
      </c>
      <c r="H8" s="21">
        <f t="shared" si="0"/>
        <v>0</v>
      </c>
      <c r="I8" s="18">
        <v>0</v>
      </c>
      <c r="J8" s="7">
        <v>0</v>
      </c>
      <c r="K8" s="7">
        <v>0</v>
      </c>
      <c r="L8" s="20">
        <v>0</v>
      </c>
      <c r="M8" s="7">
        <v>0</v>
      </c>
      <c r="N8" s="22">
        <v>0</v>
      </c>
      <c r="O8" s="22">
        <v>0</v>
      </c>
      <c r="P8" s="7">
        <v>0</v>
      </c>
      <c r="Q8" s="22">
        <v>0</v>
      </c>
      <c r="R8" s="22">
        <v>0</v>
      </c>
      <c r="S8" s="7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7">
        <v>0</v>
      </c>
      <c r="Z8" s="9">
        <f t="shared" si="3"/>
        <v>0</v>
      </c>
    </row>
    <row r="9" spans="1:28" ht="25.8" x14ac:dyDescent="0.65">
      <c r="A9" s="5">
        <v>7</v>
      </c>
      <c r="B9" s="5">
        <v>10219</v>
      </c>
      <c r="C9" s="6" t="s">
        <v>34</v>
      </c>
      <c r="D9" s="24">
        <v>0</v>
      </c>
      <c r="E9" s="24">
        <v>0</v>
      </c>
      <c r="F9" s="7">
        <f t="shared" si="1"/>
        <v>0</v>
      </c>
      <c r="G9" s="7">
        <f t="shared" si="2"/>
        <v>0</v>
      </c>
      <c r="H9" s="21">
        <f t="shared" si="0"/>
        <v>0</v>
      </c>
      <c r="I9" s="18">
        <v>0</v>
      </c>
      <c r="J9" s="7">
        <v>0</v>
      </c>
      <c r="K9" s="7">
        <v>0</v>
      </c>
      <c r="L9" s="20">
        <v>0</v>
      </c>
      <c r="M9" s="7">
        <v>0</v>
      </c>
      <c r="N9" s="22">
        <v>0</v>
      </c>
      <c r="O9" s="22">
        <v>0</v>
      </c>
      <c r="P9" s="7">
        <v>0</v>
      </c>
      <c r="Q9" s="22">
        <v>0</v>
      </c>
      <c r="R9" s="22">
        <v>0</v>
      </c>
      <c r="S9" s="7">
        <v>0</v>
      </c>
      <c r="T9" s="7">
        <v>0</v>
      </c>
      <c r="U9" s="22">
        <v>0</v>
      </c>
      <c r="V9" s="22">
        <v>0</v>
      </c>
      <c r="W9" s="22">
        <v>0</v>
      </c>
      <c r="X9" s="22">
        <v>0</v>
      </c>
      <c r="Y9" s="7">
        <v>0</v>
      </c>
      <c r="Z9" s="9">
        <f t="shared" si="3"/>
        <v>0</v>
      </c>
    </row>
    <row r="10" spans="1:28" ht="25.8" x14ac:dyDescent="0.65">
      <c r="A10" s="5">
        <v>8</v>
      </c>
      <c r="B10" s="5">
        <v>10235</v>
      </c>
      <c r="C10" s="6" t="s">
        <v>35</v>
      </c>
      <c r="D10" s="24">
        <v>0</v>
      </c>
      <c r="E10" s="24">
        <v>0</v>
      </c>
      <c r="F10" s="7">
        <f t="shared" si="1"/>
        <v>0</v>
      </c>
      <c r="G10" s="7">
        <f t="shared" si="2"/>
        <v>0</v>
      </c>
      <c r="H10" s="21">
        <f t="shared" si="0"/>
        <v>0</v>
      </c>
      <c r="I10" s="18">
        <v>0</v>
      </c>
      <c r="J10" s="7">
        <v>0</v>
      </c>
      <c r="K10" s="7">
        <v>0</v>
      </c>
      <c r="L10" s="20">
        <v>0</v>
      </c>
      <c r="M10" s="7">
        <v>0</v>
      </c>
      <c r="N10" s="22">
        <v>0</v>
      </c>
      <c r="O10" s="22">
        <v>0</v>
      </c>
      <c r="P10" s="7">
        <v>0</v>
      </c>
      <c r="Q10" s="22">
        <v>0</v>
      </c>
      <c r="R10" s="22">
        <v>0</v>
      </c>
      <c r="S10" s="7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7">
        <v>0</v>
      </c>
      <c r="Z10" s="9">
        <f t="shared" si="3"/>
        <v>0</v>
      </c>
    </row>
    <row r="11" spans="1:28" ht="25.8" x14ac:dyDescent="0.65">
      <c r="A11" s="5">
        <v>9</v>
      </c>
      <c r="B11" s="5">
        <v>10264</v>
      </c>
      <c r="C11" s="6" t="s">
        <v>36</v>
      </c>
      <c r="D11" s="24">
        <v>0</v>
      </c>
      <c r="E11" s="24">
        <v>0</v>
      </c>
      <c r="F11" s="7">
        <f t="shared" si="1"/>
        <v>0</v>
      </c>
      <c r="G11" s="7">
        <f t="shared" si="2"/>
        <v>0</v>
      </c>
      <c r="H11" s="21">
        <f t="shared" si="0"/>
        <v>0</v>
      </c>
      <c r="I11" s="18">
        <v>0</v>
      </c>
      <c r="J11" s="7">
        <v>0</v>
      </c>
      <c r="K11" s="7">
        <v>0</v>
      </c>
      <c r="L11" s="20">
        <v>0</v>
      </c>
      <c r="M11" s="7">
        <v>0</v>
      </c>
      <c r="N11" s="22">
        <v>0</v>
      </c>
      <c r="O11" s="22">
        <v>0</v>
      </c>
      <c r="P11" s="7">
        <v>0</v>
      </c>
      <c r="Q11" s="22">
        <v>0</v>
      </c>
      <c r="R11" s="22">
        <v>0</v>
      </c>
      <c r="S11" s="7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7">
        <v>0</v>
      </c>
      <c r="Z11" s="9">
        <f t="shared" si="3"/>
        <v>0</v>
      </c>
    </row>
    <row r="12" spans="1:28" ht="25.8" x14ac:dyDescent="0.65">
      <c r="A12" s="5">
        <v>10</v>
      </c>
      <c r="B12" s="5">
        <v>10377</v>
      </c>
      <c r="C12" s="6" t="s">
        <v>37</v>
      </c>
      <c r="D12" s="24">
        <v>0</v>
      </c>
      <c r="E12" s="24">
        <v>0</v>
      </c>
      <c r="F12" s="7">
        <f t="shared" si="1"/>
        <v>0</v>
      </c>
      <c r="G12" s="7">
        <f t="shared" si="2"/>
        <v>0</v>
      </c>
      <c r="H12" s="21">
        <f>+F12-G12</f>
        <v>0</v>
      </c>
      <c r="I12" s="18">
        <v>0</v>
      </c>
      <c r="J12" s="7">
        <v>0</v>
      </c>
      <c r="K12" s="7">
        <v>0</v>
      </c>
      <c r="L12" s="20">
        <v>0</v>
      </c>
      <c r="M12" s="7">
        <v>0</v>
      </c>
      <c r="N12" s="22">
        <v>0</v>
      </c>
      <c r="O12" s="22">
        <v>0</v>
      </c>
      <c r="P12" s="7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7">
        <v>0</v>
      </c>
      <c r="Z12" s="9">
        <f>+H12-I12-J12-L12-M12-O12-P12-S12-T12-U12-V12-W12-X12-Y12-Q12-R12-K12-N12</f>
        <v>0</v>
      </c>
    </row>
    <row r="13" spans="1:28" ht="27" thickBot="1" x14ac:dyDescent="0.75">
      <c r="C13" s="10" t="s">
        <v>39</v>
      </c>
      <c r="D13" s="11">
        <f t="shared" ref="D13:Z13" si="4">SUM(D3:D12)</f>
        <v>585232</v>
      </c>
      <c r="E13" s="12">
        <f t="shared" si="4"/>
        <v>93888</v>
      </c>
      <c r="F13" s="12">
        <f t="shared" si="4"/>
        <v>351068</v>
      </c>
      <c r="G13" s="12">
        <f t="shared" si="4"/>
        <v>111134.5</v>
      </c>
      <c r="H13" s="23">
        <f t="shared" si="4"/>
        <v>239933.5</v>
      </c>
      <c r="I13" s="11">
        <f>SUM(I3:I12)</f>
        <v>0</v>
      </c>
      <c r="J13" s="12">
        <f t="shared" si="4"/>
        <v>7529.76</v>
      </c>
      <c r="K13" s="12">
        <f t="shared" si="4"/>
        <v>1700</v>
      </c>
      <c r="L13" s="11">
        <f>SUM(L3:L12)</f>
        <v>10741.6675</v>
      </c>
      <c r="M13" s="12">
        <f t="shared" si="4"/>
        <v>13920</v>
      </c>
      <c r="N13" s="12">
        <f t="shared" si="4"/>
        <v>351</v>
      </c>
      <c r="O13" s="12">
        <f t="shared" si="4"/>
        <v>84</v>
      </c>
      <c r="P13" s="12">
        <f t="shared" si="4"/>
        <v>16492.82</v>
      </c>
      <c r="Q13" s="12">
        <f t="shared" si="4"/>
        <v>0</v>
      </c>
      <c r="R13" s="12">
        <f t="shared" si="4"/>
        <v>0</v>
      </c>
      <c r="S13" s="12">
        <f t="shared" si="4"/>
        <v>620.88</v>
      </c>
      <c r="T13" s="12">
        <f t="shared" si="4"/>
        <v>0</v>
      </c>
      <c r="U13" s="12">
        <f t="shared" si="4"/>
        <v>50</v>
      </c>
      <c r="V13" s="12">
        <f t="shared" si="4"/>
        <v>140</v>
      </c>
      <c r="W13" s="12">
        <f t="shared" si="4"/>
        <v>0</v>
      </c>
      <c r="X13" s="12">
        <f t="shared" si="4"/>
        <v>692.30769230769238</v>
      </c>
      <c r="Y13" s="12">
        <f t="shared" si="4"/>
        <v>2678</v>
      </c>
      <c r="Z13" s="12">
        <f t="shared" si="4"/>
        <v>184933.06480769231</v>
      </c>
      <c r="AA13" s="13" t="s">
        <v>40</v>
      </c>
      <c r="AB13" s="14"/>
    </row>
    <row r="14" spans="1:28" ht="35.4" thickTop="1" x14ac:dyDescent="0.9">
      <c r="C14" s="10" t="s">
        <v>41</v>
      </c>
      <c r="D14" s="15">
        <f>+Z13</f>
        <v>184933.06480769231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8" ht="34.799999999999997" x14ac:dyDescent="0.9">
      <c r="C15" s="10" t="s">
        <v>42</v>
      </c>
      <c r="D15" s="17">
        <f>+D14/D13</f>
        <v>0.315999577616556</v>
      </c>
      <c r="J15" s="16"/>
    </row>
    <row r="16" spans="1:28" ht="34.799999999999997" x14ac:dyDescent="0.9">
      <c r="J16" s="16"/>
    </row>
    <row r="17" spans="10:10" ht="34.799999999999997" x14ac:dyDescent="0.9">
      <c r="J17" s="16"/>
    </row>
    <row r="18" spans="10:10" ht="34.799999999999997" x14ac:dyDescent="0.9">
      <c r="J18" s="16"/>
    </row>
  </sheetData>
  <autoFilter ref="A2:AA2" xr:uid="{2E8AA42F-014B-4D57-90FC-60B43B8DE091}">
    <sortState xmlns:xlrd2="http://schemas.microsoft.com/office/spreadsheetml/2017/richdata2" ref="A3:AA18">
      <sortCondition ref="B2"/>
    </sortState>
  </autoFilter>
  <conditionalFormatting sqref="Z1:Z13 Z15:Z1048576">
    <cfRule type="cellIs" dxfId="0" priority="1" operator="lessThan">
      <formula>0</formula>
    </cfRule>
  </conditionalFormatting>
  <pageMargins left="0.11811023622047245" right="0.11811023622047245" top="0.74803149606299213" bottom="0.74803149606299213" header="0.31496062992125984" footer="0.31496062992125984"/>
  <pageSetup paperSize="9" scale="55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12</vt:i4>
      </vt:variant>
    </vt:vector>
  </HeadingPairs>
  <TitlesOfParts>
    <vt:vector size="12" baseType="lpstr">
      <vt:lpstr>ม.ค. 68</vt:lpstr>
      <vt:lpstr>ก.พ. 68</vt:lpstr>
      <vt:lpstr>มี.ค. 68</vt:lpstr>
      <vt:lpstr>เม.ย. 68</vt:lpstr>
      <vt:lpstr>พ.ค. 68</vt:lpstr>
      <vt:lpstr>มิ.ย.68</vt:lpstr>
      <vt:lpstr>ก.ค. 68</vt:lpstr>
      <vt:lpstr>ส.ค. 68</vt:lpstr>
      <vt:lpstr>ก.ย. 68</vt:lpstr>
      <vt:lpstr>ต.ค. 68</vt:lpstr>
      <vt:lpstr>พ.ย.68</vt:lpstr>
      <vt:lpstr>ธ.ค.68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ธัญรัตน์ พุ่มนิล</dc:creator>
  <cp:lastModifiedBy>ธัญรัตน์ พุ่มนิล</cp:lastModifiedBy>
  <dcterms:created xsi:type="dcterms:W3CDTF">2026-07-12T09:01:30Z</dcterms:created>
  <dcterms:modified xsi:type="dcterms:W3CDTF">2026-07-12T09:02:13Z</dcterms:modified>
</cp:coreProperties>
</file>