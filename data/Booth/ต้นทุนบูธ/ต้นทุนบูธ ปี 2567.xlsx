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\ต้นทุนบูธ\"/>
    </mc:Choice>
  </mc:AlternateContent>
  <xr:revisionPtr revIDLastSave="0" documentId="13_ncr:1_{5204BA8B-583C-4D6D-9301-D278F2646816}" xr6:coauthVersionLast="47" xr6:coauthVersionMax="47" xr10:uidLastSave="{00000000-0000-0000-0000-000000000000}"/>
  <bookViews>
    <workbookView xWindow="28680" yWindow="-120" windowWidth="29040" windowHeight="15720" xr2:uid="{8EBEE2F0-E1B7-4075-A6DB-6616C0E4F41E}"/>
  </bookViews>
  <sheets>
    <sheet name="ส.ค. 67" sheetId="1" r:id="rId1"/>
    <sheet name="ก.ย. 67" sheetId="2" r:id="rId2"/>
    <sheet name="ต.ค. 67" sheetId="3" r:id="rId3"/>
    <sheet name="พ.ย. 67" sheetId="4" r:id="rId4"/>
    <sheet name="ธ.ค. 67" sheetId="5" r:id="rId5"/>
  </sheets>
  <externalReferences>
    <externalReference r:id="rId6"/>
  </externalReferences>
  <definedNames>
    <definedName name="_xlnm._FilterDatabase" localSheetId="1" hidden="1">'ก.ย. 67'!$A$2:$Z$2</definedName>
    <definedName name="_xlnm._FilterDatabase" localSheetId="2" hidden="1">'ต.ค. 67'!$A$2:$AA$2</definedName>
    <definedName name="_xlnm._FilterDatabase" localSheetId="4" hidden="1">'ธ.ค. 67'!$A$2:$AA$2</definedName>
    <definedName name="_xlnm._FilterDatabase" localSheetId="3" hidden="1">'พ.ย. 67'!$A$2:$AA$2</definedName>
    <definedName name="_xlnm._FilterDatabase" localSheetId="0" hidden="1">'ส.ค. 67'!$A$2:$Z$2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5" l="1"/>
  <c r="X15" i="5"/>
  <c r="W15" i="5"/>
  <c r="V15" i="5"/>
  <c r="U15" i="5"/>
  <c r="T15" i="5"/>
  <c r="S15" i="5"/>
  <c r="R15" i="5"/>
  <c r="Q15" i="5"/>
  <c r="P15" i="5"/>
  <c r="O15" i="5"/>
  <c r="N15" i="5"/>
  <c r="L15" i="5"/>
  <c r="K15" i="5"/>
  <c r="J15" i="5"/>
  <c r="I15" i="5"/>
  <c r="E15" i="5"/>
  <c r="D15" i="5"/>
  <c r="G14" i="5"/>
  <c r="F14" i="5"/>
  <c r="H14" i="5" s="1"/>
  <c r="Z14" i="5" s="1"/>
  <c r="G13" i="5"/>
  <c r="F13" i="5"/>
  <c r="H13" i="5" s="1"/>
  <c r="Z13" i="5" s="1"/>
  <c r="G12" i="5"/>
  <c r="F12" i="5"/>
  <c r="H12" i="5" s="1"/>
  <c r="Z12" i="5" s="1"/>
  <c r="I11" i="5"/>
  <c r="G11" i="5"/>
  <c r="F11" i="5"/>
  <c r="H11" i="5" s="1"/>
  <c r="Z11" i="5" s="1"/>
  <c r="G10" i="5"/>
  <c r="F10" i="5"/>
  <c r="H10" i="5" s="1"/>
  <c r="Z10" i="5" s="1"/>
  <c r="M9" i="5"/>
  <c r="M15" i="5" s="1"/>
  <c r="I9" i="5"/>
  <c r="H9" i="5"/>
  <c r="Z9" i="5" s="1"/>
  <c r="G9" i="5"/>
  <c r="F9" i="5"/>
  <c r="I8" i="5"/>
  <c r="G8" i="5"/>
  <c r="F8" i="5"/>
  <c r="H8" i="5" s="1"/>
  <c r="Z8" i="5" s="1"/>
  <c r="G7" i="5"/>
  <c r="F7" i="5"/>
  <c r="H7" i="5" s="1"/>
  <c r="Z7" i="5" s="1"/>
  <c r="I6" i="5"/>
  <c r="G6" i="5"/>
  <c r="F6" i="5"/>
  <c r="H6" i="5" s="1"/>
  <c r="Z6" i="5" s="1"/>
  <c r="I5" i="5"/>
  <c r="H5" i="5"/>
  <c r="Z5" i="5" s="1"/>
  <c r="G5" i="5"/>
  <c r="F5" i="5"/>
  <c r="I4" i="5"/>
  <c r="G4" i="5"/>
  <c r="F4" i="5"/>
  <c r="H4" i="5" s="1"/>
  <c r="Z4" i="5" s="1"/>
  <c r="M3" i="5"/>
  <c r="I3" i="5"/>
  <c r="G3" i="5"/>
  <c r="G15" i="5" s="1"/>
  <c r="F3" i="5"/>
  <c r="F15" i="5" s="1"/>
  <c r="X15" i="4"/>
  <c r="W15" i="4"/>
  <c r="U15" i="4"/>
  <c r="T15" i="4"/>
  <c r="S15" i="4"/>
  <c r="R15" i="4"/>
  <c r="Q15" i="4"/>
  <c r="O15" i="4"/>
  <c r="N15" i="4"/>
  <c r="M15" i="4"/>
  <c r="L15" i="4"/>
  <c r="K15" i="4"/>
  <c r="J15" i="4"/>
  <c r="I15" i="4"/>
  <c r="E15" i="4"/>
  <c r="D15" i="4"/>
  <c r="G14" i="4"/>
  <c r="F14" i="4"/>
  <c r="H14" i="4" s="1"/>
  <c r="Z14" i="4" s="1"/>
  <c r="G13" i="4"/>
  <c r="F13" i="4"/>
  <c r="H13" i="4" s="1"/>
  <c r="Z13" i="4" s="1"/>
  <c r="G12" i="4"/>
  <c r="F12" i="4"/>
  <c r="H12" i="4" s="1"/>
  <c r="Z12" i="4" s="1"/>
  <c r="G11" i="4"/>
  <c r="F11" i="4"/>
  <c r="H11" i="4" s="1"/>
  <c r="Z11" i="4" s="1"/>
  <c r="G10" i="4"/>
  <c r="F10" i="4"/>
  <c r="H10" i="4" s="1"/>
  <c r="Z10" i="4" s="1"/>
  <c r="P9" i="4"/>
  <c r="P15" i="4" s="1"/>
  <c r="M9" i="4"/>
  <c r="G9" i="4"/>
  <c r="H9" i="4" s="1"/>
  <c r="Z9" i="4" s="1"/>
  <c r="F9" i="4"/>
  <c r="H8" i="4"/>
  <c r="Z8" i="4" s="1"/>
  <c r="G8" i="4"/>
  <c r="F8" i="4"/>
  <c r="G7" i="4"/>
  <c r="F7" i="4"/>
  <c r="H7" i="4" s="1"/>
  <c r="Z7" i="4" s="1"/>
  <c r="G6" i="4"/>
  <c r="F6" i="4"/>
  <c r="H6" i="4" s="1"/>
  <c r="Z6" i="4" s="1"/>
  <c r="Y5" i="4"/>
  <c r="Y15" i="4" s="1"/>
  <c r="V5" i="4"/>
  <c r="V15" i="4" s="1"/>
  <c r="U5" i="4"/>
  <c r="G5" i="4"/>
  <c r="F5" i="4"/>
  <c r="H5" i="4" s="1"/>
  <c r="Z5" i="4" s="1"/>
  <c r="G4" i="4"/>
  <c r="F4" i="4"/>
  <c r="H4" i="4" s="1"/>
  <c r="Z4" i="4" s="1"/>
  <c r="M3" i="4"/>
  <c r="G3" i="4"/>
  <c r="G15" i="4" s="1"/>
  <c r="F3" i="4"/>
  <c r="F15" i="4" s="1"/>
  <c r="Y16" i="3"/>
  <c r="X16" i="3"/>
  <c r="W16" i="3"/>
  <c r="U16" i="3"/>
  <c r="T16" i="3"/>
  <c r="S16" i="3"/>
  <c r="R16" i="3"/>
  <c r="Q16" i="3"/>
  <c r="O16" i="3"/>
  <c r="N16" i="3"/>
  <c r="M16" i="3"/>
  <c r="L16" i="3"/>
  <c r="K16" i="3"/>
  <c r="J16" i="3"/>
  <c r="I16" i="3"/>
  <c r="E16" i="3"/>
  <c r="D16" i="3"/>
  <c r="G15" i="3"/>
  <c r="F15" i="3"/>
  <c r="H15" i="3" s="1"/>
  <c r="Z15" i="3" s="1"/>
  <c r="G14" i="3"/>
  <c r="F14" i="3"/>
  <c r="H14" i="3" s="1"/>
  <c r="Z14" i="3" s="1"/>
  <c r="I13" i="3"/>
  <c r="G13" i="3"/>
  <c r="H13" i="3" s="1"/>
  <c r="Z13" i="3" s="1"/>
  <c r="F13" i="3"/>
  <c r="I12" i="3"/>
  <c r="G12" i="3"/>
  <c r="F12" i="3"/>
  <c r="H12" i="3" s="1"/>
  <c r="Z12" i="3" s="1"/>
  <c r="P11" i="3"/>
  <c r="P16" i="3" s="1"/>
  <c r="I11" i="3"/>
  <c r="G11" i="3"/>
  <c r="F11" i="3"/>
  <c r="H11" i="3" s="1"/>
  <c r="Z11" i="3" s="1"/>
  <c r="I10" i="3"/>
  <c r="G10" i="3"/>
  <c r="H10" i="3" s="1"/>
  <c r="Z10" i="3" s="1"/>
  <c r="F10" i="3"/>
  <c r="M9" i="3"/>
  <c r="I9" i="3"/>
  <c r="G9" i="3"/>
  <c r="F9" i="3"/>
  <c r="H9" i="3" s="1"/>
  <c r="Z9" i="3" s="1"/>
  <c r="I8" i="3"/>
  <c r="G8" i="3"/>
  <c r="F8" i="3"/>
  <c r="H8" i="3" s="1"/>
  <c r="Z8" i="3" s="1"/>
  <c r="I7" i="3"/>
  <c r="G7" i="3"/>
  <c r="H7" i="3" s="1"/>
  <c r="Z7" i="3" s="1"/>
  <c r="F7" i="3"/>
  <c r="I6" i="3"/>
  <c r="G6" i="3"/>
  <c r="F6" i="3"/>
  <c r="H6" i="3" s="1"/>
  <c r="Z6" i="3" s="1"/>
  <c r="V5" i="3"/>
  <c r="V16" i="3" s="1"/>
  <c r="I5" i="3"/>
  <c r="G5" i="3"/>
  <c r="F5" i="3"/>
  <c r="H5" i="3" s="1"/>
  <c r="Z5" i="3" s="1"/>
  <c r="I4" i="3"/>
  <c r="G4" i="3"/>
  <c r="H4" i="3" s="1"/>
  <c r="Z4" i="3" s="1"/>
  <c r="F4" i="3"/>
  <c r="M3" i="3"/>
  <c r="I3" i="3"/>
  <c r="G3" i="3"/>
  <c r="G16" i="3" s="1"/>
  <c r="F3" i="3"/>
  <c r="F16" i="3" s="1"/>
  <c r="X14" i="2"/>
  <c r="W14" i="2"/>
  <c r="V14" i="2"/>
  <c r="U14" i="2"/>
  <c r="T14" i="2"/>
  <c r="S14" i="2"/>
  <c r="R14" i="2"/>
  <c r="Q14" i="2"/>
  <c r="P14" i="2"/>
  <c r="N14" i="2"/>
  <c r="M14" i="2"/>
  <c r="K14" i="2"/>
  <c r="J14" i="2"/>
  <c r="E14" i="2"/>
  <c r="D14" i="2"/>
  <c r="I13" i="2"/>
  <c r="G13" i="2"/>
  <c r="H13" i="2" s="1"/>
  <c r="Y13" i="2" s="1"/>
  <c r="F13" i="2"/>
  <c r="O12" i="2"/>
  <c r="O14" i="2" s="1"/>
  <c r="I12" i="2"/>
  <c r="G12" i="2"/>
  <c r="F12" i="2"/>
  <c r="H12" i="2" s="1"/>
  <c r="I11" i="2"/>
  <c r="G11" i="2"/>
  <c r="F11" i="2"/>
  <c r="H11" i="2" s="1"/>
  <c r="Y11" i="2" s="1"/>
  <c r="I10" i="2"/>
  <c r="G10" i="2"/>
  <c r="H10" i="2" s="1"/>
  <c r="Y10" i="2" s="1"/>
  <c r="F10" i="2"/>
  <c r="L9" i="2"/>
  <c r="I9" i="2"/>
  <c r="G9" i="2"/>
  <c r="F9" i="2"/>
  <c r="H9" i="2" s="1"/>
  <c r="Y9" i="2" s="1"/>
  <c r="I8" i="2"/>
  <c r="G8" i="2"/>
  <c r="F8" i="2"/>
  <c r="H8" i="2" s="1"/>
  <c r="Y8" i="2" s="1"/>
  <c r="I7" i="2"/>
  <c r="G7" i="2"/>
  <c r="H7" i="2" s="1"/>
  <c r="Y7" i="2" s="1"/>
  <c r="F7" i="2"/>
  <c r="I6" i="2"/>
  <c r="G6" i="2"/>
  <c r="F6" i="2"/>
  <c r="H6" i="2" s="1"/>
  <c r="Y6" i="2" s="1"/>
  <c r="T5" i="2"/>
  <c r="I5" i="2"/>
  <c r="G5" i="2"/>
  <c r="F5" i="2"/>
  <c r="F14" i="2" s="1"/>
  <c r="I4" i="2"/>
  <c r="G4" i="2"/>
  <c r="H4" i="2" s="1"/>
  <c r="Y4" i="2" s="1"/>
  <c r="F4" i="2"/>
  <c r="L3" i="2"/>
  <c r="L14" i="2" s="1"/>
  <c r="I3" i="2"/>
  <c r="G3" i="2"/>
  <c r="F3" i="2"/>
  <c r="H3" i="2" s="1"/>
  <c r="X14" i="1"/>
  <c r="W14" i="1"/>
  <c r="V14" i="1"/>
  <c r="U14" i="1"/>
  <c r="T14" i="1"/>
  <c r="S14" i="1"/>
  <c r="R14" i="1"/>
  <c r="Q14" i="1"/>
  <c r="P14" i="1"/>
  <c r="N14" i="1"/>
  <c r="M14" i="1"/>
  <c r="L14" i="1"/>
  <c r="K14" i="1"/>
  <c r="J14" i="1"/>
  <c r="E14" i="1"/>
  <c r="D14" i="1"/>
  <c r="I13" i="1"/>
  <c r="H13" i="1"/>
  <c r="Y13" i="1" s="1"/>
  <c r="G13" i="1"/>
  <c r="F13" i="1"/>
  <c r="O12" i="1"/>
  <c r="O14" i="1" s="1"/>
  <c r="I12" i="1"/>
  <c r="G12" i="1"/>
  <c r="F12" i="1"/>
  <c r="H12" i="1" s="1"/>
  <c r="I11" i="1"/>
  <c r="G11" i="1"/>
  <c r="F11" i="1"/>
  <c r="H11" i="1" s="1"/>
  <c r="Y11" i="1" s="1"/>
  <c r="I10" i="1"/>
  <c r="H10" i="1"/>
  <c r="Y10" i="1" s="1"/>
  <c r="G10" i="1"/>
  <c r="F10" i="1"/>
  <c r="I9" i="1"/>
  <c r="G9" i="1"/>
  <c r="F9" i="1"/>
  <c r="H9" i="1" s="1"/>
  <c r="Y9" i="1" s="1"/>
  <c r="I8" i="1"/>
  <c r="G8" i="1"/>
  <c r="F8" i="1"/>
  <c r="H8" i="1" s="1"/>
  <c r="Y8" i="1" s="1"/>
  <c r="I7" i="1"/>
  <c r="G7" i="1"/>
  <c r="H7" i="1" s="1"/>
  <c r="Y7" i="1" s="1"/>
  <c r="F7" i="1"/>
  <c r="I6" i="1"/>
  <c r="H6" i="1"/>
  <c r="Y6" i="1" s="1"/>
  <c r="G6" i="1"/>
  <c r="F6" i="1"/>
  <c r="X5" i="1"/>
  <c r="U5" i="1"/>
  <c r="T5" i="1"/>
  <c r="I5" i="1"/>
  <c r="G5" i="1"/>
  <c r="G14" i="1" s="1"/>
  <c r="F5" i="1"/>
  <c r="F14" i="1" s="1"/>
  <c r="I4" i="1"/>
  <c r="I14" i="1" s="1"/>
  <c r="G4" i="1"/>
  <c r="F4" i="1"/>
  <c r="H4" i="1" s="1"/>
  <c r="Y4" i="1" s="1"/>
  <c r="I3" i="1"/>
  <c r="G3" i="1"/>
  <c r="F3" i="1"/>
  <c r="H3" i="1" s="1"/>
  <c r="Y12" i="1" l="1"/>
  <c r="Y12" i="2"/>
  <c r="Y3" i="2"/>
  <c r="Y3" i="1"/>
  <c r="H3" i="4"/>
  <c r="H3" i="5"/>
  <c r="G14" i="2"/>
  <c r="H3" i="3"/>
  <c r="H5" i="1"/>
  <c r="Y5" i="1" s="1"/>
  <c r="H5" i="2"/>
  <c r="Y5" i="2" s="1"/>
  <c r="H15" i="4" l="1"/>
  <c r="Z3" i="4"/>
  <c r="Z15" i="4" s="1"/>
  <c r="H14" i="1"/>
  <c r="H16" i="3"/>
  <c r="Z3" i="3"/>
  <c r="Z16" i="3" s="1"/>
  <c r="H15" i="5"/>
  <c r="Z3" i="5"/>
  <c r="Z15" i="5" s="1"/>
  <c r="Y14" i="1"/>
  <c r="Y14" i="2"/>
  <c r="H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13" authorId="0" shapeId="0" xr:uid="{637AF87F-DF57-4170-B72C-F8825A87F810}">
      <text>
        <r>
          <rPr>
            <b/>
            <sz val="9"/>
            <color indexed="81"/>
            <rFont val="Tahoma"/>
            <family val="2"/>
          </rPr>
          <t>ยังไม่ได้ส่งเรื่องทำจ่าย</t>
        </r>
      </text>
    </comment>
  </commentList>
</comments>
</file>

<file path=xl/sharedStrings.xml><?xml version="1.0" encoding="utf-8"?>
<sst xmlns="http://schemas.openxmlformats.org/spreadsheetml/2006/main" count="202" uniqueCount="49">
  <si>
    <t>ข้อมูลเทียบกำไร - ขาดทุน ของบู๊ซ เดือน สิงหาคม 2567</t>
  </si>
  <si>
    <t>ลำดับ</t>
  </si>
  <si>
    <t>รหัส</t>
  </si>
  <si>
    <t>บูธ</t>
  </si>
  <si>
    <t>ยอดขาย</t>
  </si>
  <si>
    <t>ส่วนลด</t>
  </si>
  <si>
    <t>คงเหลือยอดขาย</t>
  </si>
  <si>
    <t>ค่าต้นทุนขนม</t>
  </si>
  <si>
    <t>คงเหลือกำไรหลังจากหักต้นทุน</t>
  </si>
  <si>
    <t>ค่าแรงพนักงานบู๊ช</t>
  </si>
  <si>
    <t>ค่าคอมพนักงานบู๊ซ</t>
  </si>
  <si>
    <t>ค่าพนักงานรายเดือนที่เกี่ยวข้อง</t>
  </si>
  <si>
    <t>ค่าเช่า</t>
  </si>
  <si>
    <t>ค่าภาษีโรงเรือน</t>
  </si>
  <si>
    <t>ค่าน้ำ</t>
  </si>
  <si>
    <t>ค่าไฟ</t>
  </si>
  <si>
    <t>ค่าธรรมเนียมโอนเงิน</t>
  </si>
  <si>
    <t>ค่าเน็ต</t>
  </si>
  <si>
    <t>ค่าโทรศัพท์</t>
  </si>
  <si>
    <t>ค่าขยะ</t>
  </si>
  <si>
    <t>ค่าน้ำแข็ง</t>
  </si>
  <si>
    <t>ค่าขนมนอก</t>
  </si>
  <si>
    <t>ค่าป้าย</t>
  </si>
  <si>
    <t>ค่าขนส่ง</t>
  </si>
  <si>
    <t>ค่าใช้จ่ายอื่น ๆ</t>
  </si>
  <si>
    <t>คงเหลือกำไรหลังจากหักต้นทุน และ ค่าใช้จ่าย</t>
  </si>
  <si>
    <t>ลำพยา 3 (ใหม่)</t>
  </si>
  <si>
    <t>ร้านใหม่ (ปตท.คุณาวรรณ)</t>
  </si>
  <si>
    <t>หน้ามอ (ม.เกษตร)</t>
  </si>
  <si>
    <t>ลำพยา 3 (เก่า)</t>
  </si>
  <si>
    <t>ไทวัสดุ</t>
  </si>
  <si>
    <t xml:space="preserve">แก้วมณีกาญ </t>
  </si>
  <si>
    <t>ลำพยา 2 (ใหม่)</t>
  </si>
  <si>
    <t>ธรรมศาลา</t>
  </si>
  <si>
    <t>ตลาดดิโอโซน</t>
  </si>
  <si>
    <t>ปตท.ราชบุรี</t>
  </si>
  <si>
    <t>วัดใหม่สุปดิษฐาราม</t>
  </si>
  <si>
    <t>รวม</t>
  </si>
  <si>
    <t>บาท</t>
  </si>
  <si>
    <t>ข้อมูลเทียบกำไร - ขาดทุน ของบู๊ซ เดือน กันยายน 2567</t>
  </si>
  <si>
    <t>ข้อมูลเทียบกำไร - ขาดทุน ของบู๊ซ เดือน ตุลาคม 2567</t>
  </si>
  <si>
    <t>ค่าคอม (พิเศษ)พนักงานบู๊ซ</t>
  </si>
  <si>
    <t>ลาดหลุมแก้ว</t>
  </si>
  <si>
    <t>ชัยพฤกษ์</t>
  </si>
  <si>
    <t>ข้อมูลเทียบกำไร - ขาดทุน ของบู๊ซ เดือน พฤศจิกายน 2567</t>
  </si>
  <si>
    <t>ค่าส่วนกลาง</t>
  </si>
  <si>
    <t>ข้อมูลเทียบกำไร - ขาดทุน ของบู๊ซ เดือน ธันวาคม 2567</t>
  </si>
  <si>
    <t>ปิ่นเกล้า -ศาลายา</t>
  </si>
  <si>
    <t>ชัยพฤกษ์ - นนทบุรี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</si>
</sst>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9"/>
      <color indexed="81"/>
      <name val="Tahoma"/>
      <family val="2"/>
    </font>
    <font>
      <b/>
      <sz val="24"/>
      <color rgb="FFFF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0" borderId="0" xfId="1" applyFont="1" applyFill="1" applyBorder="1"/>
    <xf numFmtId="43" fontId="5" fillId="0" borderId="0" xfId="1" applyFont="1" applyFill="1" applyBorder="1"/>
    <xf numFmtId="43" fontId="6" fillId="3" borderId="0" xfId="1" applyFont="1" applyFill="1" applyBorder="1"/>
    <xf numFmtId="0" fontId="4" fillId="0" borderId="0" xfId="0" applyFont="1" applyAlignment="1">
      <alignment horizontal="right"/>
    </xf>
    <xf numFmtId="43" fontId="4" fillId="0" borderId="1" xfId="0" applyNumberFormat="1" applyFont="1" applyBorder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52;&#3615;&#3621;&#3660;&#3591;&#3634;&#3609;&#3610;&#3641;&#3658;&#3595;\&#3610;&#3633;&#3609;&#3607;&#3638;&#3585;&#3617;&#3636;&#3648;&#3605;&#3629;&#3619;&#3660;&#3652;&#3615;\&#3610;&#3633;&#3609;&#3607;&#3638;&#3585;&#3617;&#3636;&#3648;&#3605;&#3629;&#3619;&#3660;&#3652;&#3615;&#3610;&#3641;&#3658;&#3595;&#3611;&#3637;%2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่าไฟ ส.ค."/>
      <sheetName val="ค่าไฟ ก.ย."/>
      <sheetName val="ค่าไฟ ต.ค."/>
    </sheetNames>
    <sheetDataSet>
      <sheetData sheetId="0">
        <row r="12">
          <cell r="F12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AF7-C368-4633-BDAF-652292A55BFB}">
  <sheetPr>
    <tabColor rgb="FFCC99FF"/>
    <pageSetUpPr fitToPage="1"/>
  </sheetPr>
  <dimension ref="A1:Z15"/>
  <sheetViews>
    <sheetView tabSelected="1" workbookViewId="0">
      <pane xSplit="3" ySplit="2" topLeftCell="D3" activePane="bottomRight" state="frozen"/>
      <selection activeCell="Q11" sqref="Q11"/>
      <selection pane="topRight" activeCell="Q11" sqref="Q11"/>
      <selection pane="bottomLeft" activeCell="Q11" sqref="Q11"/>
      <selection pane="bottomRight" activeCell="F19" sqref="F19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2.69921875" style="2" customWidth="1"/>
    <col min="5" max="5" width="11.19921875" style="2" customWidth="1"/>
    <col min="6" max="6" width="14.09765625" style="2" customWidth="1"/>
    <col min="7" max="7" width="12.19921875" style="2" customWidth="1"/>
    <col min="8" max="8" width="13.19921875" style="2" customWidth="1"/>
    <col min="9" max="24" width="13.3984375" style="2" customWidth="1"/>
    <col min="25" max="25" width="16.69921875" style="2" customWidth="1"/>
    <col min="26" max="16384" width="9" style="2"/>
  </cols>
  <sheetData>
    <row r="1" spans="1:26" ht="28.8" x14ac:dyDescent="0.75">
      <c r="A1" s="1" t="s">
        <v>0</v>
      </c>
    </row>
    <row r="2" spans="1:26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6" ht="23.4" x14ac:dyDescent="0.6">
      <c r="A3" s="5">
        <v>1</v>
      </c>
      <c r="B3" s="5">
        <v>10203</v>
      </c>
      <c r="C3" s="6" t="s">
        <v>26</v>
      </c>
      <c r="D3" s="7">
        <v>112080</v>
      </c>
      <c r="E3" s="7">
        <v>3625</v>
      </c>
      <c r="F3" s="7">
        <f t="shared" ref="F3:F13" si="0">+D3-E3</f>
        <v>108455</v>
      </c>
      <c r="G3" s="7">
        <f>+D3*0.5</f>
        <v>56040</v>
      </c>
      <c r="H3" s="7">
        <f t="shared" ref="H3:H13" si="1">+F3-G3</f>
        <v>52415</v>
      </c>
      <c r="I3" s="7">
        <f>363*31</f>
        <v>11253</v>
      </c>
      <c r="J3" s="7">
        <v>338.2</v>
      </c>
      <c r="K3" s="7">
        <v>1909.090909090909</v>
      </c>
      <c r="L3" s="7">
        <v>14884</v>
      </c>
      <c r="M3" s="7">
        <v>1041.8800000000001</v>
      </c>
      <c r="N3" s="7">
        <v>0</v>
      </c>
      <c r="O3" s="7">
        <v>5508.36</v>
      </c>
      <c r="P3" s="7">
        <v>435</v>
      </c>
      <c r="Q3" s="7">
        <v>642</v>
      </c>
      <c r="R3" s="7">
        <v>206.96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8">
        <f>+H3-I3-J3-K3-L3-N3-O3-R3-S3-T3-U3-V3-W3-X3-P3-Q3</f>
        <v>17238.389090909091</v>
      </c>
    </row>
    <row r="4" spans="1:26" ht="23.4" x14ac:dyDescent="0.6">
      <c r="A4" s="5">
        <v>2</v>
      </c>
      <c r="B4" s="5">
        <v>10204</v>
      </c>
      <c r="C4" s="6" t="s">
        <v>27</v>
      </c>
      <c r="D4" s="7">
        <v>136325</v>
      </c>
      <c r="E4" s="7">
        <v>33520</v>
      </c>
      <c r="F4" s="7">
        <f t="shared" si="0"/>
        <v>102805</v>
      </c>
      <c r="G4" s="7">
        <f t="shared" ref="G4:G13" si="2">+D4*0.5</f>
        <v>68162.5</v>
      </c>
      <c r="H4" s="7">
        <f t="shared" si="1"/>
        <v>34642.5</v>
      </c>
      <c r="I4" s="7">
        <f t="shared" ref="I4:I12" si="3">363*31</f>
        <v>11253</v>
      </c>
      <c r="J4" s="7">
        <v>112.2</v>
      </c>
      <c r="K4" s="7">
        <v>1909.090909090909</v>
      </c>
      <c r="L4" s="7">
        <v>6155</v>
      </c>
      <c r="M4" s="7">
        <v>0</v>
      </c>
      <c r="N4" s="7">
        <v>0</v>
      </c>
      <c r="O4" s="7">
        <v>5652.36</v>
      </c>
      <c r="P4" s="7">
        <v>0</v>
      </c>
      <c r="Q4" s="7">
        <v>0</v>
      </c>
      <c r="R4" s="7">
        <v>206.96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8">
        <f t="shared" ref="Y4:Y13" si="4">+H4-I4-J4-K4-L4-N4-O4-R4-S4-T4-U4-V4-W4-X4-P4-Q4</f>
        <v>9353.8890909090915</v>
      </c>
    </row>
    <row r="5" spans="1:26" ht="23.4" x14ac:dyDescent="0.6">
      <c r="A5" s="5">
        <v>3</v>
      </c>
      <c r="B5" s="5">
        <v>10205</v>
      </c>
      <c r="C5" s="6" t="s">
        <v>28</v>
      </c>
      <c r="D5" s="7">
        <v>109410</v>
      </c>
      <c r="E5" s="7">
        <v>22183</v>
      </c>
      <c r="F5" s="7">
        <f t="shared" si="0"/>
        <v>87227</v>
      </c>
      <c r="G5" s="7">
        <f t="shared" si="2"/>
        <v>54705</v>
      </c>
      <c r="H5" s="7">
        <f t="shared" si="1"/>
        <v>32522</v>
      </c>
      <c r="I5" s="7">
        <f t="shared" si="3"/>
        <v>11253</v>
      </c>
      <c r="J5" s="7">
        <v>0</v>
      </c>
      <c r="K5" s="7">
        <v>1909.090909090909</v>
      </c>
      <c r="L5" s="7">
        <v>0</v>
      </c>
      <c r="M5" s="7">
        <v>0</v>
      </c>
      <c r="N5" s="7">
        <v>195</v>
      </c>
      <c r="O5" s="7">
        <v>12035.77</v>
      </c>
      <c r="P5" s="7">
        <v>0</v>
      </c>
      <c r="Q5" s="7">
        <v>961.93</v>
      </c>
      <c r="R5" s="7">
        <v>207.96</v>
      </c>
      <c r="S5" s="7">
        <v>15</v>
      </c>
      <c r="T5" s="7">
        <f>50+50+50+50+50+50+50+35+35+35+35+35+35</f>
        <v>560</v>
      </c>
      <c r="U5" s="7">
        <f>480+260+960</f>
        <v>1700</v>
      </c>
      <c r="V5" s="7">
        <v>0</v>
      </c>
      <c r="W5" s="7">
        <v>0</v>
      </c>
      <c r="X5" s="7">
        <f>155+65+40</f>
        <v>260</v>
      </c>
      <c r="Y5" s="8">
        <f t="shared" si="4"/>
        <v>3424.2490909090916</v>
      </c>
    </row>
    <row r="6" spans="1:26" ht="23.4" x14ac:dyDescent="0.6">
      <c r="A6" s="5">
        <v>4</v>
      </c>
      <c r="B6" s="5">
        <v>10207</v>
      </c>
      <c r="C6" s="6" t="s">
        <v>29</v>
      </c>
      <c r="D6" s="7">
        <v>111834</v>
      </c>
      <c r="E6" s="7">
        <v>6134</v>
      </c>
      <c r="F6" s="7">
        <f t="shared" si="0"/>
        <v>105700</v>
      </c>
      <c r="G6" s="7">
        <f t="shared" si="2"/>
        <v>55917</v>
      </c>
      <c r="H6" s="7">
        <f t="shared" si="1"/>
        <v>49783</v>
      </c>
      <c r="I6" s="7">
        <f t="shared" si="3"/>
        <v>11253</v>
      </c>
      <c r="J6" s="7">
        <v>228</v>
      </c>
      <c r="K6" s="7">
        <v>1909.090909090909</v>
      </c>
      <c r="L6" s="7">
        <v>14884</v>
      </c>
      <c r="M6" s="7">
        <v>1041.8800000000001</v>
      </c>
      <c r="N6" s="7">
        <v>0</v>
      </c>
      <c r="O6" s="7">
        <v>2742</v>
      </c>
      <c r="P6" s="7">
        <v>0</v>
      </c>
      <c r="Q6" s="7">
        <v>0</v>
      </c>
      <c r="R6" s="7">
        <v>208.96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8">
        <f t="shared" si="4"/>
        <v>18557.949090909089</v>
      </c>
    </row>
    <row r="7" spans="1:26" ht="23.4" x14ac:dyDescent="0.6">
      <c r="A7" s="5">
        <v>5</v>
      </c>
      <c r="B7" s="5">
        <v>10208</v>
      </c>
      <c r="C7" s="6" t="s">
        <v>30</v>
      </c>
      <c r="D7" s="7">
        <v>71706</v>
      </c>
      <c r="E7" s="7">
        <v>9531</v>
      </c>
      <c r="F7" s="7">
        <f t="shared" si="0"/>
        <v>62175</v>
      </c>
      <c r="G7" s="7">
        <f t="shared" si="2"/>
        <v>35853</v>
      </c>
      <c r="H7" s="7">
        <f t="shared" si="1"/>
        <v>26322</v>
      </c>
      <c r="I7" s="7">
        <f t="shared" si="3"/>
        <v>11253</v>
      </c>
      <c r="J7" s="7">
        <v>0</v>
      </c>
      <c r="K7" s="7">
        <v>1909.090909090909</v>
      </c>
      <c r="L7" s="7">
        <v>6420</v>
      </c>
      <c r="M7" s="7">
        <v>256.8</v>
      </c>
      <c r="N7" s="7">
        <v>0</v>
      </c>
      <c r="O7" s="7">
        <v>1339.34</v>
      </c>
      <c r="P7" s="7">
        <v>180</v>
      </c>
      <c r="Q7" s="7">
        <v>0</v>
      </c>
      <c r="R7" s="7">
        <v>209.96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180</v>
      </c>
      <c r="Y7" s="8">
        <f t="shared" si="4"/>
        <v>4830.6090909090917</v>
      </c>
    </row>
    <row r="8" spans="1:26" ht="23.4" x14ac:dyDescent="0.6">
      <c r="A8" s="5">
        <v>6</v>
      </c>
      <c r="B8" s="5">
        <v>10209</v>
      </c>
      <c r="C8" s="6" t="s">
        <v>31</v>
      </c>
      <c r="D8" s="7">
        <v>128800</v>
      </c>
      <c r="E8" s="7">
        <v>21675</v>
      </c>
      <c r="F8" s="7">
        <f t="shared" si="0"/>
        <v>107125</v>
      </c>
      <c r="G8" s="7">
        <f t="shared" si="2"/>
        <v>64400</v>
      </c>
      <c r="H8" s="7">
        <f t="shared" si="1"/>
        <v>42725</v>
      </c>
      <c r="I8" s="7">
        <f t="shared" si="3"/>
        <v>11253</v>
      </c>
      <c r="J8" s="7">
        <v>285</v>
      </c>
      <c r="K8" s="7">
        <v>1909.090909090909</v>
      </c>
      <c r="L8" s="7">
        <v>16000</v>
      </c>
      <c r="M8" s="7">
        <v>0</v>
      </c>
      <c r="N8" s="7">
        <v>0</v>
      </c>
      <c r="O8" s="7">
        <v>341.33</v>
      </c>
      <c r="P8" s="7">
        <v>0</v>
      </c>
      <c r="Q8" s="7">
        <v>642</v>
      </c>
      <c r="R8" s="7">
        <v>210.96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466</v>
      </c>
      <c r="Y8" s="8">
        <f t="shared" si="4"/>
        <v>11617.619090909093</v>
      </c>
    </row>
    <row r="9" spans="1:26" ht="23.4" x14ac:dyDescent="0.6">
      <c r="A9" s="5">
        <v>7</v>
      </c>
      <c r="B9" s="5">
        <v>10210</v>
      </c>
      <c r="C9" s="6" t="s">
        <v>32</v>
      </c>
      <c r="D9" s="7">
        <v>113915</v>
      </c>
      <c r="E9" s="7">
        <v>4185</v>
      </c>
      <c r="F9" s="7">
        <f t="shared" si="0"/>
        <v>109730</v>
      </c>
      <c r="G9" s="7">
        <f t="shared" si="2"/>
        <v>56957.5</v>
      </c>
      <c r="H9" s="7">
        <f t="shared" si="1"/>
        <v>52772.5</v>
      </c>
      <c r="I9" s="7">
        <f t="shared" si="3"/>
        <v>11253</v>
      </c>
      <c r="J9" s="7">
        <v>389.2</v>
      </c>
      <c r="K9" s="7">
        <v>1909.090909090909</v>
      </c>
      <c r="L9" s="7">
        <v>14884</v>
      </c>
      <c r="M9" s="7">
        <v>1041.8800000000001</v>
      </c>
      <c r="N9" s="7">
        <v>0</v>
      </c>
      <c r="O9" s="7">
        <v>5893.56</v>
      </c>
      <c r="P9" s="7">
        <v>465</v>
      </c>
      <c r="Q9" s="7">
        <v>642</v>
      </c>
      <c r="R9" s="7">
        <v>211.96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f t="shared" si="4"/>
        <v>17124.689090909091</v>
      </c>
    </row>
    <row r="10" spans="1:26" ht="23.4" x14ac:dyDescent="0.6">
      <c r="A10" s="5">
        <v>8</v>
      </c>
      <c r="B10" s="5">
        <v>10219</v>
      </c>
      <c r="C10" s="6" t="s">
        <v>33</v>
      </c>
      <c r="D10" s="7">
        <v>91515</v>
      </c>
      <c r="E10" s="7">
        <v>4950</v>
      </c>
      <c r="F10" s="7">
        <f t="shared" si="0"/>
        <v>86565</v>
      </c>
      <c r="G10" s="7">
        <f t="shared" si="2"/>
        <v>45757.5</v>
      </c>
      <c r="H10" s="7">
        <f t="shared" si="1"/>
        <v>40807.5</v>
      </c>
      <c r="I10" s="7">
        <f t="shared" si="3"/>
        <v>11253</v>
      </c>
      <c r="J10" s="7">
        <v>0</v>
      </c>
      <c r="K10" s="7">
        <v>1909.090909090909</v>
      </c>
      <c r="L10" s="7">
        <v>16500</v>
      </c>
      <c r="M10" s="7">
        <v>0</v>
      </c>
      <c r="N10" s="7">
        <v>0</v>
      </c>
      <c r="O10" s="7">
        <v>4154.59</v>
      </c>
      <c r="P10" s="7">
        <v>390</v>
      </c>
      <c r="Q10" s="7">
        <v>642</v>
      </c>
      <c r="R10" s="7">
        <v>212.96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415</v>
      </c>
      <c r="Y10" s="8">
        <f t="shared" si="4"/>
        <v>5330.8590909090917</v>
      </c>
    </row>
    <row r="11" spans="1:26" ht="23.4" x14ac:dyDescent="0.6">
      <c r="A11" s="5">
        <v>9</v>
      </c>
      <c r="B11" s="5">
        <v>10235</v>
      </c>
      <c r="C11" s="6" t="s">
        <v>34</v>
      </c>
      <c r="D11" s="7">
        <v>103635</v>
      </c>
      <c r="E11" s="7">
        <v>18280</v>
      </c>
      <c r="F11" s="7">
        <f t="shared" si="0"/>
        <v>85355</v>
      </c>
      <c r="G11" s="7">
        <f t="shared" si="2"/>
        <v>51817.5</v>
      </c>
      <c r="H11" s="7">
        <f t="shared" si="1"/>
        <v>33537.5</v>
      </c>
      <c r="I11" s="7">
        <f t="shared" si="3"/>
        <v>11253</v>
      </c>
      <c r="J11" s="7">
        <v>0</v>
      </c>
      <c r="K11" s="7">
        <v>1909.090909090909</v>
      </c>
      <c r="L11" s="7">
        <v>12000</v>
      </c>
      <c r="M11" s="7">
        <v>0</v>
      </c>
      <c r="N11" s="7">
        <v>0</v>
      </c>
      <c r="O11" s="7">
        <v>5784.42</v>
      </c>
      <c r="P11" s="7">
        <v>15</v>
      </c>
      <c r="Q11" s="7">
        <v>642</v>
      </c>
      <c r="R11" s="7">
        <v>212.72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8">
        <f t="shared" si="4"/>
        <v>1721.269090909092</v>
      </c>
    </row>
    <row r="12" spans="1:26" ht="23.4" x14ac:dyDescent="0.6">
      <c r="A12" s="5">
        <v>10</v>
      </c>
      <c r="B12" s="5">
        <v>10264</v>
      </c>
      <c r="C12" s="6" t="s">
        <v>35</v>
      </c>
      <c r="D12" s="7">
        <v>126749</v>
      </c>
      <c r="E12" s="7">
        <v>19489</v>
      </c>
      <c r="F12" s="7">
        <f t="shared" si="0"/>
        <v>107260</v>
      </c>
      <c r="G12" s="7">
        <f t="shared" si="2"/>
        <v>63374.5</v>
      </c>
      <c r="H12" s="7">
        <f t="shared" si="1"/>
        <v>43885.5</v>
      </c>
      <c r="I12" s="7">
        <f t="shared" si="3"/>
        <v>11253</v>
      </c>
      <c r="J12" s="7">
        <v>290.39999999999998</v>
      </c>
      <c r="K12" s="7">
        <v>1909.090909090909</v>
      </c>
      <c r="L12" s="7">
        <v>10500</v>
      </c>
      <c r="M12" s="7">
        <v>0</v>
      </c>
      <c r="N12" s="7">
        <v>0</v>
      </c>
      <c r="O12" s="9">
        <f>+'[1]ค่าไฟ ส.ค.'!F12</f>
        <v>0</v>
      </c>
      <c r="P12" s="7">
        <v>375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25</v>
      </c>
      <c r="Y12" s="8">
        <f t="shared" si="4"/>
        <v>19533.00909090909</v>
      </c>
    </row>
    <row r="13" spans="1:26" ht="23.4" x14ac:dyDescent="0.6">
      <c r="A13" s="5">
        <v>11</v>
      </c>
      <c r="B13" s="5">
        <v>10323</v>
      </c>
      <c r="C13" s="6" t="s">
        <v>36</v>
      </c>
      <c r="D13" s="7">
        <v>20340</v>
      </c>
      <c r="E13" s="7">
        <v>865</v>
      </c>
      <c r="F13" s="7">
        <f t="shared" si="0"/>
        <v>19475</v>
      </c>
      <c r="G13" s="7">
        <f t="shared" si="2"/>
        <v>10170</v>
      </c>
      <c r="H13" s="7">
        <f t="shared" si="1"/>
        <v>9305</v>
      </c>
      <c r="I13" s="7">
        <f>363*27</f>
        <v>9801</v>
      </c>
      <c r="J13" s="7">
        <v>0</v>
      </c>
      <c r="K13" s="7">
        <v>1909.090909090909</v>
      </c>
      <c r="L13" s="7">
        <v>1500</v>
      </c>
      <c r="M13" s="7">
        <v>0</v>
      </c>
      <c r="N13" s="7">
        <v>0</v>
      </c>
      <c r="O13" s="7">
        <v>170</v>
      </c>
      <c r="P13" s="7">
        <v>30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100</v>
      </c>
      <c r="Y13" s="8">
        <f t="shared" si="4"/>
        <v>-4205.090909090909</v>
      </c>
    </row>
    <row r="14" spans="1:26" ht="27" thickBot="1" x14ac:dyDescent="0.75">
      <c r="C14" s="10" t="s">
        <v>37</v>
      </c>
      <c r="D14" s="11">
        <f t="shared" ref="D14:Y14" si="5">SUM(D3:D13)</f>
        <v>1126309</v>
      </c>
      <c r="E14" s="11">
        <f t="shared" si="5"/>
        <v>144437</v>
      </c>
      <c r="F14" s="11">
        <f t="shared" si="5"/>
        <v>981872</v>
      </c>
      <c r="G14" s="11">
        <f t="shared" si="5"/>
        <v>563154.5</v>
      </c>
      <c r="H14" s="11">
        <f t="shared" si="5"/>
        <v>418717.5</v>
      </c>
      <c r="I14" s="11">
        <f t="shared" si="5"/>
        <v>122331</v>
      </c>
      <c r="J14" s="11">
        <f t="shared" si="5"/>
        <v>1643</v>
      </c>
      <c r="K14" s="11">
        <f t="shared" si="5"/>
        <v>20999.999999999993</v>
      </c>
      <c r="L14" s="11">
        <f t="shared" si="5"/>
        <v>113727</v>
      </c>
      <c r="M14" s="11">
        <f t="shared" si="5"/>
        <v>3382.4400000000005</v>
      </c>
      <c r="N14" s="11">
        <f t="shared" si="5"/>
        <v>195</v>
      </c>
      <c r="O14" s="11">
        <f t="shared" si="5"/>
        <v>43621.729999999996</v>
      </c>
      <c r="P14" s="11">
        <f t="shared" si="5"/>
        <v>1890</v>
      </c>
      <c r="Q14" s="11">
        <f t="shared" si="5"/>
        <v>4171.93</v>
      </c>
      <c r="R14" s="11">
        <f t="shared" si="5"/>
        <v>1889.4</v>
      </c>
      <c r="S14" s="11">
        <f t="shared" si="5"/>
        <v>15</v>
      </c>
      <c r="T14" s="11">
        <f t="shared" si="5"/>
        <v>560</v>
      </c>
      <c r="U14" s="11">
        <f t="shared" si="5"/>
        <v>1700</v>
      </c>
      <c r="V14" s="11">
        <f t="shared" si="5"/>
        <v>0</v>
      </c>
      <c r="W14" s="11">
        <f t="shared" si="5"/>
        <v>0</v>
      </c>
      <c r="X14" s="11">
        <f t="shared" si="5"/>
        <v>1446</v>
      </c>
      <c r="Y14" s="11">
        <f t="shared" si="5"/>
        <v>104527.44</v>
      </c>
      <c r="Z14" s="12" t="s">
        <v>38</v>
      </c>
    </row>
    <row r="15" spans="1:26" ht="16.2" thickTop="1" x14ac:dyDescent="0.4"/>
  </sheetData>
  <autoFilter ref="A2:Z2" xr:uid="{2E8AA42F-014B-4D57-90FC-60B43B8DE091}">
    <sortState xmlns:xlrd2="http://schemas.microsoft.com/office/spreadsheetml/2017/richdata2" ref="A3:Z18">
      <sortCondition ref="B2"/>
    </sortState>
  </autoFilter>
  <pageMargins left="0.25" right="0.25" top="0.75" bottom="0.75" header="0.3" footer="0.3"/>
  <pageSetup paperSize="9" scale="8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B479-66E2-457D-B42B-8B4D97C4FD57}">
  <sheetPr>
    <tabColor rgb="FFFF99FF"/>
    <pageSetUpPr fitToPage="1"/>
  </sheetPr>
  <dimension ref="A1:Z15"/>
  <sheetViews>
    <sheetView zoomScale="70" zoomScaleNormal="70" workbookViewId="0">
      <pane xSplit="3" ySplit="2" topLeftCell="H3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2.69921875" style="2" customWidth="1"/>
    <col min="5" max="5" width="11.19921875" style="2" customWidth="1"/>
    <col min="6" max="6" width="14.09765625" style="2" customWidth="1"/>
    <col min="7" max="7" width="12.19921875" style="2" customWidth="1"/>
    <col min="8" max="8" width="13.19921875" style="2" customWidth="1"/>
    <col min="9" max="18" width="13.3984375" style="2" customWidth="1"/>
    <col min="19" max="19" width="13.3984375" style="2" hidden="1" customWidth="1"/>
    <col min="20" max="21" width="13.3984375" style="2" customWidth="1"/>
    <col min="22" max="23" width="13.3984375" style="2" hidden="1" customWidth="1"/>
    <col min="24" max="24" width="13.3984375" style="2" customWidth="1"/>
    <col min="25" max="25" width="16.69921875" style="2" customWidth="1"/>
    <col min="26" max="16384" width="9" style="2"/>
  </cols>
  <sheetData>
    <row r="1" spans="1:26" ht="28.8" x14ac:dyDescent="0.75">
      <c r="A1" s="1" t="s">
        <v>39</v>
      </c>
    </row>
    <row r="2" spans="1:26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6" ht="23.4" x14ac:dyDescent="0.6">
      <c r="A3" s="5">
        <v>1</v>
      </c>
      <c r="B3" s="5">
        <v>10203</v>
      </c>
      <c r="C3" s="6" t="s">
        <v>26</v>
      </c>
      <c r="D3" s="7">
        <v>101905</v>
      </c>
      <c r="E3" s="7">
        <v>2880</v>
      </c>
      <c r="F3" s="7">
        <f t="shared" ref="F3:F13" si="0">+D3-E3</f>
        <v>99025</v>
      </c>
      <c r="G3" s="7">
        <f>+D3*0.5</f>
        <v>50952.5</v>
      </c>
      <c r="H3" s="7">
        <f t="shared" ref="H3:H13" si="1">+F3-G3</f>
        <v>48072.5</v>
      </c>
      <c r="I3" s="7">
        <f>363*31</f>
        <v>11253</v>
      </c>
      <c r="J3" s="7">
        <v>0</v>
      </c>
      <c r="K3" s="7">
        <v>1909.090909090909</v>
      </c>
      <c r="L3" s="7">
        <f>14884+14884</f>
        <v>29768</v>
      </c>
      <c r="M3" s="7">
        <v>1041.8800000000001</v>
      </c>
      <c r="N3" s="7">
        <v>0</v>
      </c>
      <c r="O3" s="7">
        <v>6118.26</v>
      </c>
      <c r="P3" s="7">
        <v>450</v>
      </c>
      <c r="Q3" s="7">
        <v>642</v>
      </c>
      <c r="R3" s="7">
        <v>206.96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8">
        <f>+H3-I3-J3-K3-L3-N3-O3-R3-S3-T3-U3-V3-W3-X3-P3-Q3-M3</f>
        <v>-3316.6909090909121</v>
      </c>
    </row>
    <row r="4" spans="1:26" ht="23.4" x14ac:dyDescent="0.6">
      <c r="A4" s="5">
        <v>2</v>
      </c>
      <c r="B4" s="5">
        <v>10204</v>
      </c>
      <c r="C4" s="6" t="s">
        <v>27</v>
      </c>
      <c r="D4" s="7">
        <v>108105</v>
      </c>
      <c r="E4" s="7">
        <v>24056</v>
      </c>
      <c r="F4" s="7">
        <f t="shared" si="0"/>
        <v>84049</v>
      </c>
      <c r="G4" s="7">
        <f t="shared" ref="G4:G13" si="2">+D4*0.5</f>
        <v>54052.5</v>
      </c>
      <c r="H4" s="7">
        <f t="shared" si="1"/>
        <v>29996.5</v>
      </c>
      <c r="I4" s="7">
        <f t="shared" ref="I4:I12" si="3">363*31</f>
        <v>11253</v>
      </c>
      <c r="J4" s="7">
        <v>0</v>
      </c>
      <c r="K4" s="7">
        <v>1909.090909090909</v>
      </c>
      <c r="L4" s="7">
        <v>5820</v>
      </c>
      <c r="M4" s="7">
        <v>0</v>
      </c>
      <c r="N4" s="7">
        <v>0</v>
      </c>
      <c r="O4" s="7">
        <v>3754.84</v>
      </c>
      <c r="P4" s="7">
        <v>15</v>
      </c>
      <c r="Q4" s="7">
        <v>0</v>
      </c>
      <c r="R4" s="7">
        <v>206.96</v>
      </c>
      <c r="S4" s="7">
        <v>0</v>
      </c>
      <c r="T4" s="7">
        <v>70</v>
      </c>
      <c r="U4" s="7">
        <v>0</v>
      </c>
      <c r="V4" s="7">
        <v>0</v>
      </c>
      <c r="W4" s="7">
        <v>0</v>
      </c>
      <c r="X4" s="7">
        <v>603</v>
      </c>
      <c r="Y4" s="8">
        <f t="shared" ref="Y4:Y13" si="4">+H4-I4-J4-K4-L4-N4-O4-R4-S4-T4-U4-V4-W4-X4-P4-Q4-M4</f>
        <v>6364.6090909090917</v>
      </c>
    </row>
    <row r="5" spans="1:26" ht="23.4" x14ac:dyDescent="0.6">
      <c r="A5" s="5">
        <v>3</v>
      </c>
      <c r="B5" s="5">
        <v>10205</v>
      </c>
      <c r="C5" s="6" t="s">
        <v>28</v>
      </c>
      <c r="D5" s="7">
        <v>102763</v>
      </c>
      <c r="E5" s="7">
        <v>19770</v>
      </c>
      <c r="F5" s="7">
        <f t="shared" si="0"/>
        <v>82993</v>
      </c>
      <c r="G5" s="7">
        <f t="shared" si="2"/>
        <v>51381.5</v>
      </c>
      <c r="H5" s="7">
        <f t="shared" si="1"/>
        <v>31611.5</v>
      </c>
      <c r="I5" s="7">
        <f t="shared" si="3"/>
        <v>11253</v>
      </c>
      <c r="J5" s="7">
        <v>0</v>
      </c>
      <c r="K5" s="7">
        <v>1909.090909090909</v>
      </c>
      <c r="L5" s="7">
        <v>0</v>
      </c>
      <c r="M5" s="7">
        <v>0</v>
      </c>
      <c r="N5" s="7">
        <v>0</v>
      </c>
      <c r="O5" s="7">
        <v>13329.95</v>
      </c>
      <c r="P5" s="7">
        <v>0</v>
      </c>
      <c r="Q5" s="7">
        <v>961.93</v>
      </c>
      <c r="R5" s="7">
        <v>207.96</v>
      </c>
      <c r="S5" s="7">
        <v>0</v>
      </c>
      <c r="T5" s="7">
        <f>35*4</f>
        <v>140</v>
      </c>
      <c r="U5" s="7">
        <v>160</v>
      </c>
      <c r="V5" s="7">
        <v>0</v>
      </c>
      <c r="W5" s="7">
        <v>0</v>
      </c>
      <c r="X5" s="7">
        <v>0</v>
      </c>
      <c r="Y5" s="8">
        <f t="shared" si="4"/>
        <v>3649.5690909090913</v>
      </c>
    </row>
    <row r="6" spans="1:26" ht="23.4" x14ac:dyDescent="0.6">
      <c r="A6" s="5">
        <v>4</v>
      </c>
      <c r="B6" s="5">
        <v>10207</v>
      </c>
      <c r="C6" s="6" t="s">
        <v>29</v>
      </c>
      <c r="D6" s="7">
        <v>104330</v>
      </c>
      <c r="E6" s="7">
        <v>4405</v>
      </c>
      <c r="F6" s="7">
        <f t="shared" si="0"/>
        <v>99925</v>
      </c>
      <c r="G6" s="7">
        <f t="shared" si="2"/>
        <v>52165</v>
      </c>
      <c r="H6" s="7">
        <f t="shared" si="1"/>
        <v>47760</v>
      </c>
      <c r="I6" s="7">
        <f t="shared" si="3"/>
        <v>11253</v>
      </c>
      <c r="J6" s="7">
        <v>0</v>
      </c>
      <c r="K6" s="7">
        <v>1909.090909090909</v>
      </c>
      <c r="L6" s="7">
        <v>9000</v>
      </c>
      <c r="M6" s="7">
        <v>1081.8800000000001</v>
      </c>
      <c r="N6" s="7">
        <v>0</v>
      </c>
      <c r="O6" s="7">
        <v>2706</v>
      </c>
      <c r="P6" s="7">
        <v>0</v>
      </c>
      <c r="Q6" s="7">
        <v>0</v>
      </c>
      <c r="R6" s="7">
        <v>208.96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39</v>
      </c>
      <c r="Y6" s="8">
        <f t="shared" si="4"/>
        <v>21562.069090909088</v>
      </c>
    </row>
    <row r="7" spans="1:26" ht="23.4" x14ac:dyDescent="0.6">
      <c r="A7" s="5">
        <v>5</v>
      </c>
      <c r="B7" s="5">
        <v>10208</v>
      </c>
      <c r="C7" s="6" t="s">
        <v>30</v>
      </c>
      <c r="D7" s="7">
        <v>63310</v>
      </c>
      <c r="E7" s="7">
        <v>8465</v>
      </c>
      <c r="F7" s="7">
        <f t="shared" si="0"/>
        <v>54845</v>
      </c>
      <c r="G7" s="7">
        <f t="shared" si="2"/>
        <v>31655</v>
      </c>
      <c r="H7" s="7">
        <f t="shared" si="1"/>
        <v>23190</v>
      </c>
      <c r="I7" s="7">
        <f t="shared" si="3"/>
        <v>11253</v>
      </c>
      <c r="J7" s="7">
        <v>0</v>
      </c>
      <c r="K7" s="7">
        <v>1909.090909090909</v>
      </c>
      <c r="L7" s="7">
        <v>6741</v>
      </c>
      <c r="M7" s="7">
        <v>259.37</v>
      </c>
      <c r="N7" s="7">
        <v>0</v>
      </c>
      <c r="O7" s="7">
        <v>1339.34</v>
      </c>
      <c r="P7" s="7">
        <v>90</v>
      </c>
      <c r="Q7" s="7">
        <v>0</v>
      </c>
      <c r="R7" s="7">
        <v>209.96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f t="shared" si="4"/>
        <v>1388.2390909090918</v>
      </c>
    </row>
    <row r="8" spans="1:26" ht="23.4" x14ac:dyDescent="0.6">
      <c r="A8" s="5">
        <v>6</v>
      </c>
      <c r="B8" s="5">
        <v>10209</v>
      </c>
      <c r="C8" s="6" t="s">
        <v>31</v>
      </c>
      <c r="D8" s="7">
        <v>86235</v>
      </c>
      <c r="E8" s="7">
        <v>10900</v>
      </c>
      <c r="F8" s="7">
        <f t="shared" si="0"/>
        <v>75335</v>
      </c>
      <c r="G8" s="7">
        <f t="shared" si="2"/>
        <v>43117.5</v>
      </c>
      <c r="H8" s="7">
        <f t="shared" si="1"/>
        <v>32217.5</v>
      </c>
      <c r="I8" s="7">
        <f t="shared" si="3"/>
        <v>11253</v>
      </c>
      <c r="J8" s="7">
        <v>0</v>
      </c>
      <c r="K8" s="7">
        <v>1909.090909090909</v>
      </c>
      <c r="L8" s="7">
        <v>16000</v>
      </c>
      <c r="M8" s="7">
        <v>23.1</v>
      </c>
      <c r="N8" s="7">
        <v>0</v>
      </c>
      <c r="O8" s="7">
        <v>330</v>
      </c>
      <c r="P8" s="7">
        <v>0</v>
      </c>
      <c r="Q8" s="7">
        <v>642</v>
      </c>
      <c r="R8" s="7">
        <v>210.96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60</v>
      </c>
      <c r="Y8" s="8">
        <f t="shared" si="4"/>
        <v>1789.349090909092</v>
      </c>
    </row>
    <row r="9" spans="1:26" ht="23.4" x14ac:dyDescent="0.6">
      <c r="A9" s="5">
        <v>7</v>
      </c>
      <c r="B9" s="5">
        <v>10210</v>
      </c>
      <c r="C9" s="6" t="s">
        <v>32</v>
      </c>
      <c r="D9" s="7">
        <v>95140</v>
      </c>
      <c r="E9" s="7">
        <v>3220</v>
      </c>
      <c r="F9" s="7">
        <f t="shared" si="0"/>
        <v>91920</v>
      </c>
      <c r="G9" s="7">
        <f t="shared" si="2"/>
        <v>47570</v>
      </c>
      <c r="H9" s="7">
        <f t="shared" si="1"/>
        <v>44350</v>
      </c>
      <c r="I9" s="7">
        <f t="shared" si="3"/>
        <v>11253</v>
      </c>
      <c r="J9" s="7">
        <v>0</v>
      </c>
      <c r="K9" s="7">
        <v>1909.090909090909</v>
      </c>
      <c r="L9" s="7">
        <f>14884+14884</f>
        <v>29768</v>
      </c>
      <c r="M9" s="7">
        <v>1041.8800000000001</v>
      </c>
      <c r="N9" s="7">
        <v>0</v>
      </c>
      <c r="O9" s="7">
        <v>6259.5</v>
      </c>
      <c r="P9" s="7">
        <v>450</v>
      </c>
      <c r="Q9" s="7">
        <v>642</v>
      </c>
      <c r="R9" s="7">
        <v>211.96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f t="shared" si="4"/>
        <v>-7185.4309090909082</v>
      </c>
    </row>
    <row r="10" spans="1:26" ht="23.4" x14ac:dyDescent="0.6">
      <c r="A10" s="5">
        <v>8</v>
      </c>
      <c r="B10" s="5">
        <v>10219</v>
      </c>
      <c r="C10" s="6" t="s">
        <v>33</v>
      </c>
      <c r="D10" s="7">
        <v>81155</v>
      </c>
      <c r="E10" s="7">
        <v>4868</v>
      </c>
      <c r="F10" s="7">
        <f t="shared" si="0"/>
        <v>76287</v>
      </c>
      <c r="G10" s="7">
        <f t="shared" si="2"/>
        <v>40577.5</v>
      </c>
      <c r="H10" s="7">
        <f t="shared" si="1"/>
        <v>35709.5</v>
      </c>
      <c r="I10" s="7">
        <f t="shared" si="3"/>
        <v>11253</v>
      </c>
      <c r="J10" s="7">
        <v>0</v>
      </c>
      <c r="K10" s="7">
        <v>1909.090909090909</v>
      </c>
      <c r="L10" s="7">
        <v>16500</v>
      </c>
      <c r="M10" s="7">
        <v>467.29</v>
      </c>
      <c r="N10" s="7">
        <v>0</v>
      </c>
      <c r="O10" s="7">
        <v>3520</v>
      </c>
      <c r="P10" s="7">
        <v>435</v>
      </c>
      <c r="Q10" s="7">
        <v>642</v>
      </c>
      <c r="R10" s="7">
        <v>212.96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1062</v>
      </c>
      <c r="Y10" s="8">
        <f t="shared" si="4"/>
        <v>-291.84090909090816</v>
      </c>
    </row>
    <row r="11" spans="1:26" ht="23.4" x14ac:dyDescent="0.6">
      <c r="A11" s="5">
        <v>9</v>
      </c>
      <c r="B11" s="5">
        <v>10235</v>
      </c>
      <c r="C11" s="6" t="s">
        <v>34</v>
      </c>
      <c r="D11" s="7">
        <v>76765</v>
      </c>
      <c r="E11" s="7">
        <v>6475</v>
      </c>
      <c r="F11" s="7">
        <f t="shared" si="0"/>
        <v>70290</v>
      </c>
      <c r="G11" s="7">
        <f t="shared" si="2"/>
        <v>38382.5</v>
      </c>
      <c r="H11" s="7">
        <f t="shared" si="1"/>
        <v>31907.5</v>
      </c>
      <c r="I11" s="7">
        <f t="shared" si="3"/>
        <v>11253</v>
      </c>
      <c r="J11" s="7">
        <v>0</v>
      </c>
      <c r="K11" s="7">
        <v>1909.090909090909</v>
      </c>
      <c r="L11" s="7">
        <v>12000</v>
      </c>
      <c r="M11" s="7">
        <v>397.95</v>
      </c>
      <c r="N11" s="7">
        <v>75</v>
      </c>
      <c r="O11" s="7">
        <v>5610</v>
      </c>
      <c r="P11" s="7">
        <v>0</v>
      </c>
      <c r="Q11" s="7">
        <v>642</v>
      </c>
      <c r="R11" s="7">
        <v>212.72</v>
      </c>
      <c r="S11" s="7">
        <v>0</v>
      </c>
      <c r="T11" s="7">
        <v>200</v>
      </c>
      <c r="U11" s="7">
        <v>0</v>
      </c>
      <c r="V11" s="7">
        <v>0</v>
      </c>
      <c r="W11" s="7">
        <v>0</v>
      </c>
      <c r="X11" s="7">
        <v>680</v>
      </c>
      <c r="Y11" s="8">
        <f t="shared" si="4"/>
        <v>-1072.2609090909082</v>
      </c>
    </row>
    <row r="12" spans="1:26" ht="23.4" x14ac:dyDescent="0.6">
      <c r="A12" s="5">
        <v>10</v>
      </c>
      <c r="B12" s="5">
        <v>10264</v>
      </c>
      <c r="C12" s="6" t="s">
        <v>35</v>
      </c>
      <c r="D12" s="7">
        <v>100325</v>
      </c>
      <c r="E12" s="7">
        <v>6975</v>
      </c>
      <c r="F12" s="7">
        <f t="shared" si="0"/>
        <v>93350</v>
      </c>
      <c r="G12" s="7">
        <f t="shared" si="2"/>
        <v>50162.5</v>
      </c>
      <c r="H12" s="7">
        <f t="shared" si="1"/>
        <v>43187.5</v>
      </c>
      <c r="I12" s="7">
        <f t="shared" si="3"/>
        <v>11253</v>
      </c>
      <c r="J12" s="7">
        <v>0</v>
      </c>
      <c r="K12" s="7">
        <v>1909.090909090909</v>
      </c>
      <c r="L12" s="7">
        <v>21000</v>
      </c>
      <c r="M12" s="7">
        <v>0</v>
      </c>
      <c r="N12" s="7">
        <v>0</v>
      </c>
      <c r="O12" s="9">
        <f>+'[1]ค่าไฟ ส.ค.'!F12</f>
        <v>0</v>
      </c>
      <c r="P12" s="7">
        <v>360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55</v>
      </c>
      <c r="Y12" s="8">
        <f t="shared" si="4"/>
        <v>8610.4090909090919</v>
      </c>
    </row>
    <row r="13" spans="1:26" ht="23.4" x14ac:dyDescent="0.6">
      <c r="A13" s="5">
        <v>11</v>
      </c>
      <c r="B13" s="5">
        <v>10323</v>
      </c>
      <c r="C13" s="6" t="s">
        <v>36</v>
      </c>
      <c r="D13" s="7">
        <v>19170</v>
      </c>
      <c r="E13" s="7">
        <v>1545</v>
      </c>
      <c r="F13" s="7">
        <f t="shared" si="0"/>
        <v>17625</v>
      </c>
      <c r="G13" s="7">
        <f t="shared" si="2"/>
        <v>9585</v>
      </c>
      <c r="H13" s="7">
        <f t="shared" si="1"/>
        <v>8040</v>
      </c>
      <c r="I13" s="7">
        <f>363*27</f>
        <v>9801</v>
      </c>
      <c r="J13" s="7">
        <v>0</v>
      </c>
      <c r="K13" s="7">
        <v>1909.090909090909</v>
      </c>
      <c r="L13" s="7">
        <v>1500</v>
      </c>
      <c r="M13" s="7">
        <v>0</v>
      </c>
      <c r="N13" s="7">
        <v>0</v>
      </c>
      <c r="O13" s="7">
        <v>250</v>
      </c>
      <c r="P13" s="7">
        <v>15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f t="shared" si="4"/>
        <v>-5435.090909090909</v>
      </c>
    </row>
    <row r="14" spans="1:26" ht="27" thickBot="1" x14ac:dyDescent="0.75">
      <c r="C14" s="10" t="s">
        <v>37</v>
      </c>
      <c r="D14" s="11">
        <f t="shared" ref="D14:Y14" si="5">SUM(D3:D13)</f>
        <v>939203</v>
      </c>
      <c r="E14" s="11">
        <f t="shared" si="5"/>
        <v>93559</v>
      </c>
      <c r="F14" s="11">
        <f t="shared" si="5"/>
        <v>845644</v>
      </c>
      <c r="G14" s="11">
        <f>SUM(G3:G13)</f>
        <v>469601.5</v>
      </c>
      <c r="H14" s="11">
        <f t="shared" si="5"/>
        <v>376042.5</v>
      </c>
      <c r="I14" s="11">
        <v>154611.64000000001</v>
      </c>
      <c r="J14" s="11">
        <f t="shared" si="5"/>
        <v>0</v>
      </c>
      <c r="K14" s="11">
        <f>SUM(K3:K13)</f>
        <v>20999.999999999993</v>
      </c>
      <c r="L14" s="11">
        <f>SUM(L3:L13)</f>
        <v>148097</v>
      </c>
      <c r="M14" s="11">
        <f>SUM(M3:M13)</f>
        <v>4313.3500000000004</v>
      </c>
      <c r="N14" s="11">
        <f t="shared" si="5"/>
        <v>75</v>
      </c>
      <c r="O14" s="11">
        <f t="shared" si="5"/>
        <v>43217.89</v>
      </c>
      <c r="P14" s="11">
        <f t="shared" si="5"/>
        <v>1815</v>
      </c>
      <c r="Q14" s="11">
        <f t="shared" si="5"/>
        <v>4171.93</v>
      </c>
      <c r="R14" s="11">
        <f t="shared" si="5"/>
        <v>1889.4</v>
      </c>
      <c r="S14" s="11">
        <f t="shared" si="5"/>
        <v>0</v>
      </c>
      <c r="T14" s="11">
        <f t="shared" si="5"/>
        <v>410</v>
      </c>
      <c r="U14" s="11">
        <f t="shared" si="5"/>
        <v>160</v>
      </c>
      <c r="V14" s="11">
        <f t="shared" si="5"/>
        <v>0</v>
      </c>
      <c r="W14" s="11">
        <f t="shared" si="5"/>
        <v>0</v>
      </c>
      <c r="X14" s="11">
        <f t="shared" si="5"/>
        <v>2499</v>
      </c>
      <c r="Y14" s="11">
        <f t="shared" si="5"/>
        <v>26062.93</v>
      </c>
      <c r="Z14" s="12" t="s">
        <v>38</v>
      </c>
    </row>
    <row r="15" spans="1:26" ht="16.2" thickTop="1" x14ac:dyDescent="0.4"/>
  </sheetData>
  <autoFilter ref="A2:Z2" xr:uid="{2E8AA42F-014B-4D57-90FC-60B43B8DE091}">
    <sortState xmlns:xlrd2="http://schemas.microsoft.com/office/spreadsheetml/2017/richdata2" ref="A3:Z18">
      <sortCondition ref="B2"/>
    </sortState>
  </autoFilter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1DD3-56C5-44AC-97EE-07B8C4D6F161}">
  <sheetPr>
    <tabColor theme="7" tint="0.39997558519241921"/>
    <pageSetUpPr fitToPage="1"/>
  </sheetPr>
  <dimension ref="A1:AA17"/>
  <sheetViews>
    <sheetView zoomScale="70" zoomScaleNormal="70" workbookViewId="0">
      <pane xSplit="3" ySplit="2" topLeftCell="D3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2.69921875" style="2" customWidth="1"/>
    <col min="5" max="5" width="11.19921875" style="2" customWidth="1"/>
    <col min="6" max="6" width="14.09765625" style="2" customWidth="1"/>
    <col min="7" max="7" width="12.19921875" style="2" customWidth="1"/>
    <col min="8" max="8" width="13.19921875" style="2" customWidth="1"/>
    <col min="9" max="19" width="13.3984375" style="2" customWidth="1"/>
    <col min="20" max="20" width="13.3984375" style="2" hidden="1" customWidth="1"/>
    <col min="21" max="22" width="13.3984375" style="2" customWidth="1"/>
    <col min="23" max="24" width="13.3984375" style="2" hidden="1" customWidth="1"/>
    <col min="25" max="25" width="13.3984375" style="2" customWidth="1"/>
    <col min="26" max="26" width="16.69921875" style="2" customWidth="1"/>
    <col min="27" max="16384" width="9" style="2"/>
  </cols>
  <sheetData>
    <row r="1" spans="1:27" ht="28.8" x14ac:dyDescent="0.75">
      <c r="A1" s="1" t="s">
        <v>40</v>
      </c>
    </row>
    <row r="2" spans="1:27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41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</row>
    <row r="3" spans="1:27" ht="23.4" x14ac:dyDescent="0.6">
      <c r="A3" s="5">
        <v>1</v>
      </c>
      <c r="B3" s="5">
        <v>10203</v>
      </c>
      <c r="C3" s="6" t="s">
        <v>26</v>
      </c>
      <c r="D3" s="7">
        <v>100535</v>
      </c>
      <c r="E3" s="7">
        <v>2870</v>
      </c>
      <c r="F3" s="7">
        <f t="shared" ref="F3:F15" si="0">+D3-E3</f>
        <v>97665</v>
      </c>
      <c r="G3" s="7">
        <f>+D3*0.5</f>
        <v>50267.5</v>
      </c>
      <c r="H3" s="7">
        <f t="shared" ref="H3:H15" si="1">+F3-G3</f>
        <v>47397.5</v>
      </c>
      <c r="I3" s="7">
        <f>363*31</f>
        <v>11253</v>
      </c>
      <c r="J3" s="7">
        <v>0</v>
      </c>
      <c r="K3" s="7">
        <v>100</v>
      </c>
      <c r="L3" s="7">
        <v>1909.090909090909</v>
      </c>
      <c r="M3" s="7">
        <f>14884+14884</f>
        <v>29768</v>
      </c>
      <c r="N3" s="7">
        <v>1041.8800000000001</v>
      </c>
      <c r="O3" s="7">
        <v>0</v>
      </c>
      <c r="P3" s="7">
        <v>5636.76</v>
      </c>
      <c r="Q3" s="7">
        <v>435</v>
      </c>
      <c r="R3" s="7">
        <v>642</v>
      </c>
      <c r="S3" s="7">
        <v>206.96</v>
      </c>
      <c r="T3" s="7">
        <v>0</v>
      </c>
      <c r="U3" s="7">
        <v>0</v>
      </c>
      <c r="V3" s="7">
        <v>0</v>
      </c>
      <c r="W3" s="7"/>
      <c r="X3" s="7"/>
      <c r="Y3" s="7">
        <v>0</v>
      </c>
      <c r="Z3" s="8">
        <f>+H3-I3-J3-L3-M3-O3-P3-S3-T3-U3-V3-W3-X3-Y3-Q3-R3-K3-N3</f>
        <v>-3595.1909090909121</v>
      </c>
    </row>
    <row r="4" spans="1:27" ht="23.4" x14ac:dyDescent="0.6">
      <c r="A4" s="5">
        <v>2</v>
      </c>
      <c r="B4" s="5">
        <v>10204</v>
      </c>
      <c r="C4" s="6" t="s">
        <v>27</v>
      </c>
      <c r="D4" s="7">
        <v>110025</v>
      </c>
      <c r="E4" s="7">
        <v>27800</v>
      </c>
      <c r="F4" s="7">
        <f t="shared" si="0"/>
        <v>82225</v>
      </c>
      <c r="G4" s="7">
        <f t="shared" ref="G4:G15" si="2">+D4*0.5</f>
        <v>55012.5</v>
      </c>
      <c r="H4" s="7">
        <f t="shared" si="1"/>
        <v>27212.5</v>
      </c>
      <c r="I4" s="7">
        <f t="shared" ref="I4:I12" si="3">363*31</f>
        <v>11253</v>
      </c>
      <c r="J4" s="7">
        <v>0</v>
      </c>
      <c r="K4" s="7">
        <v>0</v>
      </c>
      <c r="L4" s="7">
        <v>1909.090909090909</v>
      </c>
      <c r="M4" s="7">
        <v>5820</v>
      </c>
      <c r="N4" s="7">
        <v>0</v>
      </c>
      <c r="O4" s="7">
        <v>0</v>
      </c>
      <c r="P4" s="7">
        <v>4022.98</v>
      </c>
      <c r="Q4" s="7">
        <v>0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/>
      <c r="Y4" s="7">
        <v>589</v>
      </c>
      <c r="Z4" s="8">
        <f t="shared" ref="Z4:Z15" si="4">+H4-I4-J4-L4-M4-O4-P4-S4-T4-U4-V4-W4-X4-Y4-Q4-R4-K4-N4</f>
        <v>3411.4690909090923</v>
      </c>
    </row>
    <row r="5" spans="1:27" ht="23.4" x14ac:dyDescent="0.6">
      <c r="A5" s="5">
        <v>3</v>
      </c>
      <c r="B5" s="5">
        <v>10205</v>
      </c>
      <c r="C5" s="6" t="s">
        <v>28</v>
      </c>
      <c r="D5" s="7">
        <v>109983</v>
      </c>
      <c r="E5" s="7">
        <v>21414</v>
      </c>
      <c r="F5" s="7">
        <f t="shared" si="0"/>
        <v>88569</v>
      </c>
      <c r="G5" s="7">
        <f t="shared" si="2"/>
        <v>54991.5</v>
      </c>
      <c r="H5" s="7">
        <f t="shared" si="1"/>
        <v>33577.5</v>
      </c>
      <c r="I5" s="7">
        <f t="shared" si="3"/>
        <v>11253</v>
      </c>
      <c r="J5" s="7">
        <v>0</v>
      </c>
      <c r="K5" s="7">
        <v>0</v>
      </c>
      <c r="L5" s="7">
        <v>1909.090909090909</v>
      </c>
      <c r="M5" s="7">
        <v>0</v>
      </c>
      <c r="N5" s="7">
        <v>0</v>
      </c>
      <c r="O5" s="7">
        <v>0</v>
      </c>
      <c r="P5" s="7">
        <v>14263.23</v>
      </c>
      <c r="Q5" s="7">
        <v>0</v>
      </c>
      <c r="R5" s="7">
        <v>961.93</v>
      </c>
      <c r="S5" s="7">
        <v>207.96</v>
      </c>
      <c r="T5" s="7">
        <v>0</v>
      </c>
      <c r="U5" s="7">
        <v>250</v>
      </c>
      <c r="V5" s="7">
        <f>1121-71-250</f>
        <v>800</v>
      </c>
      <c r="W5" s="7"/>
      <c r="X5" s="7"/>
      <c r="Y5" s="7">
        <v>71</v>
      </c>
      <c r="Z5" s="8">
        <f t="shared" si="4"/>
        <v>3861.2890909090925</v>
      </c>
    </row>
    <row r="6" spans="1:27" ht="23.4" x14ac:dyDescent="0.6">
      <c r="A6" s="5">
        <v>4</v>
      </c>
      <c r="B6" s="5">
        <v>10207</v>
      </c>
      <c r="C6" s="6" t="s">
        <v>29</v>
      </c>
      <c r="D6" s="7">
        <v>129375</v>
      </c>
      <c r="E6" s="7">
        <v>6720</v>
      </c>
      <c r="F6" s="7">
        <f t="shared" si="0"/>
        <v>122655</v>
      </c>
      <c r="G6" s="7">
        <f t="shared" si="2"/>
        <v>64687.5</v>
      </c>
      <c r="H6" s="7">
        <f t="shared" si="1"/>
        <v>57967.5</v>
      </c>
      <c r="I6" s="7">
        <f t="shared" si="3"/>
        <v>11253</v>
      </c>
      <c r="J6" s="7">
        <v>906.2</v>
      </c>
      <c r="K6" s="7">
        <v>300</v>
      </c>
      <c r="L6" s="7">
        <v>1909.090909090909</v>
      </c>
      <c r="M6" s="7">
        <v>9000</v>
      </c>
      <c r="N6" s="7">
        <v>0</v>
      </c>
      <c r="O6" s="7">
        <v>0</v>
      </c>
      <c r="P6" s="7">
        <v>2908</v>
      </c>
      <c r="Q6" s="7">
        <v>30</v>
      </c>
      <c r="R6" s="7">
        <v>0</v>
      </c>
      <c r="S6" s="7">
        <v>208.96</v>
      </c>
      <c r="T6" s="7">
        <v>0</v>
      </c>
      <c r="U6" s="7">
        <v>0</v>
      </c>
      <c r="V6" s="7">
        <v>0</v>
      </c>
      <c r="W6" s="7"/>
      <c r="X6" s="7"/>
      <c r="Y6" s="7">
        <v>0</v>
      </c>
      <c r="Z6" s="8">
        <f t="shared" si="4"/>
        <v>31452.249090909092</v>
      </c>
    </row>
    <row r="7" spans="1:27" ht="23.4" x14ac:dyDescent="0.6">
      <c r="A7" s="5">
        <v>5</v>
      </c>
      <c r="B7" s="5">
        <v>10208</v>
      </c>
      <c r="C7" s="6" t="s">
        <v>30</v>
      </c>
      <c r="D7" s="7">
        <v>55229</v>
      </c>
      <c r="E7" s="7">
        <v>4814</v>
      </c>
      <c r="F7" s="7">
        <f t="shared" si="0"/>
        <v>50415</v>
      </c>
      <c r="G7" s="7">
        <f t="shared" si="2"/>
        <v>27614.5</v>
      </c>
      <c r="H7" s="7">
        <f t="shared" si="1"/>
        <v>22800.5</v>
      </c>
      <c r="I7" s="7">
        <f t="shared" si="3"/>
        <v>11253</v>
      </c>
      <c r="J7" s="7">
        <v>0</v>
      </c>
      <c r="K7" s="7">
        <v>0</v>
      </c>
      <c r="L7" s="7">
        <v>1909.090909090909</v>
      </c>
      <c r="M7" s="7">
        <v>6741</v>
      </c>
      <c r="N7" s="7">
        <v>259.37</v>
      </c>
      <c r="O7" s="7">
        <v>0</v>
      </c>
      <c r="P7" s="7">
        <v>1324</v>
      </c>
      <c r="Q7" s="7">
        <v>0</v>
      </c>
      <c r="R7" s="7">
        <v>0</v>
      </c>
      <c r="S7" s="7">
        <v>209.96</v>
      </c>
      <c r="T7" s="7">
        <v>0</v>
      </c>
      <c r="U7" s="7">
        <v>0</v>
      </c>
      <c r="V7" s="7">
        <v>0</v>
      </c>
      <c r="W7" s="7"/>
      <c r="X7" s="7"/>
      <c r="Y7" s="7">
        <v>0</v>
      </c>
      <c r="Z7" s="8">
        <f t="shared" si="4"/>
        <v>1104.079090909092</v>
      </c>
    </row>
    <row r="8" spans="1:27" ht="23.4" x14ac:dyDescent="0.6">
      <c r="A8" s="5">
        <v>6</v>
      </c>
      <c r="B8" s="5">
        <v>10209</v>
      </c>
      <c r="C8" s="6" t="s">
        <v>31</v>
      </c>
      <c r="D8" s="7">
        <v>120150</v>
      </c>
      <c r="E8" s="7">
        <v>10766</v>
      </c>
      <c r="F8" s="7">
        <f t="shared" si="0"/>
        <v>109384</v>
      </c>
      <c r="G8" s="7">
        <f t="shared" si="2"/>
        <v>60075</v>
      </c>
      <c r="H8" s="7">
        <f t="shared" si="1"/>
        <v>49309</v>
      </c>
      <c r="I8" s="7">
        <f t="shared" si="3"/>
        <v>11253</v>
      </c>
      <c r="J8" s="7">
        <v>375.36</v>
      </c>
      <c r="K8" s="7">
        <v>100</v>
      </c>
      <c r="L8" s="7">
        <v>1909.090909090909</v>
      </c>
      <c r="M8" s="7">
        <v>16000</v>
      </c>
      <c r="N8" s="7">
        <v>244.09</v>
      </c>
      <c r="O8" s="7">
        <v>0</v>
      </c>
      <c r="P8" s="7">
        <v>3487</v>
      </c>
      <c r="Q8" s="7">
        <v>0</v>
      </c>
      <c r="R8" s="7">
        <v>642</v>
      </c>
      <c r="S8" s="7">
        <v>210.96</v>
      </c>
      <c r="T8" s="7">
        <v>0</v>
      </c>
      <c r="U8" s="7">
        <v>0</v>
      </c>
      <c r="V8" s="7">
        <v>0</v>
      </c>
      <c r="W8" s="7"/>
      <c r="X8" s="7"/>
      <c r="Y8" s="7">
        <v>79</v>
      </c>
      <c r="Z8" s="8">
        <f t="shared" si="4"/>
        <v>15008.499090909088</v>
      </c>
    </row>
    <row r="9" spans="1:27" ht="23.4" x14ac:dyDescent="0.6">
      <c r="A9" s="5">
        <v>7</v>
      </c>
      <c r="B9" s="5">
        <v>10210</v>
      </c>
      <c r="C9" s="6" t="s">
        <v>32</v>
      </c>
      <c r="D9" s="7">
        <v>98345</v>
      </c>
      <c r="E9" s="7">
        <v>1795</v>
      </c>
      <c r="F9" s="7">
        <f t="shared" si="0"/>
        <v>96550</v>
      </c>
      <c r="G9" s="7">
        <f t="shared" si="2"/>
        <v>49172.5</v>
      </c>
      <c r="H9" s="7">
        <f t="shared" si="1"/>
        <v>47377.5</v>
      </c>
      <c r="I9" s="7">
        <f t="shared" si="3"/>
        <v>11253</v>
      </c>
      <c r="J9" s="7">
        <v>0</v>
      </c>
      <c r="K9" s="7">
        <v>0</v>
      </c>
      <c r="L9" s="7">
        <v>1909.090909090909</v>
      </c>
      <c r="M9" s="7">
        <f>14884+14884</f>
        <v>29768</v>
      </c>
      <c r="N9" s="7">
        <v>1041.8800000000001</v>
      </c>
      <c r="O9" s="7">
        <v>0</v>
      </c>
      <c r="P9" s="7">
        <v>6149.62</v>
      </c>
      <c r="Q9" s="7">
        <v>450</v>
      </c>
      <c r="R9" s="7">
        <v>642</v>
      </c>
      <c r="S9" s="7">
        <v>211.96</v>
      </c>
      <c r="T9" s="7">
        <v>0</v>
      </c>
      <c r="U9" s="7">
        <v>0</v>
      </c>
      <c r="V9" s="7">
        <v>0</v>
      </c>
      <c r="W9" s="7"/>
      <c r="X9" s="7"/>
      <c r="Y9" s="7">
        <v>0</v>
      </c>
      <c r="Z9" s="8">
        <f t="shared" si="4"/>
        <v>-4048.0509090909118</v>
      </c>
    </row>
    <row r="10" spans="1:27" ht="23.4" x14ac:dyDescent="0.6">
      <c r="A10" s="5">
        <v>8</v>
      </c>
      <c r="B10" s="5">
        <v>10219</v>
      </c>
      <c r="C10" s="6" t="s">
        <v>33</v>
      </c>
      <c r="D10" s="7">
        <v>87980</v>
      </c>
      <c r="E10" s="7">
        <v>6135</v>
      </c>
      <c r="F10" s="7">
        <f t="shared" si="0"/>
        <v>81845</v>
      </c>
      <c r="G10" s="7">
        <f t="shared" si="2"/>
        <v>43990</v>
      </c>
      <c r="H10" s="7">
        <f t="shared" si="1"/>
        <v>37855</v>
      </c>
      <c r="I10" s="7">
        <f>363*31</f>
        <v>11253</v>
      </c>
      <c r="J10" s="7">
        <v>0</v>
      </c>
      <c r="K10" s="7">
        <v>0</v>
      </c>
      <c r="L10" s="7">
        <v>1909.090909090909</v>
      </c>
      <c r="M10" s="7">
        <v>16500</v>
      </c>
      <c r="N10" s="7">
        <v>0</v>
      </c>
      <c r="O10" s="7">
        <v>0</v>
      </c>
      <c r="P10" s="7">
        <v>4266.3999999999996</v>
      </c>
      <c r="Q10" s="7">
        <v>375</v>
      </c>
      <c r="R10" s="7">
        <v>642</v>
      </c>
      <c r="S10" s="7">
        <v>212.96</v>
      </c>
      <c r="T10" s="7">
        <v>0</v>
      </c>
      <c r="U10" s="7">
        <v>0</v>
      </c>
      <c r="V10" s="7">
        <v>0</v>
      </c>
      <c r="W10" s="7"/>
      <c r="X10" s="7"/>
      <c r="Y10" s="7">
        <v>135</v>
      </c>
      <c r="Z10" s="8">
        <f t="shared" si="4"/>
        <v>2561.5490909090922</v>
      </c>
    </row>
    <row r="11" spans="1:27" ht="23.4" x14ac:dyDescent="0.6">
      <c r="A11" s="5">
        <v>9</v>
      </c>
      <c r="B11" s="5">
        <v>10235</v>
      </c>
      <c r="C11" s="6" t="s">
        <v>34</v>
      </c>
      <c r="D11" s="7">
        <v>68720</v>
      </c>
      <c r="E11" s="7">
        <v>6460</v>
      </c>
      <c r="F11" s="7">
        <f t="shared" si="0"/>
        <v>62260</v>
      </c>
      <c r="G11" s="7">
        <f t="shared" si="2"/>
        <v>34360</v>
      </c>
      <c r="H11" s="7">
        <f t="shared" si="1"/>
        <v>27900</v>
      </c>
      <c r="I11" s="7">
        <f t="shared" si="3"/>
        <v>11253</v>
      </c>
      <c r="J11" s="7">
        <v>0</v>
      </c>
      <c r="K11" s="7">
        <v>0</v>
      </c>
      <c r="L11" s="7">
        <v>1909.090909090909</v>
      </c>
      <c r="M11" s="7">
        <v>12000</v>
      </c>
      <c r="N11" s="7">
        <v>397.95</v>
      </c>
      <c r="O11" s="7">
        <v>15</v>
      </c>
      <c r="P11" s="7">
        <f>5832.57-15</f>
        <v>5817.57</v>
      </c>
      <c r="Q11" s="7">
        <v>0</v>
      </c>
      <c r="R11" s="7">
        <v>642</v>
      </c>
      <c r="S11" s="7">
        <v>212.72</v>
      </c>
      <c r="T11" s="7">
        <v>0</v>
      </c>
      <c r="U11" s="7">
        <v>0</v>
      </c>
      <c r="V11" s="7">
        <v>0</v>
      </c>
      <c r="W11" s="7"/>
      <c r="X11" s="7"/>
      <c r="Y11" s="7">
        <v>74</v>
      </c>
      <c r="Z11" s="8">
        <f t="shared" si="4"/>
        <v>-4421.3309090909079</v>
      </c>
    </row>
    <row r="12" spans="1:27" ht="23.4" x14ac:dyDescent="0.6">
      <c r="A12" s="5">
        <v>10</v>
      </c>
      <c r="B12" s="5">
        <v>10264</v>
      </c>
      <c r="C12" s="6" t="s">
        <v>35</v>
      </c>
      <c r="D12" s="7">
        <v>110195</v>
      </c>
      <c r="E12" s="7">
        <v>5820</v>
      </c>
      <c r="F12" s="7">
        <f t="shared" si="0"/>
        <v>104375</v>
      </c>
      <c r="G12" s="7">
        <f t="shared" si="2"/>
        <v>55097.5</v>
      </c>
      <c r="H12" s="7">
        <f t="shared" si="1"/>
        <v>49277.5</v>
      </c>
      <c r="I12" s="7">
        <f t="shared" si="3"/>
        <v>11253</v>
      </c>
      <c r="J12" s="7">
        <v>175</v>
      </c>
      <c r="K12" s="7">
        <v>0</v>
      </c>
      <c r="L12" s="7">
        <v>1909.090909090909</v>
      </c>
      <c r="M12" s="7">
        <v>21000</v>
      </c>
      <c r="N12" s="7">
        <v>735</v>
      </c>
      <c r="O12" s="7">
        <v>0</v>
      </c>
      <c r="P12" s="7">
        <v>4892.04</v>
      </c>
      <c r="Q12" s="7">
        <v>405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/>
      <c r="Y12" s="7">
        <v>25</v>
      </c>
      <c r="Z12" s="8">
        <f t="shared" si="4"/>
        <v>8883.3690909090874</v>
      </c>
    </row>
    <row r="13" spans="1:27" ht="23.4" x14ac:dyDescent="0.6">
      <c r="A13" s="5">
        <v>11</v>
      </c>
      <c r="B13" s="5">
        <v>10323</v>
      </c>
      <c r="C13" s="6" t="s">
        <v>36</v>
      </c>
      <c r="D13" s="7">
        <v>11690</v>
      </c>
      <c r="E13" s="7">
        <v>785</v>
      </c>
      <c r="F13" s="7">
        <f t="shared" si="0"/>
        <v>10905</v>
      </c>
      <c r="G13" s="7">
        <f t="shared" si="2"/>
        <v>5845</v>
      </c>
      <c r="H13" s="7">
        <f t="shared" si="1"/>
        <v>5060</v>
      </c>
      <c r="I13" s="7">
        <f>363*27</f>
        <v>9801</v>
      </c>
      <c r="J13" s="7">
        <v>0</v>
      </c>
      <c r="K13" s="7">
        <v>0</v>
      </c>
      <c r="L13" s="7">
        <v>1909.090909090909</v>
      </c>
      <c r="M13" s="7">
        <v>1500</v>
      </c>
      <c r="N13" s="7">
        <v>0</v>
      </c>
      <c r="O13" s="7">
        <v>0</v>
      </c>
      <c r="P13" s="7">
        <v>110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/>
      <c r="Y13" s="7">
        <v>0</v>
      </c>
      <c r="Z13" s="8">
        <f t="shared" si="4"/>
        <v>-8260.0909090909081</v>
      </c>
    </row>
    <row r="14" spans="1:27" ht="23.4" x14ac:dyDescent="0.6">
      <c r="A14" s="5">
        <v>12</v>
      </c>
      <c r="B14" s="5">
        <v>10242</v>
      </c>
      <c r="C14" s="6" t="s">
        <v>42</v>
      </c>
      <c r="D14" s="7">
        <v>0</v>
      </c>
      <c r="E14" s="7">
        <v>0</v>
      </c>
      <c r="F14" s="7">
        <f t="shared" si="0"/>
        <v>0</v>
      </c>
      <c r="G14" s="7">
        <f t="shared" si="2"/>
        <v>0</v>
      </c>
      <c r="H14" s="7">
        <f t="shared" si="1"/>
        <v>0</v>
      </c>
      <c r="I14" s="7">
        <v>0</v>
      </c>
      <c r="J14" s="7">
        <v>0</v>
      </c>
      <c r="K14" s="7">
        <v>0</v>
      </c>
      <c r="L14" s="7">
        <v>0</v>
      </c>
      <c r="M14" s="7">
        <v>6855.54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/>
      <c r="U14" s="7">
        <v>0</v>
      </c>
      <c r="V14" s="7">
        <v>0</v>
      </c>
      <c r="W14" s="7"/>
      <c r="X14" s="7"/>
      <c r="Y14" s="7">
        <v>0</v>
      </c>
      <c r="Z14" s="8">
        <f t="shared" si="4"/>
        <v>-6855.54</v>
      </c>
    </row>
    <row r="15" spans="1:27" ht="23.4" x14ac:dyDescent="0.6">
      <c r="A15" s="5">
        <v>13</v>
      </c>
      <c r="B15" s="5"/>
      <c r="C15" s="6" t="s">
        <v>43</v>
      </c>
      <c r="D15" s="7">
        <v>0</v>
      </c>
      <c r="E15" s="7">
        <v>0</v>
      </c>
      <c r="F15" s="7">
        <f t="shared" si="0"/>
        <v>0</v>
      </c>
      <c r="G15" s="7">
        <f t="shared" si="2"/>
        <v>0</v>
      </c>
      <c r="H15" s="7">
        <f t="shared" si="1"/>
        <v>0</v>
      </c>
      <c r="I15" s="7">
        <v>0</v>
      </c>
      <c r="J15" s="7">
        <v>0</v>
      </c>
      <c r="K15" s="7">
        <v>0</v>
      </c>
      <c r="L15" s="7">
        <v>0</v>
      </c>
      <c r="M15" s="7">
        <v>12000</v>
      </c>
      <c r="N15" s="7">
        <v>420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/>
      <c r="U15" s="7">
        <v>0</v>
      </c>
      <c r="V15" s="7">
        <v>0</v>
      </c>
      <c r="W15" s="7"/>
      <c r="X15" s="7"/>
      <c r="Y15" s="7">
        <v>0</v>
      </c>
      <c r="Z15" s="8">
        <f t="shared" si="4"/>
        <v>-12420</v>
      </c>
    </row>
    <row r="16" spans="1:27" ht="27" thickBot="1" x14ac:dyDescent="0.75">
      <c r="C16" s="10" t="s">
        <v>37</v>
      </c>
      <c r="D16" s="11">
        <f>SUM(D3:D15)</f>
        <v>1002227</v>
      </c>
      <c r="E16" s="11">
        <f t="shared" ref="E16:Y16" si="5">SUM(E3:E15)</f>
        <v>95379</v>
      </c>
      <c r="F16" s="11">
        <f t="shared" si="5"/>
        <v>906848</v>
      </c>
      <c r="G16" s="11">
        <f t="shared" si="5"/>
        <v>501113.5</v>
      </c>
      <c r="H16" s="11">
        <f t="shared" si="5"/>
        <v>405734.5</v>
      </c>
      <c r="I16" s="11">
        <f t="shared" si="5"/>
        <v>122331</v>
      </c>
      <c r="J16" s="11">
        <f t="shared" si="5"/>
        <v>1456.56</v>
      </c>
      <c r="K16" s="11">
        <f t="shared" si="5"/>
        <v>500</v>
      </c>
      <c r="L16" s="11">
        <f t="shared" si="5"/>
        <v>20999.999999999993</v>
      </c>
      <c r="M16" s="11">
        <f t="shared" si="5"/>
        <v>166952.54</v>
      </c>
      <c r="N16" s="11">
        <f t="shared" si="5"/>
        <v>4140.17</v>
      </c>
      <c r="O16" s="11">
        <f t="shared" si="5"/>
        <v>15</v>
      </c>
      <c r="P16" s="11">
        <f t="shared" si="5"/>
        <v>52877.600000000006</v>
      </c>
      <c r="Q16" s="11">
        <f t="shared" si="5"/>
        <v>1695</v>
      </c>
      <c r="R16" s="11">
        <f t="shared" si="5"/>
        <v>4171.93</v>
      </c>
      <c r="S16" s="11">
        <f t="shared" si="5"/>
        <v>1889.4</v>
      </c>
      <c r="T16" s="11">
        <f t="shared" si="5"/>
        <v>0</v>
      </c>
      <c r="U16" s="11">
        <f t="shared" si="5"/>
        <v>250</v>
      </c>
      <c r="V16" s="11">
        <f t="shared" si="5"/>
        <v>800</v>
      </c>
      <c r="W16" s="11">
        <f t="shared" si="5"/>
        <v>0</v>
      </c>
      <c r="X16" s="11">
        <f t="shared" si="5"/>
        <v>0</v>
      </c>
      <c r="Y16" s="11">
        <f t="shared" si="5"/>
        <v>973</v>
      </c>
      <c r="Z16" s="11">
        <f>SUM(Z3:Z13)</f>
        <v>45957.84</v>
      </c>
      <c r="AA16" s="12" t="s">
        <v>38</v>
      </c>
    </row>
    <row r="17" spans="4:26" ht="35.4" thickTop="1" x14ac:dyDescent="0.9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048576">
    <cfRule type="cellIs" dxfId="2" priority="1" operator="lessThan">
      <formula>0</formula>
    </cfRule>
  </conditionalFormatting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F9A6-FE95-448C-8AA8-0EE7E0F9E966}">
  <sheetPr>
    <tabColor rgb="FF66FFFF"/>
    <pageSetUpPr fitToPage="1"/>
  </sheetPr>
  <dimension ref="A1:AA20"/>
  <sheetViews>
    <sheetView zoomScale="85" zoomScaleNormal="85" workbookViewId="0">
      <pane xSplit="3" ySplit="2" topLeftCell="D3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2.69921875" style="2" customWidth="1"/>
    <col min="5" max="5" width="11.19921875" style="2" customWidth="1"/>
    <col min="6" max="6" width="14.09765625" style="2" customWidth="1"/>
    <col min="7" max="7" width="12.19921875" style="2" customWidth="1"/>
    <col min="8" max="8" width="13.19921875" style="2" customWidth="1"/>
    <col min="9" max="22" width="13.3984375" style="2" customWidth="1"/>
    <col min="23" max="24" width="13.3984375" style="2" hidden="1" customWidth="1"/>
    <col min="25" max="25" width="13.3984375" style="2" customWidth="1"/>
    <col min="26" max="26" width="16.69921875" style="2" customWidth="1"/>
    <col min="27" max="16384" width="9" style="2"/>
  </cols>
  <sheetData>
    <row r="1" spans="1:27" ht="28.8" x14ac:dyDescent="0.75">
      <c r="A1" s="1" t="s">
        <v>44</v>
      </c>
    </row>
    <row r="2" spans="1:27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41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45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</row>
    <row r="3" spans="1:27" ht="23.4" x14ac:dyDescent="0.6">
      <c r="A3" s="5">
        <v>1</v>
      </c>
      <c r="B3" s="5">
        <v>10203</v>
      </c>
      <c r="C3" s="6" t="s">
        <v>26</v>
      </c>
      <c r="D3" s="7">
        <v>100535</v>
      </c>
      <c r="E3" s="7">
        <v>2870</v>
      </c>
      <c r="F3" s="7">
        <f t="shared" ref="F3:F13" si="0">+D3-E3</f>
        <v>97665</v>
      </c>
      <c r="G3" s="7">
        <f>+D3*0.5</f>
        <v>50267.5</v>
      </c>
      <c r="H3" s="7">
        <f t="shared" ref="H3:H13" si="1">+F3-G3</f>
        <v>47397.5</v>
      </c>
      <c r="I3" s="7">
        <v>14156.551670000001</v>
      </c>
      <c r="J3" s="7">
        <v>0</v>
      </c>
      <c r="K3" s="7">
        <v>100</v>
      </c>
      <c r="L3" s="7">
        <v>2500</v>
      </c>
      <c r="M3" s="7">
        <f>14884+14884</f>
        <v>29768</v>
      </c>
      <c r="N3" s="7">
        <v>1041.8800000000001</v>
      </c>
      <c r="O3" s="7">
        <v>0</v>
      </c>
      <c r="P3" s="7">
        <v>5649.6</v>
      </c>
      <c r="Q3" s="7">
        <v>435</v>
      </c>
      <c r="R3" s="7">
        <v>642</v>
      </c>
      <c r="S3" s="7">
        <v>206.96</v>
      </c>
      <c r="T3" s="7">
        <v>0</v>
      </c>
      <c r="U3" s="7">
        <v>0</v>
      </c>
      <c r="V3" s="7">
        <v>0</v>
      </c>
      <c r="W3" s="7"/>
      <c r="X3" s="7"/>
      <c r="Y3" s="7">
        <v>0</v>
      </c>
      <c r="Z3" s="8">
        <f>+H3-I3-J3-L3-M3-O3-P3-S3-T3-U3-V3-W3-X3-Y3-Q3-R3-K3-N3</f>
        <v>-7102.4916700000012</v>
      </c>
    </row>
    <row r="4" spans="1:27" ht="23.4" x14ac:dyDescent="0.6">
      <c r="A4" s="5">
        <v>2</v>
      </c>
      <c r="B4" s="5">
        <v>10204</v>
      </c>
      <c r="C4" s="6" t="s">
        <v>27</v>
      </c>
      <c r="D4" s="7">
        <v>109287</v>
      </c>
      <c r="E4" s="7">
        <v>26502</v>
      </c>
      <c r="F4" s="7">
        <f t="shared" si="0"/>
        <v>82785</v>
      </c>
      <c r="G4" s="7">
        <f t="shared" ref="G4:G13" si="2">+D4*0.5</f>
        <v>54643.5</v>
      </c>
      <c r="H4" s="7">
        <f t="shared" si="1"/>
        <v>28141.5</v>
      </c>
      <c r="I4" s="7">
        <v>14156.551670000001</v>
      </c>
      <c r="J4" s="7">
        <v>0</v>
      </c>
      <c r="K4" s="7">
        <v>0</v>
      </c>
      <c r="L4" s="7">
        <v>2500</v>
      </c>
      <c r="M4" s="7">
        <v>5820</v>
      </c>
      <c r="N4" s="7">
        <v>0</v>
      </c>
      <c r="O4" s="7">
        <v>0</v>
      </c>
      <c r="P4" s="7">
        <v>4275.62</v>
      </c>
      <c r="Q4" s="7">
        <v>0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/>
      <c r="Y4" s="7">
        <v>12</v>
      </c>
      <c r="Z4" s="8">
        <f t="shared" ref="Z4:Z13" si="3">+H4-I4-J4-L4-M4-O4-P4-S4-T4-U4-V4-W4-X4-Y4-Q4-R4-K4-N4</f>
        <v>1170.3683299999993</v>
      </c>
    </row>
    <row r="5" spans="1:27" ht="24" customHeight="1" x14ac:dyDescent="0.6">
      <c r="A5" s="5">
        <v>3</v>
      </c>
      <c r="B5" s="5">
        <v>10205</v>
      </c>
      <c r="C5" s="6" t="s">
        <v>28</v>
      </c>
      <c r="D5" s="7">
        <v>109613</v>
      </c>
      <c r="E5" s="7">
        <v>24126</v>
      </c>
      <c r="F5" s="7">
        <f t="shared" si="0"/>
        <v>85487</v>
      </c>
      <c r="G5" s="7">
        <f t="shared" si="2"/>
        <v>54806.5</v>
      </c>
      <c r="H5" s="7">
        <f t="shared" si="1"/>
        <v>30680.5</v>
      </c>
      <c r="I5" s="7">
        <v>14156.551670000001</v>
      </c>
      <c r="J5" s="7">
        <v>0</v>
      </c>
      <c r="K5" s="7">
        <v>0</v>
      </c>
      <c r="L5" s="7">
        <v>2500</v>
      </c>
      <c r="M5" s="7">
        <v>0</v>
      </c>
      <c r="N5" s="7">
        <v>0</v>
      </c>
      <c r="O5" s="7">
        <v>0</v>
      </c>
      <c r="P5" s="7">
        <v>13871.35</v>
      </c>
      <c r="Q5" s="7">
        <v>0</v>
      </c>
      <c r="R5" s="7">
        <v>961.93</v>
      </c>
      <c r="S5" s="7">
        <v>207.96</v>
      </c>
      <c r="T5" s="7">
        <v>0</v>
      </c>
      <c r="U5" s="7">
        <f>50+50</f>
        <v>100</v>
      </c>
      <c r="V5" s="7">
        <f>150+150+140+320+180</f>
        <v>940</v>
      </c>
      <c r="W5" s="7"/>
      <c r="X5" s="7"/>
      <c r="Y5" s="7">
        <f>6+102</f>
        <v>108</v>
      </c>
      <c r="Z5" s="8">
        <f t="shared" si="3"/>
        <v>-2165.291670000001</v>
      </c>
    </row>
    <row r="6" spans="1:27" ht="23.4" x14ac:dyDescent="0.6">
      <c r="A6" s="5">
        <v>4</v>
      </c>
      <c r="B6" s="5">
        <v>10207</v>
      </c>
      <c r="C6" s="6" t="s">
        <v>29</v>
      </c>
      <c r="D6" s="7">
        <v>119608</v>
      </c>
      <c r="E6" s="7">
        <v>5203</v>
      </c>
      <c r="F6" s="7">
        <f t="shared" si="0"/>
        <v>114405</v>
      </c>
      <c r="G6" s="7">
        <f t="shared" si="2"/>
        <v>59804</v>
      </c>
      <c r="H6" s="7">
        <f t="shared" si="1"/>
        <v>54601</v>
      </c>
      <c r="I6" s="7">
        <v>14156.551670000001</v>
      </c>
      <c r="J6" s="7">
        <v>906.2</v>
      </c>
      <c r="K6" s="7">
        <v>300</v>
      </c>
      <c r="L6" s="7">
        <v>2500</v>
      </c>
      <c r="M6" s="7">
        <v>9000</v>
      </c>
      <c r="N6" s="7">
        <v>0</v>
      </c>
      <c r="O6" s="7">
        <v>0</v>
      </c>
      <c r="P6" s="7">
        <v>2603</v>
      </c>
      <c r="Q6" s="7">
        <v>0</v>
      </c>
      <c r="R6" s="7">
        <v>0</v>
      </c>
      <c r="S6" s="7">
        <v>208.96</v>
      </c>
      <c r="T6" s="7">
        <v>0</v>
      </c>
      <c r="U6" s="7">
        <v>0</v>
      </c>
      <c r="V6" s="7">
        <v>0</v>
      </c>
      <c r="W6" s="7"/>
      <c r="X6" s="7"/>
      <c r="Y6" s="7">
        <v>0</v>
      </c>
      <c r="Z6" s="8">
        <f t="shared" si="3"/>
        <v>24926.288330000003</v>
      </c>
    </row>
    <row r="7" spans="1:27" ht="23.4" x14ac:dyDescent="0.6">
      <c r="A7" s="5">
        <v>5</v>
      </c>
      <c r="B7" s="5">
        <v>10208</v>
      </c>
      <c r="C7" s="6" t="s">
        <v>30</v>
      </c>
      <c r="D7" s="7">
        <v>53349</v>
      </c>
      <c r="E7" s="7">
        <v>7039</v>
      </c>
      <c r="F7" s="7">
        <f t="shared" si="0"/>
        <v>46310</v>
      </c>
      <c r="G7" s="7">
        <f t="shared" si="2"/>
        <v>26674.5</v>
      </c>
      <c r="H7" s="7">
        <f t="shared" si="1"/>
        <v>19635.5</v>
      </c>
      <c r="I7" s="7">
        <v>14156.551670000001</v>
      </c>
      <c r="J7" s="7">
        <v>0</v>
      </c>
      <c r="K7" s="7">
        <v>0</v>
      </c>
      <c r="L7" s="7">
        <v>2500</v>
      </c>
      <c r="M7" s="7">
        <v>6741</v>
      </c>
      <c r="N7" s="7">
        <v>259.37</v>
      </c>
      <c r="O7" s="7">
        <v>0</v>
      </c>
      <c r="P7" s="7">
        <v>1324.7</v>
      </c>
      <c r="Q7" s="7">
        <v>0</v>
      </c>
      <c r="R7" s="7">
        <v>0</v>
      </c>
      <c r="S7" s="7">
        <v>209.96</v>
      </c>
      <c r="T7" s="7">
        <v>0</v>
      </c>
      <c r="U7" s="7">
        <v>0</v>
      </c>
      <c r="V7" s="7">
        <v>0</v>
      </c>
      <c r="W7" s="7"/>
      <c r="X7" s="7"/>
      <c r="Y7" s="7">
        <v>0</v>
      </c>
      <c r="Z7" s="8">
        <f t="shared" si="3"/>
        <v>-5556.0816700000005</v>
      </c>
    </row>
    <row r="8" spans="1:27" ht="23.4" x14ac:dyDescent="0.6">
      <c r="A8" s="5">
        <v>6</v>
      </c>
      <c r="B8" s="5">
        <v>10209</v>
      </c>
      <c r="C8" s="6" t="s">
        <v>31</v>
      </c>
      <c r="D8" s="7">
        <v>138190</v>
      </c>
      <c r="E8" s="7">
        <v>18010</v>
      </c>
      <c r="F8" s="7">
        <f t="shared" si="0"/>
        <v>120180</v>
      </c>
      <c r="G8" s="7">
        <f t="shared" si="2"/>
        <v>69095</v>
      </c>
      <c r="H8" s="7">
        <f t="shared" si="1"/>
        <v>51085</v>
      </c>
      <c r="I8" s="7">
        <v>14156.551670000001</v>
      </c>
      <c r="J8" s="7">
        <v>375.36</v>
      </c>
      <c r="K8" s="7">
        <v>100</v>
      </c>
      <c r="L8" s="7">
        <v>2500</v>
      </c>
      <c r="M8" s="7">
        <v>16000</v>
      </c>
      <c r="N8" s="7">
        <v>250.64</v>
      </c>
      <c r="O8" s="7">
        <v>0</v>
      </c>
      <c r="P8" s="7">
        <v>3580.5</v>
      </c>
      <c r="Q8" s="7">
        <v>0</v>
      </c>
      <c r="R8" s="7">
        <v>642</v>
      </c>
      <c r="S8" s="7">
        <v>210.96</v>
      </c>
      <c r="T8" s="7">
        <v>0</v>
      </c>
      <c r="U8" s="7">
        <v>0</v>
      </c>
      <c r="V8" s="7">
        <v>600</v>
      </c>
      <c r="W8" s="7"/>
      <c r="X8" s="7"/>
      <c r="Y8" s="7">
        <v>0</v>
      </c>
      <c r="Z8" s="8">
        <f t="shared" si="3"/>
        <v>12668.98833</v>
      </c>
    </row>
    <row r="9" spans="1:27" ht="23.4" x14ac:dyDescent="0.6">
      <c r="A9" s="5">
        <v>7</v>
      </c>
      <c r="B9" s="5">
        <v>10210</v>
      </c>
      <c r="C9" s="6" t="s">
        <v>32</v>
      </c>
      <c r="D9" s="7">
        <v>106551</v>
      </c>
      <c r="E9" s="7">
        <v>4706</v>
      </c>
      <c r="F9" s="7">
        <f t="shared" si="0"/>
        <v>101845</v>
      </c>
      <c r="G9" s="7">
        <f t="shared" si="2"/>
        <v>53275.5</v>
      </c>
      <c r="H9" s="7">
        <f t="shared" si="1"/>
        <v>48569.5</v>
      </c>
      <c r="I9" s="7">
        <v>14156.551670000001</v>
      </c>
      <c r="J9" s="7">
        <v>0</v>
      </c>
      <c r="K9" s="7">
        <v>0</v>
      </c>
      <c r="L9" s="7">
        <v>2500</v>
      </c>
      <c r="M9" s="7">
        <f>14884+14884</f>
        <v>29768</v>
      </c>
      <c r="N9" s="7">
        <v>1041.8800000000001</v>
      </c>
      <c r="O9" s="7">
        <v>0</v>
      </c>
      <c r="P9" s="7">
        <f>392.28+5604</f>
        <v>5996.28</v>
      </c>
      <c r="Q9" s="7">
        <v>435</v>
      </c>
      <c r="R9" s="7">
        <v>642</v>
      </c>
      <c r="S9" s="7">
        <v>211.96</v>
      </c>
      <c r="T9" s="7">
        <v>0</v>
      </c>
      <c r="U9" s="7">
        <v>0</v>
      </c>
      <c r="V9" s="7">
        <v>0</v>
      </c>
      <c r="W9" s="7"/>
      <c r="X9" s="7"/>
      <c r="Y9" s="7">
        <v>0</v>
      </c>
      <c r="Z9" s="8">
        <f t="shared" si="3"/>
        <v>-6182.1716700000006</v>
      </c>
    </row>
    <row r="10" spans="1:27" ht="23.4" x14ac:dyDescent="0.6">
      <c r="A10" s="5">
        <v>8</v>
      </c>
      <c r="B10" s="5">
        <v>10219</v>
      </c>
      <c r="C10" s="6" t="s">
        <v>33</v>
      </c>
      <c r="D10" s="7">
        <v>74220</v>
      </c>
      <c r="E10" s="7">
        <v>5980</v>
      </c>
      <c r="F10" s="7">
        <f t="shared" si="0"/>
        <v>68240</v>
      </c>
      <c r="G10" s="7">
        <f t="shared" si="2"/>
        <v>37110</v>
      </c>
      <c r="H10" s="7">
        <f t="shared" si="1"/>
        <v>31130</v>
      </c>
      <c r="I10" s="7">
        <v>14156.551670000001</v>
      </c>
      <c r="J10" s="7">
        <v>0</v>
      </c>
      <c r="K10" s="7">
        <v>0</v>
      </c>
      <c r="L10" s="7">
        <v>2500</v>
      </c>
      <c r="M10" s="7">
        <v>16500</v>
      </c>
      <c r="N10" s="7">
        <v>300.67</v>
      </c>
      <c r="O10" s="7">
        <v>0</v>
      </c>
      <c r="P10" s="7">
        <v>3828</v>
      </c>
      <c r="Q10" s="7">
        <v>360</v>
      </c>
      <c r="R10" s="7">
        <v>642</v>
      </c>
      <c r="S10" s="7">
        <v>212.96</v>
      </c>
      <c r="T10" s="7">
        <v>467.29</v>
      </c>
      <c r="U10" s="7">
        <v>0</v>
      </c>
      <c r="V10" s="7">
        <v>0</v>
      </c>
      <c r="W10" s="7"/>
      <c r="X10" s="7"/>
      <c r="Y10" s="7">
        <v>0</v>
      </c>
      <c r="Z10" s="8">
        <f t="shared" si="3"/>
        <v>-7837.4716700000008</v>
      </c>
    </row>
    <row r="11" spans="1:27" ht="23.4" x14ac:dyDescent="0.6">
      <c r="A11" s="5">
        <v>9</v>
      </c>
      <c r="B11" s="5">
        <v>10235</v>
      </c>
      <c r="C11" s="6" t="s">
        <v>34</v>
      </c>
      <c r="D11" s="7">
        <v>77236</v>
      </c>
      <c r="E11" s="7">
        <v>8576</v>
      </c>
      <c r="F11" s="7">
        <f t="shared" si="0"/>
        <v>68660</v>
      </c>
      <c r="G11" s="7">
        <f t="shared" si="2"/>
        <v>38618</v>
      </c>
      <c r="H11" s="7">
        <f t="shared" si="1"/>
        <v>30042</v>
      </c>
      <c r="I11" s="7">
        <v>14156.551670000001</v>
      </c>
      <c r="J11" s="7">
        <v>0</v>
      </c>
      <c r="K11" s="7">
        <v>0</v>
      </c>
      <c r="L11" s="7">
        <v>2500</v>
      </c>
      <c r="M11" s="7">
        <v>12000</v>
      </c>
      <c r="N11" s="7">
        <v>355.95</v>
      </c>
      <c r="O11" s="7">
        <v>15</v>
      </c>
      <c r="P11" s="7">
        <v>5070</v>
      </c>
      <c r="Q11" s="7">
        <v>15</v>
      </c>
      <c r="R11" s="7">
        <v>642</v>
      </c>
      <c r="S11" s="7">
        <v>212.72</v>
      </c>
      <c r="T11" s="7">
        <v>0</v>
      </c>
      <c r="U11" s="7">
        <v>0</v>
      </c>
      <c r="V11" s="7">
        <v>0</v>
      </c>
      <c r="W11" s="7"/>
      <c r="X11" s="7"/>
      <c r="Y11" s="7">
        <v>0</v>
      </c>
      <c r="Z11" s="8">
        <f t="shared" si="3"/>
        <v>-4925.2216699999999</v>
      </c>
    </row>
    <row r="12" spans="1:27" ht="23.4" x14ac:dyDescent="0.6">
      <c r="A12" s="5">
        <v>10</v>
      </c>
      <c r="B12" s="5">
        <v>10264</v>
      </c>
      <c r="C12" s="6" t="s">
        <v>35</v>
      </c>
      <c r="D12" s="7">
        <v>89410</v>
      </c>
      <c r="E12" s="7">
        <v>8396</v>
      </c>
      <c r="F12" s="7">
        <f t="shared" si="0"/>
        <v>81014</v>
      </c>
      <c r="G12" s="7">
        <f t="shared" si="2"/>
        <v>44705</v>
      </c>
      <c r="H12" s="7">
        <f t="shared" si="1"/>
        <v>36309</v>
      </c>
      <c r="I12" s="7">
        <v>14156.551670000001</v>
      </c>
      <c r="J12" s="7">
        <v>175</v>
      </c>
      <c r="K12" s="7">
        <v>0</v>
      </c>
      <c r="L12" s="7">
        <v>2500</v>
      </c>
      <c r="M12" s="7">
        <v>21000</v>
      </c>
      <c r="N12" s="7">
        <v>735</v>
      </c>
      <c r="O12" s="7">
        <v>0</v>
      </c>
      <c r="P12" s="7">
        <v>5129.58</v>
      </c>
      <c r="Q12" s="7">
        <v>390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/>
      <c r="Y12" s="7">
        <v>25</v>
      </c>
      <c r="Z12" s="8">
        <f t="shared" si="3"/>
        <v>-7802.1316700000007</v>
      </c>
    </row>
    <row r="13" spans="1:27" ht="23.4" x14ac:dyDescent="0.6">
      <c r="A13" s="5">
        <v>11</v>
      </c>
      <c r="B13" s="5">
        <v>10323</v>
      </c>
      <c r="C13" s="6" t="s">
        <v>36</v>
      </c>
      <c r="D13" s="7">
        <v>8085</v>
      </c>
      <c r="E13" s="7">
        <v>2120</v>
      </c>
      <c r="F13" s="7">
        <f t="shared" si="0"/>
        <v>5965</v>
      </c>
      <c r="G13" s="7">
        <f t="shared" si="2"/>
        <v>4042.5</v>
      </c>
      <c r="H13" s="7">
        <f t="shared" si="1"/>
        <v>1922.5</v>
      </c>
      <c r="I13" s="7">
        <v>14156.551670000001</v>
      </c>
      <c r="J13" s="7">
        <v>0</v>
      </c>
      <c r="K13" s="7">
        <v>0</v>
      </c>
      <c r="L13" s="7">
        <v>2500</v>
      </c>
      <c r="M13" s="7">
        <v>1500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/>
      <c r="Y13" s="7">
        <v>0</v>
      </c>
      <c r="Z13" s="8">
        <f t="shared" si="3"/>
        <v>-16234.051670000001</v>
      </c>
    </row>
    <row r="14" spans="1:27" ht="23.4" x14ac:dyDescent="0.6">
      <c r="A14" s="5">
        <v>12</v>
      </c>
      <c r="B14" s="5">
        <v>10371</v>
      </c>
      <c r="C14" s="6" t="s">
        <v>43</v>
      </c>
      <c r="D14" s="7">
        <v>6880</v>
      </c>
      <c r="E14" s="7">
        <v>648</v>
      </c>
      <c r="F14" s="7">
        <f>+D14-E14</f>
        <v>6232</v>
      </c>
      <c r="G14" s="7">
        <f>+D14*0.5</f>
        <v>3440</v>
      </c>
      <c r="H14" s="7">
        <f>+F14-G14</f>
        <v>2792</v>
      </c>
      <c r="I14" s="7">
        <v>14156.551670000001</v>
      </c>
      <c r="J14" s="7">
        <v>0</v>
      </c>
      <c r="K14" s="7">
        <v>0</v>
      </c>
      <c r="L14" s="7">
        <v>2500</v>
      </c>
      <c r="M14" s="7">
        <v>12000</v>
      </c>
      <c r="N14" s="7">
        <v>4230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/>
      <c r="X14" s="7"/>
      <c r="Y14" s="7">
        <v>0</v>
      </c>
      <c r="Z14" s="8">
        <f>+H14-I14-J14-L14-M14-O14-P14-S14-T14-U14-V14-W14-X14-Y14-Q14-R14-K14-N14</f>
        <v>-30094.551670000001</v>
      </c>
    </row>
    <row r="15" spans="1:27" ht="27" thickBot="1" x14ac:dyDescent="0.75">
      <c r="C15" s="10" t="s">
        <v>37</v>
      </c>
      <c r="D15" s="11">
        <f t="shared" ref="D15:X15" si="4">SUM(D3:D14)</f>
        <v>992964</v>
      </c>
      <c r="E15" s="11">
        <f t="shared" si="4"/>
        <v>114176</v>
      </c>
      <c r="F15" s="11">
        <f t="shared" si="4"/>
        <v>878788</v>
      </c>
      <c r="G15" s="11">
        <f t="shared" si="4"/>
        <v>496482</v>
      </c>
      <c r="H15" s="11">
        <f t="shared" si="4"/>
        <v>382306</v>
      </c>
      <c r="I15" s="11">
        <f>SUM(I3:I14)</f>
        <v>169878.62004000001</v>
      </c>
      <c r="J15" s="11">
        <f t="shared" si="4"/>
        <v>1456.56</v>
      </c>
      <c r="K15" s="11">
        <f t="shared" si="4"/>
        <v>500</v>
      </c>
      <c r="L15" s="11">
        <f t="shared" si="4"/>
        <v>30000</v>
      </c>
      <c r="M15" s="11">
        <f t="shared" si="4"/>
        <v>160097</v>
      </c>
      <c r="N15" s="11">
        <f t="shared" si="4"/>
        <v>8215.39</v>
      </c>
      <c r="O15" s="11">
        <f t="shared" si="4"/>
        <v>15</v>
      </c>
      <c r="P15" s="11">
        <f t="shared" si="4"/>
        <v>51328.630000000005</v>
      </c>
      <c r="Q15" s="11">
        <f t="shared" si="4"/>
        <v>1635</v>
      </c>
      <c r="R15" s="11">
        <f t="shared" si="4"/>
        <v>4171.93</v>
      </c>
      <c r="S15" s="11">
        <f t="shared" si="4"/>
        <v>1889.4</v>
      </c>
      <c r="T15" s="11">
        <f t="shared" si="4"/>
        <v>467.29</v>
      </c>
      <c r="U15" s="11">
        <f t="shared" si="4"/>
        <v>100</v>
      </c>
      <c r="V15" s="11">
        <f t="shared" si="4"/>
        <v>1540</v>
      </c>
      <c r="W15" s="11">
        <f t="shared" si="4"/>
        <v>0</v>
      </c>
      <c r="X15" s="11">
        <f t="shared" si="4"/>
        <v>0</v>
      </c>
      <c r="Y15" s="11">
        <f>SUM(Y3:Y14)</f>
        <v>145</v>
      </c>
      <c r="Z15" s="11">
        <f>SUM(Z3:Z14)</f>
        <v>-49133.820040000006</v>
      </c>
      <c r="AA15" s="12" t="s">
        <v>38</v>
      </c>
    </row>
    <row r="16" spans="1:27" ht="35.4" thickTop="1" x14ac:dyDescent="0.9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0:10" ht="34.799999999999997" x14ac:dyDescent="0.9">
      <c r="J17" s="13"/>
    </row>
    <row r="18" spans="10:10" ht="34.799999999999997" x14ac:dyDescent="0.9">
      <c r="J18" s="13"/>
    </row>
    <row r="19" spans="10:10" ht="34.799999999999997" x14ac:dyDescent="0.9">
      <c r="J19" s="13"/>
    </row>
    <row r="20" spans="10:10" ht="34.799999999999997" x14ac:dyDescent="0.9">
      <c r="J20" s="13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048576">
    <cfRule type="cellIs" dxfId="1" priority="1" operator="lessThan">
      <formula>0</formula>
    </cfRule>
  </conditionalFormatting>
  <pageMargins left="0.25" right="0.25" top="0.75" bottom="0.75" header="0.3" footer="0.3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5FDD-EB71-4432-AAF8-478CBE97AE47}">
  <sheetPr>
    <tabColor rgb="FFFF9999"/>
    <pageSetUpPr fitToPage="1"/>
  </sheetPr>
  <dimension ref="A1:AA20"/>
  <sheetViews>
    <sheetView zoomScale="90" zoomScaleNormal="90" workbookViewId="0">
      <pane xSplit="3" ySplit="2" topLeftCell="E4" activePane="bottomRight" state="frozen"/>
      <selection activeCell="Q11" sqref="Q11"/>
      <selection pane="topRight" activeCell="Q11" sqref="Q11"/>
      <selection pane="bottomLeft" activeCell="Q11" sqref="Q11"/>
      <selection pane="bottomRight" activeCell="Q11" sqref="Q11"/>
    </sheetView>
  </sheetViews>
  <sheetFormatPr defaultColWidth="9" defaultRowHeight="15.6" x14ac:dyDescent="0.4"/>
  <cols>
    <col min="1" max="1" width="7.3984375" style="2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2" width="13.3984375" style="2" customWidth="1"/>
    <col min="23" max="24" width="13.3984375" style="2" hidden="1" customWidth="1"/>
    <col min="25" max="25" width="13.3984375" style="2" customWidth="1"/>
    <col min="26" max="26" width="16.69921875" style="2" customWidth="1"/>
    <col min="27" max="16384" width="9" style="2"/>
  </cols>
  <sheetData>
    <row r="1" spans="1:27" ht="28.8" x14ac:dyDescent="0.75">
      <c r="A1" s="1" t="s">
        <v>46</v>
      </c>
    </row>
    <row r="2" spans="1:27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41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45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</row>
    <row r="3" spans="1:27" ht="23.4" x14ac:dyDescent="0.6">
      <c r="A3" s="5">
        <v>1</v>
      </c>
      <c r="B3" s="5">
        <v>10203</v>
      </c>
      <c r="C3" s="6" t="s">
        <v>26</v>
      </c>
      <c r="D3" s="7">
        <v>138626</v>
      </c>
      <c r="E3" s="7">
        <v>8795</v>
      </c>
      <c r="F3" s="7">
        <f>+D3-E3</f>
        <v>129831</v>
      </c>
      <c r="G3" s="7">
        <f>+D3*0.5</f>
        <v>69313</v>
      </c>
      <c r="H3" s="7">
        <f t="shared" ref="H3:H13" si="0">+F3-G3</f>
        <v>60518</v>
      </c>
      <c r="I3" s="7">
        <f>17988.31-1193.24-300</f>
        <v>16495.07</v>
      </c>
      <c r="J3" s="7">
        <v>1193.24</v>
      </c>
      <c r="K3" s="7">
        <v>300</v>
      </c>
      <c r="L3" s="7">
        <v>3454.5454545454545</v>
      </c>
      <c r="M3" s="7">
        <f>14884+14884</f>
        <v>29768</v>
      </c>
      <c r="N3" s="7">
        <v>1041.8800000000001</v>
      </c>
      <c r="O3" s="7">
        <v>0</v>
      </c>
      <c r="P3" s="7">
        <v>4750</v>
      </c>
      <c r="Q3" s="7">
        <v>435</v>
      </c>
      <c r="R3" s="7">
        <v>642</v>
      </c>
      <c r="S3" s="7">
        <v>206.96</v>
      </c>
      <c r="T3" s="7">
        <v>0</v>
      </c>
      <c r="U3" s="7">
        <v>0</v>
      </c>
      <c r="V3" s="7">
        <v>0</v>
      </c>
      <c r="W3" s="7"/>
      <c r="X3" s="7"/>
      <c r="Y3" s="7">
        <v>0</v>
      </c>
      <c r="Z3" s="8">
        <f>+H3-I3-J3-L3-M3-O3-P3-S3-T3-U3-V3-W3-X3-Y3-Q3-R3-K3-N3</f>
        <v>2231.3045454545463</v>
      </c>
    </row>
    <row r="4" spans="1:27" ht="23.4" x14ac:dyDescent="0.6">
      <c r="A4" s="5">
        <v>2</v>
      </c>
      <c r="B4" s="5">
        <v>10204</v>
      </c>
      <c r="C4" s="6" t="s">
        <v>27</v>
      </c>
      <c r="D4" s="7">
        <v>342104</v>
      </c>
      <c r="E4" s="7">
        <v>149699</v>
      </c>
      <c r="F4" s="7">
        <f>+D4-E4</f>
        <v>192405</v>
      </c>
      <c r="G4" s="7">
        <f t="shared" ref="G4:G13" si="1">+D4*0.5</f>
        <v>171052</v>
      </c>
      <c r="H4" s="7">
        <f t="shared" si="0"/>
        <v>21353</v>
      </c>
      <c r="I4" s="7">
        <f>17988.31-3696.2-600</f>
        <v>13692.11</v>
      </c>
      <c r="J4" s="7">
        <v>3696.2</v>
      </c>
      <c r="K4" s="7">
        <v>600</v>
      </c>
      <c r="L4" s="7">
        <v>3454.5454545454545</v>
      </c>
      <c r="M4" s="7">
        <v>5820</v>
      </c>
      <c r="N4" s="7">
        <v>0</v>
      </c>
      <c r="O4" s="7">
        <v>41</v>
      </c>
      <c r="P4" s="7">
        <v>3538.29</v>
      </c>
      <c r="Q4" s="7">
        <v>0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/>
      <c r="Y4" s="7">
        <v>440</v>
      </c>
      <c r="Z4" s="8">
        <f t="shared" ref="Z4:Z13" si="2">+H4-I4-J4-L4-M4-O4-P4-S4-T4-U4-V4-W4-X4-Y4-Q4-R4-K4-N4</f>
        <v>-10136.105454545454</v>
      </c>
    </row>
    <row r="5" spans="1:27" ht="24" customHeight="1" x14ac:dyDescent="0.6">
      <c r="A5" s="5">
        <v>3</v>
      </c>
      <c r="B5" s="5">
        <v>10205</v>
      </c>
      <c r="C5" s="6" t="s">
        <v>28</v>
      </c>
      <c r="D5" s="7">
        <v>212158</v>
      </c>
      <c r="E5" s="7">
        <v>48282</v>
      </c>
      <c r="F5" s="7">
        <f t="shared" ref="F5:F13" si="3">+D5-E5</f>
        <v>163876</v>
      </c>
      <c r="G5" s="7">
        <f t="shared" si="1"/>
        <v>106079</v>
      </c>
      <c r="H5" s="7">
        <f t="shared" si="0"/>
        <v>57797</v>
      </c>
      <c r="I5" s="7">
        <f>17988.31-2555.04-600</f>
        <v>14833.27</v>
      </c>
      <c r="J5" s="7">
        <v>2555.04</v>
      </c>
      <c r="K5" s="7">
        <v>600</v>
      </c>
      <c r="L5" s="7">
        <v>3454.5454545454545</v>
      </c>
      <c r="M5" s="7">
        <v>0</v>
      </c>
      <c r="N5" s="7">
        <v>0</v>
      </c>
      <c r="O5" s="7">
        <v>0</v>
      </c>
      <c r="P5" s="7">
        <v>12932.93</v>
      </c>
      <c r="Q5" s="7">
        <v>0</v>
      </c>
      <c r="R5" s="7">
        <v>961.93</v>
      </c>
      <c r="S5" s="7">
        <v>207.96</v>
      </c>
      <c r="T5" s="7">
        <v>0</v>
      </c>
      <c r="U5" s="7">
        <v>50</v>
      </c>
      <c r="V5" s="7">
        <v>1020</v>
      </c>
      <c r="W5" s="7"/>
      <c r="X5" s="7"/>
      <c r="Y5" s="7">
        <v>198</v>
      </c>
      <c r="Z5" s="8">
        <f t="shared" si="2"/>
        <v>20983.324545454539</v>
      </c>
    </row>
    <row r="6" spans="1:27" ht="23.4" x14ac:dyDescent="0.6">
      <c r="A6" s="5">
        <v>4</v>
      </c>
      <c r="B6" s="5">
        <v>10207</v>
      </c>
      <c r="C6" s="6" t="s">
        <v>29</v>
      </c>
      <c r="D6" s="7">
        <v>164478</v>
      </c>
      <c r="E6" s="7">
        <v>8768</v>
      </c>
      <c r="F6" s="7">
        <f t="shared" si="3"/>
        <v>155710</v>
      </c>
      <c r="G6" s="7">
        <f t="shared" si="1"/>
        <v>82239</v>
      </c>
      <c r="H6" s="7">
        <f t="shared" si="0"/>
        <v>73471</v>
      </c>
      <c r="I6" s="7">
        <f>17988.31-2228.4-400</f>
        <v>15359.910000000002</v>
      </c>
      <c r="J6" s="7">
        <v>2228.4</v>
      </c>
      <c r="K6" s="7">
        <v>400</v>
      </c>
      <c r="L6" s="7">
        <v>3454.5454545454545</v>
      </c>
      <c r="M6" s="7">
        <v>11000</v>
      </c>
      <c r="N6" s="7">
        <v>0</v>
      </c>
      <c r="O6" s="7">
        <v>0</v>
      </c>
      <c r="P6" s="7">
        <v>2592</v>
      </c>
      <c r="Q6" s="7">
        <v>0</v>
      </c>
      <c r="R6" s="7">
        <v>0</v>
      </c>
      <c r="S6" s="7">
        <v>208.96</v>
      </c>
      <c r="T6" s="7">
        <v>0</v>
      </c>
      <c r="U6" s="7">
        <v>0</v>
      </c>
      <c r="V6" s="7">
        <v>0</v>
      </c>
      <c r="W6" s="7"/>
      <c r="X6" s="7"/>
      <c r="Y6" s="7">
        <v>0</v>
      </c>
      <c r="Z6" s="8">
        <f t="shared" si="2"/>
        <v>38227.18454545454</v>
      </c>
    </row>
    <row r="7" spans="1:27" ht="23.4" x14ac:dyDescent="0.6">
      <c r="A7" s="5">
        <v>5</v>
      </c>
      <c r="B7" s="5">
        <v>10208</v>
      </c>
      <c r="C7" s="6" t="s">
        <v>30</v>
      </c>
      <c r="D7" s="7">
        <v>73803</v>
      </c>
      <c r="E7" s="7">
        <v>8349</v>
      </c>
      <c r="F7" s="7">
        <f t="shared" si="3"/>
        <v>65454</v>
      </c>
      <c r="G7" s="7">
        <f t="shared" si="1"/>
        <v>36901.5</v>
      </c>
      <c r="H7" s="7">
        <f t="shared" si="0"/>
        <v>28552.5</v>
      </c>
      <c r="I7" s="7">
        <v>17988.310000000001</v>
      </c>
      <c r="J7" s="7">
        <v>0</v>
      </c>
      <c r="K7" s="7">
        <v>0</v>
      </c>
      <c r="L7" s="7">
        <v>3454.5454545454545</v>
      </c>
      <c r="M7" s="7">
        <v>6741</v>
      </c>
      <c r="N7" s="7">
        <v>0</v>
      </c>
      <c r="O7" s="7">
        <v>0</v>
      </c>
      <c r="P7" s="7">
        <v>1073</v>
      </c>
      <c r="Q7" s="7">
        <v>0</v>
      </c>
      <c r="R7" s="7">
        <v>0</v>
      </c>
      <c r="S7" s="7">
        <v>209.96</v>
      </c>
      <c r="T7" s="7">
        <v>25.37</v>
      </c>
      <c r="U7" s="7">
        <v>0</v>
      </c>
      <c r="V7" s="7">
        <v>0</v>
      </c>
      <c r="W7" s="7"/>
      <c r="X7" s="7"/>
      <c r="Y7" s="7">
        <v>0</v>
      </c>
      <c r="Z7" s="8">
        <f t="shared" si="2"/>
        <v>-939.6854545454554</v>
      </c>
    </row>
    <row r="8" spans="1:27" ht="23.4" x14ac:dyDescent="0.6">
      <c r="A8" s="5">
        <v>6</v>
      </c>
      <c r="B8" s="5">
        <v>10209</v>
      </c>
      <c r="C8" s="6" t="s">
        <v>31</v>
      </c>
      <c r="D8" s="7">
        <v>214177</v>
      </c>
      <c r="E8" s="7">
        <v>35304</v>
      </c>
      <c r="F8" s="7">
        <f t="shared" si="3"/>
        <v>178873</v>
      </c>
      <c r="G8" s="7">
        <f t="shared" si="1"/>
        <v>107088.5</v>
      </c>
      <c r="H8" s="7">
        <f t="shared" si="0"/>
        <v>71784.5</v>
      </c>
      <c r="I8" s="7">
        <f>17988.31-3154.92-600</f>
        <v>14233.390000000001</v>
      </c>
      <c r="J8" s="7">
        <v>3154.92</v>
      </c>
      <c r="K8" s="7">
        <v>600</v>
      </c>
      <c r="L8" s="7">
        <v>3454.5454545454545</v>
      </c>
      <c r="M8" s="7">
        <v>16000</v>
      </c>
      <c r="N8" s="7">
        <v>0</v>
      </c>
      <c r="O8" s="7">
        <v>0</v>
      </c>
      <c r="P8" s="7">
        <v>3718</v>
      </c>
      <c r="Q8" s="7">
        <v>0</v>
      </c>
      <c r="R8" s="7">
        <v>642</v>
      </c>
      <c r="S8" s="7">
        <v>210.96</v>
      </c>
      <c r="T8" s="7">
        <v>0</v>
      </c>
      <c r="U8" s="7">
        <v>0</v>
      </c>
      <c r="V8" s="7">
        <v>0</v>
      </c>
      <c r="W8" s="7"/>
      <c r="X8" s="7"/>
      <c r="Y8" s="7">
        <v>0</v>
      </c>
      <c r="Z8" s="8">
        <f t="shared" si="2"/>
        <v>29770.684545454547</v>
      </c>
    </row>
    <row r="9" spans="1:27" ht="23.4" x14ac:dyDescent="0.6">
      <c r="A9" s="5">
        <v>7</v>
      </c>
      <c r="B9" s="5">
        <v>10210</v>
      </c>
      <c r="C9" s="6" t="s">
        <v>32</v>
      </c>
      <c r="D9" s="7">
        <v>172310</v>
      </c>
      <c r="E9" s="7">
        <v>18070</v>
      </c>
      <c r="F9" s="7">
        <f t="shared" si="3"/>
        <v>154240</v>
      </c>
      <c r="G9" s="7">
        <f t="shared" si="1"/>
        <v>86155</v>
      </c>
      <c r="H9" s="7">
        <f t="shared" si="0"/>
        <v>68085</v>
      </c>
      <c r="I9" s="7">
        <f>17988.31-2169.6-500</f>
        <v>15318.710000000001</v>
      </c>
      <c r="J9" s="7">
        <v>2169.6</v>
      </c>
      <c r="K9" s="7">
        <v>500</v>
      </c>
      <c r="L9" s="7">
        <v>3454.5454545454545</v>
      </c>
      <c r="M9" s="7">
        <f>14884+14884</f>
        <v>29768</v>
      </c>
      <c r="N9" s="7">
        <v>1041.8800000000001</v>
      </c>
      <c r="O9" s="7">
        <v>0</v>
      </c>
      <c r="P9" s="7">
        <v>6432.84</v>
      </c>
      <c r="Q9" s="7">
        <v>465</v>
      </c>
      <c r="R9" s="7">
        <v>642</v>
      </c>
      <c r="S9" s="7">
        <v>211.96</v>
      </c>
      <c r="T9" s="7">
        <v>0</v>
      </c>
      <c r="U9" s="7">
        <v>0</v>
      </c>
      <c r="V9" s="7">
        <v>0</v>
      </c>
      <c r="W9" s="7"/>
      <c r="X9" s="7"/>
      <c r="Y9" s="7"/>
      <c r="Z9" s="8">
        <f t="shared" si="2"/>
        <v>8080.4645454545471</v>
      </c>
    </row>
    <row r="10" spans="1:27" ht="23.4" x14ac:dyDescent="0.6">
      <c r="A10" s="5">
        <v>8</v>
      </c>
      <c r="B10" s="5">
        <v>10219</v>
      </c>
      <c r="C10" s="6" t="s">
        <v>33</v>
      </c>
      <c r="D10" s="7">
        <v>105563</v>
      </c>
      <c r="E10" s="7">
        <v>13883</v>
      </c>
      <c r="F10" s="7">
        <f t="shared" si="3"/>
        <v>91680</v>
      </c>
      <c r="G10" s="7">
        <f t="shared" si="1"/>
        <v>52781.5</v>
      </c>
      <c r="H10" s="7">
        <f t="shared" si="0"/>
        <v>38898.5</v>
      </c>
      <c r="I10" s="7">
        <v>17988.310000000001</v>
      </c>
      <c r="J10" s="7">
        <v>0</v>
      </c>
      <c r="K10" s="7">
        <v>0</v>
      </c>
      <c r="L10" s="7">
        <v>3454.5454545454545</v>
      </c>
      <c r="M10" s="7">
        <v>16500</v>
      </c>
      <c r="N10" s="7">
        <v>0</v>
      </c>
      <c r="O10" s="7">
        <v>0</v>
      </c>
      <c r="P10" s="7">
        <v>3800.5</v>
      </c>
      <c r="Q10" s="7">
        <v>435</v>
      </c>
      <c r="R10" s="7">
        <v>642</v>
      </c>
      <c r="S10" s="7">
        <v>0</v>
      </c>
      <c r="T10" s="7">
        <v>467.29</v>
      </c>
      <c r="U10" s="7">
        <v>0</v>
      </c>
      <c r="V10" s="7">
        <v>0</v>
      </c>
      <c r="W10" s="7"/>
      <c r="X10" s="7"/>
      <c r="Y10" s="7">
        <v>69</v>
      </c>
      <c r="Z10" s="8">
        <f t="shared" si="2"/>
        <v>-4458.1454545454571</v>
      </c>
    </row>
    <row r="11" spans="1:27" ht="23.4" x14ac:dyDescent="0.6">
      <c r="A11" s="5">
        <v>9</v>
      </c>
      <c r="B11" s="5">
        <v>10235</v>
      </c>
      <c r="C11" s="6" t="s">
        <v>34</v>
      </c>
      <c r="D11" s="7">
        <v>142250</v>
      </c>
      <c r="E11" s="7">
        <v>15030</v>
      </c>
      <c r="F11" s="7">
        <f t="shared" si="3"/>
        <v>127220</v>
      </c>
      <c r="G11" s="7">
        <f t="shared" si="1"/>
        <v>71125</v>
      </c>
      <c r="H11" s="7">
        <f t="shared" si="0"/>
        <v>56095</v>
      </c>
      <c r="I11" s="7">
        <f>17988.31-1088.8-300</f>
        <v>16599.510000000002</v>
      </c>
      <c r="J11" s="7">
        <v>1088.8</v>
      </c>
      <c r="K11" s="7">
        <v>300</v>
      </c>
      <c r="L11" s="7">
        <v>3454.5454545454545</v>
      </c>
      <c r="M11" s="7">
        <v>12000</v>
      </c>
      <c r="N11" s="7">
        <v>0</v>
      </c>
      <c r="O11" s="7">
        <v>30</v>
      </c>
      <c r="P11" s="7">
        <v>5088</v>
      </c>
      <c r="Q11" s="7">
        <v>120</v>
      </c>
      <c r="R11" s="7">
        <v>642</v>
      </c>
      <c r="S11" s="7">
        <v>212.72</v>
      </c>
      <c r="T11" s="7">
        <v>0</v>
      </c>
      <c r="U11" s="7">
        <v>0</v>
      </c>
      <c r="V11" s="7">
        <v>0</v>
      </c>
      <c r="W11" s="7"/>
      <c r="X11" s="7"/>
      <c r="Y11" s="7">
        <v>112</v>
      </c>
      <c r="Z11" s="8">
        <f t="shared" si="2"/>
        <v>16447.424545454538</v>
      </c>
    </row>
    <row r="12" spans="1:27" ht="23.4" x14ac:dyDescent="0.6">
      <c r="A12" s="5">
        <v>10</v>
      </c>
      <c r="B12" s="5">
        <v>10264</v>
      </c>
      <c r="C12" s="6" t="s">
        <v>35</v>
      </c>
      <c r="D12" s="7">
        <v>103774</v>
      </c>
      <c r="E12" s="7">
        <v>13558</v>
      </c>
      <c r="F12" s="7">
        <f t="shared" si="3"/>
        <v>90216</v>
      </c>
      <c r="G12" s="7">
        <f t="shared" si="1"/>
        <v>51887</v>
      </c>
      <c r="H12" s="7">
        <f t="shared" si="0"/>
        <v>38329</v>
      </c>
      <c r="I12" s="7">
        <v>17988.310000000001</v>
      </c>
      <c r="J12" s="7">
        <v>0</v>
      </c>
      <c r="K12" s="7">
        <v>0</v>
      </c>
      <c r="L12" s="7">
        <v>3454.5454545454545</v>
      </c>
      <c r="M12" s="7">
        <v>21000</v>
      </c>
      <c r="N12" s="7">
        <v>735</v>
      </c>
      <c r="O12" s="7">
        <v>0</v>
      </c>
      <c r="P12" s="7">
        <v>4327.08</v>
      </c>
      <c r="Q12" s="7">
        <v>375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/>
      <c r="Y12" s="7">
        <v>25</v>
      </c>
      <c r="Z12" s="8">
        <f t="shared" si="2"/>
        <v>-9575.9354545454571</v>
      </c>
    </row>
    <row r="13" spans="1:27" ht="23.4" x14ac:dyDescent="0.6">
      <c r="A13" s="5">
        <v>11</v>
      </c>
      <c r="B13" s="5">
        <v>10377</v>
      </c>
      <c r="C13" s="6" t="s">
        <v>47</v>
      </c>
      <c r="D13" s="7">
        <v>20730</v>
      </c>
      <c r="E13" s="7">
        <v>6526</v>
      </c>
      <c r="F13" s="7">
        <f t="shared" si="3"/>
        <v>14204</v>
      </c>
      <c r="G13" s="7">
        <f t="shared" si="1"/>
        <v>10365</v>
      </c>
      <c r="H13" s="7">
        <f t="shared" si="0"/>
        <v>3839</v>
      </c>
      <c r="I13" s="7">
        <v>17988.310000000001</v>
      </c>
      <c r="J13" s="7">
        <v>0</v>
      </c>
      <c r="K13" s="7">
        <v>0</v>
      </c>
      <c r="L13" s="7">
        <v>3454.5454545454545</v>
      </c>
      <c r="M13" s="7">
        <v>22000</v>
      </c>
      <c r="N13" s="7">
        <v>0</v>
      </c>
      <c r="O13" s="7">
        <v>0</v>
      </c>
      <c r="P13" s="7">
        <v>0</v>
      </c>
      <c r="Q13" s="7">
        <v>0</v>
      </c>
      <c r="R13" s="7">
        <v>642</v>
      </c>
      <c r="S13" s="7">
        <v>0</v>
      </c>
      <c r="T13" s="7">
        <v>0</v>
      </c>
      <c r="U13" s="7">
        <v>0</v>
      </c>
      <c r="V13" s="7">
        <v>0</v>
      </c>
      <c r="W13" s="7"/>
      <c r="X13" s="7"/>
      <c r="Y13" s="7">
        <v>0</v>
      </c>
      <c r="Z13" s="8">
        <f t="shared" si="2"/>
        <v>-40245.855454545454</v>
      </c>
    </row>
    <row r="14" spans="1:27" ht="23.4" x14ac:dyDescent="0.6">
      <c r="A14" s="5">
        <v>12</v>
      </c>
      <c r="B14" s="5">
        <v>10371</v>
      </c>
      <c r="C14" s="6" t="s">
        <v>48</v>
      </c>
      <c r="D14" s="7">
        <v>46694</v>
      </c>
      <c r="E14" s="7">
        <v>6620</v>
      </c>
      <c r="F14" s="7">
        <f>+D14-E14</f>
        <v>40074</v>
      </c>
      <c r="G14" s="7">
        <f>+D14*0.5</f>
        <v>23347</v>
      </c>
      <c r="H14" s="7">
        <f>+F14-G14</f>
        <v>16727</v>
      </c>
      <c r="I14" s="7">
        <v>17988.310000000001</v>
      </c>
      <c r="J14" s="7">
        <v>0</v>
      </c>
      <c r="K14" s="7">
        <v>0</v>
      </c>
      <c r="L14" s="7">
        <v>3454.5454545454545</v>
      </c>
      <c r="M14" s="7">
        <v>12000</v>
      </c>
      <c r="N14" s="7">
        <v>420</v>
      </c>
      <c r="O14" s="7">
        <v>0</v>
      </c>
      <c r="P14" s="7">
        <v>1518</v>
      </c>
      <c r="Q14" s="7">
        <v>15</v>
      </c>
      <c r="R14" s="7">
        <v>642</v>
      </c>
      <c r="S14" s="7">
        <v>0</v>
      </c>
      <c r="T14" s="7">
        <v>0</v>
      </c>
      <c r="U14" s="7">
        <v>0</v>
      </c>
      <c r="V14" s="7">
        <v>0</v>
      </c>
      <c r="W14" s="7"/>
      <c r="X14" s="7"/>
      <c r="Y14" s="7">
        <v>0</v>
      </c>
      <c r="Z14" s="8">
        <f>+H14-I14-J14-L14-M14-O14-P14-S14-T14-U14-V14-W14-X14-Y14-Q14-R14-K14-N14</f>
        <v>-19310.855454545454</v>
      </c>
    </row>
    <row r="15" spans="1:27" ht="27" thickBot="1" x14ac:dyDescent="0.75">
      <c r="C15" s="10" t="s">
        <v>37</v>
      </c>
      <c r="D15" s="11">
        <f t="shared" ref="D15:X15" si="4">SUM(D3:D14)</f>
        <v>1736667</v>
      </c>
      <c r="E15" s="11">
        <f t="shared" si="4"/>
        <v>332884</v>
      </c>
      <c r="F15" s="11">
        <f t="shared" si="4"/>
        <v>1403783</v>
      </c>
      <c r="G15" s="11">
        <f t="shared" si="4"/>
        <v>868333.5</v>
      </c>
      <c r="H15" s="11">
        <f t="shared" si="4"/>
        <v>535449.5</v>
      </c>
      <c r="I15" s="11">
        <f>215859.83-16086.2-3300</f>
        <v>196473.62999999998</v>
      </c>
      <c r="J15" s="11">
        <f t="shared" si="4"/>
        <v>16086.199999999999</v>
      </c>
      <c r="K15" s="11">
        <f t="shared" si="4"/>
        <v>3300</v>
      </c>
      <c r="L15" s="11">
        <f t="shared" si="4"/>
        <v>41454.545454545463</v>
      </c>
      <c r="M15" s="11">
        <f t="shared" si="4"/>
        <v>182597</v>
      </c>
      <c r="N15" s="11">
        <f t="shared" si="4"/>
        <v>3238.76</v>
      </c>
      <c r="O15" s="11">
        <f t="shared" si="4"/>
        <v>71</v>
      </c>
      <c r="P15" s="11">
        <f t="shared" si="4"/>
        <v>49770.64</v>
      </c>
      <c r="Q15" s="11">
        <f t="shared" si="4"/>
        <v>1845</v>
      </c>
      <c r="R15" s="11">
        <f t="shared" si="4"/>
        <v>5455.93</v>
      </c>
      <c r="S15" s="11">
        <f t="shared" si="4"/>
        <v>1676.44</v>
      </c>
      <c r="T15" s="11">
        <f t="shared" si="4"/>
        <v>492.66</v>
      </c>
      <c r="U15" s="11">
        <f t="shared" si="4"/>
        <v>50</v>
      </c>
      <c r="V15" s="11">
        <f t="shared" si="4"/>
        <v>1020</v>
      </c>
      <c r="W15" s="11">
        <f t="shared" si="4"/>
        <v>0</v>
      </c>
      <c r="X15" s="11">
        <f t="shared" si="4"/>
        <v>0</v>
      </c>
      <c r="Y15" s="11">
        <f>SUM(Y3:Y14)</f>
        <v>844</v>
      </c>
      <c r="Z15" s="11">
        <f>SUM(Z3:Z14)</f>
        <v>31073.804545454535</v>
      </c>
      <c r="AA15" s="12" t="s">
        <v>38</v>
      </c>
    </row>
    <row r="16" spans="1:27" ht="35.4" thickTop="1" x14ac:dyDescent="0.9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0:10" ht="34.799999999999997" x14ac:dyDescent="0.9">
      <c r="J17" s="13"/>
    </row>
    <row r="18" spans="10:10" ht="34.799999999999997" x14ac:dyDescent="0.9">
      <c r="J18" s="13"/>
    </row>
    <row r="19" spans="10:10" ht="34.799999999999997" x14ac:dyDescent="0.9">
      <c r="J19" s="13"/>
    </row>
    <row r="20" spans="10:10" ht="34.799999999999997" x14ac:dyDescent="0.9">
      <c r="J20" s="13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048576">
    <cfRule type="cellIs" dxfId="0" priority="1" operator="lessThan">
      <formula>0</formula>
    </cfRule>
  </conditionalFormatting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ส.ค. 67</vt:lpstr>
      <vt:lpstr>ก.ย. 67</vt:lpstr>
      <vt:lpstr>ต.ค. 67</vt:lpstr>
      <vt:lpstr>พ.ย. 67</vt:lpstr>
      <vt:lpstr>ธ.ค.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2026-07-12T08:41:00Z</dcterms:created>
  <dcterms:modified xsi:type="dcterms:W3CDTF">2026-07-12T09:01:46Z</dcterms:modified>
</cp:coreProperties>
</file>