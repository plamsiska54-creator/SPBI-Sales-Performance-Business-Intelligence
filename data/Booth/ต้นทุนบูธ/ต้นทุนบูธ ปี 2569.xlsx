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Project Sales\Booth\ต้นทุนบูธ\"/>
    </mc:Choice>
  </mc:AlternateContent>
  <xr:revisionPtr revIDLastSave="0" documentId="13_ncr:1_{9658722B-22D4-4C85-9A78-85AF4BA42BC2}" xr6:coauthVersionLast="47" xr6:coauthVersionMax="47" xr10:uidLastSave="{00000000-0000-0000-0000-000000000000}"/>
  <bookViews>
    <workbookView xWindow="28560" yWindow="0" windowWidth="29040" windowHeight="15720" xr2:uid="{71DB9FD1-60F4-4FF3-A19C-7B1CCB3AA119}"/>
  </bookViews>
  <sheets>
    <sheet name="ม.ค. 69" sheetId="1" r:id="rId1"/>
    <sheet name="ก.พ. 69" sheetId="3" r:id="rId2"/>
    <sheet name="มี.ค. 69" sheetId="4" r:id="rId3"/>
    <sheet name="เม.ย.69" sheetId="5" r:id="rId4"/>
    <sheet name="พ.ค. 69 " sheetId="6" r:id="rId5"/>
    <sheet name="มิ.ย. 69" sheetId="7" r:id="rId6"/>
  </sheets>
  <externalReferences>
    <externalReference r:id="rId7"/>
    <externalReference r:id="rId8"/>
  </externalReferences>
  <definedNames>
    <definedName name="_xlnm._FilterDatabase" localSheetId="1" hidden="1">'ก.พ. 69'!$A$2:$AA$2</definedName>
    <definedName name="_xlnm._FilterDatabase" localSheetId="4" hidden="1">'พ.ค. 69 '!$A$2:$AA$2</definedName>
    <definedName name="_xlnm._FilterDatabase" localSheetId="0" hidden="1">'ม.ค. 69'!$A$2:$AA$2</definedName>
    <definedName name="_xlnm._FilterDatabase" localSheetId="5" hidden="1">'มิ.ย. 69'!$A$2:$AA$2</definedName>
    <definedName name="_xlnm._FilterDatabase" localSheetId="2" hidden="1">'มี.ค. 69'!$A$2:$AA$2</definedName>
    <definedName name="_xlnm._FilterDatabase" localSheetId="3" hidden="1">'เม.ย.69'!$A$2:$AA$2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Y6" i="7"/>
  <c r="W6" i="7"/>
  <c r="V6" i="7"/>
  <c r="U6" i="7"/>
  <c r="T6" i="7"/>
  <c r="S6" i="7"/>
  <c r="R6" i="7"/>
  <c r="Q6" i="7"/>
  <c r="P6" i="7"/>
  <c r="O6" i="7"/>
  <c r="N6" i="7"/>
  <c r="M6" i="7"/>
  <c r="K6" i="7"/>
  <c r="J6" i="7"/>
  <c r="E6" i="7"/>
  <c r="D6" i="7"/>
  <c r="X5" i="7"/>
  <c r="L5" i="7"/>
  <c r="I5" i="7"/>
  <c r="G5" i="7"/>
  <c r="F5" i="7"/>
  <c r="H5" i="7" s="1"/>
  <c r="Z5" i="7" s="1"/>
  <c r="L4" i="7"/>
  <c r="I4" i="7"/>
  <c r="G4" i="7"/>
  <c r="F4" i="7"/>
  <c r="H4" i="7" s="1"/>
  <c r="Z4" i="7" s="1"/>
  <c r="X3" i="7"/>
  <c r="X6" i="7" s="1"/>
  <c r="L3" i="7"/>
  <c r="L6" i="7" s="1"/>
  <c r="I3" i="7"/>
  <c r="I6" i="7" s="1"/>
  <c r="G3" i="7"/>
  <c r="G6" i="7" s="1"/>
  <c r="F3" i="7"/>
  <c r="F6" i="7" s="1"/>
  <c r="Y6" i="6"/>
  <c r="W6" i="6"/>
  <c r="V6" i="6"/>
  <c r="U6" i="6"/>
  <c r="T6" i="6"/>
  <c r="S6" i="6"/>
  <c r="R6" i="6"/>
  <c r="Q6" i="6"/>
  <c r="P6" i="6"/>
  <c r="O6" i="6"/>
  <c r="N6" i="6"/>
  <c r="M6" i="6"/>
  <c r="K6" i="6"/>
  <c r="J6" i="6"/>
  <c r="E6" i="6"/>
  <c r="D6" i="6"/>
  <c r="X5" i="6"/>
  <c r="X6" i="6" s="1"/>
  <c r="L5" i="6"/>
  <c r="I5" i="6"/>
  <c r="G5" i="6"/>
  <c r="F5" i="6"/>
  <c r="H5" i="6" s="1"/>
  <c r="Z5" i="6" s="1"/>
  <c r="L4" i="6"/>
  <c r="L6" i="6" s="1"/>
  <c r="I4" i="6"/>
  <c r="G4" i="6"/>
  <c r="F4" i="6"/>
  <c r="H4" i="6" s="1"/>
  <c r="Z4" i="6" s="1"/>
  <c r="X3" i="6"/>
  <c r="L3" i="6"/>
  <c r="I3" i="6"/>
  <c r="I6" i="6" s="1"/>
  <c r="G3" i="6"/>
  <c r="G6" i="6" s="1"/>
  <c r="F3" i="6"/>
  <c r="F6" i="6" s="1"/>
  <c r="Y6" i="5"/>
  <c r="X6" i="5"/>
  <c r="W6" i="5"/>
  <c r="V6" i="5"/>
  <c r="U6" i="5"/>
  <c r="T6" i="5"/>
  <c r="S6" i="5"/>
  <c r="R6" i="5"/>
  <c r="Q6" i="5"/>
  <c r="P6" i="5"/>
  <c r="O6" i="5"/>
  <c r="N6" i="5"/>
  <c r="M6" i="5"/>
  <c r="K6" i="5"/>
  <c r="J6" i="5"/>
  <c r="G6" i="5"/>
  <c r="E6" i="5"/>
  <c r="D6" i="5"/>
  <c r="X5" i="5"/>
  <c r="L5" i="5"/>
  <c r="I5" i="5"/>
  <c r="G5" i="5"/>
  <c r="F5" i="5"/>
  <c r="H5" i="5" s="1"/>
  <c r="Z5" i="5" s="1"/>
  <c r="X4" i="5"/>
  <c r="L4" i="5"/>
  <c r="L6" i="5" s="1"/>
  <c r="I4" i="5"/>
  <c r="I6" i="5" s="1"/>
  <c r="G4" i="5"/>
  <c r="H4" i="5" s="1"/>
  <c r="Z4" i="5" s="1"/>
  <c r="F4" i="5"/>
  <c r="X3" i="5"/>
  <c r="L3" i="5"/>
  <c r="I3" i="5"/>
  <c r="G3" i="5"/>
  <c r="F3" i="5"/>
  <c r="F6" i="5" s="1"/>
  <c r="Y6" i="4"/>
  <c r="X6" i="4"/>
  <c r="W6" i="4"/>
  <c r="V6" i="4"/>
  <c r="U6" i="4"/>
  <c r="T6" i="4"/>
  <c r="S6" i="4"/>
  <c r="R6" i="4"/>
  <c r="Q6" i="4"/>
  <c r="P6" i="4"/>
  <c r="O6" i="4"/>
  <c r="N6" i="4"/>
  <c r="M6" i="4"/>
  <c r="K6" i="4"/>
  <c r="J6" i="4"/>
  <c r="I6" i="4"/>
  <c r="E6" i="4"/>
  <c r="D6" i="4"/>
  <c r="X5" i="4"/>
  <c r="L5" i="4"/>
  <c r="I5" i="4"/>
  <c r="G5" i="4"/>
  <c r="F5" i="4"/>
  <c r="H5" i="4" s="1"/>
  <c r="Z5" i="4" s="1"/>
  <c r="X4" i="4"/>
  <c r="L4" i="4"/>
  <c r="L6" i="4" s="1"/>
  <c r="I4" i="4"/>
  <c r="G4" i="4"/>
  <c r="G6" i="4" s="1"/>
  <c r="F4" i="4"/>
  <c r="H4" i="4" s="1"/>
  <c r="Z4" i="4" s="1"/>
  <c r="Y3" i="4"/>
  <c r="X3" i="4"/>
  <c r="L3" i="4"/>
  <c r="I3" i="4"/>
  <c r="G3" i="4"/>
  <c r="F3" i="4"/>
  <c r="H3" i="4" s="1"/>
  <c r="Y6" i="3"/>
  <c r="W6" i="3"/>
  <c r="V6" i="3"/>
  <c r="U6" i="3"/>
  <c r="T6" i="3"/>
  <c r="S6" i="3"/>
  <c r="R6" i="3"/>
  <c r="Q6" i="3"/>
  <c r="P6" i="3"/>
  <c r="O6" i="3"/>
  <c r="N6" i="3"/>
  <c r="M6" i="3"/>
  <c r="K6" i="3"/>
  <c r="J6" i="3"/>
  <c r="I6" i="3"/>
  <c r="G6" i="3"/>
  <c r="E6" i="3"/>
  <c r="D6" i="3"/>
  <c r="X5" i="3"/>
  <c r="L5" i="3"/>
  <c r="I5" i="3"/>
  <c r="G5" i="3"/>
  <c r="F5" i="3"/>
  <c r="H5" i="3" s="1"/>
  <c r="Z5" i="3" s="1"/>
  <c r="X4" i="3"/>
  <c r="L4" i="3"/>
  <c r="L6" i="3" s="1"/>
  <c r="I4" i="3"/>
  <c r="G4" i="3"/>
  <c r="F4" i="3"/>
  <c r="F6" i="3" s="1"/>
  <c r="X3" i="3"/>
  <c r="X6" i="3" s="1"/>
  <c r="L3" i="3"/>
  <c r="I3" i="3"/>
  <c r="G3" i="3"/>
  <c r="F3" i="3"/>
  <c r="H3" i="3" s="1"/>
  <c r="H6" i="4" l="1"/>
  <c r="Z3" i="4"/>
  <c r="Z6" i="4" s="1"/>
  <c r="D7" i="4" s="1"/>
  <c r="D8" i="4" s="1"/>
  <c r="Z3" i="3"/>
  <c r="H3" i="7"/>
  <c r="H3" i="6"/>
  <c r="H3" i="5"/>
  <c r="H4" i="3"/>
  <c r="Z4" i="3" s="1"/>
  <c r="F6" i="4"/>
  <c r="H6" i="5" l="1"/>
  <c r="Z3" i="5"/>
  <c r="Z6" i="5" s="1"/>
  <c r="D7" i="5" s="1"/>
  <c r="D8" i="5" s="1"/>
  <c r="H6" i="6"/>
  <c r="Z3" i="6"/>
  <c r="Z6" i="6" s="1"/>
  <c r="D7" i="6" s="1"/>
  <c r="D8" i="6" s="1"/>
  <c r="Z3" i="7"/>
  <c r="Z6" i="7" s="1"/>
  <c r="D7" i="7" s="1"/>
  <c r="D8" i="7" s="1"/>
  <c r="H6" i="7"/>
  <c r="H6" i="3"/>
  <c r="Z6" i="3"/>
  <c r="D7" i="3" s="1"/>
  <c r="D8" i="3" s="1"/>
  <c r="Y6" i="1" l="1"/>
  <c r="W6" i="1"/>
  <c r="V6" i="1"/>
  <c r="U6" i="1"/>
  <c r="T6" i="1"/>
  <c r="S6" i="1"/>
  <c r="R6" i="1"/>
  <c r="Q6" i="1"/>
  <c r="P6" i="1"/>
  <c r="O6" i="1"/>
  <c r="N6" i="1"/>
  <c r="M6" i="1"/>
  <c r="K6" i="1"/>
  <c r="J6" i="1"/>
  <c r="E6" i="1"/>
  <c r="D6" i="1"/>
  <c r="X5" i="1"/>
  <c r="L5" i="1"/>
  <c r="I5" i="1"/>
  <c r="F5" i="1"/>
  <c r="H5" i="1" s="1"/>
  <c r="Z5" i="1" s="1"/>
  <c r="X4" i="1"/>
  <c r="L4" i="1"/>
  <c r="I4" i="1"/>
  <c r="G4" i="1"/>
  <c r="F4" i="1"/>
  <c r="H4" i="1" s="1"/>
  <c r="Z4" i="1" s="1"/>
  <c r="X3" i="1"/>
  <c r="X6" i="1" s="1"/>
  <c r="L3" i="1"/>
  <c r="L6" i="1" s="1"/>
  <c r="I3" i="1"/>
  <c r="I6" i="1" s="1"/>
  <c r="G3" i="1"/>
  <c r="G6" i="1" s="1"/>
  <c r="F3" i="1"/>
  <c r="H3" i="1" s="1"/>
  <c r="H6" i="1" l="1"/>
  <c r="Z3" i="1"/>
  <c r="Z6" i="1" s="1"/>
  <c r="D7" i="1" s="1"/>
  <c r="D8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6" authorId="0" shapeId="0" xr:uid="{CA3568F0-1CC3-44AA-B2B0-F1FD27BDF41C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6" authorId="0" shapeId="0" xr:uid="{FF383260-3DA1-4332-A49A-9ADDEB279602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6" authorId="0" shapeId="0" xr:uid="{57E84208-C586-42E5-B741-BBF834FA00D1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6" authorId="0" shapeId="0" xr:uid="{5B795EF9-A5A9-4B3D-9C26-16C569761F44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6" authorId="0" shapeId="0" xr:uid="{2EF1FBDF-C175-43BE-B7D4-817866E65DC1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6" authorId="0" shapeId="0" xr:uid="{178CB6B4-5BC3-4543-A5E1-D8968334ABD0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sharedStrings.xml><?xml version="1.0" encoding="utf-8"?>
<sst xmlns="http://schemas.openxmlformats.org/spreadsheetml/2006/main" count="207" uniqueCount="39">
  <si>
    <t>ข้อมูลเทียบกำไร - ขาดทุน ของบู๊ซ เดือน มกราคม  2569</t>
  </si>
  <si>
    <t>ลำดับ</t>
  </si>
  <si>
    <t>รหัส</t>
  </si>
  <si>
    <t>บูธ</t>
  </si>
  <si>
    <t>ยอดขาย</t>
  </si>
  <si>
    <t>ส่วนลด</t>
  </si>
  <si>
    <t>คงเหลือยอดขาย</t>
  </si>
  <si>
    <t>ค่าต้นทุนขนม</t>
  </si>
  <si>
    <t>คงเหลือกำไรหลังจากหักต้นทุน</t>
  </si>
  <si>
    <t>ค่าแรงพนักงานบู๊ช</t>
  </si>
  <si>
    <t>ค่าคอมพนักงานบู๊ซ</t>
  </si>
  <si>
    <t>ค่าคอม (พิเศษ)พนักงานบู๊ซ</t>
  </si>
  <si>
    <t>ค่าพนักงานรายเดือนที่เกี่ยวข้อง</t>
  </si>
  <si>
    <t>ค่าเช่า</t>
  </si>
  <si>
    <t>ค่าภาษีโรงเรือน</t>
  </si>
  <si>
    <t>ค่าน้ำประปา</t>
  </si>
  <si>
    <t>ค่าไฟ</t>
  </si>
  <si>
    <t>ค่าธรรมเนียมโอนเงิน</t>
  </si>
  <si>
    <t>ค่าเน็ต</t>
  </si>
  <si>
    <t>ค่าโทรศัพท์</t>
  </si>
  <si>
    <t>ค่าส่วนกลาง</t>
  </si>
  <si>
    <t>ค่าน้ำแข็ง</t>
  </si>
  <si>
    <t>ค่าขนมนอก</t>
  </si>
  <si>
    <t>ค่าป้าย</t>
  </si>
  <si>
    <t>ค่าขนส่งพนักงานรายเดือน</t>
  </si>
  <si>
    <t>ค่าใช้จ่ายอื่น ๆ</t>
  </si>
  <si>
    <t>คงเหลือกำไรหลังจากหักต้นทุน และ ค่าใช้จ่าย</t>
  </si>
  <si>
    <t>คุณาวรรณ</t>
  </si>
  <si>
    <t>หน้ามอ (ม.เกษตร)</t>
  </si>
  <si>
    <t>ลำพยา 3 (เก่า)</t>
  </si>
  <si>
    <t>รวม</t>
  </si>
  <si>
    <t>บาท</t>
  </si>
  <si>
    <t>กำไร</t>
  </si>
  <si>
    <t>ยังไมได้ยอดพนักงานบูธ</t>
  </si>
  <si>
    <t>คิดเป็น %</t>
  </si>
  <si>
    <t>ข้อมูลเทียบกำไร - ขาดทุน ของบู๊ซ เดือน กุมภาพันธ์  2569</t>
  </si>
  <si>
    <t>ข้อมูลเทียบกำไร - ขาดทุน ของบู๊ซ เดือน มีนาคม  2569</t>
  </si>
  <si>
    <t>ข้อมูลเทียบกำไร - ขาดทุน ของบู๊ซ เดือน เมษายน  2569</t>
  </si>
  <si>
    <t>ข้อมูลเทียบกำไร - ขาดทุน ของบู๊ซ เดือน พฤษภาคม 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</si>
</sst>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7"/>
      <color theme="1"/>
      <name val="AngsanaUPC"/>
      <family val="1"/>
    </font>
    <font>
      <sz val="18"/>
      <color theme="1"/>
      <name val="Angsana New"/>
      <family val="1"/>
    </font>
    <font>
      <b/>
      <sz val="18"/>
      <color rgb="FFFF0000"/>
      <name val="Angsana New"/>
      <family val="1"/>
    </font>
    <font>
      <b/>
      <sz val="24"/>
      <color rgb="FFFF0000"/>
      <name val="Angsana New"/>
      <family val="1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7" fillId="0" borderId="0" xfId="1" applyFont="1" applyFill="1" applyBorder="1" applyAlignment="1">
      <alignment horizontal="center"/>
    </xf>
    <xf numFmtId="43" fontId="6" fillId="0" borderId="0" xfId="1" applyFont="1" applyFill="1" applyBorder="1"/>
    <xf numFmtId="43" fontId="6" fillId="3" borderId="0" xfId="1" applyFont="1" applyFill="1" applyBorder="1"/>
    <xf numFmtId="43" fontId="6" fillId="4" borderId="0" xfId="1" applyFont="1" applyFill="1" applyBorder="1"/>
    <xf numFmtId="43" fontId="6" fillId="5" borderId="0" xfId="1" applyFont="1" applyFill="1" applyBorder="1"/>
    <xf numFmtId="43" fontId="8" fillId="0" borderId="0" xfId="1" applyFont="1" applyFill="1" applyBorder="1"/>
    <xf numFmtId="43" fontId="5" fillId="0" borderId="0" xfId="1" applyFont="1" applyFill="1" applyBorder="1"/>
    <xf numFmtId="0" fontId="4" fillId="6" borderId="0" xfId="0" applyFont="1" applyFill="1" applyAlignment="1">
      <alignment horizontal="right"/>
    </xf>
    <xf numFmtId="43" fontId="4" fillId="6" borderId="1" xfId="0" applyNumberFormat="1" applyFont="1" applyFill="1" applyBorder="1"/>
    <xf numFmtId="43" fontId="4" fillId="0" borderId="1" xfId="0" applyNumberFormat="1" applyFont="1" applyBorder="1"/>
    <xf numFmtId="43" fontId="9" fillId="0" borderId="1" xfId="0" applyNumberFormat="1" applyFont="1" applyBorder="1"/>
    <xf numFmtId="0" fontId="4" fillId="0" borderId="0" xfId="0" applyFont="1" applyAlignment="1">
      <alignment horizontal="left"/>
    </xf>
    <xf numFmtId="9" fontId="3" fillId="0" borderId="0" xfId="2" applyFont="1"/>
    <xf numFmtId="43" fontId="4" fillId="6" borderId="0" xfId="1" applyFont="1" applyFill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4" fillId="6" borderId="0" xfId="2" applyFont="1" applyFill="1" applyBorder="1"/>
  </cellXfs>
  <cellStyles count="3">
    <cellStyle name="จุลภาค" xfId="1" builtinId="3"/>
    <cellStyle name="ปกติ" xfId="0" builtinId="0"/>
    <cellStyle name="เปอร์เซ็นต์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5;&#3657;&#3609;&#3611;&#3634;&#3621;&#3660;&#3617;/3.&#3591;&#3634;&#3609;&#3610;&#3641;&#3608;/&#3605;&#3657;&#3609;&#3607;&#3640;&#3609;&#3610;&#3641;&#3608;/&#3611;&#3637;%2069/&#3586;&#3657;&#3629;&#3617;&#3641;&#3621;&#3605;&#3657;&#3609;&#3607;&#3640;&#3609;&#3610;&#3641;&#3658;&#3595;&#3649;&#3610;&#3610;&#3621;&#3632;&#3648;&#3629;&#3637;&#3618;&#3604;%20%20&#3611;&#3637;%2069.xlsx" TargetMode="External"/><Relationship Id="rId2" Type="http://schemas.openxmlformats.org/officeDocument/2006/relationships/externalLinkPath" Target="file:///C:\Users\Wanwa\OneDrive\Desktop\&#3591;&#3634;&#3609;&#3605;&#3657;&#3609;&#3611;&#3634;&#3621;&#3660;&#3617;\3.&#3591;&#3634;&#3609;&#3610;&#3641;&#3608;\&#3605;&#3657;&#3609;&#3607;&#3640;&#3609;&#3610;&#3641;&#3608;\&#3611;&#3637;%2069\&#3586;&#3657;&#3629;&#3617;&#3641;&#3621;&#3605;&#3657;&#3609;&#3607;&#3640;&#3609;&#3610;&#3641;&#3658;&#3595;&#3649;&#3610;&#3610;&#3621;&#3632;&#3648;&#3629;&#3637;&#3618;&#3604;%20%20&#3611;&#3637;%2069.xlsx" TargetMode="External"/><Relationship Id="rId1" Type="http://schemas.openxmlformats.org/officeDocument/2006/relationships/externalLinkPath" Target="/Users/Wanwa/OneDrive/Desktop/&#3591;&#3634;&#3609;&#3605;&#3657;&#3609;&#3611;&#3634;&#3621;&#3660;&#3617;/3.&#3591;&#3634;&#3609;&#3610;&#3641;&#3608;/&#3605;&#3657;&#3609;&#3607;&#3640;&#3609;&#3610;&#3641;&#3608;/&#3611;&#3637;%2069/&#3586;&#3657;&#3629;&#3617;&#3641;&#3621;&#3605;&#3657;&#3609;&#3607;&#3640;&#3609;&#3610;&#3641;&#3658;&#3595;&#3649;&#3610;&#3610;&#3621;&#3632;&#3648;&#3629;&#3637;&#3618;&#3604;%20%20&#3611;&#3637;%2069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5;&#3657;&#3609;&#3611;&#3634;&#3621;&#3660;&#3617;/3.&#3591;&#3634;&#3609;&#3610;&#3641;&#3608;/&#3605;&#3657;&#3609;&#3607;&#3640;&#3609;&#3610;&#3641;&#3608;/&#3611;&#3637;%2069/&#3586;&#3657;&#3629;&#3617;&#3641;&#3621;&#3605;&#3657;&#3609;&#3607;&#3640;&#3609;&#3610;&#3641;&#3658;&#3595;&#3649;&#3610;&#3610;&#3621;&#3632;&#3648;&#3629;&#3637;&#3618;&#3604;%20%20&#3611;&#3637;%2069%20(06).xlsx" TargetMode="External"/><Relationship Id="rId2" Type="http://schemas.openxmlformats.org/officeDocument/2006/relationships/externalLinkPath" Target="file:///C:\Users\Wanwa\OneDrive\Desktop\&#3591;&#3634;&#3609;&#3605;&#3657;&#3609;&#3611;&#3634;&#3621;&#3660;&#3617;\3.&#3591;&#3634;&#3609;&#3610;&#3641;&#3608;\&#3605;&#3657;&#3609;&#3607;&#3640;&#3609;&#3610;&#3641;&#3608;\&#3611;&#3637;%2069\&#3586;&#3657;&#3629;&#3617;&#3641;&#3621;&#3605;&#3657;&#3609;&#3607;&#3640;&#3609;&#3610;&#3641;&#3658;&#3595;&#3649;&#3610;&#3610;&#3621;&#3632;&#3648;&#3629;&#3637;&#3618;&#3604;%20%20&#3611;&#3637;%2069%20(06).xlsx" TargetMode="External"/><Relationship Id="rId1" Type="http://schemas.openxmlformats.org/officeDocument/2006/relationships/externalLinkPath" Target="/Users/Wanwa/OneDrive/Desktop/&#3591;&#3634;&#3609;&#3605;&#3657;&#3609;&#3611;&#3634;&#3621;&#3660;&#3617;/3.&#3591;&#3634;&#3609;&#3610;&#3641;&#3608;/&#3605;&#3657;&#3609;&#3607;&#3640;&#3609;&#3610;&#3641;&#3608;/&#3611;&#3637;%2069/&#3586;&#3657;&#3629;&#3617;&#3641;&#3621;&#3605;&#3657;&#3609;&#3607;&#3640;&#3609;&#3610;&#3641;&#3658;&#3595;&#3649;&#3610;&#3610;&#3621;&#3632;&#3648;&#3629;&#3637;&#3618;&#3604;%20%20&#3611;&#3637;%2069%20(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ธ.ค.68"/>
      <sheetName val="ม.ค. 69"/>
      <sheetName val="สัญญาเช่าบู๊ซ"/>
      <sheetName val="รายชื่อพนักงานรายเดือน"/>
    </sheetNames>
    <sheetDataSet>
      <sheetData sheetId="0"/>
      <sheetData sheetId="1"/>
      <sheetData sheetId="2"/>
      <sheetData sheetId="3">
        <row r="8">
          <cell r="K8">
            <v>230.76923076923077</v>
          </cell>
        </row>
        <row r="9">
          <cell r="C9">
            <v>2413.8891666666664</v>
          </cell>
        </row>
        <row r="10">
          <cell r="G10">
            <v>-12275.156666666668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ธ.ค.68"/>
      <sheetName val="ม.ค. 69"/>
      <sheetName val="ก.พ. 69"/>
      <sheetName val="มี.ค. 69"/>
      <sheetName val="เม.ย.69"/>
      <sheetName val="พ.ค. 69 "/>
      <sheetName val="มิ.ย. 69"/>
      <sheetName val="สัญญาเช่าบู๊ซ"/>
      <sheetName val="รายชื่อพนักงานรายเดือ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K8">
            <v>230.76923076923077</v>
          </cell>
        </row>
        <row r="9">
          <cell r="C9">
            <v>1247.2225000000001</v>
          </cell>
        </row>
        <row r="10">
          <cell r="G10">
            <v>-5113.49</v>
          </cell>
        </row>
      </sheetData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47AD-B59B-458D-99B6-AA5AB15ABFF8}">
  <sheetPr>
    <tabColor theme="8" tint="-0.249977111117893"/>
  </sheetPr>
  <dimension ref="A1:AB11"/>
  <sheetViews>
    <sheetView tabSelected="1" zoomScale="80" zoomScaleNormal="8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4.5" style="2" bestFit="1" customWidth="1"/>
    <col min="28" max="16384" width="9" style="2"/>
  </cols>
  <sheetData>
    <row r="1" spans="1:28" ht="28.8" x14ac:dyDescent="0.75">
      <c r="A1" s="1" t="s">
        <v>0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5.8" x14ac:dyDescent="0.65">
      <c r="A3" s="5">
        <v>1</v>
      </c>
      <c r="B3" s="5">
        <v>10204</v>
      </c>
      <c r="C3" s="6" t="s">
        <v>27</v>
      </c>
      <c r="D3" s="7">
        <v>200162</v>
      </c>
      <c r="E3" s="7">
        <v>39089</v>
      </c>
      <c r="F3" s="8">
        <f t="shared" ref="F3:F5" si="0">+D3-E3</f>
        <v>161073</v>
      </c>
      <c r="G3" s="8">
        <f t="shared" ref="G3:G4" si="1">+D3*0.5</f>
        <v>100081</v>
      </c>
      <c r="H3" s="9">
        <f t="shared" ref="H3:H5" si="2">+F3-G3</f>
        <v>60992</v>
      </c>
      <c r="I3" s="10">
        <f>[1]รายชื่อพนักงานรายเดือน!G10</f>
        <v>-12275.156666666668</v>
      </c>
      <c r="J3" s="8">
        <v>2165</v>
      </c>
      <c r="K3" s="8">
        <v>600</v>
      </c>
      <c r="L3" s="11">
        <f>+[1]รายชื่อพนักงานรายเดือน!C9</f>
        <v>2413.8891666666664</v>
      </c>
      <c r="M3" s="8">
        <v>5820</v>
      </c>
      <c r="N3" s="12">
        <v>0</v>
      </c>
      <c r="O3" s="12">
        <v>32</v>
      </c>
      <c r="P3" s="8">
        <v>4179.7700000000004</v>
      </c>
      <c r="Q3" s="12">
        <v>15</v>
      </c>
      <c r="R3" s="12">
        <v>0</v>
      </c>
      <c r="S3" s="8">
        <v>206.96</v>
      </c>
      <c r="T3" s="12">
        <v>0</v>
      </c>
      <c r="U3" s="12">
        <v>0</v>
      </c>
      <c r="V3" s="12">
        <v>0</v>
      </c>
      <c r="W3" s="12">
        <v>0</v>
      </c>
      <c r="X3" s="12">
        <f>+[1]รายชื่อพนักงานรายเดือน!K8</f>
        <v>230.76923076923077</v>
      </c>
      <c r="Y3" s="8">
        <v>0</v>
      </c>
      <c r="Z3" s="13">
        <f t="shared" ref="Z3:Z5" si="3">+H3-I3-J3-L3-M3-O3-P3-S3-T3-U3-V3-W3-X3-Y3-Q3-R3-K3-N3</f>
        <v>57603.768269230764</v>
      </c>
    </row>
    <row r="4" spans="1:28" ht="24" customHeight="1" x14ac:dyDescent="0.65">
      <c r="A4" s="5">
        <v>2</v>
      </c>
      <c r="B4" s="5">
        <v>10205</v>
      </c>
      <c r="C4" s="6" t="s">
        <v>28</v>
      </c>
      <c r="D4" s="7">
        <v>175148</v>
      </c>
      <c r="E4" s="7">
        <v>20788</v>
      </c>
      <c r="F4" s="8">
        <f t="shared" si="0"/>
        <v>154360</v>
      </c>
      <c r="G4" s="8">
        <f t="shared" si="1"/>
        <v>87574</v>
      </c>
      <c r="H4" s="9">
        <f t="shared" si="2"/>
        <v>66786</v>
      </c>
      <c r="I4" s="10">
        <f>[1]รายชื่อพนักงานรายเดือน!G10</f>
        <v>-12275.156666666668</v>
      </c>
      <c r="J4" s="8">
        <v>2174.4</v>
      </c>
      <c r="K4" s="8">
        <v>500</v>
      </c>
      <c r="L4" s="11">
        <f>+[1]รายชื่อพนักงานรายเดือน!C9</f>
        <v>2413.8891666666664</v>
      </c>
      <c r="M4" s="8">
        <v>0</v>
      </c>
      <c r="N4" s="12">
        <v>0</v>
      </c>
      <c r="O4" s="12">
        <v>40</v>
      </c>
      <c r="P4" s="8">
        <v>10591.28</v>
      </c>
      <c r="Q4" s="12">
        <v>0</v>
      </c>
      <c r="R4" s="12">
        <v>0</v>
      </c>
      <c r="S4" s="8">
        <v>206.96</v>
      </c>
      <c r="T4" s="12">
        <v>0</v>
      </c>
      <c r="U4" s="12">
        <v>100</v>
      </c>
      <c r="V4" s="12">
        <v>625</v>
      </c>
      <c r="W4" s="12">
        <v>0</v>
      </c>
      <c r="X4" s="12">
        <f>+[1]รายชื่อพนักงานรายเดือน!K8</f>
        <v>230.76923076923077</v>
      </c>
      <c r="Y4" s="8">
        <v>336</v>
      </c>
      <c r="Z4" s="13">
        <f t="shared" si="3"/>
        <v>61842.858269230775</v>
      </c>
    </row>
    <row r="5" spans="1:28" ht="25.8" x14ac:dyDescent="0.65">
      <c r="A5" s="5">
        <v>3</v>
      </c>
      <c r="B5" s="5">
        <v>10207</v>
      </c>
      <c r="C5" s="6" t="s">
        <v>29</v>
      </c>
      <c r="D5" s="7">
        <v>196750</v>
      </c>
      <c r="E5" s="7">
        <v>8765</v>
      </c>
      <c r="F5" s="8">
        <f t="shared" si="0"/>
        <v>187985</v>
      </c>
      <c r="G5" s="8">
        <f>+D5*0.5</f>
        <v>98375</v>
      </c>
      <c r="H5" s="9">
        <f t="shared" si="2"/>
        <v>89610</v>
      </c>
      <c r="I5" s="10">
        <f>[1]รายชื่อพนักงานรายเดือน!G10</f>
        <v>-12275.156666666668</v>
      </c>
      <c r="J5" s="8">
        <v>3519.4</v>
      </c>
      <c r="K5" s="8">
        <v>600</v>
      </c>
      <c r="L5" s="11">
        <f>+[1]รายชื่อพนักงานรายเดือน!C9</f>
        <v>2413.8891666666664</v>
      </c>
      <c r="M5" s="8">
        <v>8100</v>
      </c>
      <c r="N5" s="12">
        <v>351</v>
      </c>
      <c r="O5" s="12">
        <v>0</v>
      </c>
      <c r="P5" s="8">
        <v>2915</v>
      </c>
      <c r="Q5" s="12">
        <v>0</v>
      </c>
      <c r="R5" s="12">
        <v>0</v>
      </c>
      <c r="S5" s="8">
        <v>206.96</v>
      </c>
      <c r="T5" s="12">
        <v>0</v>
      </c>
      <c r="U5" s="12">
        <v>0</v>
      </c>
      <c r="V5" s="12">
        <v>0</v>
      </c>
      <c r="W5" s="12">
        <v>0</v>
      </c>
      <c r="X5" s="12">
        <f>+[1]รายชื่อพนักงานรายเดือน!K8</f>
        <v>230.76923076923077</v>
      </c>
      <c r="Y5" s="8">
        <v>0</v>
      </c>
      <c r="Z5" s="13">
        <f t="shared" si="3"/>
        <v>83548.138269230767</v>
      </c>
    </row>
    <row r="6" spans="1:28" ht="27" thickBot="1" x14ac:dyDescent="0.75">
      <c r="C6" s="14" t="s">
        <v>30</v>
      </c>
      <c r="D6" s="15">
        <f t="shared" ref="D6:Z6" si="4">SUM(D3:D5)</f>
        <v>572060</v>
      </c>
      <c r="E6" s="16">
        <f t="shared" si="4"/>
        <v>68642</v>
      </c>
      <c r="F6" s="16">
        <f t="shared" si="4"/>
        <v>503418</v>
      </c>
      <c r="G6" s="16">
        <f t="shared" si="4"/>
        <v>286030</v>
      </c>
      <c r="H6" s="17">
        <f t="shared" si="4"/>
        <v>217388</v>
      </c>
      <c r="I6" s="15">
        <f t="shared" si="4"/>
        <v>-36825.47</v>
      </c>
      <c r="J6" s="16">
        <f t="shared" si="4"/>
        <v>7858.7999999999993</v>
      </c>
      <c r="K6" s="16">
        <f t="shared" si="4"/>
        <v>1700</v>
      </c>
      <c r="L6" s="15">
        <f t="shared" si="4"/>
        <v>7241.6674999999996</v>
      </c>
      <c r="M6" s="16">
        <f t="shared" si="4"/>
        <v>13920</v>
      </c>
      <c r="N6" s="16">
        <f t="shared" si="4"/>
        <v>351</v>
      </c>
      <c r="O6" s="16">
        <f t="shared" si="4"/>
        <v>72</v>
      </c>
      <c r="P6" s="16">
        <f t="shared" si="4"/>
        <v>17686.050000000003</v>
      </c>
      <c r="Q6" s="16">
        <f t="shared" si="4"/>
        <v>15</v>
      </c>
      <c r="R6" s="16">
        <f t="shared" si="4"/>
        <v>0</v>
      </c>
      <c r="S6" s="16">
        <f t="shared" si="4"/>
        <v>620.88</v>
      </c>
      <c r="T6" s="16">
        <f t="shared" si="4"/>
        <v>0</v>
      </c>
      <c r="U6" s="16">
        <f t="shared" si="4"/>
        <v>100</v>
      </c>
      <c r="V6" s="16">
        <f t="shared" si="4"/>
        <v>625</v>
      </c>
      <c r="W6" s="16">
        <f t="shared" si="4"/>
        <v>0</v>
      </c>
      <c r="X6" s="16">
        <f t="shared" si="4"/>
        <v>692.30769230769238</v>
      </c>
      <c r="Y6" s="16">
        <f t="shared" si="4"/>
        <v>336</v>
      </c>
      <c r="Z6" s="16">
        <f t="shared" si="4"/>
        <v>202994.76480769232</v>
      </c>
      <c r="AA6" s="18" t="s">
        <v>31</v>
      </c>
      <c r="AB6" s="19"/>
    </row>
    <row r="7" spans="1:28" ht="35.4" thickTop="1" x14ac:dyDescent="0.9">
      <c r="C7" s="14" t="s">
        <v>32</v>
      </c>
      <c r="D7" s="20">
        <f>+Z6</f>
        <v>202994.76480769232</v>
      </c>
      <c r="E7" s="21"/>
      <c r="F7" s="21"/>
      <c r="G7" s="21"/>
      <c r="H7" s="21"/>
      <c r="I7" s="22" t="s">
        <v>33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ht="34.799999999999997" x14ac:dyDescent="0.9">
      <c r="C8" s="14" t="s">
        <v>34</v>
      </c>
      <c r="D8" s="23">
        <f>+D7/D6</f>
        <v>0.35484873056618593</v>
      </c>
      <c r="J8" s="21"/>
    </row>
    <row r="9" spans="1:28" ht="34.799999999999997" x14ac:dyDescent="0.9">
      <c r="J9" s="21"/>
    </row>
    <row r="10" spans="1:28" ht="34.799999999999997" x14ac:dyDescent="0.9">
      <c r="J10" s="21"/>
    </row>
    <row r="11" spans="1:28" ht="34.799999999999997" x14ac:dyDescent="0.9">
      <c r="J11" s="21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6 Z8:Z1048576">
    <cfRule type="cellIs" dxfId="5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F09B-B0A7-4B12-BFDC-CA9062A33842}">
  <sheetPr>
    <tabColor theme="8" tint="-0.249977111117893"/>
  </sheetPr>
  <dimension ref="A1:AB11"/>
  <sheetViews>
    <sheetView zoomScale="80" zoomScaleNormal="80" workbookViewId="0">
      <pane xSplit="3" ySplit="2" topLeftCell="D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35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5.8" x14ac:dyDescent="0.65">
      <c r="A3" s="5">
        <v>2</v>
      </c>
      <c r="B3" s="5">
        <v>10204</v>
      </c>
      <c r="C3" s="6" t="s">
        <v>27</v>
      </c>
      <c r="D3" s="7">
        <v>61210</v>
      </c>
      <c r="E3" s="7">
        <v>15365</v>
      </c>
      <c r="F3" s="8">
        <f t="shared" ref="F3:F5" si="0">+D3-E3</f>
        <v>45845</v>
      </c>
      <c r="G3" s="8">
        <f>+D3*0.5</f>
        <v>30605</v>
      </c>
      <c r="H3" s="9">
        <f t="shared" ref="H3:H5" si="1">+F3-G3</f>
        <v>15240</v>
      </c>
      <c r="I3" s="10">
        <f>[2]รายชื่อพนักงานรายเดือน!G10</f>
        <v>-5113.49</v>
      </c>
      <c r="J3" s="8">
        <v>0</v>
      </c>
      <c r="K3" s="8">
        <v>0</v>
      </c>
      <c r="L3" s="11">
        <f>+[2]รายชื่อพนักงานรายเดือน!C9</f>
        <v>1247.2225000000001</v>
      </c>
      <c r="M3" s="8">
        <v>5820</v>
      </c>
      <c r="N3" s="12">
        <v>0</v>
      </c>
      <c r="O3" s="12">
        <v>48</v>
      </c>
      <c r="P3" s="8">
        <v>4392.5200000000004</v>
      </c>
      <c r="Q3" s="12">
        <v>0</v>
      </c>
      <c r="R3" s="12">
        <v>0</v>
      </c>
      <c r="S3" s="8">
        <v>206.96</v>
      </c>
      <c r="T3" s="12">
        <v>0</v>
      </c>
      <c r="U3" s="12">
        <v>0</v>
      </c>
      <c r="V3" s="12">
        <v>0</v>
      </c>
      <c r="W3" s="12">
        <v>0</v>
      </c>
      <c r="X3" s="12">
        <f>+[2]รายชื่อพนักงานรายเดือน!K8</f>
        <v>230.76923076923077</v>
      </c>
      <c r="Y3" s="8">
        <v>482</v>
      </c>
      <c r="Z3" s="13">
        <f t="shared" ref="Z3:Z5" si="2">+H3-I3-J3-L3-M3-O3-P3-S3-T3-U3-V3-W3-X3-Y3-Q3-R3-K3-N3</f>
        <v>7926.0182692307681</v>
      </c>
    </row>
    <row r="4" spans="1:28" ht="24" customHeight="1" x14ac:dyDescent="0.65">
      <c r="A4" s="5">
        <v>3</v>
      </c>
      <c r="B4" s="5">
        <v>10205</v>
      </c>
      <c r="C4" s="6" t="s">
        <v>28</v>
      </c>
      <c r="D4" s="7">
        <v>83036</v>
      </c>
      <c r="E4" s="7">
        <v>10853</v>
      </c>
      <c r="F4" s="8">
        <f t="shared" si="0"/>
        <v>72183</v>
      </c>
      <c r="G4" s="8">
        <f t="shared" ref="G4:G5" si="3">+D4*0.5</f>
        <v>41518</v>
      </c>
      <c r="H4" s="9">
        <f t="shared" si="1"/>
        <v>30665</v>
      </c>
      <c r="I4" s="10">
        <f>[2]รายชื่อพนักงานรายเดือน!G10</f>
        <v>-5113.49</v>
      </c>
      <c r="J4" s="8">
        <v>0</v>
      </c>
      <c r="K4" s="8">
        <v>0</v>
      </c>
      <c r="L4" s="11">
        <f>+[2]รายชื่อพนักงานรายเดือน!C9</f>
        <v>1247.2225000000001</v>
      </c>
      <c r="M4" s="8">
        <v>0</v>
      </c>
      <c r="N4" s="12">
        <v>0</v>
      </c>
      <c r="O4" s="12">
        <v>40</v>
      </c>
      <c r="P4" s="8">
        <v>10310.83</v>
      </c>
      <c r="Q4" s="12">
        <v>0</v>
      </c>
      <c r="R4" s="12">
        <v>0</v>
      </c>
      <c r="S4" s="8">
        <v>206.96</v>
      </c>
      <c r="T4" s="12">
        <v>0</v>
      </c>
      <c r="U4" s="12">
        <v>100</v>
      </c>
      <c r="V4" s="12">
        <v>1110</v>
      </c>
      <c r="W4" s="12">
        <v>0</v>
      </c>
      <c r="X4" s="12">
        <f>+[2]รายชื่อพนักงานรายเดือน!K8</f>
        <v>230.76923076923077</v>
      </c>
      <c r="Y4" s="8">
        <v>48</v>
      </c>
      <c r="Z4" s="13">
        <f t="shared" si="2"/>
        <v>22484.708269230763</v>
      </c>
    </row>
    <row r="5" spans="1:28" ht="25.8" x14ac:dyDescent="0.65">
      <c r="A5" s="5">
        <v>4</v>
      </c>
      <c r="B5" s="5">
        <v>10207</v>
      </c>
      <c r="C5" s="6" t="s">
        <v>29</v>
      </c>
      <c r="D5" s="7">
        <v>119540</v>
      </c>
      <c r="E5" s="7">
        <v>10195</v>
      </c>
      <c r="F5" s="8">
        <f t="shared" si="0"/>
        <v>109345</v>
      </c>
      <c r="G5" s="8">
        <f t="shared" si="3"/>
        <v>59770</v>
      </c>
      <c r="H5" s="9">
        <f t="shared" si="1"/>
        <v>49575</v>
      </c>
      <c r="I5" s="10">
        <f>[2]รายชื่อพนักงานรายเดือน!G10</f>
        <v>-5113.49</v>
      </c>
      <c r="J5" s="8">
        <v>373.8</v>
      </c>
      <c r="K5" s="8">
        <v>0</v>
      </c>
      <c r="L5" s="11">
        <f>+[2]รายชื่อพนักงานรายเดือน!C9</f>
        <v>1247.2225000000001</v>
      </c>
      <c r="M5" s="8">
        <v>8100</v>
      </c>
      <c r="N5" s="12">
        <v>351</v>
      </c>
      <c r="O5" s="12">
        <v>0</v>
      </c>
      <c r="P5" s="8">
        <v>2334</v>
      </c>
      <c r="Q5" s="12">
        <v>0</v>
      </c>
      <c r="R5" s="12">
        <v>0</v>
      </c>
      <c r="S5" s="8">
        <v>206.96</v>
      </c>
      <c r="T5" s="12">
        <v>0</v>
      </c>
      <c r="U5" s="12">
        <v>0</v>
      </c>
      <c r="V5" s="12">
        <v>0</v>
      </c>
      <c r="W5" s="12">
        <v>0</v>
      </c>
      <c r="X5" s="12">
        <f>+[2]รายชื่อพนักงานรายเดือน!K8</f>
        <v>230.76923076923077</v>
      </c>
      <c r="Y5" s="8">
        <v>0</v>
      </c>
      <c r="Z5" s="13">
        <f t="shared" si="2"/>
        <v>41844.738269230758</v>
      </c>
    </row>
    <row r="6" spans="1:28" ht="27" thickBot="1" x14ac:dyDescent="0.75">
      <c r="C6" s="14" t="s">
        <v>30</v>
      </c>
      <c r="D6" s="15">
        <f t="shared" ref="D6:Z6" si="4">SUM(D3:D5)</f>
        <v>263786</v>
      </c>
      <c r="E6" s="16">
        <f t="shared" si="4"/>
        <v>36413</v>
      </c>
      <c r="F6" s="16">
        <f t="shared" si="4"/>
        <v>227373</v>
      </c>
      <c r="G6" s="16">
        <f t="shared" si="4"/>
        <v>131893</v>
      </c>
      <c r="H6" s="17">
        <f t="shared" si="4"/>
        <v>95480</v>
      </c>
      <c r="I6" s="15">
        <f>SUM(I3:I5)</f>
        <v>-15340.47</v>
      </c>
      <c r="J6" s="16">
        <f t="shared" si="4"/>
        <v>373.8</v>
      </c>
      <c r="K6" s="16">
        <f t="shared" si="4"/>
        <v>0</v>
      </c>
      <c r="L6" s="15">
        <f t="shared" si="4"/>
        <v>3741.6675000000005</v>
      </c>
      <c r="M6" s="16">
        <f t="shared" si="4"/>
        <v>13920</v>
      </c>
      <c r="N6" s="16">
        <f t="shared" si="4"/>
        <v>351</v>
      </c>
      <c r="O6" s="16">
        <f t="shared" si="4"/>
        <v>88</v>
      </c>
      <c r="P6" s="16">
        <f t="shared" si="4"/>
        <v>17037.349999999999</v>
      </c>
      <c r="Q6" s="16">
        <f t="shared" si="4"/>
        <v>0</v>
      </c>
      <c r="R6" s="16">
        <f t="shared" si="4"/>
        <v>0</v>
      </c>
      <c r="S6" s="16">
        <f t="shared" si="4"/>
        <v>620.88</v>
      </c>
      <c r="T6" s="16">
        <f t="shared" si="4"/>
        <v>0</v>
      </c>
      <c r="U6" s="16">
        <f t="shared" si="4"/>
        <v>100</v>
      </c>
      <c r="V6" s="16">
        <f t="shared" si="4"/>
        <v>1110</v>
      </c>
      <c r="W6" s="16">
        <f t="shared" si="4"/>
        <v>0</v>
      </c>
      <c r="X6" s="16">
        <f t="shared" si="4"/>
        <v>692.30769230769238</v>
      </c>
      <c r="Y6" s="16">
        <f t="shared" si="4"/>
        <v>530</v>
      </c>
      <c r="Z6" s="16">
        <f t="shared" si="4"/>
        <v>72255.464807692289</v>
      </c>
      <c r="AA6" s="18" t="s">
        <v>31</v>
      </c>
      <c r="AB6" s="19"/>
    </row>
    <row r="7" spans="1:28" ht="35.4" thickTop="1" x14ac:dyDescent="0.9">
      <c r="C7" s="14" t="s">
        <v>32</v>
      </c>
      <c r="D7" s="20">
        <f>+Z6</f>
        <v>72255.464807692289</v>
      </c>
      <c r="E7" s="21"/>
      <c r="F7" s="21"/>
      <c r="G7" s="21"/>
      <c r="H7" s="21"/>
      <c r="I7" s="22" t="s">
        <v>33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ht="34.799999999999997" x14ac:dyDescent="0.9">
      <c r="C8" s="14" t="s">
        <v>34</v>
      </c>
      <c r="D8" s="23">
        <f>+D7/D6</f>
        <v>0.27391698121845848</v>
      </c>
      <c r="J8" s="21"/>
    </row>
    <row r="9" spans="1:28" ht="34.799999999999997" x14ac:dyDescent="0.9">
      <c r="J9" s="21"/>
    </row>
    <row r="10" spans="1:28" ht="34.799999999999997" x14ac:dyDescent="0.9">
      <c r="J10" s="21"/>
    </row>
    <row r="11" spans="1:28" ht="34.799999999999997" x14ac:dyDescent="0.9">
      <c r="J11" s="21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6 Z8:Z1048576">
    <cfRule type="cellIs" dxfId="4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471E-0B33-4316-8584-3BCF9FD5AEE9}">
  <sheetPr>
    <tabColor theme="8" tint="-0.249977111117893"/>
  </sheetPr>
  <dimension ref="A1:AB11"/>
  <sheetViews>
    <sheetView zoomScale="80" zoomScaleNormal="80" workbookViewId="0">
      <pane xSplit="3" ySplit="2" topLeftCell="D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36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5.8" x14ac:dyDescent="0.65">
      <c r="A3" s="5">
        <v>2</v>
      </c>
      <c r="B3" s="5">
        <v>10204</v>
      </c>
      <c r="C3" s="6" t="s">
        <v>27</v>
      </c>
      <c r="D3" s="7">
        <v>61455</v>
      </c>
      <c r="E3" s="7">
        <v>14214</v>
      </c>
      <c r="F3" s="8">
        <f t="shared" ref="F3:F5" si="0">+D3-E3</f>
        <v>47241</v>
      </c>
      <c r="G3" s="8">
        <f>+D3*0.5</f>
        <v>30727.5</v>
      </c>
      <c r="H3" s="9">
        <f t="shared" ref="H3:H5" si="1">+F3-G3</f>
        <v>16513.5</v>
      </c>
      <c r="I3" s="10">
        <f>[2]รายชื่อพนักงานรายเดือน!G10</f>
        <v>-5113.49</v>
      </c>
      <c r="J3" s="8">
        <v>0</v>
      </c>
      <c r="K3" s="8">
        <v>0</v>
      </c>
      <c r="L3" s="11">
        <f>+[2]รายชื่อพนักงานรายเดือน!C9</f>
        <v>1247.2225000000001</v>
      </c>
      <c r="M3" s="8">
        <v>5820</v>
      </c>
      <c r="N3" s="12">
        <v>0</v>
      </c>
      <c r="O3" s="12">
        <v>41</v>
      </c>
      <c r="P3" s="8">
        <v>4136.26</v>
      </c>
      <c r="Q3" s="12">
        <v>0</v>
      </c>
      <c r="R3" s="12">
        <v>0</v>
      </c>
      <c r="S3" s="8">
        <v>206.96</v>
      </c>
      <c r="T3" s="12">
        <v>0</v>
      </c>
      <c r="U3" s="12">
        <v>0</v>
      </c>
      <c r="V3" s="12">
        <v>0</v>
      </c>
      <c r="W3" s="12">
        <v>0</v>
      </c>
      <c r="X3" s="12">
        <f>+[2]รายชื่อพนักงานรายเดือน!K8</f>
        <v>230.76923076923077</v>
      </c>
      <c r="Y3" s="8">
        <f>56+120</f>
        <v>176</v>
      </c>
      <c r="Z3" s="13">
        <f t="shared" ref="Z3:Z5" si="2">+H3-I3-J3-L3-M3-O3-P3-S3-T3-U3-V3-W3-X3-Y3-Q3-R3-K3-N3</f>
        <v>9768.7782692307683</v>
      </c>
    </row>
    <row r="4" spans="1:28" ht="24" customHeight="1" x14ac:dyDescent="0.65">
      <c r="A4" s="5">
        <v>3</v>
      </c>
      <c r="B4" s="5">
        <v>10205</v>
      </c>
      <c r="C4" s="6" t="s">
        <v>28</v>
      </c>
      <c r="D4" s="7">
        <v>95114</v>
      </c>
      <c r="E4" s="7">
        <v>12978</v>
      </c>
      <c r="F4" s="8">
        <f t="shared" si="0"/>
        <v>82136</v>
      </c>
      <c r="G4" s="8">
        <f t="shared" ref="G4:G5" si="3">+D4*0.5</f>
        <v>47557</v>
      </c>
      <c r="H4" s="9">
        <f t="shared" si="1"/>
        <v>34579</v>
      </c>
      <c r="I4" s="10">
        <f>[2]รายชื่อพนักงานรายเดือน!G10</f>
        <v>-5113.49</v>
      </c>
      <c r="J4" s="8">
        <v>0</v>
      </c>
      <c r="K4" s="8">
        <v>100</v>
      </c>
      <c r="L4" s="11">
        <f>+[2]รายชื่อพนักงานรายเดือน!C9</f>
        <v>1247.2225000000001</v>
      </c>
      <c r="M4" s="8">
        <v>0</v>
      </c>
      <c r="N4" s="12">
        <v>0</v>
      </c>
      <c r="O4" s="12">
        <v>55</v>
      </c>
      <c r="P4" s="8">
        <v>12394.82</v>
      </c>
      <c r="Q4" s="12">
        <v>0</v>
      </c>
      <c r="R4" s="12">
        <v>0</v>
      </c>
      <c r="S4" s="8">
        <v>206.96</v>
      </c>
      <c r="T4" s="12">
        <v>0</v>
      </c>
      <c r="U4" s="12">
        <v>50</v>
      </c>
      <c r="V4" s="12">
        <v>150</v>
      </c>
      <c r="W4" s="12">
        <v>0</v>
      </c>
      <c r="X4" s="12">
        <f>+[2]รายชื่อพนักงานรายเดือน!K8</f>
        <v>230.76923076923077</v>
      </c>
      <c r="Y4" s="8">
        <v>153</v>
      </c>
      <c r="Z4" s="13">
        <f t="shared" si="2"/>
        <v>25104.718269230765</v>
      </c>
    </row>
    <row r="5" spans="1:28" ht="25.8" x14ac:dyDescent="0.65">
      <c r="A5" s="5">
        <v>4</v>
      </c>
      <c r="B5" s="5">
        <v>10207</v>
      </c>
      <c r="C5" s="6" t="s">
        <v>29</v>
      </c>
      <c r="D5" s="7">
        <v>121235</v>
      </c>
      <c r="E5" s="7">
        <v>7615</v>
      </c>
      <c r="F5" s="8">
        <f t="shared" si="0"/>
        <v>113620</v>
      </c>
      <c r="G5" s="8">
        <f t="shared" si="3"/>
        <v>60617.5</v>
      </c>
      <c r="H5" s="9">
        <f t="shared" si="1"/>
        <v>53002.5</v>
      </c>
      <c r="I5" s="10">
        <f>[2]รายชื่อพนักงานรายเดือน!G10</f>
        <v>-5113.49</v>
      </c>
      <c r="J5" s="8">
        <v>554.79999999999995</v>
      </c>
      <c r="K5" s="8">
        <v>100</v>
      </c>
      <c r="L5" s="11">
        <f>+[2]รายชื่อพนักงานรายเดือน!C9</f>
        <v>1247.2225000000001</v>
      </c>
      <c r="M5" s="8">
        <v>8100</v>
      </c>
      <c r="N5" s="12">
        <v>351</v>
      </c>
      <c r="O5" s="12">
        <v>0</v>
      </c>
      <c r="P5" s="8">
        <v>2280</v>
      </c>
      <c r="Q5" s="12">
        <v>0</v>
      </c>
      <c r="R5" s="12">
        <v>0</v>
      </c>
      <c r="S5" s="8">
        <v>206.96</v>
      </c>
      <c r="T5" s="12">
        <v>0</v>
      </c>
      <c r="U5" s="12">
        <v>0</v>
      </c>
      <c r="V5" s="12">
        <v>0</v>
      </c>
      <c r="W5" s="12">
        <v>0</v>
      </c>
      <c r="X5" s="12">
        <f>+[2]รายชื่อพนักงานรายเดือน!K8</f>
        <v>230.76923076923077</v>
      </c>
      <c r="Y5" s="8">
        <v>0</v>
      </c>
      <c r="Z5" s="13">
        <f t="shared" si="2"/>
        <v>45045.238269230758</v>
      </c>
    </row>
    <row r="6" spans="1:28" ht="27" thickBot="1" x14ac:dyDescent="0.75">
      <c r="C6" s="14" t="s">
        <v>30</v>
      </c>
      <c r="D6" s="15">
        <f t="shared" ref="D6:Z6" si="4">SUM(D3:D5)</f>
        <v>277804</v>
      </c>
      <c r="E6" s="16">
        <f t="shared" si="4"/>
        <v>34807</v>
      </c>
      <c r="F6" s="16">
        <f t="shared" si="4"/>
        <v>242997</v>
      </c>
      <c r="G6" s="16">
        <f t="shared" si="4"/>
        <v>138902</v>
      </c>
      <c r="H6" s="17">
        <f t="shared" si="4"/>
        <v>104095</v>
      </c>
      <c r="I6" s="15">
        <f>SUM(I3:I5)</f>
        <v>-15340.47</v>
      </c>
      <c r="J6" s="16">
        <f t="shared" si="4"/>
        <v>554.79999999999995</v>
      </c>
      <c r="K6" s="16">
        <f t="shared" si="4"/>
        <v>200</v>
      </c>
      <c r="L6" s="15">
        <f t="shared" si="4"/>
        <v>3741.6675000000005</v>
      </c>
      <c r="M6" s="16">
        <f t="shared" si="4"/>
        <v>13920</v>
      </c>
      <c r="N6" s="16">
        <f t="shared" si="4"/>
        <v>351</v>
      </c>
      <c r="O6" s="16">
        <f t="shared" si="4"/>
        <v>96</v>
      </c>
      <c r="P6" s="16">
        <f t="shared" si="4"/>
        <v>18811.080000000002</v>
      </c>
      <c r="Q6" s="16">
        <f t="shared" si="4"/>
        <v>0</v>
      </c>
      <c r="R6" s="16">
        <f t="shared" si="4"/>
        <v>0</v>
      </c>
      <c r="S6" s="16">
        <f t="shared" si="4"/>
        <v>620.88</v>
      </c>
      <c r="T6" s="16">
        <f t="shared" si="4"/>
        <v>0</v>
      </c>
      <c r="U6" s="16">
        <f t="shared" si="4"/>
        <v>50</v>
      </c>
      <c r="V6" s="16">
        <f t="shared" si="4"/>
        <v>150</v>
      </c>
      <c r="W6" s="16">
        <f t="shared" si="4"/>
        <v>0</v>
      </c>
      <c r="X6" s="16">
        <f t="shared" si="4"/>
        <v>692.30769230769238</v>
      </c>
      <c r="Y6" s="16">
        <f t="shared" si="4"/>
        <v>329</v>
      </c>
      <c r="Z6" s="16">
        <f t="shared" si="4"/>
        <v>79918.734807692294</v>
      </c>
      <c r="AA6" s="18" t="s">
        <v>31</v>
      </c>
      <c r="AB6" s="19"/>
    </row>
    <row r="7" spans="1:28" ht="35.4" thickTop="1" x14ac:dyDescent="0.9">
      <c r="C7" s="14" t="s">
        <v>32</v>
      </c>
      <c r="D7" s="20">
        <f>+Z6</f>
        <v>79918.734807692294</v>
      </c>
      <c r="E7" s="21"/>
      <c r="F7" s="21"/>
      <c r="G7" s="21"/>
      <c r="H7" s="21"/>
      <c r="I7" s="22" t="s">
        <v>33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ht="34.799999999999997" x14ac:dyDescent="0.9">
      <c r="C8" s="14" t="s">
        <v>34</v>
      </c>
      <c r="D8" s="23">
        <f>+D7/D6</f>
        <v>0.2876802882884778</v>
      </c>
      <c r="J8" s="21"/>
    </row>
    <row r="9" spans="1:28" ht="34.799999999999997" x14ac:dyDescent="0.9">
      <c r="J9" s="21"/>
    </row>
    <row r="10" spans="1:28" ht="34.799999999999997" x14ac:dyDescent="0.9">
      <c r="J10" s="21"/>
    </row>
    <row r="11" spans="1:28" ht="34.799999999999997" x14ac:dyDescent="0.9">
      <c r="J11" s="21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6 Z8:Z1048576">
    <cfRule type="cellIs" dxfId="3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6846-BFF9-4AE2-A5A5-04C5C62F1A86}">
  <sheetPr>
    <tabColor theme="8" tint="-0.249977111117893"/>
  </sheetPr>
  <dimension ref="A1:AB11"/>
  <sheetViews>
    <sheetView zoomScale="80" zoomScaleNormal="80" workbookViewId="0">
      <pane xSplit="3" ySplit="2" topLeftCell="D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37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5.8" x14ac:dyDescent="0.65">
      <c r="A3" s="5">
        <v>2</v>
      </c>
      <c r="B3" s="5">
        <v>10204</v>
      </c>
      <c r="C3" s="6" t="s">
        <v>27</v>
      </c>
      <c r="D3" s="7">
        <v>69832</v>
      </c>
      <c r="E3" s="7">
        <v>17927</v>
      </c>
      <c r="F3" s="8">
        <f t="shared" ref="F3:F5" si="0">+D3-E3</f>
        <v>51905</v>
      </c>
      <c r="G3" s="8">
        <f>+D3*0.5</f>
        <v>34916</v>
      </c>
      <c r="H3" s="9">
        <f t="shared" ref="H3:H5" si="1">+F3-G3</f>
        <v>16989</v>
      </c>
      <c r="I3" s="10">
        <f>[2]รายชื่อพนักงานรายเดือน!G10</f>
        <v>-5113.49</v>
      </c>
      <c r="J3" s="8">
        <v>0</v>
      </c>
      <c r="K3" s="8">
        <v>100</v>
      </c>
      <c r="L3" s="11">
        <f>+[2]รายชื่อพนักงานรายเดือน!C9</f>
        <v>1247.2225000000001</v>
      </c>
      <c r="M3" s="8">
        <v>5820</v>
      </c>
      <c r="N3" s="12">
        <v>0</v>
      </c>
      <c r="O3" s="12">
        <v>38</v>
      </c>
      <c r="P3" s="8">
        <v>3348.12</v>
      </c>
      <c r="Q3" s="12">
        <v>0</v>
      </c>
      <c r="R3" s="12">
        <v>0</v>
      </c>
      <c r="S3" s="8">
        <v>206.96</v>
      </c>
      <c r="T3" s="12">
        <v>0</v>
      </c>
      <c r="U3" s="12">
        <v>0</v>
      </c>
      <c r="V3" s="12">
        <v>0</v>
      </c>
      <c r="W3" s="12">
        <v>0</v>
      </c>
      <c r="X3" s="12">
        <f>+[2]รายชื่อพนักงานรายเดือน!K8</f>
        <v>230.76923076923077</v>
      </c>
      <c r="Y3" s="8">
        <v>330</v>
      </c>
      <c r="Z3" s="13">
        <f t="shared" ref="Z3:Z5" si="2">+H3-I3-J3-L3-M3-O3-P3-S3-T3-U3-V3-W3-X3-Y3-Q3-R3-K3-N3</f>
        <v>10781.41826923077</v>
      </c>
    </row>
    <row r="4" spans="1:28" ht="24" customHeight="1" x14ac:dyDescent="0.65">
      <c r="A4" s="5">
        <v>3</v>
      </c>
      <c r="B4" s="5">
        <v>10205</v>
      </c>
      <c r="C4" s="6" t="s">
        <v>28</v>
      </c>
      <c r="D4" s="7">
        <v>64625</v>
      </c>
      <c r="E4" s="7">
        <v>10260</v>
      </c>
      <c r="F4" s="8">
        <f t="shared" si="0"/>
        <v>54365</v>
      </c>
      <c r="G4" s="8">
        <f t="shared" ref="G4:G5" si="3">+D4*0.5</f>
        <v>32312.5</v>
      </c>
      <c r="H4" s="9">
        <f t="shared" si="1"/>
        <v>22052.5</v>
      </c>
      <c r="I4" s="10">
        <f>[2]รายชื่อพนักงานรายเดือน!G10</f>
        <v>-5113.49</v>
      </c>
      <c r="J4" s="8">
        <v>0</v>
      </c>
      <c r="K4" s="8">
        <v>0</v>
      </c>
      <c r="L4" s="11">
        <f>+[2]รายชื่อพนักงานรายเดือน!C9</f>
        <v>1247.2225000000001</v>
      </c>
      <c r="M4" s="8">
        <v>0</v>
      </c>
      <c r="N4" s="12">
        <v>0</v>
      </c>
      <c r="O4" s="12">
        <v>55</v>
      </c>
      <c r="P4" s="8">
        <v>12477.01</v>
      </c>
      <c r="Q4" s="12">
        <v>0</v>
      </c>
      <c r="R4" s="12">
        <v>0</v>
      </c>
      <c r="S4" s="8">
        <v>206.96</v>
      </c>
      <c r="T4" s="12">
        <v>0</v>
      </c>
      <c r="U4" s="12">
        <v>0</v>
      </c>
      <c r="V4" s="12">
        <v>660</v>
      </c>
      <c r="W4" s="12">
        <v>0</v>
      </c>
      <c r="X4" s="12">
        <f>+[2]รายชื่อพนักงานรายเดือน!K8</f>
        <v>230.76923076923077</v>
      </c>
      <c r="Y4" s="8">
        <v>308</v>
      </c>
      <c r="Z4" s="13">
        <f t="shared" si="2"/>
        <v>11981.028269230768</v>
      </c>
    </row>
    <row r="5" spans="1:28" ht="25.8" x14ac:dyDescent="0.65">
      <c r="A5" s="5">
        <v>4</v>
      </c>
      <c r="B5" s="5">
        <v>10207</v>
      </c>
      <c r="C5" s="6" t="s">
        <v>29</v>
      </c>
      <c r="D5" s="7">
        <v>114628</v>
      </c>
      <c r="E5" s="7">
        <v>8758</v>
      </c>
      <c r="F5" s="8">
        <f t="shared" si="0"/>
        <v>105870</v>
      </c>
      <c r="G5" s="8">
        <f t="shared" si="3"/>
        <v>57314</v>
      </c>
      <c r="H5" s="9">
        <f t="shared" si="1"/>
        <v>48556</v>
      </c>
      <c r="I5" s="10">
        <f>[2]รายชื่อพนักงานรายเดือน!G10</f>
        <v>-5113.49</v>
      </c>
      <c r="J5" s="8">
        <v>234.8</v>
      </c>
      <c r="K5" s="8">
        <v>0</v>
      </c>
      <c r="L5" s="11">
        <f>+[2]รายชื่อพนักงานรายเดือน!C9</f>
        <v>1247.2225000000001</v>
      </c>
      <c r="M5" s="8">
        <v>8100</v>
      </c>
      <c r="N5" s="12">
        <v>351</v>
      </c>
      <c r="O5" s="12">
        <v>0</v>
      </c>
      <c r="P5" s="8">
        <v>3156</v>
      </c>
      <c r="Q5" s="12">
        <v>0</v>
      </c>
      <c r="R5" s="12">
        <v>0</v>
      </c>
      <c r="S5" s="8">
        <v>206.96</v>
      </c>
      <c r="T5" s="12">
        <v>0</v>
      </c>
      <c r="U5" s="12">
        <v>0</v>
      </c>
      <c r="V5" s="12">
        <v>0</v>
      </c>
      <c r="W5" s="12">
        <v>0</v>
      </c>
      <c r="X5" s="12">
        <f>+[2]รายชื่อพนักงานรายเดือน!K8</f>
        <v>230.76923076923077</v>
      </c>
      <c r="Y5" s="8">
        <v>0</v>
      </c>
      <c r="Z5" s="13">
        <f t="shared" si="2"/>
        <v>40142.738269230758</v>
      </c>
    </row>
    <row r="6" spans="1:28" ht="27" thickBot="1" x14ac:dyDescent="0.75">
      <c r="C6" s="14" t="s">
        <v>30</v>
      </c>
      <c r="D6" s="15">
        <f t="shared" ref="D6:Z6" si="4">SUM(D3:D5)</f>
        <v>249085</v>
      </c>
      <c r="E6" s="16">
        <f t="shared" si="4"/>
        <v>36945</v>
      </c>
      <c r="F6" s="16">
        <f t="shared" si="4"/>
        <v>212140</v>
      </c>
      <c r="G6" s="16">
        <f t="shared" si="4"/>
        <v>124542.5</v>
      </c>
      <c r="H6" s="17">
        <f t="shared" si="4"/>
        <v>87597.5</v>
      </c>
      <c r="I6" s="15">
        <f>SUM(I3:I5)</f>
        <v>-15340.47</v>
      </c>
      <c r="J6" s="16">
        <f t="shared" si="4"/>
        <v>234.8</v>
      </c>
      <c r="K6" s="16">
        <f t="shared" si="4"/>
        <v>100</v>
      </c>
      <c r="L6" s="15">
        <f t="shared" si="4"/>
        <v>3741.6675000000005</v>
      </c>
      <c r="M6" s="16">
        <f t="shared" si="4"/>
        <v>13920</v>
      </c>
      <c r="N6" s="16">
        <f t="shared" si="4"/>
        <v>351</v>
      </c>
      <c r="O6" s="16">
        <f t="shared" si="4"/>
        <v>93</v>
      </c>
      <c r="P6" s="16">
        <f t="shared" si="4"/>
        <v>18981.13</v>
      </c>
      <c r="Q6" s="16">
        <f t="shared" si="4"/>
        <v>0</v>
      </c>
      <c r="R6" s="16">
        <f t="shared" si="4"/>
        <v>0</v>
      </c>
      <c r="S6" s="16">
        <f t="shared" si="4"/>
        <v>620.88</v>
      </c>
      <c r="T6" s="16">
        <f t="shared" si="4"/>
        <v>0</v>
      </c>
      <c r="U6" s="16">
        <f t="shared" si="4"/>
        <v>0</v>
      </c>
      <c r="V6" s="16">
        <f t="shared" si="4"/>
        <v>660</v>
      </c>
      <c r="W6" s="16">
        <f t="shared" si="4"/>
        <v>0</v>
      </c>
      <c r="X6" s="16">
        <f t="shared" si="4"/>
        <v>692.30769230769238</v>
      </c>
      <c r="Y6" s="16">
        <f t="shared" si="4"/>
        <v>638</v>
      </c>
      <c r="Z6" s="16">
        <f t="shared" si="4"/>
        <v>62905.184807692298</v>
      </c>
      <c r="AA6" s="18" t="s">
        <v>31</v>
      </c>
      <c r="AB6" s="19"/>
    </row>
    <row r="7" spans="1:28" ht="35.4" thickTop="1" x14ac:dyDescent="0.9">
      <c r="C7" s="14" t="s">
        <v>32</v>
      </c>
      <c r="D7" s="20">
        <f>+Z6</f>
        <v>62905.184807692298</v>
      </c>
      <c r="E7" s="21"/>
      <c r="F7" s="21"/>
      <c r="G7" s="21"/>
      <c r="H7" s="21"/>
      <c r="I7" s="22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ht="34.799999999999997" x14ac:dyDescent="0.9">
      <c r="C8" s="14" t="s">
        <v>34</v>
      </c>
      <c r="D8" s="23">
        <f>+D7/D6</f>
        <v>0.2525450541288809</v>
      </c>
      <c r="J8" s="21"/>
    </row>
    <row r="9" spans="1:28" ht="34.799999999999997" x14ac:dyDescent="0.9">
      <c r="J9" s="21"/>
    </row>
    <row r="10" spans="1:28" ht="34.799999999999997" x14ac:dyDescent="0.9">
      <c r="J10" s="21"/>
    </row>
    <row r="11" spans="1:28" ht="34.799999999999997" x14ac:dyDescent="0.9">
      <c r="J11" s="21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6 Z8:Z1048576">
    <cfRule type="cellIs" dxfId="2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E3F9-924A-4CAC-9014-BB0D4323E759}">
  <sheetPr>
    <tabColor theme="8" tint="-0.249977111117893"/>
  </sheetPr>
  <dimension ref="A1:AB11"/>
  <sheetViews>
    <sheetView zoomScale="80" zoomScaleNormal="80" workbookViewId="0">
      <pane xSplit="3" ySplit="2" topLeftCell="D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38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5.8" x14ac:dyDescent="0.65">
      <c r="A3" s="5">
        <v>2</v>
      </c>
      <c r="B3" s="5">
        <v>10204</v>
      </c>
      <c r="C3" s="6" t="s">
        <v>27</v>
      </c>
      <c r="D3" s="7">
        <v>78995</v>
      </c>
      <c r="E3" s="7">
        <v>24539</v>
      </c>
      <c r="F3" s="8">
        <f t="shared" ref="F3:F5" si="0">+D3-E3</f>
        <v>54456</v>
      </c>
      <c r="G3" s="8">
        <f>+D3*0.5</f>
        <v>39497.5</v>
      </c>
      <c r="H3" s="9">
        <f t="shared" ref="H3:H5" si="1">+F3-G3</f>
        <v>14958.5</v>
      </c>
      <c r="I3" s="10">
        <f>[2]รายชื่อพนักงานรายเดือน!G10</f>
        <v>-5113.49</v>
      </c>
      <c r="J3" s="8">
        <v>0</v>
      </c>
      <c r="K3" s="8">
        <v>0</v>
      </c>
      <c r="L3" s="11">
        <f>+[2]รายชื่อพนักงานรายเดือน!C9</f>
        <v>1247.2225000000001</v>
      </c>
      <c r="M3" s="8">
        <v>5820</v>
      </c>
      <c r="N3" s="12">
        <v>0</v>
      </c>
      <c r="O3" s="12">
        <v>38</v>
      </c>
      <c r="P3" s="8">
        <v>3659.41</v>
      </c>
      <c r="Q3" s="12">
        <v>0</v>
      </c>
      <c r="R3" s="12">
        <v>0</v>
      </c>
      <c r="S3" s="8">
        <v>206.96</v>
      </c>
      <c r="T3" s="12">
        <v>0</v>
      </c>
      <c r="U3" s="12">
        <v>0</v>
      </c>
      <c r="V3" s="12">
        <v>0</v>
      </c>
      <c r="W3" s="12">
        <v>0</v>
      </c>
      <c r="X3" s="12">
        <f>+[2]รายชื่อพนักงานรายเดือน!K8</f>
        <v>230.76923076923077</v>
      </c>
      <c r="Y3" s="8">
        <v>185</v>
      </c>
      <c r="Z3" s="13">
        <f t="shared" ref="Z3:Z5" si="2">+H3-I3-J3-L3-M3-O3-P3-S3-T3-U3-V3-W3-X3-Y3-Q3-R3-K3-N3</f>
        <v>8684.6282692307686</v>
      </c>
    </row>
    <row r="4" spans="1:28" ht="24" customHeight="1" x14ac:dyDescent="0.65">
      <c r="A4" s="5">
        <v>3</v>
      </c>
      <c r="B4" s="5">
        <v>10205</v>
      </c>
      <c r="C4" s="6" t="s">
        <v>28</v>
      </c>
      <c r="D4" s="7">
        <v>83278</v>
      </c>
      <c r="E4" s="7">
        <v>11864</v>
      </c>
      <c r="F4" s="8">
        <f t="shared" si="0"/>
        <v>71414</v>
      </c>
      <c r="G4" s="8">
        <f t="shared" ref="G4:G5" si="3">+D4*0.5</f>
        <v>41639</v>
      </c>
      <c r="H4" s="9">
        <f t="shared" si="1"/>
        <v>29775</v>
      </c>
      <c r="I4" s="10">
        <f>[2]รายชื่อพนักงานรายเดือน!G10</f>
        <v>-5113.49</v>
      </c>
      <c r="J4" s="8">
        <v>0</v>
      </c>
      <c r="K4" s="8">
        <v>100</v>
      </c>
      <c r="L4" s="11">
        <f>+[2]รายชื่อพนักงานรายเดือน!C9</f>
        <v>1247.2225000000001</v>
      </c>
      <c r="M4" s="8">
        <v>0</v>
      </c>
      <c r="N4" s="12">
        <v>0</v>
      </c>
      <c r="O4" s="12">
        <v>70</v>
      </c>
      <c r="P4" s="8">
        <v>12571.58</v>
      </c>
      <c r="Q4" s="12">
        <v>0</v>
      </c>
      <c r="R4" s="12">
        <v>0</v>
      </c>
      <c r="S4" s="8">
        <v>206.96</v>
      </c>
      <c r="T4" s="12">
        <v>0</v>
      </c>
      <c r="U4" s="12">
        <v>0</v>
      </c>
      <c r="V4" s="12">
        <v>360</v>
      </c>
      <c r="W4" s="12">
        <v>0</v>
      </c>
      <c r="X4" s="12">
        <v>230.77</v>
      </c>
      <c r="Y4" s="8">
        <v>308</v>
      </c>
      <c r="Z4" s="13">
        <f t="shared" si="2"/>
        <v>19793.957499999993</v>
      </c>
    </row>
    <row r="5" spans="1:28" ht="25.8" x14ac:dyDescent="0.65">
      <c r="A5" s="5">
        <v>4</v>
      </c>
      <c r="B5" s="5">
        <v>10207</v>
      </c>
      <c r="C5" s="6" t="s">
        <v>29</v>
      </c>
      <c r="D5" s="7">
        <v>110865</v>
      </c>
      <c r="E5" s="7">
        <v>7920</v>
      </c>
      <c r="F5" s="8">
        <f t="shared" si="0"/>
        <v>102945</v>
      </c>
      <c r="G5" s="8">
        <f t="shared" si="3"/>
        <v>55432.5</v>
      </c>
      <c r="H5" s="9">
        <f t="shared" si="1"/>
        <v>47512.5</v>
      </c>
      <c r="I5" s="10">
        <f>[2]รายชื่อพนักงานรายเดือน!G10</f>
        <v>-5113.49</v>
      </c>
      <c r="J5" s="8">
        <v>117.8</v>
      </c>
      <c r="K5" s="8">
        <v>0</v>
      </c>
      <c r="L5" s="11">
        <f>+[2]รายชื่อพนักงานรายเดือน!C9</f>
        <v>1247.2225000000001</v>
      </c>
      <c r="M5" s="8">
        <v>8100</v>
      </c>
      <c r="N5" s="12">
        <v>351</v>
      </c>
      <c r="O5" s="12">
        <v>0</v>
      </c>
      <c r="P5" s="8">
        <v>2760</v>
      </c>
      <c r="Q5" s="12">
        <v>0</v>
      </c>
      <c r="R5" s="12">
        <v>0</v>
      </c>
      <c r="S5" s="8">
        <v>206.96</v>
      </c>
      <c r="T5" s="12">
        <v>0</v>
      </c>
      <c r="U5" s="12">
        <v>0</v>
      </c>
      <c r="V5" s="12">
        <v>0</v>
      </c>
      <c r="W5" s="12">
        <v>0</v>
      </c>
      <c r="X5" s="12">
        <f>+[2]รายชื่อพนักงานรายเดือน!K8</f>
        <v>230.76923076923077</v>
      </c>
      <c r="Y5" s="8">
        <v>0</v>
      </c>
      <c r="Z5" s="13">
        <f t="shared" si="2"/>
        <v>39612.238269230758</v>
      </c>
    </row>
    <row r="6" spans="1:28" ht="27" thickBot="1" x14ac:dyDescent="0.75">
      <c r="C6" s="14" t="s">
        <v>30</v>
      </c>
      <c r="D6" s="15">
        <f t="shared" ref="D6:Z6" si="4">SUM(D3:D5)</f>
        <v>273138</v>
      </c>
      <c r="E6" s="16">
        <f t="shared" si="4"/>
        <v>44323</v>
      </c>
      <c r="F6" s="16">
        <f t="shared" si="4"/>
        <v>228815</v>
      </c>
      <c r="G6" s="16">
        <f t="shared" si="4"/>
        <v>136569</v>
      </c>
      <c r="H6" s="17">
        <f t="shared" si="4"/>
        <v>92246</v>
      </c>
      <c r="I6" s="15">
        <f>SUM(I3:I5)</f>
        <v>-15340.47</v>
      </c>
      <c r="J6" s="16">
        <f t="shared" si="4"/>
        <v>117.8</v>
      </c>
      <c r="K6" s="16">
        <f t="shared" si="4"/>
        <v>100</v>
      </c>
      <c r="L6" s="15">
        <f t="shared" si="4"/>
        <v>3741.6675000000005</v>
      </c>
      <c r="M6" s="16">
        <f t="shared" si="4"/>
        <v>13920</v>
      </c>
      <c r="N6" s="16">
        <f t="shared" si="4"/>
        <v>351</v>
      </c>
      <c r="O6" s="16">
        <f t="shared" si="4"/>
        <v>108</v>
      </c>
      <c r="P6" s="16">
        <f t="shared" si="4"/>
        <v>18990.989999999998</v>
      </c>
      <c r="Q6" s="16">
        <f t="shared" si="4"/>
        <v>0</v>
      </c>
      <c r="R6" s="16">
        <f t="shared" si="4"/>
        <v>0</v>
      </c>
      <c r="S6" s="16">
        <f t="shared" si="4"/>
        <v>620.88</v>
      </c>
      <c r="T6" s="16">
        <f t="shared" si="4"/>
        <v>0</v>
      </c>
      <c r="U6" s="16">
        <f t="shared" si="4"/>
        <v>0</v>
      </c>
      <c r="V6" s="16">
        <f t="shared" si="4"/>
        <v>360</v>
      </c>
      <c r="W6" s="16">
        <f t="shared" si="4"/>
        <v>0</v>
      </c>
      <c r="X6" s="16">
        <f t="shared" si="4"/>
        <v>692.30846153846164</v>
      </c>
      <c r="Y6" s="16">
        <f t="shared" si="4"/>
        <v>493</v>
      </c>
      <c r="Z6" s="16">
        <f t="shared" si="4"/>
        <v>68090.82403846152</v>
      </c>
      <c r="AA6" s="18" t="s">
        <v>31</v>
      </c>
      <c r="AB6" s="19"/>
    </row>
    <row r="7" spans="1:28" ht="35.4" thickTop="1" x14ac:dyDescent="0.9">
      <c r="C7" s="14" t="s">
        <v>32</v>
      </c>
      <c r="D7" s="20">
        <f>+Z6</f>
        <v>68090.82403846152</v>
      </c>
      <c r="E7" s="21"/>
      <c r="F7" s="21"/>
      <c r="G7" s="21"/>
      <c r="H7" s="21"/>
      <c r="I7" s="22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ht="34.799999999999997" x14ac:dyDescent="0.9">
      <c r="C8" s="14" t="s">
        <v>34</v>
      </c>
      <c r="D8" s="23">
        <f>+D7/D6</f>
        <v>0.24929092267813896</v>
      </c>
      <c r="J8" s="21"/>
    </row>
    <row r="9" spans="1:28" ht="34.799999999999997" x14ac:dyDescent="0.9">
      <c r="J9" s="21"/>
    </row>
    <row r="10" spans="1:28" ht="34.799999999999997" x14ac:dyDescent="0.9">
      <c r="J10" s="21"/>
    </row>
    <row r="11" spans="1:28" ht="34.799999999999997" x14ac:dyDescent="0.9">
      <c r="J11" s="21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6 Z8:Z1048576">
    <cfRule type="cellIs" dxfId="1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87FC-2336-4EC9-AC37-C30FB0105471}">
  <sheetPr>
    <tabColor theme="8" tint="-0.249977111117893"/>
  </sheetPr>
  <dimension ref="A1:AB11"/>
  <sheetViews>
    <sheetView zoomScale="80" zoomScaleNormal="80" workbookViewId="0">
      <pane xSplit="3" ySplit="2" topLeftCell="D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38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5.8" x14ac:dyDescent="0.65">
      <c r="A3" s="5">
        <v>2</v>
      </c>
      <c r="B3" s="5">
        <v>10204</v>
      </c>
      <c r="C3" s="6" t="s">
        <v>27</v>
      </c>
      <c r="D3" s="7">
        <v>66189</v>
      </c>
      <c r="E3" s="7">
        <v>17919</v>
      </c>
      <c r="F3" s="8">
        <f t="shared" ref="F3:F5" si="0">+D3-E3</f>
        <v>48270</v>
      </c>
      <c r="G3" s="8">
        <f>+D3*0.5</f>
        <v>33094.5</v>
      </c>
      <c r="H3" s="9">
        <f t="shared" ref="H3:H5" si="1">+F3-G3</f>
        <v>15175.5</v>
      </c>
      <c r="I3" s="10">
        <f>[2]รายชื่อพนักงานรายเดือน!G10</f>
        <v>-5113.49</v>
      </c>
      <c r="J3" s="8">
        <v>0</v>
      </c>
      <c r="K3" s="8">
        <v>0</v>
      </c>
      <c r="L3" s="11">
        <f>+[2]รายชื่อพนักงานรายเดือน!C9</f>
        <v>1247.2225000000001</v>
      </c>
      <c r="M3" s="8">
        <v>5820</v>
      </c>
      <c r="N3" s="12">
        <v>0</v>
      </c>
      <c r="O3" s="12">
        <v>48</v>
      </c>
      <c r="P3" s="8">
        <v>3708</v>
      </c>
      <c r="Q3" s="12">
        <v>0</v>
      </c>
      <c r="R3" s="12">
        <v>0</v>
      </c>
      <c r="S3" s="8">
        <v>206.96</v>
      </c>
      <c r="T3" s="12">
        <v>0</v>
      </c>
      <c r="U3" s="12">
        <v>0</v>
      </c>
      <c r="V3" s="12">
        <v>0</v>
      </c>
      <c r="W3" s="12">
        <v>0</v>
      </c>
      <c r="X3" s="12">
        <f>+[2]รายชื่อพนักงานรายเดือน!K8</f>
        <v>230.76923076923077</v>
      </c>
      <c r="Y3" s="8">
        <v>125</v>
      </c>
      <c r="Z3" s="13">
        <f t="shared" ref="Z3:Z5" si="2">+H3-I3-J3-L3-M3-O3-P3-S3-T3-U3-V3-W3-X3-Y3-Q3-R3-K3-N3</f>
        <v>8903.0382692307685</v>
      </c>
    </row>
    <row r="4" spans="1:28" ht="24" customHeight="1" x14ac:dyDescent="0.65">
      <c r="A4" s="5">
        <v>3</v>
      </c>
      <c r="B4" s="5">
        <v>10205</v>
      </c>
      <c r="C4" s="6" t="s">
        <v>28</v>
      </c>
      <c r="D4" s="7">
        <v>134409</v>
      </c>
      <c r="E4" s="7">
        <v>9666</v>
      </c>
      <c r="F4" s="8">
        <f t="shared" si="0"/>
        <v>124743</v>
      </c>
      <c r="G4" s="8">
        <f t="shared" ref="G4:G5" si="3">+D4*0.5</f>
        <v>67204.5</v>
      </c>
      <c r="H4" s="9">
        <f t="shared" si="1"/>
        <v>57538.5</v>
      </c>
      <c r="I4" s="10">
        <f>[2]รายชื่อพนักงานรายเดือน!G10</f>
        <v>-5113.49</v>
      </c>
      <c r="J4" s="8">
        <v>989.72</v>
      </c>
      <c r="K4" s="8">
        <v>200</v>
      </c>
      <c r="L4" s="11">
        <f>+[2]รายชื่อพนักงานรายเดือน!C9</f>
        <v>1247.2225000000001</v>
      </c>
      <c r="M4" s="8">
        <v>0</v>
      </c>
      <c r="N4" s="12">
        <v>0</v>
      </c>
      <c r="O4" s="12">
        <v>55</v>
      </c>
      <c r="P4" s="8">
        <v>12370</v>
      </c>
      <c r="Q4" s="12">
        <v>0</v>
      </c>
      <c r="R4" s="12">
        <v>0</v>
      </c>
      <c r="S4" s="8">
        <v>206.96</v>
      </c>
      <c r="T4" s="12">
        <v>0</v>
      </c>
      <c r="U4" s="12">
        <v>50</v>
      </c>
      <c r="V4" s="12">
        <v>250</v>
      </c>
      <c r="W4" s="12">
        <v>0</v>
      </c>
      <c r="X4" s="12">
        <v>230.77</v>
      </c>
      <c r="Y4" s="8">
        <v>0</v>
      </c>
      <c r="Z4" s="13">
        <f t="shared" si="2"/>
        <v>47052.317499999997</v>
      </c>
    </row>
    <row r="5" spans="1:28" ht="25.8" x14ac:dyDescent="0.65">
      <c r="A5" s="5">
        <v>4</v>
      </c>
      <c r="B5" s="5">
        <v>10207</v>
      </c>
      <c r="C5" s="6" t="s">
        <v>29</v>
      </c>
      <c r="D5" s="7">
        <v>63900</v>
      </c>
      <c r="E5" s="7">
        <v>5230</v>
      </c>
      <c r="F5" s="8">
        <f t="shared" si="0"/>
        <v>58670</v>
      </c>
      <c r="G5" s="8">
        <f t="shared" si="3"/>
        <v>31950</v>
      </c>
      <c r="H5" s="9">
        <f t="shared" si="1"/>
        <v>26720</v>
      </c>
      <c r="I5" s="10">
        <f>[2]รายชื่อพนักงานรายเดือน!G10</f>
        <v>-5113.49</v>
      </c>
      <c r="J5" s="8">
        <v>0</v>
      </c>
      <c r="K5" s="8">
        <v>0</v>
      </c>
      <c r="L5" s="11">
        <f>+[2]รายชื่อพนักงานรายเดือน!C9</f>
        <v>1247.2225000000001</v>
      </c>
      <c r="M5" s="8">
        <v>8100</v>
      </c>
      <c r="N5" s="12">
        <v>351</v>
      </c>
      <c r="O5" s="12">
        <v>0</v>
      </c>
      <c r="P5" s="8">
        <v>2388</v>
      </c>
      <c r="Q5" s="12">
        <v>0</v>
      </c>
      <c r="R5" s="12">
        <v>0</v>
      </c>
      <c r="S5" s="8">
        <v>206.96</v>
      </c>
      <c r="T5" s="12">
        <v>0</v>
      </c>
      <c r="U5" s="12">
        <v>0</v>
      </c>
      <c r="V5" s="12">
        <v>0</v>
      </c>
      <c r="W5" s="12">
        <v>0</v>
      </c>
      <c r="X5" s="12">
        <f>+[2]รายชื่อพนักงานรายเดือน!K8</f>
        <v>230.76923076923077</v>
      </c>
      <c r="Y5" s="8">
        <v>20</v>
      </c>
      <c r="Z5" s="13">
        <f t="shared" si="2"/>
        <v>19289.538269230768</v>
      </c>
    </row>
    <row r="6" spans="1:28" ht="27" thickBot="1" x14ac:dyDescent="0.75">
      <c r="C6" s="14" t="s">
        <v>30</v>
      </c>
      <c r="D6" s="15">
        <f t="shared" ref="D6:Z6" si="4">SUM(D3:D5)</f>
        <v>264498</v>
      </c>
      <c r="E6" s="16">
        <f t="shared" si="4"/>
        <v>32815</v>
      </c>
      <c r="F6" s="16">
        <f t="shared" si="4"/>
        <v>231683</v>
      </c>
      <c r="G6" s="16">
        <f t="shared" si="4"/>
        <v>132249</v>
      </c>
      <c r="H6" s="17">
        <f t="shared" si="4"/>
        <v>99434</v>
      </c>
      <c r="I6" s="15">
        <f>SUM(I3:I5)</f>
        <v>-15340.47</v>
      </c>
      <c r="J6" s="16">
        <f t="shared" si="4"/>
        <v>989.72</v>
      </c>
      <c r="K6" s="16">
        <f t="shared" si="4"/>
        <v>200</v>
      </c>
      <c r="L6" s="15">
        <f t="shared" si="4"/>
        <v>3741.6675000000005</v>
      </c>
      <c r="M6" s="16">
        <f t="shared" si="4"/>
        <v>13920</v>
      </c>
      <c r="N6" s="16">
        <f t="shared" si="4"/>
        <v>351</v>
      </c>
      <c r="O6" s="16">
        <f t="shared" si="4"/>
        <v>103</v>
      </c>
      <c r="P6" s="16">
        <f t="shared" si="4"/>
        <v>18466</v>
      </c>
      <c r="Q6" s="16">
        <f t="shared" si="4"/>
        <v>0</v>
      </c>
      <c r="R6" s="16">
        <f t="shared" si="4"/>
        <v>0</v>
      </c>
      <c r="S6" s="16">
        <f t="shared" si="4"/>
        <v>620.88</v>
      </c>
      <c r="T6" s="16">
        <f t="shared" si="4"/>
        <v>0</v>
      </c>
      <c r="U6" s="16">
        <f t="shared" si="4"/>
        <v>50</v>
      </c>
      <c r="V6" s="16">
        <f t="shared" si="4"/>
        <v>250</v>
      </c>
      <c r="W6" s="16">
        <f t="shared" si="4"/>
        <v>0</v>
      </c>
      <c r="X6" s="16">
        <f t="shared" si="4"/>
        <v>692.30846153846164</v>
      </c>
      <c r="Y6" s="16">
        <f t="shared" si="4"/>
        <v>145</v>
      </c>
      <c r="Z6" s="16">
        <f t="shared" si="4"/>
        <v>75244.894038461527</v>
      </c>
      <c r="AA6" s="18" t="s">
        <v>31</v>
      </c>
      <c r="AB6" s="19"/>
    </row>
    <row r="7" spans="1:28" ht="35.4" thickTop="1" x14ac:dyDescent="0.9">
      <c r="C7" s="14" t="s">
        <v>32</v>
      </c>
      <c r="D7" s="20">
        <f>+Z6</f>
        <v>75244.894038461527</v>
      </c>
      <c r="E7" s="21"/>
      <c r="F7" s="21"/>
      <c r="G7" s="21"/>
      <c r="H7" s="21"/>
      <c r="I7" s="22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ht="34.799999999999997" x14ac:dyDescent="0.9">
      <c r="C8" s="14" t="s">
        <v>34</v>
      </c>
      <c r="D8" s="23">
        <f>+D7/D6</f>
        <v>0.28448190170988635</v>
      </c>
      <c r="J8" s="21"/>
    </row>
    <row r="9" spans="1:28" ht="34.799999999999997" x14ac:dyDescent="0.9">
      <c r="J9" s="21"/>
    </row>
    <row r="10" spans="1:28" ht="34.799999999999997" x14ac:dyDescent="0.9">
      <c r="J10" s="21"/>
    </row>
    <row r="11" spans="1:28" ht="34.799999999999997" x14ac:dyDescent="0.9">
      <c r="J11" s="21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6 Z8:Z1048576">
    <cfRule type="cellIs" dxfId="0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ม.ค. 69</vt:lpstr>
      <vt:lpstr>ก.พ. 69</vt:lpstr>
      <vt:lpstr>มี.ค. 69</vt:lpstr>
      <vt:lpstr>เม.ย.69</vt:lpstr>
      <vt:lpstr>พ.ค. 69 </vt:lpstr>
      <vt:lpstr>มิ.ย.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2026-07-12T08:42:12Z</dcterms:created>
  <dcterms:modified xsi:type="dcterms:W3CDTF">2026-07-12T11:09:58Z</dcterms:modified>
</cp:coreProperties>
</file>