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EF9917BE-A5E1-4BE4-B037-593F963D5031}" xr6:coauthVersionLast="47" xr6:coauthVersionMax="47" xr10:uidLastSave="{00000000-0000-0000-0000-000000000000}"/>
  <bookViews>
    <workbookView xWindow="-120" yWindow="-120" windowWidth="29040" windowHeight="15720" tabRatio="743" activeTab="3" xr2:uid="{00000000-000D-0000-FFFF-FFFF00000000}"/>
  </bookViews>
  <sheets>
    <sheet name="Month" sheetId="1" r:id="rId1"/>
    <sheet name="Week 1" sheetId="10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2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1'!$A$1:$CB$74</definedName>
    <definedName name="_xlnm._FilterDatabase" localSheetId="3" hidden="1">'Week 2'!$E$1:$E$70</definedName>
    <definedName name="_xlnm._FilterDatabase" localSheetId="5" hidden="1">'Week 3'!$E$1:$E$70</definedName>
    <definedName name="_xlnm._FilterDatabase" localSheetId="7" hidden="1">'Week 4'!$E$1:$E$70</definedName>
    <definedName name="_xlnm._FilterDatabase" localSheetId="9" hidden="1">'Week 5'!$E$1:$E$73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70" i="4" l="1"/>
  <c r="AF69" i="4"/>
  <c r="I70" i="4"/>
  <c r="I68" i="4"/>
  <c r="I67" i="4"/>
  <c r="I46" i="4"/>
  <c r="I38" i="4"/>
  <c r="I37" i="4"/>
  <c r="I36" i="4"/>
  <c r="I35" i="4"/>
  <c r="I30" i="4"/>
  <c r="I28" i="4"/>
  <c r="I23" i="4"/>
  <c r="I17" i="4"/>
  <c r="I16" i="4"/>
  <c r="I72" i="10"/>
  <c r="I71" i="10"/>
  <c r="I49" i="10"/>
  <c r="I41" i="10"/>
  <c r="I40" i="10"/>
  <c r="I39" i="10"/>
  <c r="I38" i="10"/>
  <c r="I33" i="10"/>
  <c r="I31" i="10"/>
  <c r="I26" i="10"/>
  <c r="I20" i="10"/>
  <c r="I19" i="10"/>
  <c r="AF74" i="10"/>
  <c r="I74" i="10" s="1"/>
  <c r="AF73" i="10"/>
  <c r="I73" i="10" s="1"/>
  <c r="I68" i="6"/>
  <c r="I67" i="6"/>
  <c r="I47" i="6"/>
  <c r="I38" i="6"/>
  <c r="I37" i="6"/>
  <c r="I36" i="6"/>
  <c r="I35" i="6"/>
  <c r="I30" i="6"/>
  <c r="I28" i="6"/>
  <c r="I23" i="6"/>
  <c r="I17" i="6"/>
  <c r="I16" i="6"/>
  <c r="I70" i="8"/>
  <c r="I69" i="8"/>
  <c r="I69" i="6"/>
  <c r="I70" i="6"/>
  <c r="I68" i="8"/>
  <c r="I67" i="8"/>
  <c r="I73" i="2"/>
  <c r="I72" i="2"/>
  <c r="I49" i="2"/>
  <c r="I41" i="2"/>
  <c r="I40" i="2"/>
  <c r="I39" i="2"/>
  <c r="I38" i="2"/>
  <c r="I33" i="2"/>
  <c r="I31" i="2"/>
  <c r="I26" i="2"/>
  <c r="I20" i="2"/>
  <c r="I19" i="2"/>
  <c r="I68" i="10"/>
  <c r="I69" i="10"/>
  <c r="I70" i="10"/>
  <c r="I64" i="8"/>
  <c r="I65" i="8"/>
  <c r="I66" i="8"/>
  <c r="I71" i="2"/>
  <c r="I70" i="2"/>
  <c r="I69" i="2"/>
  <c r="I64" i="4"/>
  <c r="I65" i="4"/>
  <c r="I66" i="4"/>
  <c r="I64" i="6"/>
  <c r="I65" i="6"/>
  <c r="I66" i="6"/>
  <c r="I68" i="2"/>
  <c r="I67" i="2"/>
  <c r="I39" i="6"/>
  <c r="I18" i="4"/>
  <c r="I19" i="4"/>
  <c r="I20" i="4"/>
  <c r="I21" i="4"/>
  <c r="I22" i="4"/>
  <c r="I24" i="4"/>
  <c r="I25" i="4"/>
  <c r="I26" i="4"/>
  <c r="I27" i="4"/>
  <c r="I29" i="4"/>
  <c r="I31" i="4"/>
  <c r="I32" i="4"/>
  <c r="I33" i="4"/>
  <c r="I34" i="4"/>
  <c r="I39" i="4"/>
  <c r="I40" i="4"/>
  <c r="I41" i="4"/>
  <c r="I42" i="4"/>
  <c r="I43" i="4"/>
  <c r="I44" i="4"/>
  <c r="I45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2" i="6"/>
  <c r="I63" i="6"/>
  <c r="I62" i="8"/>
  <c r="I63" i="8"/>
  <c r="I66" i="10"/>
  <c r="I67" i="10"/>
  <c r="I63" i="2"/>
  <c r="I64" i="2"/>
  <c r="I65" i="2"/>
  <c r="I66" i="2"/>
  <c r="I46" i="8"/>
  <c r="I38" i="8"/>
  <c r="I37" i="8"/>
  <c r="I36" i="8"/>
  <c r="I35" i="8"/>
  <c r="I30" i="8"/>
  <c r="I28" i="8"/>
  <c r="I23" i="8"/>
  <c r="I17" i="8"/>
  <c r="I16" i="8"/>
  <c r="I5" i="6"/>
  <c r="I64" i="10"/>
  <c r="I65" i="10"/>
  <c r="I60" i="8"/>
  <c r="I61" i="8"/>
  <c r="I60" i="6"/>
  <c r="I61" i="6"/>
  <c r="I15" i="4"/>
  <c r="I14" i="4"/>
  <c r="I13" i="4"/>
  <c r="I12" i="4"/>
  <c r="I11" i="4"/>
  <c r="I10" i="4"/>
  <c r="I9" i="4"/>
  <c r="I8" i="4"/>
  <c r="I7" i="4"/>
  <c r="I6" i="4"/>
  <c r="I63" i="10"/>
  <c r="I61" i="2"/>
  <c r="I60" i="2"/>
  <c r="I62" i="2"/>
  <c r="I59" i="6"/>
  <c r="I62" i="10"/>
  <c r="I59" i="8"/>
  <c r="I58" i="10"/>
  <c r="I59" i="10"/>
  <c r="I60" i="10"/>
  <c r="I61" i="10"/>
  <c r="E58" i="10"/>
  <c r="E59" i="10"/>
  <c r="I55" i="8"/>
  <c r="I56" i="8"/>
  <c r="I57" i="8"/>
  <c r="I58" i="8"/>
  <c r="I55" i="6"/>
  <c r="I56" i="6"/>
  <c r="I57" i="6"/>
  <c r="I58" i="6"/>
  <c r="I58" i="2"/>
  <c r="I59" i="2"/>
  <c r="I46" i="6"/>
  <c r="I45" i="6"/>
  <c r="I44" i="6"/>
  <c r="I43" i="6"/>
  <c r="I42" i="6"/>
  <c r="I41" i="6"/>
  <c r="I40" i="6"/>
  <c r="I48" i="2"/>
  <c r="I47" i="2"/>
  <c r="I46" i="2"/>
  <c r="I45" i="2"/>
  <c r="I44" i="2"/>
  <c r="I43" i="2"/>
  <c r="I42" i="2"/>
  <c r="I45" i="8"/>
  <c r="I44" i="8"/>
  <c r="I43" i="8"/>
  <c r="I42" i="8"/>
  <c r="I41" i="8"/>
  <c r="I40" i="8"/>
  <c r="I39" i="8"/>
  <c r="C57" i="10"/>
  <c r="D57" i="10"/>
  <c r="E57" i="10"/>
  <c r="I57" i="10"/>
  <c r="I54" i="6"/>
  <c r="I57" i="2"/>
  <c r="I26" i="8"/>
  <c r="I53" i="8"/>
  <c r="I26" i="6"/>
  <c r="I29" i="2"/>
  <c r="I56" i="10"/>
  <c r="I54" i="8"/>
  <c r="I53" i="6"/>
  <c r="I56" i="2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5" i="2"/>
  <c r="I54" i="2"/>
  <c r="I53" i="2"/>
  <c r="I52" i="2"/>
  <c r="I51" i="2"/>
  <c r="I50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CA32" i="10"/>
  <c r="BV32" i="10"/>
  <c r="I32" i="10"/>
  <c r="CA31" i="10"/>
  <c r="BV31" i="10"/>
  <c r="CA30" i="10"/>
  <c r="BV30" i="10"/>
  <c r="I30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2" i="8"/>
  <c r="I51" i="8"/>
  <c r="I50" i="8"/>
  <c r="I49" i="8"/>
  <c r="I48" i="8"/>
  <c r="I47" i="8"/>
  <c r="BR45" i="8"/>
  <c r="BM45" i="8"/>
  <c r="BR44" i="8"/>
  <c r="BM44" i="8"/>
  <c r="BR43" i="8"/>
  <c r="BM43" i="8"/>
  <c r="BR42" i="8"/>
  <c r="BM42" i="8"/>
  <c r="BR41" i="8"/>
  <c r="BM41" i="8"/>
  <c r="BR40" i="8"/>
  <c r="BM40" i="8"/>
  <c r="BR39" i="8"/>
  <c r="BM39" i="8"/>
  <c r="BR38" i="8"/>
  <c r="BM38" i="8"/>
  <c r="BR37" i="8"/>
  <c r="BM37" i="8"/>
  <c r="BR36" i="8"/>
  <c r="BM36" i="8"/>
  <c r="BR35" i="8"/>
  <c r="BM35" i="8"/>
  <c r="BR34" i="8"/>
  <c r="BM34" i="8"/>
  <c r="I34" i="8"/>
  <c r="BR33" i="8"/>
  <c r="BM33" i="8"/>
  <c r="I33" i="8"/>
  <c r="BR32" i="8"/>
  <c r="BM32" i="8"/>
  <c r="I32" i="8"/>
  <c r="BR31" i="8"/>
  <c r="BM31" i="8"/>
  <c r="I31" i="8"/>
  <c r="BR30" i="8"/>
  <c r="BM30" i="8"/>
  <c r="BR29" i="8"/>
  <c r="BM29" i="8"/>
  <c r="I29" i="8"/>
  <c r="BR28" i="8"/>
  <c r="BM28" i="8"/>
  <c r="BR27" i="8"/>
  <c r="BM27" i="8"/>
  <c r="I27" i="8"/>
  <c r="BR25" i="8"/>
  <c r="BM25" i="8"/>
  <c r="I25" i="8"/>
  <c r="BR24" i="8"/>
  <c r="BM24" i="8"/>
  <c r="I24" i="8"/>
  <c r="BR23" i="8"/>
  <c r="BM23" i="8"/>
  <c r="BR22" i="8"/>
  <c r="BM22" i="8"/>
  <c r="I22" i="8"/>
  <c r="BR21" i="8"/>
  <c r="BM21" i="8"/>
  <c r="I21" i="8"/>
  <c r="BR20" i="8"/>
  <c r="BM20" i="8"/>
  <c r="I20" i="8"/>
  <c r="BR19" i="8"/>
  <c r="BM19" i="8"/>
  <c r="I19" i="8"/>
  <c r="BR18" i="8"/>
  <c r="BM18" i="8"/>
  <c r="I18" i="8"/>
  <c r="BR17" i="8"/>
  <c r="BM17" i="8"/>
  <c r="BR16" i="8"/>
  <c r="BM16" i="8"/>
  <c r="BR15" i="8"/>
  <c r="BM15" i="8"/>
  <c r="I15" i="8"/>
  <c r="BR14" i="8"/>
  <c r="BM14" i="8"/>
  <c r="I14" i="8"/>
  <c r="BR13" i="8"/>
  <c r="BM13" i="8"/>
  <c r="I13" i="8"/>
  <c r="BR12" i="8"/>
  <c r="BM12" i="8"/>
  <c r="I12" i="8"/>
  <c r="BR11" i="8"/>
  <c r="BM11" i="8"/>
  <c r="I11" i="8"/>
  <c r="BR10" i="8"/>
  <c r="BM10" i="8"/>
  <c r="I10" i="8"/>
  <c r="BR9" i="8"/>
  <c r="BM9" i="8"/>
  <c r="I9" i="8"/>
  <c r="BR8" i="8"/>
  <c r="BM8" i="8"/>
  <c r="I8" i="8"/>
  <c r="BR7" i="8"/>
  <c r="BM7" i="8"/>
  <c r="I7" i="8"/>
  <c r="BR6" i="8"/>
  <c r="BM6" i="8"/>
  <c r="I6" i="8"/>
  <c r="BR5" i="8"/>
  <c r="BM5" i="8"/>
  <c r="I5" i="8"/>
  <c r="BR4" i="8"/>
  <c r="BM4" i="8"/>
  <c r="I4" i="8"/>
  <c r="BR3" i="8"/>
  <c r="BM3" i="8"/>
  <c r="I3" i="8"/>
  <c r="BR2" i="8"/>
  <c r="BM2" i="8"/>
  <c r="I2" i="8"/>
  <c r="I52" i="6"/>
  <c r="I51" i="6"/>
  <c r="I50" i="6"/>
  <c r="I49" i="6"/>
  <c r="I48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  <c r="I69" i="4" l="1"/>
</calcChain>
</file>

<file path=xl/sharedStrings.xml><?xml version="1.0" encoding="utf-8"?>
<sst xmlns="http://schemas.openxmlformats.org/spreadsheetml/2006/main" count="1584" uniqueCount="466">
  <si>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</si>
  <si>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</si>
  <si>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</si>
  <si>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</si>
  <si>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</si>
  <si>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</si>
  <si>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</si>
  <si>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</si>
  <si>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</si>
  <si>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</si>
  <si>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</si>
  <si>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</si>
  <si>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</si>
  <si>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</si>
  <si>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</si>
  <si>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</si>
  <si>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</si>
  <si>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</si>
  <si>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</si>
  <si>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</si>
  <si>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</si>
  <si>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</si>
  <si>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</si>
  <si>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</si>
  <si>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</si>
  <si>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</si>
  <si>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</si>
  <si>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</si>
  <si>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</si>
  <si>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</si>
  <si>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</si>
  <si>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</si>
  <si>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</si>
  <si>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</si>
  <si>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</si>
  <si>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</si>
  <si>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</si>
  <si>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</si>
  <si>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</si>
  <si>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</si>
  <si>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</si>
  <si>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</si>
  <si>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</si>
  <si>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</si>
  <si>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</si>
  <si>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</si>
  <si>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</si>
  <si>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</si>
  <si>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</si>
  <si>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</si>
  <si>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</si>
  <si>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</si>
  <si>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</si>
  <si>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</si>
  <si>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</si>
  <si>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</si>
  <si>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</si>
  <si>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</si>
  <si>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</si>
  <si>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</si>
  <si>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</si>
  <si>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</si>
  <si>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</si>
  <si>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</si>
  <si>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</si>
  <si>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</si>
  <si>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</si>
  <si>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</si>
  <si>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</si>
  <si>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</si>
  <si>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</si>
  <si>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</si>
  <si>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</si>
  <si>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</si>
  <si>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</si>
  <si>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</si>
  <si>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</si>
  <si>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</si>
  <si>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</si>
  <si>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</si>
  <si>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</si>
  <si>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</si>
  <si>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</si>
  <si>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</si>
  <si>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</si>
  <si>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</si>
  <si>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</si>
  <si>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</si>
  <si>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</si>
  <si>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</si>
  <si>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</si>
  <si>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</si>
  <si>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</si>
  <si>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</si>
  <si>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</si>
  <si>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</si>
  <si>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</si>
  <si>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</si>
  <si>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</si>
  <si>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</si>
  <si>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</si>
  <si>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</si>
  <si>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</si>
  <si>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</si>
  <si>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</si>
  <si>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</si>
  <si>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</si>
  <si>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</si>
  <si>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</si>
  <si>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</si>
  <si>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</si>
  <si>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</si>
  <si>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</si>
  <si>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</si>
  <si>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</si>
  <si>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</si>
  <si>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</si>
  <si>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</si>
  <si>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</si>
  <si>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</si>
  <si>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</si>
  <si>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</si>
  <si>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</si>
  <si>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</si>
  <si>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</si>
  <si>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</si>
  <si>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</si>
  <si>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</si>
  <si>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</si>
  <si>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</si>
  <si>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</si>
  <si>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</si>
  <si>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</si>
  <si>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</si>
  <si>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</si>
  <si>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</si>
  <si>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</si>
  <si>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</si>
  <si>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</si>
  <si>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</si>
  <si>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</si>
  <si>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</si>
  <si>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</si>
  <si>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</si>
  <si>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</si>
  <si>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</si>
  <si>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</si>
  <si>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</si>
  <si>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</si>
  <si>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</si>
  <si>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</si>
  <si>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</si>
  <si>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</si>
  <si>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</si>
  <si>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</si>
  <si>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</si>
  <si>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</si>
  <si>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</si>
  <si>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</si>
  <si>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</si>
  <si>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</si>
  <si>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</si>
  <si>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</si>
  <si>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</si>
  <si>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</si>
  <si>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</si>
  <si>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</si>
  <si>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</si>
  <si>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</si>
  <si>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</si>
  <si>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</si>
  <si>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</si>
  <si>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</si>
  <si>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</si>
  <si>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</si>
  <si>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</si>
  <si>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</si>
  <si>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</si>
  <si>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</si>
  <si>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</si>
  <si>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</si>
  <si>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</si>
  <si>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</si>
  <si>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</si>
  <si>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</si>
  <si>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</si>
  <si>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</si>
  <si>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</si>
  <si>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</si>
  <si>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</si>
  <si>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</si>
  <si>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</si>
  <si>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</si>
  <si>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</si>
  <si>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</si>
  <si>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</si>
  <si>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</si>
  <si>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</si>
  <si>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</si>
  <si>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</si>
  <si>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</si>
  <si>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</si>
  <si>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</si>
  <si>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</si>
  <si>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</si>
  <si>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</si>
  <si>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</si>
  <si>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</si>
  <si>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</si>
  <si>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</si>
  <si>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</si>
  <si>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</si>
  <si>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</si>
  <si>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</si>
  <si>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</si>
  <si>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</si>
  <si>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</si>
  <si>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</si>
  <si>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</si>
  <si>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</si>
  <si>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</si>
  <si>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</si>
  <si>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</si>
  <si>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</si>
  <si>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</si>
  <si>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</si>
  <si>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</si>
  <si>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</si>
  <si>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</si>
  <si>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</si>
  <si>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</si>
  <si>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</si>
  <si>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</si>
  <si>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</si>
  <si>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</si>
  <si>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</si>
  <si>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</si>
  <si>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</si>
  <si>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</si>
  <si>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</si>
  <si>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</si>
  <si>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</si>
  <si>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</si>
  <si>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</si>
  <si>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</si>
  <si>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</si>
  <si>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</si>
  <si>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</si>
  <si>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</si>
  <si>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</si>
  <si>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</si>
  <si>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</si>
  <si>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</si>
  <si>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</si>
  <si>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</si>
  <si>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</si>
  <si>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</si>
  <si>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</si>
  <si>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</si>
  <si>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</si>
  <si>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</si>
  <si>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</si>
  <si>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</si>
  <si>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</si>
  <si>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</si>
  <si>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</si>
  <si>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</si>
  <si>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</si>
  <si>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</si>
  <si>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</si>
  <si>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</si>
  <si>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</si>
  <si>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</si>
  <si>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</si>
  <si>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</si>
  <si>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</si>
  <si>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</si>
  <si>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</si>
  <si>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</si>
  <si>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</si>
  <si>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</si>
  <si>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</si>
  <si>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</si>
  <si>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</si>
  <si>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</si>
  <si>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</si>
  <si>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</si>
  <si>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</si>
  <si>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</si>
  <si>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</si>
  <si>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</si>
  <si>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</si>
  <si>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</si>
  <si>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</si>
  <si>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</si>
  <si>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</si>
  <si>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</si>
  <si>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</si>
  <si>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</si>
  <si>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</si>
  <si>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</si>
  <si>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</si>
  <si>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</si>
  <si>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</si>
  <si>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</si>
  <si>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</si>
  <si>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</si>
  <si>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</si>
  <si>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</si>
  <si>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</si>
  <si>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</si>
  <si>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</si>
  <si>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</si>
  <si>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</si>
  <si>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</si>
  <si>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</si>
  <si>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</si>
  <si>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</si>
  <si>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</si>
  <si>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</si>
  <si>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</si>
  <si>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</si>
  <si>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</si>
  <si>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</si>
  <si>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</si>
  <si>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</si>
  <si>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</si>
  <si>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</si>
  <si>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</si>
  <si>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</si>
  <si>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</si>
  <si>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</si>
  <si>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</si>
  <si>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</si>
  <si>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</si>
  <si>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</si>
  <si>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</si>
  <si>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</si>
  <si>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</si>
  <si>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</si>
  <si>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</si>
  <si>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</si>
  <si>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</si>
  <si>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</si>
  <si>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</si>
  <si>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</si>
  <si>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</si>
  <si>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</si>
  <si>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</si>
  <si>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</si>
  <si>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</si>
  <si>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</si>
  <si>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</si>
  <si>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</si>
  <si>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</si>
  <si>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</si>
  <si>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</si>
  <si>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</si>
  <si>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</si>
  <si>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</si>
  <si>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</si>
  <si>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</si>
  <si>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</si>
  <si>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</si>
  <si>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</si>
  <si>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</si>
  <si>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</si>
  <si>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</si>
  <si>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</si>
  <si>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</si>
  <si>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</si>
  <si>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</si>
  <si>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</si>
  <si>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</si>
  <si>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</si>
  <si>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</si>
  <si>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</si>
  <si>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</si>
  <si>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</si>
  <si>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</si>
  <si>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</si>
  <si>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</si>
  <si>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</si>
  <si>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</si>
  <si>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</si>
  <si>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</si>
  <si>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</si>
  <si>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</si>
  <si>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</si>
  <si>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</si>
  <si>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</si>
  <si>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</si>
  <si>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</si>
  <si>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</si>
  <si>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</si>
  <si>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</si>
  <si>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</si>
  <si>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</si>
  <si>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</si>
  <si>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</si>
  <si>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</si>
  <si>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</si>
  <si>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</si>
  <si>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</si>
  <si>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</si>
  <si>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</si>
  <si>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</si>
  <si>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</si>
  <si>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</si>
  <si>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</si>
  <si>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</si>
  <si>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</si>
  <si>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</si>
  <si>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</si>
  <si>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</si>
  <si>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</si>
  <si>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</si>
  <si>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</si>
  <si>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</si>
  <si>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t>เอแคลร์นมสด 125 g</t>
  </si>
  <si>
    <t>ปังสังขยาใบเตยนมสด 190 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</si>
  <si>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</si>
  <si>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</si>
  <si>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</si>
  <si>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</si>
  <si>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</si>
  <si>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</si>
  <si>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</si>
  <si>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</si>
  <si>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</si>
  <si>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</si>
  <si>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</si>
  <si>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</si>
  <si>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>ขนมปังสังขยาใบเตยนมสด 190 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</si>
  <si>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</si>
  <si>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</si>
  <si>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</si>
  <si>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</si>
  <si>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t xml:space="preserve">มินิบันแฮมชีส90g </t>
  </si>
  <si>
    <t>เครปบานาน่าช็อกโกแลต 75g.</t>
  </si>
  <si>
    <t>ชิฟฟอนเค้กสอดไส้ครีมมะพร้าว105g</t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</si>
  <si>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</si>
  <si>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</si>
  <si>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</si>
  <si>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</si>
  <si>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</si>
  <si>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</si>
  <si>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</si>
  <si>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</si>
  <si>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</si>
  <si>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</si>
  <si>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</si>
  <si>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</si>
  <si>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</si>
  <si>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</si>
  <si>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</si>
  <si>
    <t>วรรณวนัช วุ้นกะทิใบเตยลอดช่อง 190กรัม</t>
  </si>
  <si>
    <t>วรรณวนัช วุ้นกะทิใบเตยฝอยทอง 190กรัม</t>
  </si>
  <si>
    <t>week 1 (วันที่ 28 มิถุนายน - 4 กรกฎาคม 2569)</t>
  </si>
  <si>
    <t>week 2 (วันที่ 5 - 11 กรกฎาคม 2569)</t>
  </si>
  <si>
    <t>week 3 (วันที่ 12 - 18 กรกฎาคม 2569)</t>
  </si>
  <si>
    <t>week 4 (วันที่ 19 - 25 กรกฎาคม 2569)</t>
  </si>
  <si>
    <t>week 5 (วันที่ 26 กรกฎาคม - 1 สิงหาคม 2569)</t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</si>
  <si>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</si>
  <si>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 xml:space="preserve"> </t>
    </r>
  </si>
  <si>
    <t xml:space="preserve">บานอฟฟี่ 100 กรัม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</si>
</sst>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6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9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2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11" fillId="2" borderId="21" xfId="0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12" fillId="34" borderId="16" xfId="0" applyFont="1" applyFill="1" applyBorder="1" applyAlignment="1">
      <alignment vertical="center" wrapText="1"/>
    </xf>
    <xf numFmtId="0" fontId="11" fillId="34" borderId="16" xfId="0" applyFont="1" applyFill="1" applyBorder="1"/>
    <xf numFmtId="0" fontId="21" fillId="0" borderId="0" xfId="0" applyFont="1"/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2" fillId="20" borderId="9" xfId="0" applyFont="1" applyFill="1" applyBorder="1" applyAlignment="1">
      <alignment horizontal="center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28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3" fontId="12" fillId="12" borderId="18" xfId="0" applyNumberFormat="1" applyFont="1" applyFill="1" applyBorder="1" applyAlignment="1">
      <alignment horizontal="center"/>
    </xf>
    <xf numFmtId="3" fontId="12" fillId="20" borderId="18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15" fillId="3" borderId="23" xfId="0" applyFont="1" applyFill="1" applyBorder="1" applyAlignment="1">
      <alignment horizontal="center"/>
    </xf>
    <xf numFmtId="3" fontId="12" fillId="3" borderId="24" xfId="0" applyNumberFormat="1" applyFont="1" applyFill="1" applyBorder="1" applyAlignment="1">
      <alignment horizontal="center"/>
    </xf>
    <xf numFmtId="3" fontId="12" fillId="22" borderId="18" xfId="0" applyNumberFormat="1" applyFont="1" applyFill="1" applyBorder="1" applyAlignment="1">
      <alignment horizontal="center"/>
    </xf>
    <xf numFmtId="3" fontId="12" fillId="23" borderId="18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0" fontId="20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3" fontId="16" fillId="16" borderId="16" xfId="0" applyNumberFormat="1" applyFont="1" applyFill="1" applyBorder="1" applyAlignment="1">
      <alignment horizontal="center"/>
    </xf>
    <xf numFmtId="0" fontId="14" fillId="0" borderId="19" xfId="0" applyFont="1" applyBorder="1"/>
    <xf numFmtId="0" fontId="11" fillId="40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3" fontId="12" fillId="16" borderId="18" xfId="0" applyNumberFormat="1" applyFont="1" applyFill="1" applyBorder="1" applyAlignment="1">
      <alignment horizontal="center" vertical="center"/>
    </xf>
    <xf numFmtId="0" fontId="16" fillId="24" borderId="18" xfId="0" applyFont="1" applyFill="1" applyBorder="1" applyAlignment="1">
      <alignment horizontal="center" vertical="center"/>
    </xf>
    <xf numFmtId="0" fontId="11" fillId="43" borderId="18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3" fontId="21" fillId="12" borderId="18" xfId="0" applyNumberFormat="1" applyFont="1" applyFill="1" applyBorder="1" applyAlignment="1">
      <alignment horizontal="center" vertical="center"/>
    </xf>
    <xf numFmtId="3" fontId="21" fillId="20" borderId="18" xfId="0" applyNumberFormat="1" applyFont="1" applyFill="1" applyBorder="1" applyAlignment="1">
      <alignment horizontal="center" vertical="center"/>
    </xf>
    <xf numFmtId="3" fontId="21" fillId="21" borderId="18" xfId="0" applyNumberFormat="1" applyFont="1" applyFill="1" applyBorder="1" applyAlignment="1">
      <alignment horizontal="center" vertical="center"/>
    </xf>
    <xf numFmtId="3" fontId="21" fillId="22" borderId="18" xfId="0" applyNumberFormat="1" applyFont="1" applyFill="1" applyBorder="1" applyAlignment="1">
      <alignment horizontal="center" vertical="center"/>
    </xf>
    <xf numFmtId="3" fontId="21" fillId="23" borderId="18" xfId="0" applyNumberFormat="1" applyFont="1" applyFill="1" applyBorder="1" applyAlignment="1">
      <alignment horizontal="center" vertical="center"/>
    </xf>
    <xf numFmtId="0" fontId="11" fillId="41" borderId="4" xfId="0" applyFont="1" applyFill="1" applyBorder="1" applyAlignment="1">
      <alignment horizontal="center"/>
    </xf>
    <xf numFmtId="0" fontId="17" fillId="42" borderId="9" xfId="0" applyFont="1" applyFill="1" applyBorder="1" applyAlignment="1">
      <alignment horizontal="left"/>
    </xf>
    <xf numFmtId="0" fontId="14" fillId="0" borderId="18" xfId="0" applyFont="1" applyBorder="1"/>
    <xf numFmtId="3" fontId="12" fillId="21" borderId="18" xfId="0" applyNumberFormat="1" applyFont="1" applyFill="1" applyBorder="1" applyAlignment="1">
      <alignment horizontal="center"/>
    </xf>
    <xf numFmtId="0" fontId="21" fillId="16" borderId="21" xfId="0" applyFont="1" applyFill="1" applyBorder="1" applyAlignment="1">
      <alignment horizontal="center"/>
    </xf>
    <xf numFmtId="0" fontId="21" fillId="20" borderId="21" xfId="0" applyFont="1" applyFill="1" applyBorder="1" applyAlignment="1">
      <alignment horizontal="center"/>
    </xf>
    <xf numFmtId="0" fontId="21" fillId="21" borderId="21" xfId="0" applyFont="1" applyFill="1" applyBorder="1" applyAlignment="1">
      <alignment horizontal="center"/>
    </xf>
    <xf numFmtId="0" fontId="21" fillId="22" borderId="21" xfId="0" applyFont="1" applyFill="1" applyBorder="1" applyAlignment="1">
      <alignment horizontal="center"/>
    </xf>
    <xf numFmtId="0" fontId="16" fillId="16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3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6" fillId="22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center"/>
    </xf>
    <xf numFmtId="0" fontId="11" fillId="38" borderId="21" xfId="0" applyFont="1" applyFill="1" applyBorder="1" applyAlignment="1">
      <alignment horizontal="left"/>
    </xf>
    <xf numFmtId="0" fontId="11" fillId="35" borderId="21" xfId="0" applyFont="1" applyFill="1" applyBorder="1" applyAlignment="1">
      <alignment horizontal="center"/>
    </xf>
    <xf numFmtId="0" fontId="11" fillId="35" borderId="21" xfId="0" applyFont="1" applyFill="1" applyBorder="1" applyAlignment="1">
      <alignment horizontal="left"/>
    </xf>
    <xf numFmtId="0" fontId="11" fillId="34" borderId="18" xfId="0" applyFont="1" applyFill="1" applyBorder="1" applyAlignment="1">
      <alignment horizontal="center"/>
    </xf>
    <xf numFmtId="0" fontId="11" fillId="34" borderId="18" xfId="0" applyFont="1" applyFill="1" applyBorder="1" applyAlignment="1">
      <alignment horizontal="left"/>
    </xf>
    <xf numFmtId="0" fontId="11" fillId="41" borderId="18" xfId="0" applyFont="1" applyFill="1" applyBorder="1" applyAlignment="1">
      <alignment horizontal="center"/>
    </xf>
    <xf numFmtId="0" fontId="17" fillId="42" borderId="18" xfId="0" applyFont="1" applyFill="1" applyBorder="1" applyAlignment="1">
      <alignment horizontal="left"/>
    </xf>
    <xf numFmtId="3" fontId="16" fillId="16" borderId="4" xfId="0" applyNumberFormat="1" applyFont="1" applyFill="1" applyBorder="1" applyAlignment="1">
      <alignment horizontal="center"/>
    </xf>
    <xf numFmtId="0" fontId="16" fillId="12" borderId="4" xfId="0" applyFont="1" applyFill="1" applyBorder="1" applyAlignment="1">
      <alignment horizontal="center"/>
    </xf>
    <xf numFmtId="0" fontId="16" fillId="20" borderId="4" xfId="0" applyFont="1" applyFill="1" applyBorder="1" applyAlignment="1">
      <alignment horizontal="center"/>
    </xf>
    <xf numFmtId="3" fontId="16" fillId="21" borderId="4" xfId="0" applyNumberFormat="1" applyFont="1" applyFill="1" applyBorder="1" applyAlignment="1">
      <alignment horizontal="center"/>
    </xf>
    <xf numFmtId="0" fontId="16" fillId="22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/>
    </xf>
    <xf numFmtId="3" fontId="16" fillId="21" borderId="18" xfId="0" applyNumberFormat="1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20" borderId="7" xfId="0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0" borderId="16" xfId="0" applyFont="1" applyBorder="1"/>
    <xf numFmtId="0" fontId="14" fillId="0" borderId="21" xfId="0" applyFont="1" applyBorder="1"/>
    <xf numFmtId="0" fontId="21" fillId="0" borderId="18" xfId="0" applyFont="1" applyBorder="1"/>
    <xf numFmtId="3" fontId="21" fillId="16" borderId="18" xfId="0" applyNumberFormat="1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3" fontId="25" fillId="22" borderId="16" xfId="0" applyNumberFormat="1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12" fillId="34" borderId="16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40" borderId="18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  <xf numFmtId="0" fontId="12" fillId="12" borderId="9" xfId="0" applyFont="1" applyFill="1" applyBorder="1" applyAlignment="1">
      <alignment horizontal="center"/>
    </xf>
    <xf numFmtId="0" fontId="12" fillId="21" borderId="9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21" borderId="4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center"/>
    </xf>
    <xf numFmtId="0" fontId="11" fillId="38" borderId="18" xfId="0" applyFont="1" applyFill="1" applyBorder="1" applyAlignment="1">
      <alignment horizontal="left"/>
    </xf>
    <xf numFmtId="0" fontId="12" fillId="34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0" fontId="12" fillId="20" borderId="18" xfId="0" applyFont="1" applyFill="1" applyBorder="1" applyAlignment="1">
      <alignment horizontal="center" vertical="center"/>
    </xf>
    <xf numFmtId="0" fontId="16" fillId="21" borderId="18" xfId="0" applyFont="1" applyFill="1" applyBorder="1" applyAlignment="1">
      <alignment horizontal="center" vertical="center"/>
    </xf>
    <xf numFmtId="0" fontId="12" fillId="22" borderId="18" xfId="0" applyFont="1" applyFill="1" applyBorder="1" applyAlignment="1">
      <alignment horizontal="center" vertical="center"/>
    </xf>
    <xf numFmtId="0" fontId="16" fillId="23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0" borderId="19" xfId="0" applyFont="1" applyBorder="1" applyAlignment="1">
      <alignment horizontal="center" vertical="center" wrapText="1"/>
    </xf>
    <xf numFmtId="0" fontId="11" fillId="18" borderId="19" xfId="0" applyFont="1" applyFill="1" applyBorder="1" applyAlignment="1">
      <alignment horizontal="center"/>
    </xf>
    <xf numFmtId="0" fontId="11" fillId="0" borderId="19" xfId="0" applyFont="1" applyBorder="1" applyAlignment="1">
      <alignment horizontal="center" wrapText="1"/>
    </xf>
    <xf numFmtId="0" fontId="11" fillId="0" borderId="23" xfId="0" applyFont="1" applyBorder="1" applyAlignment="1">
      <alignment horizontal="center" wrapText="1"/>
    </xf>
    <xf numFmtId="0" fontId="11" fillId="37" borderId="19" xfId="0" applyFont="1" applyFill="1" applyBorder="1" applyAlignment="1">
      <alignment horizontal="center" wrapText="1"/>
    </xf>
    <xf numFmtId="0" fontId="11" fillId="36" borderId="21" xfId="0" applyFont="1" applyFill="1" applyBorder="1" applyAlignment="1">
      <alignment horizontal="left"/>
    </xf>
    <xf numFmtId="0" fontId="20" fillId="0" borderId="21" xfId="0" applyFont="1" applyBorder="1"/>
    <xf numFmtId="0" fontId="11" fillId="40" borderId="21" xfId="0" applyFont="1" applyFill="1" applyBorder="1" applyAlignment="1">
      <alignment horizontal="center"/>
    </xf>
    <xf numFmtId="0" fontId="20" fillId="18" borderId="21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21" fillId="16" borderId="18" xfId="0" applyFont="1" applyFill="1" applyBorder="1" applyAlignment="1">
      <alignment horizontal="center"/>
    </xf>
    <xf numFmtId="0" fontId="21" fillId="12" borderId="18" xfId="0" applyFont="1" applyFill="1" applyBorder="1" applyAlignment="1">
      <alignment horizontal="center"/>
    </xf>
    <xf numFmtId="0" fontId="21" fillId="20" borderId="18" xfId="0" applyFont="1" applyFill="1" applyBorder="1" applyAlignment="1">
      <alignment horizontal="center"/>
    </xf>
    <xf numFmtId="0" fontId="21" fillId="21" borderId="18" xfId="0" applyFont="1" applyFill="1" applyBorder="1" applyAlignment="1">
      <alignment horizontal="center"/>
    </xf>
    <xf numFmtId="0" fontId="21" fillId="22" borderId="18" xfId="0" applyFont="1" applyFill="1" applyBorder="1" applyAlignment="1">
      <alignment horizontal="center"/>
    </xf>
    <xf numFmtId="0" fontId="21" fillId="23" borderId="18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center"/>
    </xf>
    <xf numFmtId="0" fontId="11" fillId="38" borderId="9" xfId="0" applyFont="1" applyFill="1" applyBorder="1" applyAlignment="1">
      <alignment horizontal="left"/>
    </xf>
    <xf numFmtId="3" fontId="21" fillId="16" borderId="9" xfId="0" applyNumberFormat="1" applyFont="1" applyFill="1" applyBorder="1" applyAlignment="1">
      <alignment horizontal="center"/>
    </xf>
    <xf numFmtId="3" fontId="21" fillId="12" borderId="1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0" fontId="11" fillId="40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3" fontId="16" fillId="21" borderId="1" xfId="0" applyNumberFormat="1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3" fontId="21" fillId="16" borderId="1" xfId="0" applyNumberFormat="1" applyFont="1" applyFill="1" applyBorder="1" applyAlignment="1">
      <alignment horizontal="center"/>
    </xf>
    <xf numFmtId="3" fontId="21" fillId="20" borderId="1" xfId="0" applyNumberFormat="1" applyFont="1" applyFill="1" applyBorder="1" applyAlignment="1">
      <alignment horizontal="center"/>
    </xf>
    <xf numFmtId="3" fontId="21" fillId="22" borderId="1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1" fillId="22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1" fillId="0" borderId="18" xfId="0" applyFont="1" applyBorder="1" applyAlignment="1">
      <alignment vertical="center" wrapText="1"/>
    </xf>
    <xf numFmtId="0" fontId="11" fillId="0" borderId="24" xfId="0" applyFont="1" applyBorder="1" applyAlignment="1">
      <alignment horizontal="center" vertical="center"/>
    </xf>
    <xf numFmtId="3" fontId="21" fillId="16" borderId="18" xfId="0" applyNumberFormat="1" applyFont="1" applyFill="1" applyBorder="1" applyAlignment="1">
      <alignment horizontal="center" vertical="center"/>
    </xf>
    <xf numFmtId="0" fontId="21" fillId="24" borderId="18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left" vertic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7" fillId="0" borderId="0" xfId="0" applyFont="1" applyAlignment="1">
      <alignment horizontal="left"/>
    </xf>
    <xf numFmtId="0" fontId="0" fillId="0" borderId="0" xfId="0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X18" sqref="X18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604" t="s">
        <v>0</v>
      </c>
      <c r="B1" s="605" t="s">
        <v>1</v>
      </c>
      <c r="C1" s="605" t="s">
        <v>2</v>
      </c>
      <c r="D1" s="605" t="s">
        <v>3</v>
      </c>
      <c r="E1" s="605" t="s">
        <v>4</v>
      </c>
      <c r="F1" s="599" t="s">
        <v>5</v>
      </c>
      <c r="G1" s="602" t="s">
        <v>6</v>
      </c>
      <c r="H1" s="41" t="s">
        <v>7</v>
      </c>
      <c r="I1" s="603" t="s">
        <v>8</v>
      </c>
      <c r="J1" s="593"/>
      <c r="K1" s="598"/>
      <c r="L1" s="592"/>
      <c r="M1" s="593"/>
      <c r="N1" s="594" t="s">
        <v>401</v>
      </c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2"/>
      <c r="AB1" s="592"/>
      <c r="AC1" s="592"/>
      <c r="AD1" s="592"/>
      <c r="AE1" s="592"/>
      <c r="AF1" s="592"/>
      <c r="AG1" s="592"/>
      <c r="AH1" s="593"/>
      <c r="AI1" s="594" t="s">
        <v>402</v>
      </c>
      <c r="AJ1" s="592"/>
      <c r="AK1" s="592"/>
      <c r="AL1" s="592"/>
      <c r="AM1" s="592"/>
      <c r="AN1" s="592"/>
      <c r="AO1" s="592"/>
      <c r="AP1" s="592"/>
      <c r="AQ1" s="592"/>
      <c r="AR1" s="592"/>
      <c r="AS1" s="592"/>
      <c r="AT1" s="592"/>
      <c r="AU1" s="592"/>
      <c r="AV1" s="592"/>
      <c r="AW1" s="592"/>
      <c r="AX1" s="592"/>
      <c r="AY1" s="592"/>
      <c r="AZ1" s="592"/>
      <c r="BA1" s="592"/>
      <c r="BB1" s="592"/>
      <c r="BC1" s="593"/>
      <c r="BD1" s="594" t="s">
        <v>403</v>
      </c>
      <c r="BE1" s="592"/>
      <c r="BF1" s="592"/>
      <c r="BG1" s="592"/>
      <c r="BH1" s="592"/>
      <c r="BI1" s="592"/>
      <c r="BJ1" s="592"/>
      <c r="BK1" s="592"/>
      <c r="BL1" s="592"/>
      <c r="BM1" s="592"/>
      <c r="BN1" s="592"/>
      <c r="BO1" s="592"/>
      <c r="BP1" s="592"/>
      <c r="BQ1" s="592"/>
      <c r="BR1" s="592"/>
      <c r="BS1" s="592"/>
      <c r="BT1" s="592"/>
      <c r="BU1" s="592"/>
      <c r="BV1" s="592"/>
      <c r="BW1" s="592"/>
      <c r="BX1" s="593"/>
      <c r="BY1" s="594" t="s">
        <v>404</v>
      </c>
      <c r="BZ1" s="592"/>
      <c r="CA1" s="592"/>
      <c r="CB1" s="592"/>
      <c r="CC1" s="592"/>
      <c r="CD1" s="592"/>
      <c r="CE1" s="592"/>
      <c r="CF1" s="592"/>
      <c r="CG1" s="592"/>
      <c r="CH1" s="592"/>
      <c r="CI1" s="592"/>
      <c r="CJ1" s="592"/>
      <c r="CK1" s="592"/>
      <c r="CL1" s="592"/>
      <c r="CM1" s="592"/>
      <c r="CN1" s="592"/>
      <c r="CO1" s="592"/>
      <c r="CP1" s="592"/>
      <c r="CQ1" s="592"/>
      <c r="CR1" s="592"/>
      <c r="CS1" s="593"/>
      <c r="CT1" s="594" t="s">
        <v>405</v>
      </c>
      <c r="CU1" s="592"/>
      <c r="CV1" s="592"/>
      <c r="CW1" s="592"/>
      <c r="CX1" s="592"/>
      <c r="CY1" s="592"/>
      <c r="CZ1" s="592"/>
      <c r="DA1" s="592"/>
      <c r="DB1" s="592"/>
      <c r="DC1" s="592"/>
      <c r="DD1" s="592"/>
      <c r="DE1" s="592"/>
      <c r="DF1" s="592"/>
      <c r="DG1" s="592"/>
      <c r="DH1" s="592"/>
      <c r="DI1" s="592"/>
      <c r="DJ1" s="592"/>
      <c r="DK1" s="592"/>
      <c r="DL1" s="592"/>
      <c r="DM1" s="592"/>
      <c r="DN1" s="593"/>
    </row>
    <row r="2" spans="1:118" ht="26.25">
      <c r="A2" s="600"/>
      <c r="B2" s="600"/>
      <c r="C2" s="600"/>
      <c r="D2" s="600"/>
      <c r="E2" s="600"/>
      <c r="F2" s="600"/>
      <c r="G2" s="600"/>
      <c r="H2" s="125"/>
      <c r="I2" s="595" t="s">
        <v>11</v>
      </c>
      <c r="J2" s="595" t="s">
        <v>12</v>
      </c>
      <c r="K2" s="598" t="s">
        <v>13</v>
      </c>
      <c r="L2" s="592"/>
      <c r="M2" s="593"/>
      <c r="N2" s="591" t="s">
        <v>14</v>
      </c>
      <c r="O2" s="592"/>
      <c r="P2" s="593"/>
      <c r="Q2" s="591" t="s">
        <v>15</v>
      </c>
      <c r="R2" s="592"/>
      <c r="S2" s="593"/>
      <c r="T2" s="591" t="s">
        <v>16</v>
      </c>
      <c r="U2" s="592"/>
      <c r="V2" s="593"/>
      <c r="W2" s="591" t="s">
        <v>17</v>
      </c>
      <c r="X2" s="592"/>
      <c r="Y2" s="593"/>
      <c r="Z2" s="591" t="s">
        <v>18</v>
      </c>
      <c r="AA2" s="592"/>
      <c r="AB2" s="593"/>
      <c r="AC2" s="591" t="s">
        <v>19</v>
      </c>
      <c r="AD2" s="592"/>
      <c r="AE2" s="593"/>
      <c r="AF2" s="591" t="s">
        <v>20</v>
      </c>
      <c r="AG2" s="592"/>
      <c r="AH2" s="593"/>
      <c r="AI2" s="591" t="s">
        <v>14</v>
      </c>
      <c r="AJ2" s="592"/>
      <c r="AK2" s="593"/>
      <c r="AL2" s="591" t="s">
        <v>15</v>
      </c>
      <c r="AM2" s="592"/>
      <c r="AN2" s="593"/>
      <c r="AO2" s="591" t="s">
        <v>16</v>
      </c>
      <c r="AP2" s="592"/>
      <c r="AQ2" s="593"/>
      <c r="AR2" s="591" t="s">
        <v>17</v>
      </c>
      <c r="AS2" s="592"/>
      <c r="AT2" s="593"/>
      <c r="AU2" s="591" t="s">
        <v>18</v>
      </c>
      <c r="AV2" s="592"/>
      <c r="AW2" s="593"/>
      <c r="AX2" s="591" t="s">
        <v>19</v>
      </c>
      <c r="AY2" s="592"/>
      <c r="AZ2" s="593"/>
      <c r="BA2" s="591" t="s">
        <v>20</v>
      </c>
      <c r="BB2" s="592"/>
      <c r="BC2" s="593"/>
      <c r="BD2" s="591" t="s">
        <v>14</v>
      </c>
      <c r="BE2" s="592"/>
      <c r="BF2" s="593"/>
      <c r="BG2" s="591" t="s">
        <v>15</v>
      </c>
      <c r="BH2" s="592"/>
      <c r="BI2" s="593"/>
      <c r="BJ2" s="591" t="s">
        <v>16</v>
      </c>
      <c r="BK2" s="592"/>
      <c r="BL2" s="593"/>
      <c r="BM2" s="591" t="s">
        <v>17</v>
      </c>
      <c r="BN2" s="592"/>
      <c r="BO2" s="593"/>
      <c r="BP2" s="591" t="s">
        <v>18</v>
      </c>
      <c r="BQ2" s="592"/>
      <c r="BR2" s="593"/>
      <c r="BS2" s="591" t="s">
        <v>19</v>
      </c>
      <c r="BT2" s="592"/>
      <c r="BU2" s="593"/>
      <c r="BV2" s="591" t="s">
        <v>20</v>
      </c>
      <c r="BW2" s="592"/>
      <c r="BX2" s="593"/>
      <c r="BY2" s="591" t="s">
        <v>14</v>
      </c>
      <c r="BZ2" s="592"/>
      <c r="CA2" s="593"/>
      <c r="CB2" s="591" t="s">
        <v>15</v>
      </c>
      <c r="CC2" s="592"/>
      <c r="CD2" s="593"/>
      <c r="CE2" s="591" t="s">
        <v>16</v>
      </c>
      <c r="CF2" s="592"/>
      <c r="CG2" s="593"/>
      <c r="CH2" s="591" t="s">
        <v>17</v>
      </c>
      <c r="CI2" s="592"/>
      <c r="CJ2" s="593"/>
      <c r="CK2" s="591" t="s">
        <v>18</v>
      </c>
      <c r="CL2" s="592"/>
      <c r="CM2" s="593"/>
      <c r="CN2" s="591" t="s">
        <v>19</v>
      </c>
      <c r="CO2" s="592"/>
      <c r="CP2" s="593"/>
      <c r="CQ2" s="591" t="s">
        <v>20</v>
      </c>
      <c r="CR2" s="592"/>
      <c r="CS2" s="593"/>
      <c r="CT2" s="591" t="s">
        <v>14</v>
      </c>
      <c r="CU2" s="592"/>
      <c r="CV2" s="593"/>
      <c r="CW2" s="591" t="s">
        <v>15</v>
      </c>
      <c r="CX2" s="592"/>
      <c r="CY2" s="593"/>
      <c r="CZ2" s="591" t="s">
        <v>16</v>
      </c>
      <c r="DA2" s="592"/>
      <c r="DB2" s="593"/>
      <c r="DC2" s="591" t="s">
        <v>17</v>
      </c>
      <c r="DD2" s="592"/>
      <c r="DE2" s="593"/>
      <c r="DF2" s="591" t="s">
        <v>18</v>
      </c>
      <c r="DG2" s="592"/>
      <c r="DH2" s="593"/>
      <c r="DI2" s="591" t="s">
        <v>19</v>
      </c>
      <c r="DJ2" s="592"/>
      <c r="DK2" s="593"/>
      <c r="DL2" s="591" t="s">
        <v>20</v>
      </c>
      <c r="DM2" s="592"/>
      <c r="DN2" s="593"/>
    </row>
    <row r="3" spans="1:118" ht="26.25">
      <c r="A3" s="600"/>
      <c r="B3" s="600"/>
      <c r="C3" s="600"/>
      <c r="D3" s="600"/>
      <c r="E3" s="600"/>
      <c r="F3" s="600"/>
      <c r="G3" s="600"/>
      <c r="H3" s="125"/>
      <c r="I3" s="596"/>
      <c r="J3" s="596"/>
      <c r="K3" s="598" t="s">
        <v>21</v>
      </c>
      <c r="L3" s="592"/>
      <c r="M3" s="593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91">
        <v>30</v>
      </c>
      <c r="DG3" s="592"/>
      <c r="DH3" s="593"/>
      <c r="DI3" s="591">
        <v>31</v>
      </c>
      <c r="DJ3" s="592"/>
      <c r="DK3" s="593"/>
      <c r="DL3" s="591">
        <v>1</v>
      </c>
      <c r="DM3" s="592"/>
      <c r="DN3" s="593"/>
    </row>
    <row r="4" spans="1:118" ht="60.75" customHeight="1">
      <c r="A4" s="601"/>
      <c r="B4" s="601"/>
      <c r="C4" s="601"/>
      <c r="D4" s="601"/>
      <c r="E4" s="601"/>
      <c r="F4" s="601"/>
      <c r="G4" s="601"/>
      <c r="H4" s="126"/>
      <c r="I4" s="597"/>
      <c r="J4" s="597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1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1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1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1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1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1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5"/>
  <sheetViews>
    <sheetView topLeftCell="A62" zoomScale="90" zoomScaleNormal="90" workbookViewId="0">
      <selection activeCell="D88" sqref="D88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41.140625" style="318" customWidth="1"/>
    <col min="5" max="5" width="13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2.7109375" style="318" customWidth="1"/>
    <col min="12" max="12" width="12.5703125" style="318" customWidth="1"/>
    <col min="13" max="21" width="0" style="42" hidden="1" customWidth="1"/>
    <col min="22" max="22" width="12.85546875" style="318" customWidth="1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28515625" style="318" customWidth="1"/>
    <col min="53" max="61" width="0" style="42" hidden="1" customWidth="1"/>
    <col min="62" max="62" width="12.7109375" style="318"/>
    <col min="63" max="71" width="0" style="42" hidden="1" customWidth="1"/>
    <col min="72" max="72" width="11.7109375" style="352" customWidth="1"/>
    <col min="73" max="80" width="0" style="42" hidden="1" customWidth="1"/>
    <col min="81" max="16384" width="12.7109375" style="318"/>
  </cols>
  <sheetData>
    <row r="1" spans="1:80" ht="40.5">
      <c r="A1" s="608" t="s">
        <v>0</v>
      </c>
      <c r="B1" s="609" t="s">
        <v>4</v>
      </c>
      <c r="C1" s="606" t="s">
        <v>5</v>
      </c>
      <c r="D1" s="607" t="s">
        <v>6</v>
      </c>
      <c r="E1" s="374" t="s">
        <v>7</v>
      </c>
      <c r="F1" s="607" t="s">
        <v>8</v>
      </c>
      <c r="G1" s="610"/>
      <c r="H1" s="606"/>
      <c r="I1" s="610"/>
      <c r="J1" s="610"/>
      <c r="K1" s="611" t="s">
        <v>458</v>
      </c>
      <c r="L1" s="612"/>
      <c r="M1" s="589"/>
      <c r="N1" s="589"/>
      <c r="O1" s="589"/>
      <c r="P1" s="589"/>
      <c r="Q1" s="589"/>
      <c r="R1" s="589"/>
      <c r="S1" s="589"/>
      <c r="T1" s="589"/>
      <c r="U1" s="589"/>
      <c r="V1" s="612"/>
      <c r="W1" s="589"/>
      <c r="X1" s="589"/>
      <c r="Y1" s="589"/>
      <c r="Z1" s="589"/>
      <c r="AA1" s="589"/>
      <c r="AB1" s="589"/>
      <c r="AC1" s="589"/>
      <c r="AD1" s="589"/>
      <c r="AE1" s="589"/>
      <c r="AF1" s="612"/>
      <c r="AG1" s="589"/>
      <c r="AH1" s="589"/>
      <c r="AI1" s="589"/>
      <c r="AJ1" s="589"/>
      <c r="AK1" s="589"/>
      <c r="AL1" s="589"/>
      <c r="AM1" s="589"/>
      <c r="AN1" s="589"/>
      <c r="AO1" s="589"/>
      <c r="AP1" s="612"/>
      <c r="AQ1" s="589"/>
      <c r="AR1" s="589"/>
      <c r="AS1" s="589"/>
      <c r="AT1" s="589"/>
      <c r="AU1" s="589"/>
      <c r="AV1" s="589"/>
      <c r="AW1" s="589"/>
      <c r="AX1" s="589"/>
      <c r="AY1" s="589"/>
      <c r="AZ1" s="612"/>
      <c r="BA1" s="589"/>
      <c r="BB1" s="589"/>
      <c r="BC1" s="589"/>
      <c r="BD1" s="589"/>
      <c r="BE1" s="589"/>
      <c r="BF1" s="589"/>
      <c r="BG1" s="589"/>
      <c r="BH1" s="589"/>
      <c r="BI1" s="589"/>
      <c r="BJ1" s="612"/>
      <c r="BK1" s="589"/>
      <c r="BL1" s="589"/>
      <c r="BM1" s="589"/>
      <c r="BN1" s="589"/>
      <c r="BO1" s="589"/>
      <c r="BP1" s="589"/>
      <c r="BQ1" s="589"/>
      <c r="BR1" s="589"/>
      <c r="BS1" s="589"/>
      <c r="BT1" s="612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600"/>
      <c r="B2" s="600"/>
      <c r="C2" s="600"/>
      <c r="D2" s="600"/>
      <c r="E2" s="125"/>
      <c r="F2" s="613" t="s">
        <v>11</v>
      </c>
      <c r="G2" s="613" t="s">
        <v>12</v>
      </c>
      <c r="H2" s="620" t="s">
        <v>13</v>
      </c>
      <c r="I2" s="618"/>
      <c r="J2" s="619"/>
      <c r="K2" s="621" t="s">
        <v>14</v>
      </c>
      <c r="L2" s="618"/>
      <c r="M2" s="589"/>
      <c r="N2" s="590"/>
      <c r="O2" s="614" t="s">
        <v>368</v>
      </c>
      <c r="P2" s="615"/>
      <c r="Q2" s="615"/>
      <c r="R2" s="615"/>
      <c r="S2" s="615"/>
      <c r="T2" s="616"/>
      <c r="U2" s="591" t="s">
        <v>15</v>
      </c>
      <c r="V2" s="618"/>
      <c r="W2" s="589"/>
      <c r="X2" s="590"/>
      <c r="Y2" s="614" t="s">
        <v>368</v>
      </c>
      <c r="Z2" s="615"/>
      <c r="AA2" s="615"/>
      <c r="AB2" s="615"/>
      <c r="AC2" s="615"/>
      <c r="AD2" s="616"/>
      <c r="AE2" s="591" t="s">
        <v>16</v>
      </c>
      <c r="AF2" s="618"/>
      <c r="AG2" s="589"/>
      <c r="AH2" s="590"/>
      <c r="AI2" s="614" t="s">
        <v>368</v>
      </c>
      <c r="AJ2" s="615"/>
      <c r="AK2" s="615"/>
      <c r="AL2" s="615"/>
      <c r="AM2" s="615"/>
      <c r="AN2" s="616"/>
      <c r="AO2" s="591" t="s">
        <v>17</v>
      </c>
      <c r="AP2" s="618"/>
      <c r="AQ2" s="589"/>
      <c r="AR2" s="590"/>
      <c r="AS2" s="614" t="s">
        <v>368</v>
      </c>
      <c r="AT2" s="615"/>
      <c r="AU2" s="615"/>
      <c r="AV2" s="615"/>
      <c r="AW2" s="615"/>
      <c r="AX2" s="616"/>
      <c r="AY2" s="591" t="s">
        <v>18</v>
      </c>
      <c r="AZ2" s="618"/>
      <c r="BA2" s="589"/>
      <c r="BB2" s="590"/>
      <c r="BC2" s="614" t="s">
        <v>368</v>
      </c>
      <c r="BD2" s="615"/>
      <c r="BE2" s="615"/>
      <c r="BF2" s="615"/>
      <c r="BG2" s="615"/>
      <c r="BH2" s="616"/>
      <c r="BI2" s="591" t="s">
        <v>19</v>
      </c>
      <c r="BJ2" s="618"/>
      <c r="BK2" s="589"/>
      <c r="BL2" s="590"/>
      <c r="BM2" s="614" t="s">
        <v>368</v>
      </c>
      <c r="BN2" s="615"/>
      <c r="BO2" s="615"/>
      <c r="BP2" s="615"/>
      <c r="BQ2" s="615"/>
      <c r="BR2" s="616"/>
      <c r="BS2" s="591" t="s">
        <v>20</v>
      </c>
      <c r="BT2" s="618"/>
      <c r="BU2" s="589"/>
      <c r="BV2" s="590"/>
      <c r="BW2" s="614" t="s">
        <v>368</v>
      </c>
      <c r="BX2" s="615"/>
      <c r="BY2" s="615"/>
      <c r="BZ2" s="615"/>
      <c r="CA2" s="615"/>
      <c r="CB2" s="616"/>
    </row>
    <row r="3" spans="1:80" s="42" customFormat="1" ht="26.25" hidden="1">
      <c r="A3" s="600"/>
      <c r="B3" s="600"/>
      <c r="C3" s="600"/>
      <c r="D3" s="600"/>
      <c r="E3" s="125"/>
      <c r="F3" s="600"/>
      <c r="G3" s="600"/>
      <c r="H3" s="598" t="s">
        <v>21</v>
      </c>
      <c r="I3" s="589"/>
      <c r="J3" s="590"/>
      <c r="K3" s="591"/>
      <c r="L3" s="589"/>
      <c r="M3" s="589"/>
      <c r="N3" s="590"/>
      <c r="O3" s="617"/>
      <c r="P3" s="618"/>
      <c r="Q3" s="618"/>
      <c r="R3" s="618"/>
      <c r="S3" s="618"/>
      <c r="T3" s="619"/>
      <c r="U3" s="591"/>
      <c r="V3" s="589"/>
      <c r="W3" s="589"/>
      <c r="X3" s="590"/>
      <c r="Y3" s="617"/>
      <c r="Z3" s="618"/>
      <c r="AA3" s="618"/>
      <c r="AB3" s="618"/>
      <c r="AC3" s="618"/>
      <c r="AD3" s="619"/>
      <c r="AE3" s="591"/>
      <c r="AF3" s="589"/>
      <c r="AG3" s="589"/>
      <c r="AH3" s="590"/>
      <c r="AI3" s="617"/>
      <c r="AJ3" s="618"/>
      <c r="AK3" s="618"/>
      <c r="AL3" s="618"/>
      <c r="AM3" s="618"/>
      <c r="AN3" s="619"/>
      <c r="AO3" s="591"/>
      <c r="AP3" s="589"/>
      <c r="AQ3" s="589"/>
      <c r="AR3" s="590"/>
      <c r="AS3" s="617"/>
      <c r="AT3" s="618"/>
      <c r="AU3" s="618"/>
      <c r="AV3" s="618"/>
      <c r="AW3" s="618"/>
      <c r="AX3" s="619"/>
      <c r="AY3" s="591"/>
      <c r="AZ3" s="589"/>
      <c r="BA3" s="589"/>
      <c r="BB3" s="590"/>
      <c r="BC3" s="617"/>
      <c r="BD3" s="618"/>
      <c r="BE3" s="618"/>
      <c r="BF3" s="618"/>
      <c r="BG3" s="618"/>
      <c r="BH3" s="619"/>
      <c r="BI3" s="591"/>
      <c r="BJ3" s="589"/>
      <c r="BK3" s="589"/>
      <c r="BL3" s="590"/>
      <c r="BM3" s="617"/>
      <c r="BN3" s="618"/>
      <c r="BO3" s="618"/>
      <c r="BP3" s="618"/>
      <c r="BQ3" s="618"/>
      <c r="BR3" s="619"/>
      <c r="BS3" s="591"/>
      <c r="BT3" s="589"/>
      <c r="BU3" s="589"/>
      <c r="BV3" s="590"/>
      <c r="BW3" s="617"/>
      <c r="BX3" s="618"/>
      <c r="BY3" s="618"/>
      <c r="BZ3" s="618"/>
      <c r="CA3" s="618"/>
      <c r="CB3" s="619"/>
    </row>
    <row r="4" spans="1:80" s="42" customFormat="1" ht="56.25" hidden="1" customHeight="1">
      <c r="A4" s="600"/>
      <c r="B4" s="600"/>
      <c r="C4" s="600"/>
      <c r="D4" s="600"/>
      <c r="E4" s="125"/>
      <c r="F4" s="600"/>
      <c r="G4" s="600"/>
      <c r="H4" s="220" t="s">
        <v>388</v>
      </c>
      <c r="I4" s="220" t="s">
        <v>387</v>
      </c>
      <c r="J4" s="220" t="s">
        <v>369</v>
      </c>
      <c r="K4" s="116" t="s">
        <v>388</v>
      </c>
      <c r="L4" s="355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526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435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527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356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528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529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168">
        <v>1</v>
      </c>
      <c r="B5" s="170"/>
      <c r="C5" s="169">
        <v>1113036</v>
      </c>
      <c r="D5" s="262" t="s">
        <v>26</v>
      </c>
      <c r="E5" s="169" t="s">
        <v>27</v>
      </c>
      <c r="F5" s="169"/>
      <c r="G5" s="183"/>
      <c r="H5" s="184">
        <v>0</v>
      </c>
      <c r="I5" s="215">
        <f t="shared" ref="I5:I41" si="0">SUM(L5,V5,AF5,AP5,AZ5,BJ5,BT5)</f>
        <v>20</v>
      </c>
      <c r="J5" s="184">
        <v>0</v>
      </c>
      <c r="K5" s="185"/>
      <c r="L5" s="361">
        <v>10</v>
      </c>
      <c r="M5" s="219"/>
      <c r="N5" s="96"/>
      <c r="O5" s="59"/>
      <c r="P5" s="59"/>
      <c r="Q5" s="59"/>
      <c r="R5" s="59"/>
      <c r="S5" s="44"/>
      <c r="T5" s="59"/>
      <c r="U5" s="59"/>
      <c r="V5" s="362"/>
      <c r="W5" s="219"/>
      <c r="X5" s="96"/>
      <c r="Y5" s="59"/>
      <c r="Z5" s="59"/>
      <c r="AA5" s="59"/>
      <c r="AB5" s="59"/>
      <c r="AC5" s="44"/>
      <c r="AD5" s="59"/>
      <c r="AE5" s="59"/>
      <c r="AF5" s="363"/>
      <c r="AG5" s="219"/>
      <c r="AH5" s="96"/>
      <c r="AI5" s="59"/>
      <c r="AJ5" s="59"/>
      <c r="AK5" s="59"/>
      <c r="AL5" s="59"/>
      <c r="AM5" s="44"/>
      <c r="AN5" s="59"/>
      <c r="AO5" s="59"/>
      <c r="AP5" s="364"/>
      <c r="AQ5" s="219"/>
      <c r="AR5" s="96"/>
      <c r="AS5" s="59"/>
      <c r="AT5" s="59"/>
      <c r="AU5" s="59"/>
      <c r="AV5" s="59"/>
      <c r="AW5" s="44"/>
      <c r="AX5" s="59"/>
      <c r="AY5" s="59"/>
      <c r="AZ5" s="365">
        <v>10</v>
      </c>
      <c r="BA5" s="219"/>
      <c r="BB5" s="96"/>
      <c r="BC5" s="59"/>
      <c r="BD5" s="59"/>
      <c r="BE5" s="59"/>
      <c r="BF5" s="59"/>
      <c r="BG5" s="44"/>
      <c r="BH5" s="59"/>
      <c r="BI5" s="59"/>
      <c r="BJ5" s="366"/>
      <c r="BK5" s="219"/>
      <c r="BL5" s="96"/>
      <c r="BM5" s="59"/>
      <c r="BN5" s="59"/>
      <c r="BO5" s="59"/>
      <c r="BP5" s="59"/>
      <c r="BQ5" s="44"/>
      <c r="BR5" s="59"/>
      <c r="BS5" s="59"/>
      <c r="BT5" s="216"/>
      <c r="BU5" s="21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165">
        <v>1</v>
      </c>
      <c r="B6" s="166"/>
      <c r="C6" s="73">
        <v>1111002</v>
      </c>
      <c r="D6" s="75" t="s">
        <v>30</v>
      </c>
      <c r="E6" s="73" t="s">
        <v>31</v>
      </c>
      <c r="F6" s="73"/>
      <c r="G6" s="116"/>
      <c r="H6" s="447">
        <v>0</v>
      </c>
      <c r="I6" s="220">
        <f t="shared" si="0"/>
        <v>0</v>
      </c>
      <c r="J6" s="447">
        <v>0</v>
      </c>
      <c r="K6" s="448"/>
      <c r="L6" s="530"/>
      <c r="M6" s="59"/>
      <c r="N6" s="96"/>
      <c r="O6" s="59"/>
      <c r="P6" s="59"/>
      <c r="Q6" s="59"/>
      <c r="R6" s="59"/>
      <c r="S6" s="44"/>
      <c r="T6" s="59"/>
      <c r="U6" s="59"/>
      <c r="V6" s="501"/>
      <c r="W6" s="59"/>
      <c r="X6" s="96"/>
      <c r="Y6" s="59"/>
      <c r="Z6" s="59"/>
      <c r="AA6" s="59"/>
      <c r="AB6" s="59"/>
      <c r="AC6" s="44"/>
      <c r="AD6" s="59"/>
      <c r="AE6" s="59"/>
      <c r="AF6" s="502"/>
      <c r="AG6" s="59"/>
      <c r="AH6" s="96"/>
      <c r="AI6" s="59"/>
      <c r="AJ6" s="59"/>
      <c r="AK6" s="59"/>
      <c r="AL6" s="59"/>
      <c r="AM6" s="44"/>
      <c r="AN6" s="59"/>
      <c r="AO6" s="59"/>
      <c r="AP6" s="531"/>
      <c r="AQ6" s="59"/>
      <c r="AR6" s="96"/>
      <c r="AS6" s="59"/>
      <c r="AT6" s="59"/>
      <c r="AU6" s="59"/>
      <c r="AV6" s="59"/>
      <c r="AW6" s="44"/>
      <c r="AX6" s="59"/>
      <c r="AY6" s="59"/>
      <c r="AZ6" s="504"/>
      <c r="BA6" s="59"/>
      <c r="BB6" s="96"/>
      <c r="BC6" s="59"/>
      <c r="BD6" s="59"/>
      <c r="BE6" s="59"/>
      <c r="BF6" s="59"/>
      <c r="BG6" s="44"/>
      <c r="BH6" s="59"/>
      <c r="BI6" s="59"/>
      <c r="BJ6" s="505"/>
      <c r="BK6" s="59"/>
      <c r="BL6" s="96"/>
      <c r="BM6" s="59"/>
      <c r="BN6" s="59"/>
      <c r="BO6" s="59"/>
      <c r="BP6" s="59"/>
      <c r="BQ6" s="44"/>
      <c r="BR6" s="59"/>
      <c r="BS6" s="59"/>
      <c r="BT6" s="522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1</v>
      </c>
      <c r="B7" s="170"/>
      <c r="C7" s="169">
        <v>1111055</v>
      </c>
      <c r="D7" s="262" t="s">
        <v>32</v>
      </c>
      <c r="E7" s="169" t="s">
        <v>33</v>
      </c>
      <c r="F7" s="169"/>
      <c r="G7" s="183"/>
      <c r="H7" s="184">
        <v>0</v>
      </c>
      <c r="I7" s="232">
        <f t="shared" si="0"/>
        <v>1140</v>
      </c>
      <c r="J7" s="184">
        <v>0</v>
      </c>
      <c r="K7" s="185"/>
      <c r="L7" s="233">
        <v>700</v>
      </c>
      <c r="M7" s="219"/>
      <c r="N7" s="96"/>
      <c r="O7" s="59"/>
      <c r="P7" s="59"/>
      <c r="Q7" s="59"/>
      <c r="R7" s="105"/>
      <c r="S7" s="106"/>
      <c r="T7" s="59"/>
      <c r="U7" s="59"/>
      <c r="V7" s="362"/>
      <c r="W7" s="219"/>
      <c r="X7" s="96"/>
      <c r="Y7" s="59"/>
      <c r="Z7" s="59"/>
      <c r="AA7" s="59"/>
      <c r="AB7" s="105"/>
      <c r="AC7" s="44"/>
      <c r="AD7" s="59"/>
      <c r="AE7" s="59"/>
      <c r="AF7" s="525">
        <v>440</v>
      </c>
      <c r="AG7" s="354"/>
      <c r="AH7" s="96"/>
      <c r="AI7" s="59"/>
      <c r="AJ7" s="59"/>
      <c r="AK7" s="59"/>
      <c r="AL7" s="105"/>
      <c r="AM7" s="44"/>
      <c r="AN7" s="59"/>
      <c r="AO7" s="59"/>
      <c r="AP7" s="364"/>
      <c r="AQ7" s="219"/>
      <c r="AR7" s="96"/>
      <c r="AS7" s="59"/>
      <c r="AT7" s="59"/>
      <c r="AU7" s="59"/>
      <c r="AV7" s="105"/>
      <c r="AW7" s="44"/>
      <c r="AX7" s="59"/>
      <c r="AY7" s="59"/>
      <c r="AZ7" s="368"/>
      <c r="BA7" s="219"/>
      <c r="BB7" s="96"/>
      <c r="BC7" s="59"/>
      <c r="BD7" s="59"/>
      <c r="BE7" s="59"/>
      <c r="BF7" s="105"/>
      <c r="BG7" s="44"/>
      <c r="BH7" s="105"/>
      <c r="BI7" s="59"/>
      <c r="BJ7" s="366"/>
      <c r="BK7" s="219"/>
      <c r="BL7" s="96"/>
      <c r="BM7" s="59"/>
      <c r="BN7" s="59"/>
      <c r="BO7" s="59"/>
      <c r="BP7" s="105"/>
      <c r="BQ7" s="44"/>
      <c r="BR7" s="59"/>
      <c r="BS7" s="59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1</v>
      </c>
      <c r="B8" s="170"/>
      <c r="C8" s="169">
        <v>1113091</v>
      </c>
      <c r="D8" s="262" t="s">
        <v>41</v>
      </c>
      <c r="E8" s="217" t="s">
        <v>42</v>
      </c>
      <c r="F8" s="169"/>
      <c r="G8" s="183"/>
      <c r="H8" s="184">
        <v>0</v>
      </c>
      <c r="I8" s="215">
        <f t="shared" si="0"/>
        <v>1140</v>
      </c>
      <c r="J8" s="184">
        <v>0</v>
      </c>
      <c r="K8" s="299"/>
      <c r="L8" s="201">
        <v>225</v>
      </c>
      <c r="M8" s="219"/>
      <c r="N8" s="96"/>
      <c r="O8" s="59"/>
      <c r="P8" s="59"/>
      <c r="Q8" s="59"/>
      <c r="R8" s="59"/>
      <c r="S8" s="44"/>
      <c r="T8" s="59"/>
      <c r="U8" s="218"/>
      <c r="V8" s="202">
        <v>135</v>
      </c>
      <c r="W8" s="219"/>
      <c r="X8" s="96"/>
      <c r="Y8" s="59"/>
      <c r="Z8" s="59"/>
      <c r="AA8" s="59"/>
      <c r="AB8" s="59"/>
      <c r="AC8" s="44"/>
      <c r="AD8" s="59"/>
      <c r="AE8" s="218"/>
      <c r="AF8" s="248">
        <v>225</v>
      </c>
      <c r="AG8" s="219"/>
      <c r="AH8" s="96"/>
      <c r="AI8" s="59"/>
      <c r="AJ8" s="59"/>
      <c r="AK8" s="59"/>
      <c r="AL8" s="59"/>
      <c r="AM8" s="44"/>
      <c r="AN8" s="59"/>
      <c r="AO8" s="218"/>
      <c r="AP8" s="257">
        <v>175</v>
      </c>
      <c r="AQ8" s="219"/>
      <c r="AR8" s="96"/>
      <c r="AS8" s="59"/>
      <c r="AT8" s="59"/>
      <c r="AU8" s="59"/>
      <c r="AV8" s="59"/>
      <c r="AW8" s="44"/>
      <c r="AX8" s="59"/>
      <c r="AY8" s="218"/>
      <c r="AZ8" s="259">
        <v>210</v>
      </c>
      <c r="BA8" s="219"/>
      <c r="BB8" s="96"/>
      <c r="BC8" s="59"/>
      <c r="BD8" s="59"/>
      <c r="BE8" s="59"/>
      <c r="BF8" s="59"/>
      <c r="BG8" s="44"/>
      <c r="BH8" s="59"/>
      <c r="BI8" s="218"/>
      <c r="BJ8" s="261">
        <v>170</v>
      </c>
      <c r="BK8" s="219"/>
      <c r="BL8" s="96"/>
      <c r="BM8" s="59"/>
      <c r="BN8" s="59"/>
      <c r="BO8" s="59"/>
      <c r="BP8" s="59"/>
      <c r="BQ8" s="44"/>
      <c r="BR8" s="59"/>
      <c r="BS8" s="218"/>
      <c r="BT8" s="204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358">
        <v>3</v>
      </c>
      <c r="B9" s="245"/>
      <c r="C9" s="182">
        <v>1004061</v>
      </c>
      <c r="D9" s="403" t="s">
        <v>57</v>
      </c>
      <c r="E9" s="182" t="s">
        <v>27</v>
      </c>
      <c r="F9" s="182"/>
      <c r="G9" s="359"/>
      <c r="H9" s="230">
        <v>0</v>
      </c>
      <c r="I9" s="360">
        <f t="shared" si="0"/>
        <v>27</v>
      </c>
      <c r="J9" s="230">
        <v>0</v>
      </c>
      <c r="K9" s="395"/>
      <c r="L9" s="437">
        <v>12</v>
      </c>
      <c r="M9" s="219"/>
      <c r="N9" s="96"/>
      <c r="O9" s="59"/>
      <c r="P9" s="59"/>
      <c r="Q9" s="59"/>
      <c r="R9" s="59"/>
      <c r="S9" s="44"/>
      <c r="T9" s="59"/>
      <c r="U9" s="59"/>
      <c r="V9" s="396"/>
      <c r="W9" s="219"/>
      <c r="X9" s="96"/>
      <c r="Y9" s="59"/>
      <c r="Z9" s="59"/>
      <c r="AA9" s="59"/>
      <c r="AB9" s="59"/>
      <c r="AC9" s="44"/>
      <c r="AD9" s="59"/>
      <c r="AE9" s="59"/>
      <c r="AF9" s="397"/>
      <c r="AG9" s="219"/>
      <c r="AH9" s="96"/>
      <c r="AI9" s="59"/>
      <c r="AJ9" s="59"/>
      <c r="AK9" s="59"/>
      <c r="AL9" s="59"/>
      <c r="AM9" s="44"/>
      <c r="AN9" s="59"/>
      <c r="AO9" s="59"/>
      <c r="AP9" s="398"/>
      <c r="AQ9" s="219"/>
      <c r="AR9" s="96"/>
      <c r="AS9" s="59"/>
      <c r="AT9" s="59"/>
      <c r="AU9" s="59"/>
      <c r="AV9" s="59"/>
      <c r="AW9" s="44"/>
      <c r="AX9" s="59"/>
      <c r="AY9" s="59"/>
      <c r="AZ9" s="399">
        <v>15</v>
      </c>
      <c r="BA9" s="219"/>
      <c r="BB9" s="96"/>
      <c r="BC9" s="59"/>
      <c r="BD9" s="59"/>
      <c r="BE9" s="59"/>
      <c r="BF9" s="59"/>
      <c r="BG9" s="44"/>
      <c r="BH9" s="59"/>
      <c r="BI9" s="59"/>
      <c r="BJ9" s="400"/>
      <c r="BK9" s="219"/>
      <c r="BL9" s="96"/>
      <c r="BM9" s="59"/>
      <c r="BN9" s="59"/>
      <c r="BO9" s="59"/>
      <c r="BP9" s="59"/>
      <c r="BQ9" s="44"/>
      <c r="BR9" s="59"/>
      <c r="BS9" s="59"/>
      <c r="BT9" s="438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4</v>
      </c>
      <c r="B10" s="170"/>
      <c r="C10" s="169">
        <v>1004071</v>
      </c>
      <c r="D10" s="262" t="s">
        <v>122</v>
      </c>
      <c r="E10" s="169" t="s">
        <v>27</v>
      </c>
      <c r="F10" s="169"/>
      <c r="G10" s="183"/>
      <c r="H10" s="184">
        <v>0</v>
      </c>
      <c r="I10" s="215">
        <f t="shared" si="0"/>
        <v>0</v>
      </c>
      <c r="J10" s="184">
        <v>0</v>
      </c>
      <c r="K10" s="185"/>
      <c r="L10" s="361"/>
      <c r="M10" s="219"/>
      <c r="N10" s="96"/>
      <c r="O10" s="59"/>
      <c r="P10" s="59"/>
      <c r="Q10" s="59"/>
      <c r="R10" s="59"/>
      <c r="S10" s="44"/>
      <c r="T10" s="59"/>
      <c r="U10" s="59"/>
      <c r="V10" s="362"/>
      <c r="W10" s="219"/>
      <c r="X10" s="96"/>
      <c r="Y10" s="59"/>
      <c r="Z10" s="59"/>
      <c r="AA10" s="59"/>
      <c r="AB10" s="59"/>
      <c r="AC10" s="44"/>
      <c r="AD10" s="59"/>
      <c r="AE10" s="59"/>
      <c r="AF10" s="363"/>
      <c r="AG10" s="219"/>
      <c r="AH10" s="96"/>
      <c r="AI10" s="59"/>
      <c r="AJ10" s="59"/>
      <c r="AK10" s="59"/>
      <c r="AL10" s="59"/>
      <c r="AM10" s="44"/>
      <c r="AN10" s="59"/>
      <c r="AO10" s="59"/>
      <c r="AP10" s="364"/>
      <c r="AQ10" s="219"/>
      <c r="AR10" s="96"/>
      <c r="AS10" s="59"/>
      <c r="AT10" s="59"/>
      <c r="AU10" s="59"/>
      <c r="AV10" s="59"/>
      <c r="AW10" s="44"/>
      <c r="AX10" s="59"/>
      <c r="AY10" s="59"/>
      <c r="AZ10" s="365"/>
      <c r="BA10" s="219"/>
      <c r="BB10" s="96"/>
      <c r="BC10" s="59"/>
      <c r="BD10" s="59"/>
      <c r="BE10" s="59"/>
      <c r="BF10" s="59"/>
      <c r="BG10" s="44"/>
      <c r="BH10" s="59"/>
      <c r="BI10" s="59"/>
      <c r="BJ10" s="366"/>
      <c r="BK10" s="219"/>
      <c r="BL10" s="96"/>
      <c r="BM10" s="59"/>
      <c r="BN10" s="59"/>
      <c r="BO10" s="59"/>
      <c r="BP10" s="59"/>
      <c r="BQ10" s="44"/>
      <c r="BR10" s="59"/>
      <c r="BS10" s="59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5</v>
      </c>
      <c r="B11" s="170"/>
      <c r="C11" s="169">
        <v>1004070</v>
      </c>
      <c r="D11" s="262" t="s">
        <v>123</v>
      </c>
      <c r="E11" s="169" t="s">
        <v>27</v>
      </c>
      <c r="F11" s="169"/>
      <c r="G11" s="183"/>
      <c r="H11" s="184">
        <v>0</v>
      </c>
      <c r="I11" s="215">
        <f t="shared" si="0"/>
        <v>9</v>
      </c>
      <c r="J11" s="184">
        <v>0</v>
      </c>
      <c r="K11" s="185"/>
      <c r="L11" s="361">
        <v>4</v>
      </c>
      <c r="M11" s="219"/>
      <c r="N11" s="96"/>
      <c r="O11" s="59"/>
      <c r="P11" s="59"/>
      <c r="Q11" s="59"/>
      <c r="R11" s="59"/>
      <c r="S11" s="44"/>
      <c r="T11" s="59"/>
      <c r="U11" s="59"/>
      <c r="V11" s="362"/>
      <c r="W11" s="219"/>
      <c r="X11" s="96"/>
      <c r="Y11" s="59"/>
      <c r="Z11" s="59"/>
      <c r="AA11" s="59"/>
      <c r="AB11" s="59"/>
      <c r="AC11" s="44"/>
      <c r="AD11" s="59"/>
      <c r="AE11" s="59"/>
      <c r="AF11" s="363"/>
      <c r="AG11" s="219"/>
      <c r="AH11" s="96"/>
      <c r="AI11" s="59"/>
      <c r="AJ11" s="59"/>
      <c r="AK11" s="59"/>
      <c r="AL11" s="59"/>
      <c r="AM11" s="44"/>
      <c r="AN11" s="59"/>
      <c r="AO11" s="59"/>
      <c r="AP11" s="364"/>
      <c r="AQ11" s="219"/>
      <c r="AR11" s="96"/>
      <c r="AS11" s="59"/>
      <c r="AT11" s="59"/>
      <c r="AU11" s="59"/>
      <c r="AV11" s="59"/>
      <c r="AW11" s="44"/>
      <c r="AX11" s="59"/>
      <c r="AY11" s="59"/>
      <c r="AZ11" s="365">
        <v>5</v>
      </c>
      <c r="BA11" s="219"/>
      <c r="BB11" s="96"/>
      <c r="BC11" s="59"/>
      <c r="BD11" s="59"/>
      <c r="BE11" s="59"/>
      <c r="BF11" s="59"/>
      <c r="BG11" s="44"/>
      <c r="BH11" s="59"/>
      <c r="BI11" s="59"/>
      <c r="BJ11" s="366"/>
      <c r="BK11" s="219"/>
      <c r="BL11" s="96"/>
      <c r="BM11" s="59"/>
      <c r="BN11" s="59"/>
      <c r="BO11" s="59"/>
      <c r="BP11" s="59"/>
      <c r="BQ11" s="44"/>
      <c r="BR11" s="59"/>
      <c r="BS11" s="59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6</v>
      </c>
      <c r="B12" s="170"/>
      <c r="C12" s="169">
        <v>1004063</v>
      </c>
      <c r="D12" s="262" t="s">
        <v>124</v>
      </c>
      <c r="E12" s="169" t="s">
        <v>27</v>
      </c>
      <c r="F12" s="169"/>
      <c r="G12" s="183"/>
      <c r="H12" s="184">
        <v>0</v>
      </c>
      <c r="I12" s="215">
        <f t="shared" si="0"/>
        <v>47</v>
      </c>
      <c r="J12" s="184">
        <v>0</v>
      </c>
      <c r="K12" s="185"/>
      <c r="L12" s="361">
        <v>27</v>
      </c>
      <c r="M12" s="219"/>
      <c r="N12" s="96"/>
      <c r="O12" s="59"/>
      <c r="P12" s="59"/>
      <c r="Q12" s="59"/>
      <c r="R12" s="59"/>
      <c r="S12" s="44"/>
      <c r="T12" s="59"/>
      <c r="U12" s="59"/>
      <c r="V12" s="362"/>
      <c r="W12" s="219"/>
      <c r="X12" s="96"/>
      <c r="Y12" s="59"/>
      <c r="Z12" s="59"/>
      <c r="AA12" s="59"/>
      <c r="AB12" s="59"/>
      <c r="AC12" s="44"/>
      <c r="AD12" s="59"/>
      <c r="AE12" s="59"/>
      <c r="AF12" s="363"/>
      <c r="AG12" s="219"/>
      <c r="AH12" s="96"/>
      <c r="AI12" s="59"/>
      <c r="AJ12" s="59"/>
      <c r="AK12" s="59"/>
      <c r="AL12" s="59"/>
      <c r="AM12" s="44"/>
      <c r="AN12" s="59"/>
      <c r="AO12" s="59"/>
      <c r="AP12" s="364"/>
      <c r="AQ12" s="219"/>
      <c r="AR12" s="96"/>
      <c r="AS12" s="59"/>
      <c r="AT12" s="59"/>
      <c r="AU12" s="59"/>
      <c r="AV12" s="59"/>
      <c r="AW12" s="44"/>
      <c r="AX12" s="59"/>
      <c r="AY12" s="59"/>
      <c r="AZ12" s="365">
        <v>20</v>
      </c>
      <c r="BA12" s="219"/>
      <c r="BB12" s="96"/>
      <c r="BC12" s="59"/>
      <c r="BD12" s="59"/>
      <c r="BE12" s="59"/>
      <c r="BF12" s="59"/>
      <c r="BG12" s="44"/>
      <c r="BH12" s="59"/>
      <c r="BI12" s="59"/>
      <c r="BJ12" s="366"/>
      <c r="BK12" s="219"/>
      <c r="BL12" s="96"/>
      <c r="BM12" s="59"/>
      <c r="BN12" s="59"/>
      <c r="BO12" s="59"/>
      <c r="BP12" s="59"/>
      <c r="BQ12" s="44"/>
      <c r="BR12" s="59"/>
      <c r="BS12" s="59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7</v>
      </c>
      <c r="B13" s="170"/>
      <c r="C13" s="169">
        <v>1004065</v>
      </c>
      <c r="D13" s="262" t="s">
        <v>125</v>
      </c>
      <c r="E13" s="169" t="s">
        <v>27</v>
      </c>
      <c r="F13" s="169"/>
      <c r="G13" s="183"/>
      <c r="H13" s="184">
        <v>0</v>
      </c>
      <c r="I13" s="215">
        <f t="shared" si="0"/>
        <v>34</v>
      </c>
      <c r="J13" s="184">
        <v>0</v>
      </c>
      <c r="K13" s="185"/>
      <c r="L13" s="361">
        <v>19</v>
      </c>
      <c r="M13" s="219"/>
      <c r="N13" s="96"/>
      <c r="O13" s="59"/>
      <c r="P13" s="59"/>
      <c r="Q13" s="59"/>
      <c r="R13" s="59"/>
      <c r="S13" s="44"/>
      <c r="T13" s="59"/>
      <c r="U13" s="59"/>
      <c r="V13" s="362"/>
      <c r="W13" s="219"/>
      <c r="X13" s="96"/>
      <c r="Y13" s="59"/>
      <c r="Z13" s="59"/>
      <c r="AA13" s="59"/>
      <c r="AB13" s="59"/>
      <c r="AC13" s="44"/>
      <c r="AD13" s="59"/>
      <c r="AE13" s="59"/>
      <c r="AF13" s="363"/>
      <c r="AG13" s="219"/>
      <c r="AH13" s="96"/>
      <c r="AI13" s="59"/>
      <c r="AJ13" s="59"/>
      <c r="AK13" s="59"/>
      <c r="AL13" s="59"/>
      <c r="AM13" s="44"/>
      <c r="AN13" s="59"/>
      <c r="AO13" s="59"/>
      <c r="AP13" s="364"/>
      <c r="AQ13" s="219"/>
      <c r="AR13" s="96"/>
      <c r="AS13" s="59"/>
      <c r="AT13" s="59"/>
      <c r="AU13" s="59"/>
      <c r="AV13" s="59"/>
      <c r="AW13" s="44"/>
      <c r="AX13" s="59"/>
      <c r="AY13" s="59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59"/>
      <c r="BJ13" s="366"/>
      <c r="BK13" s="219"/>
      <c r="BL13" s="96"/>
      <c r="BM13" s="59"/>
      <c r="BN13" s="59"/>
      <c r="BO13" s="59"/>
      <c r="BP13" s="59"/>
      <c r="BQ13" s="44"/>
      <c r="BR13" s="59"/>
      <c r="BS13" s="59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8</v>
      </c>
      <c r="B14" s="170"/>
      <c r="C14" s="169">
        <v>1004074</v>
      </c>
      <c r="D14" s="262" t="s">
        <v>128</v>
      </c>
      <c r="E14" s="169" t="s">
        <v>27</v>
      </c>
      <c r="F14" s="169"/>
      <c r="G14" s="183"/>
      <c r="H14" s="184">
        <v>0</v>
      </c>
      <c r="I14" s="215">
        <f t="shared" si="0"/>
        <v>31</v>
      </c>
      <c r="J14" s="184">
        <v>0</v>
      </c>
      <c r="K14" s="185"/>
      <c r="L14" s="361">
        <v>16</v>
      </c>
      <c r="M14" s="219"/>
      <c r="N14" s="96"/>
      <c r="O14" s="59"/>
      <c r="P14" s="59"/>
      <c r="Q14" s="59"/>
      <c r="R14" s="59"/>
      <c r="S14" s="44"/>
      <c r="T14" s="59"/>
      <c r="U14" s="59"/>
      <c r="V14" s="362"/>
      <c r="W14" s="219"/>
      <c r="X14" s="96"/>
      <c r="Y14" s="59"/>
      <c r="Z14" s="59"/>
      <c r="AA14" s="59"/>
      <c r="AB14" s="59"/>
      <c r="AC14" s="44"/>
      <c r="AD14" s="59"/>
      <c r="AE14" s="59"/>
      <c r="AF14" s="363"/>
      <c r="AG14" s="219"/>
      <c r="AH14" s="96"/>
      <c r="AI14" s="59"/>
      <c r="AJ14" s="59"/>
      <c r="AK14" s="59"/>
      <c r="AL14" s="59"/>
      <c r="AM14" s="44"/>
      <c r="AN14" s="59"/>
      <c r="AO14" s="59"/>
      <c r="AP14" s="364"/>
      <c r="AQ14" s="219"/>
      <c r="AR14" s="96"/>
      <c r="AS14" s="59"/>
      <c r="AT14" s="59"/>
      <c r="AU14" s="59"/>
      <c r="AV14" s="59"/>
      <c r="AW14" s="44"/>
      <c r="AX14" s="59"/>
      <c r="AY14" s="59"/>
      <c r="AZ14" s="365">
        <v>15</v>
      </c>
      <c r="BA14" s="219"/>
      <c r="BB14" s="96"/>
      <c r="BC14" s="59"/>
      <c r="BD14" s="59"/>
      <c r="BE14" s="59"/>
      <c r="BF14" s="59"/>
      <c r="BG14" s="44"/>
      <c r="BH14" s="59"/>
      <c r="BI14" s="59"/>
      <c r="BJ14" s="366"/>
      <c r="BK14" s="219"/>
      <c r="BL14" s="96"/>
      <c r="BM14" s="59"/>
      <c r="BN14" s="59"/>
      <c r="BO14" s="59"/>
      <c r="BP14" s="59"/>
      <c r="BQ14" s="44"/>
      <c r="BR14" s="59"/>
      <c r="BS14" s="59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168">
        <v>9</v>
      </c>
      <c r="B15" s="170"/>
      <c r="C15" s="169">
        <v>1004064</v>
      </c>
      <c r="D15" s="262" t="s">
        <v>131</v>
      </c>
      <c r="E15" s="169" t="s">
        <v>27</v>
      </c>
      <c r="F15" s="169"/>
      <c r="G15" s="183"/>
      <c r="H15" s="184">
        <v>0</v>
      </c>
      <c r="I15" s="215">
        <f t="shared" si="0"/>
        <v>21</v>
      </c>
      <c r="J15" s="184">
        <v>0</v>
      </c>
      <c r="K15" s="185"/>
      <c r="L15" s="361">
        <v>11</v>
      </c>
      <c r="M15" s="219"/>
      <c r="N15" s="96"/>
      <c r="O15" s="59"/>
      <c r="P15" s="59"/>
      <c r="Q15" s="59"/>
      <c r="R15" s="59"/>
      <c r="S15" s="44"/>
      <c r="T15" s="59"/>
      <c r="U15" s="59"/>
      <c r="V15" s="362"/>
      <c r="W15" s="219"/>
      <c r="X15" s="96"/>
      <c r="Y15" s="59"/>
      <c r="Z15" s="59"/>
      <c r="AA15" s="59"/>
      <c r="AB15" s="59"/>
      <c r="AC15" s="44"/>
      <c r="AD15" s="59"/>
      <c r="AE15" s="59"/>
      <c r="AF15" s="363"/>
      <c r="AG15" s="219"/>
      <c r="AH15" s="96"/>
      <c r="AI15" s="59"/>
      <c r="AJ15" s="59"/>
      <c r="AK15" s="59"/>
      <c r="AL15" s="59"/>
      <c r="AM15" s="44"/>
      <c r="AN15" s="59"/>
      <c r="AO15" s="59"/>
      <c r="AP15" s="364"/>
      <c r="AQ15" s="219"/>
      <c r="AR15" s="96"/>
      <c r="AS15" s="59"/>
      <c r="AT15" s="59"/>
      <c r="AU15" s="59"/>
      <c r="AV15" s="59"/>
      <c r="AW15" s="44"/>
      <c r="AX15" s="59"/>
      <c r="AY15" s="59"/>
      <c r="AZ15" s="365">
        <v>10</v>
      </c>
      <c r="BA15" s="219"/>
      <c r="BB15" s="96"/>
      <c r="BC15" s="59"/>
      <c r="BD15" s="59"/>
      <c r="BE15" s="59"/>
      <c r="BF15" s="59"/>
      <c r="BG15" s="44"/>
      <c r="BH15" s="59"/>
      <c r="BI15" s="59"/>
      <c r="BJ15" s="366"/>
      <c r="BK15" s="219"/>
      <c r="BL15" s="96"/>
      <c r="BM15" s="59"/>
      <c r="BN15" s="59"/>
      <c r="BO15" s="59"/>
      <c r="BP15" s="59"/>
      <c r="BQ15" s="44"/>
      <c r="BR15" s="59"/>
      <c r="BS15" s="59"/>
      <c r="BT15" s="21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168">
        <v>10</v>
      </c>
      <c r="B16" s="170"/>
      <c r="C16" s="169">
        <v>1004072</v>
      </c>
      <c r="D16" s="262" t="s">
        <v>133</v>
      </c>
      <c r="E16" s="169" t="s">
        <v>27</v>
      </c>
      <c r="F16" s="169"/>
      <c r="G16" s="183"/>
      <c r="H16" s="184">
        <v>0</v>
      </c>
      <c r="I16" s="215">
        <f t="shared" si="0"/>
        <v>21</v>
      </c>
      <c r="J16" s="184">
        <v>0</v>
      </c>
      <c r="K16" s="185"/>
      <c r="L16" s="361">
        <v>6</v>
      </c>
      <c r="M16" s="219"/>
      <c r="N16" s="96"/>
      <c r="O16" s="59"/>
      <c r="P16" s="59"/>
      <c r="Q16" s="59"/>
      <c r="R16" s="59"/>
      <c r="S16" s="44"/>
      <c r="T16" s="59"/>
      <c r="U16" s="59"/>
      <c r="V16" s="362"/>
      <c r="W16" s="219"/>
      <c r="X16" s="96"/>
      <c r="Y16" s="59"/>
      <c r="Z16" s="59"/>
      <c r="AA16" s="59"/>
      <c r="AB16" s="59"/>
      <c r="AC16" s="44"/>
      <c r="AD16" s="59"/>
      <c r="AE16" s="59"/>
      <c r="AF16" s="363"/>
      <c r="AG16" s="219"/>
      <c r="AH16" s="96"/>
      <c r="AI16" s="59"/>
      <c r="AJ16" s="59"/>
      <c r="AK16" s="59"/>
      <c r="AL16" s="59"/>
      <c r="AM16" s="44"/>
      <c r="AN16" s="59"/>
      <c r="AO16" s="59"/>
      <c r="AP16" s="364"/>
      <c r="AQ16" s="219"/>
      <c r="AR16" s="96"/>
      <c r="AS16" s="59"/>
      <c r="AT16" s="59"/>
      <c r="AU16" s="59"/>
      <c r="AV16" s="59"/>
      <c r="AW16" s="44"/>
      <c r="AX16" s="59"/>
      <c r="AY16" s="59"/>
      <c r="AZ16" s="365">
        <v>15</v>
      </c>
      <c r="BA16" s="219"/>
      <c r="BB16" s="96"/>
      <c r="BC16" s="59"/>
      <c r="BD16" s="59"/>
      <c r="BE16" s="59"/>
      <c r="BF16" s="59"/>
      <c r="BG16" s="44"/>
      <c r="BH16" s="59"/>
      <c r="BI16" s="59"/>
      <c r="BJ16" s="366"/>
      <c r="BK16" s="219"/>
      <c r="BL16" s="96"/>
      <c r="BM16" s="59"/>
      <c r="BN16" s="59"/>
      <c r="BO16" s="59"/>
      <c r="BP16" s="59"/>
      <c r="BQ16" s="44"/>
      <c r="BR16" s="59"/>
      <c r="BS16" s="59"/>
      <c r="BT16" s="216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168">
        <v>11</v>
      </c>
      <c r="B17" s="170"/>
      <c r="C17" s="169">
        <v>1113008</v>
      </c>
      <c r="D17" s="262" t="s">
        <v>137</v>
      </c>
      <c r="E17" s="169" t="s">
        <v>27</v>
      </c>
      <c r="F17" s="169"/>
      <c r="G17" s="183"/>
      <c r="H17" s="184">
        <v>0</v>
      </c>
      <c r="I17" s="215">
        <f t="shared" si="0"/>
        <v>43</v>
      </c>
      <c r="J17" s="184">
        <v>0</v>
      </c>
      <c r="K17" s="185"/>
      <c r="L17" s="361">
        <v>18</v>
      </c>
      <c r="M17" s="219"/>
      <c r="N17" s="96"/>
      <c r="O17" s="59"/>
      <c r="P17" s="59"/>
      <c r="Q17" s="59"/>
      <c r="R17" s="59"/>
      <c r="S17" s="44"/>
      <c r="T17" s="59"/>
      <c r="U17" s="59"/>
      <c r="V17" s="362"/>
      <c r="W17" s="219"/>
      <c r="X17" s="96"/>
      <c r="Y17" s="59"/>
      <c r="Z17" s="59"/>
      <c r="AA17" s="59"/>
      <c r="AB17" s="59"/>
      <c r="AC17" s="44"/>
      <c r="AD17" s="59"/>
      <c r="AE17" s="59"/>
      <c r="AF17" s="363"/>
      <c r="AG17" s="219"/>
      <c r="AH17" s="96"/>
      <c r="AI17" s="59"/>
      <c r="AJ17" s="59"/>
      <c r="AK17" s="59"/>
      <c r="AL17" s="59"/>
      <c r="AM17" s="44"/>
      <c r="AN17" s="59"/>
      <c r="AO17" s="59"/>
      <c r="AP17" s="364"/>
      <c r="AQ17" s="219"/>
      <c r="AR17" s="96"/>
      <c r="AS17" s="59"/>
      <c r="AT17" s="59"/>
      <c r="AU17" s="59"/>
      <c r="AV17" s="59"/>
      <c r="AW17" s="44"/>
      <c r="AX17" s="59"/>
      <c r="AY17" s="59"/>
      <c r="AZ17" s="365">
        <v>25</v>
      </c>
      <c r="BA17" s="219"/>
      <c r="BB17" s="96"/>
      <c r="BC17" s="59"/>
      <c r="BD17" s="59"/>
      <c r="BE17" s="59"/>
      <c r="BF17" s="59"/>
      <c r="BG17" s="44"/>
      <c r="BH17" s="59"/>
      <c r="BI17" s="59"/>
      <c r="BJ17" s="366"/>
      <c r="BK17" s="219"/>
      <c r="BL17" s="96"/>
      <c r="BM17" s="59"/>
      <c r="BN17" s="59"/>
      <c r="BO17" s="59"/>
      <c r="BP17" s="59"/>
      <c r="BQ17" s="44"/>
      <c r="BR17" s="59"/>
      <c r="BS17" s="59"/>
      <c r="BT17" s="216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168">
        <v>12</v>
      </c>
      <c r="B18" s="170"/>
      <c r="C18" s="169">
        <v>1113106</v>
      </c>
      <c r="D18" s="262" t="s">
        <v>152</v>
      </c>
      <c r="E18" s="169" t="s">
        <v>27</v>
      </c>
      <c r="F18" s="169"/>
      <c r="G18" s="183"/>
      <c r="H18" s="184">
        <v>0</v>
      </c>
      <c r="I18" s="215">
        <f t="shared" si="0"/>
        <v>29</v>
      </c>
      <c r="J18" s="184">
        <v>0</v>
      </c>
      <c r="K18" s="185"/>
      <c r="L18" s="361">
        <v>14</v>
      </c>
      <c r="M18" s="219"/>
      <c r="N18" s="96"/>
      <c r="O18" s="59"/>
      <c r="P18" s="59"/>
      <c r="Q18" s="59"/>
      <c r="R18" s="59"/>
      <c r="S18" s="44"/>
      <c r="T18" s="59"/>
      <c r="U18" s="59"/>
      <c r="V18" s="362"/>
      <c r="W18" s="219"/>
      <c r="X18" s="96"/>
      <c r="Y18" s="59"/>
      <c r="Z18" s="59"/>
      <c r="AA18" s="59"/>
      <c r="AB18" s="59"/>
      <c r="AC18" s="44"/>
      <c r="AD18" s="59"/>
      <c r="AE18" s="59"/>
      <c r="AF18" s="363"/>
      <c r="AG18" s="219"/>
      <c r="AH18" s="96"/>
      <c r="AI18" s="59"/>
      <c r="AJ18" s="59"/>
      <c r="AK18" s="59"/>
      <c r="AL18" s="59"/>
      <c r="AM18" s="44"/>
      <c r="AN18" s="59"/>
      <c r="AO18" s="59"/>
      <c r="AP18" s="364"/>
      <c r="AQ18" s="219"/>
      <c r="AR18" s="96"/>
      <c r="AS18" s="59"/>
      <c r="AT18" s="59"/>
      <c r="AU18" s="59"/>
      <c r="AV18" s="59"/>
      <c r="AW18" s="44"/>
      <c r="AX18" s="59"/>
      <c r="AY18" s="59"/>
      <c r="AZ18" s="365">
        <v>15</v>
      </c>
      <c r="BA18" s="219"/>
      <c r="BB18" s="96"/>
      <c r="BC18" s="59"/>
      <c r="BD18" s="59"/>
      <c r="BE18" s="59"/>
      <c r="BF18" s="59"/>
      <c r="BG18" s="44"/>
      <c r="BH18" s="59"/>
      <c r="BI18" s="59"/>
      <c r="BJ18" s="366"/>
      <c r="BK18" s="219"/>
      <c r="BL18" s="96"/>
      <c r="BM18" s="59"/>
      <c r="BN18" s="59"/>
      <c r="BO18" s="59"/>
      <c r="BP18" s="59"/>
      <c r="BQ18" s="44"/>
      <c r="BR18" s="59"/>
      <c r="BS18" s="59"/>
      <c r="BT18" s="216"/>
      <c r="BU18" s="21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 hidden="1">
      <c r="A19" s="168">
        <v>2</v>
      </c>
      <c r="B19" s="170"/>
      <c r="C19" s="301">
        <v>1113090</v>
      </c>
      <c r="D19" s="302" t="s">
        <v>406</v>
      </c>
      <c r="E19" s="217" t="s">
        <v>42</v>
      </c>
      <c r="F19" s="169"/>
      <c r="G19" s="183"/>
      <c r="H19" s="184">
        <v>0</v>
      </c>
      <c r="I19" s="215">
        <f t="shared" si="0"/>
        <v>7075</v>
      </c>
      <c r="J19" s="184">
        <v>0</v>
      </c>
      <c r="K19" s="299"/>
      <c r="L19" s="252">
        <v>1277</v>
      </c>
      <c r="M19" s="219"/>
      <c r="N19" s="96"/>
      <c r="O19" s="59"/>
      <c r="P19" s="59"/>
      <c r="Q19" s="59"/>
      <c r="R19" s="59"/>
      <c r="S19" s="106"/>
      <c r="T19" s="59"/>
      <c r="U19" s="218"/>
      <c r="V19" s="202">
        <v>2148</v>
      </c>
      <c r="W19" s="219"/>
      <c r="X19" s="96"/>
      <c r="Y19" s="59"/>
      <c r="Z19" s="59"/>
      <c r="AA19" s="59"/>
      <c r="AB19" s="59"/>
      <c r="AC19" s="44"/>
      <c r="AD19" s="59"/>
      <c r="AE19" s="218"/>
      <c r="AF19" s="224">
        <v>847</v>
      </c>
      <c r="AG19" s="219"/>
      <c r="AH19" s="96"/>
      <c r="AI19" s="59"/>
      <c r="AJ19" s="59"/>
      <c r="AK19" s="59"/>
      <c r="AL19" s="59"/>
      <c r="AM19" s="106"/>
      <c r="AN19" s="59"/>
      <c r="AO19" s="218"/>
      <c r="AP19" s="257">
        <v>1036</v>
      </c>
      <c r="AQ19" s="219"/>
      <c r="AR19" s="96"/>
      <c r="AS19" s="59"/>
      <c r="AT19" s="59"/>
      <c r="AU19" s="59"/>
      <c r="AV19" s="59"/>
      <c r="AW19" s="44"/>
      <c r="AX19" s="59"/>
      <c r="AY19" s="218"/>
      <c r="AZ19" s="203">
        <v>667</v>
      </c>
      <c r="BA19" s="219"/>
      <c r="BB19" s="96"/>
      <c r="BC19" s="59"/>
      <c r="BD19" s="59"/>
      <c r="BE19" s="59"/>
      <c r="BF19" s="59"/>
      <c r="BG19" s="106"/>
      <c r="BH19" s="59"/>
      <c r="BI19" s="218"/>
      <c r="BJ19" s="261">
        <v>1100</v>
      </c>
      <c r="BK19" s="219"/>
      <c r="BL19" s="96"/>
      <c r="BM19" s="59"/>
      <c r="BN19" s="59"/>
      <c r="BO19" s="59"/>
      <c r="BP19" s="59"/>
      <c r="BQ19" s="44"/>
      <c r="BR19" s="59"/>
      <c r="BS19" s="218"/>
      <c r="BT19" s="204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hidden="1" customHeight="1">
      <c r="A20" s="168">
        <v>1</v>
      </c>
      <c r="B20" s="170"/>
      <c r="C20" s="369">
        <v>1113087</v>
      </c>
      <c r="D20" s="370" t="s">
        <v>169</v>
      </c>
      <c r="E20" s="217" t="s">
        <v>170</v>
      </c>
      <c r="F20" s="169"/>
      <c r="G20" s="183"/>
      <c r="H20" s="184">
        <v>0</v>
      </c>
      <c r="I20" s="215">
        <f t="shared" si="0"/>
        <v>5235</v>
      </c>
      <c r="J20" s="184">
        <v>0</v>
      </c>
      <c r="K20" s="299"/>
      <c r="L20" s="252">
        <v>1130</v>
      </c>
      <c r="M20" s="219"/>
      <c r="N20" s="96"/>
      <c r="O20" s="59"/>
      <c r="P20" s="59"/>
      <c r="Q20" s="59"/>
      <c r="R20" s="59"/>
      <c r="S20" s="106"/>
      <c r="T20" s="59"/>
      <c r="U20" s="218"/>
      <c r="V20" s="202">
        <v>1273</v>
      </c>
      <c r="W20" s="219"/>
      <c r="X20" s="96"/>
      <c r="Y20" s="59"/>
      <c r="Z20" s="59"/>
      <c r="AA20" s="59"/>
      <c r="AB20" s="59"/>
      <c r="AC20" s="44"/>
      <c r="AD20" s="59"/>
      <c r="AE20" s="218"/>
      <c r="AF20" s="224">
        <v>483</v>
      </c>
      <c r="AG20" s="219"/>
      <c r="AH20" s="96"/>
      <c r="AI20" s="59"/>
      <c r="AJ20" s="59"/>
      <c r="AK20" s="59"/>
      <c r="AL20" s="59"/>
      <c r="AM20" s="106"/>
      <c r="AN20" s="59"/>
      <c r="AO20" s="218"/>
      <c r="AP20" s="257">
        <v>924</v>
      </c>
      <c r="AQ20" s="219"/>
      <c r="AR20" s="96"/>
      <c r="AS20" s="59"/>
      <c r="AT20" s="59"/>
      <c r="AU20" s="59"/>
      <c r="AV20" s="59"/>
      <c r="AW20" s="44"/>
      <c r="AX20" s="59"/>
      <c r="AY20" s="218"/>
      <c r="AZ20" s="203">
        <v>525</v>
      </c>
      <c r="BA20" s="219"/>
      <c r="BB20" s="96"/>
      <c r="BC20" s="59"/>
      <c r="BD20" s="59"/>
      <c r="BE20" s="59"/>
      <c r="BF20" s="59"/>
      <c r="BG20" s="106"/>
      <c r="BH20" s="59"/>
      <c r="BI20" s="218"/>
      <c r="BJ20" s="261">
        <v>900</v>
      </c>
      <c r="BK20" s="219"/>
      <c r="BL20" s="96"/>
      <c r="BM20" s="59"/>
      <c r="BN20" s="59"/>
      <c r="BO20" s="59"/>
      <c r="BP20" s="59"/>
      <c r="BQ20" s="44"/>
      <c r="BR20" s="59"/>
      <c r="BS20" s="218"/>
      <c r="BT20" s="204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>
      <c r="A21" s="317">
        <v>1</v>
      </c>
      <c r="B21" s="320"/>
      <c r="C21" s="326">
        <v>20039044</v>
      </c>
      <c r="D21" s="331" t="s">
        <v>419</v>
      </c>
      <c r="E21" s="326" t="s">
        <v>69</v>
      </c>
      <c r="F21" s="326"/>
      <c r="G21" s="465"/>
      <c r="H21" s="327">
        <v>0</v>
      </c>
      <c r="I21" s="328">
        <f t="shared" si="0"/>
        <v>10500</v>
      </c>
      <c r="J21" s="327">
        <v>0</v>
      </c>
      <c r="K21" s="466"/>
      <c r="L21" s="347">
        <v>1300</v>
      </c>
      <c r="M21" s="219"/>
      <c r="N21" s="96"/>
      <c r="O21" s="59"/>
      <c r="P21" s="59"/>
      <c r="Q21" s="59"/>
      <c r="R21" s="105"/>
      <c r="S21" s="106"/>
      <c r="T21" s="59"/>
      <c r="U21" s="218"/>
      <c r="V21" s="348">
        <v>1300</v>
      </c>
      <c r="W21" s="219"/>
      <c r="X21" s="96"/>
      <c r="Y21" s="59"/>
      <c r="Z21" s="59"/>
      <c r="AA21" s="59"/>
      <c r="AB21" s="105"/>
      <c r="AC21" s="106"/>
      <c r="AD21" s="59"/>
      <c r="AE21" s="218"/>
      <c r="AF21" s="349">
        <v>1700</v>
      </c>
      <c r="AG21" s="354"/>
      <c r="AH21" s="96"/>
      <c r="AI21" s="59"/>
      <c r="AJ21" s="59"/>
      <c r="AK21" s="59"/>
      <c r="AL21" s="105"/>
      <c r="AM21" s="106"/>
      <c r="AN21" s="59"/>
      <c r="AO21" s="218"/>
      <c r="AP21" s="350">
        <v>1800</v>
      </c>
      <c r="AQ21" s="219"/>
      <c r="AR21" s="96"/>
      <c r="AS21" s="59"/>
      <c r="AT21" s="59"/>
      <c r="AU21" s="59"/>
      <c r="AV21" s="105"/>
      <c r="AW21" s="106"/>
      <c r="AX21" s="59"/>
      <c r="AY21" s="218"/>
      <c r="AZ21" s="337">
        <v>1500</v>
      </c>
      <c r="BA21" s="219"/>
      <c r="BB21" s="96"/>
      <c r="BC21" s="59"/>
      <c r="BD21" s="59"/>
      <c r="BE21" s="59"/>
      <c r="BF21" s="105"/>
      <c r="BG21" s="106"/>
      <c r="BH21" s="105"/>
      <c r="BI21" s="218"/>
      <c r="BJ21" s="339">
        <v>1500</v>
      </c>
      <c r="BK21" s="219"/>
      <c r="BL21" s="96"/>
      <c r="BM21" s="59"/>
      <c r="BN21" s="59"/>
      <c r="BO21" s="59"/>
      <c r="BP21" s="105"/>
      <c r="BQ21" s="106"/>
      <c r="BR21" s="59"/>
      <c r="BS21" s="218"/>
      <c r="BT21" s="341">
        <v>1400</v>
      </c>
      <c r="BU21" s="219"/>
      <c r="BV21" s="96">
        <f t="shared" si="1"/>
        <v>1400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1400</v>
      </c>
      <c r="CB21" s="59">
        <v>0</v>
      </c>
    </row>
    <row r="22" spans="1:80" s="42" customFormat="1" ht="26.25" hidden="1">
      <c r="A22" s="168">
        <v>13</v>
      </c>
      <c r="B22" s="170"/>
      <c r="C22" s="169">
        <v>1113056</v>
      </c>
      <c r="D22" s="262" t="s">
        <v>181</v>
      </c>
      <c r="E22" s="169" t="s">
        <v>27</v>
      </c>
      <c r="F22" s="169"/>
      <c r="G22" s="183"/>
      <c r="H22" s="184">
        <v>0</v>
      </c>
      <c r="I22" s="215">
        <f t="shared" si="0"/>
        <v>0</v>
      </c>
      <c r="J22" s="184">
        <v>0</v>
      </c>
      <c r="K22" s="185"/>
      <c r="L22" s="361"/>
      <c r="M22" s="219"/>
      <c r="N22" s="96"/>
      <c r="O22" s="59"/>
      <c r="P22" s="59"/>
      <c r="Q22" s="59"/>
      <c r="R22" s="59"/>
      <c r="S22" s="44"/>
      <c r="T22" s="59"/>
      <c r="U22" s="59"/>
      <c r="V22" s="362"/>
      <c r="W22" s="219"/>
      <c r="X22" s="96"/>
      <c r="Y22" s="59"/>
      <c r="Z22" s="59"/>
      <c r="AA22" s="59"/>
      <c r="AB22" s="59"/>
      <c r="AC22" s="44"/>
      <c r="AD22" s="59"/>
      <c r="AE22" s="59"/>
      <c r="AF22" s="363"/>
      <c r="AG22" s="219"/>
      <c r="AH22" s="96"/>
      <c r="AI22" s="59"/>
      <c r="AJ22" s="59"/>
      <c r="AK22" s="59"/>
      <c r="AL22" s="59"/>
      <c r="AM22" s="44"/>
      <c r="AN22" s="59"/>
      <c r="AO22" s="59"/>
      <c r="AP22" s="364"/>
      <c r="AQ22" s="219"/>
      <c r="AR22" s="96"/>
      <c r="AS22" s="59"/>
      <c r="AT22" s="59"/>
      <c r="AU22" s="59"/>
      <c r="AV22" s="59"/>
      <c r="AW22" s="44"/>
      <c r="AX22" s="59"/>
      <c r="AY22" s="59"/>
      <c r="AZ22" s="365"/>
      <c r="BA22" s="219"/>
      <c r="BB22" s="96"/>
      <c r="BC22" s="59"/>
      <c r="BD22" s="59"/>
      <c r="BE22" s="59"/>
      <c r="BF22" s="59"/>
      <c r="BG22" s="44"/>
      <c r="BH22" s="59"/>
      <c r="BI22" s="59"/>
      <c r="BJ22" s="366"/>
      <c r="BK22" s="219"/>
      <c r="BL22" s="96"/>
      <c r="BM22" s="59"/>
      <c r="BN22" s="59"/>
      <c r="BO22" s="59"/>
      <c r="BP22" s="59"/>
      <c r="BQ22" s="44"/>
      <c r="BR22" s="59"/>
      <c r="BS22" s="59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168">
        <v>14</v>
      </c>
      <c r="B23" s="170"/>
      <c r="C23" s="169">
        <v>1113059</v>
      </c>
      <c r="D23" s="262" t="s">
        <v>182</v>
      </c>
      <c r="E23" s="169" t="s">
        <v>27</v>
      </c>
      <c r="F23" s="169"/>
      <c r="G23" s="183"/>
      <c r="H23" s="184">
        <v>0</v>
      </c>
      <c r="I23" s="215">
        <f t="shared" si="0"/>
        <v>0</v>
      </c>
      <c r="J23" s="184">
        <v>0</v>
      </c>
      <c r="K23" s="185"/>
      <c r="L23" s="367"/>
      <c r="M23" s="219"/>
      <c r="N23" s="96"/>
      <c r="O23" s="59"/>
      <c r="P23" s="59"/>
      <c r="Q23" s="59"/>
      <c r="R23" s="59"/>
      <c r="S23" s="44"/>
      <c r="T23" s="59"/>
      <c r="U23" s="59"/>
      <c r="V23" s="362"/>
      <c r="W23" s="219"/>
      <c r="X23" s="96"/>
      <c r="Y23" s="59"/>
      <c r="Z23" s="59"/>
      <c r="AA23" s="59"/>
      <c r="AB23" s="59"/>
      <c r="AC23" s="44"/>
      <c r="AD23" s="59"/>
      <c r="AE23" s="59"/>
      <c r="AF23" s="363"/>
      <c r="AG23" s="219"/>
      <c r="AH23" s="96"/>
      <c r="AI23" s="59"/>
      <c r="AJ23" s="59"/>
      <c r="AK23" s="59"/>
      <c r="AL23" s="59"/>
      <c r="AM23" s="44"/>
      <c r="AN23" s="59"/>
      <c r="AO23" s="59"/>
      <c r="AP23" s="364"/>
      <c r="AQ23" s="219"/>
      <c r="AR23" s="96"/>
      <c r="AS23" s="59"/>
      <c r="AT23" s="59"/>
      <c r="AU23" s="59"/>
      <c r="AV23" s="59"/>
      <c r="AW23" s="44"/>
      <c r="AX23" s="59"/>
      <c r="AY23" s="59"/>
      <c r="AZ23" s="368"/>
      <c r="BA23" s="219"/>
      <c r="BB23" s="96"/>
      <c r="BC23" s="59"/>
      <c r="BD23" s="59"/>
      <c r="BE23" s="59"/>
      <c r="BF23" s="59"/>
      <c r="BG23" s="44"/>
      <c r="BH23" s="59"/>
      <c r="BI23" s="59"/>
      <c r="BJ23" s="366"/>
      <c r="BK23" s="219"/>
      <c r="BL23" s="96"/>
      <c r="BM23" s="59"/>
      <c r="BN23" s="59"/>
      <c r="BO23" s="59"/>
      <c r="BP23" s="59"/>
      <c r="BQ23" s="44"/>
      <c r="BR23" s="59"/>
      <c r="BS23" s="59"/>
      <c r="BT23" s="216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15</v>
      </c>
      <c r="B24" s="170"/>
      <c r="C24" s="169">
        <v>1005977</v>
      </c>
      <c r="D24" s="262" t="s">
        <v>189</v>
      </c>
      <c r="E24" s="169" t="s">
        <v>27</v>
      </c>
      <c r="F24" s="169"/>
      <c r="G24" s="183"/>
      <c r="H24" s="184">
        <v>0</v>
      </c>
      <c r="I24" s="215">
        <f t="shared" si="0"/>
        <v>0</v>
      </c>
      <c r="J24" s="184">
        <v>0</v>
      </c>
      <c r="K24" s="185"/>
      <c r="L24" s="361"/>
      <c r="M24" s="219"/>
      <c r="N24" s="96"/>
      <c r="O24" s="59"/>
      <c r="P24" s="59"/>
      <c r="Q24" s="59"/>
      <c r="R24" s="59"/>
      <c r="S24" s="44"/>
      <c r="T24" s="59"/>
      <c r="U24" s="59"/>
      <c r="V24" s="362"/>
      <c r="W24" s="219"/>
      <c r="X24" s="96"/>
      <c r="Y24" s="59"/>
      <c r="Z24" s="59"/>
      <c r="AA24" s="59"/>
      <c r="AB24" s="59"/>
      <c r="AC24" s="44"/>
      <c r="AD24" s="59"/>
      <c r="AE24" s="59"/>
      <c r="AF24" s="363"/>
      <c r="AG24" s="219"/>
      <c r="AH24" s="96"/>
      <c r="AI24" s="59"/>
      <c r="AJ24" s="59"/>
      <c r="AK24" s="59"/>
      <c r="AL24" s="59"/>
      <c r="AM24" s="44"/>
      <c r="AN24" s="59"/>
      <c r="AO24" s="59"/>
      <c r="AP24" s="364"/>
      <c r="AQ24" s="219"/>
      <c r="AR24" s="96"/>
      <c r="AS24" s="59"/>
      <c r="AT24" s="59"/>
      <c r="AU24" s="59"/>
      <c r="AV24" s="59"/>
      <c r="AW24" s="44"/>
      <c r="AX24" s="59"/>
      <c r="AY24" s="59"/>
      <c r="AZ24" s="365"/>
      <c r="BA24" s="219"/>
      <c r="BB24" s="96"/>
      <c r="BC24" s="59"/>
      <c r="BD24" s="59"/>
      <c r="BE24" s="59"/>
      <c r="BF24" s="59"/>
      <c r="BG24" s="44"/>
      <c r="BH24" s="59"/>
      <c r="BI24" s="59"/>
      <c r="BJ24" s="366"/>
      <c r="BK24" s="219"/>
      <c r="BL24" s="96"/>
      <c r="BM24" s="59"/>
      <c r="BN24" s="59"/>
      <c r="BO24" s="59"/>
      <c r="BP24" s="59"/>
      <c r="BQ24" s="44"/>
      <c r="BR24" s="59"/>
      <c r="BS24" s="59"/>
      <c r="BT24" s="21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8">
        <v>16</v>
      </c>
      <c r="B25" s="170"/>
      <c r="C25" s="301">
        <v>1113088</v>
      </c>
      <c r="D25" s="302" t="s">
        <v>407</v>
      </c>
      <c r="E25" s="301" t="s">
        <v>27</v>
      </c>
      <c r="F25" s="301"/>
      <c r="G25" s="521"/>
      <c r="H25" s="184">
        <v>0</v>
      </c>
      <c r="I25" s="215">
        <f t="shared" si="0"/>
        <v>37</v>
      </c>
      <c r="J25" s="184">
        <v>0</v>
      </c>
      <c r="K25" s="185"/>
      <c r="L25" s="201">
        <v>17</v>
      </c>
      <c r="M25" s="219"/>
      <c r="N25" s="96"/>
      <c r="O25" s="59"/>
      <c r="P25" s="59"/>
      <c r="Q25" s="59"/>
      <c r="R25" s="59"/>
      <c r="S25" s="44"/>
      <c r="T25" s="59"/>
      <c r="U25" s="218"/>
      <c r="V25" s="202"/>
      <c r="W25" s="219"/>
      <c r="X25" s="96"/>
      <c r="Y25" s="59"/>
      <c r="Z25" s="59"/>
      <c r="AA25" s="59"/>
      <c r="AB25" s="59"/>
      <c r="AC25" s="44"/>
      <c r="AD25" s="59"/>
      <c r="AE25" s="218"/>
      <c r="AF25" s="248"/>
      <c r="AG25" s="219"/>
      <c r="AH25" s="96"/>
      <c r="AI25" s="59"/>
      <c r="AJ25" s="59"/>
      <c r="AK25" s="59"/>
      <c r="AL25" s="59"/>
      <c r="AM25" s="44"/>
      <c r="AN25" s="59"/>
      <c r="AO25" s="218"/>
      <c r="AP25" s="257"/>
      <c r="AQ25" s="219"/>
      <c r="AR25" s="96"/>
      <c r="AS25" s="59"/>
      <c r="AT25" s="59"/>
      <c r="AU25" s="59"/>
      <c r="AV25" s="59"/>
      <c r="AW25" s="44"/>
      <c r="AX25" s="59"/>
      <c r="AY25" s="218"/>
      <c r="AZ25" s="259">
        <v>20</v>
      </c>
      <c r="BA25" s="219"/>
      <c r="BB25" s="96"/>
      <c r="BC25" s="59"/>
      <c r="BD25" s="59"/>
      <c r="BE25" s="59"/>
      <c r="BF25" s="59"/>
      <c r="BG25" s="44"/>
      <c r="BH25" s="59"/>
      <c r="BI25" s="218"/>
      <c r="BJ25" s="366"/>
      <c r="BK25" s="219"/>
      <c r="BL25" s="96"/>
      <c r="BM25" s="59"/>
      <c r="BN25" s="59"/>
      <c r="BO25" s="59"/>
      <c r="BP25" s="59"/>
      <c r="BQ25" s="44"/>
      <c r="BR25" s="59"/>
      <c r="BS25" s="218"/>
      <c r="BT25" s="216"/>
      <c r="BU25" s="21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 hidden="1">
      <c r="A26" s="168">
        <v>4</v>
      </c>
      <c r="B26" s="170"/>
      <c r="C26" s="301">
        <v>1113089</v>
      </c>
      <c r="D26" s="302" t="s">
        <v>195</v>
      </c>
      <c r="E26" s="217" t="s">
        <v>42</v>
      </c>
      <c r="F26" s="169"/>
      <c r="G26" s="183"/>
      <c r="H26" s="184">
        <v>0</v>
      </c>
      <c r="I26" s="215">
        <f t="shared" si="0"/>
        <v>5445</v>
      </c>
      <c r="J26" s="184">
        <v>0</v>
      </c>
      <c r="K26" s="299"/>
      <c r="L26" s="252">
        <v>1144</v>
      </c>
      <c r="M26" s="219"/>
      <c r="N26" s="96"/>
      <c r="O26" s="59"/>
      <c r="P26" s="59"/>
      <c r="Q26" s="59"/>
      <c r="R26" s="59"/>
      <c r="S26" s="106"/>
      <c r="T26" s="59"/>
      <c r="U26" s="218"/>
      <c r="V26" s="202">
        <v>889</v>
      </c>
      <c r="W26" s="219"/>
      <c r="X26" s="96"/>
      <c r="Y26" s="59"/>
      <c r="Z26" s="59"/>
      <c r="AA26" s="59"/>
      <c r="AB26" s="59"/>
      <c r="AC26" s="44"/>
      <c r="AD26" s="59"/>
      <c r="AE26" s="218"/>
      <c r="AF26" s="224">
        <v>760</v>
      </c>
      <c r="AG26" s="219"/>
      <c r="AH26" s="96"/>
      <c r="AI26" s="59"/>
      <c r="AJ26" s="59"/>
      <c r="AK26" s="59"/>
      <c r="AL26" s="59"/>
      <c r="AM26" s="106"/>
      <c r="AN26" s="59"/>
      <c r="AO26" s="218"/>
      <c r="AP26" s="257">
        <v>804</v>
      </c>
      <c r="AQ26" s="219"/>
      <c r="AR26" s="96"/>
      <c r="AS26" s="59"/>
      <c r="AT26" s="59"/>
      <c r="AU26" s="59"/>
      <c r="AV26" s="59"/>
      <c r="AW26" s="44"/>
      <c r="AX26" s="59"/>
      <c r="AY26" s="218"/>
      <c r="AZ26" s="203">
        <v>848</v>
      </c>
      <c r="BA26" s="219"/>
      <c r="BB26" s="96"/>
      <c r="BC26" s="59"/>
      <c r="BD26" s="59"/>
      <c r="BE26" s="59"/>
      <c r="BF26" s="59"/>
      <c r="BG26" s="106"/>
      <c r="BH26" s="59"/>
      <c r="BI26" s="218"/>
      <c r="BJ26" s="261">
        <v>1000</v>
      </c>
      <c r="BK26" s="219"/>
      <c r="BL26" s="96"/>
      <c r="BM26" s="59"/>
      <c r="BN26" s="59"/>
      <c r="BO26" s="59"/>
      <c r="BP26" s="59"/>
      <c r="BQ26" s="44"/>
      <c r="BR26" s="59"/>
      <c r="BS26" s="218"/>
      <c r="BT26" s="204"/>
      <c r="BU26" s="219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 customHeight="1">
      <c r="A27" s="358">
        <v>17</v>
      </c>
      <c r="B27" s="245"/>
      <c r="C27" s="532">
        <v>1113093</v>
      </c>
      <c r="D27" s="533" t="s">
        <v>196</v>
      </c>
      <c r="E27" s="524" t="s">
        <v>27</v>
      </c>
      <c r="F27" s="496"/>
      <c r="G27" s="534"/>
      <c r="H27" s="230">
        <v>0</v>
      </c>
      <c r="I27" s="254">
        <f t="shared" si="0"/>
        <v>30</v>
      </c>
      <c r="J27" s="230">
        <v>0</v>
      </c>
      <c r="K27" s="395"/>
      <c r="L27" s="308">
        <v>15</v>
      </c>
      <c r="M27" s="219"/>
      <c r="N27" s="96"/>
      <c r="O27" s="59"/>
      <c r="P27" s="59"/>
      <c r="Q27" s="59"/>
      <c r="R27" s="105"/>
      <c r="S27" s="106"/>
      <c r="T27" s="59"/>
      <c r="U27" s="218"/>
      <c r="V27" s="396"/>
      <c r="W27" s="219"/>
      <c r="X27" s="96"/>
      <c r="Y27" s="59"/>
      <c r="Z27" s="59"/>
      <c r="AA27" s="59"/>
      <c r="AB27" s="105"/>
      <c r="AC27" s="44"/>
      <c r="AD27" s="59"/>
      <c r="AE27" s="218"/>
      <c r="AF27" s="397"/>
      <c r="AG27" s="354"/>
      <c r="AH27" s="96"/>
      <c r="AI27" s="59"/>
      <c r="AJ27" s="59"/>
      <c r="AK27" s="59"/>
      <c r="AL27" s="105"/>
      <c r="AM27" s="44"/>
      <c r="AN27" s="59"/>
      <c r="AO27" s="218"/>
      <c r="AP27" s="398"/>
      <c r="AQ27" s="219"/>
      <c r="AR27" s="96"/>
      <c r="AS27" s="59"/>
      <c r="AT27" s="59"/>
      <c r="AU27" s="59"/>
      <c r="AV27" s="105"/>
      <c r="AW27" s="44"/>
      <c r="AX27" s="59"/>
      <c r="AY27" s="218"/>
      <c r="AZ27" s="399">
        <v>15</v>
      </c>
      <c r="BA27" s="219"/>
      <c r="BB27" s="96"/>
      <c r="BC27" s="59"/>
      <c r="BD27" s="59"/>
      <c r="BE27" s="59"/>
      <c r="BF27" s="105"/>
      <c r="BG27" s="44"/>
      <c r="BH27" s="105"/>
      <c r="BI27" s="218"/>
      <c r="BJ27" s="400"/>
      <c r="BK27" s="219"/>
      <c r="BL27" s="96"/>
      <c r="BM27" s="59"/>
      <c r="BN27" s="59"/>
      <c r="BO27" s="59"/>
      <c r="BP27" s="105"/>
      <c r="BQ27" s="44"/>
      <c r="BR27" s="59"/>
      <c r="BS27" s="218"/>
      <c r="BT27" s="438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7" customHeight="1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10875</v>
      </c>
      <c r="J28" s="327">
        <v>0</v>
      </c>
      <c r="K28" s="466"/>
      <c r="L28" s="347">
        <v>1260</v>
      </c>
      <c r="M28" s="219"/>
      <c r="N28" s="96"/>
      <c r="O28" s="59"/>
      <c r="P28" s="59"/>
      <c r="Q28" s="59"/>
      <c r="R28" s="59"/>
      <c r="S28" s="106"/>
      <c r="T28" s="59"/>
      <c r="U28" s="218"/>
      <c r="V28" s="348">
        <v>1215</v>
      </c>
      <c r="W28" s="219"/>
      <c r="X28" s="96"/>
      <c r="Y28" s="59"/>
      <c r="Z28" s="59"/>
      <c r="AA28" s="59"/>
      <c r="AB28" s="59"/>
      <c r="AC28" s="106"/>
      <c r="AD28" s="59"/>
      <c r="AE28" s="218"/>
      <c r="AF28" s="349">
        <v>1800</v>
      </c>
      <c r="AG28" s="219"/>
      <c r="AH28" s="96"/>
      <c r="AI28" s="59"/>
      <c r="AJ28" s="59"/>
      <c r="AK28" s="59"/>
      <c r="AL28" s="59"/>
      <c r="AM28" s="106"/>
      <c r="AN28" s="59"/>
      <c r="AO28" s="218"/>
      <c r="AP28" s="350">
        <v>1700</v>
      </c>
      <c r="AQ28" s="219"/>
      <c r="AR28" s="96"/>
      <c r="AS28" s="59"/>
      <c r="AT28" s="59"/>
      <c r="AU28" s="59"/>
      <c r="AV28" s="59"/>
      <c r="AW28" s="106"/>
      <c r="AX28" s="59"/>
      <c r="AY28" s="218"/>
      <c r="AZ28" s="337">
        <v>1700</v>
      </c>
      <c r="BA28" s="219"/>
      <c r="BB28" s="96"/>
      <c r="BC28" s="59"/>
      <c r="BD28" s="59"/>
      <c r="BE28" s="59"/>
      <c r="BF28" s="59"/>
      <c r="BG28" s="106"/>
      <c r="BH28" s="59"/>
      <c r="BI28" s="218"/>
      <c r="BJ28" s="339">
        <v>1700</v>
      </c>
      <c r="BK28" s="219"/>
      <c r="BL28" s="96"/>
      <c r="BM28" s="59"/>
      <c r="BN28" s="59"/>
      <c r="BO28" s="59"/>
      <c r="BP28" s="59"/>
      <c r="BQ28" s="106"/>
      <c r="BR28" s="59"/>
      <c r="BS28" s="218"/>
      <c r="BT28" s="341">
        <v>1500</v>
      </c>
      <c r="BU28" s="219"/>
      <c r="BV28" s="96">
        <f t="shared" si="1"/>
        <v>1500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1500</v>
      </c>
      <c r="CB28" s="59">
        <v>0</v>
      </c>
    </row>
    <row r="29" spans="1:80" ht="27" hidden="1" customHeight="1">
      <c r="A29" s="317">
        <v>18</v>
      </c>
      <c r="B29" s="320"/>
      <c r="C29" s="326">
        <v>1113087</v>
      </c>
      <c r="D29" s="331" t="s">
        <v>410</v>
      </c>
      <c r="E29" s="464" t="s">
        <v>27</v>
      </c>
      <c r="F29" s="326"/>
      <c r="G29" s="465"/>
      <c r="H29" s="327"/>
      <c r="I29" s="328"/>
      <c r="J29" s="327"/>
      <c r="K29" s="466"/>
      <c r="L29" s="347">
        <v>8</v>
      </c>
      <c r="M29" s="219"/>
      <c r="N29" s="96"/>
      <c r="O29" s="59"/>
      <c r="P29" s="59"/>
      <c r="Q29" s="59"/>
      <c r="R29" s="59"/>
      <c r="S29" s="106"/>
      <c r="T29" s="59"/>
      <c r="U29" s="218"/>
      <c r="V29" s="348"/>
      <c r="W29" s="219"/>
      <c r="X29" s="96"/>
      <c r="Y29" s="59"/>
      <c r="Z29" s="59"/>
      <c r="AA29" s="59"/>
      <c r="AB29" s="59"/>
      <c r="AC29" s="106"/>
      <c r="AD29" s="59"/>
      <c r="AE29" s="218"/>
      <c r="AF29" s="349"/>
      <c r="AG29" s="219"/>
      <c r="AH29" s="96"/>
      <c r="AI29" s="59"/>
      <c r="AJ29" s="59"/>
      <c r="AK29" s="59"/>
      <c r="AL29" s="59"/>
      <c r="AM29" s="106"/>
      <c r="AN29" s="59"/>
      <c r="AO29" s="218"/>
      <c r="AP29" s="350"/>
      <c r="AQ29" s="219"/>
      <c r="AR29" s="96"/>
      <c r="AS29" s="59"/>
      <c r="AT29" s="59"/>
      <c r="AU29" s="59"/>
      <c r="AV29" s="59"/>
      <c r="AW29" s="106"/>
      <c r="AX29" s="59"/>
      <c r="AY29" s="218"/>
      <c r="AZ29" s="337">
        <v>10</v>
      </c>
      <c r="BA29" s="219"/>
      <c r="BB29" s="96"/>
      <c r="BC29" s="59"/>
      <c r="BD29" s="59"/>
      <c r="BE29" s="59"/>
      <c r="BF29" s="59"/>
      <c r="BG29" s="106"/>
      <c r="BH29" s="59"/>
      <c r="BI29" s="218"/>
      <c r="BJ29" s="339"/>
      <c r="BK29" s="219"/>
      <c r="BL29" s="96"/>
      <c r="BM29" s="59"/>
      <c r="BN29" s="59"/>
      <c r="BO29" s="59"/>
      <c r="BP29" s="59"/>
      <c r="BQ29" s="106"/>
      <c r="BR29" s="59"/>
      <c r="BS29" s="218"/>
      <c r="BT29" s="351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19</v>
      </c>
      <c r="B30" s="170"/>
      <c r="C30" s="301">
        <v>1005982</v>
      </c>
      <c r="D30" s="302" t="s">
        <v>199</v>
      </c>
      <c r="E30" s="301" t="s">
        <v>27</v>
      </c>
      <c r="F30" s="301"/>
      <c r="G30" s="521"/>
      <c r="H30" s="184">
        <v>0</v>
      </c>
      <c r="I30" s="215">
        <f t="shared" si="0"/>
        <v>32</v>
      </c>
      <c r="J30" s="184">
        <v>0</v>
      </c>
      <c r="K30" s="185"/>
      <c r="L30" s="361">
        <v>17</v>
      </c>
      <c r="M30" s="219"/>
      <c r="N30" s="96"/>
      <c r="O30" s="59"/>
      <c r="P30" s="59"/>
      <c r="Q30" s="59"/>
      <c r="R30" s="59"/>
      <c r="S30" s="44"/>
      <c r="T30" s="59"/>
      <c r="U30" s="218"/>
      <c r="V30" s="362"/>
      <c r="W30" s="219"/>
      <c r="X30" s="96"/>
      <c r="Y30" s="59"/>
      <c r="Z30" s="59"/>
      <c r="AA30" s="59"/>
      <c r="AB30" s="59"/>
      <c r="AC30" s="44"/>
      <c r="AD30" s="59"/>
      <c r="AE30" s="218"/>
      <c r="AF30" s="363"/>
      <c r="AG30" s="219"/>
      <c r="AH30" s="96"/>
      <c r="AI30" s="59"/>
      <c r="AJ30" s="59"/>
      <c r="AK30" s="59"/>
      <c r="AL30" s="59"/>
      <c r="AM30" s="44"/>
      <c r="AN30" s="59"/>
      <c r="AO30" s="218"/>
      <c r="AP30" s="364"/>
      <c r="AQ30" s="219"/>
      <c r="AR30" s="96"/>
      <c r="AS30" s="59"/>
      <c r="AT30" s="59"/>
      <c r="AU30" s="59"/>
      <c r="AV30" s="59"/>
      <c r="AW30" s="44"/>
      <c r="AX30" s="59"/>
      <c r="AY30" s="218"/>
      <c r="AZ30" s="365">
        <v>15</v>
      </c>
      <c r="BA30" s="219"/>
      <c r="BB30" s="96"/>
      <c r="BC30" s="59"/>
      <c r="BD30" s="59"/>
      <c r="BE30" s="59"/>
      <c r="BF30" s="59"/>
      <c r="BG30" s="44"/>
      <c r="BH30" s="59"/>
      <c r="BI30" s="218"/>
      <c r="BJ30" s="366"/>
      <c r="BK30" s="219"/>
      <c r="BL30" s="96"/>
      <c r="BM30" s="59"/>
      <c r="BN30" s="59"/>
      <c r="BO30" s="59"/>
      <c r="BP30" s="59"/>
      <c r="BQ30" s="44"/>
      <c r="BR30" s="59"/>
      <c r="BS30" s="218"/>
      <c r="BT30" s="216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8">
        <v>5</v>
      </c>
      <c r="B31" s="170"/>
      <c r="C31" s="301">
        <v>1113086</v>
      </c>
      <c r="D31" s="302" t="s">
        <v>200</v>
      </c>
      <c r="E31" s="217" t="s">
        <v>42</v>
      </c>
      <c r="F31" s="169"/>
      <c r="G31" s="183"/>
      <c r="H31" s="184">
        <v>0</v>
      </c>
      <c r="I31" s="215">
        <f t="shared" si="0"/>
        <v>875</v>
      </c>
      <c r="J31" s="184">
        <v>0</v>
      </c>
      <c r="K31" s="299"/>
      <c r="L31" s="201">
        <v>145</v>
      </c>
      <c r="M31" s="219"/>
      <c r="N31" s="96"/>
      <c r="O31" s="59"/>
      <c r="P31" s="59"/>
      <c r="Q31" s="59"/>
      <c r="R31" s="59"/>
      <c r="S31" s="44"/>
      <c r="T31" s="59"/>
      <c r="U31" s="218"/>
      <c r="V31" s="202">
        <v>166</v>
      </c>
      <c r="W31" s="219"/>
      <c r="X31" s="96"/>
      <c r="Y31" s="59"/>
      <c r="Z31" s="59"/>
      <c r="AA31" s="59"/>
      <c r="AB31" s="59"/>
      <c r="AC31" s="44"/>
      <c r="AD31" s="59"/>
      <c r="AE31" s="218"/>
      <c r="AF31" s="248">
        <v>125</v>
      </c>
      <c r="AG31" s="219"/>
      <c r="AH31" s="96"/>
      <c r="AI31" s="59"/>
      <c r="AJ31" s="59"/>
      <c r="AK31" s="59"/>
      <c r="AL31" s="59"/>
      <c r="AM31" s="44"/>
      <c r="AN31" s="59"/>
      <c r="AO31" s="218"/>
      <c r="AP31" s="257">
        <v>123</v>
      </c>
      <c r="AQ31" s="219"/>
      <c r="AR31" s="96"/>
      <c r="AS31" s="59"/>
      <c r="AT31" s="59"/>
      <c r="AU31" s="59"/>
      <c r="AV31" s="59"/>
      <c r="AW31" s="44"/>
      <c r="AX31" s="59"/>
      <c r="AY31" s="218"/>
      <c r="AZ31" s="259">
        <v>166</v>
      </c>
      <c r="BA31" s="219"/>
      <c r="BB31" s="96"/>
      <c r="BC31" s="59"/>
      <c r="BD31" s="59"/>
      <c r="BE31" s="59"/>
      <c r="BF31" s="59"/>
      <c r="BG31" s="44"/>
      <c r="BH31" s="59"/>
      <c r="BI31" s="218"/>
      <c r="BJ31" s="261">
        <v>150</v>
      </c>
      <c r="BK31" s="219"/>
      <c r="BL31" s="96"/>
      <c r="BM31" s="59"/>
      <c r="BN31" s="59"/>
      <c r="BO31" s="59"/>
      <c r="BP31" s="59"/>
      <c r="BQ31" s="44"/>
      <c r="BR31" s="59"/>
      <c r="BS31" s="218"/>
      <c r="BT31" s="204"/>
      <c r="BU31" s="219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29.25" hidden="1" customHeight="1">
      <c r="A32" s="457">
        <v>1</v>
      </c>
      <c r="B32" s="329"/>
      <c r="C32" s="322">
        <v>1005985</v>
      </c>
      <c r="D32" s="523" t="s">
        <v>202</v>
      </c>
      <c r="E32" s="322" t="s">
        <v>203</v>
      </c>
      <c r="F32" s="322"/>
      <c r="G32" s="470"/>
      <c r="H32" s="471">
        <v>0</v>
      </c>
      <c r="I32" s="472">
        <f t="shared" si="0"/>
        <v>378</v>
      </c>
      <c r="J32" s="471">
        <v>0</v>
      </c>
      <c r="K32" s="535"/>
      <c r="L32" s="536"/>
      <c r="M32" s="219"/>
      <c r="N32" s="96"/>
      <c r="O32" s="59"/>
      <c r="P32" s="59"/>
      <c r="Q32" s="59"/>
      <c r="R32" s="59"/>
      <c r="S32" s="44"/>
      <c r="T32" s="59"/>
      <c r="U32" s="218"/>
      <c r="V32" s="537"/>
      <c r="W32" s="219"/>
      <c r="X32" s="96"/>
      <c r="Y32" s="59"/>
      <c r="Z32" s="59"/>
      <c r="AA32" s="59"/>
      <c r="AB32" s="59"/>
      <c r="AC32" s="44"/>
      <c r="AD32" s="59"/>
      <c r="AE32" s="218"/>
      <c r="AF32" s="538">
        <v>198</v>
      </c>
      <c r="AG32" s="219"/>
      <c r="AH32" s="96"/>
      <c r="AI32" s="59"/>
      <c r="AJ32" s="59"/>
      <c r="AK32" s="59"/>
      <c r="AL32" s="59"/>
      <c r="AM32" s="44"/>
      <c r="AN32" s="59"/>
      <c r="AO32" s="218"/>
      <c r="AP32" s="539"/>
      <c r="AQ32" s="219"/>
      <c r="AR32" s="96"/>
      <c r="AS32" s="59"/>
      <c r="AT32" s="59"/>
      <c r="AU32" s="59"/>
      <c r="AV32" s="59"/>
      <c r="AW32" s="44"/>
      <c r="AX32" s="59"/>
      <c r="AY32" s="218"/>
      <c r="AZ32" s="540">
        <v>180</v>
      </c>
      <c r="BA32" s="219"/>
      <c r="BB32" s="96"/>
      <c r="BC32" s="59"/>
      <c r="BD32" s="59"/>
      <c r="BE32" s="59"/>
      <c r="BF32" s="59"/>
      <c r="BG32" s="44"/>
      <c r="BH32" s="59"/>
      <c r="BI32" s="218"/>
      <c r="BJ32" s="541"/>
      <c r="BK32" s="219"/>
      <c r="BL32" s="96"/>
      <c r="BM32" s="59"/>
      <c r="BN32" s="59"/>
      <c r="BO32" s="59"/>
      <c r="BP32" s="59"/>
      <c r="BQ32" s="44"/>
      <c r="BR32" s="59"/>
      <c r="BS32" s="218"/>
      <c r="BT32" s="468"/>
      <c r="BU32" s="21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8.5" hidden="1" customHeight="1">
      <c r="A33" s="168">
        <v>2</v>
      </c>
      <c r="B33" s="170"/>
      <c r="C33" s="369">
        <v>1113088</v>
      </c>
      <c r="D33" s="370" t="s">
        <v>208</v>
      </c>
      <c r="E33" s="217" t="s">
        <v>170</v>
      </c>
      <c r="F33" s="169"/>
      <c r="G33" s="183"/>
      <c r="H33" s="184">
        <v>0</v>
      </c>
      <c r="I33" s="215">
        <f t="shared" si="0"/>
        <v>6080</v>
      </c>
      <c r="J33" s="184">
        <v>0</v>
      </c>
      <c r="K33" s="299"/>
      <c r="L33" s="252">
        <v>1260</v>
      </c>
      <c r="M33" s="219"/>
      <c r="N33" s="96"/>
      <c r="O33" s="59"/>
      <c r="P33" s="59"/>
      <c r="Q33" s="59"/>
      <c r="R33" s="59"/>
      <c r="S33" s="106"/>
      <c r="T33" s="59"/>
      <c r="U33" s="218"/>
      <c r="V33" s="223">
        <v>953</v>
      </c>
      <c r="W33" s="219"/>
      <c r="X33" s="96"/>
      <c r="Y33" s="59"/>
      <c r="Z33" s="59"/>
      <c r="AA33" s="59"/>
      <c r="AB33" s="59"/>
      <c r="AC33" s="44"/>
      <c r="AD33" s="59"/>
      <c r="AE33" s="218"/>
      <c r="AF33" s="224">
        <v>870</v>
      </c>
      <c r="AG33" s="219"/>
      <c r="AH33" s="96"/>
      <c r="AI33" s="59"/>
      <c r="AJ33" s="59"/>
      <c r="AK33" s="59"/>
      <c r="AL33" s="59"/>
      <c r="AM33" s="106"/>
      <c r="AN33" s="59"/>
      <c r="AO33" s="218"/>
      <c r="AP33" s="244">
        <v>932</v>
      </c>
      <c r="AQ33" s="219"/>
      <c r="AR33" s="96"/>
      <c r="AS33" s="59"/>
      <c r="AT33" s="59"/>
      <c r="AU33" s="59"/>
      <c r="AV33" s="59"/>
      <c r="AW33" s="44"/>
      <c r="AX33" s="59"/>
      <c r="AY33" s="218"/>
      <c r="AZ33" s="203">
        <v>865</v>
      </c>
      <c r="BA33" s="219"/>
      <c r="BB33" s="96"/>
      <c r="BC33" s="59"/>
      <c r="BD33" s="59"/>
      <c r="BE33" s="59"/>
      <c r="BF33" s="59"/>
      <c r="BG33" s="106"/>
      <c r="BH33" s="59"/>
      <c r="BI33" s="218"/>
      <c r="BJ33" s="261">
        <v>1200</v>
      </c>
      <c r="BK33" s="219"/>
      <c r="BL33" s="96"/>
      <c r="BM33" s="59"/>
      <c r="BN33" s="59"/>
      <c r="BO33" s="59"/>
      <c r="BP33" s="59"/>
      <c r="BQ33" s="44"/>
      <c r="BR33" s="59"/>
      <c r="BS33" s="218"/>
      <c r="BT33" s="204"/>
      <c r="BU33" s="21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s="42" customFormat="1" ht="26.25" hidden="1">
      <c r="A34" s="165">
        <v>2</v>
      </c>
      <c r="B34" s="166"/>
      <c r="C34" s="73">
        <v>1113155</v>
      </c>
      <c r="D34" s="75" t="s">
        <v>214</v>
      </c>
      <c r="E34" s="73" t="s">
        <v>31</v>
      </c>
      <c r="F34" s="73"/>
      <c r="G34" s="116"/>
      <c r="H34" s="447">
        <v>0</v>
      </c>
      <c r="I34" s="300">
        <f t="shared" si="0"/>
        <v>0</v>
      </c>
      <c r="J34" s="447">
        <v>0</v>
      </c>
      <c r="K34" s="448"/>
      <c r="L34" s="500"/>
      <c r="M34" s="59"/>
      <c r="N34" s="96"/>
      <c r="O34" s="105"/>
      <c r="P34" s="59"/>
      <c r="Q34" s="59"/>
      <c r="R34" s="105"/>
      <c r="S34" s="106"/>
      <c r="T34" s="59"/>
      <c r="U34" s="105"/>
      <c r="V34" s="501"/>
      <c r="W34" s="59"/>
      <c r="X34" s="96"/>
      <c r="Y34" s="105"/>
      <c r="Z34" s="59"/>
      <c r="AA34" s="59"/>
      <c r="AB34" s="105"/>
      <c r="AC34" s="44"/>
      <c r="AD34" s="59"/>
      <c r="AE34" s="59"/>
      <c r="AF34" s="502"/>
      <c r="AG34" s="105"/>
      <c r="AH34" s="96"/>
      <c r="AI34" s="105"/>
      <c r="AJ34" s="59"/>
      <c r="AK34" s="59"/>
      <c r="AL34" s="105"/>
      <c r="AM34" s="44"/>
      <c r="AN34" s="59"/>
      <c r="AO34" s="59"/>
      <c r="AP34" s="503"/>
      <c r="AQ34" s="59"/>
      <c r="AR34" s="96"/>
      <c r="AS34" s="105"/>
      <c r="AT34" s="59"/>
      <c r="AU34" s="59"/>
      <c r="AV34" s="105"/>
      <c r="AW34" s="106"/>
      <c r="AX34" s="59"/>
      <c r="AY34" s="59"/>
      <c r="AZ34" s="504"/>
      <c r="BA34" s="59"/>
      <c r="BB34" s="96"/>
      <c r="BC34" s="105"/>
      <c r="BD34" s="59"/>
      <c r="BE34" s="59"/>
      <c r="BF34" s="105"/>
      <c r="BG34" s="44"/>
      <c r="BH34" s="105"/>
      <c r="BI34" s="59"/>
      <c r="BJ34" s="505"/>
      <c r="BK34" s="105"/>
      <c r="BL34" s="96"/>
      <c r="BM34" s="105"/>
      <c r="BN34" s="59"/>
      <c r="BO34" s="59"/>
      <c r="BP34" s="105"/>
      <c r="BQ34" s="44"/>
      <c r="BR34" s="59"/>
      <c r="BS34" s="59"/>
      <c r="BT34" s="522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>
      <c r="A35" s="317">
        <v>3</v>
      </c>
      <c r="B35" s="320"/>
      <c r="C35" s="326">
        <v>20049130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19473</v>
      </c>
      <c r="J35" s="327">
        <v>0</v>
      </c>
      <c r="K35" s="466"/>
      <c r="L35" s="347">
        <v>2556</v>
      </c>
      <c r="M35" s="219"/>
      <c r="N35" s="96"/>
      <c r="O35" s="59"/>
      <c r="P35" s="59"/>
      <c r="Q35" s="59"/>
      <c r="R35" s="59"/>
      <c r="S35" s="106"/>
      <c r="T35" s="59"/>
      <c r="U35" s="218"/>
      <c r="V35" s="348">
        <v>2525</v>
      </c>
      <c r="W35" s="219"/>
      <c r="X35" s="96"/>
      <c r="Y35" s="59"/>
      <c r="Z35" s="59"/>
      <c r="AA35" s="59"/>
      <c r="AB35" s="59"/>
      <c r="AC35" s="106"/>
      <c r="AD35" s="59"/>
      <c r="AE35" s="218"/>
      <c r="AF35" s="349">
        <v>3492</v>
      </c>
      <c r="AG35" s="219"/>
      <c r="AH35" s="96"/>
      <c r="AI35" s="59"/>
      <c r="AJ35" s="59"/>
      <c r="AK35" s="59"/>
      <c r="AL35" s="59"/>
      <c r="AM35" s="106"/>
      <c r="AN35" s="59"/>
      <c r="AO35" s="218"/>
      <c r="AP35" s="350">
        <v>3300</v>
      </c>
      <c r="AQ35" s="219"/>
      <c r="AR35" s="96"/>
      <c r="AS35" s="59"/>
      <c r="AT35" s="59"/>
      <c r="AU35" s="59"/>
      <c r="AV35" s="59"/>
      <c r="AW35" s="106"/>
      <c r="AX35" s="59"/>
      <c r="AY35" s="218"/>
      <c r="AZ35" s="337">
        <v>2500</v>
      </c>
      <c r="BA35" s="219"/>
      <c r="BB35" s="96"/>
      <c r="BC35" s="59"/>
      <c r="BD35" s="59"/>
      <c r="BE35" s="59"/>
      <c r="BF35" s="59"/>
      <c r="BG35" s="106"/>
      <c r="BH35" s="59"/>
      <c r="BI35" s="218"/>
      <c r="BJ35" s="339">
        <v>2600</v>
      </c>
      <c r="BK35" s="219"/>
      <c r="BL35" s="96"/>
      <c r="BM35" s="59"/>
      <c r="BN35" s="59"/>
      <c r="BO35" s="59"/>
      <c r="BP35" s="59"/>
      <c r="BQ35" s="106"/>
      <c r="BR35" s="59"/>
      <c r="BS35" s="218"/>
      <c r="BT35" s="341">
        <v>2500</v>
      </c>
      <c r="BU35" s="219"/>
      <c r="BV35" s="96">
        <f t="shared" si="1"/>
        <v>2500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2500</v>
      </c>
      <c r="CB35" s="59">
        <v>0</v>
      </c>
    </row>
    <row r="36" spans="1:80" ht="26.25">
      <c r="A36" s="317">
        <v>4</v>
      </c>
      <c r="B36" s="320"/>
      <c r="C36" s="326">
        <v>20051101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12960</v>
      </c>
      <c r="J36" s="327">
        <v>0</v>
      </c>
      <c r="K36" s="466"/>
      <c r="L36" s="347">
        <v>1440</v>
      </c>
      <c r="M36" s="219"/>
      <c r="N36" s="96"/>
      <c r="O36" s="105"/>
      <c r="P36" s="59"/>
      <c r="Q36" s="59"/>
      <c r="R36" s="105"/>
      <c r="S36" s="106"/>
      <c r="T36" s="59"/>
      <c r="U36" s="353"/>
      <c r="V36" s="348">
        <v>1440</v>
      </c>
      <c r="W36" s="219"/>
      <c r="X36" s="96"/>
      <c r="Y36" s="105"/>
      <c r="Z36" s="59"/>
      <c r="AA36" s="59"/>
      <c r="AB36" s="105"/>
      <c r="AC36" s="106"/>
      <c r="AD36" s="59"/>
      <c r="AE36" s="218"/>
      <c r="AF36" s="349">
        <v>1980</v>
      </c>
      <c r="AG36" s="354"/>
      <c r="AH36" s="96"/>
      <c r="AI36" s="105"/>
      <c r="AJ36" s="59"/>
      <c r="AK36" s="59"/>
      <c r="AL36" s="105"/>
      <c r="AM36" s="106"/>
      <c r="AN36" s="59"/>
      <c r="AO36" s="218"/>
      <c r="AP36" s="350">
        <v>2100</v>
      </c>
      <c r="AQ36" s="219"/>
      <c r="AR36" s="96"/>
      <c r="AS36" s="105"/>
      <c r="AT36" s="59"/>
      <c r="AU36" s="59"/>
      <c r="AV36" s="105"/>
      <c r="AW36" s="106"/>
      <c r="AX36" s="59"/>
      <c r="AY36" s="218"/>
      <c r="AZ36" s="337">
        <v>2100</v>
      </c>
      <c r="BA36" s="219"/>
      <c r="BB36" s="96"/>
      <c r="BC36" s="105"/>
      <c r="BD36" s="59"/>
      <c r="BE36" s="59"/>
      <c r="BF36" s="105"/>
      <c r="BG36" s="106"/>
      <c r="BH36" s="105"/>
      <c r="BI36" s="218"/>
      <c r="BJ36" s="339">
        <v>2100</v>
      </c>
      <c r="BK36" s="354"/>
      <c r="BL36" s="96"/>
      <c r="BM36" s="105"/>
      <c r="BN36" s="59"/>
      <c r="BO36" s="59"/>
      <c r="BP36" s="105"/>
      <c r="BQ36" s="106"/>
      <c r="BR36" s="59"/>
      <c r="BS36" s="218"/>
      <c r="BT36" s="341">
        <v>1800</v>
      </c>
      <c r="BU36" s="219"/>
      <c r="BV36" s="96">
        <f t="shared" si="1"/>
        <v>1800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1800</v>
      </c>
      <c r="CB36" s="59">
        <v>0</v>
      </c>
    </row>
    <row r="37" spans="1:80" ht="26.25">
      <c r="A37" s="317">
        <v>5</v>
      </c>
      <c r="B37" s="320"/>
      <c r="C37" s="326">
        <v>20052721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16504</v>
      </c>
      <c r="J37" s="327">
        <v>0</v>
      </c>
      <c r="K37" s="466"/>
      <c r="L37" s="347">
        <v>2112</v>
      </c>
      <c r="M37" s="219"/>
      <c r="N37" s="96"/>
      <c r="O37" s="105"/>
      <c r="P37" s="59"/>
      <c r="Q37" s="59"/>
      <c r="R37" s="105"/>
      <c r="S37" s="106"/>
      <c r="T37" s="59"/>
      <c r="U37" s="353"/>
      <c r="V37" s="348">
        <v>2112</v>
      </c>
      <c r="W37" s="219"/>
      <c r="X37" s="96"/>
      <c r="Y37" s="105"/>
      <c r="Z37" s="59"/>
      <c r="AA37" s="59"/>
      <c r="AB37" s="105"/>
      <c r="AC37" s="106"/>
      <c r="AD37" s="59"/>
      <c r="AE37" s="218"/>
      <c r="AF37" s="349">
        <v>2880</v>
      </c>
      <c r="AG37" s="354"/>
      <c r="AH37" s="96"/>
      <c r="AI37" s="105"/>
      <c r="AJ37" s="59"/>
      <c r="AK37" s="59"/>
      <c r="AL37" s="105"/>
      <c r="AM37" s="106"/>
      <c r="AN37" s="59"/>
      <c r="AO37" s="218"/>
      <c r="AP37" s="350">
        <v>3000</v>
      </c>
      <c r="AQ37" s="219"/>
      <c r="AR37" s="96"/>
      <c r="AS37" s="105"/>
      <c r="AT37" s="59"/>
      <c r="AU37" s="59"/>
      <c r="AV37" s="105"/>
      <c r="AW37" s="106"/>
      <c r="AX37" s="59"/>
      <c r="AY37" s="218"/>
      <c r="AZ37" s="337">
        <v>2200</v>
      </c>
      <c r="BA37" s="219"/>
      <c r="BB37" s="96"/>
      <c r="BC37" s="105"/>
      <c r="BD37" s="59"/>
      <c r="BE37" s="59"/>
      <c r="BF37" s="105"/>
      <c r="BG37" s="106"/>
      <c r="BH37" s="105"/>
      <c r="BI37" s="218"/>
      <c r="BJ37" s="339">
        <v>2100</v>
      </c>
      <c r="BK37" s="354"/>
      <c r="BL37" s="96"/>
      <c r="BM37" s="105"/>
      <c r="BN37" s="59"/>
      <c r="BO37" s="59"/>
      <c r="BP37" s="105"/>
      <c r="BQ37" s="106"/>
      <c r="BR37" s="59"/>
      <c r="BS37" s="218"/>
      <c r="BT37" s="341">
        <v>2100</v>
      </c>
      <c r="BU37" s="219"/>
      <c r="BV37" s="96">
        <f t="shared" si="1"/>
        <v>2100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2100</v>
      </c>
      <c r="CB37" s="59">
        <v>0</v>
      </c>
    </row>
    <row r="38" spans="1:80" s="42" customFormat="1" ht="26.25" hidden="1">
      <c r="A38" s="168">
        <v>7</v>
      </c>
      <c r="B38" s="170"/>
      <c r="C38" s="305">
        <v>1113148</v>
      </c>
      <c r="D38" s="306" t="s">
        <v>348</v>
      </c>
      <c r="E38" s="217" t="s">
        <v>42</v>
      </c>
      <c r="F38" s="169"/>
      <c r="G38" s="183"/>
      <c r="H38" s="184">
        <v>0</v>
      </c>
      <c r="I38" s="215">
        <f t="shared" si="0"/>
        <v>0</v>
      </c>
      <c r="J38" s="184">
        <v>0</v>
      </c>
      <c r="K38" s="299"/>
      <c r="L38" s="201"/>
      <c r="M38" s="219"/>
      <c r="N38" s="96"/>
      <c r="O38" s="59"/>
      <c r="P38" s="59"/>
      <c r="Q38" s="59"/>
      <c r="R38" s="59"/>
      <c r="S38" s="44"/>
      <c r="T38" s="59"/>
      <c r="U38" s="218"/>
      <c r="V38" s="202"/>
      <c r="W38" s="219"/>
      <c r="X38" s="96"/>
      <c r="Y38" s="59"/>
      <c r="Z38" s="59"/>
      <c r="AA38" s="59"/>
      <c r="AB38" s="59"/>
      <c r="AC38" s="44"/>
      <c r="AD38" s="59"/>
      <c r="AE38" s="218"/>
      <c r="AF38" s="248"/>
      <c r="AG38" s="219"/>
      <c r="AH38" s="96"/>
      <c r="AI38" s="59"/>
      <c r="AJ38" s="59"/>
      <c r="AK38" s="59"/>
      <c r="AL38" s="59"/>
      <c r="AM38" s="44"/>
      <c r="AN38" s="59"/>
      <c r="AO38" s="218"/>
      <c r="AP38" s="257"/>
      <c r="AQ38" s="219"/>
      <c r="AR38" s="96"/>
      <c r="AS38" s="59"/>
      <c r="AT38" s="59"/>
      <c r="AU38" s="59"/>
      <c r="AV38" s="59"/>
      <c r="AW38" s="44"/>
      <c r="AX38" s="59"/>
      <c r="AY38" s="218"/>
      <c r="AZ38" s="259"/>
      <c r="BA38" s="219"/>
      <c r="BB38" s="96"/>
      <c r="BC38" s="59"/>
      <c r="BD38" s="59"/>
      <c r="BE38" s="59"/>
      <c r="BF38" s="59"/>
      <c r="BG38" s="44"/>
      <c r="BH38" s="59"/>
      <c r="BI38" s="218"/>
      <c r="BJ38" s="261"/>
      <c r="BK38" s="219"/>
      <c r="BL38" s="96"/>
      <c r="BM38" s="59"/>
      <c r="BN38" s="59"/>
      <c r="BO38" s="59"/>
      <c r="BP38" s="59"/>
      <c r="BQ38" s="44"/>
      <c r="BR38" s="59"/>
      <c r="BS38" s="218"/>
      <c r="BT38" s="204"/>
      <c r="BU38" s="219">
        <v>0</v>
      </c>
      <c r="BV38" s="96">
        <f t="shared" ref="BV38:BV48" si="3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4">BT38-BX38</f>
        <v>0</v>
      </c>
      <c r="CB38" s="59"/>
    </row>
    <row r="39" spans="1:80" s="42" customFormat="1" ht="26.25" hidden="1">
      <c r="A39" s="168">
        <v>8</v>
      </c>
      <c r="B39" s="170"/>
      <c r="C39" s="305">
        <v>1113149</v>
      </c>
      <c r="D39" s="306" t="s">
        <v>349</v>
      </c>
      <c r="E39" s="217" t="s">
        <v>42</v>
      </c>
      <c r="F39" s="169"/>
      <c r="G39" s="183"/>
      <c r="H39" s="184">
        <v>0</v>
      </c>
      <c r="I39" s="215">
        <f t="shared" si="0"/>
        <v>0</v>
      </c>
      <c r="J39" s="184">
        <v>0</v>
      </c>
      <c r="K39" s="299"/>
      <c r="L39" s="201"/>
      <c r="M39" s="219"/>
      <c r="N39" s="96"/>
      <c r="O39" s="59"/>
      <c r="P39" s="59"/>
      <c r="Q39" s="59"/>
      <c r="R39" s="59"/>
      <c r="S39" s="44"/>
      <c r="T39" s="59"/>
      <c r="U39" s="218"/>
      <c r="V39" s="202"/>
      <c r="W39" s="219"/>
      <c r="X39" s="96"/>
      <c r="Y39" s="59"/>
      <c r="Z39" s="59"/>
      <c r="AA39" s="59"/>
      <c r="AB39" s="59"/>
      <c r="AC39" s="44"/>
      <c r="AD39" s="59"/>
      <c r="AE39" s="218"/>
      <c r="AF39" s="248"/>
      <c r="AG39" s="219"/>
      <c r="AH39" s="96"/>
      <c r="AI39" s="59"/>
      <c r="AJ39" s="59"/>
      <c r="AK39" s="59"/>
      <c r="AL39" s="59"/>
      <c r="AM39" s="44"/>
      <c r="AN39" s="59"/>
      <c r="AO39" s="218"/>
      <c r="AP39" s="257"/>
      <c r="AQ39" s="219"/>
      <c r="AR39" s="96"/>
      <c r="AS39" s="59"/>
      <c r="AT39" s="59"/>
      <c r="AU39" s="59"/>
      <c r="AV39" s="59"/>
      <c r="AW39" s="44"/>
      <c r="AX39" s="59"/>
      <c r="AY39" s="218"/>
      <c r="AZ39" s="259"/>
      <c r="BA39" s="219"/>
      <c r="BB39" s="96"/>
      <c r="BC39" s="59"/>
      <c r="BD39" s="59"/>
      <c r="BE39" s="59"/>
      <c r="BF39" s="59"/>
      <c r="BG39" s="44"/>
      <c r="BH39" s="59"/>
      <c r="BI39" s="218"/>
      <c r="BJ39" s="261"/>
      <c r="BK39" s="219"/>
      <c r="BL39" s="96"/>
      <c r="BM39" s="59"/>
      <c r="BN39" s="59"/>
      <c r="BO39" s="59"/>
      <c r="BP39" s="59"/>
      <c r="BQ39" s="44"/>
      <c r="BR39" s="59"/>
      <c r="BS39" s="218"/>
      <c r="BT39" s="204"/>
      <c r="BU39" s="219">
        <v>0</v>
      </c>
      <c r="BV39" s="96">
        <f t="shared" si="3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4"/>
        <v>0</v>
      </c>
      <c r="CB39" s="59"/>
    </row>
    <row r="40" spans="1:80" s="42" customFormat="1" ht="26.25" hidden="1">
      <c r="A40" s="168">
        <v>9</v>
      </c>
      <c r="B40" s="170"/>
      <c r="C40" s="169">
        <v>1113192</v>
      </c>
      <c r="D40" s="262" t="s">
        <v>351</v>
      </c>
      <c r="E40" s="217" t="s">
        <v>42</v>
      </c>
      <c r="F40" s="169"/>
      <c r="G40" s="183"/>
      <c r="H40" s="184">
        <v>0</v>
      </c>
      <c r="I40" s="215">
        <f t="shared" si="0"/>
        <v>5629</v>
      </c>
      <c r="J40" s="184">
        <v>0</v>
      </c>
      <c r="K40" s="299"/>
      <c r="L40" s="252">
        <v>1237</v>
      </c>
      <c r="M40" s="219"/>
      <c r="N40" s="96"/>
      <c r="O40" s="59"/>
      <c r="P40" s="59"/>
      <c r="Q40" s="59"/>
      <c r="R40" s="59"/>
      <c r="S40" s="106"/>
      <c r="T40" s="59"/>
      <c r="U40" s="218"/>
      <c r="V40" s="202">
        <v>841</v>
      </c>
      <c r="W40" s="219"/>
      <c r="X40" s="96"/>
      <c r="Y40" s="59"/>
      <c r="Z40" s="59"/>
      <c r="AA40" s="59"/>
      <c r="AB40" s="59"/>
      <c r="AC40" s="44"/>
      <c r="AD40" s="59"/>
      <c r="AE40" s="218"/>
      <c r="AF40" s="224">
        <v>754</v>
      </c>
      <c r="AG40" s="219"/>
      <c r="AH40" s="96"/>
      <c r="AI40" s="59"/>
      <c r="AJ40" s="59"/>
      <c r="AK40" s="59"/>
      <c r="AL40" s="59"/>
      <c r="AM40" s="106"/>
      <c r="AN40" s="59"/>
      <c r="AO40" s="218"/>
      <c r="AP40" s="257">
        <v>864</v>
      </c>
      <c r="AQ40" s="219"/>
      <c r="AR40" s="96"/>
      <c r="AS40" s="59"/>
      <c r="AT40" s="59"/>
      <c r="AU40" s="59"/>
      <c r="AV40" s="59"/>
      <c r="AW40" s="44"/>
      <c r="AX40" s="59"/>
      <c r="AY40" s="218"/>
      <c r="AZ40" s="203">
        <v>933</v>
      </c>
      <c r="BA40" s="219"/>
      <c r="BB40" s="96"/>
      <c r="BC40" s="59"/>
      <c r="BD40" s="59"/>
      <c r="BE40" s="59"/>
      <c r="BF40" s="59"/>
      <c r="BG40" s="106"/>
      <c r="BH40" s="59"/>
      <c r="BI40" s="218"/>
      <c r="BJ40" s="261">
        <v>1000</v>
      </c>
      <c r="BK40" s="219"/>
      <c r="BL40" s="96"/>
      <c r="BM40" s="59"/>
      <c r="BN40" s="59"/>
      <c r="BO40" s="59"/>
      <c r="BP40" s="59"/>
      <c r="BQ40" s="44"/>
      <c r="BR40" s="59"/>
      <c r="BS40" s="218"/>
      <c r="BT40" s="204"/>
      <c r="BU40" s="219">
        <v>0</v>
      </c>
      <c r="BV40" s="96">
        <f t="shared" si="3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4"/>
        <v>0</v>
      </c>
      <c r="CB40" s="59"/>
    </row>
    <row r="41" spans="1:80" s="42" customFormat="1" ht="26.25" hidden="1">
      <c r="A41" s="168">
        <v>10</v>
      </c>
      <c r="B41" s="170"/>
      <c r="C41" s="169">
        <v>1113194</v>
      </c>
      <c r="D41" s="262" t="s">
        <v>353</v>
      </c>
      <c r="E41" s="217" t="s">
        <v>42</v>
      </c>
      <c r="F41" s="169"/>
      <c r="G41" s="183"/>
      <c r="H41" s="184">
        <v>0</v>
      </c>
      <c r="I41" s="215">
        <f t="shared" si="0"/>
        <v>6306</v>
      </c>
      <c r="J41" s="184">
        <v>0</v>
      </c>
      <c r="K41" s="299"/>
      <c r="L41" s="252">
        <v>1412</v>
      </c>
      <c r="M41" s="219"/>
      <c r="N41" s="96"/>
      <c r="O41" s="59"/>
      <c r="P41" s="59"/>
      <c r="Q41" s="59"/>
      <c r="R41" s="105"/>
      <c r="S41" s="106"/>
      <c r="T41" s="59"/>
      <c r="U41" s="218"/>
      <c r="V41" s="223">
        <v>1280</v>
      </c>
      <c r="W41" s="219"/>
      <c r="X41" s="96"/>
      <c r="Y41" s="59"/>
      <c r="Z41" s="59"/>
      <c r="AA41" s="59"/>
      <c r="AB41" s="105"/>
      <c r="AC41" s="44"/>
      <c r="AD41" s="59"/>
      <c r="AE41" s="218"/>
      <c r="AF41" s="224">
        <v>644</v>
      </c>
      <c r="AG41" s="354"/>
      <c r="AH41" s="96"/>
      <c r="AI41" s="59"/>
      <c r="AJ41" s="59"/>
      <c r="AK41" s="59"/>
      <c r="AL41" s="105"/>
      <c r="AM41" s="106"/>
      <c r="AN41" s="59"/>
      <c r="AO41" s="218"/>
      <c r="AP41" s="257">
        <v>1104</v>
      </c>
      <c r="AQ41" s="219"/>
      <c r="AR41" s="96"/>
      <c r="AS41" s="59"/>
      <c r="AT41" s="59"/>
      <c r="AU41" s="59"/>
      <c r="AV41" s="105"/>
      <c r="AW41" s="44"/>
      <c r="AX41" s="59"/>
      <c r="AY41" s="218"/>
      <c r="AZ41" s="203">
        <v>666</v>
      </c>
      <c r="BA41" s="219"/>
      <c r="BB41" s="96"/>
      <c r="BC41" s="59"/>
      <c r="BD41" s="59"/>
      <c r="BE41" s="59"/>
      <c r="BF41" s="105"/>
      <c r="BG41" s="106"/>
      <c r="BH41" s="105"/>
      <c r="BI41" s="218"/>
      <c r="BJ41" s="261">
        <v>1200</v>
      </c>
      <c r="BK41" s="219"/>
      <c r="BL41" s="96"/>
      <c r="BM41" s="59"/>
      <c r="BN41" s="59"/>
      <c r="BO41" s="59"/>
      <c r="BP41" s="105"/>
      <c r="BQ41" s="44"/>
      <c r="BR41" s="59"/>
      <c r="BS41" s="218"/>
      <c r="BT41" s="204"/>
      <c r="BU41" s="219">
        <v>0</v>
      </c>
      <c r="BV41" s="96">
        <f t="shared" si="3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4"/>
        <v>0</v>
      </c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401">
        <v>0</v>
      </c>
      <c r="I42" s="63">
        <f t="shared" ref="I42:I49" si="5">SUM(L42,V42,AF42,AP42,AZ42,BJ42,BT42)</f>
        <v>0</v>
      </c>
      <c r="J42" s="146">
        <v>0</v>
      </c>
      <c r="K42" s="147"/>
      <c r="L42" s="148"/>
      <c r="M42" s="59"/>
      <c r="N42" s="96"/>
      <c r="O42" s="59"/>
      <c r="P42" s="59"/>
      <c r="Q42" s="59"/>
      <c r="R42" s="59"/>
      <c r="S42" s="44"/>
      <c r="T42" s="59"/>
      <c r="U42" s="59"/>
      <c r="V42" s="209"/>
      <c r="W42" s="59"/>
      <c r="X42" s="96"/>
      <c r="Y42" s="59"/>
      <c r="Z42" s="59"/>
      <c r="AA42" s="59"/>
      <c r="AB42" s="59"/>
      <c r="AC42" s="44"/>
      <c r="AD42" s="59"/>
      <c r="AE42" s="59"/>
      <c r="AF42" s="150"/>
      <c r="AG42" s="105"/>
      <c r="AH42" s="96"/>
      <c r="AI42" s="59"/>
      <c r="AJ42" s="59"/>
      <c r="AK42" s="59"/>
      <c r="AL42" s="59"/>
      <c r="AM42" s="44"/>
      <c r="AN42" s="59"/>
      <c r="AO42" s="59"/>
      <c r="AP42" s="151"/>
      <c r="AQ42" s="59"/>
      <c r="AR42" s="96"/>
      <c r="AS42" s="59"/>
      <c r="AT42" s="59"/>
      <c r="AU42" s="59"/>
      <c r="AV42" s="59"/>
      <c r="AW42" s="44"/>
      <c r="AX42" s="59"/>
      <c r="AY42" s="59"/>
      <c r="AZ42" s="152"/>
      <c r="BA42" s="59"/>
      <c r="BB42" s="96"/>
      <c r="BC42" s="59"/>
      <c r="BD42" s="59"/>
      <c r="BE42" s="59"/>
      <c r="BF42" s="59"/>
      <c r="BG42" s="44"/>
      <c r="BH42" s="59"/>
      <c r="BI42" s="59"/>
      <c r="BJ42" s="260"/>
      <c r="BK42" s="59"/>
      <c r="BL42" s="96"/>
      <c r="BM42" s="59"/>
      <c r="BN42" s="59"/>
      <c r="BO42" s="59"/>
      <c r="BP42" s="59"/>
      <c r="BQ42" s="44"/>
      <c r="BR42" s="59"/>
      <c r="BS42" s="59"/>
      <c r="BT42" s="154"/>
      <c r="BU42" s="59">
        <v>0</v>
      </c>
      <c r="BV42" s="96">
        <f t="shared" si="3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4"/>
        <v>0</v>
      </c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5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3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4"/>
        <v>0</v>
      </c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5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3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4"/>
        <v>0</v>
      </c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5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3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4"/>
        <v>0</v>
      </c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5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3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4"/>
        <v>0</v>
      </c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5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3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4"/>
        <v>0</v>
      </c>
      <c r="CB47" s="59"/>
    </row>
    <row r="48" spans="1:80" s="42" customFormat="1" ht="29.25" hidden="1">
      <c r="A48" s="165">
        <v>7</v>
      </c>
      <c r="B48" s="132"/>
      <c r="C48" s="390">
        <v>1001001114</v>
      </c>
      <c r="D48" s="391" t="s">
        <v>384</v>
      </c>
      <c r="E48" s="392" t="s">
        <v>377</v>
      </c>
      <c r="F48" s="392"/>
      <c r="G48" s="393"/>
      <c r="H48" s="394">
        <v>0</v>
      </c>
      <c r="I48" s="300">
        <f t="shared" si="5"/>
        <v>0</v>
      </c>
      <c r="J48" s="129">
        <v>0</v>
      </c>
      <c r="K48" s="117"/>
      <c r="L48" s="292"/>
      <c r="M48" s="59"/>
      <c r="N48" s="96"/>
      <c r="O48" s="59"/>
      <c r="P48" s="59"/>
      <c r="Q48" s="59"/>
      <c r="R48" s="59"/>
      <c r="S48" s="44"/>
      <c r="T48" s="59"/>
      <c r="U48" s="59"/>
      <c r="V48" s="211"/>
      <c r="W48" s="59"/>
      <c r="X48" s="96"/>
      <c r="Y48" s="59"/>
      <c r="Z48" s="59"/>
      <c r="AA48" s="59"/>
      <c r="AB48" s="59"/>
      <c r="AC48" s="44"/>
      <c r="AD48" s="59"/>
      <c r="AE48" s="59"/>
      <c r="AF48" s="293"/>
      <c r="AG48" s="59"/>
      <c r="AH48" s="96"/>
      <c r="AI48" s="59"/>
      <c r="AJ48" s="59"/>
      <c r="AK48" s="59"/>
      <c r="AL48" s="59"/>
      <c r="AM48" s="44"/>
      <c r="AN48" s="59"/>
      <c r="AO48" s="59"/>
      <c r="AP48" s="139"/>
      <c r="AQ48" s="59"/>
      <c r="AR48" s="96"/>
      <c r="AS48" s="59"/>
      <c r="AT48" s="59"/>
      <c r="AU48" s="59"/>
      <c r="AV48" s="59"/>
      <c r="AW48" s="44"/>
      <c r="AX48" s="59"/>
      <c r="AY48" s="59"/>
      <c r="AZ48" s="294"/>
      <c r="BA48" s="59"/>
      <c r="BB48" s="96"/>
      <c r="BC48" s="59"/>
      <c r="BD48" s="59"/>
      <c r="BE48" s="59"/>
      <c r="BF48" s="59"/>
      <c r="BG48" s="44"/>
      <c r="BH48" s="59"/>
      <c r="BI48" s="59"/>
      <c r="BJ48" s="214"/>
      <c r="BK48" s="59"/>
      <c r="BL48" s="96"/>
      <c r="BM48" s="59"/>
      <c r="BN48" s="59"/>
      <c r="BO48" s="59"/>
      <c r="BP48" s="59"/>
      <c r="BQ48" s="44"/>
      <c r="BR48" s="59"/>
      <c r="BS48" s="59"/>
      <c r="BT48" s="295"/>
      <c r="BU48" s="59">
        <v>0</v>
      </c>
      <c r="BV48" s="96">
        <f t="shared" si="3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4"/>
        <v>0</v>
      </c>
      <c r="CB48" s="59"/>
    </row>
    <row r="49" spans="1:80" s="42" customFormat="1" ht="29.25" hidden="1">
      <c r="A49" s="168">
        <v>11</v>
      </c>
      <c r="B49" s="170"/>
      <c r="C49" s="206">
        <v>1113225</v>
      </c>
      <c r="D49" s="207" t="s">
        <v>451</v>
      </c>
      <c r="E49" s="217" t="s">
        <v>42</v>
      </c>
      <c r="F49" s="169"/>
      <c r="G49" s="183"/>
      <c r="H49" s="184"/>
      <c r="I49" s="215">
        <f t="shared" si="5"/>
        <v>6008</v>
      </c>
      <c r="J49" s="184"/>
      <c r="K49" s="299"/>
      <c r="L49" s="252">
        <v>1306</v>
      </c>
      <c r="M49" s="219"/>
      <c r="N49" s="96"/>
      <c r="O49" s="59"/>
      <c r="P49" s="59"/>
      <c r="Q49" s="59"/>
      <c r="R49" s="59"/>
      <c r="S49" s="44"/>
      <c r="T49" s="59"/>
      <c r="U49" s="218"/>
      <c r="V49" s="223">
        <v>1239</v>
      </c>
      <c r="W49" s="219"/>
      <c r="X49" s="96"/>
      <c r="Y49" s="59"/>
      <c r="Z49" s="59"/>
      <c r="AA49" s="59"/>
      <c r="AB49" s="59"/>
      <c r="AC49" s="44"/>
      <c r="AD49" s="59"/>
      <c r="AE49" s="218"/>
      <c r="AF49" s="224">
        <v>598</v>
      </c>
      <c r="AG49" s="219"/>
      <c r="AH49" s="96"/>
      <c r="AI49" s="59"/>
      <c r="AJ49" s="59"/>
      <c r="AK49" s="59"/>
      <c r="AL49" s="59"/>
      <c r="AM49" s="44"/>
      <c r="AN49" s="59"/>
      <c r="AO49" s="218"/>
      <c r="AP49" s="257">
        <v>1058</v>
      </c>
      <c r="AQ49" s="219"/>
      <c r="AR49" s="96"/>
      <c r="AS49" s="59"/>
      <c r="AT49" s="59"/>
      <c r="AU49" s="59"/>
      <c r="AV49" s="59"/>
      <c r="AW49" s="44"/>
      <c r="AX49" s="59"/>
      <c r="AY49" s="218"/>
      <c r="AZ49" s="259">
        <v>707</v>
      </c>
      <c r="BA49" s="219"/>
      <c r="BB49" s="96"/>
      <c r="BC49" s="59"/>
      <c r="BD49" s="59"/>
      <c r="BE49" s="59"/>
      <c r="BF49" s="59"/>
      <c r="BG49" s="44"/>
      <c r="BH49" s="59"/>
      <c r="BI49" s="218"/>
      <c r="BJ49" s="261">
        <v>1100</v>
      </c>
      <c r="BK49" s="219"/>
      <c r="BL49" s="96"/>
      <c r="BM49" s="59"/>
      <c r="BN49" s="59"/>
      <c r="BO49" s="59"/>
      <c r="BP49" s="59"/>
      <c r="BQ49" s="44"/>
      <c r="BR49" s="59"/>
      <c r="BS49" s="218"/>
      <c r="BT49" s="204"/>
      <c r="BU49" s="21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6">SUM(L50,V50,AF50,AP50,AZ50,BJ50,BT50)</f>
        <v>9668</v>
      </c>
      <c r="J50" s="328"/>
      <c r="K50" s="321"/>
      <c r="L50" s="347">
        <v>1512</v>
      </c>
      <c r="V50" s="348">
        <v>1512</v>
      </c>
      <c r="AF50" s="349">
        <v>1944</v>
      </c>
      <c r="AP50" s="350">
        <v>1500</v>
      </c>
      <c r="AZ50" s="337">
        <v>1600</v>
      </c>
      <c r="BJ50" s="339">
        <v>1600</v>
      </c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6"/>
        <v>45110</v>
      </c>
      <c r="J51" s="328"/>
      <c r="K51" s="321"/>
      <c r="L51" s="347">
        <v>7800</v>
      </c>
      <c r="V51" s="348">
        <v>6520</v>
      </c>
      <c r="AF51" s="349">
        <v>8790</v>
      </c>
      <c r="AP51" s="350">
        <v>9000</v>
      </c>
      <c r="AZ51" s="337">
        <v>6500</v>
      </c>
      <c r="BJ51" s="339">
        <v>6500</v>
      </c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6"/>
        <v>12320</v>
      </c>
      <c r="J52" s="328"/>
      <c r="K52" s="321"/>
      <c r="L52" s="347">
        <v>1560</v>
      </c>
      <c r="V52" s="334">
        <v>1520</v>
      </c>
      <c r="AF52" s="335">
        <v>2240</v>
      </c>
      <c r="AP52" s="336">
        <v>2400</v>
      </c>
      <c r="AZ52" s="338">
        <v>2300</v>
      </c>
      <c r="BJ52" s="340">
        <v>2300</v>
      </c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239</v>
      </c>
      <c r="E53" s="326" t="s">
        <v>69</v>
      </c>
      <c r="F53" s="321"/>
      <c r="G53" s="321"/>
      <c r="H53" s="327"/>
      <c r="I53" s="328">
        <f t="shared" si="6"/>
        <v>14760</v>
      </c>
      <c r="J53" s="328"/>
      <c r="K53" s="321"/>
      <c r="L53" s="347">
        <v>2160</v>
      </c>
      <c r="V53" s="334">
        <v>2120</v>
      </c>
      <c r="AF53" s="335">
        <v>2880</v>
      </c>
      <c r="AP53" s="336">
        <v>2600</v>
      </c>
      <c r="AZ53" s="338">
        <v>2500</v>
      </c>
      <c r="BJ53" s="340">
        <v>2500</v>
      </c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6"/>
        <v>3836</v>
      </c>
      <c r="J54" s="328"/>
      <c r="K54" s="321"/>
      <c r="L54" s="347">
        <v>576</v>
      </c>
      <c r="V54" s="334">
        <v>576</v>
      </c>
      <c r="AF54" s="335">
        <v>684</v>
      </c>
      <c r="AP54" s="336">
        <v>800</v>
      </c>
      <c r="AZ54" s="338">
        <v>600</v>
      </c>
      <c r="BJ54" s="340">
        <v>600</v>
      </c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436</v>
      </c>
      <c r="E55" s="326" t="s">
        <v>69</v>
      </c>
      <c r="F55" s="321"/>
      <c r="G55" s="321"/>
      <c r="H55" s="327"/>
      <c r="I55" s="328">
        <f t="shared" si="6"/>
        <v>12140</v>
      </c>
      <c r="J55" s="328"/>
      <c r="K55" s="321"/>
      <c r="L55" s="347">
        <v>1680</v>
      </c>
      <c r="V55" s="334">
        <v>1680</v>
      </c>
      <c r="AF55" s="335">
        <v>2480</v>
      </c>
      <c r="AP55" s="336">
        <v>2300</v>
      </c>
      <c r="AZ55" s="338">
        <v>2000</v>
      </c>
      <c r="BJ55" s="340">
        <v>2000</v>
      </c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" si="7">SUM(L56,V56,AF56,AP56,AZ56,BJ56,BT56)</f>
        <v>3908</v>
      </c>
      <c r="J56" s="328"/>
      <c r="K56" s="321"/>
      <c r="L56" s="347">
        <v>612</v>
      </c>
      <c r="V56" s="334">
        <v>576</v>
      </c>
      <c r="AF56" s="335">
        <v>720</v>
      </c>
      <c r="AP56" s="336">
        <v>600</v>
      </c>
      <c r="AZ56" s="338">
        <v>700</v>
      </c>
      <c r="BJ56" s="340">
        <v>700</v>
      </c>
      <c r="BT56" s="341"/>
    </row>
    <row r="57" spans="1:80" ht="29.25" customHeight="1">
      <c r="A57" s="317">
        <v>13</v>
      </c>
      <c r="B57" s="320"/>
      <c r="C57" s="239">
        <f>'Week 5'!C57</f>
        <v>20061982</v>
      </c>
      <c r="D57" s="331" t="str">
        <f>'Week 5'!D57</f>
        <v>มินิบันช็อกโกแลตเฮเซลนัท70g</v>
      </c>
      <c r="E57" s="326" t="str">
        <f>'Week 5'!E57</f>
        <v>CJ</v>
      </c>
      <c r="F57" s="321"/>
      <c r="G57" s="321"/>
      <c r="H57" s="327"/>
      <c r="I57" s="328">
        <f t="shared" ref="I57:I63" si="8">SUM(L57,V57,AF57,AP57,AZ57,BJ57,BT57)</f>
        <v>13080</v>
      </c>
      <c r="J57" s="328"/>
      <c r="K57" s="321"/>
      <c r="L57" s="347">
        <v>1840</v>
      </c>
      <c r="V57" s="334">
        <v>1840</v>
      </c>
      <c r="AF57" s="335">
        <v>2600</v>
      </c>
      <c r="AP57" s="336">
        <v>2400</v>
      </c>
      <c r="AZ57" s="338">
        <v>2200</v>
      </c>
      <c r="BJ57" s="340">
        <v>2200</v>
      </c>
      <c r="BT57" s="341"/>
    </row>
    <row r="58" spans="1:80" ht="32.25" customHeight="1">
      <c r="A58" s="317">
        <v>14</v>
      </c>
      <c r="B58" s="320"/>
      <c r="C58" s="239">
        <v>20062915</v>
      </c>
      <c r="D58" s="342" t="s">
        <v>431</v>
      </c>
      <c r="E58" s="326" t="str">
        <f>'Week 5'!E58</f>
        <v>CJ</v>
      </c>
      <c r="F58" s="321"/>
      <c r="G58" s="321"/>
      <c r="H58" s="327"/>
      <c r="I58" s="328">
        <f t="shared" si="8"/>
        <v>10620</v>
      </c>
      <c r="J58" s="328"/>
      <c r="K58" s="321"/>
      <c r="L58" s="347">
        <v>1280</v>
      </c>
      <c r="V58" s="334">
        <v>1240</v>
      </c>
      <c r="AF58" s="335">
        <v>1800</v>
      </c>
      <c r="AP58" s="336">
        <v>1800</v>
      </c>
      <c r="AZ58" s="338">
        <v>1500</v>
      </c>
      <c r="BJ58" s="340">
        <v>1500</v>
      </c>
      <c r="BT58" s="341">
        <v>1500</v>
      </c>
    </row>
    <row r="59" spans="1:80" ht="32.25" customHeight="1">
      <c r="A59" s="317">
        <v>15</v>
      </c>
      <c r="B59" s="320"/>
      <c r="C59" s="239">
        <v>20063266</v>
      </c>
      <c r="D59" s="342" t="s">
        <v>438</v>
      </c>
      <c r="E59" s="326" t="str">
        <f>'Week 5'!E59</f>
        <v>CJ</v>
      </c>
      <c r="F59" s="321"/>
      <c r="G59" s="321"/>
      <c r="H59" s="327"/>
      <c r="I59" s="328">
        <f t="shared" si="8"/>
        <v>11420</v>
      </c>
      <c r="J59" s="328"/>
      <c r="K59" s="321"/>
      <c r="L59" s="347">
        <v>1520</v>
      </c>
      <c r="V59" s="334">
        <v>1520</v>
      </c>
      <c r="AF59" s="335">
        <v>2080</v>
      </c>
      <c r="AP59" s="336">
        <v>2300</v>
      </c>
      <c r="AZ59" s="338">
        <v>2000</v>
      </c>
      <c r="BJ59" s="340">
        <v>2000</v>
      </c>
      <c r="BT59" s="341"/>
    </row>
    <row r="60" spans="1:80" ht="35.25" customHeight="1">
      <c r="A60" s="317">
        <v>16</v>
      </c>
      <c r="B60" s="320"/>
      <c r="C60" s="239">
        <v>20062916</v>
      </c>
      <c r="D60" s="342" t="s">
        <v>415</v>
      </c>
      <c r="E60" s="326" t="s">
        <v>69</v>
      </c>
      <c r="F60" s="321"/>
      <c r="G60" s="321"/>
      <c r="H60" s="327"/>
      <c r="I60" s="328">
        <f t="shared" si="8"/>
        <v>8400</v>
      </c>
      <c r="J60" s="328"/>
      <c r="K60" s="321"/>
      <c r="L60" s="347">
        <v>1152</v>
      </c>
      <c r="V60" s="334">
        <v>1116</v>
      </c>
      <c r="AF60" s="335">
        <v>1332</v>
      </c>
      <c r="AP60" s="336">
        <v>1800</v>
      </c>
      <c r="AZ60" s="338">
        <v>1500</v>
      </c>
      <c r="BJ60" s="340">
        <v>1500</v>
      </c>
      <c r="BT60" s="341"/>
    </row>
    <row r="61" spans="1:80" ht="35.25" customHeight="1">
      <c r="A61" s="317">
        <v>17</v>
      </c>
      <c r="B61" s="320"/>
      <c r="C61" s="239">
        <v>20063380</v>
      </c>
      <c r="D61" s="342" t="s">
        <v>414</v>
      </c>
      <c r="E61" s="326" t="s">
        <v>69</v>
      </c>
      <c r="F61" s="321"/>
      <c r="G61" s="321"/>
      <c r="H61" s="327"/>
      <c r="I61" s="328">
        <f t="shared" si="8"/>
        <v>8700</v>
      </c>
      <c r="J61" s="328"/>
      <c r="K61" s="321"/>
      <c r="L61" s="347">
        <v>1120</v>
      </c>
      <c r="V61" s="334">
        <v>1040</v>
      </c>
      <c r="AF61" s="335">
        <v>1440</v>
      </c>
      <c r="AP61" s="336">
        <v>1500</v>
      </c>
      <c r="AZ61" s="338">
        <v>1200</v>
      </c>
      <c r="BJ61" s="340">
        <v>1200</v>
      </c>
      <c r="BT61" s="341">
        <v>1200</v>
      </c>
    </row>
    <row r="62" spans="1:80" ht="35.25" customHeight="1">
      <c r="A62" s="317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si="8"/>
        <v>9320</v>
      </c>
      <c r="J62" s="328"/>
      <c r="K62" s="321"/>
      <c r="L62" s="347">
        <v>1240</v>
      </c>
      <c r="V62" s="334">
        <v>1240</v>
      </c>
      <c r="AF62" s="335">
        <v>1440</v>
      </c>
      <c r="AP62" s="336">
        <v>2000</v>
      </c>
      <c r="AZ62" s="338">
        <v>1700</v>
      </c>
      <c r="BJ62" s="340">
        <v>1700</v>
      </c>
      <c r="BT62" s="341"/>
    </row>
    <row r="63" spans="1:80" ht="31.5" customHeight="1">
      <c r="A63" s="317">
        <v>19</v>
      </c>
      <c r="B63" s="320"/>
      <c r="C63" s="332">
        <v>20063720</v>
      </c>
      <c r="D63" s="333" t="s">
        <v>440</v>
      </c>
      <c r="E63" s="326" t="s">
        <v>69</v>
      </c>
      <c r="F63" s="321"/>
      <c r="G63" s="321"/>
      <c r="H63" s="327"/>
      <c r="I63" s="328">
        <f t="shared" si="8"/>
        <v>7040</v>
      </c>
      <c r="J63" s="328"/>
      <c r="K63" s="321"/>
      <c r="L63" s="347">
        <v>1120</v>
      </c>
      <c r="V63" s="334">
        <v>1040</v>
      </c>
      <c r="AF63" s="335">
        <v>1280</v>
      </c>
      <c r="AP63" s="336">
        <v>900</v>
      </c>
      <c r="AZ63" s="338">
        <v>900</v>
      </c>
      <c r="BJ63" s="340">
        <v>900</v>
      </c>
      <c r="BT63" s="341">
        <v>900</v>
      </c>
    </row>
    <row r="64" spans="1:80" ht="31.5" customHeight="1">
      <c r="A64" s="317">
        <v>20</v>
      </c>
      <c r="B64" s="320"/>
      <c r="C64" s="332">
        <v>20064190</v>
      </c>
      <c r="D64" s="344" t="s">
        <v>446</v>
      </c>
      <c r="E64" s="326" t="s">
        <v>69</v>
      </c>
      <c r="F64" s="321"/>
      <c r="G64" s="321"/>
      <c r="H64" s="327"/>
      <c r="I64" s="328">
        <f t="shared" ref="I64:I74" si="9">SUM(L64,V64,AF64,AP64,AZ64,BJ64,BT64)</f>
        <v>2680</v>
      </c>
      <c r="J64" s="328"/>
      <c r="K64" s="321"/>
      <c r="L64" s="347">
        <v>300</v>
      </c>
      <c r="V64" s="334">
        <v>300</v>
      </c>
      <c r="AF64" s="335">
        <v>480</v>
      </c>
      <c r="AP64" s="336">
        <v>400</v>
      </c>
      <c r="AZ64" s="338">
        <v>400</v>
      </c>
      <c r="BJ64" s="340">
        <v>400</v>
      </c>
      <c r="BT64" s="341">
        <v>400</v>
      </c>
    </row>
    <row r="65" spans="1:72" ht="31.5" customHeight="1">
      <c r="A65" s="317">
        <v>21</v>
      </c>
      <c r="B65" s="320"/>
      <c r="C65" s="332">
        <v>20064191</v>
      </c>
      <c r="D65" s="344" t="s">
        <v>447</v>
      </c>
      <c r="E65" s="326" t="s">
        <v>69</v>
      </c>
      <c r="F65" s="321"/>
      <c r="G65" s="321"/>
      <c r="H65" s="327"/>
      <c r="I65" s="328">
        <f t="shared" si="9"/>
        <v>27252</v>
      </c>
      <c r="J65" s="328"/>
      <c r="K65" s="321"/>
      <c r="L65" s="347">
        <v>4104</v>
      </c>
      <c r="V65" s="334">
        <v>4788</v>
      </c>
      <c r="AF65" s="335">
        <v>4860</v>
      </c>
      <c r="AP65" s="336">
        <v>4500</v>
      </c>
      <c r="AZ65" s="338">
        <v>4500</v>
      </c>
      <c r="BJ65" s="340">
        <v>4500</v>
      </c>
      <c r="BT65" s="341"/>
    </row>
    <row r="66" spans="1:72" ht="31.5" customHeight="1">
      <c r="A66" s="317">
        <v>22</v>
      </c>
      <c r="B66" s="320"/>
      <c r="C66" s="330">
        <v>20064271</v>
      </c>
      <c r="D66" s="321" t="s">
        <v>448</v>
      </c>
      <c r="E66" s="326" t="s">
        <v>69</v>
      </c>
      <c r="F66" s="321"/>
      <c r="G66" s="321"/>
      <c r="H66" s="327"/>
      <c r="I66" s="328">
        <f t="shared" si="9"/>
        <v>34166</v>
      </c>
      <c r="J66" s="328"/>
      <c r="K66" s="321"/>
      <c r="L66" s="347">
        <v>4806</v>
      </c>
      <c r="V66" s="334">
        <v>5562</v>
      </c>
      <c r="AF66" s="335">
        <v>5598</v>
      </c>
      <c r="AP66" s="336">
        <v>6200</v>
      </c>
      <c r="AZ66" s="338">
        <v>6000</v>
      </c>
      <c r="BJ66" s="340">
        <v>6000</v>
      </c>
      <c r="BT66" s="341"/>
    </row>
    <row r="67" spans="1:72" ht="31.5" customHeight="1">
      <c r="A67" s="317">
        <v>23</v>
      </c>
      <c r="B67" s="320"/>
      <c r="C67" s="420">
        <v>20064365</v>
      </c>
      <c r="D67" s="321" t="s">
        <v>465</v>
      </c>
      <c r="E67" s="326" t="s">
        <v>69</v>
      </c>
      <c r="F67" s="321"/>
      <c r="G67" s="321"/>
      <c r="H67" s="327"/>
      <c r="I67" s="328">
        <f t="shared" si="9"/>
        <v>8980</v>
      </c>
      <c r="J67" s="328"/>
      <c r="K67" s="321"/>
      <c r="L67" s="347">
        <v>1188</v>
      </c>
      <c r="V67" s="334">
        <v>1188</v>
      </c>
      <c r="AF67" s="335">
        <v>1404</v>
      </c>
      <c r="AP67" s="336">
        <v>1300</v>
      </c>
      <c r="AZ67" s="338">
        <v>1300</v>
      </c>
      <c r="BJ67" s="340">
        <v>1300</v>
      </c>
      <c r="BT67" s="341">
        <v>1300</v>
      </c>
    </row>
    <row r="68" spans="1:72" ht="32.25" customHeight="1">
      <c r="A68" s="317">
        <v>24</v>
      </c>
      <c r="B68" s="320"/>
      <c r="C68" s="420">
        <v>20064787</v>
      </c>
      <c r="D68" s="321" t="s">
        <v>443</v>
      </c>
      <c r="E68" s="326" t="s">
        <v>69</v>
      </c>
      <c r="F68" s="321"/>
      <c r="G68" s="321"/>
      <c r="H68" s="327"/>
      <c r="I68" s="328">
        <f t="shared" si="9"/>
        <v>27120</v>
      </c>
      <c r="J68" s="328"/>
      <c r="K68" s="321"/>
      <c r="L68" s="347">
        <v>5040</v>
      </c>
      <c r="V68" s="334">
        <v>5040</v>
      </c>
      <c r="AF68" s="335">
        <v>5040</v>
      </c>
      <c r="AP68" s="336">
        <v>4000</v>
      </c>
      <c r="AZ68" s="338">
        <v>4000</v>
      </c>
      <c r="BJ68" s="340">
        <v>4000</v>
      </c>
      <c r="BT68" s="341"/>
    </row>
    <row r="69" spans="1:72" ht="30" customHeight="1">
      <c r="A69" s="317">
        <v>25</v>
      </c>
      <c r="B69" s="320"/>
      <c r="C69" s="420">
        <v>20064791</v>
      </c>
      <c r="D69" s="321" t="s">
        <v>444</v>
      </c>
      <c r="E69" s="326" t="s">
        <v>69</v>
      </c>
      <c r="F69" s="321"/>
      <c r="G69" s="321"/>
      <c r="H69" s="327"/>
      <c r="I69" s="328">
        <f t="shared" si="9"/>
        <v>23400</v>
      </c>
      <c r="J69" s="328"/>
      <c r="K69" s="321"/>
      <c r="L69" s="347">
        <v>3400</v>
      </c>
      <c r="V69" s="334">
        <v>4000</v>
      </c>
      <c r="AF69" s="335">
        <v>4000</v>
      </c>
      <c r="AP69" s="336">
        <v>3000</v>
      </c>
      <c r="AZ69" s="338">
        <v>3000</v>
      </c>
      <c r="BJ69" s="340">
        <v>3000</v>
      </c>
      <c r="BT69" s="341">
        <v>3000</v>
      </c>
    </row>
    <row r="70" spans="1:72" ht="32.25" customHeight="1">
      <c r="A70" s="317">
        <v>26</v>
      </c>
      <c r="B70" s="320"/>
      <c r="C70" s="420">
        <v>20064861</v>
      </c>
      <c r="D70" s="321" t="s">
        <v>445</v>
      </c>
      <c r="E70" s="326" t="s">
        <v>69</v>
      </c>
      <c r="F70" s="321"/>
      <c r="G70" s="321"/>
      <c r="H70" s="327"/>
      <c r="I70" s="328">
        <f t="shared" si="9"/>
        <v>18000</v>
      </c>
      <c r="J70" s="328"/>
      <c r="K70" s="321"/>
      <c r="L70" s="347"/>
      <c r="V70" s="334"/>
      <c r="AF70" s="335"/>
      <c r="AP70" s="336"/>
      <c r="AZ70" s="338">
        <v>6000</v>
      </c>
      <c r="BJ70" s="340">
        <v>6000</v>
      </c>
      <c r="BT70" s="341">
        <v>6000</v>
      </c>
    </row>
    <row r="71" spans="1:72" ht="30" hidden="1" customHeight="1">
      <c r="A71" s="317">
        <v>12</v>
      </c>
      <c r="B71" s="320"/>
      <c r="C71" s="420">
        <v>1113237</v>
      </c>
      <c r="D71" s="321" t="s">
        <v>454</v>
      </c>
      <c r="E71" s="217" t="s">
        <v>42</v>
      </c>
      <c r="F71" s="169"/>
      <c r="G71" s="183"/>
      <c r="H71" s="184"/>
      <c r="I71" s="215">
        <f t="shared" si="9"/>
        <v>2557</v>
      </c>
      <c r="J71" s="328"/>
      <c r="K71" s="321"/>
      <c r="L71" s="347">
        <v>263</v>
      </c>
      <c r="V71" s="334">
        <v>250</v>
      </c>
      <c r="AF71" s="335">
        <v>381</v>
      </c>
      <c r="AP71" s="336">
        <v>626</v>
      </c>
      <c r="AZ71" s="338">
        <v>737</v>
      </c>
      <c r="BJ71" s="340">
        <v>300</v>
      </c>
      <c r="BT71" s="351"/>
    </row>
    <row r="72" spans="1:72" ht="31.5" hidden="1" customHeight="1">
      <c r="A72" s="317">
        <v>13</v>
      </c>
      <c r="B72" s="320"/>
      <c r="C72" s="420">
        <v>1113238</v>
      </c>
      <c r="D72" s="321" t="s">
        <v>455</v>
      </c>
      <c r="E72" s="217" t="s">
        <v>42</v>
      </c>
      <c r="F72" s="169"/>
      <c r="G72" s="183"/>
      <c r="H72" s="184"/>
      <c r="I72" s="215">
        <f t="shared" si="9"/>
        <v>0</v>
      </c>
      <c r="J72" s="328"/>
      <c r="K72" s="321"/>
      <c r="L72" s="347"/>
      <c r="V72" s="334"/>
      <c r="AF72" s="335"/>
      <c r="AP72" s="336"/>
      <c r="AZ72" s="338"/>
      <c r="BJ72" s="340"/>
      <c r="BT72" s="351"/>
    </row>
    <row r="73" spans="1:72" ht="35.25" hidden="1" customHeight="1">
      <c r="A73" s="457">
        <v>2</v>
      </c>
      <c r="B73" s="329"/>
      <c r="C73" s="469">
        <v>1112048</v>
      </c>
      <c r="D73" s="323" t="s">
        <v>441</v>
      </c>
      <c r="E73" s="322" t="s">
        <v>203</v>
      </c>
      <c r="F73" s="322"/>
      <c r="G73" s="470"/>
      <c r="H73" s="471"/>
      <c r="I73" s="472">
        <f t="shared" si="9"/>
        <v>1727</v>
      </c>
      <c r="J73" s="324"/>
      <c r="K73" s="323"/>
      <c r="L73" s="467"/>
      <c r="V73" s="473"/>
      <c r="AF73" s="474">
        <f>330+669</f>
        <v>999</v>
      </c>
      <c r="AP73" s="475">
        <v>398</v>
      </c>
      <c r="AZ73" s="476">
        <v>330</v>
      </c>
      <c r="BJ73" s="477"/>
      <c r="BT73" s="468"/>
    </row>
    <row r="74" spans="1:72" ht="36.75" hidden="1" customHeight="1">
      <c r="A74" s="317">
        <v>3</v>
      </c>
      <c r="B74" s="320"/>
      <c r="C74" s="420">
        <v>1112049</v>
      </c>
      <c r="D74" s="321" t="s">
        <v>442</v>
      </c>
      <c r="E74" s="326" t="s">
        <v>203</v>
      </c>
      <c r="F74" s="326"/>
      <c r="G74" s="465"/>
      <c r="H74" s="327"/>
      <c r="I74" s="449">
        <f t="shared" si="9"/>
        <v>1324</v>
      </c>
      <c r="J74" s="328"/>
      <c r="K74" s="321"/>
      <c r="L74" s="347"/>
      <c r="V74" s="334"/>
      <c r="AF74" s="335">
        <f>320+485</f>
        <v>805</v>
      </c>
      <c r="AP74" s="336">
        <v>359</v>
      </c>
      <c r="AZ74" s="338">
        <v>160</v>
      </c>
      <c r="BJ74" s="340"/>
      <c r="BT74" s="351"/>
    </row>
    <row r="75" spans="1:72" ht="16.5" customHeight="1">
      <c r="K75" s="352"/>
      <c r="L75" s="352"/>
      <c r="V75" s="352"/>
      <c r="AF75" s="352"/>
      <c r="AP75" s="352"/>
      <c r="AZ75" s="352"/>
      <c r="BJ75" s="352"/>
    </row>
  </sheetData>
  <autoFilter ref="A1:CB7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383" customFormat="1" ht="15.75" customHeight="1">
      <c r="A1" s="622" t="s">
        <v>14</v>
      </c>
      <c r="B1" s="626"/>
      <c r="C1" s="626"/>
      <c r="D1" s="626"/>
      <c r="E1" s="626"/>
      <c r="F1" s="623"/>
      <c r="G1" s="384"/>
      <c r="H1" s="622" t="s">
        <v>15</v>
      </c>
      <c r="I1" s="623"/>
      <c r="J1" s="623"/>
      <c r="K1" s="623"/>
      <c r="L1" s="623"/>
      <c r="M1" s="623"/>
      <c r="N1" s="384"/>
      <c r="O1" s="622" t="s">
        <v>16</v>
      </c>
      <c r="P1" s="623"/>
      <c r="Q1" s="623"/>
      <c r="R1" s="623"/>
      <c r="S1" s="623"/>
      <c r="T1" s="623"/>
      <c r="U1" s="384"/>
      <c r="V1" s="622" t="s">
        <v>17</v>
      </c>
      <c r="W1" s="623"/>
      <c r="X1" s="623"/>
      <c r="Y1" s="623"/>
      <c r="Z1" s="623"/>
      <c r="AA1" s="623"/>
      <c r="AB1" s="384"/>
      <c r="AC1" s="622" t="s">
        <v>385</v>
      </c>
      <c r="AD1" s="623"/>
      <c r="AE1" s="623"/>
      <c r="AF1" s="623"/>
      <c r="AG1" s="623"/>
      <c r="AH1" s="623"/>
      <c r="AI1" s="384"/>
      <c r="AJ1" s="622" t="s">
        <v>19</v>
      </c>
      <c r="AK1" s="623"/>
      <c r="AL1" s="623"/>
      <c r="AM1" s="623"/>
      <c r="AN1" s="623"/>
      <c r="AO1" s="623"/>
      <c r="AP1" s="384"/>
      <c r="AQ1" s="622" t="s">
        <v>386</v>
      </c>
      <c r="AR1" s="623"/>
      <c r="AS1" s="623"/>
      <c r="AT1" s="623"/>
      <c r="AU1" s="623"/>
      <c r="AV1" s="62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24"/>
      <c r="P68" s="625"/>
      <c r="Q68" s="7"/>
      <c r="R68" s="6"/>
      <c r="S68" s="7"/>
      <c r="T68" s="6"/>
      <c r="U68" s="8"/>
      <c r="V68" s="8"/>
      <c r="W68" s="1"/>
      <c r="X68" s="1"/>
      <c r="Y68" s="624"/>
      <c r="Z68" s="625"/>
      <c r="AA68" s="7"/>
      <c r="AB68" s="6"/>
      <c r="AC68" s="7"/>
      <c r="AD68" s="6"/>
      <c r="AE68" s="8"/>
      <c r="AF68" s="8"/>
      <c r="AG68" s="1"/>
      <c r="AH68" s="1"/>
      <c r="AI68" s="624"/>
      <c r="AJ68" s="625"/>
      <c r="AK68" s="7"/>
      <c r="AL68" s="6"/>
      <c r="AM68" s="7"/>
      <c r="AN68" s="6"/>
      <c r="AO68" s="8"/>
      <c r="AP68" s="8"/>
      <c r="AQ68" s="1"/>
      <c r="AR68" s="1"/>
      <c r="AS68" s="624"/>
      <c r="AT68" s="625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4"/>
      <c r="P69" s="625"/>
      <c r="Q69" s="7"/>
      <c r="R69" s="6"/>
      <c r="S69" s="7"/>
      <c r="T69" s="6"/>
      <c r="U69" s="8"/>
      <c r="V69" s="8"/>
      <c r="W69" s="1"/>
      <c r="X69" s="1"/>
      <c r="Y69" s="624"/>
      <c r="Z69" s="625"/>
      <c r="AA69" s="7"/>
      <c r="AB69" s="6"/>
      <c r="AC69" s="7"/>
      <c r="AD69" s="6"/>
      <c r="AE69" s="8"/>
      <c r="AF69" s="8"/>
      <c r="AG69" s="1"/>
      <c r="AH69" s="1"/>
      <c r="AI69" s="624"/>
      <c r="AJ69" s="625"/>
      <c r="AK69" s="7"/>
      <c r="AL69" s="6"/>
      <c r="AM69" s="7"/>
      <c r="AN69" s="6"/>
      <c r="AO69" s="8"/>
      <c r="AP69" s="8"/>
      <c r="AQ69" s="1"/>
      <c r="AR69" s="1"/>
      <c r="AS69" s="624"/>
      <c r="AT69" s="62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4"/>
      <c r="P70" s="625"/>
      <c r="Q70" s="7"/>
      <c r="R70" s="6"/>
      <c r="S70" s="7"/>
      <c r="T70" s="6"/>
      <c r="U70" s="8"/>
      <c r="V70" s="8"/>
      <c r="W70" s="1"/>
      <c r="X70" s="1"/>
      <c r="Y70" s="624"/>
      <c r="Z70" s="625"/>
      <c r="AA70" s="7"/>
      <c r="AB70" s="6"/>
      <c r="AC70" s="7"/>
      <c r="AD70" s="6"/>
      <c r="AE70" s="8"/>
      <c r="AF70" s="8"/>
      <c r="AG70" s="1"/>
      <c r="AH70" s="1"/>
      <c r="AI70" s="624"/>
      <c r="AJ70" s="625"/>
      <c r="AK70" s="7"/>
      <c r="AL70" s="6"/>
      <c r="AM70" s="7"/>
      <c r="AN70" s="6"/>
      <c r="AO70" s="8"/>
      <c r="AP70" s="8"/>
      <c r="AQ70" s="1"/>
      <c r="AR70" s="1"/>
      <c r="AS70" s="624"/>
      <c r="AT70" s="625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3"/>
  <sheetViews>
    <sheetView tabSelected="1" zoomScale="90" zoomScaleNormal="90" workbookViewId="0">
      <selection activeCell="I78" sqref="I78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84" t="s">
        <v>8</v>
      </c>
      <c r="G1" s="585"/>
      <c r="H1" s="586"/>
      <c r="I1" s="585"/>
      <c r="J1" s="585"/>
      <c r="K1" s="587" t="s">
        <v>459</v>
      </c>
      <c r="L1" s="588"/>
      <c r="M1" s="589"/>
      <c r="N1" s="589"/>
      <c r="O1" s="589"/>
      <c r="P1" s="589"/>
      <c r="Q1" s="589"/>
      <c r="R1" s="589"/>
      <c r="S1" s="589"/>
      <c r="T1" s="589"/>
      <c r="U1" s="589"/>
      <c r="V1" s="588"/>
      <c r="W1" s="589"/>
      <c r="X1" s="589"/>
      <c r="Y1" s="589"/>
      <c r="Z1" s="589"/>
      <c r="AA1" s="589"/>
      <c r="AB1" s="589"/>
      <c r="AC1" s="589"/>
      <c r="AD1" s="589"/>
      <c r="AE1" s="589"/>
      <c r="AF1" s="588"/>
      <c r="AG1" s="589"/>
      <c r="AH1" s="589"/>
      <c r="AI1" s="589"/>
      <c r="AJ1" s="589"/>
      <c r="AK1" s="589"/>
      <c r="AL1" s="589"/>
      <c r="AM1" s="589"/>
      <c r="AN1" s="589"/>
      <c r="AO1" s="589"/>
      <c r="AP1" s="588"/>
      <c r="AQ1" s="589"/>
      <c r="AR1" s="589"/>
      <c r="AS1" s="589"/>
      <c r="AT1" s="589"/>
      <c r="AU1" s="589"/>
      <c r="AV1" s="589"/>
      <c r="AW1" s="589"/>
      <c r="AX1" s="589"/>
      <c r="AY1" s="589"/>
      <c r="AZ1" s="588"/>
      <c r="BA1" s="589"/>
      <c r="BB1" s="589"/>
      <c r="BC1" s="589"/>
      <c r="BD1" s="589"/>
      <c r="BE1" s="589"/>
      <c r="BF1" s="589"/>
      <c r="BG1" s="589"/>
      <c r="BH1" s="589"/>
      <c r="BI1" s="589"/>
      <c r="BJ1" s="588"/>
      <c r="BK1" s="589"/>
      <c r="BL1" s="589"/>
      <c r="BM1" s="589"/>
      <c r="BN1" s="589"/>
      <c r="BO1" s="589"/>
      <c r="BP1" s="589"/>
      <c r="BQ1" s="589"/>
      <c r="BR1" s="589"/>
      <c r="BS1" s="589"/>
      <c r="BT1" s="588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168">
        <v>1</v>
      </c>
      <c r="B2" s="372"/>
      <c r="C2" s="169">
        <v>1113036</v>
      </c>
      <c r="D2" s="262" t="s">
        <v>26</v>
      </c>
      <c r="E2" s="169" t="s">
        <v>27</v>
      </c>
      <c r="F2" s="169"/>
      <c r="G2" s="183"/>
      <c r="H2" s="184">
        <v>0</v>
      </c>
      <c r="I2" s="215">
        <f t="shared" ref="I2:I38" si="0">SUM(L2,V2,AF2,AP2,AZ2,BJ2,BT2)</f>
        <v>16</v>
      </c>
      <c r="J2" s="184">
        <v>0</v>
      </c>
      <c r="K2" s="185"/>
      <c r="L2" s="361">
        <v>6</v>
      </c>
      <c r="M2" s="219"/>
      <c r="N2" s="96"/>
      <c r="O2" s="59"/>
      <c r="P2" s="59"/>
      <c r="Q2" s="59"/>
      <c r="R2" s="59"/>
      <c r="S2" s="44"/>
      <c r="T2" s="59"/>
      <c r="U2" s="218"/>
      <c r="V2" s="362"/>
      <c r="W2" s="219"/>
      <c r="X2" s="96"/>
      <c r="Y2" s="59"/>
      <c r="Z2" s="59"/>
      <c r="AA2" s="59"/>
      <c r="AB2" s="59"/>
      <c r="AC2" s="44"/>
      <c r="AD2" s="59"/>
      <c r="AE2" s="218"/>
      <c r="AF2" s="363"/>
      <c r="AG2" s="219"/>
      <c r="AH2" s="96"/>
      <c r="AI2" s="59"/>
      <c r="AJ2" s="59"/>
      <c r="AK2" s="59"/>
      <c r="AL2" s="59"/>
      <c r="AM2" s="44"/>
      <c r="AN2" s="59"/>
      <c r="AO2" s="218"/>
      <c r="AP2" s="364"/>
      <c r="AQ2" s="219"/>
      <c r="AR2" s="96"/>
      <c r="AS2" s="59"/>
      <c r="AT2" s="59"/>
      <c r="AU2" s="59"/>
      <c r="AV2" s="59"/>
      <c r="AW2" s="44"/>
      <c r="AX2" s="59"/>
      <c r="AY2" s="218"/>
      <c r="AZ2" s="365">
        <v>10</v>
      </c>
      <c r="BA2" s="219"/>
      <c r="BB2" s="96"/>
      <c r="BC2" s="59"/>
      <c r="BD2" s="59"/>
      <c r="BE2" s="59"/>
      <c r="BF2" s="59"/>
      <c r="BG2" s="44"/>
      <c r="BH2" s="59"/>
      <c r="BI2" s="218"/>
      <c r="BJ2" s="366"/>
      <c r="BK2" s="219"/>
      <c r="BL2" s="96"/>
      <c r="BM2" s="59"/>
      <c r="BN2" s="59"/>
      <c r="BO2" s="59"/>
      <c r="BP2" s="59"/>
      <c r="BQ2" s="44"/>
      <c r="BR2" s="59"/>
      <c r="BS2" s="218"/>
      <c r="BT2" s="216"/>
      <c r="BU2" s="219"/>
      <c r="BV2" s="96">
        <f t="shared" ref="BV2:BV34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4" si="2">BT2-BX2</f>
        <v>0</v>
      </c>
      <c r="CB2" s="59">
        <v>0</v>
      </c>
    </row>
    <row r="3" spans="1:80" s="42" customFormat="1" ht="26.25" hidden="1">
      <c r="A3" s="165">
        <v>1</v>
      </c>
      <c r="B3" s="166"/>
      <c r="C3" s="73">
        <v>1111002</v>
      </c>
      <c r="D3" s="75" t="s">
        <v>30</v>
      </c>
      <c r="E3" s="73" t="s">
        <v>31</v>
      </c>
      <c r="F3" s="73"/>
      <c r="G3" s="116"/>
      <c r="H3" s="129">
        <v>0</v>
      </c>
      <c r="I3" s="220">
        <f t="shared" si="0"/>
        <v>0</v>
      </c>
      <c r="J3" s="129">
        <v>0</v>
      </c>
      <c r="K3" s="117"/>
      <c r="L3" s="292"/>
      <c r="M3" s="59"/>
      <c r="N3" s="96"/>
      <c r="O3" s="59"/>
      <c r="P3" s="59"/>
      <c r="Q3" s="59"/>
      <c r="R3" s="59"/>
      <c r="S3" s="44"/>
      <c r="T3" s="59"/>
      <c r="U3" s="59"/>
      <c r="V3" s="137"/>
      <c r="W3" s="59"/>
      <c r="X3" s="96"/>
      <c r="Y3" s="59"/>
      <c r="Z3" s="59"/>
      <c r="AA3" s="59"/>
      <c r="AB3" s="59"/>
      <c r="AC3" s="44"/>
      <c r="AD3" s="59"/>
      <c r="AE3" s="59"/>
      <c r="AF3" s="293"/>
      <c r="AG3" s="59"/>
      <c r="AH3" s="96"/>
      <c r="AI3" s="59"/>
      <c r="AJ3" s="59"/>
      <c r="AK3" s="59"/>
      <c r="AL3" s="59"/>
      <c r="AM3" s="44"/>
      <c r="AN3" s="59"/>
      <c r="AO3" s="59"/>
      <c r="AP3" s="139"/>
      <c r="AQ3" s="59"/>
      <c r="AR3" s="96"/>
      <c r="AS3" s="59"/>
      <c r="AT3" s="59"/>
      <c r="AU3" s="59"/>
      <c r="AV3" s="59"/>
      <c r="AW3" s="44"/>
      <c r="AX3" s="59"/>
      <c r="AY3" s="59"/>
      <c r="AZ3" s="294"/>
      <c r="BA3" s="59"/>
      <c r="BB3" s="96"/>
      <c r="BC3" s="59"/>
      <c r="BD3" s="59"/>
      <c r="BE3" s="59"/>
      <c r="BF3" s="59"/>
      <c r="BG3" s="44"/>
      <c r="BH3" s="59"/>
      <c r="BI3" s="59"/>
      <c r="BJ3" s="141"/>
      <c r="BK3" s="59"/>
      <c r="BL3" s="96"/>
      <c r="BM3" s="59"/>
      <c r="BN3" s="59"/>
      <c r="BO3" s="59"/>
      <c r="BP3" s="59"/>
      <c r="BQ3" s="44"/>
      <c r="BR3" s="59"/>
      <c r="BS3" s="59"/>
      <c r="BT3" s="295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1250</v>
      </c>
      <c r="J4" s="184">
        <v>0</v>
      </c>
      <c r="K4" s="185"/>
      <c r="L4" s="233">
        <v>780</v>
      </c>
      <c r="M4" s="219"/>
      <c r="N4" s="96"/>
      <c r="O4" s="59"/>
      <c r="P4" s="59"/>
      <c r="Q4" s="59"/>
      <c r="R4" s="105"/>
      <c r="S4" s="106"/>
      <c r="T4" s="59"/>
      <c r="U4" s="59"/>
      <c r="V4" s="362"/>
      <c r="W4" s="219"/>
      <c r="X4" s="96"/>
      <c r="Y4" s="59"/>
      <c r="Z4" s="59"/>
      <c r="AA4" s="59"/>
      <c r="AB4" s="105"/>
      <c r="AC4" s="44"/>
      <c r="AD4" s="59"/>
      <c r="AE4" s="59"/>
      <c r="AF4" s="525">
        <v>470</v>
      </c>
      <c r="AG4" s="354"/>
      <c r="AH4" s="96"/>
      <c r="AI4" s="59"/>
      <c r="AJ4" s="59"/>
      <c r="AK4" s="59"/>
      <c r="AL4" s="105"/>
      <c r="AM4" s="44"/>
      <c r="AN4" s="59"/>
      <c r="AO4" s="59"/>
      <c r="AP4" s="364"/>
      <c r="AQ4" s="219"/>
      <c r="AR4" s="96"/>
      <c r="AS4" s="59"/>
      <c r="AT4" s="59"/>
      <c r="AU4" s="59"/>
      <c r="AV4" s="105"/>
      <c r="AW4" s="44"/>
      <c r="AX4" s="59"/>
      <c r="AY4" s="59"/>
      <c r="AZ4" s="368"/>
      <c r="BA4" s="219"/>
      <c r="BB4" s="96"/>
      <c r="BC4" s="59"/>
      <c r="BD4" s="59"/>
      <c r="BE4" s="59"/>
      <c r="BF4" s="105"/>
      <c r="BG4" s="44"/>
      <c r="BH4" s="105"/>
      <c r="BI4" s="59"/>
      <c r="BJ4" s="366"/>
      <c r="BK4" s="219"/>
      <c r="BL4" s="96"/>
      <c r="BM4" s="59"/>
      <c r="BN4" s="59"/>
      <c r="BO4" s="59"/>
      <c r="BP4" s="105"/>
      <c r="BQ4" s="44"/>
      <c r="BR4" s="59"/>
      <c r="BS4" s="59"/>
      <c r="BT4" s="216"/>
      <c r="BU4" s="21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29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1140</v>
      </c>
      <c r="J5" s="184">
        <v>0</v>
      </c>
      <c r="K5" s="185"/>
      <c r="L5" s="201">
        <v>200</v>
      </c>
      <c r="M5" s="219"/>
      <c r="N5" s="96"/>
      <c r="O5" s="59"/>
      <c r="P5" s="59"/>
      <c r="Q5" s="59"/>
      <c r="R5" s="59"/>
      <c r="S5" s="44"/>
      <c r="T5" s="59"/>
      <c r="U5" s="218"/>
      <c r="V5" s="202">
        <v>205</v>
      </c>
      <c r="W5" s="219"/>
      <c r="X5" s="96"/>
      <c r="Y5" s="59"/>
      <c r="Z5" s="59"/>
      <c r="AA5" s="59"/>
      <c r="AB5" s="59"/>
      <c r="AC5" s="44"/>
      <c r="AD5" s="59"/>
      <c r="AE5" s="218"/>
      <c r="AF5" s="248">
        <v>160</v>
      </c>
      <c r="AG5" s="219"/>
      <c r="AH5" s="96"/>
      <c r="AI5" s="59"/>
      <c r="AJ5" s="59"/>
      <c r="AK5" s="59"/>
      <c r="AL5" s="59"/>
      <c r="AM5" s="44"/>
      <c r="AN5" s="59"/>
      <c r="AO5" s="218"/>
      <c r="AP5" s="257">
        <v>125</v>
      </c>
      <c r="AQ5" s="219"/>
      <c r="AR5" s="96"/>
      <c r="AS5" s="59"/>
      <c r="AT5" s="59"/>
      <c r="AU5" s="59"/>
      <c r="AV5" s="59"/>
      <c r="AW5" s="44"/>
      <c r="AX5" s="59"/>
      <c r="AY5" s="218"/>
      <c r="AZ5" s="259">
        <v>280</v>
      </c>
      <c r="BA5" s="219"/>
      <c r="BB5" s="96"/>
      <c r="BC5" s="59"/>
      <c r="BD5" s="59"/>
      <c r="BE5" s="59"/>
      <c r="BF5" s="59"/>
      <c r="BG5" s="44"/>
      <c r="BH5" s="59"/>
      <c r="BI5" s="218"/>
      <c r="BJ5" s="261">
        <v>170</v>
      </c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372"/>
      <c r="C6" s="182">
        <v>1004061</v>
      </c>
      <c r="D6" s="403" t="s">
        <v>57</v>
      </c>
      <c r="E6" s="182" t="s">
        <v>27</v>
      </c>
      <c r="F6" s="182"/>
      <c r="G6" s="359"/>
      <c r="H6" s="230">
        <v>0</v>
      </c>
      <c r="I6" s="360">
        <f t="shared" si="0"/>
        <v>26</v>
      </c>
      <c r="J6" s="230">
        <v>0</v>
      </c>
      <c r="K6" s="395"/>
      <c r="L6" s="437">
        <v>11</v>
      </c>
      <c r="M6" s="219"/>
      <c r="N6" s="96"/>
      <c r="O6" s="59"/>
      <c r="P6" s="59"/>
      <c r="Q6" s="59"/>
      <c r="R6" s="59"/>
      <c r="S6" s="44"/>
      <c r="T6" s="59"/>
      <c r="U6" s="218"/>
      <c r="V6" s="396"/>
      <c r="W6" s="219"/>
      <c r="X6" s="96"/>
      <c r="Y6" s="59"/>
      <c r="Z6" s="59"/>
      <c r="AA6" s="59"/>
      <c r="AB6" s="59"/>
      <c r="AC6" s="44"/>
      <c r="AD6" s="59"/>
      <c r="AE6" s="218"/>
      <c r="AF6" s="397"/>
      <c r="AG6" s="219"/>
      <c r="AH6" s="96"/>
      <c r="AI6" s="59"/>
      <c r="AJ6" s="59"/>
      <c r="AK6" s="59"/>
      <c r="AL6" s="59"/>
      <c r="AM6" s="44"/>
      <c r="AN6" s="59"/>
      <c r="AO6" s="218"/>
      <c r="AP6" s="398"/>
      <c r="AQ6" s="219"/>
      <c r="AR6" s="96"/>
      <c r="AS6" s="59"/>
      <c r="AT6" s="59"/>
      <c r="AU6" s="59"/>
      <c r="AV6" s="59"/>
      <c r="AW6" s="44"/>
      <c r="AX6" s="59"/>
      <c r="AY6" s="218"/>
      <c r="AZ6" s="399">
        <v>15</v>
      </c>
      <c r="BA6" s="219"/>
      <c r="BB6" s="96"/>
      <c r="BC6" s="59"/>
      <c r="BD6" s="59"/>
      <c r="BE6" s="59"/>
      <c r="BF6" s="59"/>
      <c r="BG6" s="44"/>
      <c r="BH6" s="59"/>
      <c r="BI6" s="218"/>
      <c r="BJ6" s="400"/>
      <c r="BK6" s="219"/>
      <c r="BL6" s="96"/>
      <c r="BM6" s="59"/>
      <c r="BN6" s="59"/>
      <c r="BO6" s="59"/>
      <c r="BP6" s="59"/>
      <c r="BQ6" s="44"/>
      <c r="BR6" s="59"/>
      <c r="BS6" s="218"/>
      <c r="BT6" s="438"/>
      <c r="BU6" s="21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372"/>
      <c r="C7" s="169">
        <v>1004071</v>
      </c>
      <c r="D7" s="262" t="s">
        <v>122</v>
      </c>
      <c r="E7" s="169" t="s">
        <v>27</v>
      </c>
      <c r="F7" s="169"/>
      <c r="G7" s="183"/>
      <c r="H7" s="184">
        <v>0</v>
      </c>
      <c r="I7" s="215">
        <f t="shared" si="0"/>
        <v>0</v>
      </c>
      <c r="J7" s="184">
        <v>0</v>
      </c>
      <c r="K7" s="185"/>
      <c r="L7" s="361">
        <v>0</v>
      </c>
      <c r="M7" s="219"/>
      <c r="N7" s="96"/>
      <c r="O7" s="59"/>
      <c r="P7" s="59"/>
      <c r="Q7" s="59"/>
      <c r="R7" s="59"/>
      <c r="S7" s="44"/>
      <c r="T7" s="59"/>
      <c r="U7" s="218"/>
      <c r="V7" s="362"/>
      <c r="W7" s="219"/>
      <c r="X7" s="96"/>
      <c r="Y7" s="59"/>
      <c r="Z7" s="59"/>
      <c r="AA7" s="59"/>
      <c r="AB7" s="59"/>
      <c r="AC7" s="44"/>
      <c r="AD7" s="59"/>
      <c r="AE7" s="218"/>
      <c r="AF7" s="363"/>
      <c r="AG7" s="219"/>
      <c r="AH7" s="96"/>
      <c r="AI7" s="59"/>
      <c r="AJ7" s="59"/>
      <c r="AK7" s="59"/>
      <c r="AL7" s="59"/>
      <c r="AM7" s="44"/>
      <c r="AN7" s="59"/>
      <c r="AO7" s="218"/>
      <c r="AP7" s="364"/>
      <c r="AQ7" s="219"/>
      <c r="AR7" s="96"/>
      <c r="AS7" s="59"/>
      <c r="AT7" s="59"/>
      <c r="AU7" s="59"/>
      <c r="AV7" s="59"/>
      <c r="AW7" s="44"/>
      <c r="AX7" s="59"/>
      <c r="AY7" s="218"/>
      <c r="AZ7" s="365"/>
      <c r="BA7" s="219"/>
      <c r="BB7" s="96"/>
      <c r="BC7" s="59"/>
      <c r="BD7" s="59"/>
      <c r="BE7" s="59"/>
      <c r="BF7" s="59"/>
      <c r="BG7" s="44"/>
      <c r="BH7" s="59"/>
      <c r="BI7" s="218"/>
      <c r="BJ7" s="366"/>
      <c r="BK7" s="219"/>
      <c r="BL7" s="96"/>
      <c r="BM7" s="59"/>
      <c r="BN7" s="59"/>
      <c r="BO7" s="59"/>
      <c r="BP7" s="59"/>
      <c r="BQ7" s="44"/>
      <c r="BR7" s="59"/>
      <c r="BS7" s="218"/>
      <c r="BT7" s="216"/>
      <c r="BU7" s="21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372"/>
      <c r="C8" s="169">
        <v>1004070</v>
      </c>
      <c r="D8" s="262" t="s">
        <v>123</v>
      </c>
      <c r="E8" s="169" t="s">
        <v>27</v>
      </c>
      <c r="F8" s="169"/>
      <c r="G8" s="183"/>
      <c r="H8" s="184">
        <v>0</v>
      </c>
      <c r="I8" s="215">
        <f t="shared" si="0"/>
        <v>7</v>
      </c>
      <c r="J8" s="184">
        <v>0</v>
      </c>
      <c r="K8" s="185"/>
      <c r="L8" s="361">
        <v>2</v>
      </c>
      <c r="M8" s="219"/>
      <c r="N8" s="96"/>
      <c r="O8" s="59"/>
      <c r="P8" s="59"/>
      <c r="Q8" s="59"/>
      <c r="R8" s="59"/>
      <c r="S8" s="44"/>
      <c r="T8" s="59"/>
      <c r="U8" s="218"/>
      <c r="V8" s="362"/>
      <c r="W8" s="219"/>
      <c r="X8" s="96"/>
      <c r="Y8" s="59"/>
      <c r="Z8" s="59"/>
      <c r="AA8" s="59"/>
      <c r="AB8" s="59"/>
      <c r="AC8" s="44"/>
      <c r="AD8" s="59"/>
      <c r="AE8" s="218"/>
      <c r="AF8" s="363"/>
      <c r="AG8" s="219"/>
      <c r="AH8" s="96"/>
      <c r="AI8" s="59"/>
      <c r="AJ8" s="59"/>
      <c r="AK8" s="59"/>
      <c r="AL8" s="59"/>
      <c r="AM8" s="44"/>
      <c r="AN8" s="59"/>
      <c r="AO8" s="218"/>
      <c r="AP8" s="364"/>
      <c r="AQ8" s="219"/>
      <c r="AR8" s="96"/>
      <c r="AS8" s="59"/>
      <c r="AT8" s="59"/>
      <c r="AU8" s="59"/>
      <c r="AV8" s="59"/>
      <c r="AW8" s="44"/>
      <c r="AX8" s="59"/>
      <c r="AY8" s="218"/>
      <c r="AZ8" s="365">
        <v>5</v>
      </c>
      <c r="BA8" s="219"/>
      <c r="BB8" s="96"/>
      <c r="BC8" s="59"/>
      <c r="BD8" s="59"/>
      <c r="BE8" s="59"/>
      <c r="BF8" s="59"/>
      <c r="BG8" s="44"/>
      <c r="BH8" s="59"/>
      <c r="BI8" s="218"/>
      <c r="BJ8" s="366"/>
      <c r="BK8" s="219"/>
      <c r="BL8" s="96"/>
      <c r="BM8" s="59"/>
      <c r="BN8" s="59"/>
      <c r="BO8" s="59"/>
      <c r="BP8" s="59"/>
      <c r="BQ8" s="44"/>
      <c r="BR8" s="59"/>
      <c r="BS8" s="218"/>
      <c r="BT8" s="216"/>
      <c r="BU8" s="21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372"/>
      <c r="C9" s="169">
        <v>1004063</v>
      </c>
      <c r="D9" s="262" t="s">
        <v>124</v>
      </c>
      <c r="E9" s="169" t="s">
        <v>27</v>
      </c>
      <c r="F9" s="169"/>
      <c r="G9" s="183"/>
      <c r="H9" s="184">
        <v>0</v>
      </c>
      <c r="I9" s="215">
        <f t="shared" si="0"/>
        <v>44</v>
      </c>
      <c r="J9" s="184">
        <v>0</v>
      </c>
      <c r="K9" s="185"/>
      <c r="L9" s="361">
        <v>24</v>
      </c>
      <c r="M9" s="219"/>
      <c r="N9" s="96"/>
      <c r="O9" s="59"/>
      <c r="P9" s="59"/>
      <c r="Q9" s="59"/>
      <c r="R9" s="59"/>
      <c r="S9" s="44"/>
      <c r="T9" s="59"/>
      <c r="U9" s="218"/>
      <c r="V9" s="362"/>
      <c r="W9" s="219"/>
      <c r="X9" s="96"/>
      <c r="Y9" s="59"/>
      <c r="Z9" s="59"/>
      <c r="AA9" s="59"/>
      <c r="AB9" s="59"/>
      <c r="AC9" s="44"/>
      <c r="AD9" s="59"/>
      <c r="AE9" s="218"/>
      <c r="AF9" s="363"/>
      <c r="AG9" s="219"/>
      <c r="AH9" s="96"/>
      <c r="AI9" s="59"/>
      <c r="AJ9" s="59"/>
      <c r="AK9" s="59"/>
      <c r="AL9" s="59"/>
      <c r="AM9" s="44"/>
      <c r="AN9" s="59"/>
      <c r="AO9" s="218"/>
      <c r="AP9" s="364"/>
      <c r="AQ9" s="219"/>
      <c r="AR9" s="96"/>
      <c r="AS9" s="59"/>
      <c r="AT9" s="59"/>
      <c r="AU9" s="59"/>
      <c r="AV9" s="59"/>
      <c r="AW9" s="44"/>
      <c r="AX9" s="59"/>
      <c r="AY9" s="218"/>
      <c r="AZ9" s="365">
        <v>20</v>
      </c>
      <c r="BA9" s="219"/>
      <c r="BB9" s="96"/>
      <c r="BC9" s="59"/>
      <c r="BD9" s="59"/>
      <c r="BE9" s="59"/>
      <c r="BF9" s="59"/>
      <c r="BG9" s="44"/>
      <c r="BH9" s="59"/>
      <c r="BI9" s="218"/>
      <c r="BJ9" s="366"/>
      <c r="BK9" s="219"/>
      <c r="BL9" s="96"/>
      <c r="BM9" s="59"/>
      <c r="BN9" s="59"/>
      <c r="BO9" s="59"/>
      <c r="BP9" s="59"/>
      <c r="BQ9" s="44"/>
      <c r="BR9" s="59"/>
      <c r="BS9" s="218"/>
      <c r="BT9" s="216"/>
      <c r="BU9" s="21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372"/>
      <c r="C10" s="169">
        <v>1004065</v>
      </c>
      <c r="D10" s="262" t="s">
        <v>125</v>
      </c>
      <c r="E10" s="169" t="s">
        <v>27</v>
      </c>
      <c r="F10" s="169"/>
      <c r="G10" s="183"/>
      <c r="H10" s="184">
        <v>0</v>
      </c>
      <c r="I10" s="215">
        <f t="shared" si="0"/>
        <v>30</v>
      </c>
      <c r="J10" s="184">
        <v>0</v>
      </c>
      <c r="K10" s="185"/>
      <c r="L10" s="361">
        <v>15</v>
      </c>
      <c r="M10" s="219"/>
      <c r="N10" s="96"/>
      <c r="O10" s="59"/>
      <c r="P10" s="59"/>
      <c r="Q10" s="59"/>
      <c r="R10" s="59"/>
      <c r="S10" s="44"/>
      <c r="T10" s="59"/>
      <c r="U10" s="218"/>
      <c r="V10" s="362"/>
      <c r="W10" s="219"/>
      <c r="X10" s="96"/>
      <c r="Y10" s="59"/>
      <c r="Z10" s="59"/>
      <c r="AA10" s="59"/>
      <c r="AB10" s="59"/>
      <c r="AC10" s="44"/>
      <c r="AD10" s="59"/>
      <c r="AE10" s="218"/>
      <c r="AF10" s="363"/>
      <c r="AG10" s="219"/>
      <c r="AH10" s="96"/>
      <c r="AI10" s="59"/>
      <c r="AJ10" s="59"/>
      <c r="AK10" s="59"/>
      <c r="AL10" s="59"/>
      <c r="AM10" s="44"/>
      <c r="AN10" s="59"/>
      <c r="AO10" s="218"/>
      <c r="AP10" s="364"/>
      <c r="AQ10" s="219"/>
      <c r="AR10" s="96"/>
      <c r="AS10" s="59"/>
      <c r="AT10" s="59"/>
      <c r="AU10" s="59"/>
      <c r="AV10" s="59"/>
      <c r="AW10" s="44"/>
      <c r="AX10" s="59"/>
      <c r="AY10" s="218"/>
      <c r="AZ10" s="365">
        <v>15</v>
      </c>
      <c r="BA10" s="219"/>
      <c r="BB10" s="96"/>
      <c r="BC10" s="59"/>
      <c r="BD10" s="59"/>
      <c r="BE10" s="59"/>
      <c r="BF10" s="59"/>
      <c r="BG10" s="44"/>
      <c r="BH10" s="59"/>
      <c r="BI10" s="218"/>
      <c r="BJ10" s="366"/>
      <c r="BK10" s="219"/>
      <c r="BL10" s="96"/>
      <c r="BM10" s="59"/>
      <c r="BN10" s="59"/>
      <c r="BO10" s="59"/>
      <c r="BP10" s="59"/>
      <c r="BQ10" s="44"/>
      <c r="BR10" s="59"/>
      <c r="BS10" s="218"/>
      <c r="BT10" s="216"/>
      <c r="BU10" s="21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372"/>
      <c r="C11" s="169">
        <v>1004074</v>
      </c>
      <c r="D11" s="262" t="s">
        <v>128</v>
      </c>
      <c r="E11" s="169" t="s">
        <v>27</v>
      </c>
      <c r="F11" s="169"/>
      <c r="G11" s="183"/>
      <c r="H11" s="184">
        <v>0</v>
      </c>
      <c r="I11" s="215">
        <f t="shared" si="0"/>
        <v>28</v>
      </c>
      <c r="J11" s="184">
        <v>0</v>
      </c>
      <c r="K11" s="185"/>
      <c r="L11" s="361">
        <v>13</v>
      </c>
      <c r="M11" s="219"/>
      <c r="N11" s="96"/>
      <c r="O11" s="59"/>
      <c r="P11" s="59"/>
      <c r="Q11" s="59"/>
      <c r="R11" s="59"/>
      <c r="S11" s="44"/>
      <c r="T11" s="59"/>
      <c r="U11" s="218"/>
      <c r="V11" s="362"/>
      <c r="W11" s="219"/>
      <c r="X11" s="96"/>
      <c r="Y11" s="59"/>
      <c r="Z11" s="59"/>
      <c r="AA11" s="59"/>
      <c r="AB11" s="59"/>
      <c r="AC11" s="44"/>
      <c r="AD11" s="59"/>
      <c r="AE11" s="218"/>
      <c r="AF11" s="363"/>
      <c r="AG11" s="219"/>
      <c r="AH11" s="96"/>
      <c r="AI11" s="59"/>
      <c r="AJ11" s="59"/>
      <c r="AK11" s="59"/>
      <c r="AL11" s="59"/>
      <c r="AM11" s="44"/>
      <c r="AN11" s="59"/>
      <c r="AO11" s="218"/>
      <c r="AP11" s="364"/>
      <c r="AQ11" s="219"/>
      <c r="AR11" s="96"/>
      <c r="AS11" s="59"/>
      <c r="AT11" s="59"/>
      <c r="AU11" s="59"/>
      <c r="AV11" s="59"/>
      <c r="AW11" s="44"/>
      <c r="AX11" s="59"/>
      <c r="AY11" s="218"/>
      <c r="AZ11" s="365">
        <v>15</v>
      </c>
      <c r="BA11" s="219"/>
      <c r="BB11" s="96"/>
      <c r="BC11" s="59"/>
      <c r="BD11" s="59"/>
      <c r="BE11" s="59"/>
      <c r="BF11" s="59"/>
      <c r="BG11" s="44"/>
      <c r="BH11" s="59"/>
      <c r="BI11" s="218"/>
      <c r="BJ11" s="366"/>
      <c r="BK11" s="219"/>
      <c r="BL11" s="96"/>
      <c r="BM11" s="59"/>
      <c r="BN11" s="59"/>
      <c r="BO11" s="59"/>
      <c r="BP11" s="59"/>
      <c r="BQ11" s="44"/>
      <c r="BR11" s="59"/>
      <c r="BS11" s="218"/>
      <c r="BT11" s="216"/>
      <c r="BU11" s="21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372"/>
      <c r="C12" s="169">
        <v>1004064</v>
      </c>
      <c r="D12" s="262" t="s">
        <v>131</v>
      </c>
      <c r="E12" s="169" t="s">
        <v>27</v>
      </c>
      <c r="F12" s="169"/>
      <c r="G12" s="183"/>
      <c r="H12" s="184">
        <v>0</v>
      </c>
      <c r="I12" s="215">
        <f t="shared" si="0"/>
        <v>23</v>
      </c>
      <c r="J12" s="184">
        <v>0</v>
      </c>
      <c r="K12" s="185"/>
      <c r="L12" s="361">
        <v>13</v>
      </c>
      <c r="M12" s="219"/>
      <c r="N12" s="96"/>
      <c r="O12" s="59"/>
      <c r="P12" s="59"/>
      <c r="Q12" s="59"/>
      <c r="R12" s="59"/>
      <c r="S12" s="44"/>
      <c r="T12" s="59"/>
      <c r="U12" s="218"/>
      <c r="V12" s="362"/>
      <c r="W12" s="219"/>
      <c r="X12" s="96"/>
      <c r="Y12" s="59"/>
      <c r="Z12" s="59"/>
      <c r="AA12" s="59"/>
      <c r="AB12" s="59"/>
      <c r="AC12" s="44"/>
      <c r="AD12" s="59"/>
      <c r="AE12" s="218"/>
      <c r="AF12" s="363"/>
      <c r="AG12" s="219"/>
      <c r="AH12" s="96"/>
      <c r="AI12" s="59"/>
      <c r="AJ12" s="59"/>
      <c r="AK12" s="59"/>
      <c r="AL12" s="59"/>
      <c r="AM12" s="44"/>
      <c r="AN12" s="59"/>
      <c r="AO12" s="218"/>
      <c r="AP12" s="364"/>
      <c r="AQ12" s="219"/>
      <c r="AR12" s="96"/>
      <c r="AS12" s="59"/>
      <c r="AT12" s="59"/>
      <c r="AU12" s="59"/>
      <c r="AV12" s="59"/>
      <c r="AW12" s="44"/>
      <c r="AX12" s="59"/>
      <c r="AY12" s="218"/>
      <c r="AZ12" s="365">
        <v>10</v>
      </c>
      <c r="BA12" s="219"/>
      <c r="BB12" s="96"/>
      <c r="BC12" s="59"/>
      <c r="BD12" s="59"/>
      <c r="BE12" s="59"/>
      <c r="BF12" s="59"/>
      <c r="BG12" s="44"/>
      <c r="BH12" s="59"/>
      <c r="BI12" s="218"/>
      <c r="BJ12" s="366"/>
      <c r="BK12" s="219"/>
      <c r="BL12" s="96"/>
      <c r="BM12" s="59"/>
      <c r="BN12" s="59"/>
      <c r="BO12" s="59"/>
      <c r="BP12" s="59"/>
      <c r="BQ12" s="44"/>
      <c r="BR12" s="59"/>
      <c r="BS12" s="218"/>
      <c r="BT12" s="216"/>
      <c r="BU12" s="21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372"/>
      <c r="C13" s="169">
        <v>1004072</v>
      </c>
      <c r="D13" s="262" t="s">
        <v>133</v>
      </c>
      <c r="E13" s="169" t="s">
        <v>27</v>
      </c>
      <c r="F13" s="169"/>
      <c r="G13" s="183"/>
      <c r="H13" s="184">
        <v>0</v>
      </c>
      <c r="I13" s="215">
        <f t="shared" si="0"/>
        <v>19</v>
      </c>
      <c r="J13" s="184">
        <v>0</v>
      </c>
      <c r="K13" s="185"/>
      <c r="L13" s="361">
        <v>4</v>
      </c>
      <c r="M13" s="219"/>
      <c r="N13" s="96"/>
      <c r="O13" s="59"/>
      <c r="P13" s="59"/>
      <c r="Q13" s="59"/>
      <c r="R13" s="59"/>
      <c r="S13" s="44"/>
      <c r="T13" s="59"/>
      <c r="U13" s="218"/>
      <c r="V13" s="362"/>
      <c r="W13" s="219"/>
      <c r="X13" s="96"/>
      <c r="Y13" s="59"/>
      <c r="Z13" s="59"/>
      <c r="AA13" s="59"/>
      <c r="AB13" s="59"/>
      <c r="AC13" s="44"/>
      <c r="AD13" s="59"/>
      <c r="AE13" s="218"/>
      <c r="AF13" s="363"/>
      <c r="AG13" s="219"/>
      <c r="AH13" s="96"/>
      <c r="AI13" s="59"/>
      <c r="AJ13" s="59"/>
      <c r="AK13" s="59"/>
      <c r="AL13" s="59"/>
      <c r="AM13" s="44"/>
      <c r="AN13" s="59"/>
      <c r="AO13" s="218"/>
      <c r="AP13" s="364"/>
      <c r="AQ13" s="219"/>
      <c r="AR13" s="96"/>
      <c r="AS13" s="59"/>
      <c r="AT13" s="59"/>
      <c r="AU13" s="59"/>
      <c r="AV13" s="59"/>
      <c r="AW13" s="44"/>
      <c r="AX13" s="59"/>
      <c r="AY13" s="218"/>
      <c r="AZ13" s="365">
        <v>15</v>
      </c>
      <c r="BA13" s="219"/>
      <c r="BB13" s="96"/>
      <c r="BC13" s="59"/>
      <c r="BD13" s="59"/>
      <c r="BE13" s="59"/>
      <c r="BF13" s="59"/>
      <c r="BG13" s="44"/>
      <c r="BH13" s="59"/>
      <c r="BI13" s="218"/>
      <c r="BJ13" s="366"/>
      <c r="BK13" s="219"/>
      <c r="BL13" s="96"/>
      <c r="BM13" s="59"/>
      <c r="BN13" s="59"/>
      <c r="BO13" s="59"/>
      <c r="BP13" s="59"/>
      <c r="BQ13" s="44"/>
      <c r="BR13" s="59"/>
      <c r="BS13" s="218"/>
      <c r="BT13" s="216"/>
      <c r="BU13" s="21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372"/>
      <c r="C14" s="169">
        <v>1113008</v>
      </c>
      <c r="D14" s="262" t="s">
        <v>137</v>
      </c>
      <c r="E14" s="169" t="s">
        <v>27</v>
      </c>
      <c r="F14" s="169"/>
      <c r="G14" s="183"/>
      <c r="H14" s="184">
        <v>0</v>
      </c>
      <c r="I14" s="215">
        <f t="shared" ref="I14" si="3">SUM(L14,V14,AF14,AP14,AZ14,BJ14,BT14)</f>
        <v>38</v>
      </c>
      <c r="J14" s="184">
        <v>0</v>
      </c>
      <c r="K14" s="185"/>
      <c r="L14" s="361">
        <v>18</v>
      </c>
      <c r="M14" s="219"/>
      <c r="N14" s="96"/>
      <c r="O14" s="59"/>
      <c r="P14" s="59"/>
      <c r="Q14" s="59"/>
      <c r="R14" s="59"/>
      <c r="S14" s="44"/>
      <c r="T14" s="59"/>
      <c r="U14" s="218"/>
      <c r="V14" s="362"/>
      <c r="W14" s="219"/>
      <c r="X14" s="96"/>
      <c r="Y14" s="59"/>
      <c r="Z14" s="59"/>
      <c r="AA14" s="59"/>
      <c r="AB14" s="59"/>
      <c r="AC14" s="44"/>
      <c r="AD14" s="59"/>
      <c r="AE14" s="218"/>
      <c r="AF14" s="363"/>
      <c r="AG14" s="219"/>
      <c r="AH14" s="96"/>
      <c r="AI14" s="59"/>
      <c r="AJ14" s="59"/>
      <c r="AK14" s="59"/>
      <c r="AL14" s="59"/>
      <c r="AM14" s="44"/>
      <c r="AN14" s="59"/>
      <c r="AO14" s="218"/>
      <c r="AP14" s="364"/>
      <c r="AQ14" s="219"/>
      <c r="AR14" s="96"/>
      <c r="AS14" s="59"/>
      <c r="AT14" s="59"/>
      <c r="AU14" s="59"/>
      <c r="AV14" s="59"/>
      <c r="AW14" s="44"/>
      <c r="AX14" s="59"/>
      <c r="AY14" s="218"/>
      <c r="AZ14" s="365">
        <v>20</v>
      </c>
      <c r="BA14" s="219"/>
      <c r="BB14" s="96"/>
      <c r="BC14" s="59"/>
      <c r="BD14" s="59"/>
      <c r="BE14" s="59"/>
      <c r="BF14" s="59"/>
      <c r="BG14" s="44"/>
      <c r="BH14" s="59"/>
      <c r="BI14" s="218"/>
      <c r="BJ14" s="366"/>
      <c r="BK14" s="219"/>
      <c r="BL14" s="96"/>
      <c r="BM14" s="59"/>
      <c r="BN14" s="59"/>
      <c r="BO14" s="59"/>
      <c r="BP14" s="59"/>
      <c r="BQ14" s="44"/>
      <c r="BR14" s="59"/>
      <c r="BS14" s="218"/>
      <c r="BT14" s="216"/>
      <c r="BU14" s="21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79">
        <v>11</v>
      </c>
      <c r="B15" s="388"/>
      <c r="C15" s="226">
        <v>1113106</v>
      </c>
      <c r="D15" s="376" t="s">
        <v>152</v>
      </c>
      <c r="E15" s="226" t="s">
        <v>27</v>
      </c>
      <c r="F15" s="226"/>
      <c r="G15" s="227"/>
      <c r="H15" s="228">
        <v>0</v>
      </c>
      <c r="I15" s="357">
        <f t="shared" ref="I15" si="4">SUM(L15,V15,AF15,AP15,AZ15,BJ15,BT15)</f>
        <v>26</v>
      </c>
      <c r="J15" s="228">
        <v>0</v>
      </c>
      <c r="K15" s="253"/>
      <c r="L15" s="389">
        <v>11</v>
      </c>
      <c r="M15" s="219"/>
      <c r="N15" s="96"/>
      <c r="O15" s="59"/>
      <c r="P15" s="59"/>
      <c r="Q15" s="59"/>
      <c r="R15" s="59"/>
      <c r="S15" s="44"/>
      <c r="T15" s="59"/>
      <c r="U15" s="218"/>
      <c r="V15" s="377"/>
      <c r="W15" s="219"/>
      <c r="X15" s="96"/>
      <c r="Y15" s="59"/>
      <c r="Z15" s="59"/>
      <c r="AA15" s="59"/>
      <c r="AB15" s="59"/>
      <c r="AC15" s="44"/>
      <c r="AD15" s="59"/>
      <c r="AE15" s="218"/>
      <c r="AF15" s="378"/>
      <c r="AG15" s="219"/>
      <c r="AH15" s="96"/>
      <c r="AI15" s="59"/>
      <c r="AJ15" s="59"/>
      <c r="AK15" s="59"/>
      <c r="AL15" s="59"/>
      <c r="AM15" s="44"/>
      <c r="AN15" s="59"/>
      <c r="AO15" s="218"/>
      <c r="AP15" s="379"/>
      <c r="AQ15" s="219"/>
      <c r="AR15" s="96"/>
      <c r="AS15" s="59"/>
      <c r="AT15" s="59"/>
      <c r="AU15" s="59"/>
      <c r="AV15" s="59"/>
      <c r="AW15" s="44"/>
      <c r="AX15" s="59"/>
      <c r="AY15" s="218"/>
      <c r="AZ15" s="380">
        <v>15</v>
      </c>
      <c r="BA15" s="219"/>
      <c r="BB15" s="96"/>
      <c r="BC15" s="59"/>
      <c r="BD15" s="59"/>
      <c r="BE15" s="59"/>
      <c r="BF15" s="59"/>
      <c r="BG15" s="44"/>
      <c r="BH15" s="59"/>
      <c r="BI15" s="218"/>
      <c r="BJ15" s="381"/>
      <c r="BK15" s="219"/>
      <c r="BL15" s="96"/>
      <c r="BM15" s="59"/>
      <c r="BN15" s="59"/>
      <c r="BO15" s="59"/>
      <c r="BP15" s="59"/>
      <c r="BQ15" s="44"/>
      <c r="BR15" s="59"/>
      <c r="BS15" s="218"/>
      <c r="BT15" s="436"/>
      <c r="BU15" s="21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29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6666</v>
      </c>
      <c r="J16" s="184">
        <v>0</v>
      </c>
      <c r="K16" s="185"/>
      <c r="L16" s="252">
        <v>1087</v>
      </c>
      <c r="M16" s="219"/>
      <c r="N16" s="96"/>
      <c r="O16" s="59"/>
      <c r="P16" s="59"/>
      <c r="Q16" s="59"/>
      <c r="R16" s="59"/>
      <c r="S16" s="106"/>
      <c r="T16" s="59"/>
      <c r="U16" s="218"/>
      <c r="V16" s="202">
        <v>2015</v>
      </c>
      <c r="W16" s="219"/>
      <c r="X16" s="96"/>
      <c r="Y16" s="59"/>
      <c r="Z16" s="59"/>
      <c r="AA16" s="59"/>
      <c r="AB16" s="59"/>
      <c r="AC16" s="44"/>
      <c r="AD16" s="59"/>
      <c r="AE16" s="218"/>
      <c r="AF16" s="224">
        <v>859</v>
      </c>
      <c r="AG16" s="219"/>
      <c r="AH16" s="96"/>
      <c r="AI16" s="59"/>
      <c r="AJ16" s="59"/>
      <c r="AK16" s="59"/>
      <c r="AL16" s="59"/>
      <c r="AM16" s="106"/>
      <c r="AN16" s="59"/>
      <c r="AO16" s="218"/>
      <c r="AP16" s="244">
        <v>929</v>
      </c>
      <c r="AQ16" s="219"/>
      <c r="AR16" s="96"/>
      <c r="AS16" s="59"/>
      <c r="AT16" s="59"/>
      <c r="AU16" s="59"/>
      <c r="AV16" s="59"/>
      <c r="AW16" s="44"/>
      <c r="AX16" s="59"/>
      <c r="AY16" s="218"/>
      <c r="AZ16" s="203">
        <v>676</v>
      </c>
      <c r="BA16" s="219"/>
      <c r="BB16" s="96"/>
      <c r="BC16" s="59"/>
      <c r="BD16" s="59"/>
      <c r="BE16" s="59"/>
      <c r="BF16" s="59"/>
      <c r="BG16" s="106"/>
      <c r="BH16" s="59"/>
      <c r="BI16" s="218"/>
      <c r="BJ16" s="261">
        <v>1100</v>
      </c>
      <c r="BK16" s="219"/>
      <c r="BL16" s="96"/>
      <c r="BM16" s="59"/>
      <c r="BN16" s="59"/>
      <c r="BO16" s="59"/>
      <c r="BP16" s="59"/>
      <c r="BQ16" s="44"/>
      <c r="BR16" s="59"/>
      <c r="BS16" s="218"/>
      <c r="BT16" s="204"/>
      <c r="BU16" s="21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29"/>
      <c r="C17" s="303">
        <v>1113087</v>
      </c>
      <c r="D17" s="548" t="s">
        <v>169</v>
      </c>
      <c r="E17" s="443" t="s">
        <v>170</v>
      </c>
      <c r="F17" s="226"/>
      <c r="G17" s="227"/>
      <c r="H17" s="228">
        <v>0</v>
      </c>
      <c r="I17" s="357">
        <f t="shared" si="0"/>
        <v>4964</v>
      </c>
      <c r="J17" s="228">
        <v>0</v>
      </c>
      <c r="K17" s="253"/>
      <c r="L17" s="444">
        <v>825</v>
      </c>
      <c r="M17" s="219"/>
      <c r="N17" s="96"/>
      <c r="O17" s="59"/>
      <c r="P17" s="59"/>
      <c r="Q17" s="59"/>
      <c r="R17" s="59"/>
      <c r="S17" s="106"/>
      <c r="T17" s="59"/>
      <c r="U17" s="218"/>
      <c r="V17" s="445">
        <v>1227</v>
      </c>
      <c r="W17" s="219"/>
      <c r="X17" s="96"/>
      <c r="Y17" s="59"/>
      <c r="Z17" s="59"/>
      <c r="AA17" s="59"/>
      <c r="AB17" s="59"/>
      <c r="AC17" s="44"/>
      <c r="AD17" s="59"/>
      <c r="AE17" s="218"/>
      <c r="AF17" s="424">
        <v>537</v>
      </c>
      <c r="AG17" s="219"/>
      <c r="AH17" s="96"/>
      <c r="AI17" s="59"/>
      <c r="AJ17" s="59"/>
      <c r="AK17" s="59"/>
      <c r="AL17" s="59"/>
      <c r="AM17" s="106"/>
      <c r="AN17" s="59"/>
      <c r="AO17" s="218"/>
      <c r="AP17" s="425">
        <v>814</v>
      </c>
      <c r="AQ17" s="219"/>
      <c r="AR17" s="96"/>
      <c r="AS17" s="59"/>
      <c r="AT17" s="59"/>
      <c r="AU17" s="59"/>
      <c r="AV17" s="59"/>
      <c r="AW17" s="44"/>
      <c r="AX17" s="59"/>
      <c r="AY17" s="218"/>
      <c r="AZ17" s="426">
        <v>661</v>
      </c>
      <c r="BA17" s="219"/>
      <c r="BB17" s="96"/>
      <c r="BC17" s="59"/>
      <c r="BD17" s="59"/>
      <c r="BE17" s="59"/>
      <c r="BF17" s="59"/>
      <c r="BG17" s="106"/>
      <c r="BH17" s="59"/>
      <c r="BI17" s="218"/>
      <c r="BJ17" s="446">
        <v>900</v>
      </c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83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11100</v>
      </c>
      <c r="J18" s="184">
        <v>0</v>
      </c>
      <c r="K18" s="185"/>
      <c r="L18" s="233">
        <v>1450</v>
      </c>
      <c r="M18" s="219"/>
      <c r="N18" s="96"/>
      <c r="O18" s="59"/>
      <c r="P18" s="59"/>
      <c r="Q18" s="59"/>
      <c r="R18" s="105"/>
      <c r="S18" s="106"/>
      <c r="T18" s="59"/>
      <c r="U18" s="218"/>
      <c r="V18" s="234">
        <v>1850</v>
      </c>
      <c r="W18" s="219"/>
      <c r="X18" s="96"/>
      <c r="Y18" s="59"/>
      <c r="Z18" s="59"/>
      <c r="AA18" s="59"/>
      <c r="AB18" s="105"/>
      <c r="AC18" s="106"/>
      <c r="AD18" s="59"/>
      <c r="AE18" s="218"/>
      <c r="AF18" s="235">
        <v>1400</v>
      </c>
      <c r="AG18" s="354"/>
      <c r="AH18" s="96"/>
      <c r="AI18" s="59"/>
      <c r="AJ18" s="59"/>
      <c r="AK18" s="59"/>
      <c r="AL18" s="105"/>
      <c r="AM18" s="106"/>
      <c r="AN18" s="59"/>
      <c r="AO18" s="218"/>
      <c r="AP18" s="236">
        <v>2200</v>
      </c>
      <c r="AQ18" s="219"/>
      <c r="AR18" s="96"/>
      <c r="AS18" s="59"/>
      <c r="AT18" s="59"/>
      <c r="AU18" s="59"/>
      <c r="AV18" s="105"/>
      <c r="AW18" s="106"/>
      <c r="AX18" s="59"/>
      <c r="AY18" s="218"/>
      <c r="AZ18" s="237">
        <v>1500</v>
      </c>
      <c r="BA18" s="219"/>
      <c r="BB18" s="96"/>
      <c r="BC18" s="59"/>
      <c r="BD18" s="59"/>
      <c r="BE18" s="59"/>
      <c r="BF18" s="105"/>
      <c r="BG18" s="106"/>
      <c r="BH18" s="105"/>
      <c r="BI18" s="218"/>
      <c r="BJ18" s="238">
        <v>1500</v>
      </c>
      <c r="BK18" s="219"/>
      <c r="BL18" s="96"/>
      <c r="BM18" s="59"/>
      <c r="BN18" s="59"/>
      <c r="BO18" s="59"/>
      <c r="BP18" s="105"/>
      <c r="BQ18" s="106"/>
      <c r="BR18" s="59"/>
      <c r="BS18" s="218"/>
      <c r="BT18" s="204">
        <v>1200</v>
      </c>
      <c r="BU18" s="219"/>
      <c r="BV18" s="96">
        <f t="shared" si="1"/>
        <v>1200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1200</v>
      </c>
      <c r="CB18" s="59">
        <v>0</v>
      </c>
    </row>
    <row r="19" spans="1:80" s="42" customFormat="1" ht="26.25" hidden="1">
      <c r="A19" s="279">
        <v>12</v>
      </c>
      <c r="B19" s="388"/>
      <c r="C19" s="226">
        <v>1113056</v>
      </c>
      <c r="D19" s="376" t="s">
        <v>181</v>
      </c>
      <c r="E19" s="226" t="s">
        <v>27</v>
      </c>
      <c r="F19" s="226"/>
      <c r="G19" s="227"/>
      <c r="H19" s="228">
        <v>0</v>
      </c>
      <c r="I19" s="357">
        <f t="shared" ref="I19:I20" si="5">SUM(L19,V19,AF19,AP19,AZ19,BJ19,BT19)</f>
        <v>0</v>
      </c>
      <c r="J19" s="228">
        <v>0</v>
      </c>
      <c r="K19" s="253"/>
      <c r="L19" s="389"/>
      <c r="M19" s="219"/>
      <c r="N19" s="96"/>
      <c r="O19" s="59"/>
      <c r="P19" s="59"/>
      <c r="Q19" s="59"/>
      <c r="R19" s="59"/>
      <c r="S19" s="44"/>
      <c r="T19" s="59"/>
      <c r="U19" s="218"/>
      <c r="V19" s="377"/>
      <c r="W19" s="219"/>
      <c r="X19" s="96"/>
      <c r="Y19" s="59"/>
      <c r="Z19" s="59"/>
      <c r="AA19" s="59"/>
      <c r="AB19" s="59"/>
      <c r="AC19" s="44"/>
      <c r="AD19" s="59"/>
      <c r="AE19" s="218"/>
      <c r="AF19" s="378"/>
      <c r="AG19" s="219"/>
      <c r="AH19" s="96"/>
      <c r="AI19" s="59"/>
      <c r="AJ19" s="59"/>
      <c r="AK19" s="59"/>
      <c r="AL19" s="59"/>
      <c r="AM19" s="44"/>
      <c r="AN19" s="59"/>
      <c r="AO19" s="218"/>
      <c r="AP19" s="379"/>
      <c r="AQ19" s="219"/>
      <c r="AR19" s="96"/>
      <c r="AS19" s="59"/>
      <c r="AT19" s="59"/>
      <c r="AU19" s="59"/>
      <c r="AV19" s="59"/>
      <c r="AW19" s="44"/>
      <c r="AX19" s="59"/>
      <c r="AY19" s="218"/>
      <c r="AZ19" s="380"/>
      <c r="BA19" s="219"/>
      <c r="BB19" s="96"/>
      <c r="BC19" s="59"/>
      <c r="BD19" s="59"/>
      <c r="BE19" s="59"/>
      <c r="BF19" s="59"/>
      <c r="BG19" s="44"/>
      <c r="BH19" s="59"/>
      <c r="BI19" s="218"/>
      <c r="BJ19" s="381"/>
      <c r="BK19" s="219"/>
      <c r="BL19" s="96"/>
      <c r="BM19" s="59"/>
      <c r="BN19" s="59"/>
      <c r="BO19" s="59"/>
      <c r="BP19" s="59"/>
      <c r="BQ19" s="44"/>
      <c r="BR19" s="59"/>
      <c r="BS19" s="218"/>
      <c r="BT19" s="436"/>
      <c r="BU19" s="21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373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5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372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ref="I21:I22" si="6">SUM(L21,V21,AF21,AP21,AZ21,BJ21,BT21)</f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373"/>
      <c r="C22" s="169">
        <v>1113088</v>
      </c>
      <c r="D22" s="262" t="s">
        <v>407</v>
      </c>
      <c r="E22" s="169" t="s">
        <v>27</v>
      </c>
      <c r="F22" s="169"/>
      <c r="G22" s="183"/>
      <c r="H22" s="184">
        <v>0</v>
      </c>
      <c r="I22" s="215">
        <f t="shared" si="6"/>
        <v>35</v>
      </c>
      <c r="J22" s="184">
        <v>0</v>
      </c>
      <c r="K22" s="185"/>
      <c r="L22" s="201">
        <v>15</v>
      </c>
      <c r="M22" s="219"/>
      <c r="N22" s="96"/>
      <c r="O22" s="59"/>
      <c r="P22" s="59"/>
      <c r="Q22" s="59"/>
      <c r="R22" s="59"/>
      <c r="S22" s="44"/>
      <c r="T22" s="59"/>
      <c r="U22" s="218"/>
      <c r="V22" s="202"/>
      <c r="W22" s="219"/>
      <c r="X22" s="96"/>
      <c r="Y22" s="59"/>
      <c r="Z22" s="59"/>
      <c r="AA22" s="59"/>
      <c r="AB22" s="59"/>
      <c r="AC22" s="44"/>
      <c r="AD22" s="59"/>
      <c r="AE22" s="218"/>
      <c r="AF22" s="248"/>
      <c r="AG22" s="219"/>
      <c r="AH22" s="96"/>
      <c r="AI22" s="59"/>
      <c r="AJ22" s="59"/>
      <c r="AK22" s="59"/>
      <c r="AL22" s="59"/>
      <c r="AM22" s="44"/>
      <c r="AN22" s="59"/>
      <c r="AO22" s="218"/>
      <c r="AP22" s="257"/>
      <c r="AQ22" s="219"/>
      <c r="AR22" s="96"/>
      <c r="AS22" s="59"/>
      <c r="AT22" s="59"/>
      <c r="AU22" s="59"/>
      <c r="AV22" s="59"/>
      <c r="AW22" s="44"/>
      <c r="AX22" s="59"/>
      <c r="AY22" s="218"/>
      <c r="AZ22" s="259">
        <v>20</v>
      </c>
      <c r="BA22" s="219"/>
      <c r="BB22" s="96"/>
      <c r="BC22" s="59"/>
      <c r="BD22" s="59"/>
      <c r="BE22" s="59"/>
      <c r="BF22" s="59"/>
      <c r="BG22" s="44"/>
      <c r="BH22" s="59"/>
      <c r="BI22" s="218"/>
      <c r="BJ22" s="366"/>
      <c r="BK22" s="219"/>
      <c r="BL22" s="96"/>
      <c r="BM22" s="59"/>
      <c r="BN22" s="59"/>
      <c r="BO22" s="59"/>
      <c r="BP22" s="59"/>
      <c r="BQ22" s="44"/>
      <c r="BR22" s="59"/>
      <c r="BS22" s="218"/>
      <c r="BT22" s="216"/>
      <c r="BU22" s="21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79">
        <v>4</v>
      </c>
      <c r="B23" s="440"/>
      <c r="C23" s="441">
        <v>1113089</v>
      </c>
      <c r="D23" s="442" t="s">
        <v>195</v>
      </c>
      <c r="E23" s="443" t="s">
        <v>42</v>
      </c>
      <c r="F23" s="226"/>
      <c r="G23" s="227"/>
      <c r="H23" s="228">
        <v>0</v>
      </c>
      <c r="I23" s="215">
        <f t="shared" si="0"/>
        <v>5624</v>
      </c>
      <c r="J23" s="228">
        <v>0</v>
      </c>
      <c r="K23" s="253"/>
      <c r="L23" s="444">
        <v>1300</v>
      </c>
      <c r="M23" s="219"/>
      <c r="N23" s="96"/>
      <c r="O23" s="59"/>
      <c r="P23" s="59"/>
      <c r="Q23" s="59"/>
      <c r="R23" s="59"/>
      <c r="S23" s="106"/>
      <c r="T23" s="59"/>
      <c r="U23" s="218"/>
      <c r="V23" s="445">
        <v>930</v>
      </c>
      <c r="W23" s="219"/>
      <c r="X23" s="96"/>
      <c r="Y23" s="59"/>
      <c r="Z23" s="59"/>
      <c r="AA23" s="59"/>
      <c r="AB23" s="59"/>
      <c r="AC23" s="44"/>
      <c r="AD23" s="59"/>
      <c r="AE23" s="218"/>
      <c r="AF23" s="424">
        <v>810</v>
      </c>
      <c r="AG23" s="219"/>
      <c r="AH23" s="96"/>
      <c r="AI23" s="59"/>
      <c r="AJ23" s="59"/>
      <c r="AK23" s="59"/>
      <c r="AL23" s="59"/>
      <c r="AM23" s="106"/>
      <c r="AN23" s="59"/>
      <c r="AO23" s="218"/>
      <c r="AP23" s="425">
        <v>749</v>
      </c>
      <c r="AQ23" s="219"/>
      <c r="AR23" s="96"/>
      <c r="AS23" s="59"/>
      <c r="AT23" s="59"/>
      <c r="AU23" s="59"/>
      <c r="AV23" s="59"/>
      <c r="AW23" s="44"/>
      <c r="AX23" s="59"/>
      <c r="AY23" s="218"/>
      <c r="AZ23" s="426">
        <v>835</v>
      </c>
      <c r="BA23" s="219"/>
      <c r="BB23" s="96"/>
      <c r="BC23" s="59"/>
      <c r="BD23" s="59"/>
      <c r="BE23" s="59"/>
      <c r="BF23" s="59"/>
      <c r="BG23" s="106"/>
      <c r="BH23" s="59"/>
      <c r="BI23" s="218"/>
      <c r="BJ23" s="446">
        <v>1000</v>
      </c>
      <c r="BK23" s="219"/>
      <c r="BL23" s="96"/>
      <c r="BM23" s="59"/>
      <c r="BN23" s="59"/>
      <c r="BO23" s="59"/>
      <c r="BP23" s="59"/>
      <c r="BQ23" s="44"/>
      <c r="BR23" s="59"/>
      <c r="BS23" s="218"/>
      <c r="BT23" s="407"/>
      <c r="BU23" s="21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279">
        <v>16</v>
      </c>
      <c r="B24" s="388"/>
      <c r="C24" s="492">
        <v>1113093</v>
      </c>
      <c r="D24" s="493" t="s">
        <v>196</v>
      </c>
      <c r="E24" s="226" t="s">
        <v>27</v>
      </c>
      <c r="F24" s="226"/>
      <c r="G24" s="227"/>
      <c r="H24" s="228">
        <v>0</v>
      </c>
      <c r="I24" s="357">
        <f t="shared" ref="I24" si="7">SUM(L24,V24,AF24,AP24,AZ24,BJ24,BT24)</f>
        <v>28</v>
      </c>
      <c r="J24" s="228">
        <v>0</v>
      </c>
      <c r="K24" s="253"/>
      <c r="L24" s="406">
        <v>13</v>
      </c>
      <c r="M24" s="219"/>
      <c r="N24" s="96"/>
      <c r="O24" s="59"/>
      <c r="P24" s="59"/>
      <c r="Q24" s="59"/>
      <c r="R24" s="105"/>
      <c r="S24" s="106"/>
      <c r="T24" s="59"/>
      <c r="U24" s="218"/>
      <c r="V24" s="377"/>
      <c r="W24" s="219"/>
      <c r="X24" s="96"/>
      <c r="Y24" s="59"/>
      <c r="Z24" s="59"/>
      <c r="AA24" s="59"/>
      <c r="AB24" s="105"/>
      <c r="AC24" s="44"/>
      <c r="AD24" s="59"/>
      <c r="AE24" s="218"/>
      <c r="AF24" s="378"/>
      <c r="AG24" s="354"/>
      <c r="AH24" s="96"/>
      <c r="AI24" s="59"/>
      <c r="AJ24" s="59"/>
      <c r="AK24" s="59"/>
      <c r="AL24" s="105"/>
      <c r="AM24" s="44"/>
      <c r="AN24" s="59"/>
      <c r="AO24" s="218"/>
      <c r="AP24" s="379"/>
      <c r="AQ24" s="219"/>
      <c r="AR24" s="96"/>
      <c r="AS24" s="59"/>
      <c r="AT24" s="59"/>
      <c r="AU24" s="59"/>
      <c r="AV24" s="105"/>
      <c r="AW24" s="44"/>
      <c r="AX24" s="59"/>
      <c r="AY24" s="218"/>
      <c r="AZ24" s="380">
        <v>15</v>
      </c>
      <c r="BA24" s="219"/>
      <c r="BB24" s="96"/>
      <c r="BC24" s="59"/>
      <c r="BD24" s="59"/>
      <c r="BE24" s="59"/>
      <c r="BF24" s="105"/>
      <c r="BG24" s="44"/>
      <c r="BH24" s="105"/>
      <c r="BI24" s="218"/>
      <c r="BJ24" s="381"/>
      <c r="BK24" s="219"/>
      <c r="BL24" s="96"/>
      <c r="BM24" s="59"/>
      <c r="BN24" s="59"/>
      <c r="BO24" s="59"/>
      <c r="BP24" s="105"/>
      <c r="BQ24" s="44"/>
      <c r="BR24" s="59"/>
      <c r="BS24" s="218"/>
      <c r="BT24" s="436"/>
      <c r="BU24" s="21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8">
        <v>2</v>
      </c>
      <c r="B25" s="170"/>
      <c r="C25" s="542">
        <v>20039963</v>
      </c>
      <c r="D25" s="262" t="s">
        <v>433</v>
      </c>
      <c r="E25" s="169" t="s">
        <v>69</v>
      </c>
      <c r="F25" s="169"/>
      <c r="G25" s="183"/>
      <c r="H25" s="184">
        <v>0</v>
      </c>
      <c r="I25" s="232">
        <f t="shared" si="0"/>
        <v>10960</v>
      </c>
      <c r="J25" s="184">
        <v>0</v>
      </c>
      <c r="K25" s="185"/>
      <c r="L25" s="233">
        <v>1350</v>
      </c>
      <c r="M25" s="219"/>
      <c r="N25" s="96"/>
      <c r="O25" s="59"/>
      <c r="P25" s="59"/>
      <c r="Q25" s="59"/>
      <c r="R25" s="59"/>
      <c r="S25" s="106"/>
      <c r="T25" s="59"/>
      <c r="U25" s="218"/>
      <c r="V25" s="234">
        <v>1845</v>
      </c>
      <c r="W25" s="219"/>
      <c r="X25" s="96"/>
      <c r="Y25" s="59"/>
      <c r="Z25" s="59"/>
      <c r="AA25" s="59"/>
      <c r="AB25" s="59"/>
      <c r="AC25" s="106"/>
      <c r="AD25" s="59"/>
      <c r="AE25" s="218"/>
      <c r="AF25" s="235">
        <v>1260</v>
      </c>
      <c r="AG25" s="219"/>
      <c r="AH25" s="96"/>
      <c r="AI25" s="59"/>
      <c r="AJ25" s="59"/>
      <c r="AK25" s="59"/>
      <c r="AL25" s="59"/>
      <c r="AM25" s="106"/>
      <c r="AN25" s="59"/>
      <c r="AO25" s="218"/>
      <c r="AP25" s="236">
        <v>2205</v>
      </c>
      <c r="AQ25" s="219"/>
      <c r="AR25" s="96"/>
      <c r="AS25" s="59"/>
      <c r="AT25" s="59"/>
      <c r="AU25" s="59"/>
      <c r="AV25" s="59"/>
      <c r="AW25" s="106"/>
      <c r="AX25" s="59"/>
      <c r="AY25" s="218"/>
      <c r="AZ25" s="237">
        <v>1500</v>
      </c>
      <c r="BA25" s="219"/>
      <c r="BB25" s="96"/>
      <c r="BC25" s="59"/>
      <c r="BD25" s="59"/>
      <c r="BE25" s="59"/>
      <c r="BF25" s="59"/>
      <c r="BG25" s="106"/>
      <c r="BH25" s="59"/>
      <c r="BI25" s="218"/>
      <c r="BJ25" s="238">
        <v>1500</v>
      </c>
      <c r="BK25" s="219"/>
      <c r="BL25" s="96"/>
      <c r="BM25" s="59"/>
      <c r="BN25" s="59"/>
      <c r="BO25" s="59"/>
      <c r="BP25" s="59"/>
      <c r="BQ25" s="106"/>
      <c r="BR25" s="59"/>
      <c r="BS25" s="218"/>
      <c r="BT25" s="204">
        <v>1300</v>
      </c>
      <c r="BU25" s="219"/>
      <c r="BV25" s="96">
        <f t="shared" si="1"/>
        <v>1300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1300</v>
      </c>
      <c r="CB25" s="59">
        <v>0</v>
      </c>
    </row>
    <row r="26" spans="1:80" s="42" customFormat="1" ht="26.25" hidden="1">
      <c r="A26" s="168">
        <v>17</v>
      </c>
      <c r="B26" s="373"/>
      <c r="C26" s="169">
        <v>1113087</v>
      </c>
      <c r="D26" s="262" t="s">
        <v>410</v>
      </c>
      <c r="E26" s="169" t="s">
        <v>27</v>
      </c>
      <c r="F26" s="169"/>
      <c r="G26" s="183"/>
      <c r="H26" s="184"/>
      <c r="I26" s="215">
        <f t="shared" ref="I26:I27" si="8">SUM(L26,V26,AF26,AP26,AZ26,BJ26,BT26)</f>
        <v>17</v>
      </c>
      <c r="J26" s="184"/>
      <c r="K26" s="185"/>
      <c r="L26" s="233">
        <v>7</v>
      </c>
      <c r="M26" s="219"/>
      <c r="N26" s="96"/>
      <c r="O26" s="105"/>
      <c r="P26" s="59"/>
      <c r="Q26" s="59"/>
      <c r="R26" s="105"/>
      <c r="S26" s="106"/>
      <c r="T26" s="59"/>
      <c r="U26" s="353"/>
      <c r="V26" s="362"/>
      <c r="W26" s="219"/>
      <c r="X26" s="96"/>
      <c r="Y26" s="105"/>
      <c r="Z26" s="59"/>
      <c r="AA26" s="59"/>
      <c r="AB26" s="105"/>
      <c r="AC26" s="44"/>
      <c r="AD26" s="59"/>
      <c r="AE26" s="218"/>
      <c r="AF26" s="363"/>
      <c r="AG26" s="354"/>
      <c r="AH26" s="96"/>
      <c r="AI26" s="105"/>
      <c r="AJ26" s="59"/>
      <c r="AK26" s="59"/>
      <c r="AL26" s="105"/>
      <c r="AM26" s="44"/>
      <c r="AN26" s="59"/>
      <c r="AO26" s="218"/>
      <c r="AP26" s="371"/>
      <c r="AQ26" s="219"/>
      <c r="AR26" s="96"/>
      <c r="AS26" s="105"/>
      <c r="AT26" s="59"/>
      <c r="AU26" s="59"/>
      <c r="AV26" s="105"/>
      <c r="AW26" s="106"/>
      <c r="AX26" s="59"/>
      <c r="AY26" s="218"/>
      <c r="AZ26" s="365">
        <v>10</v>
      </c>
      <c r="BA26" s="219"/>
      <c r="BB26" s="96"/>
      <c r="BC26" s="105"/>
      <c r="BD26" s="59"/>
      <c r="BE26" s="59"/>
      <c r="BF26" s="105"/>
      <c r="BG26" s="44"/>
      <c r="BH26" s="105"/>
      <c r="BI26" s="218"/>
      <c r="BJ26" s="366"/>
      <c r="BK26" s="354"/>
      <c r="BL26" s="96"/>
      <c r="BM26" s="105"/>
      <c r="BN26" s="59"/>
      <c r="BO26" s="59"/>
      <c r="BP26" s="105"/>
      <c r="BQ26" s="44"/>
      <c r="BR26" s="59"/>
      <c r="BS26" s="218"/>
      <c r="BT26" s="216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372"/>
      <c r="C27" s="169">
        <v>1005982</v>
      </c>
      <c r="D27" s="262" t="s">
        <v>199</v>
      </c>
      <c r="E27" s="169" t="s">
        <v>27</v>
      </c>
      <c r="F27" s="169"/>
      <c r="G27" s="183"/>
      <c r="H27" s="184">
        <v>0</v>
      </c>
      <c r="I27" s="215">
        <f t="shared" si="8"/>
        <v>28</v>
      </c>
      <c r="J27" s="184">
        <v>0</v>
      </c>
      <c r="K27" s="185"/>
      <c r="L27" s="361">
        <v>13</v>
      </c>
      <c r="M27" s="219"/>
      <c r="N27" s="96"/>
      <c r="O27" s="59"/>
      <c r="P27" s="59"/>
      <c r="Q27" s="59"/>
      <c r="R27" s="59"/>
      <c r="S27" s="44"/>
      <c r="T27" s="59"/>
      <c r="U27" s="218"/>
      <c r="V27" s="362"/>
      <c r="W27" s="219"/>
      <c r="X27" s="96"/>
      <c r="Y27" s="59"/>
      <c r="Z27" s="59"/>
      <c r="AA27" s="59"/>
      <c r="AB27" s="59"/>
      <c r="AC27" s="44"/>
      <c r="AD27" s="59"/>
      <c r="AE27" s="218"/>
      <c r="AF27" s="363"/>
      <c r="AG27" s="219"/>
      <c r="AH27" s="96"/>
      <c r="AI27" s="59"/>
      <c r="AJ27" s="59"/>
      <c r="AK27" s="59"/>
      <c r="AL27" s="59"/>
      <c r="AM27" s="44"/>
      <c r="AN27" s="59"/>
      <c r="AO27" s="218"/>
      <c r="AP27" s="364"/>
      <c r="AQ27" s="219"/>
      <c r="AR27" s="96"/>
      <c r="AS27" s="59"/>
      <c r="AT27" s="59"/>
      <c r="AU27" s="59"/>
      <c r="AV27" s="59"/>
      <c r="AW27" s="44"/>
      <c r="AX27" s="59"/>
      <c r="AY27" s="218"/>
      <c r="AZ27" s="365">
        <v>15</v>
      </c>
      <c r="BA27" s="219"/>
      <c r="BB27" s="96"/>
      <c r="BC27" s="59"/>
      <c r="BD27" s="59"/>
      <c r="BE27" s="59"/>
      <c r="BF27" s="59"/>
      <c r="BG27" s="44"/>
      <c r="BH27" s="59"/>
      <c r="BI27" s="218"/>
      <c r="BJ27" s="366"/>
      <c r="BK27" s="219"/>
      <c r="BL27" s="96"/>
      <c r="BM27" s="59"/>
      <c r="BN27" s="59"/>
      <c r="BO27" s="59"/>
      <c r="BP27" s="59"/>
      <c r="BQ27" s="44"/>
      <c r="BR27" s="59"/>
      <c r="BS27" s="218"/>
      <c r="BT27" s="216"/>
      <c r="BU27" s="21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29"/>
      <c r="C28" s="433">
        <v>1113086</v>
      </c>
      <c r="D28" s="434" t="s">
        <v>200</v>
      </c>
      <c r="E28" s="217" t="s">
        <v>42</v>
      </c>
      <c r="F28" s="169"/>
      <c r="G28" s="183"/>
      <c r="H28" s="184">
        <v>0</v>
      </c>
      <c r="I28" s="215">
        <f t="shared" si="0"/>
        <v>878</v>
      </c>
      <c r="J28" s="184">
        <v>0</v>
      </c>
      <c r="K28" s="185"/>
      <c r="L28" s="201">
        <v>161</v>
      </c>
      <c r="M28" s="219"/>
      <c r="N28" s="96"/>
      <c r="O28" s="59"/>
      <c r="P28" s="59"/>
      <c r="Q28" s="59"/>
      <c r="R28" s="59"/>
      <c r="S28" s="44"/>
      <c r="T28" s="59"/>
      <c r="U28" s="218"/>
      <c r="V28" s="202">
        <v>163</v>
      </c>
      <c r="W28" s="219"/>
      <c r="X28" s="96"/>
      <c r="Y28" s="59"/>
      <c r="Z28" s="59"/>
      <c r="AA28" s="59"/>
      <c r="AB28" s="59"/>
      <c r="AC28" s="44"/>
      <c r="AD28" s="59"/>
      <c r="AE28" s="218"/>
      <c r="AF28" s="248">
        <v>151</v>
      </c>
      <c r="AG28" s="219"/>
      <c r="AH28" s="96"/>
      <c r="AI28" s="59"/>
      <c r="AJ28" s="59"/>
      <c r="AK28" s="59"/>
      <c r="AL28" s="59"/>
      <c r="AM28" s="44"/>
      <c r="AN28" s="59"/>
      <c r="AO28" s="218"/>
      <c r="AP28" s="257">
        <v>101</v>
      </c>
      <c r="AQ28" s="219"/>
      <c r="AR28" s="96"/>
      <c r="AS28" s="59"/>
      <c r="AT28" s="59"/>
      <c r="AU28" s="59"/>
      <c r="AV28" s="59"/>
      <c r="AW28" s="44"/>
      <c r="AX28" s="59"/>
      <c r="AY28" s="218"/>
      <c r="AZ28" s="259">
        <v>152</v>
      </c>
      <c r="BA28" s="219"/>
      <c r="BB28" s="96"/>
      <c r="BC28" s="59"/>
      <c r="BD28" s="59"/>
      <c r="BE28" s="59"/>
      <c r="BF28" s="59"/>
      <c r="BG28" s="44"/>
      <c r="BH28" s="59"/>
      <c r="BI28" s="218"/>
      <c r="BJ28" s="261">
        <v>150</v>
      </c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357</v>
      </c>
      <c r="J29" s="184">
        <v>0</v>
      </c>
      <c r="K29" s="185"/>
      <c r="L29" s="367"/>
      <c r="M29" s="219"/>
      <c r="N29" s="96"/>
      <c r="O29" s="59"/>
      <c r="P29" s="59"/>
      <c r="Q29" s="59"/>
      <c r="R29" s="59"/>
      <c r="S29" s="44"/>
      <c r="T29" s="59"/>
      <c r="U29" s="218"/>
      <c r="V29" s="362"/>
      <c r="W29" s="219"/>
      <c r="X29" s="96"/>
      <c r="Y29" s="59"/>
      <c r="Z29" s="59"/>
      <c r="AA29" s="59"/>
      <c r="AB29" s="59"/>
      <c r="AC29" s="44"/>
      <c r="AD29" s="59"/>
      <c r="AE29" s="218"/>
      <c r="AF29" s="248">
        <v>183</v>
      </c>
      <c r="AG29" s="219"/>
      <c r="AH29" s="96"/>
      <c r="AI29" s="59"/>
      <c r="AJ29" s="59"/>
      <c r="AK29" s="59"/>
      <c r="AL29" s="59"/>
      <c r="AM29" s="44"/>
      <c r="AN29" s="59"/>
      <c r="AO29" s="218"/>
      <c r="AP29" s="364"/>
      <c r="AQ29" s="219"/>
      <c r="AR29" s="96"/>
      <c r="AS29" s="59"/>
      <c r="AT29" s="59"/>
      <c r="AU29" s="59"/>
      <c r="AV29" s="59"/>
      <c r="AW29" s="44"/>
      <c r="AX29" s="59"/>
      <c r="AY29" s="218"/>
      <c r="AZ29" s="365">
        <v>174</v>
      </c>
      <c r="BA29" s="219"/>
      <c r="BB29" s="96"/>
      <c r="BC29" s="59"/>
      <c r="BD29" s="59"/>
      <c r="BE29" s="59"/>
      <c r="BF29" s="59"/>
      <c r="BG29" s="44"/>
      <c r="BH29" s="59"/>
      <c r="BI29" s="218"/>
      <c r="BJ29" s="366"/>
      <c r="BK29" s="219"/>
      <c r="BL29" s="96"/>
      <c r="BM29" s="59"/>
      <c r="BN29" s="59"/>
      <c r="BO29" s="59"/>
      <c r="BP29" s="59"/>
      <c r="BQ29" s="44"/>
      <c r="BR29" s="59"/>
      <c r="BS29" s="218"/>
      <c r="BT29" s="216"/>
      <c r="BU29" s="21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29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6262</v>
      </c>
      <c r="J30" s="184">
        <v>0</v>
      </c>
      <c r="K30" s="185"/>
      <c r="L30" s="252">
        <v>1375</v>
      </c>
      <c r="M30" s="219"/>
      <c r="N30" s="96"/>
      <c r="O30" s="59"/>
      <c r="P30" s="59"/>
      <c r="Q30" s="59"/>
      <c r="R30" s="59"/>
      <c r="S30" s="106"/>
      <c r="T30" s="59"/>
      <c r="U30" s="218"/>
      <c r="V30" s="223">
        <v>926</v>
      </c>
      <c r="W30" s="219"/>
      <c r="X30" s="96"/>
      <c r="Y30" s="59"/>
      <c r="Z30" s="59"/>
      <c r="AA30" s="59"/>
      <c r="AB30" s="59"/>
      <c r="AC30" s="44"/>
      <c r="AD30" s="59"/>
      <c r="AE30" s="218"/>
      <c r="AF30" s="224">
        <v>946</v>
      </c>
      <c r="AG30" s="219"/>
      <c r="AH30" s="96"/>
      <c r="AI30" s="59"/>
      <c r="AJ30" s="59"/>
      <c r="AK30" s="59"/>
      <c r="AL30" s="59"/>
      <c r="AM30" s="106"/>
      <c r="AN30" s="59"/>
      <c r="AO30" s="218"/>
      <c r="AP30" s="244">
        <v>848</v>
      </c>
      <c r="AQ30" s="219"/>
      <c r="AR30" s="96"/>
      <c r="AS30" s="59"/>
      <c r="AT30" s="59"/>
      <c r="AU30" s="59"/>
      <c r="AV30" s="59"/>
      <c r="AW30" s="44"/>
      <c r="AX30" s="59"/>
      <c r="AY30" s="218"/>
      <c r="AZ30" s="203">
        <v>967</v>
      </c>
      <c r="BA30" s="219"/>
      <c r="BB30" s="96"/>
      <c r="BC30" s="59"/>
      <c r="BD30" s="59"/>
      <c r="BE30" s="59"/>
      <c r="BF30" s="59"/>
      <c r="BG30" s="106"/>
      <c r="BH30" s="59"/>
      <c r="BI30" s="218"/>
      <c r="BJ30" s="261">
        <v>1200</v>
      </c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500"/>
      <c r="M31" s="59"/>
      <c r="N31" s="96"/>
      <c r="O31" s="105"/>
      <c r="P31" s="59"/>
      <c r="Q31" s="59"/>
      <c r="R31" s="105"/>
      <c r="S31" s="106"/>
      <c r="T31" s="59"/>
      <c r="U31" s="105"/>
      <c r="V31" s="501"/>
      <c r="W31" s="59"/>
      <c r="X31" s="96"/>
      <c r="Y31" s="105"/>
      <c r="Z31" s="59"/>
      <c r="AA31" s="59"/>
      <c r="AB31" s="105"/>
      <c r="AC31" s="44"/>
      <c r="AD31" s="59"/>
      <c r="AE31" s="59"/>
      <c r="AF31" s="502"/>
      <c r="AG31" s="105"/>
      <c r="AH31" s="96"/>
      <c r="AI31" s="105"/>
      <c r="AJ31" s="59"/>
      <c r="AK31" s="59"/>
      <c r="AL31" s="105"/>
      <c r="AM31" s="44"/>
      <c r="AN31" s="59"/>
      <c r="AO31" s="59"/>
      <c r="AP31" s="503"/>
      <c r="AQ31" s="59"/>
      <c r="AR31" s="96"/>
      <c r="AS31" s="105"/>
      <c r="AT31" s="59"/>
      <c r="AU31" s="59"/>
      <c r="AV31" s="105"/>
      <c r="AW31" s="106"/>
      <c r="AX31" s="59"/>
      <c r="AY31" s="59"/>
      <c r="AZ31" s="504"/>
      <c r="BA31" s="59"/>
      <c r="BB31" s="96"/>
      <c r="BC31" s="105"/>
      <c r="BD31" s="59"/>
      <c r="BE31" s="59"/>
      <c r="BF31" s="105"/>
      <c r="BG31" s="44"/>
      <c r="BH31" s="105"/>
      <c r="BI31" s="59"/>
      <c r="BJ31" s="505"/>
      <c r="BK31" s="105"/>
      <c r="BL31" s="96"/>
      <c r="BM31" s="105"/>
      <c r="BN31" s="59"/>
      <c r="BO31" s="59"/>
      <c r="BP31" s="105"/>
      <c r="BQ31" s="44"/>
      <c r="BR31" s="59"/>
      <c r="BS31" s="59"/>
      <c r="BT31" s="522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8">
        <v>3</v>
      </c>
      <c r="B32" s="170"/>
      <c r="C32" s="542">
        <v>20049130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20064</v>
      </c>
      <c r="J32" s="184">
        <v>0</v>
      </c>
      <c r="K32" s="185"/>
      <c r="L32" s="233">
        <v>2628</v>
      </c>
      <c r="M32" s="219"/>
      <c r="N32" s="96"/>
      <c r="O32" s="59"/>
      <c r="P32" s="59"/>
      <c r="Q32" s="59"/>
      <c r="R32" s="59"/>
      <c r="S32" s="106"/>
      <c r="T32" s="59"/>
      <c r="U32" s="218"/>
      <c r="V32" s="234">
        <v>2952</v>
      </c>
      <c r="W32" s="219"/>
      <c r="X32" s="96"/>
      <c r="Y32" s="59"/>
      <c r="Z32" s="59"/>
      <c r="AA32" s="59"/>
      <c r="AB32" s="59"/>
      <c r="AC32" s="106"/>
      <c r="AD32" s="59"/>
      <c r="AE32" s="218"/>
      <c r="AF32" s="235">
        <v>2448</v>
      </c>
      <c r="AG32" s="219"/>
      <c r="AH32" s="96"/>
      <c r="AI32" s="59"/>
      <c r="AJ32" s="59"/>
      <c r="AK32" s="59"/>
      <c r="AL32" s="59"/>
      <c r="AM32" s="106"/>
      <c r="AN32" s="59"/>
      <c r="AO32" s="218"/>
      <c r="AP32" s="236">
        <v>3636</v>
      </c>
      <c r="AQ32" s="219"/>
      <c r="AR32" s="96"/>
      <c r="AS32" s="59"/>
      <c r="AT32" s="59"/>
      <c r="AU32" s="59"/>
      <c r="AV32" s="59"/>
      <c r="AW32" s="106"/>
      <c r="AX32" s="59"/>
      <c r="AY32" s="218"/>
      <c r="AZ32" s="237">
        <v>2800</v>
      </c>
      <c r="BA32" s="219"/>
      <c r="BB32" s="96"/>
      <c r="BC32" s="59"/>
      <c r="BD32" s="59"/>
      <c r="BE32" s="59"/>
      <c r="BF32" s="59"/>
      <c r="BG32" s="106"/>
      <c r="BH32" s="59"/>
      <c r="BI32" s="218"/>
      <c r="BJ32" s="238">
        <v>2800</v>
      </c>
      <c r="BK32" s="219"/>
      <c r="BL32" s="96"/>
      <c r="BM32" s="59"/>
      <c r="BN32" s="59"/>
      <c r="BO32" s="59"/>
      <c r="BP32" s="59"/>
      <c r="BQ32" s="106"/>
      <c r="BR32" s="59"/>
      <c r="BS32" s="218"/>
      <c r="BT32" s="204">
        <v>2800</v>
      </c>
      <c r="BU32" s="219"/>
      <c r="BV32" s="96">
        <f t="shared" si="1"/>
        <v>2800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2800</v>
      </c>
      <c r="CB32" s="59">
        <v>0</v>
      </c>
    </row>
    <row r="33" spans="1:80" ht="26.25" hidden="1">
      <c r="A33" s="168">
        <v>4</v>
      </c>
      <c r="B33" s="170"/>
      <c r="C33" s="542">
        <v>20051101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13672</v>
      </c>
      <c r="J33" s="184">
        <v>0</v>
      </c>
      <c r="K33" s="185"/>
      <c r="L33" s="233">
        <v>1728</v>
      </c>
      <c r="M33" s="219"/>
      <c r="N33" s="96"/>
      <c r="O33" s="105"/>
      <c r="P33" s="59"/>
      <c r="Q33" s="59"/>
      <c r="R33" s="105"/>
      <c r="S33" s="106"/>
      <c r="T33" s="59"/>
      <c r="U33" s="353"/>
      <c r="V33" s="234">
        <v>1836</v>
      </c>
      <c r="W33" s="219"/>
      <c r="X33" s="96"/>
      <c r="Y33" s="105"/>
      <c r="Z33" s="59"/>
      <c r="AA33" s="59"/>
      <c r="AB33" s="105"/>
      <c r="AC33" s="106"/>
      <c r="AD33" s="59"/>
      <c r="AE33" s="218"/>
      <c r="AF33" s="235">
        <v>1404</v>
      </c>
      <c r="AG33" s="354"/>
      <c r="AH33" s="96"/>
      <c r="AI33" s="105"/>
      <c r="AJ33" s="59"/>
      <c r="AK33" s="59"/>
      <c r="AL33" s="105"/>
      <c r="AM33" s="106"/>
      <c r="AN33" s="59"/>
      <c r="AO33" s="218"/>
      <c r="AP33" s="236">
        <v>2304</v>
      </c>
      <c r="AQ33" s="219"/>
      <c r="AR33" s="96"/>
      <c r="AS33" s="105"/>
      <c r="AT33" s="59"/>
      <c r="AU33" s="59"/>
      <c r="AV33" s="105"/>
      <c r="AW33" s="106"/>
      <c r="AX33" s="59"/>
      <c r="AY33" s="218"/>
      <c r="AZ33" s="237">
        <v>2200</v>
      </c>
      <c r="BA33" s="219"/>
      <c r="BB33" s="96"/>
      <c r="BC33" s="105"/>
      <c r="BD33" s="59"/>
      <c r="BE33" s="59"/>
      <c r="BF33" s="105"/>
      <c r="BG33" s="106"/>
      <c r="BH33" s="105"/>
      <c r="BI33" s="218"/>
      <c r="BJ33" s="238">
        <v>2200</v>
      </c>
      <c r="BK33" s="354"/>
      <c r="BL33" s="96"/>
      <c r="BM33" s="105"/>
      <c r="BN33" s="59"/>
      <c r="BO33" s="59"/>
      <c r="BP33" s="105"/>
      <c r="BQ33" s="106"/>
      <c r="BR33" s="59"/>
      <c r="BS33" s="218"/>
      <c r="BT33" s="204">
        <v>2000</v>
      </c>
      <c r="BU33" s="219"/>
      <c r="BV33" s="96">
        <f t="shared" si="1"/>
        <v>2000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2000</v>
      </c>
      <c r="CB33" s="59">
        <v>0</v>
      </c>
    </row>
    <row r="34" spans="1:80" ht="26.25" hidden="1">
      <c r="A34" s="168">
        <v>5</v>
      </c>
      <c r="B34" s="170"/>
      <c r="C34" s="542">
        <v>20052721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16304</v>
      </c>
      <c r="J34" s="184">
        <v>0</v>
      </c>
      <c r="K34" s="185">
        <v>1800</v>
      </c>
      <c r="L34" s="233">
        <v>2624</v>
      </c>
      <c r="M34" s="219"/>
      <c r="N34" s="96"/>
      <c r="O34" s="105"/>
      <c r="P34" s="59"/>
      <c r="Q34" s="59"/>
      <c r="R34" s="105"/>
      <c r="S34" s="106"/>
      <c r="T34" s="59"/>
      <c r="U34" s="353"/>
      <c r="V34" s="234">
        <v>2624</v>
      </c>
      <c r="W34" s="219"/>
      <c r="X34" s="96"/>
      <c r="Y34" s="105"/>
      <c r="Z34" s="59"/>
      <c r="AA34" s="59"/>
      <c r="AB34" s="105"/>
      <c r="AC34" s="106"/>
      <c r="AD34" s="59"/>
      <c r="AE34" s="218"/>
      <c r="AF34" s="235">
        <v>1920</v>
      </c>
      <c r="AG34" s="354"/>
      <c r="AH34" s="96"/>
      <c r="AI34" s="105"/>
      <c r="AJ34" s="59"/>
      <c r="AK34" s="59"/>
      <c r="AL34" s="105"/>
      <c r="AM34" s="106"/>
      <c r="AN34" s="59"/>
      <c r="AO34" s="218"/>
      <c r="AP34" s="236">
        <v>3136</v>
      </c>
      <c r="AQ34" s="219"/>
      <c r="AR34" s="96"/>
      <c r="AS34" s="105"/>
      <c r="AT34" s="59"/>
      <c r="AU34" s="59"/>
      <c r="AV34" s="105"/>
      <c r="AW34" s="106"/>
      <c r="AX34" s="59"/>
      <c r="AY34" s="218"/>
      <c r="AZ34" s="237">
        <v>3000</v>
      </c>
      <c r="BA34" s="219"/>
      <c r="BB34" s="96"/>
      <c r="BC34" s="105"/>
      <c r="BD34" s="59"/>
      <c r="BE34" s="59"/>
      <c r="BF34" s="105"/>
      <c r="BG34" s="106"/>
      <c r="BH34" s="105"/>
      <c r="BI34" s="218"/>
      <c r="BJ34" s="238">
        <v>3000</v>
      </c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s="42" customFormat="1" ht="26.25">
      <c r="A35" s="168">
        <v>7</v>
      </c>
      <c r="B35" s="229"/>
      <c r="C35" s="305">
        <v>1113148</v>
      </c>
      <c r="D35" s="306" t="s">
        <v>348</v>
      </c>
      <c r="E35" s="217" t="s">
        <v>42</v>
      </c>
      <c r="F35" s="169"/>
      <c r="G35" s="183"/>
      <c r="H35" s="184">
        <v>0</v>
      </c>
      <c r="I35" s="215">
        <f t="shared" si="0"/>
        <v>0</v>
      </c>
      <c r="J35" s="184">
        <v>0</v>
      </c>
      <c r="K35" s="185"/>
      <c r="L35" s="201"/>
      <c r="M35" s="219"/>
      <c r="N35" s="96"/>
      <c r="O35" s="59"/>
      <c r="P35" s="59"/>
      <c r="Q35" s="59"/>
      <c r="R35" s="59"/>
      <c r="S35" s="44"/>
      <c r="T35" s="59"/>
      <c r="U35" s="218"/>
      <c r="V35" s="202"/>
      <c r="W35" s="219"/>
      <c r="X35" s="96"/>
      <c r="Y35" s="59"/>
      <c r="Z35" s="59"/>
      <c r="AA35" s="59"/>
      <c r="AB35" s="59"/>
      <c r="AC35" s="44"/>
      <c r="AD35" s="59"/>
      <c r="AE35" s="218"/>
      <c r="AF35" s="248"/>
      <c r="AG35" s="219"/>
      <c r="AH35" s="96"/>
      <c r="AI35" s="59"/>
      <c r="AJ35" s="59"/>
      <c r="AK35" s="59"/>
      <c r="AL35" s="59"/>
      <c r="AM35" s="44"/>
      <c r="AN35" s="59"/>
      <c r="AO35" s="218"/>
      <c r="AP35" s="257"/>
      <c r="AQ35" s="219"/>
      <c r="AR35" s="96"/>
      <c r="AS35" s="59"/>
      <c r="AT35" s="59"/>
      <c r="AU35" s="59"/>
      <c r="AV35" s="59"/>
      <c r="AW35" s="44"/>
      <c r="AX35" s="59"/>
      <c r="AY35" s="218"/>
      <c r="AZ35" s="259"/>
      <c r="BA35" s="219"/>
      <c r="BB35" s="96"/>
      <c r="BC35" s="59"/>
      <c r="BD35" s="59"/>
      <c r="BE35" s="59"/>
      <c r="BF35" s="59"/>
      <c r="BG35" s="44"/>
      <c r="BH35" s="59"/>
      <c r="BI35" s="218"/>
      <c r="BJ35" s="261"/>
      <c r="BK35" s="219"/>
      <c r="BL35" s="96"/>
      <c r="BM35" s="59"/>
      <c r="BN35" s="59"/>
      <c r="BO35" s="59"/>
      <c r="BP35" s="59"/>
      <c r="BQ35" s="44"/>
      <c r="BR35" s="59"/>
      <c r="BS35" s="218"/>
      <c r="BT35" s="204"/>
      <c r="BU35" s="219">
        <v>0</v>
      </c>
      <c r="BV35" s="96">
        <f t="shared" ref="BV35:BV45" si="9">SUM(BS35:BU35)</f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ref="CA35:CA45" si="10">BT35-BX35</f>
        <v>0</v>
      </c>
      <c r="CB35" s="59"/>
    </row>
    <row r="36" spans="1:80" s="42" customFormat="1" ht="26.25">
      <c r="A36" s="168">
        <v>8</v>
      </c>
      <c r="B36" s="229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>
        <v>0</v>
      </c>
      <c r="BV36" s="96">
        <f t="shared" si="9"/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si="10"/>
        <v>0</v>
      </c>
      <c r="CB36" s="59"/>
    </row>
    <row r="37" spans="1:80" s="42" customFormat="1" ht="26.25">
      <c r="A37" s="168">
        <v>9</v>
      </c>
      <c r="B37" s="229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5658</v>
      </c>
      <c r="J37" s="184">
        <v>0</v>
      </c>
      <c r="K37" s="185"/>
      <c r="L37" s="252">
        <v>1296</v>
      </c>
      <c r="M37" s="219"/>
      <c r="N37" s="96"/>
      <c r="O37" s="59"/>
      <c r="P37" s="59"/>
      <c r="Q37" s="59"/>
      <c r="R37" s="59"/>
      <c r="S37" s="106"/>
      <c r="T37" s="59"/>
      <c r="U37" s="218"/>
      <c r="V37" s="202">
        <v>777</v>
      </c>
      <c r="W37" s="219"/>
      <c r="X37" s="96"/>
      <c r="Y37" s="59"/>
      <c r="Z37" s="59"/>
      <c r="AA37" s="59"/>
      <c r="AB37" s="59"/>
      <c r="AC37" s="44"/>
      <c r="AD37" s="59"/>
      <c r="AE37" s="218"/>
      <c r="AF37" s="224">
        <v>851</v>
      </c>
      <c r="AG37" s="219"/>
      <c r="AH37" s="96"/>
      <c r="AI37" s="59"/>
      <c r="AJ37" s="59"/>
      <c r="AK37" s="59"/>
      <c r="AL37" s="59"/>
      <c r="AM37" s="106"/>
      <c r="AN37" s="59"/>
      <c r="AO37" s="218"/>
      <c r="AP37" s="244">
        <v>748</v>
      </c>
      <c r="AQ37" s="219"/>
      <c r="AR37" s="96"/>
      <c r="AS37" s="59"/>
      <c r="AT37" s="59"/>
      <c r="AU37" s="59"/>
      <c r="AV37" s="59"/>
      <c r="AW37" s="44"/>
      <c r="AX37" s="59"/>
      <c r="AY37" s="218"/>
      <c r="AZ37" s="203">
        <v>986</v>
      </c>
      <c r="BA37" s="219"/>
      <c r="BB37" s="96"/>
      <c r="BC37" s="59"/>
      <c r="BD37" s="59"/>
      <c r="BE37" s="59"/>
      <c r="BF37" s="59"/>
      <c r="BG37" s="106"/>
      <c r="BH37" s="59"/>
      <c r="BI37" s="218"/>
      <c r="BJ37" s="261">
        <v>1000</v>
      </c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>
        <v>0</v>
      </c>
      <c r="BV37" s="96">
        <f t="shared" si="9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0"/>
        <v>0</v>
      </c>
      <c r="CB37" s="59"/>
    </row>
    <row r="38" spans="1:80" s="42" customFormat="1" ht="26.25">
      <c r="A38" s="168">
        <v>10</v>
      </c>
      <c r="B38" s="229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0"/>
        <v>5990</v>
      </c>
      <c r="J38" s="184">
        <v>0</v>
      </c>
      <c r="K38" s="185"/>
      <c r="L38" s="252">
        <v>1108</v>
      </c>
      <c r="M38" s="219"/>
      <c r="N38" s="96"/>
      <c r="O38" s="59"/>
      <c r="P38" s="59"/>
      <c r="Q38" s="59"/>
      <c r="R38" s="105"/>
      <c r="S38" s="106"/>
      <c r="T38" s="59"/>
      <c r="U38" s="218"/>
      <c r="V38" s="223">
        <v>1287</v>
      </c>
      <c r="W38" s="219"/>
      <c r="X38" s="96"/>
      <c r="Y38" s="59"/>
      <c r="Z38" s="59"/>
      <c r="AA38" s="59"/>
      <c r="AB38" s="105"/>
      <c r="AC38" s="44"/>
      <c r="AD38" s="59"/>
      <c r="AE38" s="218"/>
      <c r="AF38" s="224">
        <v>732</v>
      </c>
      <c r="AG38" s="354"/>
      <c r="AH38" s="96"/>
      <c r="AI38" s="59"/>
      <c r="AJ38" s="59"/>
      <c r="AK38" s="59"/>
      <c r="AL38" s="105"/>
      <c r="AM38" s="106"/>
      <c r="AN38" s="59"/>
      <c r="AO38" s="218"/>
      <c r="AP38" s="244">
        <v>946</v>
      </c>
      <c r="AQ38" s="219"/>
      <c r="AR38" s="96"/>
      <c r="AS38" s="59"/>
      <c r="AT38" s="59"/>
      <c r="AU38" s="59"/>
      <c r="AV38" s="105"/>
      <c r="AW38" s="44"/>
      <c r="AX38" s="59"/>
      <c r="AY38" s="218"/>
      <c r="AZ38" s="203">
        <v>717</v>
      </c>
      <c r="BA38" s="219"/>
      <c r="BB38" s="96"/>
      <c r="BC38" s="59"/>
      <c r="BD38" s="59"/>
      <c r="BE38" s="59"/>
      <c r="BF38" s="105"/>
      <c r="BG38" s="106"/>
      <c r="BH38" s="105"/>
      <c r="BI38" s="218"/>
      <c r="BJ38" s="261">
        <v>1200</v>
      </c>
      <c r="BK38" s="219"/>
      <c r="BL38" s="96"/>
      <c r="BM38" s="59"/>
      <c r="BN38" s="59"/>
      <c r="BO38" s="59"/>
      <c r="BP38" s="105"/>
      <c r="BQ38" s="44"/>
      <c r="BR38" s="59"/>
      <c r="BS38" s="218"/>
      <c r="BT38" s="204"/>
      <c r="BU38" s="219">
        <v>0</v>
      </c>
      <c r="BV38" s="96">
        <f t="shared" si="9"/>
        <v>0</v>
      </c>
      <c r="BW38" s="59">
        <v>0</v>
      </c>
      <c r="BX38" s="59">
        <v>0</v>
      </c>
      <c r="BY38" s="59">
        <v>0</v>
      </c>
      <c r="BZ38" s="105">
        <v>0</v>
      </c>
      <c r="CA38" s="44">
        <f t="shared" si="10"/>
        <v>0</v>
      </c>
      <c r="CB38" s="59"/>
    </row>
    <row r="39" spans="1:80" s="42" customFormat="1" ht="29.25" hidden="1">
      <c r="A39" s="53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ref="I39:I46" si="11">SUM(L39,V39,AF39,AP39,AZ39,BJ39,BT39)</f>
        <v>0</v>
      </c>
      <c r="J39" s="146">
        <v>0</v>
      </c>
      <c r="K39" s="147"/>
      <c r="L39" s="148"/>
      <c r="M39" s="59"/>
      <c r="N39" s="96"/>
      <c r="O39" s="59"/>
      <c r="P39" s="59"/>
      <c r="Q39" s="59"/>
      <c r="R39" s="59"/>
      <c r="S39" s="44"/>
      <c r="T39" s="59"/>
      <c r="U39" s="59"/>
      <c r="V39" s="209"/>
      <c r="W39" s="59"/>
      <c r="X39" s="96"/>
      <c r="Y39" s="59"/>
      <c r="Z39" s="59"/>
      <c r="AA39" s="59"/>
      <c r="AB39" s="59"/>
      <c r="AC39" s="44"/>
      <c r="AD39" s="59"/>
      <c r="AE39" s="59"/>
      <c r="AF39" s="150"/>
      <c r="AG39" s="105"/>
      <c r="AH39" s="96"/>
      <c r="AI39" s="59"/>
      <c r="AJ39" s="59"/>
      <c r="AK39" s="59"/>
      <c r="AL39" s="59"/>
      <c r="AM39" s="44"/>
      <c r="AN39" s="59"/>
      <c r="AO39" s="59"/>
      <c r="AP39" s="151"/>
      <c r="AQ39" s="59"/>
      <c r="AR39" s="96"/>
      <c r="AS39" s="59"/>
      <c r="AT39" s="59"/>
      <c r="AU39" s="59"/>
      <c r="AV39" s="59"/>
      <c r="AW39" s="44"/>
      <c r="AX39" s="59"/>
      <c r="AY39" s="59"/>
      <c r="AZ39" s="152"/>
      <c r="BA39" s="59"/>
      <c r="BB39" s="96"/>
      <c r="BC39" s="59"/>
      <c r="BD39" s="59"/>
      <c r="BE39" s="59"/>
      <c r="BF39" s="59"/>
      <c r="BG39" s="44"/>
      <c r="BH39" s="59"/>
      <c r="BI39" s="59"/>
      <c r="BJ39" s="260"/>
      <c r="BK39" s="59"/>
      <c r="BL39" s="96"/>
      <c r="BM39" s="59"/>
      <c r="BN39" s="59"/>
      <c r="BO39" s="59"/>
      <c r="BP39" s="59"/>
      <c r="BQ39" s="44"/>
      <c r="BR39" s="59"/>
      <c r="BS39" s="59"/>
      <c r="BT39" s="154"/>
      <c r="BU39" s="59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9.25" hidden="1">
      <c r="A40" s="53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11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59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9.25" hidden="1">
      <c r="A41" s="53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11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105"/>
      <c r="S41" s="44"/>
      <c r="T41" s="59"/>
      <c r="U41" s="59"/>
      <c r="V41" s="190"/>
      <c r="W41" s="59"/>
      <c r="X41" s="96"/>
      <c r="Y41" s="59"/>
      <c r="Z41" s="59"/>
      <c r="AA41" s="59"/>
      <c r="AB41" s="105"/>
      <c r="AC41" s="44"/>
      <c r="AD41" s="59"/>
      <c r="AE41" s="59"/>
      <c r="AF41" s="98"/>
      <c r="AG41" s="105"/>
      <c r="AH41" s="96"/>
      <c r="AI41" s="59"/>
      <c r="AJ41" s="59"/>
      <c r="AK41" s="59"/>
      <c r="AL41" s="105"/>
      <c r="AM41" s="44"/>
      <c r="AN41" s="59"/>
      <c r="AO41" s="59"/>
      <c r="AP41" s="99"/>
      <c r="AQ41" s="59"/>
      <c r="AR41" s="96"/>
      <c r="AS41" s="59"/>
      <c r="AT41" s="59"/>
      <c r="AU41" s="59"/>
      <c r="AV41" s="105"/>
      <c r="AW41" s="44"/>
      <c r="AX41" s="59"/>
      <c r="AY41" s="59"/>
      <c r="AZ41" s="103"/>
      <c r="BA41" s="59"/>
      <c r="BB41" s="96"/>
      <c r="BC41" s="59"/>
      <c r="BD41" s="59"/>
      <c r="BE41" s="59"/>
      <c r="BF41" s="105"/>
      <c r="BG41" s="44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101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0"/>
        <v>0</v>
      </c>
      <c r="CB41" s="59"/>
    </row>
    <row r="42" spans="1:80" s="42" customFormat="1" ht="29.25" hidden="1">
      <c r="A42" s="53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11"/>
        <v>0</v>
      </c>
      <c r="J42" s="58">
        <v>0</v>
      </c>
      <c r="K42" s="59"/>
      <c r="L42" s="111"/>
      <c r="M42" s="59"/>
      <c r="N42" s="96"/>
      <c r="O42" s="59"/>
      <c r="P42" s="59"/>
      <c r="Q42" s="59"/>
      <c r="R42" s="105"/>
      <c r="S42" s="106"/>
      <c r="T42" s="59"/>
      <c r="U42" s="59"/>
      <c r="V42" s="190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11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59"/>
      <c r="S43" s="106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0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165">
        <v>7</v>
      </c>
      <c r="B45" s="132"/>
      <c r="C45" s="390">
        <v>1001001114</v>
      </c>
      <c r="D45" s="391" t="s">
        <v>412</v>
      </c>
      <c r="E45" s="392" t="s">
        <v>377</v>
      </c>
      <c r="F45" s="392"/>
      <c r="G45" s="393"/>
      <c r="H45" s="394">
        <v>0</v>
      </c>
      <c r="I45" s="300">
        <f t="shared" si="11"/>
        <v>0</v>
      </c>
      <c r="J45" s="129">
        <v>0</v>
      </c>
      <c r="K45" s="117"/>
      <c r="L45" s="292"/>
      <c r="M45" s="59"/>
      <c r="N45" s="96"/>
      <c r="O45" s="59"/>
      <c r="P45" s="59"/>
      <c r="Q45" s="59"/>
      <c r="R45" s="59"/>
      <c r="S45" s="44"/>
      <c r="T45" s="59"/>
      <c r="U45" s="59"/>
      <c r="V45" s="211"/>
      <c r="W45" s="59"/>
      <c r="X45" s="96"/>
      <c r="Y45" s="59"/>
      <c r="Z45" s="59"/>
      <c r="AA45" s="59"/>
      <c r="AB45" s="59"/>
      <c r="AC45" s="44"/>
      <c r="AD45" s="59"/>
      <c r="AE45" s="59"/>
      <c r="AF45" s="293"/>
      <c r="AG45" s="59"/>
      <c r="AH45" s="96"/>
      <c r="AI45" s="59"/>
      <c r="AJ45" s="59"/>
      <c r="AK45" s="59"/>
      <c r="AL45" s="59"/>
      <c r="AM45" s="44"/>
      <c r="AN45" s="59"/>
      <c r="AO45" s="59"/>
      <c r="AP45" s="139"/>
      <c r="AQ45" s="59"/>
      <c r="AR45" s="96"/>
      <c r="AS45" s="59"/>
      <c r="AT45" s="59"/>
      <c r="AU45" s="59"/>
      <c r="AV45" s="59"/>
      <c r="AW45" s="44"/>
      <c r="AX45" s="59"/>
      <c r="AY45" s="59"/>
      <c r="AZ45" s="294"/>
      <c r="BA45" s="59"/>
      <c r="BB45" s="96"/>
      <c r="BC45" s="59"/>
      <c r="BD45" s="59"/>
      <c r="BE45" s="59"/>
      <c r="BF45" s="59"/>
      <c r="BG45" s="44"/>
      <c r="BH45" s="59"/>
      <c r="BI45" s="59"/>
      <c r="BJ45" s="214"/>
      <c r="BK45" s="59"/>
      <c r="BL45" s="96"/>
      <c r="BM45" s="59"/>
      <c r="BN45" s="59"/>
      <c r="BO45" s="59"/>
      <c r="BP45" s="59"/>
      <c r="BQ45" s="44"/>
      <c r="BR45" s="59"/>
      <c r="BS45" s="59"/>
      <c r="BT45" s="295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>
      <c r="A46" s="168">
        <v>11</v>
      </c>
      <c r="B46" s="229"/>
      <c r="C46" s="206">
        <v>1113225</v>
      </c>
      <c r="D46" s="549" t="s">
        <v>451</v>
      </c>
      <c r="E46" s="443" t="s">
        <v>42</v>
      </c>
      <c r="F46" s="226"/>
      <c r="G46" s="227"/>
      <c r="H46" s="228"/>
      <c r="I46" s="357">
        <f t="shared" si="11"/>
        <v>5758</v>
      </c>
      <c r="J46" s="228"/>
      <c r="K46" s="253"/>
      <c r="L46" s="444">
        <v>1135</v>
      </c>
      <c r="M46" s="219"/>
      <c r="N46" s="96"/>
      <c r="O46" s="59"/>
      <c r="P46" s="59"/>
      <c r="Q46" s="59"/>
      <c r="R46" s="59"/>
      <c r="S46" s="44"/>
      <c r="T46" s="59"/>
      <c r="U46" s="218"/>
      <c r="V46" s="423">
        <v>1207</v>
      </c>
      <c r="W46" s="219"/>
      <c r="X46" s="96"/>
      <c r="Y46" s="59"/>
      <c r="Z46" s="59"/>
      <c r="AA46" s="59"/>
      <c r="AB46" s="59"/>
      <c r="AC46" s="44"/>
      <c r="AD46" s="59"/>
      <c r="AE46" s="218"/>
      <c r="AF46" s="424">
        <v>679</v>
      </c>
      <c r="AG46" s="219"/>
      <c r="AH46" s="96"/>
      <c r="AI46" s="59"/>
      <c r="AJ46" s="59"/>
      <c r="AK46" s="59"/>
      <c r="AL46" s="59"/>
      <c r="AM46" s="44"/>
      <c r="AN46" s="59"/>
      <c r="AO46" s="218"/>
      <c r="AP46" s="425">
        <v>969</v>
      </c>
      <c r="AQ46" s="219"/>
      <c r="AR46" s="96"/>
      <c r="AS46" s="59"/>
      <c r="AT46" s="59"/>
      <c r="AU46" s="59"/>
      <c r="AV46" s="59"/>
      <c r="AW46" s="44"/>
      <c r="AX46" s="59"/>
      <c r="AY46" s="218"/>
      <c r="AZ46" s="426">
        <v>668</v>
      </c>
      <c r="BA46" s="219"/>
      <c r="BB46" s="96"/>
      <c r="BC46" s="59"/>
      <c r="BD46" s="59"/>
      <c r="BE46" s="59"/>
      <c r="BF46" s="59"/>
      <c r="BG46" s="44"/>
      <c r="BH46" s="59"/>
      <c r="BI46" s="218"/>
      <c r="BJ46" s="446">
        <v>1100</v>
      </c>
      <c r="BK46" s="219"/>
      <c r="BL46" s="96"/>
      <c r="BM46" s="59"/>
      <c r="BN46" s="59"/>
      <c r="BO46" s="59"/>
      <c r="BP46" s="59"/>
      <c r="BQ46" s="44"/>
      <c r="BR46" s="59"/>
      <c r="BS46" s="218"/>
      <c r="BT46" s="407"/>
      <c r="BU46" s="219"/>
      <c r="BV46" s="96"/>
      <c r="BW46" s="59"/>
      <c r="BX46" s="59"/>
      <c r="BY46" s="59"/>
      <c r="BZ46" s="59"/>
      <c r="CA46" s="44"/>
      <c r="CB46" s="59"/>
    </row>
    <row r="47" spans="1:80" ht="24" hidden="1" customHeight="1">
      <c r="A47" s="168">
        <v>6</v>
      </c>
      <c r="B47" s="170"/>
      <c r="C47" s="543">
        <v>20059547</v>
      </c>
      <c r="D47" s="188" t="s">
        <v>424</v>
      </c>
      <c r="E47" s="169" t="s">
        <v>69</v>
      </c>
      <c r="F47" s="188"/>
      <c r="G47" s="188"/>
      <c r="H47" s="184"/>
      <c r="I47" s="232">
        <f t="shared" ref="I47:I54" si="12">SUM(L47,V47,AF47,AP47,AZ47,BJ47,BT47)</f>
        <v>11244</v>
      </c>
      <c r="J47" s="232"/>
      <c r="K47" s="188"/>
      <c r="L47" s="233">
        <v>1476</v>
      </c>
      <c r="V47" s="234">
        <v>2484</v>
      </c>
      <c r="AF47" s="235">
        <v>1980</v>
      </c>
      <c r="AP47" s="236">
        <v>2304</v>
      </c>
      <c r="AZ47" s="237">
        <v>1500</v>
      </c>
      <c r="BJ47" s="238">
        <v>1500</v>
      </c>
      <c r="BT47" s="204"/>
    </row>
    <row r="48" spans="1:80" ht="24" hidden="1" customHeight="1">
      <c r="A48" s="168">
        <v>7</v>
      </c>
      <c r="B48" s="170"/>
      <c r="C48" s="543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si="12"/>
        <v>49040</v>
      </c>
      <c r="J48" s="232"/>
      <c r="K48" s="188"/>
      <c r="L48" s="233">
        <v>7800</v>
      </c>
      <c r="V48" s="234">
        <v>9200</v>
      </c>
      <c r="AF48" s="235">
        <v>6440</v>
      </c>
      <c r="AP48" s="236">
        <v>10000</v>
      </c>
      <c r="AZ48" s="237">
        <v>7800</v>
      </c>
      <c r="BJ48" s="238">
        <v>7800</v>
      </c>
      <c r="BT48" s="204"/>
    </row>
    <row r="49" spans="1:72" ht="24" hidden="1" customHeight="1">
      <c r="A49" s="168">
        <v>8</v>
      </c>
      <c r="B49" s="170"/>
      <c r="C49" s="544">
        <v>20060019</v>
      </c>
      <c r="D49" s="188" t="s">
        <v>434</v>
      </c>
      <c r="E49" s="169" t="s">
        <v>69</v>
      </c>
      <c r="F49" s="188"/>
      <c r="G49" s="188"/>
      <c r="H49" s="184"/>
      <c r="I49" s="232">
        <f t="shared" si="12"/>
        <v>12400</v>
      </c>
      <c r="J49" s="232"/>
      <c r="K49" s="188"/>
      <c r="L49" s="233">
        <v>1600</v>
      </c>
      <c r="V49" s="223">
        <v>2320</v>
      </c>
      <c r="AF49" s="224">
        <v>1560</v>
      </c>
      <c r="AP49" s="244">
        <v>2520</v>
      </c>
      <c r="AZ49" s="203">
        <v>2200</v>
      </c>
      <c r="BJ49" s="243">
        <v>2200</v>
      </c>
      <c r="BT49" s="204"/>
    </row>
    <row r="50" spans="1:72" ht="24" hidden="1" customHeight="1">
      <c r="A50" s="168">
        <v>9</v>
      </c>
      <c r="B50" s="170"/>
      <c r="C50" s="542">
        <v>20059087</v>
      </c>
      <c r="D50" s="262" t="s">
        <v>435</v>
      </c>
      <c r="E50" s="169" t="s">
        <v>69</v>
      </c>
      <c r="F50" s="188"/>
      <c r="G50" s="188"/>
      <c r="H50" s="184"/>
      <c r="I50" s="232">
        <f t="shared" si="12"/>
        <v>14480</v>
      </c>
      <c r="J50" s="232"/>
      <c r="K50" s="188"/>
      <c r="L50" s="233">
        <v>2120</v>
      </c>
      <c r="V50" s="223">
        <v>2400</v>
      </c>
      <c r="AF50" s="224">
        <v>2040</v>
      </c>
      <c r="AP50" s="244">
        <v>2920</v>
      </c>
      <c r="AZ50" s="203">
        <v>2500</v>
      </c>
      <c r="BJ50" s="243">
        <v>2500</v>
      </c>
      <c r="BT50" s="204"/>
    </row>
    <row r="51" spans="1:72" ht="24.75" hidden="1" customHeight="1">
      <c r="A51" s="168">
        <v>10</v>
      </c>
      <c r="B51" s="170"/>
      <c r="C51" s="545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si="12"/>
        <v>4676</v>
      </c>
      <c r="J51" s="232"/>
      <c r="K51" s="188"/>
      <c r="L51" s="233">
        <v>576</v>
      </c>
      <c r="V51" s="223">
        <v>1044</v>
      </c>
      <c r="AF51" s="224">
        <v>576</v>
      </c>
      <c r="AP51" s="244">
        <v>1080</v>
      </c>
      <c r="AZ51" s="203">
        <v>700</v>
      </c>
      <c r="BJ51" s="243">
        <v>700</v>
      </c>
      <c r="BT51" s="204"/>
    </row>
    <row r="52" spans="1:72" ht="24.75" hidden="1" customHeight="1">
      <c r="A52" s="168">
        <v>11</v>
      </c>
      <c r="B52" s="170"/>
      <c r="C52" s="545">
        <v>20060976</v>
      </c>
      <c r="D52" s="262" t="s">
        <v>436</v>
      </c>
      <c r="E52" s="169" t="s">
        <v>69</v>
      </c>
      <c r="F52" s="188"/>
      <c r="G52" s="188"/>
      <c r="H52" s="184"/>
      <c r="I52" s="232">
        <f t="shared" si="12"/>
        <v>12016</v>
      </c>
      <c r="J52" s="232"/>
      <c r="K52" s="188"/>
      <c r="L52" s="233">
        <v>576</v>
      </c>
      <c r="V52" s="223">
        <v>2600</v>
      </c>
      <c r="AF52" s="224">
        <v>1600</v>
      </c>
      <c r="AP52" s="244">
        <v>2840</v>
      </c>
      <c r="AZ52" s="203">
        <v>2200</v>
      </c>
      <c r="BJ52" s="243">
        <v>2200</v>
      </c>
      <c r="BT52" s="204"/>
    </row>
    <row r="53" spans="1:72" ht="27.75" hidden="1" customHeight="1">
      <c r="A53" s="358">
        <v>12</v>
      </c>
      <c r="B53" s="245"/>
      <c r="C53" s="546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si="12"/>
        <v>4352</v>
      </c>
      <c r="J53" s="232"/>
      <c r="K53" s="188"/>
      <c r="L53" s="233">
        <v>576</v>
      </c>
      <c r="V53" s="223">
        <v>864</v>
      </c>
      <c r="AF53" s="224">
        <v>576</v>
      </c>
      <c r="AP53" s="244">
        <v>936</v>
      </c>
      <c r="AZ53" s="203">
        <v>700</v>
      </c>
      <c r="BJ53" s="243">
        <v>700</v>
      </c>
      <c r="BT53" s="204"/>
    </row>
    <row r="54" spans="1:72" ht="27.75" hidden="1" customHeight="1">
      <c r="A54" s="168">
        <v>13</v>
      </c>
      <c r="B54" s="229"/>
      <c r="C54" s="547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12"/>
        <v>13840</v>
      </c>
      <c r="J54" s="232"/>
      <c r="K54" s="188"/>
      <c r="L54" s="233">
        <v>1840</v>
      </c>
      <c r="V54" s="223">
        <v>2360</v>
      </c>
      <c r="AF54" s="224">
        <v>1760</v>
      </c>
      <c r="AP54" s="244">
        <v>2880</v>
      </c>
      <c r="AZ54" s="203">
        <v>2500</v>
      </c>
      <c r="BJ54" s="243">
        <v>2500</v>
      </c>
      <c r="BT54" s="204"/>
    </row>
    <row r="55" spans="1:72" ht="30.75" hidden="1" customHeight="1">
      <c r="A55" s="168">
        <v>14</v>
      </c>
      <c r="B55" s="170"/>
      <c r="C55" s="247">
        <v>20062915</v>
      </c>
      <c r="D55" s="283" t="s">
        <v>431</v>
      </c>
      <c r="E55" s="274" t="s">
        <v>69</v>
      </c>
      <c r="F55" s="188"/>
      <c r="G55" s="188"/>
      <c r="H55" s="184"/>
      <c r="I55" s="232">
        <f t="shared" ref="I55:I59" si="13">SUM(L55,V55,AF55,AP55,AZ55,BJ55,BT55)</f>
        <v>11120</v>
      </c>
      <c r="J55" s="232"/>
      <c r="K55" s="188"/>
      <c r="L55" s="233">
        <v>1680</v>
      </c>
      <c r="V55" s="223">
        <v>1840</v>
      </c>
      <c r="AF55" s="224">
        <v>1320</v>
      </c>
      <c r="AP55" s="244">
        <v>2080</v>
      </c>
      <c r="AZ55" s="203">
        <v>1500</v>
      </c>
      <c r="BJ55" s="243">
        <v>1500</v>
      </c>
      <c r="BT55" s="204">
        <v>1200</v>
      </c>
    </row>
    <row r="56" spans="1:72" ht="30.75" hidden="1" customHeight="1">
      <c r="A56" s="168">
        <v>15</v>
      </c>
      <c r="B56" s="170"/>
      <c r="C56" s="247">
        <v>20063266</v>
      </c>
      <c r="D56" s="283" t="s">
        <v>432</v>
      </c>
      <c r="E56" s="274" t="s">
        <v>69</v>
      </c>
      <c r="F56" s="188"/>
      <c r="G56" s="188"/>
      <c r="H56" s="184"/>
      <c r="I56" s="232">
        <f t="shared" si="13"/>
        <v>11720</v>
      </c>
      <c r="J56" s="232"/>
      <c r="K56" s="188"/>
      <c r="L56" s="233">
        <v>1680</v>
      </c>
      <c r="V56" s="223">
        <v>2000</v>
      </c>
      <c r="AF56" s="224">
        <v>1520</v>
      </c>
      <c r="AP56" s="244">
        <v>2520</v>
      </c>
      <c r="AZ56" s="203">
        <v>2000</v>
      </c>
      <c r="BJ56" s="243">
        <v>2000</v>
      </c>
      <c r="BT56" s="204"/>
    </row>
    <row r="57" spans="1:72" ht="30.75" hidden="1" customHeight="1">
      <c r="A57" s="168">
        <v>16</v>
      </c>
      <c r="B57" s="170"/>
      <c r="C57" s="247">
        <v>20062916</v>
      </c>
      <c r="D57" s="283" t="s">
        <v>413</v>
      </c>
      <c r="E57" s="274" t="s">
        <v>69</v>
      </c>
      <c r="F57" s="188"/>
      <c r="G57" s="188"/>
      <c r="H57" s="184"/>
      <c r="I57" s="232">
        <f t="shared" si="13"/>
        <v>9228</v>
      </c>
      <c r="J57" s="232"/>
      <c r="K57" s="188"/>
      <c r="L57" s="233">
        <v>1368</v>
      </c>
      <c r="V57" s="223">
        <v>1728</v>
      </c>
      <c r="AF57" s="224">
        <v>1224</v>
      </c>
      <c r="AP57" s="244">
        <v>1908</v>
      </c>
      <c r="AZ57" s="203">
        <v>1500</v>
      </c>
      <c r="BJ57" s="243">
        <v>1500</v>
      </c>
      <c r="BT57" s="204"/>
    </row>
    <row r="58" spans="1:72" ht="30.75" hidden="1" customHeight="1">
      <c r="A58" s="168">
        <v>17</v>
      </c>
      <c r="B58" s="170"/>
      <c r="C58" s="247">
        <v>20063380</v>
      </c>
      <c r="D58" s="283" t="s">
        <v>437</v>
      </c>
      <c r="E58" s="274" t="s">
        <v>69</v>
      </c>
      <c r="F58" s="188"/>
      <c r="G58" s="188"/>
      <c r="H58" s="184"/>
      <c r="I58" s="232">
        <f t="shared" si="13"/>
        <v>8240</v>
      </c>
      <c r="J58" s="232"/>
      <c r="K58" s="188"/>
      <c r="L58" s="233">
        <v>1080</v>
      </c>
      <c r="V58" s="223">
        <v>1480</v>
      </c>
      <c r="AF58" s="224">
        <v>960</v>
      </c>
      <c r="AP58" s="244">
        <v>1720</v>
      </c>
      <c r="AZ58" s="203">
        <v>1500</v>
      </c>
      <c r="BJ58" s="243">
        <v>1500</v>
      </c>
      <c r="BT58" s="204"/>
    </row>
    <row r="59" spans="1:72" ht="30.75" hidden="1" customHeight="1">
      <c r="A59" s="168">
        <v>18</v>
      </c>
      <c r="B59" s="170"/>
      <c r="C59" s="290">
        <v>20063468</v>
      </c>
      <c r="D59" s="291" t="s">
        <v>418</v>
      </c>
      <c r="E59" s="169" t="s">
        <v>69</v>
      </c>
      <c r="F59" s="186"/>
      <c r="G59" s="186"/>
      <c r="H59" s="184"/>
      <c r="I59" s="232">
        <f t="shared" si="13"/>
        <v>9520</v>
      </c>
      <c r="J59" s="232"/>
      <c r="K59" s="188"/>
      <c r="L59" s="233">
        <v>1320</v>
      </c>
      <c r="V59" s="223">
        <v>1680</v>
      </c>
      <c r="AF59" s="224">
        <v>1240</v>
      </c>
      <c r="AP59" s="244">
        <v>2080</v>
      </c>
      <c r="AZ59" s="203">
        <v>1600</v>
      </c>
      <c r="BJ59" s="243">
        <v>1600</v>
      </c>
      <c r="BT59" s="204"/>
    </row>
    <row r="60" spans="1:72" ht="29.25" hidden="1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ref="I60:I70" si="14">SUM(L60,V60,AF60,AP60,AZ60,BJ60,BT60)</f>
        <v>2820</v>
      </c>
      <c r="J60" s="232"/>
      <c r="K60" s="188"/>
      <c r="L60" s="233">
        <v>420</v>
      </c>
      <c r="V60" s="223">
        <v>600</v>
      </c>
      <c r="AF60" s="224">
        <v>300</v>
      </c>
      <c r="AP60" s="244">
        <v>600</v>
      </c>
      <c r="AZ60" s="203">
        <v>300</v>
      </c>
      <c r="BJ60" s="243">
        <v>300</v>
      </c>
      <c r="BT60" s="204">
        <v>300</v>
      </c>
    </row>
    <row r="61" spans="1:72" ht="29.25" hidden="1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14"/>
        <v>27852</v>
      </c>
      <c r="J61" s="232"/>
      <c r="K61" s="188"/>
      <c r="L61" s="233">
        <v>4572</v>
      </c>
      <c r="V61" s="223">
        <v>4554</v>
      </c>
      <c r="AF61" s="224">
        <v>4572</v>
      </c>
      <c r="AP61" s="244">
        <v>4554</v>
      </c>
      <c r="AZ61" s="203">
        <v>4800</v>
      </c>
      <c r="BJ61" s="243">
        <v>4800</v>
      </c>
      <c r="BT61" s="204"/>
    </row>
    <row r="62" spans="1:72" ht="29.25" hidden="1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14"/>
        <v>35068</v>
      </c>
      <c r="J62" s="405"/>
      <c r="K62" s="427"/>
      <c r="L62" s="406">
        <v>5940</v>
      </c>
      <c r="V62" s="423">
        <v>5994</v>
      </c>
      <c r="AF62" s="424">
        <v>5976</v>
      </c>
      <c r="AP62" s="425">
        <v>5958</v>
      </c>
      <c r="AZ62" s="426">
        <v>5600</v>
      </c>
      <c r="BJ62" s="428">
        <v>5600</v>
      </c>
      <c r="BT62" s="407"/>
    </row>
    <row r="63" spans="1:72" ht="29.25" hidden="1" customHeight="1">
      <c r="A63" s="168">
        <v>22</v>
      </c>
      <c r="B63" s="170"/>
      <c r="C63" s="429">
        <v>20064365</v>
      </c>
      <c r="D63" s="188" t="s">
        <v>464</v>
      </c>
      <c r="E63" s="169" t="s">
        <v>69</v>
      </c>
      <c r="F63" s="188"/>
      <c r="G63" s="188"/>
      <c r="H63" s="184"/>
      <c r="I63" s="232">
        <f t="shared" si="14"/>
        <v>9532</v>
      </c>
      <c r="J63" s="232"/>
      <c r="K63" s="188"/>
      <c r="L63" s="233">
        <v>1656</v>
      </c>
      <c r="V63" s="223">
        <v>1836</v>
      </c>
      <c r="AF63" s="224">
        <v>1224</v>
      </c>
      <c r="AP63" s="244">
        <v>2016</v>
      </c>
      <c r="AZ63" s="203">
        <v>1400</v>
      </c>
      <c r="BJ63" s="243">
        <v>1400</v>
      </c>
      <c r="BT63" s="204"/>
    </row>
    <row r="64" spans="1:72" ht="29.25" hidden="1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14"/>
        <v>7880</v>
      </c>
      <c r="J64" s="232"/>
      <c r="K64" s="188"/>
      <c r="L64" s="233">
        <v>1160</v>
      </c>
      <c r="V64" s="223">
        <v>1680</v>
      </c>
      <c r="AF64" s="224">
        <v>1120</v>
      </c>
      <c r="AP64" s="244">
        <v>1520</v>
      </c>
      <c r="AZ64" s="203">
        <v>1200</v>
      </c>
      <c r="BJ64" s="243">
        <v>1200</v>
      </c>
      <c r="BT64" s="204"/>
    </row>
    <row r="65" spans="1:72" ht="29.25" hidden="1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14"/>
        <v>2900</v>
      </c>
      <c r="J65" s="232"/>
      <c r="K65" s="188"/>
      <c r="L65" s="233">
        <v>400</v>
      </c>
      <c r="V65" s="223">
        <v>620</v>
      </c>
      <c r="AF65" s="224">
        <v>500</v>
      </c>
      <c r="AP65" s="244">
        <v>480</v>
      </c>
      <c r="AZ65" s="203">
        <v>300</v>
      </c>
      <c r="BJ65" s="243">
        <v>300</v>
      </c>
      <c r="BT65" s="204">
        <v>300</v>
      </c>
    </row>
    <row r="66" spans="1:72" ht="29.25" hidden="1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14"/>
        <v>6040</v>
      </c>
      <c r="J66" s="232"/>
      <c r="K66" s="188"/>
      <c r="L66" s="233">
        <v>1764</v>
      </c>
      <c r="V66" s="223">
        <v>1476</v>
      </c>
      <c r="AF66" s="224">
        <v>0</v>
      </c>
      <c r="AP66" s="244">
        <v>0</v>
      </c>
      <c r="AZ66" s="203">
        <v>900</v>
      </c>
      <c r="BJ66" s="243">
        <v>900</v>
      </c>
      <c r="BT66" s="204">
        <v>1000</v>
      </c>
    </row>
    <row r="67" spans="1:72" ht="29.25" customHeight="1">
      <c r="A67" s="317">
        <v>12</v>
      </c>
      <c r="B67" s="229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14"/>
        <v>2572</v>
      </c>
      <c r="J67" s="232"/>
      <c r="K67" s="188"/>
      <c r="L67" s="233">
        <v>843</v>
      </c>
      <c r="V67" s="223">
        <v>270</v>
      </c>
      <c r="AF67" s="224">
        <v>285</v>
      </c>
      <c r="AP67" s="244">
        <v>365</v>
      </c>
      <c r="AZ67" s="203">
        <v>409</v>
      </c>
      <c r="BJ67" s="243">
        <v>400</v>
      </c>
      <c r="BT67" s="204"/>
    </row>
    <row r="68" spans="1:72" ht="29.25" customHeight="1">
      <c r="A68" s="317">
        <v>13</v>
      </c>
      <c r="B68" s="229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14"/>
        <v>6311</v>
      </c>
      <c r="J68" s="232"/>
      <c r="K68" s="188"/>
      <c r="L68" s="233"/>
      <c r="V68" s="223">
        <v>4055</v>
      </c>
      <c r="AF68" s="224"/>
      <c r="AP68" s="244">
        <v>2256</v>
      </c>
      <c r="AZ68" s="203"/>
      <c r="BJ68" s="243"/>
      <c r="BT68" s="204"/>
    </row>
    <row r="69" spans="1:72" ht="29.25" hidden="1" customHeight="1">
      <c r="A69" s="317">
        <v>2</v>
      </c>
      <c r="B69" s="170"/>
      <c r="C69" s="420">
        <v>1112048</v>
      </c>
      <c r="D69" s="321" t="s">
        <v>441</v>
      </c>
      <c r="E69" s="169" t="s">
        <v>203</v>
      </c>
      <c r="F69" s="169"/>
      <c r="G69" s="183"/>
      <c r="H69" s="184"/>
      <c r="I69" s="215">
        <f t="shared" si="14"/>
        <v>2312</v>
      </c>
      <c r="J69" s="232"/>
      <c r="K69" s="188"/>
      <c r="L69" s="233"/>
      <c r="V69" s="223"/>
      <c r="AF69" s="224">
        <f>350+865</f>
        <v>1215</v>
      </c>
      <c r="AP69" s="244">
        <v>407</v>
      </c>
      <c r="AZ69" s="203">
        <v>390</v>
      </c>
      <c r="BJ69" s="243">
        <v>300</v>
      </c>
      <c r="BT69" s="204"/>
    </row>
    <row r="70" spans="1:72" ht="29.25" hidden="1" customHeight="1">
      <c r="A70" s="317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14"/>
        <v>1727</v>
      </c>
      <c r="J70" s="232"/>
      <c r="K70" s="188"/>
      <c r="L70" s="233"/>
      <c r="V70" s="223"/>
      <c r="AF70" s="224">
        <f>260+671</f>
        <v>931</v>
      </c>
      <c r="AP70" s="244">
        <v>256</v>
      </c>
      <c r="AZ70" s="203">
        <v>240</v>
      </c>
      <c r="BJ70" s="243">
        <v>300</v>
      </c>
      <c r="BT70" s="204"/>
    </row>
    <row r="71" spans="1:72" ht="18.75" customHeight="1"/>
    <row r="72" spans="1:72" ht="22.5" customHeight="1"/>
    <row r="73" spans="1:72" ht="23.25" customHeight="1"/>
  </sheetData>
  <autoFilter ref="E1:E70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383" customFormat="1" ht="15.75" customHeight="1">
      <c r="A1" s="622" t="s">
        <v>14</v>
      </c>
      <c r="B1" s="626"/>
      <c r="C1" s="626"/>
      <c r="D1" s="626"/>
      <c r="E1" s="626"/>
      <c r="F1" s="623"/>
      <c r="G1" s="384"/>
      <c r="H1" s="622" t="s">
        <v>15</v>
      </c>
      <c r="I1" s="623"/>
      <c r="J1" s="623"/>
      <c r="K1" s="623"/>
      <c r="L1" s="623"/>
      <c r="M1" s="623"/>
      <c r="N1" s="384"/>
      <c r="O1" s="622" t="s">
        <v>16</v>
      </c>
      <c r="P1" s="623"/>
      <c r="Q1" s="623"/>
      <c r="R1" s="623"/>
      <c r="S1" s="623"/>
      <c r="T1" s="623"/>
      <c r="U1" s="384"/>
      <c r="V1" s="622" t="s">
        <v>17</v>
      </c>
      <c r="W1" s="623"/>
      <c r="X1" s="623"/>
      <c r="Y1" s="623"/>
      <c r="Z1" s="623"/>
      <c r="AA1" s="623"/>
      <c r="AB1" s="384"/>
      <c r="AC1" s="622" t="s">
        <v>385</v>
      </c>
      <c r="AD1" s="623"/>
      <c r="AE1" s="623"/>
      <c r="AF1" s="623"/>
      <c r="AG1" s="623"/>
      <c r="AH1" s="623"/>
      <c r="AI1" s="384"/>
      <c r="AJ1" s="622" t="s">
        <v>19</v>
      </c>
      <c r="AK1" s="623"/>
      <c r="AL1" s="623"/>
      <c r="AM1" s="623"/>
      <c r="AN1" s="623"/>
      <c r="AO1" s="623"/>
      <c r="AP1" s="384"/>
      <c r="AQ1" s="622" t="s">
        <v>386</v>
      </c>
      <c r="AR1" s="623"/>
      <c r="AS1" s="623"/>
      <c r="AT1" s="623"/>
      <c r="AU1" s="623"/>
      <c r="AV1" s="62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24"/>
      <c r="P68" s="625"/>
      <c r="Q68" s="7"/>
      <c r="R68" s="6"/>
      <c r="S68" s="7"/>
      <c r="T68" s="6"/>
      <c r="U68" s="8"/>
      <c r="V68" s="8"/>
      <c r="W68" s="1"/>
      <c r="X68" s="1"/>
      <c r="Y68" s="624"/>
      <c r="Z68" s="625"/>
      <c r="AA68" s="7"/>
      <c r="AB68" s="6"/>
      <c r="AC68" s="7"/>
      <c r="AD68" s="6"/>
      <c r="AE68" s="8"/>
      <c r="AF68" s="8"/>
      <c r="AG68" s="1"/>
      <c r="AH68" s="1"/>
      <c r="AI68" s="624"/>
      <c r="AJ68" s="625"/>
      <c r="AK68" s="7"/>
      <c r="AL68" s="6"/>
      <c r="AM68" s="7"/>
      <c r="AN68" s="6"/>
      <c r="AO68" s="8"/>
      <c r="AP68" s="8"/>
      <c r="AQ68" s="1"/>
      <c r="AR68" s="1"/>
      <c r="AS68" s="624"/>
      <c r="AT68" s="625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4"/>
      <c r="P69" s="625"/>
      <c r="Q69" s="7"/>
      <c r="R69" s="6"/>
      <c r="S69" s="7"/>
      <c r="T69" s="6"/>
      <c r="U69" s="8"/>
      <c r="V69" s="8"/>
      <c r="W69" s="1"/>
      <c r="X69" s="1"/>
      <c r="Y69" s="624"/>
      <c r="Z69" s="625"/>
      <c r="AA69" s="7"/>
      <c r="AB69" s="6"/>
      <c r="AC69" s="7"/>
      <c r="AD69" s="6"/>
      <c r="AE69" s="8"/>
      <c r="AF69" s="8"/>
      <c r="AG69" s="1"/>
      <c r="AH69" s="1"/>
      <c r="AI69" s="624"/>
      <c r="AJ69" s="625"/>
      <c r="AK69" s="7"/>
      <c r="AL69" s="6"/>
      <c r="AM69" s="7"/>
      <c r="AN69" s="6"/>
      <c r="AO69" s="8"/>
      <c r="AP69" s="8"/>
      <c r="AQ69" s="1"/>
      <c r="AR69" s="1"/>
      <c r="AS69" s="624"/>
      <c r="AT69" s="62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4"/>
      <c r="P70" s="625"/>
      <c r="Q70" s="7"/>
      <c r="R70" s="6"/>
      <c r="S70" s="7"/>
      <c r="T70" s="6"/>
      <c r="U70" s="8"/>
      <c r="V70" s="8"/>
      <c r="W70" s="1"/>
      <c r="X70" s="1"/>
      <c r="Y70" s="624"/>
      <c r="Z70" s="625"/>
      <c r="AA70" s="7"/>
      <c r="AB70" s="6"/>
      <c r="AC70" s="7"/>
      <c r="AD70" s="6"/>
      <c r="AE70" s="8"/>
      <c r="AF70" s="8"/>
      <c r="AG70" s="1"/>
      <c r="AH70" s="1"/>
      <c r="AI70" s="624"/>
      <c r="AJ70" s="625"/>
      <c r="AK70" s="7"/>
      <c r="AL70" s="6"/>
      <c r="AM70" s="7"/>
      <c r="AN70" s="6"/>
      <c r="AO70" s="8"/>
      <c r="AP70" s="8"/>
      <c r="AQ70" s="1"/>
      <c r="AR70" s="1"/>
      <c r="AS70" s="624"/>
      <c r="AT70" s="625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1"/>
  <sheetViews>
    <sheetView topLeftCell="A34" zoomScale="90" zoomScaleNormal="90" workbookViewId="0">
      <selection activeCell="CD63" sqref="CD63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7.2851562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13.140625" style="164" customWidth="1"/>
    <col min="13" max="21" width="0" style="42" hidden="1" customWidth="1"/>
    <col min="22" max="22" width="13.140625" style="164" customWidth="1"/>
    <col min="23" max="31" width="0" style="42" hidden="1" customWidth="1"/>
    <col min="32" max="32" width="13.28515625" style="164" customWidth="1"/>
    <col min="33" max="41" width="0" style="42" hidden="1" customWidth="1"/>
    <col min="42" max="42" width="12.7109375" style="164" customWidth="1"/>
    <col min="43" max="51" width="0" style="42" hidden="1" customWidth="1"/>
    <col min="52" max="52" width="13.28515625" style="346" customWidth="1"/>
    <col min="53" max="61" width="0" style="42" hidden="1" customWidth="1"/>
    <col min="62" max="62" width="12.85546875" style="164" customWidth="1"/>
    <col min="63" max="71" width="0" style="42" hidden="1" customWidth="1"/>
    <col min="72" max="72" width="12.85546875" style="346" customWidth="1"/>
    <col min="73" max="79" width="0" style="42" hidden="1" customWidth="1"/>
    <col min="80" max="80" width="2.42578125" style="42" hidden="1" customWidth="1"/>
    <col min="81" max="16384" width="12.7109375" style="164"/>
  </cols>
  <sheetData>
    <row r="1" spans="1:80" ht="43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84" t="s">
        <v>8</v>
      </c>
      <c r="G1" s="585"/>
      <c r="H1" s="586"/>
      <c r="I1" s="585"/>
      <c r="J1" s="585"/>
      <c r="K1" s="587" t="s">
        <v>460</v>
      </c>
      <c r="L1" s="588"/>
      <c r="M1" s="589"/>
      <c r="N1" s="589"/>
      <c r="O1" s="589"/>
      <c r="P1" s="589"/>
      <c r="Q1" s="589"/>
      <c r="R1" s="589"/>
      <c r="S1" s="589"/>
      <c r="T1" s="589"/>
      <c r="U1" s="589"/>
      <c r="V1" s="588"/>
      <c r="W1" s="589"/>
      <c r="X1" s="589"/>
      <c r="Y1" s="589"/>
      <c r="Z1" s="589"/>
      <c r="AA1" s="589"/>
      <c r="AB1" s="589"/>
      <c r="AC1" s="589"/>
      <c r="AD1" s="589"/>
      <c r="AE1" s="589"/>
      <c r="AF1" s="588"/>
      <c r="AG1" s="589"/>
      <c r="AH1" s="589"/>
      <c r="AI1" s="589"/>
      <c r="AJ1" s="589"/>
      <c r="AK1" s="589"/>
      <c r="AL1" s="589"/>
      <c r="AM1" s="589"/>
      <c r="AN1" s="589"/>
      <c r="AO1" s="589"/>
      <c r="AP1" s="588"/>
      <c r="AQ1" s="589"/>
      <c r="AR1" s="589"/>
      <c r="AS1" s="589"/>
      <c r="AT1" s="589"/>
      <c r="AU1" s="589"/>
      <c r="AV1" s="589"/>
      <c r="AW1" s="589"/>
      <c r="AX1" s="589"/>
      <c r="AY1" s="589"/>
      <c r="AZ1" s="588"/>
      <c r="BA1" s="589"/>
      <c r="BB1" s="589"/>
      <c r="BC1" s="589"/>
      <c r="BD1" s="589"/>
      <c r="BE1" s="589"/>
      <c r="BF1" s="589"/>
      <c r="BG1" s="589"/>
      <c r="BH1" s="589"/>
      <c r="BI1" s="589"/>
      <c r="BJ1" s="588"/>
      <c r="BK1" s="589"/>
      <c r="BL1" s="589"/>
      <c r="BM1" s="589"/>
      <c r="BN1" s="589"/>
      <c r="BO1" s="589"/>
      <c r="BP1" s="589"/>
      <c r="BQ1" s="589"/>
      <c r="BR1" s="589"/>
      <c r="BS1" s="589"/>
      <c r="BT1" s="588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8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 hidden="1">
      <c r="A5" s="168">
        <v>1</v>
      </c>
      <c r="B5" s="170"/>
      <c r="C5" s="169">
        <v>1113091</v>
      </c>
      <c r="D5" s="262" t="s">
        <v>41</v>
      </c>
      <c r="E5" s="217" t="s">
        <v>42</v>
      </c>
      <c r="F5" s="169"/>
      <c r="G5" s="183"/>
      <c r="H5" s="184">
        <v>0</v>
      </c>
      <c r="I5" s="215">
        <f t="shared" si="0"/>
        <v>0</v>
      </c>
      <c r="J5" s="184">
        <v>0</v>
      </c>
      <c r="K5" s="185"/>
      <c r="L5" s="201"/>
      <c r="M5" s="219"/>
      <c r="N5" s="96"/>
      <c r="O5" s="59"/>
      <c r="P5" s="59"/>
      <c r="Q5" s="59"/>
      <c r="R5" s="59"/>
      <c r="S5" s="44"/>
      <c r="T5" s="59"/>
      <c r="U5" s="218"/>
      <c r="V5" s="202"/>
      <c r="W5" s="219"/>
      <c r="X5" s="96"/>
      <c r="Y5" s="59"/>
      <c r="Z5" s="59"/>
      <c r="AA5" s="59"/>
      <c r="AB5" s="59"/>
      <c r="AC5" s="44"/>
      <c r="AD5" s="59"/>
      <c r="AE5" s="218"/>
      <c r="AF5" s="248"/>
      <c r="AG5" s="219"/>
      <c r="AH5" s="96"/>
      <c r="AI5" s="59"/>
      <c r="AJ5" s="59"/>
      <c r="AK5" s="59"/>
      <c r="AL5" s="59"/>
      <c r="AM5" s="44"/>
      <c r="AN5" s="59"/>
      <c r="AO5" s="218"/>
      <c r="AP5" s="257"/>
      <c r="AQ5" s="219"/>
      <c r="AR5" s="96"/>
      <c r="AS5" s="59"/>
      <c r="AT5" s="59"/>
      <c r="AU5" s="59"/>
      <c r="AV5" s="59"/>
      <c r="AW5" s="44"/>
      <c r="AX5" s="59"/>
      <c r="AY5" s="218"/>
      <c r="AZ5" s="259"/>
      <c r="BA5" s="219"/>
      <c r="BB5" s="96"/>
      <c r="BC5" s="59"/>
      <c r="BD5" s="59"/>
      <c r="BE5" s="59"/>
      <c r="BF5" s="59"/>
      <c r="BG5" s="44"/>
      <c r="BH5" s="59"/>
      <c r="BI5" s="218"/>
      <c r="BJ5" s="261"/>
      <c r="BK5" s="219"/>
      <c r="BL5" s="96"/>
      <c r="BM5" s="59"/>
      <c r="BN5" s="59"/>
      <c r="BO5" s="59"/>
      <c r="BP5" s="59"/>
      <c r="BQ5" s="44"/>
      <c r="BR5" s="59"/>
      <c r="BS5" s="218"/>
      <c r="BT5" s="204"/>
      <c r="BU5" s="21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165">
        <v>11</v>
      </c>
      <c r="B15" s="166"/>
      <c r="C15" s="73">
        <v>1113106</v>
      </c>
      <c r="D15" s="75" t="s">
        <v>152</v>
      </c>
      <c r="E15" s="73" t="s">
        <v>27</v>
      </c>
      <c r="F15" s="73"/>
      <c r="G15" s="116"/>
      <c r="H15" s="129">
        <v>0</v>
      </c>
      <c r="I15" s="220">
        <f t="shared" si="0"/>
        <v>0</v>
      </c>
      <c r="J15" s="129">
        <v>0</v>
      </c>
      <c r="K15" s="117"/>
      <c r="L15" s="355"/>
      <c r="M15" s="59"/>
      <c r="N15" s="96"/>
      <c r="O15" s="59"/>
      <c r="P15" s="59"/>
      <c r="Q15" s="59"/>
      <c r="R15" s="59"/>
      <c r="S15" s="44"/>
      <c r="T15" s="59"/>
      <c r="U15" s="59"/>
      <c r="V15" s="137"/>
      <c r="W15" s="59"/>
      <c r="X15" s="96"/>
      <c r="Y15" s="59"/>
      <c r="Z15" s="59"/>
      <c r="AA15" s="59"/>
      <c r="AB15" s="59"/>
      <c r="AC15" s="44"/>
      <c r="AD15" s="59"/>
      <c r="AE15" s="59"/>
      <c r="AF15" s="293"/>
      <c r="AG15" s="59"/>
      <c r="AH15" s="96"/>
      <c r="AI15" s="59"/>
      <c r="AJ15" s="59"/>
      <c r="AK15" s="59"/>
      <c r="AL15" s="59"/>
      <c r="AM15" s="44"/>
      <c r="AN15" s="59"/>
      <c r="AO15" s="59"/>
      <c r="AP15" s="139"/>
      <c r="AQ15" s="59"/>
      <c r="AR15" s="96"/>
      <c r="AS15" s="59"/>
      <c r="AT15" s="59"/>
      <c r="AU15" s="59"/>
      <c r="AV15" s="59"/>
      <c r="AW15" s="44"/>
      <c r="AX15" s="59"/>
      <c r="AY15" s="59"/>
      <c r="AZ15" s="356"/>
      <c r="BA15" s="59"/>
      <c r="BB15" s="96"/>
      <c r="BC15" s="59"/>
      <c r="BD15" s="59"/>
      <c r="BE15" s="59"/>
      <c r="BF15" s="59"/>
      <c r="BG15" s="44"/>
      <c r="BH15" s="59"/>
      <c r="BI15" s="59"/>
      <c r="BJ15" s="141"/>
      <c r="BK15" s="59"/>
      <c r="BL15" s="96"/>
      <c r="BM15" s="59"/>
      <c r="BN15" s="59"/>
      <c r="BO15" s="59"/>
      <c r="BP15" s="59"/>
      <c r="BQ15" s="44"/>
      <c r="BR15" s="59"/>
      <c r="BS15" s="59"/>
      <c r="BT15" s="295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168">
        <v>2</v>
      </c>
      <c r="B16" s="170"/>
      <c r="C16" s="301">
        <v>1113090</v>
      </c>
      <c r="D16" s="302" t="s">
        <v>406</v>
      </c>
      <c r="E16" s="217" t="s">
        <v>42</v>
      </c>
      <c r="F16" s="169"/>
      <c r="G16" s="183"/>
      <c r="H16" s="184">
        <v>0</v>
      </c>
      <c r="I16" s="215">
        <f t="shared" si="0"/>
        <v>0</v>
      </c>
      <c r="J16" s="184">
        <v>0</v>
      </c>
      <c r="K16" s="185"/>
      <c r="L16" s="252"/>
      <c r="M16" s="219"/>
      <c r="N16" s="96"/>
      <c r="O16" s="59"/>
      <c r="P16" s="59"/>
      <c r="Q16" s="59"/>
      <c r="R16" s="59"/>
      <c r="S16" s="106"/>
      <c r="T16" s="59"/>
      <c r="U16" s="59"/>
      <c r="V16" s="202"/>
      <c r="W16" s="219"/>
      <c r="X16" s="96"/>
      <c r="Y16" s="59"/>
      <c r="Z16" s="59"/>
      <c r="AA16" s="59"/>
      <c r="AB16" s="59"/>
      <c r="AC16" s="44"/>
      <c r="AD16" s="59"/>
      <c r="AE16" s="59"/>
      <c r="AF16" s="224"/>
      <c r="AG16" s="219"/>
      <c r="AH16" s="96"/>
      <c r="AI16" s="59"/>
      <c r="AJ16" s="59"/>
      <c r="AK16" s="59"/>
      <c r="AL16" s="59"/>
      <c r="AM16" s="106"/>
      <c r="AN16" s="59"/>
      <c r="AO16" s="59"/>
      <c r="AP16" s="244"/>
      <c r="AQ16" s="219"/>
      <c r="AR16" s="96"/>
      <c r="AS16" s="59"/>
      <c r="AT16" s="59"/>
      <c r="AU16" s="59"/>
      <c r="AV16" s="59"/>
      <c r="AW16" s="44"/>
      <c r="AX16" s="59"/>
      <c r="AY16" s="59"/>
      <c r="AZ16" s="203"/>
      <c r="BA16" s="219"/>
      <c r="BB16" s="96"/>
      <c r="BC16" s="59"/>
      <c r="BD16" s="59"/>
      <c r="BE16" s="59"/>
      <c r="BF16" s="59"/>
      <c r="BG16" s="106"/>
      <c r="BH16" s="59"/>
      <c r="BI16" s="59"/>
      <c r="BJ16" s="243"/>
      <c r="BK16" s="219"/>
      <c r="BL16" s="96"/>
      <c r="BM16" s="59"/>
      <c r="BN16" s="59"/>
      <c r="BO16" s="59"/>
      <c r="BP16" s="59"/>
      <c r="BQ16" s="44"/>
      <c r="BR16" s="59"/>
      <c r="BS16" s="59"/>
      <c r="BT16" s="204"/>
      <c r="BU16" s="21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279">
        <v>1</v>
      </c>
      <c r="B17" s="402"/>
      <c r="C17" s="492">
        <v>1113087</v>
      </c>
      <c r="D17" s="493" t="s">
        <v>169</v>
      </c>
      <c r="E17" s="443" t="s">
        <v>170</v>
      </c>
      <c r="F17" s="226"/>
      <c r="G17" s="227"/>
      <c r="H17" s="228">
        <v>0</v>
      </c>
      <c r="I17" s="357">
        <f t="shared" si="0"/>
        <v>0</v>
      </c>
      <c r="J17" s="228">
        <v>0</v>
      </c>
      <c r="K17" s="253"/>
      <c r="L17" s="444"/>
      <c r="M17" s="219"/>
      <c r="N17" s="96"/>
      <c r="O17" s="59"/>
      <c r="P17" s="59"/>
      <c r="Q17" s="59"/>
      <c r="R17" s="59"/>
      <c r="S17" s="106"/>
      <c r="T17" s="59"/>
      <c r="U17" s="218"/>
      <c r="V17" s="445"/>
      <c r="W17" s="219"/>
      <c r="X17" s="96"/>
      <c r="Y17" s="59"/>
      <c r="Z17" s="59"/>
      <c r="AA17" s="59"/>
      <c r="AB17" s="59"/>
      <c r="AC17" s="44"/>
      <c r="AD17" s="59"/>
      <c r="AE17" s="218"/>
      <c r="AF17" s="424"/>
      <c r="AG17" s="219"/>
      <c r="AH17" s="96"/>
      <c r="AI17" s="59"/>
      <c r="AJ17" s="59"/>
      <c r="AK17" s="59"/>
      <c r="AL17" s="59"/>
      <c r="AM17" s="106"/>
      <c r="AN17" s="59"/>
      <c r="AO17" s="218"/>
      <c r="AP17" s="425"/>
      <c r="AQ17" s="219"/>
      <c r="AR17" s="96"/>
      <c r="AS17" s="59"/>
      <c r="AT17" s="59"/>
      <c r="AU17" s="59"/>
      <c r="AV17" s="59"/>
      <c r="AW17" s="44"/>
      <c r="AX17" s="59"/>
      <c r="AY17" s="218"/>
      <c r="AZ17" s="426"/>
      <c r="BA17" s="219"/>
      <c r="BB17" s="96"/>
      <c r="BC17" s="59"/>
      <c r="BD17" s="59"/>
      <c r="BE17" s="59"/>
      <c r="BF17" s="59"/>
      <c r="BG17" s="106"/>
      <c r="BH17" s="59"/>
      <c r="BI17" s="218"/>
      <c r="BJ17" s="428"/>
      <c r="BK17" s="219"/>
      <c r="BL17" s="96"/>
      <c r="BM17" s="59"/>
      <c r="BN17" s="59"/>
      <c r="BO17" s="59"/>
      <c r="BP17" s="59"/>
      <c r="BQ17" s="44"/>
      <c r="BR17" s="59"/>
      <c r="BS17" s="218"/>
      <c r="BT17" s="407"/>
      <c r="BU17" s="219"/>
      <c r="BV17" s="96"/>
      <c r="BW17" s="59"/>
      <c r="BX17" s="59"/>
      <c r="BY17" s="59"/>
      <c r="BZ17" s="59"/>
      <c r="CA17" s="44"/>
      <c r="CB17" s="59"/>
    </row>
    <row r="18" spans="1:80" ht="26.25">
      <c r="A18" s="168">
        <v>1</v>
      </c>
      <c r="B18" s="170"/>
      <c r="C18" s="169">
        <v>20039044</v>
      </c>
      <c r="D18" s="262" t="s">
        <v>419</v>
      </c>
      <c r="E18" s="169" t="s">
        <v>69</v>
      </c>
      <c r="F18" s="169"/>
      <c r="G18" s="183"/>
      <c r="H18" s="184">
        <v>0</v>
      </c>
      <c r="I18" s="232">
        <f t="shared" si="0"/>
        <v>0</v>
      </c>
      <c r="J18" s="184">
        <v>0</v>
      </c>
      <c r="K18" s="185"/>
      <c r="L18" s="233"/>
      <c r="M18" s="219"/>
      <c r="N18" s="96"/>
      <c r="O18" s="59"/>
      <c r="P18" s="59"/>
      <c r="Q18" s="59"/>
      <c r="R18" s="105"/>
      <c r="S18" s="106"/>
      <c r="T18" s="59"/>
      <c r="U18" s="218"/>
      <c r="V18" s="234"/>
      <c r="W18" s="219"/>
      <c r="X18" s="96"/>
      <c r="Y18" s="59"/>
      <c r="Z18" s="59"/>
      <c r="AA18" s="59"/>
      <c r="AB18" s="105"/>
      <c r="AC18" s="106"/>
      <c r="AD18" s="59"/>
      <c r="AE18" s="218"/>
      <c r="AF18" s="235"/>
      <c r="AG18" s="354"/>
      <c r="AH18" s="96"/>
      <c r="AI18" s="59"/>
      <c r="AJ18" s="59"/>
      <c r="AK18" s="59"/>
      <c r="AL18" s="105"/>
      <c r="AM18" s="106"/>
      <c r="AN18" s="59"/>
      <c r="AO18" s="218"/>
      <c r="AP18" s="244"/>
      <c r="AQ18" s="219"/>
      <c r="AR18" s="96"/>
      <c r="AS18" s="59"/>
      <c r="AT18" s="59"/>
      <c r="AU18" s="59"/>
      <c r="AV18" s="105"/>
      <c r="AW18" s="106"/>
      <c r="AX18" s="59"/>
      <c r="AY18" s="218"/>
      <c r="AZ18" s="237"/>
      <c r="BA18" s="219"/>
      <c r="BB18" s="96"/>
      <c r="BC18" s="59"/>
      <c r="BD18" s="59"/>
      <c r="BE18" s="59"/>
      <c r="BF18" s="105"/>
      <c r="BG18" s="106"/>
      <c r="BH18" s="105"/>
      <c r="BI18" s="218"/>
      <c r="BJ18" s="238"/>
      <c r="BK18" s="219"/>
      <c r="BL18" s="96"/>
      <c r="BM18" s="59"/>
      <c r="BN18" s="59"/>
      <c r="BO18" s="59"/>
      <c r="BP18" s="105"/>
      <c r="BQ18" s="106"/>
      <c r="BR18" s="59"/>
      <c r="BS18" s="218"/>
      <c r="BT18" s="204"/>
      <c r="BU18" s="21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165">
        <v>12</v>
      </c>
      <c r="B19" s="166"/>
      <c r="C19" s="73">
        <v>1113056</v>
      </c>
      <c r="D19" s="75" t="s">
        <v>181</v>
      </c>
      <c r="E19" s="73" t="s">
        <v>27</v>
      </c>
      <c r="F19" s="73"/>
      <c r="G19" s="116"/>
      <c r="H19" s="447">
        <v>0</v>
      </c>
      <c r="I19" s="220">
        <f t="shared" si="0"/>
        <v>0</v>
      </c>
      <c r="J19" s="447">
        <v>0</v>
      </c>
      <c r="K19" s="448"/>
      <c r="L19" s="355"/>
      <c r="M19" s="59"/>
      <c r="N19" s="96"/>
      <c r="O19" s="59"/>
      <c r="P19" s="59"/>
      <c r="Q19" s="59"/>
      <c r="R19" s="59"/>
      <c r="S19" s="44"/>
      <c r="T19" s="59"/>
      <c r="U19" s="59"/>
      <c r="V19" s="501"/>
      <c r="W19" s="59"/>
      <c r="X19" s="96"/>
      <c r="Y19" s="59"/>
      <c r="Z19" s="59"/>
      <c r="AA19" s="59"/>
      <c r="AB19" s="59"/>
      <c r="AC19" s="44"/>
      <c r="AD19" s="59"/>
      <c r="AE19" s="59"/>
      <c r="AF19" s="502"/>
      <c r="AG19" s="59"/>
      <c r="AH19" s="96"/>
      <c r="AI19" s="59"/>
      <c r="AJ19" s="59"/>
      <c r="AK19" s="59"/>
      <c r="AL19" s="59"/>
      <c r="AM19" s="44"/>
      <c r="AN19" s="59"/>
      <c r="AO19" s="59"/>
      <c r="AP19" s="531"/>
      <c r="AQ19" s="59"/>
      <c r="AR19" s="96"/>
      <c r="AS19" s="59"/>
      <c r="AT19" s="59"/>
      <c r="AU19" s="59"/>
      <c r="AV19" s="59"/>
      <c r="AW19" s="44"/>
      <c r="AX19" s="59"/>
      <c r="AY19" s="59"/>
      <c r="AZ19" s="356"/>
      <c r="BA19" s="59"/>
      <c r="BB19" s="96"/>
      <c r="BC19" s="59"/>
      <c r="BD19" s="59"/>
      <c r="BE19" s="59"/>
      <c r="BF19" s="59"/>
      <c r="BG19" s="44"/>
      <c r="BH19" s="59"/>
      <c r="BI19" s="59"/>
      <c r="BJ19" s="505"/>
      <c r="BK19" s="59"/>
      <c r="BL19" s="96"/>
      <c r="BM19" s="59"/>
      <c r="BN19" s="59"/>
      <c r="BO19" s="59"/>
      <c r="BP19" s="59"/>
      <c r="BQ19" s="44"/>
      <c r="BR19" s="59"/>
      <c r="BS19" s="59"/>
      <c r="BT19" s="522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8">
        <v>13</v>
      </c>
      <c r="B20" s="170"/>
      <c r="C20" s="169">
        <v>1113059</v>
      </c>
      <c r="D20" s="262" t="s">
        <v>182</v>
      </c>
      <c r="E20" s="169" t="s">
        <v>27</v>
      </c>
      <c r="F20" s="169"/>
      <c r="G20" s="183"/>
      <c r="H20" s="184">
        <v>0</v>
      </c>
      <c r="I20" s="215">
        <f t="shared" si="0"/>
        <v>0</v>
      </c>
      <c r="J20" s="184">
        <v>0</v>
      </c>
      <c r="K20" s="185"/>
      <c r="L20" s="367"/>
      <c r="M20" s="219"/>
      <c r="N20" s="96"/>
      <c r="O20" s="59"/>
      <c r="P20" s="59"/>
      <c r="Q20" s="59"/>
      <c r="R20" s="59"/>
      <c r="S20" s="44"/>
      <c r="T20" s="59"/>
      <c r="U20" s="218"/>
      <c r="V20" s="362"/>
      <c r="W20" s="219"/>
      <c r="X20" s="96"/>
      <c r="Y20" s="59"/>
      <c r="Z20" s="59"/>
      <c r="AA20" s="59"/>
      <c r="AB20" s="59"/>
      <c r="AC20" s="44"/>
      <c r="AD20" s="59"/>
      <c r="AE20" s="218"/>
      <c r="AF20" s="363"/>
      <c r="AG20" s="219"/>
      <c r="AH20" s="96"/>
      <c r="AI20" s="59"/>
      <c r="AJ20" s="59"/>
      <c r="AK20" s="59"/>
      <c r="AL20" s="59"/>
      <c r="AM20" s="44"/>
      <c r="AN20" s="59"/>
      <c r="AO20" s="218"/>
      <c r="AP20" s="364"/>
      <c r="AQ20" s="219"/>
      <c r="AR20" s="96"/>
      <c r="AS20" s="59"/>
      <c r="AT20" s="59"/>
      <c r="AU20" s="59"/>
      <c r="AV20" s="59"/>
      <c r="AW20" s="44"/>
      <c r="AX20" s="59"/>
      <c r="AY20" s="218"/>
      <c r="AZ20" s="368"/>
      <c r="BA20" s="219"/>
      <c r="BB20" s="96"/>
      <c r="BC20" s="59"/>
      <c r="BD20" s="59"/>
      <c r="BE20" s="59"/>
      <c r="BF20" s="59"/>
      <c r="BG20" s="44"/>
      <c r="BH20" s="59"/>
      <c r="BI20" s="218"/>
      <c r="BJ20" s="366"/>
      <c r="BK20" s="219"/>
      <c r="BL20" s="96"/>
      <c r="BM20" s="59"/>
      <c r="BN20" s="59"/>
      <c r="BO20" s="59"/>
      <c r="BP20" s="59"/>
      <c r="BQ20" s="44"/>
      <c r="BR20" s="59"/>
      <c r="BS20" s="218"/>
      <c r="BT20" s="216"/>
      <c r="BU20" s="21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168">
        <v>14</v>
      </c>
      <c r="B21" s="170"/>
      <c r="C21" s="169">
        <v>1005977</v>
      </c>
      <c r="D21" s="262" t="s">
        <v>189</v>
      </c>
      <c r="E21" s="169" t="s">
        <v>27</v>
      </c>
      <c r="F21" s="169"/>
      <c r="G21" s="183"/>
      <c r="H21" s="184">
        <v>0</v>
      </c>
      <c r="I21" s="215">
        <f t="shared" si="0"/>
        <v>0</v>
      </c>
      <c r="J21" s="184">
        <v>0</v>
      </c>
      <c r="K21" s="185"/>
      <c r="L21" s="361"/>
      <c r="M21" s="219"/>
      <c r="N21" s="96"/>
      <c r="O21" s="59"/>
      <c r="P21" s="59"/>
      <c r="Q21" s="59"/>
      <c r="R21" s="59"/>
      <c r="S21" s="44"/>
      <c r="T21" s="59"/>
      <c r="U21" s="218"/>
      <c r="V21" s="362"/>
      <c r="W21" s="219"/>
      <c r="X21" s="96"/>
      <c r="Y21" s="59"/>
      <c r="Z21" s="59"/>
      <c r="AA21" s="59"/>
      <c r="AB21" s="59"/>
      <c r="AC21" s="44"/>
      <c r="AD21" s="59"/>
      <c r="AE21" s="218"/>
      <c r="AF21" s="363"/>
      <c r="AG21" s="219"/>
      <c r="AH21" s="96"/>
      <c r="AI21" s="59"/>
      <c r="AJ21" s="59"/>
      <c r="AK21" s="59"/>
      <c r="AL21" s="59"/>
      <c r="AM21" s="44"/>
      <c r="AN21" s="59"/>
      <c r="AO21" s="218"/>
      <c r="AP21" s="364"/>
      <c r="AQ21" s="219"/>
      <c r="AR21" s="96"/>
      <c r="AS21" s="59"/>
      <c r="AT21" s="59"/>
      <c r="AU21" s="59"/>
      <c r="AV21" s="59"/>
      <c r="AW21" s="44"/>
      <c r="AX21" s="59"/>
      <c r="AY21" s="218"/>
      <c r="AZ21" s="365"/>
      <c r="BA21" s="219"/>
      <c r="BB21" s="96"/>
      <c r="BC21" s="59"/>
      <c r="BD21" s="59"/>
      <c r="BE21" s="59"/>
      <c r="BF21" s="59"/>
      <c r="BG21" s="44"/>
      <c r="BH21" s="59"/>
      <c r="BI21" s="218"/>
      <c r="BJ21" s="366"/>
      <c r="BK21" s="219"/>
      <c r="BL21" s="96"/>
      <c r="BM21" s="59"/>
      <c r="BN21" s="59"/>
      <c r="BO21" s="59"/>
      <c r="BP21" s="59"/>
      <c r="BQ21" s="44"/>
      <c r="BR21" s="59"/>
      <c r="BS21" s="218"/>
      <c r="BT21" s="216"/>
      <c r="BU21" s="21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279">
        <v>15</v>
      </c>
      <c r="B22" s="402"/>
      <c r="C22" s="441">
        <v>1113088</v>
      </c>
      <c r="D22" s="442" t="s">
        <v>407</v>
      </c>
      <c r="E22" s="226" t="s">
        <v>27</v>
      </c>
      <c r="F22" s="226"/>
      <c r="G22" s="227"/>
      <c r="H22" s="228">
        <v>0</v>
      </c>
      <c r="I22" s="357">
        <f t="shared" si="0"/>
        <v>0</v>
      </c>
      <c r="J22" s="228">
        <v>0</v>
      </c>
      <c r="K22" s="253"/>
      <c r="L22" s="482"/>
      <c r="M22" s="219"/>
      <c r="N22" s="96"/>
      <c r="O22" s="59"/>
      <c r="P22" s="59"/>
      <c r="Q22" s="59"/>
      <c r="R22" s="59"/>
      <c r="S22" s="44"/>
      <c r="T22" s="59"/>
      <c r="U22" s="218"/>
      <c r="V22" s="445"/>
      <c r="W22" s="219"/>
      <c r="X22" s="96"/>
      <c r="Y22" s="59"/>
      <c r="Z22" s="59"/>
      <c r="AA22" s="59"/>
      <c r="AB22" s="59"/>
      <c r="AC22" s="44"/>
      <c r="AD22" s="59"/>
      <c r="AE22" s="218"/>
      <c r="AF22" s="483"/>
      <c r="AG22" s="219"/>
      <c r="AH22" s="96"/>
      <c r="AI22" s="59"/>
      <c r="AJ22" s="59"/>
      <c r="AK22" s="59"/>
      <c r="AL22" s="59"/>
      <c r="AM22" s="44"/>
      <c r="AN22" s="59"/>
      <c r="AO22" s="218"/>
      <c r="AP22" s="484"/>
      <c r="AQ22" s="219"/>
      <c r="AR22" s="96"/>
      <c r="AS22" s="59"/>
      <c r="AT22" s="59"/>
      <c r="AU22" s="59"/>
      <c r="AV22" s="59"/>
      <c r="AW22" s="44"/>
      <c r="AX22" s="59"/>
      <c r="AY22" s="218"/>
      <c r="AZ22" s="485"/>
      <c r="BA22" s="219"/>
      <c r="BB22" s="96"/>
      <c r="BC22" s="59"/>
      <c r="BD22" s="59"/>
      <c r="BE22" s="59"/>
      <c r="BF22" s="59"/>
      <c r="BG22" s="44"/>
      <c r="BH22" s="59"/>
      <c r="BI22" s="218"/>
      <c r="BJ22" s="381"/>
      <c r="BK22" s="219"/>
      <c r="BL22" s="96"/>
      <c r="BM22" s="59"/>
      <c r="BN22" s="59"/>
      <c r="BO22" s="59"/>
      <c r="BP22" s="59"/>
      <c r="BQ22" s="44"/>
      <c r="BR22" s="59"/>
      <c r="BS22" s="218"/>
      <c r="BT22" s="436"/>
      <c r="BU22" s="21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168">
        <v>4</v>
      </c>
      <c r="B23" s="170"/>
      <c r="C23" s="301">
        <v>1113089</v>
      </c>
      <c r="D23" s="302" t="s">
        <v>195</v>
      </c>
      <c r="E23" s="217" t="s">
        <v>42</v>
      </c>
      <c r="F23" s="169"/>
      <c r="G23" s="183"/>
      <c r="H23" s="184">
        <v>0</v>
      </c>
      <c r="I23" s="215">
        <f t="shared" si="0"/>
        <v>0</v>
      </c>
      <c r="J23" s="184">
        <v>0</v>
      </c>
      <c r="K23" s="185"/>
      <c r="L23" s="252"/>
      <c r="M23" s="219"/>
      <c r="N23" s="96"/>
      <c r="O23" s="59"/>
      <c r="P23" s="59"/>
      <c r="Q23" s="59"/>
      <c r="R23" s="59"/>
      <c r="S23" s="106"/>
      <c r="T23" s="59"/>
      <c r="U23" s="218"/>
      <c r="V23" s="202"/>
      <c r="W23" s="219"/>
      <c r="X23" s="96"/>
      <c r="Y23" s="59"/>
      <c r="Z23" s="59"/>
      <c r="AA23" s="59"/>
      <c r="AB23" s="59"/>
      <c r="AC23" s="44"/>
      <c r="AD23" s="59"/>
      <c r="AE23" s="218"/>
      <c r="AF23" s="224"/>
      <c r="AG23" s="219"/>
      <c r="AH23" s="96"/>
      <c r="AI23" s="59"/>
      <c r="AJ23" s="59"/>
      <c r="AK23" s="59"/>
      <c r="AL23" s="59"/>
      <c r="AM23" s="106"/>
      <c r="AN23" s="59"/>
      <c r="AO23" s="218"/>
      <c r="AP23" s="244"/>
      <c r="AQ23" s="219"/>
      <c r="AR23" s="96"/>
      <c r="AS23" s="59"/>
      <c r="AT23" s="59"/>
      <c r="AU23" s="59"/>
      <c r="AV23" s="59"/>
      <c r="AW23" s="44"/>
      <c r="AX23" s="59"/>
      <c r="AY23" s="218"/>
      <c r="AZ23" s="203"/>
      <c r="BA23" s="219"/>
      <c r="BB23" s="96"/>
      <c r="BC23" s="59"/>
      <c r="BD23" s="59"/>
      <c r="BE23" s="59"/>
      <c r="BF23" s="59"/>
      <c r="BG23" s="106"/>
      <c r="BH23" s="59"/>
      <c r="BI23" s="218"/>
      <c r="BJ23" s="243"/>
      <c r="BK23" s="219"/>
      <c r="BL23" s="96"/>
      <c r="BM23" s="59"/>
      <c r="BN23" s="59"/>
      <c r="BO23" s="59"/>
      <c r="BP23" s="59"/>
      <c r="BQ23" s="44"/>
      <c r="BR23" s="59"/>
      <c r="BS23" s="218"/>
      <c r="BT23" s="204"/>
      <c r="BU23" s="21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279">
        <v>16</v>
      </c>
      <c r="B24" s="402"/>
      <c r="C24" s="492">
        <v>1113093</v>
      </c>
      <c r="D24" s="493" t="s">
        <v>196</v>
      </c>
      <c r="E24" s="550" t="s">
        <v>27</v>
      </c>
      <c r="F24" s="226"/>
      <c r="G24" s="227"/>
      <c r="H24" s="228">
        <v>0</v>
      </c>
      <c r="I24" s="405">
        <f t="shared" si="0"/>
        <v>0</v>
      </c>
      <c r="J24" s="228">
        <v>0</v>
      </c>
      <c r="K24" s="253"/>
      <c r="L24" s="406"/>
      <c r="M24" s="219"/>
      <c r="N24" s="96"/>
      <c r="O24" s="59"/>
      <c r="P24" s="59"/>
      <c r="Q24" s="59"/>
      <c r="R24" s="105"/>
      <c r="S24" s="106"/>
      <c r="T24" s="59"/>
      <c r="U24" s="218"/>
      <c r="V24" s="377"/>
      <c r="W24" s="219"/>
      <c r="X24" s="96"/>
      <c r="Y24" s="59"/>
      <c r="Z24" s="59"/>
      <c r="AA24" s="59"/>
      <c r="AB24" s="105"/>
      <c r="AC24" s="44"/>
      <c r="AD24" s="59"/>
      <c r="AE24" s="218"/>
      <c r="AF24" s="378"/>
      <c r="AG24" s="354"/>
      <c r="AH24" s="96"/>
      <c r="AI24" s="59"/>
      <c r="AJ24" s="59"/>
      <c r="AK24" s="59"/>
      <c r="AL24" s="105"/>
      <c r="AM24" s="44"/>
      <c r="AN24" s="59"/>
      <c r="AO24" s="218"/>
      <c r="AP24" s="379"/>
      <c r="AQ24" s="219"/>
      <c r="AR24" s="96"/>
      <c r="AS24" s="59"/>
      <c r="AT24" s="59"/>
      <c r="AU24" s="59"/>
      <c r="AV24" s="105"/>
      <c r="AW24" s="44"/>
      <c r="AX24" s="59"/>
      <c r="AY24" s="218"/>
      <c r="AZ24" s="380"/>
      <c r="BA24" s="219"/>
      <c r="BB24" s="96"/>
      <c r="BC24" s="59"/>
      <c r="BD24" s="59"/>
      <c r="BE24" s="59"/>
      <c r="BF24" s="105"/>
      <c r="BG24" s="44"/>
      <c r="BH24" s="105"/>
      <c r="BI24" s="218"/>
      <c r="BJ24" s="381"/>
      <c r="BK24" s="219"/>
      <c r="BL24" s="96"/>
      <c r="BM24" s="59"/>
      <c r="BN24" s="59"/>
      <c r="BO24" s="59"/>
      <c r="BP24" s="105"/>
      <c r="BQ24" s="44"/>
      <c r="BR24" s="59"/>
      <c r="BS24" s="218"/>
      <c r="BT24" s="436"/>
      <c r="BU24" s="219"/>
      <c r="BV24" s="96"/>
      <c r="BW24" s="59"/>
      <c r="BX24" s="59"/>
      <c r="BY24" s="59"/>
      <c r="BZ24" s="105"/>
      <c r="CA24" s="44"/>
      <c r="CB24" s="59"/>
    </row>
    <row r="25" spans="1:80" ht="26.25">
      <c r="A25" s="168">
        <v>2</v>
      </c>
      <c r="B25" s="170"/>
      <c r="C25" s="169">
        <v>20039963</v>
      </c>
      <c r="D25" s="262" t="s">
        <v>420</v>
      </c>
      <c r="E25" s="169" t="s">
        <v>69</v>
      </c>
      <c r="F25" s="169"/>
      <c r="G25" s="183"/>
      <c r="H25" s="184">
        <v>0</v>
      </c>
      <c r="I25" s="232">
        <f t="shared" si="0"/>
        <v>0</v>
      </c>
      <c r="J25" s="184">
        <v>0</v>
      </c>
      <c r="K25" s="185"/>
      <c r="L25" s="233"/>
      <c r="M25" s="219"/>
      <c r="N25" s="96"/>
      <c r="O25" s="59"/>
      <c r="P25" s="59"/>
      <c r="Q25" s="59"/>
      <c r="R25" s="59"/>
      <c r="S25" s="106"/>
      <c r="T25" s="59"/>
      <c r="U25" s="218"/>
      <c r="V25" s="234"/>
      <c r="W25" s="219"/>
      <c r="X25" s="96"/>
      <c r="Y25" s="59"/>
      <c r="Z25" s="59"/>
      <c r="AA25" s="59"/>
      <c r="AB25" s="59"/>
      <c r="AC25" s="106"/>
      <c r="AD25" s="59"/>
      <c r="AE25" s="218"/>
      <c r="AF25" s="235"/>
      <c r="AG25" s="219"/>
      <c r="AH25" s="96"/>
      <c r="AI25" s="59"/>
      <c r="AJ25" s="59"/>
      <c r="AK25" s="59"/>
      <c r="AL25" s="59"/>
      <c r="AM25" s="106"/>
      <c r="AN25" s="59"/>
      <c r="AO25" s="218"/>
      <c r="AP25" s="244"/>
      <c r="AQ25" s="219"/>
      <c r="AR25" s="96"/>
      <c r="AS25" s="59"/>
      <c r="AT25" s="59"/>
      <c r="AU25" s="59"/>
      <c r="AV25" s="59"/>
      <c r="AW25" s="106"/>
      <c r="AX25" s="59"/>
      <c r="AY25" s="218"/>
      <c r="AZ25" s="237"/>
      <c r="BA25" s="219"/>
      <c r="BB25" s="96"/>
      <c r="BC25" s="59"/>
      <c r="BD25" s="59"/>
      <c r="BE25" s="59"/>
      <c r="BF25" s="59"/>
      <c r="BG25" s="106"/>
      <c r="BH25" s="59"/>
      <c r="BI25" s="218"/>
      <c r="BJ25" s="238"/>
      <c r="BK25" s="219"/>
      <c r="BL25" s="96"/>
      <c r="BM25" s="59"/>
      <c r="BN25" s="59"/>
      <c r="BO25" s="59"/>
      <c r="BP25" s="59"/>
      <c r="BQ25" s="106"/>
      <c r="BR25" s="59"/>
      <c r="BS25" s="218"/>
      <c r="BT25" s="204"/>
      <c r="BU25" s="21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358">
        <v>17</v>
      </c>
      <c r="B26" s="245"/>
      <c r="C26" s="496">
        <v>1113087</v>
      </c>
      <c r="D26" s="497" t="s">
        <v>410</v>
      </c>
      <c r="E26" s="182" t="s">
        <v>27</v>
      </c>
      <c r="F26" s="182"/>
      <c r="G26" s="359"/>
      <c r="H26" s="230"/>
      <c r="I26" s="254">
        <f t="shared" si="0"/>
        <v>0</v>
      </c>
      <c r="J26" s="230"/>
      <c r="K26" s="395"/>
      <c r="L26" s="308"/>
      <c r="M26" s="219"/>
      <c r="N26" s="96"/>
      <c r="O26" s="105"/>
      <c r="P26" s="59"/>
      <c r="Q26" s="59"/>
      <c r="R26" s="105"/>
      <c r="S26" s="106"/>
      <c r="T26" s="59"/>
      <c r="U26" s="353"/>
      <c r="V26" s="396"/>
      <c r="W26" s="219"/>
      <c r="X26" s="96"/>
      <c r="Y26" s="105"/>
      <c r="Z26" s="59"/>
      <c r="AA26" s="59"/>
      <c r="AB26" s="105"/>
      <c r="AC26" s="44"/>
      <c r="AD26" s="59"/>
      <c r="AE26" s="218"/>
      <c r="AF26" s="397"/>
      <c r="AG26" s="354"/>
      <c r="AH26" s="96"/>
      <c r="AI26" s="105"/>
      <c r="AJ26" s="59"/>
      <c r="AK26" s="59"/>
      <c r="AL26" s="105"/>
      <c r="AM26" s="44"/>
      <c r="AN26" s="59"/>
      <c r="AO26" s="218"/>
      <c r="AP26" s="506"/>
      <c r="AQ26" s="219"/>
      <c r="AR26" s="96"/>
      <c r="AS26" s="105"/>
      <c r="AT26" s="59"/>
      <c r="AU26" s="59"/>
      <c r="AV26" s="105"/>
      <c r="AW26" s="106"/>
      <c r="AX26" s="59"/>
      <c r="AY26" s="218"/>
      <c r="AZ26" s="399"/>
      <c r="BA26" s="219"/>
      <c r="BB26" s="96"/>
      <c r="BC26" s="105"/>
      <c r="BD26" s="59"/>
      <c r="BE26" s="59"/>
      <c r="BF26" s="105"/>
      <c r="BG26" s="44"/>
      <c r="BH26" s="105"/>
      <c r="BI26" s="218"/>
      <c r="BJ26" s="400"/>
      <c r="BK26" s="354"/>
      <c r="BL26" s="96"/>
      <c r="BM26" s="105"/>
      <c r="BN26" s="59"/>
      <c r="BO26" s="59"/>
      <c r="BP26" s="105"/>
      <c r="BQ26" s="44"/>
      <c r="BR26" s="59"/>
      <c r="BS26" s="218"/>
      <c r="BT26" s="438"/>
      <c r="BU26" s="21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279">
        <v>18</v>
      </c>
      <c r="B27" s="402"/>
      <c r="C27" s="441">
        <v>1005982</v>
      </c>
      <c r="D27" s="442" t="s">
        <v>199</v>
      </c>
      <c r="E27" s="226" t="s">
        <v>27</v>
      </c>
      <c r="F27" s="226"/>
      <c r="G27" s="227"/>
      <c r="H27" s="228">
        <v>0</v>
      </c>
      <c r="I27" s="357">
        <f t="shared" si="0"/>
        <v>0</v>
      </c>
      <c r="J27" s="228">
        <v>0</v>
      </c>
      <c r="K27" s="253"/>
      <c r="L27" s="389"/>
      <c r="M27" s="219"/>
      <c r="N27" s="96"/>
      <c r="O27" s="59"/>
      <c r="P27" s="59"/>
      <c r="Q27" s="59"/>
      <c r="R27" s="59"/>
      <c r="S27" s="44"/>
      <c r="T27" s="59"/>
      <c r="U27" s="218"/>
      <c r="V27" s="377"/>
      <c r="W27" s="219"/>
      <c r="X27" s="96"/>
      <c r="Y27" s="59"/>
      <c r="Z27" s="59"/>
      <c r="AA27" s="59"/>
      <c r="AB27" s="59"/>
      <c r="AC27" s="44"/>
      <c r="AD27" s="59"/>
      <c r="AE27" s="218"/>
      <c r="AF27" s="378"/>
      <c r="AG27" s="219"/>
      <c r="AH27" s="96"/>
      <c r="AI27" s="59"/>
      <c r="AJ27" s="59"/>
      <c r="AK27" s="59"/>
      <c r="AL27" s="59"/>
      <c r="AM27" s="44"/>
      <c r="AN27" s="59"/>
      <c r="AO27" s="218"/>
      <c r="AP27" s="379"/>
      <c r="AQ27" s="219"/>
      <c r="AR27" s="96"/>
      <c r="AS27" s="59"/>
      <c r="AT27" s="59"/>
      <c r="AU27" s="59"/>
      <c r="AV27" s="59"/>
      <c r="AW27" s="44"/>
      <c r="AX27" s="59"/>
      <c r="AY27" s="218"/>
      <c r="AZ27" s="380"/>
      <c r="BA27" s="219"/>
      <c r="BB27" s="96"/>
      <c r="BC27" s="59"/>
      <c r="BD27" s="59"/>
      <c r="BE27" s="59"/>
      <c r="BF27" s="59"/>
      <c r="BG27" s="44"/>
      <c r="BH27" s="59"/>
      <c r="BI27" s="218"/>
      <c r="BJ27" s="381"/>
      <c r="BK27" s="219"/>
      <c r="BL27" s="96"/>
      <c r="BM27" s="59"/>
      <c r="BN27" s="59"/>
      <c r="BO27" s="59"/>
      <c r="BP27" s="59"/>
      <c r="BQ27" s="44"/>
      <c r="BR27" s="59"/>
      <c r="BS27" s="218"/>
      <c r="BT27" s="436"/>
      <c r="BU27" s="219"/>
      <c r="BV27" s="96"/>
      <c r="BW27" s="59"/>
      <c r="BX27" s="59"/>
      <c r="BY27" s="59"/>
      <c r="BZ27" s="59"/>
      <c r="CA27" s="44"/>
      <c r="CB27" s="59"/>
    </row>
    <row r="28" spans="1:80" s="42" customFormat="1" ht="26.25" hidden="1">
      <c r="A28" s="168">
        <v>5</v>
      </c>
      <c r="B28" s="170"/>
      <c r="C28" s="169">
        <v>1113086</v>
      </c>
      <c r="D28" s="262" t="s">
        <v>200</v>
      </c>
      <c r="E28" s="217" t="s">
        <v>42</v>
      </c>
      <c r="F28" s="169"/>
      <c r="G28" s="183"/>
      <c r="H28" s="184">
        <v>0</v>
      </c>
      <c r="I28" s="215">
        <f t="shared" si="0"/>
        <v>0</v>
      </c>
      <c r="J28" s="184">
        <v>0</v>
      </c>
      <c r="K28" s="185"/>
      <c r="L28" s="201"/>
      <c r="M28" s="219"/>
      <c r="N28" s="96"/>
      <c r="O28" s="59"/>
      <c r="P28" s="59"/>
      <c r="Q28" s="59"/>
      <c r="R28" s="59"/>
      <c r="S28" s="44"/>
      <c r="T28" s="59"/>
      <c r="U28" s="218"/>
      <c r="V28" s="202"/>
      <c r="W28" s="219"/>
      <c r="X28" s="96"/>
      <c r="Y28" s="59"/>
      <c r="Z28" s="59"/>
      <c r="AA28" s="59"/>
      <c r="AB28" s="59"/>
      <c r="AC28" s="44"/>
      <c r="AD28" s="59"/>
      <c r="AE28" s="218"/>
      <c r="AF28" s="248"/>
      <c r="AG28" s="219"/>
      <c r="AH28" s="96"/>
      <c r="AI28" s="59"/>
      <c r="AJ28" s="59"/>
      <c r="AK28" s="59"/>
      <c r="AL28" s="59"/>
      <c r="AM28" s="44"/>
      <c r="AN28" s="59"/>
      <c r="AO28" s="218"/>
      <c r="AP28" s="257"/>
      <c r="AQ28" s="219"/>
      <c r="AR28" s="96"/>
      <c r="AS28" s="59"/>
      <c r="AT28" s="59"/>
      <c r="AU28" s="59"/>
      <c r="AV28" s="59"/>
      <c r="AW28" s="44"/>
      <c r="AX28" s="59"/>
      <c r="AY28" s="218"/>
      <c r="AZ28" s="259"/>
      <c r="BA28" s="219"/>
      <c r="BB28" s="96"/>
      <c r="BC28" s="59"/>
      <c r="BD28" s="59"/>
      <c r="BE28" s="59"/>
      <c r="BF28" s="59"/>
      <c r="BG28" s="44"/>
      <c r="BH28" s="59"/>
      <c r="BI28" s="218"/>
      <c r="BJ28" s="261"/>
      <c r="BK28" s="219"/>
      <c r="BL28" s="96"/>
      <c r="BM28" s="59"/>
      <c r="BN28" s="59"/>
      <c r="BO28" s="59"/>
      <c r="BP28" s="59"/>
      <c r="BQ28" s="44"/>
      <c r="BR28" s="59"/>
      <c r="BS28" s="218"/>
      <c r="BT28" s="204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279">
        <v>1</v>
      </c>
      <c r="B29" s="402"/>
      <c r="C29" s="226">
        <v>1005985</v>
      </c>
      <c r="D29" s="376" t="s">
        <v>202</v>
      </c>
      <c r="E29" s="226" t="s">
        <v>203</v>
      </c>
      <c r="F29" s="226"/>
      <c r="G29" s="227"/>
      <c r="H29" s="228">
        <v>0</v>
      </c>
      <c r="I29" s="357">
        <f t="shared" si="0"/>
        <v>0</v>
      </c>
      <c r="J29" s="228">
        <v>0</v>
      </c>
      <c r="K29" s="253"/>
      <c r="L29" s="486"/>
      <c r="M29" s="219"/>
      <c r="N29" s="96"/>
      <c r="O29" s="59"/>
      <c r="P29" s="59"/>
      <c r="Q29" s="59"/>
      <c r="R29" s="59"/>
      <c r="S29" s="44"/>
      <c r="T29" s="59"/>
      <c r="U29" s="218"/>
      <c r="V29" s="377"/>
      <c r="W29" s="219"/>
      <c r="X29" s="96"/>
      <c r="Y29" s="59"/>
      <c r="Z29" s="59"/>
      <c r="AA29" s="59"/>
      <c r="AB29" s="59"/>
      <c r="AC29" s="44"/>
      <c r="AD29" s="59"/>
      <c r="AE29" s="218"/>
      <c r="AF29" s="378"/>
      <c r="AG29" s="219"/>
      <c r="AH29" s="96"/>
      <c r="AI29" s="59"/>
      <c r="AJ29" s="59"/>
      <c r="AK29" s="59"/>
      <c r="AL29" s="59"/>
      <c r="AM29" s="44"/>
      <c r="AN29" s="59"/>
      <c r="AO29" s="218"/>
      <c r="AP29" s="379"/>
      <c r="AQ29" s="219"/>
      <c r="AR29" s="96"/>
      <c r="AS29" s="59"/>
      <c r="AT29" s="59"/>
      <c r="AU29" s="59"/>
      <c r="AV29" s="59"/>
      <c r="AW29" s="44"/>
      <c r="AX29" s="59"/>
      <c r="AY29" s="218"/>
      <c r="AZ29" s="380"/>
      <c r="BA29" s="219"/>
      <c r="BB29" s="96"/>
      <c r="BC29" s="59"/>
      <c r="BD29" s="59"/>
      <c r="BE29" s="59"/>
      <c r="BF29" s="59"/>
      <c r="BG29" s="44"/>
      <c r="BH29" s="59"/>
      <c r="BI29" s="218"/>
      <c r="BJ29" s="381"/>
      <c r="BK29" s="219"/>
      <c r="BL29" s="96"/>
      <c r="BM29" s="59"/>
      <c r="BN29" s="59"/>
      <c r="BO29" s="59"/>
      <c r="BP29" s="59"/>
      <c r="BQ29" s="44"/>
      <c r="BR29" s="59"/>
      <c r="BS29" s="218"/>
      <c r="BT29" s="436"/>
      <c r="BU29" s="219"/>
      <c r="BV29" s="96"/>
      <c r="BW29" s="59"/>
      <c r="BX29" s="59"/>
      <c r="BY29" s="59"/>
      <c r="BZ29" s="59"/>
      <c r="CA29" s="44"/>
      <c r="CB29" s="59"/>
    </row>
    <row r="30" spans="1:80" s="42" customFormat="1" ht="26.25" hidden="1">
      <c r="A30" s="168">
        <v>2</v>
      </c>
      <c r="B30" s="170"/>
      <c r="C30" s="303">
        <v>1113088</v>
      </c>
      <c r="D30" s="304" t="s">
        <v>208</v>
      </c>
      <c r="E30" s="217" t="s">
        <v>170</v>
      </c>
      <c r="F30" s="169"/>
      <c r="G30" s="183"/>
      <c r="H30" s="184">
        <v>0</v>
      </c>
      <c r="I30" s="215">
        <f t="shared" si="0"/>
        <v>0</v>
      </c>
      <c r="J30" s="184">
        <v>0</v>
      </c>
      <c r="K30" s="185"/>
      <c r="L30" s="252"/>
      <c r="M30" s="219"/>
      <c r="N30" s="96"/>
      <c r="O30" s="59"/>
      <c r="P30" s="59"/>
      <c r="Q30" s="59"/>
      <c r="R30" s="59"/>
      <c r="S30" s="106"/>
      <c r="T30" s="59"/>
      <c r="U30" s="218"/>
      <c r="V30" s="223"/>
      <c r="W30" s="219"/>
      <c r="X30" s="96"/>
      <c r="Y30" s="59"/>
      <c r="Z30" s="59"/>
      <c r="AA30" s="59"/>
      <c r="AB30" s="59"/>
      <c r="AC30" s="44"/>
      <c r="AD30" s="59"/>
      <c r="AE30" s="218"/>
      <c r="AF30" s="224"/>
      <c r="AG30" s="219"/>
      <c r="AH30" s="96"/>
      <c r="AI30" s="59"/>
      <c r="AJ30" s="59"/>
      <c r="AK30" s="59"/>
      <c r="AL30" s="59"/>
      <c r="AM30" s="106"/>
      <c r="AN30" s="59"/>
      <c r="AO30" s="218"/>
      <c r="AP30" s="244"/>
      <c r="AQ30" s="219"/>
      <c r="AR30" s="96"/>
      <c r="AS30" s="59"/>
      <c r="AT30" s="59"/>
      <c r="AU30" s="59"/>
      <c r="AV30" s="59"/>
      <c r="AW30" s="44"/>
      <c r="AX30" s="59"/>
      <c r="AY30" s="218"/>
      <c r="AZ30" s="203"/>
      <c r="BA30" s="219"/>
      <c r="BB30" s="96"/>
      <c r="BC30" s="59"/>
      <c r="BD30" s="59"/>
      <c r="BE30" s="59"/>
      <c r="BF30" s="59"/>
      <c r="BG30" s="106"/>
      <c r="BH30" s="59"/>
      <c r="BI30" s="218"/>
      <c r="BJ30" s="243"/>
      <c r="BK30" s="219"/>
      <c r="BL30" s="96"/>
      <c r="BM30" s="59"/>
      <c r="BN30" s="59"/>
      <c r="BO30" s="59"/>
      <c r="BP30" s="59"/>
      <c r="BQ30" s="44"/>
      <c r="BR30" s="59"/>
      <c r="BS30" s="218"/>
      <c r="BT30" s="204"/>
      <c r="BU30" s="21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165">
        <v>2</v>
      </c>
      <c r="B31" s="166"/>
      <c r="C31" s="73">
        <v>1113155</v>
      </c>
      <c r="D31" s="75" t="s">
        <v>214</v>
      </c>
      <c r="E31" s="73" t="s">
        <v>31</v>
      </c>
      <c r="F31" s="73"/>
      <c r="G31" s="116"/>
      <c r="H31" s="447">
        <v>0</v>
      </c>
      <c r="I31" s="300">
        <f t="shared" si="0"/>
        <v>0</v>
      </c>
      <c r="J31" s="447">
        <v>0</v>
      </c>
      <c r="K31" s="448"/>
      <c r="L31" s="500"/>
      <c r="M31" s="59"/>
      <c r="N31" s="96"/>
      <c r="O31" s="105"/>
      <c r="P31" s="59"/>
      <c r="Q31" s="59"/>
      <c r="R31" s="105"/>
      <c r="S31" s="106"/>
      <c r="T31" s="59"/>
      <c r="U31" s="105"/>
      <c r="V31" s="501"/>
      <c r="W31" s="59"/>
      <c r="X31" s="96"/>
      <c r="Y31" s="105"/>
      <c r="Z31" s="59"/>
      <c r="AA31" s="59"/>
      <c r="AB31" s="105"/>
      <c r="AC31" s="44"/>
      <c r="AD31" s="59"/>
      <c r="AE31" s="59"/>
      <c r="AF31" s="502"/>
      <c r="AG31" s="105"/>
      <c r="AH31" s="96"/>
      <c r="AI31" s="105"/>
      <c r="AJ31" s="59"/>
      <c r="AK31" s="59"/>
      <c r="AL31" s="105"/>
      <c r="AM31" s="44"/>
      <c r="AN31" s="59"/>
      <c r="AO31" s="59"/>
      <c r="AP31" s="503"/>
      <c r="AQ31" s="59"/>
      <c r="AR31" s="96"/>
      <c r="AS31" s="105"/>
      <c r="AT31" s="59"/>
      <c r="AU31" s="59"/>
      <c r="AV31" s="105"/>
      <c r="AW31" s="106"/>
      <c r="AX31" s="59"/>
      <c r="AY31" s="59"/>
      <c r="AZ31" s="504"/>
      <c r="BA31" s="59"/>
      <c r="BB31" s="96"/>
      <c r="BC31" s="105"/>
      <c r="BD31" s="59"/>
      <c r="BE31" s="59"/>
      <c r="BF31" s="105"/>
      <c r="BG31" s="44"/>
      <c r="BH31" s="105"/>
      <c r="BI31" s="59"/>
      <c r="BJ31" s="505"/>
      <c r="BK31" s="105"/>
      <c r="BL31" s="96"/>
      <c r="BM31" s="105"/>
      <c r="BN31" s="59"/>
      <c r="BO31" s="59"/>
      <c r="BP31" s="105"/>
      <c r="BQ31" s="44"/>
      <c r="BR31" s="59"/>
      <c r="BS31" s="59"/>
      <c r="BT31" s="522"/>
      <c r="BU31" s="59"/>
      <c r="BV31" s="96"/>
      <c r="BW31" s="105"/>
      <c r="BX31" s="59"/>
      <c r="BY31" s="59"/>
      <c r="BZ31" s="105"/>
      <c r="CA31" s="44"/>
      <c r="CB31" s="59"/>
    </row>
    <row r="32" spans="1:80" ht="26.25">
      <c r="A32" s="168">
        <v>3</v>
      </c>
      <c r="B32" s="170"/>
      <c r="C32" s="169">
        <v>20063379</v>
      </c>
      <c r="D32" s="262" t="s">
        <v>421</v>
      </c>
      <c r="E32" s="169" t="s">
        <v>69</v>
      </c>
      <c r="F32" s="169"/>
      <c r="G32" s="183"/>
      <c r="H32" s="184">
        <v>0</v>
      </c>
      <c r="I32" s="232">
        <f t="shared" si="0"/>
        <v>0</v>
      </c>
      <c r="J32" s="184">
        <v>0</v>
      </c>
      <c r="K32" s="185"/>
      <c r="L32" s="233"/>
      <c r="M32" s="219"/>
      <c r="N32" s="96"/>
      <c r="O32" s="59"/>
      <c r="P32" s="59"/>
      <c r="Q32" s="59"/>
      <c r="R32" s="59"/>
      <c r="S32" s="106"/>
      <c r="T32" s="59"/>
      <c r="U32" s="218"/>
      <c r="V32" s="234"/>
      <c r="W32" s="219"/>
      <c r="X32" s="96"/>
      <c r="Y32" s="59"/>
      <c r="Z32" s="59"/>
      <c r="AA32" s="59"/>
      <c r="AB32" s="59"/>
      <c r="AC32" s="106"/>
      <c r="AD32" s="59"/>
      <c r="AE32" s="218"/>
      <c r="AF32" s="235"/>
      <c r="AG32" s="219"/>
      <c r="AH32" s="96"/>
      <c r="AI32" s="59"/>
      <c r="AJ32" s="59"/>
      <c r="AK32" s="59"/>
      <c r="AL32" s="59"/>
      <c r="AM32" s="106"/>
      <c r="AN32" s="59"/>
      <c r="AO32" s="218"/>
      <c r="AP32" s="244"/>
      <c r="AQ32" s="219"/>
      <c r="AR32" s="96"/>
      <c r="AS32" s="59"/>
      <c r="AT32" s="59"/>
      <c r="AU32" s="59"/>
      <c r="AV32" s="59"/>
      <c r="AW32" s="106"/>
      <c r="AX32" s="59"/>
      <c r="AY32" s="218"/>
      <c r="AZ32" s="237"/>
      <c r="BA32" s="219"/>
      <c r="BB32" s="96"/>
      <c r="BC32" s="59"/>
      <c r="BD32" s="59"/>
      <c r="BE32" s="59"/>
      <c r="BF32" s="59"/>
      <c r="BG32" s="106"/>
      <c r="BH32" s="59"/>
      <c r="BI32" s="218"/>
      <c r="BJ32" s="238"/>
      <c r="BK32" s="219"/>
      <c r="BL32" s="96"/>
      <c r="BM32" s="59"/>
      <c r="BN32" s="59"/>
      <c r="BO32" s="59"/>
      <c r="BP32" s="59"/>
      <c r="BQ32" s="106"/>
      <c r="BR32" s="59"/>
      <c r="BS32" s="218"/>
      <c r="BT32" s="204"/>
      <c r="BU32" s="219"/>
      <c r="BV32" s="96"/>
      <c r="BW32" s="59"/>
      <c r="BX32" s="59"/>
      <c r="BY32" s="59"/>
      <c r="BZ32" s="59"/>
      <c r="CA32" s="44"/>
      <c r="CB32" s="59"/>
    </row>
    <row r="33" spans="1:80" ht="26.25">
      <c r="A33" s="168">
        <v>4</v>
      </c>
      <c r="B33" s="170"/>
      <c r="C33" s="169">
        <v>20060015</v>
      </c>
      <c r="D33" s="262" t="s">
        <v>422</v>
      </c>
      <c r="E33" s="169" t="s">
        <v>69</v>
      </c>
      <c r="F33" s="169"/>
      <c r="G33" s="183"/>
      <c r="H33" s="184">
        <v>0</v>
      </c>
      <c r="I33" s="232">
        <f t="shared" si="0"/>
        <v>0</v>
      </c>
      <c r="J33" s="184">
        <v>0</v>
      </c>
      <c r="K33" s="185"/>
      <c r="L33" s="233"/>
      <c r="M33" s="219"/>
      <c r="N33" s="96"/>
      <c r="O33" s="105"/>
      <c r="P33" s="59"/>
      <c r="Q33" s="59"/>
      <c r="R33" s="105"/>
      <c r="S33" s="106"/>
      <c r="T33" s="59"/>
      <c r="U33" s="353"/>
      <c r="V33" s="234"/>
      <c r="W33" s="219"/>
      <c r="X33" s="96"/>
      <c r="Y33" s="105"/>
      <c r="Z33" s="59"/>
      <c r="AA33" s="59"/>
      <c r="AB33" s="105"/>
      <c r="AC33" s="106"/>
      <c r="AD33" s="59"/>
      <c r="AE33" s="218"/>
      <c r="AF33" s="235"/>
      <c r="AG33" s="354"/>
      <c r="AH33" s="96"/>
      <c r="AI33" s="105"/>
      <c r="AJ33" s="59"/>
      <c r="AK33" s="59"/>
      <c r="AL33" s="105"/>
      <c r="AM33" s="106"/>
      <c r="AN33" s="59"/>
      <c r="AO33" s="218"/>
      <c r="AP33" s="244"/>
      <c r="AQ33" s="219"/>
      <c r="AR33" s="96"/>
      <c r="AS33" s="105"/>
      <c r="AT33" s="59"/>
      <c r="AU33" s="59"/>
      <c r="AV33" s="105"/>
      <c r="AW33" s="106"/>
      <c r="AX33" s="59"/>
      <c r="AY33" s="218"/>
      <c r="AZ33" s="237"/>
      <c r="BA33" s="219"/>
      <c r="BB33" s="96"/>
      <c r="BC33" s="105"/>
      <c r="BD33" s="59"/>
      <c r="BE33" s="59"/>
      <c r="BF33" s="105"/>
      <c r="BG33" s="106"/>
      <c r="BH33" s="105"/>
      <c r="BI33" s="218"/>
      <c r="BJ33" s="238"/>
      <c r="BK33" s="354"/>
      <c r="BL33" s="96"/>
      <c r="BM33" s="105"/>
      <c r="BN33" s="59"/>
      <c r="BO33" s="59"/>
      <c r="BP33" s="105"/>
      <c r="BQ33" s="106"/>
      <c r="BR33" s="59"/>
      <c r="BS33" s="218"/>
      <c r="BT33" s="204"/>
      <c r="BU33" s="219"/>
      <c r="BV33" s="96"/>
      <c r="BW33" s="105"/>
      <c r="BX33" s="59"/>
      <c r="BY33" s="59"/>
      <c r="BZ33" s="105"/>
      <c r="CA33" s="44"/>
      <c r="CB33" s="59"/>
    </row>
    <row r="34" spans="1:80" ht="26.25">
      <c r="A34" s="168">
        <v>5</v>
      </c>
      <c r="B34" s="170"/>
      <c r="C34" s="169">
        <v>20063378</v>
      </c>
      <c r="D34" s="262" t="s">
        <v>423</v>
      </c>
      <c r="E34" s="169" t="s">
        <v>69</v>
      </c>
      <c r="F34" s="169"/>
      <c r="G34" s="183"/>
      <c r="H34" s="184">
        <v>0</v>
      </c>
      <c r="I34" s="232">
        <f t="shared" si="0"/>
        <v>0</v>
      </c>
      <c r="J34" s="184">
        <v>0</v>
      </c>
      <c r="K34" s="185"/>
      <c r="L34" s="233"/>
      <c r="M34" s="219"/>
      <c r="N34" s="96"/>
      <c r="O34" s="105"/>
      <c r="P34" s="59"/>
      <c r="Q34" s="59"/>
      <c r="R34" s="105"/>
      <c r="S34" s="106"/>
      <c r="T34" s="59"/>
      <c r="U34" s="353"/>
      <c r="V34" s="234"/>
      <c r="W34" s="219"/>
      <c r="X34" s="96"/>
      <c r="Y34" s="105"/>
      <c r="Z34" s="59"/>
      <c r="AA34" s="59"/>
      <c r="AB34" s="105"/>
      <c r="AC34" s="106"/>
      <c r="AD34" s="59"/>
      <c r="AE34" s="218"/>
      <c r="AF34" s="235"/>
      <c r="AG34" s="354"/>
      <c r="AH34" s="96"/>
      <c r="AI34" s="105"/>
      <c r="AJ34" s="59"/>
      <c r="AK34" s="59"/>
      <c r="AL34" s="105"/>
      <c r="AM34" s="106"/>
      <c r="AN34" s="59"/>
      <c r="AO34" s="218"/>
      <c r="AP34" s="244"/>
      <c r="AQ34" s="219"/>
      <c r="AR34" s="96"/>
      <c r="AS34" s="105"/>
      <c r="AT34" s="59"/>
      <c r="AU34" s="59"/>
      <c r="AV34" s="105"/>
      <c r="AW34" s="106"/>
      <c r="AX34" s="59"/>
      <c r="AY34" s="218"/>
      <c r="AZ34" s="237"/>
      <c r="BA34" s="219"/>
      <c r="BB34" s="96"/>
      <c r="BC34" s="105"/>
      <c r="BD34" s="59"/>
      <c r="BE34" s="59"/>
      <c r="BF34" s="105"/>
      <c r="BG34" s="106"/>
      <c r="BH34" s="105"/>
      <c r="BI34" s="218"/>
      <c r="BJ34" s="238"/>
      <c r="BK34" s="354"/>
      <c r="BL34" s="96"/>
      <c r="BM34" s="105"/>
      <c r="BN34" s="59"/>
      <c r="BO34" s="59"/>
      <c r="BP34" s="105"/>
      <c r="BQ34" s="106"/>
      <c r="BR34" s="59"/>
      <c r="BS34" s="218"/>
      <c r="BT34" s="204"/>
      <c r="BU34" s="219"/>
      <c r="BV34" s="96"/>
      <c r="BW34" s="105"/>
      <c r="BX34" s="59"/>
      <c r="BY34" s="59"/>
      <c r="BZ34" s="105"/>
      <c r="CA34" s="44"/>
      <c r="CB34" s="59"/>
    </row>
    <row r="35" spans="1:80" s="42" customFormat="1" ht="26.25" hidden="1">
      <c r="A35" s="358">
        <v>7</v>
      </c>
      <c r="B35" s="245"/>
      <c r="C35" s="498">
        <v>1113148</v>
      </c>
      <c r="D35" s="499" t="s">
        <v>348</v>
      </c>
      <c r="E35" s="552" t="s">
        <v>42</v>
      </c>
      <c r="F35" s="182"/>
      <c r="G35" s="359"/>
      <c r="H35" s="230">
        <v>0</v>
      </c>
      <c r="I35" s="360">
        <f t="shared" si="0"/>
        <v>0</v>
      </c>
      <c r="J35" s="230">
        <v>0</v>
      </c>
      <c r="K35" s="395"/>
      <c r="L35" s="553"/>
      <c r="M35" s="219"/>
      <c r="N35" s="96"/>
      <c r="O35" s="59"/>
      <c r="P35" s="59"/>
      <c r="Q35" s="59"/>
      <c r="R35" s="59"/>
      <c r="S35" s="44"/>
      <c r="T35" s="59"/>
      <c r="U35" s="218"/>
      <c r="V35" s="554"/>
      <c r="W35" s="219"/>
      <c r="X35" s="96"/>
      <c r="Y35" s="59"/>
      <c r="Z35" s="59"/>
      <c r="AA35" s="59"/>
      <c r="AB35" s="59"/>
      <c r="AC35" s="44"/>
      <c r="AD35" s="59"/>
      <c r="AE35" s="218"/>
      <c r="AF35" s="555"/>
      <c r="AG35" s="219"/>
      <c r="AH35" s="96"/>
      <c r="AI35" s="59"/>
      <c r="AJ35" s="59"/>
      <c r="AK35" s="59"/>
      <c r="AL35" s="59"/>
      <c r="AM35" s="44"/>
      <c r="AN35" s="59"/>
      <c r="AO35" s="218"/>
      <c r="AP35" s="556"/>
      <c r="AQ35" s="219"/>
      <c r="AR35" s="96"/>
      <c r="AS35" s="59"/>
      <c r="AT35" s="59"/>
      <c r="AU35" s="59"/>
      <c r="AV35" s="59"/>
      <c r="AW35" s="44"/>
      <c r="AX35" s="59"/>
      <c r="AY35" s="218"/>
      <c r="AZ35" s="557"/>
      <c r="BA35" s="219"/>
      <c r="BB35" s="96"/>
      <c r="BC35" s="59"/>
      <c r="BD35" s="59"/>
      <c r="BE35" s="59"/>
      <c r="BF35" s="59"/>
      <c r="BG35" s="44"/>
      <c r="BH35" s="59"/>
      <c r="BI35" s="218"/>
      <c r="BJ35" s="558"/>
      <c r="BK35" s="219"/>
      <c r="BL35" s="96"/>
      <c r="BM35" s="59"/>
      <c r="BN35" s="59"/>
      <c r="BO35" s="59"/>
      <c r="BP35" s="59"/>
      <c r="BQ35" s="44"/>
      <c r="BR35" s="59"/>
      <c r="BS35" s="218"/>
      <c r="BT35" s="404"/>
      <c r="BU35" s="219"/>
      <c r="BV35" s="96"/>
      <c r="BW35" s="59"/>
      <c r="BX35" s="59"/>
      <c r="BY35" s="59"/>
      <c r="BZ35" s="59"/>
      <c r="CA35" s="44"/>
      <c r="CB35" s="59"/>
    </row>
    <row r="36" spans="1:80" s="42" customFormat="1" ht="26.25" hidden="1">
      <c r="A36" s="168">
        <v>8</v>
      </c>
      <c r="B36" s="170"/>
      <c r="C36" s="305">
        <v>1113149</v>
      </c>
      <c r="D36" s="306" t="s">
        <v>349</v>
      </c>
      <c r="E36" s="217" t="s">
        <v>42</v>
      </c>
      <c r="F36" s="169"/>
      <c r="G36" s="183"/>
      <c r="H36" s="184">
        <v>0</v>
      </c>
      <c r="I36" s="215">
        <f t="shared" si="0"/>
        <v>0</v>
      </c>
      <c r="J36" s="184">
        <v>0</v>
      </c>
      <c r="K36" s="185"/>
      <c r="L36" s="201"/>
      <c r="M36" s="219"/>
      <c r="N36" s="96"/>
      <c r="O36" s="59"/>
      <c r="P36" s="59"/>
      <c r="Q36" s="59"/>
      <c r="R36" s="59"/>
      <c r="S36" s="44"/>
      <c r="T36" s="59"/>
      <c r="U36" s="218"/>
      <c r="V36" s="202"/>
      <c r="W36" s="219"/>
      <c r="X36" s="96"/>
      <c r="Y36" s="59"/>
      <c r="Z36" s="59"/>
      <c r="AA36" s="59"/>
      <c r="AB36" s="59"/>
      <c r="AC36" s="44"/>
      <c r="AD36" s="59"/>
      <c r="AE36" s="218"/>
      <c r="AF36" s="248"/>
      <c r="AG36" s="219"/>
      <c r="AH36" s="96"/>
      <c r="AI36" s="59"/>
      <c r="AJ36" s="59"/>
      <c r="AK36" s="59"/>
      <c r="AL36" s="59"/>
      <c r="AM36" s="44"/>
      <c r="AN36" s="59"/>
      <c r="AO36" s="218"/>
      <c r="AP36" s="257"/>
      <c r="AQ36" s="219"/>
      <c r="AR36" s="96"/>
      <c r="AS36" s="59"/>
      <c r="AT36" s="59"/>
      <c r="AU36" s="59"/>
      <c r="AV36" s="59"/>
      <c r="AW36" s="44"/>
      <c r="AX36" s="59"/>
      <c r="AY36" s="218"/>
      <c r="AZ36" s="259"/>
      <c r="BA36" s="219"/>
      <c r="BB36" s="96"/>
      <c r="BC36" s="59"/>
      <c r="BD36" s="59"/>
      <c r="BE36" s="59"/>
      <c r="BF36" s="59"/>
      <c r="BG36" s="44"/>
      <c r="BH36" s="59"/>
      <c r="BI36" s="218"/>
      <c r="BJ36" s="261"/>
      <c r="BK36" s="219"/>
      <c r="BL36" s="96"/>
      <c r="BM36" s="59"/>
      <c r="BN36" s="59"/>
      <c r="BO36" s="59"/>
      <c r="BP36" s="59"/>
      <c r="BQ36" s="44"/>
      <c r="BR36" s="59"/>
      <c r="BS36" s="218"/>
      <c r="BT36" s="204"/>
      <c r="BU36" s="219"/>
      <c r="BV36" s="96"/>
      <c r="BW36" s="59"/>
      <c r="BX36" s="59"/>
      <c r="BY36" s="59"/>
      <c r="BZ36" s="59"/>
      <c r="CA36" s="44"/>
      <c r="CB36" s="59"/>
    </row>
    <row r="37" spans="1:80" s="42" customFormat="1" ht="26.25" hidden="1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0"/>
        <v>0</v>
      </c>
      <c r="J37" s="184">
        <v>0</v>
      </c>
      <c r="K37" s="185"/>
      <c r="L37" s="252"/>
      <c r="M37" s="219"/>
      <c r="N37" s="96"/>
      <c r="O37" s="59"/>
      <c r="P37" s="59"/>
      <c r="Q37" s="59"/>
      <c r="R37" s="59"/>
      <c r="S37" s="106"/>
      <c r="T37" s="59"/>
      <c r="U37" s="218"/>
      <c r="V37" s="202"/>
      <c r="W37" s="219"/>
      <c r="X37" s="96"/>
      <c r="Y37" s="59"/>
      <c r="Z37" s="59"/>
      <c r="AA37" s="59"/>
      <c r="AB37" s="59"/>
      <c r="AC37" s="44"/>
      <c r="AD37" s="59"/>
      <c r="AE37" s="218"/>
      <c r="AF37" s="224"/>
      <c r="AG37" s="219"/>
      <c r="AH37" s="96"/>
      <c r="AI37" s="59"/>
      <c r="AJ37" s="59"/>
      <c r="AK37" s="59"/>
      <c r="AL37" s="59"/>
      <c r="AM37" s="106"/>
      <c r="AN37" s="59"/>
      <c r="AO37" s="218"/>
      <c r="AP37" s="244"/>
      <c r="AQ37" s="219"/>
      <c r="AR37" s="96"/>
      <c r="AS37" s="59"/>
      <c r="AT37" s="59"/>
      <c r="AU37" s="59"/>
      <c r="AV37" s="59"/>
      <c r="AW37" s="44"/>
      <c r="AX37" s="59"/>
      <c r="AY37" s="218"/>
      <c r="AZ37" s="203"/>
      <c r="BA37" s="219"/>
      <c r="BB37" s="96"/>
      <c r="BC37" s="59"/>
      <c r="BD37" s="59"/>
      <c r="BE37" s="59"/>
      <c r="BF37" s="59"/>
      <c r="BG37" s="106"/>
      <c r="BH37" s="59"/>
      <c r="BI37" s="218"/>
      <c r="BJ37" s="243"/>
      <c r="BK37" s="219"/>
      <c r="BL37" s="96"/>
      <c r="BM37" s="59"/>
      <c r="BN37" s="59"/>
      <c r="BO37" s="59"/>
      <c r="BP37" s="59"/>
      <c r="BQ37" s="44"/>
      <c r="BR37" s="59"/>
      <c r="BS37" s="218"/>
      <c r="BT37" s="204"/>
      <c r="BU37" s="219"/>
      <c r="BV37" s="96"/>
      <c r="BW37" s="59"/>
      <c r="BX37" s="59"/>
      <c r="BY37" s="59"/>
      <c r="BZ37" s="59"/>
      <c r="CA37" s="44"/>
      <c r="CB37" s="59"/>
    </row>
    <row r="38" spans="1:80" s="42" customFormat="1" ht="26.25" hidden="1">
      <c r="A38" s="279">
        <v>10</v>
      </c>
      <c r="B38" s="402"/>
      <c r="C38" s="494">
        <v>1113194</v>
      </c>
      <c r="D38" s="495" t="s">
        <v>353</v>
      </c>
      <c r="E38" s="443" t="s">
        <v>42</v>
      </c>
      <c r="F38" s="226"/>
      <c r="G38" s="227"/>
      <c r="H38" s="228">
        <v>0</v>
      </c>
      <c r="I38" s="357">
        <f t="shared" si="0"/>
        <v>0</v>
      </c>
      <c r="J38" s="228">
        <v>0</v>
      </c>
      <c r="K38" s="253"/>
      <c r="L38" s="444"/>
      <c r="M38" s="219"/>
      <c r="N38" s="96"/>
      <c r="O38" s="59"/>
      <c r="P38" s="59"/>
      <c r="Q38" s="59"/>
      <c r="R38" s="105"/>
      <c r="S38" s="106"/>
      <c r="T38" s="59"/>
      <c r="U38" s="218"/>
      <c r="V38" s="423"/>
      <c r="W38" s="219"/>
      <c r="X38" s="96"/>
      <c r="Y38" s="59"/>
      <c r="Z38" s="59"/>
      <c r="AA38" s="59"/>
      <c r="AB38" s="105"/>
      <c r="AC38" s="44"/>
      <c r="AD38" s="59"/>
      <c r="AE38" s="218"/>
      <c r="AF38" s="424"/>
      <c r="AG38" s="354"/>
      <c r="AH38" s="96"/>
      <c r="AI38" s="59"/>
      <c r="AJ38" s="59"/>
      <c r="AK38" s="59"/>
      <c r="AL38" s="105"/>
      <c r="AM38" s="106"/>
      <c r="AN38" s="59"/>
      <c r="AO38" s="218"/>
      <c r="AP38" s="425"/>
      <c r="AQ38" s="219"/>
      <c r="AR38" s="96"/>
      <c r="AS38" s="59"/>
      <c r="AT38" s="59"/>
      <c r="AU38" s="59"/>
      <c r="AV38" s="105"/>
      <c r="AW38" s="44"/>
      <c r="AX38" s="59"/>
      <c r="AY38" s="218"/>
      <c r="AZ38" s="426"/>
      <c r="BA38" s="219"/>
      <c r="BB38" s="96"/>
      <c r="BC38" s="59"/>
      <c r="BD38" s="59"/>
      <c r="BE38" s="59"/>
      <c r="BF38" s="105"/>
      <c r="BG38" s="106"/>
      <c r="BH38" s="105"/>
      <c r="BI38" s="218"/>
      <c r="BJ38" s="428"/>
      <c r="BK38" s="219"/>
      <c r="BL38" s="96"/>
      <c r="BM38" s="59"/>
      <c r="BN38" s="59"/>
      <c r="BO38" s="59"/>
      <c r="BP38" s="105"/>
      <c r="BQ38" s="44"/>
      <c r="BR38" s="59"/>
      <c r="BS38" s="218"/>
      <c r="BT38" s="407"/>
      <c r="BU38" s="219"/>
      <c r="BV38" s="96"/>
      <c r="BW38" s="59"/>
      <c r="BX38" s="59"/>
      <c r="BY38" s="59"/>
      <c r="BZ38" s="105"/>
      <c r="CA38" s="44"/>
      <c r="CB38" s="59"/>
    </row>
    <row r="39" spans="1:80" s="42" customFormat="1" ht="26.25">
      <c r="A39" s="168">
        <v>6</v>
      </c>
      <c r="B39" s="170"/>
      <c r="C39" s="239">
        <v>20059547</v>
      </c>
      <c r="D39" s="188" t="s">
        <v>424</v>
      </c>
      <c r="E39" s="169" t="s">
        <v>69</v>
      </c>
      <c r="F39" s="169"/>
      <c r="G39" s="183"/>
      <c r="H39" s="184">
        <v>0</v>
      </c>
      <c r="I39" s="232">
        <f t="shared" ref="I39" si="1">SUM(L39,V39,AF39,AP39,AZ39,BJ39,BT39)</f>
        <v>0</v>
      </c>
      <c r="J39" s="184">
        <v>0</v>
      </c>
      <c r="K39" s="185"/>
      <c r="L39" s="233"/>
      <c r="M39" s="219"/>
      <c r="N39" s="96"/>
      <c r="O39" s="59"/>
      <c r="P39" s="59"/>
      <c r="Q39" s="59"/>
      <c r="R39" s="105"/>
      <c r="S39" s="106"/>
      <c r="T39" s="59"/>
      <c r="U39" s="218"/>
      <c r="V39" s="234"/>
      <c r="W39" s="219"/>
      <c r="X39" s="96"/>
      <c r="Y39" s="59"/>
      <c r="Z39" s="59"/>
      <c r="AA39" s="59"/>
      <c r="AB39" s="105"/>
      <c r="AC39" s="44"/>
      <c r="AD39" s="59"/>
      <c r="AE39" s="218"/>
      <c r="AF39" s="235"/>
      <c r="AG39" s="354"/>
      <c r="AH39" s="96"/>
      <c r="AI39" s="59"/>
      <c r="AJ39" s="59"/>
      <c r="AK39" s="59"/>
      <c r="AL39" s="105"/>
      <c r="AM39" s="106"/>
      <c r="AN39" s="59"/>
      <c r="AO39" s="218"/>
      <c r="AP39" s="244"/>
      <c r="AQ39" s="219"/>
      <c r="AR39" s="96"/>
      <c r="AS39" s="59"/>
      <c r="AT39" s="59"/>
      <c r="AU39" s="59"/>
      <c r="AV39" s="105"/>
      <c r="AW39" s="44"/>
      <c r="AX39" s="59"/>
      <c r="AY39" s="218"/>
      <c r="AZ39" s="203"/>
      <c r="BA39" s="219"/>
      <c r="BB39" s="96"/>
      <c r="BC39" s="59"/>
      <c r="BD39" s="59"/>
      <c r="BE39" s="59"/>
      <c r="BF39" s="105"/>
      <c r="BG39" s="106"/>
      <c r="BH39" s="105"/>
      <c r="BI39" s="218"/>
      <c r="BJ39" s="243"/>
      <c r="BK39" s="219"/>
      <c r="BL39" s="96"/>
      <c r="BM39" s="59"/>
      <c r="BN39" s="59"/>
      <c r="BO39" s="59"/>
      <c r="BP39" s="105"/>
      <c r="BQ39" s="44"/>
      <c r="BR39" s="59"/>
      <c r="BS39" s="218"/>
      <c r="BT39" s="204"/>
      <c r="BU39" s="219"/>
      <c r="BV39" s="96"/>
      <c r="BW39" s="59"/>
      <c r="BX39" s="59"/>
      <c r="BY39" s="59"/>
      <c r="BZ39" s="105"/>
      <c r="CA39" s="44"/>
      <c r="CB39" s="59"/>
    </row>
    <row r="40" spans="1:80" s="42" customFormat="1" ht="29.25" hidden="1">
      <c r="A40" s="53">
        <v>1</v>
      </c>
      <c r="B40" s="68"/>
      <c r="C40" s="196">
        <v>1001001087</v>
      </c>
      <c r="D40" s="197" t="s">
        <v>376</v>
      </c>
      <c r="E40" s="198" t="s">
        <v>377</v>
      </c>
      <c r="F40" s="198"/>
      <c r="G40" s="199"/>
      <c r="H40" s="401">
        <v>0</v>
      </c>
      <c r="I40" s="63">
        <f t="shared" ref="I40:I47" si="2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09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0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9.25" hidden="1">
      <c r="A41" s="53">
        <v>2</v>
      </c>
      <c r="B41" s="68"/>
      <c r="C41" s="196">
        <v>1001001088</v>
      </c>
      <c r="D41" s="197" t="s">
        <v>378</v>
      </c>
      <c r="E41" s="198" t="s">
        <v>377</v>
      </c>
      <c r="F41" s="198"/>
      <c r="G41" s="199"/>
      <c r="H41" s="200">
        <v>0</v>
      </c>
      <c r="I41" s="63">
        <f t="shared" si="2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0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165">
        <v>3</v>
      </c>
      <c r="B42" s="132"/>
      <c r="C42" s="390">
        <v>1001001089</v>
      </c>
      <c r="D42" s="391" t="s">
        <v>379</v>
      </c>
      <c r="E42" s="392" t="s">
        <v>377</v>
      </c>
      <c r="F42" s="392"/>
      <c r="G42" s="393"/>
      <c r="H42" s="394">
        <v>0</v>
      </c>
      <c r="I42" s="300">
        <f t="shared" si="2"/>
        <v>0</v>
      </c>
      <c r="J42" s="129">
        <v>0</v>
      </c>
      <c r="K42" s="117"/>
      <c r="L42" s="292"/>
      <c r="M42" s="59"/>
      <c r="N42" s="96"/>
      <c r="O42" s="59"/>
      <c r="P42" s="59"/>
      <c r="Q42" s="59"/>
      <c r="R42" s="105"/>
      <c r="S42" s="44"/>
      <c r="T42" s="59"/>
      <c r="U42" s="59"/>
      <c r="V42" s="211"/>
      <c r="W42" s="59"/>
      <c r="X42" s="96"/>
      <c r="Y42" s="59"/>
      <c r="Z42" s="59"/>
      <c r="AA42" s="59"/>
      <c r="AB42" s="105"/>
      <c r="AC42" s="44"/>
      <c r="AD42" s="59"/>
      <c r="AE42" s="59"/>
      <c r="AF42" s="293"/>
      <c r="AG42" s="105"/>
      <c r="AH42" s="96"/>
      <c r="AI42" s="59"/>
      <c r="AJ42" s="59"/>
      <c r="AK42" s="59"/>
      <c r="AL42" s="105"/>
      <c r="AM42" s="44"/>
      <c r="AN42" s="59"/>
      <c r="AO42" s="59"/>
      <c r="AP42" s="139"/>
      <c r="AQ42" s="59"/>
      <c r="AR42" s="96"/>
      <c r="AS42" s="59"/>
      <c r="AT42" s="59"/>
      <c r="AU42" s="59"/>
      <c r="AV42" s="105"/>
      <c r="AW42" s="44"/>
      <c r="AX42" s="59"/>
      <c r="AY42" s="59"/>
      <c r="AZ42" s="294"/>
      <c r="BA42" s="59"/>
      <c r="BB42" s="96"/>
      <c r="BC42" s="59"/>
      <c r="BD42" s="59"/>
      <c r="BE42" s="59"/>
      <c r="BF42" s="105"/>
      <c r="BG42" s="44"/>
      <c r="BH42" s="105"/>
      <c r="BI42" s="59"/>
      <c r="BJ42" s="214"/>
      <c r="BK42" s="59"/>
      <c r="BL42" s="96"/>
      <c r="BM42" s="59"/>
      <c r="BN42" s="59"/>
      <c r="BO42" s="59"/>
      <c r="BP42" s="105"/>
      <c r="BQ42" s="44"/>
      <c r="BR42" s="59"/>
      <c r="BS42" s="59"/>
      <c r="BT42" s="295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168">
        <v>4</v>
      </c>
      <c r="B43" s="170"/>
      <c r="C43" s="458">
        <v>1001001111</v>
      </c>
      <c r="D43" s="459" t="s">
        <v>381</v>
      </c>
      <c r="E43" s="458" t="s">
        <v>377</v>
      </c>
      <c r="F43" s="458"/>
      <c r="G43" s="460"/>
      <c r="H43" s="461">
        <v>0</v>
      </c>
      <c r="I43" s="232">
        <f t="shared" si="2"/>
        <v>0</v>
      </c>
      <c r="J43" s="184">
        <v>0</v>
      </c>
      <c r="K43" s="185"/>
      <c r="L43" s="462"/>
      <c r="M43" s="219"/>
      <c r="N43" s="96"/>
      <c r="O43" s="59"/>
      <c r="P43" s="59"/>
      <c r="Q43" s="59"/>
      <c r="R43" s="105"/>
      <c r="S43" s="106"/>
      <c r="T43" s="59"/>
      <c r="U43" s="218"/>
      <c r="V43" s="202"/>
      <c r="W43" s="219"/>
      <c r="X43" s="96"/>
      <c r="Y43" s="59"/>
      <c r="Z43" s="59"/>
      <c r="AA43" s="59"/>
      <c r="AB43" s="105"/>
      <c r="AC43" s="44"/>
      <c r="AD43" s="59"/>
      <c r="AE43" s="218"/>
      <c r="AF43" s="363"/>
      <c r="AG43" s="354"/>
      <c r="AH43" s="96"/>
      <c r="AI43" s="59"/>
      <c r="AJ43" s="59"/>
      <c r="AK43" s="59"/>
      <c r="AL43" s="105"/>
      <c r="AM43" s="44"/>
      <c r="AN43" s="59"/>
      <c r="AO43" s="218"/>
      <c r="AP43" s="364"/>
      <c r="AQ43" s="219"/>
      <c r="AR43" s="96"/>
      <c r="AS43" s="59"/>
      <c r="AT43" s="59"/>
      <c r="AU43" s="59"/>
      <c r="AV43" s="105"/>
      <c r="AW43" s="44"/>
      <c r="AX43" s="59"/>
      <c r="AY43" s="218"/>
      <c r="AZ43" s="368"/>
      <c r="BA43" s="219"/>
      <c r="BB43" s="96"/>
      <c r="BC43" s="59"/>
      <c r="BD43" s="59"/>
      <c r="BE43" s="59"/>
      <c r="BF43" s="105"/>
      <c r="BG43" s="44"/>
      <c r="BH43" s="105"/>
      <c r="BI43" s="218"/>
      <c r="BJ43" s="261"/>
      <c r="BK43" s="219"/>
      <c r="BL43" s="96"/>
      <c r="BM43" s="59"/>
      <c r="BN43" s="59"/>
      <c r="BO43" s="59"/>
      <c r="BP43" s="105"/>
      <c r="BQ43" s="44"/>
      <c r="BR43" s="59"/>
      <c r="BS43" s="218"/>
      <c r="BT43" s="216"/>
      <c r="BU43" s="21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168">
        <v>5</v>
      </c>
      <c r="B44" s="170"/>
      <c r="C44" s="458">
        <v>1001001112</v>
      </c>
      <c r="D44" s="459" t="s">
        <v>382</v>
      </c>
      <c r="E44" s="458" t="s">
        <v>377</v>
      </c>
      <c r="F44" s="458"/>
      <c r="G44" s="460"/>
      <c r="H44" s="461">
        <v>0</v>
      </c>
      <c r="I44" s="232">
        <f t="shared" si="2"/>
        <v>0</v>
      </c>
      <c r="J44" s="184">
        <v>0</v>
      </c>
      <c r="K44" s="185"/>
      <c r="L44" s="462"/>
      <c r="M44" s="219"/>
      <c r="N44" s="96"/>
      <c r="O44" s="59"/>
      <c r="P44" s="59"/>
      <c r="Q44" s="59"/>
      <c r="R44" s="59"/>
      <c r="S44" s="106"/>
      <c r="T44" s="59"/>
      <c r="U44" s="218"/>
      <c r="V44" s="202"/>
      <c r="W44" s="219"/>
      <c r="X44" s="96"/>
      <c r="Y44" s="59"/>
      <c r="Z44" s="59"/>
      <c r="AA44" s="59"/>
      <c r="AB44" s="59"/>
      <c r="AC44" s="44"/>
      <c r="AD44" s="59"/>
      <c r="AE44" s="218"/>
      <c r="AF44" s="363"/>
      <c r="AG44" s="219"/>
      <c r="AH44" s="96"/>
      <c r="AI44" s="59"/>
      <c r="AJ44" s="59"/>
      <c r="AK44" s="59"/>
      <c r="AL44" s="59"/>
      <c r="AM44" s="44"/>
      <c r="AN44" s="59"/>
      <c r="AO44" s="218"/>
      <c r="AP44" s="364"/>
      <c r="AQ44" s="219"/>
      <c r="AR44" s="96"/>
      <c r="AS44" s="59"/>
      <c r="AT44" s="59"/>
      <c r="AU44" s="59"/>
      <c r="AV44" s="59"/>
      <c r="AW44" s="44"/>
      <c r="AX44" s="59"/>
      <c r="AY44" s="218"/>
      <c r="AZ44" s="368"/>
      <c r="BA44" s="219"/>
      <c r="BB44" s="96"/>
      <c r="BC44" s="59"/>
      <c r="BD44" s="59"/>
      <c r="BE44" s="59"/>
      <c r="BF44" s="59"/>
      <c r="BG44" s="44"/>
      <c r="BH44" s="59"/>
      <c r="BI44" s="218"/>
      <c r="BJ44" s="261"/>
      <c r="BK44" s="219"/>
      <c r="BL44" s="96"/>
      <c r="BM44" s="59"/>
      <c r="BN44" s="59"/>
      <c r="BO44" s="59"/>
      <c r="BP44" s="59"/>
      <c r="BQ44" s="44"/>
      <c r="BR44" s="59"/>
      <c r="BS44" s="218"/>
      <c r="BT44" s="216"/>
      <c r="BU44" s="21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168">
        <v>6</v>
      </c>
      <c r="B45" s="170"/>
      <c r="C45" s="458">
        <v>1001001113</v>
      </c>
      <c r="D45" s="459" t="s">
        <v>383</v>
      </c>
      <c r="E45" s="458" t="s">
        <v>377</v>
      </c>
      <c r="F45" s="458"/>
      <c r="G45" s="460"/>
      <c r="H45" s="461">
        <v>0</v>
      </c>
      <c r="I45" s="232">
        <f t="shared" si="2"/>
        <v>0</v>
      </c>
      <c r="J45" s="184">
        <v>0</v>
      </c>
      <c r="K45" s="185"/>
      <c r="L45" s="367"/>
      <c r="M45" s="219"/>
      <c r="N45" s="96"/>
      <c r="O45" s="59"/>
      <c r="P45" s="59"/>
      <c r="Q45" s="59"/>
      <c r="R45" s="59"/>
      <c r="S45" s="44"/>
      <c r="T45" s="59"/>
      <c r="U45" s="218"/>
      <c r="V45" s="202"/>
      <c r="W45" s="219"/>
      <c r="X45" s="96"/>
      <c r="Y45" s="59"/>
      <c r="Z45" s="59"/>
      <c r="AA45" s="59"/>
      <c r="AB45" s="59"/>
      <c r="AC45" s="44"/>
      <c r="AD45" s="59"/>
      <c r="AE45" s="218"/>
      <c r="AF45" s="363"/>
      <c r="AG45" s="219"/>
      <c r="AH45" s="96"/>
      <c r="AI45" s="59"/>
      <c r="AJ45" s="59"/>
      <c r="AK45" s="59"/>
      <c r="AL45" s="59"/>
      <c r="AM45" s="44"/>
      <c r="AN45" s="59"/>
      <c r="AO45" s="218"/>
      <c r="AP45" s="364"/>
      <c r="AQ45" s="219"/>
      <c r="AR45" s="96"/>
      <c r="AS45" s="59"/>
      <c r="AT45" s="59"/>
      <c r="AU45" s="59"/>
      <c r="AV45" s="59"/>
      <c r="AW45" s="44"/>
      <c r="AX45" s="59"/>
      <c r="AY45" s="218"/>
      <c r="AZ45" s="368"/>
      <c r="BA45" s="219"/>
      <c r="BB45" s="96"/>
      <c r="BC45" s="59"/>
      <c r="BD45" s="59"/>
      <c r="BE45" s="59"/>
      <c r="BF45" s="59"/>
      <c r="BG45" s="44"/>
      <c r="BH45" s="59"/>
      <c r="BI45" s="218"/>
      <c r="BJ45" s="261"/>
      <c r="BK45" s="219"/>
      <c r="BL45" s="96"/>
      <c r="BM45" s="59"/>
      <c r="BN45" s="59"/>
      <c r="BO45" s="59"/>
      <c r="BP45" s="59"/>
      <c r="BQ45" s="44"/>
      <c r="BR45" s="59"/>
      <c r="BS45" s="218"/>
      <c r="BT45" s="216"/>
      <c r="BU45" s="21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279">
        <v>7</v>
      </c>
      <c r="B46" s="402"/>
      <c r="C46" s="487">
        <v>1001001114</v>
      </c>
      <c r="D46" s="488" t="s">
        <v>384</v>
      </c>
      <c r="E46" s="487" t="s">
        <v>377</v>
      </c>
      <c r="F46" s="487"/>
      <c r="G46" s="489"/>
      <c r="H46" s="490">
        <v>0</v>
      </c>
      <c r="I46" s="405">
        <f t="shared" si="2"/>
        <v>0</v>
      </c>
      <c r="J46" s="228">
        <v>0</v>
      </c>
      <c r="K46" s="253"/>
      <c r="L46" s="486"/>
      <c r="M46" s="219"/>
      <c r="N46" s="96"/>
      <c r="O46" s="59"/>
      <c r="P46" s="59"/>
      <c r="Q46" s="59"/>
      <c r="R46" s="59"/>
      <c r="S46" s="44"/>
      <c r="T46" s="59"/>
      <c r="U46" s="218"/>
      <c r="V46" s="445"/>
      <c r="W46" s="219"/>
      <c r="X46" s="96"/>
      <c r="Y46" s="59"/>
      <c r="Z46" s="59"/>
      <c r="AA46" s="59"/>
      <c r="AB46" s="59"/>
      <c r="AC46" s="44"/>
      <c r="AD46" s="59"/>
      <c r="AE46" s="218"/>
      <c r="AF46" s="378"/>
      <c r="AG46" s="219"/>
      <c r="AH46" s="96"/>
      <c r="AI46" s="59"/>
      <c r="AJ46" s="59"/>
      <c r="AK46" s="59"/>
      <c r="AL46" s="59"/>
      <c r="AM46" s="44"/>
      <c r="AN46" s="59"/>
      <c r="AO46" s="218"/>
      <c r="AP46" s="379"/>
      <c r="AQ46" s="219"/>
      <c r="AR46" s="96"/>
      <c r="AS46" s="59"/>
      <c r="AT46" s="59"/>
      <c r="AU46" s="59"/>
      <c r="AV46" s="59"/>
      <c r="AW46" s="44"/>
      <c r="AX46" s="59"/>
      <c r="AY46" s="218"/>
      <c r="AZ46" s="491"/>
      <c r="BA46" s="219"/>
      <c r="BB46" s="96"/>
      <c r="BC46" s="59"/>
      <c r="BD46" s="59"/>
      <c r="BE46" s="59"/>
      <c r="BF46" s="59"/>
      <c r="BG46" s="44"/>
      <c r="BH46" s="59"/>
      <c r="BI46" s="218"/>
      <c r="BJ46" s="446"/>
      <c r="BK46" s="219"/>
      <c r="BL46" s="96"/>
      <c r="BM46" s="59"/>
      <c r="BN46" s="59"/>
      <c r="BO46" s="59"/>
      <c r="BP46" s="59"/>
      <c r="BQ46" s="44"/>
      <c r="BR46" s="59"/>
      <c r="BS46" s="218"/>
      <c r="BT46" s="436"/>
      <c r="BU46" s="21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279">
        <v>11</v>
      </c>
      <c r="B47" s="402"/>
      <c r="C47" s="551">
        <v>1113225</v>
      </c>
      <c r="D47" s="549" t="s">
        <v>451</v>
      </c>
      <c r="E47" s="443" t="s">
        <v>42</v>
      </c>
      <c r="F47" s="226"/>
      <c r="G47" s="227"/>
      <c r="H47" s="228"/>
      <c r="I47" s="357">
        <f t="shared" si="2"/>
        <v>0</v>
      </c>
      <c r="J47" s="228"/>
      <c r="K47" s="253"/>
      <c r="L47" s="444"/>
      <c r="M47" s="219"/>
      <c r="N47" s="96"/>
      <c r="O47" s="59"/>
      <c r="P47" s="59"/>
      <c r="Q47" s="59"/>
      <c r="R47" s="59"/>
      <c r="S47" s="44"/>
      <c r="T47" s="59"/>
      <c r="U47" s="59"/>
      <c r="V47" s="423"/>
      <c r="W47" s="219"/>
      <c r="X47" s="96"/>
      <c r="Y47" s="59"/>
      <c r="Z47" s="59"/>
      <c r="AA47" s="59"/>
      <c r="AB47" s="59"/>
      <c r="AC47" s="44"/>
      <c r="AD47" s="59"/>
      <c r="AE47" s="59"/>
      <c r="AF47" s="424"/>
      <c r="AG47" s="219"/>
      <c r="AH47" s="96"/>
      <c r="AI47" s="59"/>
      <c r="AJ47" s="59"/>
      <c r="AK47" s="59"/>
      <c r="AL47" s="59"/>
      <c r="AM47" s="44"/>
      <c r="AN47" s="59"/>
      <c r="AO47" s="59"/>
      <c r="AP47" s="425"/>
      <c r="AQ47" s="219"/>
      <c r="AR47" s="96"/>
      <c r="AS47" s="59"/>
      <c r="AT47" s="59"/>
      <c r="AU47" s="59"/>
      <c r="AV47" s="59"/>
      <c r="AW47" s="44"/>
      <c r="AX47" s="59"/>
      <c r="AY47" s="59"/>
      <c r="AZ47" s="485"/>
      <c r="BA47" s="219"/>
      <c r="BB47" s="96"/>
      <c r="BC47" s="59"/>
      <c r="BD47" s="59"/>
      <c r="BE47" s="59"/>
      <c r="BF47" s="59"/>
      <c r="BG47" s="44"/>
      <c r="BH47" s="59"/>
      <c r="BI47" s="59"/>
      <c r="BJ47" s="428"/>
      <c r="BK47" s="219"/>
      <c r="BL47" s="96"/>
      <c r="BM47" s="59"/>
      <c r="BN47" s="59"/>
      <c r="BO47" s="59"/>
      <c r="BP47" s="59"/>
      <c r="BQ47" s="44"/>
      <c r="BR47" s="59"/>
      <c r="BS47" s="59"/>
      <c r="BT47" s="407"/>
      <c r="BU47" s="219"/>
      <c r="BV47" s="96"/>
      <c r="BW47" s="59"/>
      <c r="BX47" s="59"/>
      <c r="BY47" s="59"/>
      <c r="BZ47" s="59"/>
      <c r="CA47" s="44"/>
      <c r="CB47" s="59"/>
    </row>
    <row r="48" spans="1:80" ht="24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8"/>
      <c r="G48" s="188"/>
      <c r="H48" s="184"/>
      <c r="I48" s="232">
        <f t="shared" ref="I48:I50" si="3">SUM(L48,V48,AF48,AP48,AZ48,BJ48,BT48)</f>
        <v>0</v>
      </c>
      <c r="J48" s="232"/>
      <c r="K48" s="188"/>
      <c r="L48" s="233"/>
      <c r="V48" s="234"/>
      <c r="AF48" s="235"/>
      <c r="AP48" s="244"/>
      <c r="AZ48" s="237"/>
      <c r="BJ48" s="238"/>
      <c r="BT48" s="204"/>
    </row>
    <row r="49" spans="1:72" ht="24" customHeight="1">
      <c r="A49" s="168">
        <v>8</v>
      </c>
      <c r="B49" s="170"/>
      <c r="C49" s="264">
        <v>20060019</v>
      </c>
      <c r="D49" s="188" t="s">
        <v>408</v>
      </c>
      <c r="E49" s="169" t="s">
        <v>69</v>
      </c>
      <c r="F49" s="188"/>
      <c r="G49" s="188"/>
      <c r="H49" s="184"/>
      <c r="I49" s="232">
        <f t="shared" si="3"/>
        <v>0</v>
      </c>
      <c r="J49" s="232"/>
      <c r="K49" s="188"/>
      <c r="L49" s="233"/>
      <c r="V49" s="223"/>
      <c r="AF49" s="224"/>
      <c r="AP49" s="244"/>
      <c r="AZ49" s="203"/>
      <c r="BJ49" s="243"/>
      <c r="BT49" s="204"/>
    </row>
    <row r="50" spans="1:72" ht="24" customHeight="1">
      <c r="A50" s="168">
        <v>9</v>
      </c>
      <c r="B50" s="170"/>
      <c r="C50" s="169">
        <v>20059087</v>
      </c>
      <c r="D50" s="262" t="s">
        <v>239</v>
      </c>
      <c r="E50" s="169" t="s">
        <v>69</v>
      </c>
      <c r="F50" s="188"/>
      <c r="G50" s="188"/>
      <c r="H50" s="184"/>
      <c r="I50" s="232">
        <f t="shared" si="3"/>
        <v>0</v>
      </c>
      <c r="J50" s="232"/>
      <c r="K50" s="188"/>
      <c r="L50" s="233"/>
      <c r="V50" s="223"/>
      <c r="AF50" s="224"/>
      <c r="AP50" s="244"/>
      <c r="AZ50" s="203"/>
      <c r="BJ50" s="243"/>
      <c r="BT50" s="204"/>
    </row>
    <row r="51" spans="1:72" ht="24.75" customHeight="1">
      <c r="A51" s="168">
        <v>10</v>
      </c>
      <c r="B51" s="170"/>
      <c r="C51" s="247">
        <v>20060974</v>
      </c>
      <c r="D51" s="262" t="s">
        <v>427</v>
      </c>
      <c r="E51" s="169" t="s">
        <v>69</v>
      </c>
      <c r="F51" s="188"/>
      <c r="G51" s="188"/>
      <c r="H51" s="184"/>
      <c r="I51" s="232">
        <f t="shared" ref="I51:I52" si="4">SUM(L51,V51,AF51,AP51,AZ51,BJ51,BT51)</f>
        <v>0</v>
      </c>
      <c r="J51" s="232"/>
      <c r="K51" s="188"/>
      <c r="L51" s="233"/>
      <c r="V51" s="223"/>
      <c r="AF51" s="224"/>
      <c r="AP51" s="244"/>
      <c r="AZ51" s="203"/>
      <c r="BJ51" s="243"/>
      <c r="BT51" s="204"/>
    </row>
    <row r="52" spans="1:72" ht="24.75" customHeight="1">
      <c r="A52" s="168">
        <v>11</v>
      </c>
      <c r="B52" s="170"/>
      <c r="C52" s="247">
        <v>20060976</v>
      </c>
      <c r="D52" s="262" t="s">
        <v>428</v>
      </c>
      <c r="E52" s="169" t="s">
        <v>69</v>
      </c>
      <c r="F52" s="188"/>
      <c r="G52" s="188"/>
      <c r="H52" s="184"/>
      <c r="I52" s="232">
        <f t="shared" si="4"/>
        <v>0</v>
      </c>
      <c r="J52" s="232"/>
      <c r="K52" s="188"/>
      <c r="L52" s="233"/>
      <c r="V52" s="223"/>
      <c r="AF52" s="224"/>
      <c r="AP52" s="244"/>
      <c r="AZ52" s="203"/>
      <c r="BJ52" s="243"/>
      <c r="BT52" s="204"/>
    </row>
    <row r="53" spans="1:72" ht="28.5" customHeight="1">
      <c r="A53" s="168">
        <v>12</v>
      </c>
      <c r="B53" s="170"/>
      <c r="C53" s="247">
        <v>20060973</v>
      </c>
      <c r="D53" s="262" t="s">
        <v>429</v>
      </c>
      <c r="E53" s="169" t="s">
        <v>69</v>
      </c>
      <c r="F53" s="188"/>
      <c r="G53" s="188"/>
      <c r="H53" s="184"/>
      <c r="I53" s="232">
        <f t="shared" ref="I53:I54" si="5">SUM(L53,V53,AF53,AP53,AZ53,BJ53,BT53)</f>
        <v>0</v>
      </c>
      <c r="J53" s="232"/>
      <c r="K53" s="188"/>
      <c r="L53" s="233"/>
      <c r="V53" s="223"/>
      <c r="AF53" s="224"/>
      <c r="AP53" s="244"/>
      <c r="AZ53" s="203"/>
      <c r="BJ53" s="243"/>
      <c r="BT53" s="204"/>
    </row>
    <row r="54" spans="1:72" ht="29.25" customHeight="1">
      <c r="A54" s="168">
        <v>13</v>
      </c>
      <c r="B54" s="170"/>
      <c r="C54" s="281">
        <v>20061982</v>
      </c>
      <c r="D54" s="282" t="s">
        <v>430</v>
      </c>
      <c r="E54" s="169" t="s">
        <v>69</v>
      </c>
      <c r="F54" s="188"/>
      <c r="G54" s="188"/>
      <c r="H54" s="184"/>
      <c r="I54" s="232">
        <f t="shared" si="5"/>
        <v>0</v>
      </c>
      <c r="J54" s="232"/>
      <c r="K54" s="188"/>
      <c r="L54" s="233"/>
      <c r="V54" s="223"/>
      <c r="AF54" s="224"/>
      <c r="AP54" s="244"/>
      <c r="AZ54" s="203"/>
      <c r="BJ54" s="243"/>
      <c r="BT54" s="204"/>
    </row>
    <row r="55" spans="1:72" ht="30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345"/>
      <c r="G55" s="345"/>
      <c r="H55" s="184"/>
      <c r="I55" s="232">
        <f t="shared" ref="I55:I59" si="6">SUM(L55,V55,AF55,AP55,AZ55,BJ55,BT55)</f>
        <v>0</v>
      </c>
      <c r="J55" s="232"/>
      <c r="K55" s="345"/>
      <c r="L55" s="233"/>
      <c r="V55" s="223"/>
      <c r="AF55" s="224"/>
      <c r="AP55" s="244"/>
      <c r="AZ55" s="277"/>
      <c r="BJ55" s="243"/>
      <c r="BT55" s="204"/>
    </row>
    <row r="56" spans="1:72" ht="30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345"/>
      <c r="G56" s="345"/>
      <c r="H56" s="184"/>
      <c r="I56" s="232">
        <f t="shared" si="6"/>
        <v>0</v>
      </c>
      <c r="J56" s="232"/>
      <c r="K56" s="345"/>
      <c r="L56" s="233"/>
      <c r="V56" s="223"/>
      <c r="AF56" s="224"/>
      <c r="AP56" s="244"/>
      <c r="AZ56" s="277"/>
      <c r="BJ56" s="243"/>
      <c r="BT56" s="204"/>
    </row>
    <row r="57" spans="1:72" ht="30" customHeight="1">
      <c r="A57" s="168">
        <v>16</v>
      </c>
      <c r="B57" s="170"/>
      <c r="C57" s="247">
        <v>20062916</v>
      </c>
      <c r="D57" s="283" t="s">
        <v>439</v>
      </c>
      <c r="E57" s="169" t="s">
        <v>69</v>
      </c>
      <c r="F57" s="345"/>
      <c r="G57" s="345"/>
      <c r="H57" s="184"/>
      <c r="I57" s="232">
        <f t="shared" si="6"/>
        <v>0</v>
      </c>
      <c r="J57" s="232"/>
      <c r="K57" s="345"/>
      <c r="L57" s="233"/>
      <c r="V57" s="223"/>
      <c r="AF57" s="224"/>
      <c r="AP57" s="244"/>
      <c r="AZ57" s="277"/>
      <c r="BJ57" s="243"/>
      <c r="BT57" s="204"/>
    </row>
    <row r="58" spans="1:72" ht="30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345"/>
      <c r="G58" s="345"/>
      <c r="H58" s="184"/>
      <c r="I58" s="232">
        <f t="shared" si="6"/>
        <v>0</v>
      </c>
      <c r="J58" s="232"/>
      <c r="K58" s="345"/>
      <c r="L58" s="233"/>
      <c r="V58" s="223"/>
      <c r="AF58" s="224"/>
      <c r="AP58" s="244"/>
      <c r="AZ58" s="277"/>
      <c r="BJ58" s="243"/>
      <c r="BT58" s="204"/>
    </row>
    <row r="59" spans="1:72" ht="30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8"/>
      <c r="G59" s="188"/>
      <c r="H59" s="184"/>
      <c r="I59" s="232">
        <f t="shared" si="6"/>
        <v>0</v>
      </c>
      <c r="J59" s="232"/>
      <c r="K59" s="345"/>
      <c r="L59" s="233"/>
      <c r="V59" s="223"/>
      <c r="AF59" s="224"/>
      <c r="AP59" s="244"/>
      <c r="AZ59" s="277"/>
      <c r="BJ59" s="243"/>
      <c r="BT59" s="204"/>
    </row>
    <row r="60" spans="1:72" ht="28.5" customHeight="1">
      <c r="A60" s="168">
        <v>19</v>
      </c>
      <c r="B60" s="170"/>
      <c r="C60" s="285">
        <v>20064190</v>
      </c>
      <c r="D60" s="307" t="s">
        <v>446</v>
      </c>
      <c r="E60" s="169" t="s">
        <v>69</v>
      </c>
      <c r="F60" s="188"/>
      <c r="G60" s="188"/>
      <c r="H60" s="184"/>
      <c r="I60" s="232">
        <f t="shared" ref="I60:I61" si="7">SUM(L60,V60,AF60,AP60,AZ60,BJ60,BT60)</f>
        <v>0</v>
      </c>
      <c r="J60" s="232"/>
      <c r="K60" s="345"/>
      <c r="L60" s="233"/>
      <c r="V60" s="223"/>
      <c r="AF60" s="224"/>
      <c r="AP60" s="244"/>
      <c r="AZ60" s="277"/>
      <c r="BJ60" s="243"/>
      <c r="BT60" s="204"/>
    </row>
    <row r="61" spans="1:72" ht="28.5" customHeight="1">
      <c r="A61" s="168">
        <v>20</v>
      </c>
      <c r="B61" s="170"/>
      <c r="C61" s="285">
        <v>20064191</v>
      </c>
      <c r="D61" s="307" t="s">
        <v>450</v>
      </c>
      <c r="E61" s="169" t="s">
        <v>69</v>
      </c>
      <c r="F61" s="188"/>
      <c r="G61" s="188"/>
      <c r="H61" s="184"/>
      <c r="I61" s="232">
        <f t="shared" si="7"/>
        <v>0</v>
      </c>
      <c r="J61" s="232"/>
      <c r="K61" s="345"/>
      <c r="L61" s="233"/>
      <c r="V61" s="223"/>
      <c r="AF61" s="224"/>
      <c r="AP61" s="244"/>
      <c r="AZ61" s="277"/>
      <c r="BJ61" s="243"/>
      <c r="BT61" s="204"/>
    </row>
    <row r="62" spans="1:72" ht="28.5" customHeight="1">
      <c r="A62" s="168">
        <v>21</v>
      </c>
      <c r="B62" s="170"/>
      <c r="C62" s="80">
        <v>20064271</v>
      </c>
      <c r="D62" s="316" t="s">
        <v>448</v>
      </c>
      <c r="E62" s="169" t="s">
        <v>69</v>
      </c>
      <c r="F62" s="188"/>
      <c r="G62" s="188"/>
      <c r="H62" s="184"/>
      <c r="I62" s="232">
        <f t="shared" ref="I62:I70" si="8">SUM(L62,V62,AF62,AP62,AZ62,BJ62,BT62)</f>
        <v>0</v>
      </c>
      <c r="J62" s="232"/>
      <c r="K62" s="345"/>
      <c r="L62" s="233"/>
      <c r="V62" s="223"/>
      <c r="AF62" s="224"/>
      <c r="AP62" s="244"/>
      <c r="AZ62" s="277"/>
      <c r="BJ62" s="243"/>
      <c r="BT62" s="204"/>
    </row>
    <row r="63" spans="1:72" ht="28.5" customHeight="1">
      <c r="A63" s="168">
        <v>22</v>
      </c>
      <c r="B63" s="170"/>
      <c r="C63" s="315">
        <v>20064365</v>
      </c>
      <c r="D63" s="316" t="s">
        <v>464</v>
      </c>
      <c r="E63" s="169" t="s">
        <v>69</v>
      </c>
      <c r="F63" s="188"/>
      <c r="G63" s="188"/>
      <c r="H63" s="184"/>
      <c r="I63" s="232">
        <f t="shared" si="8"/>
        <v>0</v>
      </c>
      <c r="J63" s="232"/>
      <c r="K63" s="345"/>
      <c r="L63" s="233"/>
      <c r="V63" s="223"/>
      <c r="AF63" s="224"/>
      <c r="AP63" s="244"/>
      <c r="AZ63" s="277"/>
      <c r="BJ63" s="243"/>
      <c r="BT63" s="204"/>
    </row>
    <row r="64" spans="1:72" ht="28.5" customHeight="1">
      <c r="A64" s="317">
        <v>23</v>
      </c>
      <c r="B64" s="170"/>
      <c r="C64" s="429">
        <v>20064787</v>
      </c>
      <c r="D64" s="321" t="s">
        <v>443</v>
      </c>
      <c r="E64" s="326" t="s">
        <v>69</v>
      </c>
      <c r="F64" s="321"/>
      <c r="G64" s="321"/>
      <c r="H64" s="327"/>
      <c r="I64" s="232">
        <f t="shared" si="8"/>
        <v>0</v>
      </c>
      <c r="J64" s="232"/>
      <c r="K64" s="345"/>
      <c r="L64" s="233"/>
      <c r="V64" s="223"/>
      <c r="AF64" s="224"/>
      <c r="AP64" s="244"/>
      <c r="AZ64" s="277"/>
      <c r="BJ64" s="243"/>
      <c r="BT64" s="204"/>
    </row>
    <row r="65" spans="1:72" ht="28.5" customHeight="1">
      <c r="A65" s="317">
        <v>24</v>
      </c>
      <c r="B65" s="170"/>
      <c r="C65" s="429">
        <v>20064791</v>
      </c>
      <c r="D65" s="321" t="s">
        <v>444</v>
      </c>
      <c r="E65" s="326" t="s">
        <v>69</v>
      </c>
      <c r="F65" s="321"/>
      <c r="G65" s="321"/>
      <c r="H65" s="327"/>
      <c r="I65" s="232">
        <f t="shared" si="8"/>
        <v>0</v>
      </c>
      <c r="J65" s="232"/>
      <c r="K65" s="345"/>
      <c r="L65" s="233"/>
      <c r="V65" s="223"/>
      <c r="AF65" s="224"/>
      <c r="AP65" s="244"/>
      <c r="AZ65" s="277"/>
      <c r="BJ65" s="243"/>
      <c r="BT65" s="204"/>
    </row>
    <row r="66" spans="1:72" ht="28.5" customHeight="1">
      <c r="A66" s="317">
        <v>25</v>
      </c>
      <c r="B66" s="170"/>
      <c r="C66" s="429">
        <v>20064861</v>
      </c>
      <c r="D66" s="321" t="s">
        <v>445</v>
      </c>
      <c r="E66" s="326" t="s">
        <v>69</v>
      </c>
      <c r="F66" s="321"/>
      <c r="G66" s="321"/>
      <c r="H66" s="327"/>
      <c r="I66" s="232">
        <f t="shared" si="8"/>
        <v>0</v>
      </c>
      <c r="J66" s="232"/>
      <c r="K66" s="345"/>
      <c r="L66" s="233"/>
      <c r="V66" s="223"/>
      <c r="AF66" s="224"/>
      <c r="AP66" s="244"/>
      <c r="AZ66" s="277"/>
      <c r="BJ66" s="243"/>
      <c r="BT66" s="204"/>
    </row>
    <row r="67" spans="1:72" ht="28.5" hidden="1" customHeight="1">
      <c r="A67" s="317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8"/>
        <v>0</v>
      </c>
      <c r="J67" s="232"/>
      <c r="K67" s="345"/>
      <c r="L67" s="233"/>
      <c r="V67" s="223"/>
      <c r="AF67" s="224"/>
      <c r="AP67" s="244"/>
      <c r="AZ67" s="277"/>
      <c r="BJ67" s="243"/>
      <c r="BT67" s="204"/>
    </row>
    <row r="68" spans="1:72" ht="24.75" hidden="1" customHeight="1">
      <c r="A68" s="317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8"/>
        <v>0</v>
      </c>
      <c r="J68" s="232"/>
      <c r="K68" s="345"/>
      <c r="L68" s="233"/>
      <c r="V68" s="223"/>
      <c r="AF68" s="224"/>
      <c r="AP68" s="244"/>
      <c r="AZ68" s="277"/>
      <c r="BJ68" s="243"/>
      <c r="BT68" s="204"/>
    </row>
    <row r="69" spans="1:72" ht="29.25" hidden="1" customHeight="1">
      <c r="A69" s="317">
        <v>2</v>
      </c>
      <c r="B69" s="170"/>
      <c r="C69" s="169">
        <v>1112048</v>
      </c>
      <c r="D69" s="262" t="s">
        <v>456</v>
      </c>
      <c r="E69" s="169" t="s">
        <v>203</v>
      </c>
      <c r="F69" s="169"/>
      <c r="G69" s="183"/>
      <c r="H69" s="184"/>
      <c r="I69" s="215">
        <f t="shared" si="8"/>
        <v>0</v>
      </c>
      <c r="J69" s="232"/>
      <c r="K69" s="345"/>
      <c r="L69" s="233"/>
      <c r="M69" s="186"/>
      <c r="N69" s="186"/>
      <c r="O69" s="186"/>
      <c r="P69" s="186"/>
      <c r="Q69" s="186"/>
      <c r="R69" s="186"/>
      <c r="S69" s="186"/>
      <c r="T69" s="186"/>
      <c r="U69" s="463"/>
      <c r="V69" s="223"/>
      <c r="W69" s="186"/>
      <c r="X69" s="186"/>
      <c r="Y69" s="186"/>
      <c r="Z69" s="186"/>
      <c r="AA69" s="186"/>
      <c r="AB69" s="186"/>
      <c r="AC69" s="186"/>
      <c r="AD69" s="186"/>
      <c r="AE69" s="463"/>
      <c r="AF69" s="224"/>
      <c r="AG69" s="186"/>
      <c r="AH69" s="186"/>
      <c r="AI69" s="186"/>
      <c r="AJ69" s="186"/>
      <c r="AK69" s="186"/>
      <c r="AL69" s="186"/>
      <c r="AM69" s="186"/>
      <c r="AN69" s="186"/>
      <c r="AO69" s="463"/>
      <c r="AP69" s="244"/>
      <c r="AQ69" s="186"/>
      <c r="AR69" s="186"/>
      <c r="AS69" s="186"/>
      <c r="AT69" s="186"/>
      <c r="AU69" s="186"/>
      <c r="AV69" s="186"/>
      <c r="AW69" s="186"/>
      <c r="AX69" s="186"/>
      <c r="AY69" s="463"/>
      <c r="AZ69" s="277"/>
      <c r="BA69" s="186"/>
      <c r="BB69" s="186"/>
      <c r="BC69" s="186"/>
      <c r="BD69" s="186"/>
      <c r="BE69" s="186"/>
      <c r="BF69" s="186"/>
      <c r="BG69" s="186"/>
      <c r="BH69" s="186"/>
      <c r="BI69" s="463"/>
      <c r="BJ69" s="243"/>
      <c r="BK69" s="186"/>
      <c r="BL69" s="186"/>
      <c r="BM69" s="186"/>
      <c r="BN69" s="186"/>
      <c r="BO69" s="186"/>
      <c r="BP69" s="186"/>
      <c r="BQ69" s="186"/>
      <c r="BR69" s="186"/>
      <c r="BS69" s="463"/>
      <c r="BT69" s="204"/>
    </row>
    <row r="70" spans="1:72" ht="30" hidden="1" customHeight="1">
      <c r="A70" s="317">
        <v>3</v>
      </c>
      <c r="B70" s="170"/>
      <c r="C70" s="169">
        <v>1112049</v>
      </c>
      <c r="D70" s="283" t="s">
        <v>457</v>
      </c>
      <c r="E70" s="169" t="s">
        <v>203</v>
      </c>
      <c r="F70" s="169"/>
      <c r="G70" s="183"/>
      <c r="H70" s="184"/>
      <c r="I70" s="215">
        <f t="shared" si="8"/>
        <v>0</v>
      </c>
      <c r="J70" s="232"/>
      <c r="K70" s="345"/>
      <c r="L70" s="233"/>
      <c r="M70" s="186"/>
      <c r="N70" s="186"/>
      <c r="O70" s="186"/>
      <c r="P70" s="186"/>
      <c r="Q70" s="186"/>
      <c r="R70" s="186"/>
      <c r="S70" s="186"/>
      <c r="T70" s="186"/>
      <c r="U70" s="463"/>
      <c r="V70" s="223"/>
      <c r="W70" s="186"/>
      <c r="X70" s="186"/>
      <c r="Y70" s="186"/>
      <c r="Z70" s="186"/>
      <c r="AA70" s="186"/>
      <c r="AB70" s="186"/>
      <c r="AC70" s="186"/>
      <c r="AD70" s="186"/>
      <c r="AE70" s="463"/>
      <c r="AF70" s="224"/>
      <c r="AG70" s="186"/>
      <c r="AH70" s="186"/>
      <c r="AI70" s="186"/>
      <c r="AJ70" s="186"/>
      <c r="AK70" s="186"/>
      <c r="AL70" s="186"/>
      <c r="AM70" s="186"/>
      <c r="AN70" s="186"/>
      <c r="AO70" s="463"/>
      <c r="AP70" s="244"/>
      <c r="AQ70" s="186"/>
      <c r="AR70" s="186"/>
      <c r="AS70" s="186"/>
      <c r="AT70" s="186"/>
      <c r="AU70" s="186"/>
      <c r="AV70" s="186"/>
      <c r="AW70" s="186"/>
      <c r="AX70" s="186"/>
      <c r="AY70" s="463"/>
      <c r="AZ70" s="277"/>
      <c r="BA70" s="186"/>
      <c r="BB70" s="186"/>
      <c r="BC70" s="186"/>
      <c r="BD70" s="186"/>
      <c r="BE70" s="186"/>
      <c r="BF70" s="186"/>
      <c r="BG70" s="186"/>
      <c r="BH70" s="186"/>
      <c r="BI70" s="463"/>
      <c r="BJ70" s="243"/>
      <c r="BK70" s="186"/>
      <c r="BL70" s="186"/>
      <c r="BM70" s="186"/>
      <c r="BN70" s="186"/>
      <c r="BO70" s="186"/>
      <c r="BP70" s="186"/>
      <c r="BQ70" s="186"/>
      <c r="BR70" s="186"/>
      <c r="BS70" s="463"/>
      <c r="BT70" s="204"/>
    </row>
    <row r="71" spans="1:72" ht="15.75" customHeight="1">
      <c r="L71" s="346"/>
      <c r="V71" s="346"/>
      <c r="AF71" s="346"/>
      <c r="AP71" s="346"/>
      <c r="BJ71" s="346"/>
    </row>
  </sheetData>
  <autoFilter ref="E1:E70" xr:uid="{00000000-0009-0000-0000-000005000000}">
    <filterColumn colId="0">
      <filters>
        <filter val="CJ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383" customFormat="1" ht="15.75" customHeight="1">
      <c r="A1" s="622" t="s">
        <v>14</v>
      </c>
      <c r="B1" s="626"/>
      <c r="C1" s="626"/>
      <c r="D1" s="626"/>
      <c r="E1" s="626"/>
      <c r="F1" s="623"/>
      <c r="G1" s="384"/>
      <c r="H1" s="622" t="s">
        <v>15</v>
      </c>
      <c r="I1" s="623"/>
      <c r="J1" s="623"/>
      <c r="K1" s="623"/>
      <c r="L1" s="623"/>
      <c r="M1" s="623"/>
      <c r="N1" s="384"/>
      <c r="O1" s="622" t="s">
        <v>16</v>
      </c>
      <c r="P1" s="623"/>
      <c r="Q1" s="623"/>
      <c r="R1" s="623"/>
      <c r="S1" s="623"/>
      <c r="T1" s="623"/>
      <c r="U1" s="384"/>
      <c r="V1" s="622" t="s">
        <v>17</v>
      </c>
      <c r="W1" s="623"/>
      <c r="X1" s="623"/>
      <c r="Y1" s="623"/>
      <c r="Z1" s="623"/>
      <c r="AA1" s="623"/>
      <c r="AB1" s="384"/>
      <c r="AC1" s="622" t="s">
        <v>385</v>
      </c>
      <c r="AD1" s="623"/>
      <c r="AE1" s="623"/>
      <c r="AF1" s="623"/>
      <c r="AG1" s="623"/>
      <c r="AH1" s="623"/>
      <c r="AI1" s="384"/>
      <c r="AJ1" s="622" t="s">
        <v>19</v>
      </c>
      <c r="AK1" s="623"/>
      <c r="AL1" s="623"/>
      <c r="AM1" s="623"/>
      <c r="AN1" s="623"/>
      <c r="AO1" s="623"/>
      <c r="AP1" s="384"/>
      <c r="AQ1" s="622" t="s">
        <v>386</v>
      </c>
      <c r="AR1" s="623"/>
      <c r="AS1" s="623"/>
      <c r="AT1" s="623"/>
      <c r="AU1" s="623"/>
      <c r="AV1" s="62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4"/>
      <c r="P69" s="625"/>
      <c r="Q69" s="7"/>
      <c r="R69" s="6"/>
      <c r="S69" s="7"/>
      <c r="T69" s="6"/>
      <c r="U69" s="8"/>
      <c r="V69" s="8"/>
      <c r="W69" s="1"/>
      <c r="X69" s="1"/>
      <c r="Y69" s="624"/>
      <c r="Z69" s="625"/>
      <c r="AA69" s="7"/>
      <c r="AB69" s="6"/>
      <c r="AC69" s="7"/>
      <c r="AD69" s="6"/>
      <c r="AE69" s="8"/>
      <c r="AF69" s="8"/>
      <c r="AG69" s="1"/>
      <c r="AH69" s="1"/>
      <c r="AI69" s="624"/>
      <c r="AJ69" s="625"/>
      <c r="AK69" s="7"/>
      <c r="AL69" s="6"/>
      <c r="AM69" s="7"/>
      <c r="AN69" s="6"/>
      <c r="AO69" s="8"/>
      <c r="AP69" s="8"/>
      <c r="AQ69" s="1"/>
      <c r="AR69" s="1"/>
      <c r="AS69" s="624"/>
      <c r="AT69" s="62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4"/>
      <c r="P70" s="625"/>
      <c r="Q70" s="7"/>
      <c r="R70" s="6"/>
      <c r="S70" s="7"/>
      <c r="T70" s="6"/>
      <c r="U70" s="8"/>
      <c r="V70" s="8"/>
      <c r="W70" s="1"/>
      <c r="X70" s="1"/>
      <c r="Y70" s="624"/>
      <c r="Z70" s="625"/>
      <c r="AA70" s="7"/>
      <c r="AB70" s="6"/>
      <c r="AC70" s="7"/>
      <c r="AD70" s="6"/>
      <c r="AE70" s="8"/>
      <c r="AF70" s="8"/>
      <c r="AG70" s="1"/>
      <c r="AH70" s="1"/>
      <c r="AI70" s="624"/>
      <c r="AJ70" s="625"/>
      <c r="AK70" s="7"/>
      <c r="AL70" s="6"/>
      <c r="AM70" s="7"/>
      <c r="AN70" s="6"/>
      <c r="AO70" s="8"/>
      <c r="AP70" s="8"/>
      <c r="AQ70" s="1"/>
      <c r="AR70" s="1"/>
      <c r="AS70" s="624"/>
      <c r="AT70" s="625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24"/>
      <c r="P71" s="625"/>
      <c r="Q71" s="7"/>
      <c r="R71" s="6"/>
      <c r="S71" s="7"/>
      <c r="T71" s="6"/>
      <c r="U71" s="8"/>
      <c r="V71" s="8"/>
      <c r="W71" s="1"/>
      <c r="X71" s="1"/>
      <c r="Y71" s="624"/>
      <c r="Z71" s="625"/>
      <c r="AA71" s="7"/>
      <c r="AB71" s="6"/>
      <c r="AC71" s="7"/>
      <c r="AD71" s="6"/>
      <c r="AE71" s="8"/>
      <c r="AF71" s="8"/>
      <c r="AG71" s="1"/>
      <c r="AH71" s="1"/>
      <c r="AI71" s="624"/>
      <c r="AJ71" s="625"/>
      <c r="AK71" s="7"/>
      <c r="AL71" s="6"/>
      <c r="AM71" s="7"/>
      <c r="AN71" s="6"/>
      <c r="AO71" s="8"/>
      <c r="AP71" s="8"/>
      <c r="AQ71" s="1"/>
      <c r="AR71" s="1"/>
      <c r="AS71" s="624"/>
      <c r="AT71" s="625"/>
      <c r="AU71" s="7"/>
      <c r="AV71" s="6"/>
    </row>
  </sheetData>
  <mergeCells count="19">
    <mergeCell ref="O71:P71"/>
    <mergeCell ref="Y71:Z71"/>
    <mergeCell ref="AS71:AT71"/>
    <mergeCell ref="AI70:AJ70"/>
    <mergeCell ref="AI71:AJ71"/>
    <mergeCell ref="O70:P70"/>
    <mergeCell ref="Y70:Z70"/>
    <mergeCell ref="AS70:AT70"/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S70"/>
  <sheetViews>
    <sheetView topLeftCell="A50" zoomScale="90" zoomScaleNormal="90" workbookViewId="0">
      <selection activeCell="BW60" sqref="BW60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44.14062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13" width="10.42578125" style="42" customWidth="1"/>
    <col min="14" max="21" width="12.7109375" style="42" hidden="1" customWidth="1"/>
    <col min="22" max="22" width="1" style="42" hidden="1" customWidth="1"/>
    <col min="23" max="23" width="11" style="278" customWidth="1"/>
    <col min="24" max="32" width="12.7109375" style="42" hidden="1" customWidth="1"/>
    <col min="33" max="33" width="10.28515625" style="278" customWidth="1"/>
    <col min="34" max="42" width="12.7109375" style="42" hidden="1" customWidth="1"/>
    <col min="43" max="43" width="10" style="278" customWidth="1"/>
    <col min="44" max="50" width="0" style="42" hidden="1" customWidth="1"/>
    <col min="51" max="51" width="3.7109375" style="42" hidden="1" customWidth="1"/>
    <col min="52" max="52" width="2" style="42" hidden="1" customWidth="1"/>
    <col min="53" max="53" width="10.28515625" style="278" customWidth="1"/>
    <col min="54" max="62" width="0" style="42" hidden="1" customWidth="1"/>
    <col min="63" max="63" width="10.140625" style="278" customWidth="1"/>
    <col min="64" max="71" width="0" style="42" hidden="1" customWidth="1"/>
    <col min="72" max="16384" width="12.7109375" style="42"/>
  </cols>
  <sheetData>
    <row r="1" spans="1:71" ht="37.5" customHeight="1">
      <c r="A1" s="168" t="s">
        <v>0</v>
      </c>
      <c r="B1" s="387" t="s">
        <v>4</v>
      </c>
      <c r="C1" s="215" t="s">
        <v>5</v>
      </c>
      <c r="D1" s="375" t="s">
        <v>6</v>
      </c>
      <c r="E1" s="375" t="s">
        <v>7</v>
      </c>
      <c r="F1" s="584" t="s">
        <v>8</v>
      </c>
      <c r="G1" s="585"/>
      <c r="H1" s="586"/>
      <c r="I1" s="627"/>
      <c r="J1" s="627"/>
      <c r="K1" s="587" t="s">
        <v>461</v>
      </c>
      <c r="L1" s="588"/>
      <c r="M1" s="588"/>
      <c r="N1" s="589"/>
      <c r="O1" s="589"/>
      <c r="P1" s="589"/>
      <c r="Q1" s="589"/>
      <c r="R1" s="589"/>
      <c r="S1" s="589"/>
      <c r="T1" s="589"/>
      <c r="U1" s="589"/>
      <c r="V1" s="589"/>
      <c r="W1" s="588"/>
      <c r="X1" s="589"/>
      <c r="Y1" s="589"/>
      <c r="Z1" s="589"/>
      <c r="AA1" s="589"/>
      <c r="AB1" s="589"/>
      <c r="AC1" s="589"/>
      <c r="AD1" s="589"/>
      <c r="AE1" s="589"/>
      <c r="AF1" s="589"/>
      <c r="AG1" s="588"/>
      <c r="AH1" s="589"/>
      <c r="AI1" s="589"/>
      <c r="AJ1" s="589"/>
      <c r="AK1" s="589"/>
      <c r="AL1" s="589"/>
      <c r="AM1" s="589"/>
      <c r="AN1" s="589"/>
      <c r="AO1" s="589"/>
      <c r="AP1" s="589"/>
      <c r="AQ1" s="588"/>
      <c r="AR1" s="589"/>
      <c r="AS1" s="589"/>
      <c r="AT1" s="589"/>
      <c r="AU1" s="589"/>
      <c r="AV1" s="589"/>
      <c r="AW1" s="589"/>
      <c r="AX1" s="589"/>
      <c r="AY1" s="589"/>
      <c r="AZ1" s="589"/>
      <c r="BA1" s="588"/>
      <c r="BB1" s="589"/>
      <c r="BC1" s="589"/>
      <c r="BD1" s="589"/>
      <c r="BE1" s="589"/>
      <c r="BF1" s="589"/>
      <c r="BG1" s="589"/>
      <c r="BH1" s="589"/>
      <c r="BI1" s="589"/>
      <c r="BJ1" s="589"/>
      <c r="BK1" s="588"/>
      <c r="BL1" s="589"/>
      <c r="BM1" s="589"/>
      <c r="BN1" s="589"/>
      <c r="BO1" s="589"/>
      <c r="BP1" s="589"/>
      <c r="BQ1" s="589"/>
      <c r="BR1" s="589"/>
      <c r="BS1" s="590"/>
    </row>
    <row r="2" spans="1:7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146">
        <v>0</v>
      </c>
      <c r="I2" s="45">
        <f t="shared" ref="I2:I32" si="0">SUM(L2,M2,W2,AG2,AQ2,BA2,BK2)</f>
        <v>0</v>
      </c>
      <c r="J2" s="146">
        <v>0</v>
      </c>
      <c r="K2" s="508"/>
      <c r="L2" s="205"/>
      <c r="M2" s="209"/>
      <c r="N2" s="59"/>
      <c r="O2" s="96"/>
      <c r="P2" s="59"/>
      <c r="Q2" s="59"/>
      <c r="R2" s="59"/>
      <c r="S2" s="59"/>
      <c r="T2" s="44"/>
      <c r="U2" s="59"/>
      <c r="V2" s="59"/>
      <c r="W2" s="509"/>
      <c r="X2" s="59"/>
      <c r="Y2" s="96"/>
      <c r="Z2" s="59"/>
      <c r="AA2" s="59"/>
      <c r="AB2" s="59"/>
      <c r="AC2" s="59"/>
      <c r="AD2" s="44"/>
      <c r="AE2" s="59"/>
      <c r="AF2" s="59"/>
      <c r="AG2" s="510"/>
      <c r="AH2" s="59"/>
      <c r="AI2" s="96"/>
      <c r="AJ2" s="59"/>
      <c r="AK2" s="59"/>
      <c r="AL2" s="59"/>
      <c r="AM2" s="59"/>
      <c r="AN2" s="44"/>
      <c r="AO2" s="59"/>
      <c r="AP2" s="59"/>
      <c r="AQ2" s="258"/>
      <c r="AR2" s="59"/>
      <c r="AS2" s="96"/>
      <c r="AT2" s="59"/>
      <c r="AU2" s="59"/>
      <c r="AV2" s="59"/>
      <c r="AW2" s="59"/>
      <c r="AX2" s="44"/>
      <c r="AY2" s="59"/>
      <c r="AZ2" s="59"/>
      <c r="BA2" s="260"/>
      <c r="BB2" s="59"/>
      <c r="BC2" s="96"/>
      <c r="BD2" s="59"/>
      <c r="BE2" s="59"/>
      <c r="BF2" s="59"/>
      <c r="BG2" s="59"/>
      <c r="BH2" s="44"/>
      <c r="BI2" s="59"/>
      <c r="BJ2" s="59"/>
      <c r="BK2" s="225"/>
      <c r="BL2" s="59"/>
      <c r="BM2" s="96">
        <f t="shared" ref="BM2:BM34" si="1">SUM(BJ2:BL2)</f>
        <v>0</v>
      </c>
      <c r="BN2" s="59">
        <v>0</v>
      </c>
      <c r="BO2" s="59">
        <v>0</v>
      </c>
      <c r="BP2" s="59">
        <v>0</v>
      </c>
      <c r="BQ2" s="59">
        <v>0</v>
      </c>
      <c r="BR2" s="44">
        <f t="shared" ref="BR2:BR34" si="2">BK2-BO2</f>
        <v>0</v>
      </c>
      <c r="BS2" s="59">
        <v>0</v>
      </c>
    </row>
    <row r="3" spans="1:71" ht="26.25" hidden="1">
      <c r="A3" s="279">
        <v>1</v>
      </c>
      <c r="B3" s="402"/>
      <c r="C3" s="226">
        <v>1111002</v>
      </c>
      <c r="D3" s="376" t="s">
        <v>30</v>
      </c>
      <c r="E3" s="226" t="s">
        <v>31</v>
      </c>
      <c r="F3" s="226"/>
      <c r="G3" s="227"/>
      <c r="H3" s="507">
        <v>0</v>
      </c>
      <c r="I3" s="220">
        <f t="shared" si="0"/>
        <v>0</v>
      </c>
      <c r="J3" s="129">
        <v>0</v>
      </c>
      <c r="K3" s="117"/>
      <c r="L3" s="292"/>
      <c r="M3" s="137"/>
      <c r="N3" s="59"/>
      <c r="O3" s="96"/>
      <c r="P3" s="59"/>
      <c r="Q3" s="59"/>
      <c r="R3" s="59"/>
      <c r="S3" s="59"/>
      <c r="T3" s="44"/>
      <c r="U3" s="59"/>
      <c r="V3" s="59"/>
      <c r="W3" s="293"/>
      <c r="X3" s="59"/>
      <c r="Y3" s="96"/>
      <c r="Z3" s="59"/>
      <c r="AA3" s="59"/>
      <c r="AB3" s="59"/>
      <c r="AC3" s="59"/>
      <c r="AD3" s="44"/>
      <c r="AE3" s="59"/>
      <c r="AF3" s="59"/>
      <c r="AG3" s="139"/>
      <c r="AH3" s="59"/>
      <c r="AI3" s="96"/>
      <c r="AJ3" s="59"/>
      <c r="AK3" s="59"/>
      <c r="AL3" s="59"/>
      <c r="AM3" s="59"/>
      <c r="AN3" s="44"/>
      <c r="AO3" s="59"/>
      <c r="AP3" s="59"/>
      <c r="AQ3" s="294"/>
      <c r="AR3" s="59"/>
      <c r="AS3" s="96"/>
      <c r="AT3" s="59"/>
      <c r="AU3" s="59"/>
      <c r="AV3" s="59"/>
      <c r="AW3" s="59"/>
      <c r="AX3" s="44"/>
      <c r="AY3" s="59"/>
      <c r="AZ3" s="59"/>
      <c r="BA3" s="141"/>
      <c r="BB3" s="59"/>
      <c r="BC3" s="96"/>
      <c r="BD3" s="59"/>
      <c r="BE3" s="59"/>
      <c r="BF3" s="59"/>
      <c r="BG3" s="59"/>
      <c r="BH3" s="44"/>
      <c r="BI3" s="59"/>
      <c r="BJ3" s="59"/>
      <c r="BK3" s="295"/>
      <c r="BL3" s="59"/>
      <c r="BM3" s="96">
        <f t="shared" si="1"/>
        <v>0</v>
      </c>
      <c r="BN3" s="59">
        <v>0</v>
      </c>
      <c r="BO3" s="59">
        <v>0</v>
      </c>
      <c r="BP3" s="59">
        <v>0</v>
      </c>
      <c r="BQ3" s="59">
        <v>0</v>
      </c>
      <c r="BR3" s="44">
        <f t="shared" si="2"/>
        <v>0</v>
      </c>
      <c r="BS3" s="59">
        <v>0</v>
      </c>
    </row>
    <row r="4" spans="1:71" ht="26.25" hidden="1" customHeight="1">
      <c r="A4" s="168">
        <v>1</v>
      </c>
      <c r="B4" s="170"/>
      <c r="C4" s="169">
        <v>1111055</v>
      </c>
      <c r="D4" s="262" t="s">
        <v>32</v>
      </c>
      <c r="E4" s="169" t="s">
        <v>33</v>
      </c>
      <c r="F4" s="169"/>
      <c r="G4" s="183"/>
      <c r="H4" s="184">
        <v>0</v>
      </c>
      <c r="I4" s="232">
        <f t="shared" si="0"/>
        <v>0</v>
      </c>
      <c r="J4" s="184">
        <v>0</v>
      </c>
      <c r="K4" s="185"/>
      <c r="L4" s="233"/>
      <c r="M4" s="362"/>
      <c r="N4" s="219"/>
      <c r="O4" s="96"/>
      <c r="P4" s="59"/>
      <c r="Q4" s="59"/>
      <c r="R4" s="59"/>
      <c r="S4" s="105"/>
      <c r="T4" s="44"/>
      <c r="U4" s="59"/>
      <c r="V4" s="59"/>
      <c r="W4" s="235"/>
      <c r="X4" s="354"/>
      <c r="Y4" s="96"/>
      <c r="Z4" s="59"/>
      <c r="AA4" s="59"/>
      <c r="AB4" s="59"/>
      <c r="AC4" s="105"/>
      <c r="AD4" s="44"/>
      <c r="AE4" s="59"/>
      <c r="AF4" s="59"/>
      <c r="AG4" s="364"/>
      <c r="AH4" s="219"/>
      <c r="AI4" s="96"/>
      <c r="AJ4" s="59"/>
      <c r="AK4" s="59"/>
      <c r="AL4" s="59"/>
      <c r="AM4" s="105"/>
      <c r="AN4" s="44"/>
      <c r="AO4" s="59"/>
      <c r="AP4" s="59"/>
      <c r="AQ4" s="368"/>
      <c r="AR4" s="219"/>
      <c r="AS4" s="96"/>
      <c r="AT4" s="59"/>
      <c r="AU4" s="59"/>
      <c r="AV4" s="59"/>
      <c r="AW4" s="105"/>
      <c r="AX4" s="44"/>
      <c r="AY4" s="105"/>
      <c r="AZ4" s="59"/>
      <c r="BA4" s="366"/>
      <c r="BB4" s="219"/>
      <c r="BC4" s="96"/>
      <c r="BD4" s="59"/>
      <c r="BE4" s="59"/>
      <c r="BF4" s="59"/>
      <c r="BG4" s="105"/>
      <c r="BH4" s="44"/>
      <c r="BI4" s="59"/>
      <c r="BJ4" s="59"/>
      <c r="BK4" s="216"/>
      <c r="BL4" s="219"/>
      <c r="BM4" s="96">
        <f t="shared" si="1"/>
        <v>0</v>
      </c>
      <c r="BN4" s="59">
        <v>0</v>
      </c>
      <c r="BO4" s="59">
        <v>0</v>
      </c>
      <c r="BP4" s="59">
        <v>0</v>
      </c>
      <c r="BQ4" s="105">
        <v>0</v>
      </c>
      <c r="BR4" s="44">
        <f t="shared" si="2"/>
        <v>0</v>
      </c>
      <c r="BS4" s="59">
        <v>0</v>
      </c>
    </row>
    <row r="5" spans="1:71" ht="26.25" hidden="1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146">
        <v>0</v>
      </c>
      <c r="I5" s="45">
        <f t="shared" si="0"/>
        <v>0</v>
      </c>
      <c r="J5" s="146">
        <v>0</v>
      </c>
      <c r="K5" s="147"/>
      <c r="L5" s="205"/>
      <c r="M5" s="209"/>
      <c r="N5" s="59"/>
      <c r="O5" s="96"/>
      <c r="P5" s="59"/>
      <c r="Q5" s="59"/>
      <c r="R5" s="59"/>
      <c r="S5" s="59"/>
      <c r="T5" s="44"/>
      <c r="U5" s="59"/>
      <c r="V5" s="59"/>
      <c r="W5" s="249"/>
      <c r="X5" s="59"/>
      <c r="Y5" s="96"/>
      <c r="Z5" s="59"/>
      <c r="AA5" s="59"/>
      <c r="AB5" s="59"/>
      <c r="AC5" s="59"/>
      <c r="AD5" s="44"/>
      <c r="AE5" s="59"/>
      <c r="AF5" s="59"/>
      <c r="AG5" s="510"/>
      <c r="AH5" s="59"/>
      <c r="AI5" s="96"/>
      <c r="AJ5" s="59"/>
      <c r="AK5" s="59"/>
      <c r="AL5" s="59"/>
      <c r="AM5" s="59"/>
      <c r="AN5" s="44"/>
      <c r="AO5" s="59"/>
      <c r="AP5" s="59"/>
      <c r="AQ5" s="515"/>
      <c r="AR5" s="59"/>
      <c r="AS5" s="96"/>
      <c r="AT5" s="59"/>
      <c r="AU5" s="59"/>
      <c r="AV5" s="59"/>
      <c r="AW5" s="59"/>
      <c r="AX5" s="44"/>
      <c r="AY5" s="59"/>
      <c r="AZ5" s="59"/>
      <c r="BA5" s="260"/>
      <c r="BB5" s="59"/>
      <c r="BC5" s="96"/>
      <c r="BD5" s="59"/>
      <c r="BE5" s="59"/>
      <c r="BF5" s="59"/>
      <c r="BG5" s="59"/>
      <c r="BH5" s="44"/>
      <c r="BI5" s="59"/>
      <c r="BJ5" s="59"/>
      <c r="BK5" s="225"/>
      <c r="BL5" s="59"/>
      <c r="BM5" s="96">
        <f t="shared" si="1"/>
        <v>0</v>
      </c>
      <c r="BN5" s="59">
        <v>0</v>
      </c>
      <c r="BO5" s="59">
        <v>0</v>
      </c>
      <c r="BP5" s="59">
        <v>0</v>
      </c>
      <c r="BQ5" s="59">
        <v>0</v>
      </c>
      <c r="BR5" s="44">
        <f t="shared" si="2"/>
        <v>0</v>
      </c>
      <c r="BS5" s="59">
        <v>0</v>
      </c>
    </row>
    <row r="6" spans="1:7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298"/>
      <c r="L6" s="205"/>
      <c r="M6" s="190"/>
      <c r="N6" s="59"/>
      <c r="O6" s="96"/>
      <c r="P6" s="59"/>
      <c r="Q6" s="59"/>
      <c r="R6" s="59"/>
      <c r="S6" s="59"/>
      <c r="T6" s="44"/>
      <c r="U6" s="59"/>
      <c r="V6" s="59"/>
      <c r="W6" s="192"/>
      <c r="X6" s="59"/>
      <c r="Y6" s="96"/>
      <c r="Z6" s="59"/>
      <c r="AA6" s="59"/>
      <c r="AB6" s="59"/>
      <c r="AC6" s="59"/>
      <c r="AD6" s="44"/>
      <c r="AE6" s="59"/>
      <c r="AF6" s="59"/>
      <c r="AG6" s="193"/>
      <c r="AH6" s="59"/>
      <c r="AI6" s="96"/>
      <c r="AJ6" s="59"/>
      <c r="AK6" s="59"/>
      <c r="AL6" s="59"/>
      <c r="AM6" s="59"/>
      <c r="AN6" s="44"/>
      <c r="AO6" s="59"/>
      <c r="AP6" s="59"/>
      <c r="AQ6" s="258"/>
      <c r="AR6" s="59"/>
      <c r="AS6" s="96"/>
      <c r="AT6" s="59"/>
      <c r="AU6" s="59"/>
      <c r="AV6" s="59"/>
      <c r="AW6" s="59"/>
      <c r="AX6" s="44"/>
      <c r="AY6" s="59"/>
      <c r="AZ6" s="59"/>
      <c r="BA6" s="187"/>
      <c r="BB6" s="59"/>
      <c r="BC6" s="96"/>
      <c r="BD6" s="59"/>
      <c r="BE6" s="59"/>
      <c r="BF6" s="59"/>
      <c r="BG6" s="59"/>
      <c r="BH6" s="44"/>
      <c r="BI6" s="59"/>
      <c r="BJ6" s="59"/>
      <c r="BK6" s="208"/>
      <c r="BL6" s="59"/>
      <c r="BM6" s="96">
        <f t="shared" si="1"/>
        <v>0</v>
      </c>
      <c r="BN6" s="59">
        <v>0</v>
      </c>
      <c r="BO6" s="59">
        <v>0</v>
      </c>
      <c r="BP6" s="59">
        <v>0</v>
      </c>
      <c r="BQ6" s="59">
        <v>0</v>
      </c>
      <c r="BR6" s="44">
        <f t="shared" si="2"/>
        <v>0</v>
      </c>
      <c r="BS6" s="59">
        <v>0</v>
      </c>
    </row>
    <row r="7" spans="1:7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298"/>
      <c r="L7" s="205"/>
      <c r="M7" s="190"/>
      <c r="N7" s="59"/>
      <c r="O7" s="96"/>
      <c r="P7" s="59"/>
      <c r="Q7" s="59"/>
      <c r="R7" s="59"/>
      <c r="S7" s="59"/>
      <c r="T7" s="44"/>
      <c r="U7" s="59"/>
      <c r="V7" s="59"/>
      <c r="W7" s="192"/>
      <c r="X7" s="59"/>
      <c r="Y7" s="96"/>
      <c r="Z7" s="59"/>
      <c r="AA7" s="59"/>
      <c r="AB7" s="59"/>
      <c r="AC7" s="59"/>
      <c r="AD7" s="44"/>
      <c r="AE7" s="59"/>
      <c r="AF7" s="59"/>
      <c r="AG7" s="193"/>
      <c r="AH7" s="59"/>
      <c r="AI7" s="96"/>
      <c r="AJ7" s="59"/>
      <c r="AK7" s="59"/>
      <c r="AL7" s="59"/>
      <c r="AM7" s="59"/>
      <c r="AN7" s="44"/>
      <c r="AO7" s="59"/>
      <c r="AP7" s="59"/>
      <c r="AQ7" s="258"/>
      <c r="AR7" s="59"/>
      <c r="AS7" s="96"/>
      <c r="AT7" s="59"/>
      <c r="AU7" s="59"/>
      <c r="AV7" s="59"/>
      <c r="AW7" s="59"/>
      <c r="AX7" s="44"/>
      <c r="AY7" s="59"/>
      <c r="AZ7" s="59"/>
      <c r="BA7" s="187"/>
      <c r="BB7" s="59"/>
      <c r="BC7" s="96"/>
      <c r="BD7" s="59"/>
      <c r="BE7" s="59"/>
      <c r="BF7" s="59"/>
      <c r="BG7" s="59"/>
      <c r="BH7" s="44"/>
      <c r="BI7" s="59"/>
      <c r="BJ7" s="59"/>
      <c r="BK7" s="208"/>
      <c r="BL7" s="59"/>
      <c r="BM7" s="96">
        <f t="shared" si="1"/>
        <v>0</v>
      </c>
      <c r="BN7" s="59">
        <v>0</v>
      </c>
      <c r="BO7" s="59">
        <v>0</v>
      </c>
      <c r="BP7" s="59">
        <v>0</v>
      </c>
      <c r="BQ7" s="59">
        <v>0</v>
      </c>
      <c r="BR7" s="44">
        <f t="shared" si="2"/>
        <v>0</v>
      </c>
      <c r="BS7" s="59">
        <v>0</v>
      </c>
    </row>
    <row r="8" spans="1:7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298"/>
      <c r="L8" s="205"/>
      <c r="M8" s="190"/>
      <c r="N8" s="59"/>
      <c r="O8" s="96"/>
      <c r="P8" s="59"/>
      <c r="Q8" s="59"/>
      <c r="R8" s="59"/>
      <c r="S8" s="59"/>
      <c r="T8" s="44"/>
      <c r="U8" s="59"/>
      <c r="V8" s="59"/>
      <c r="W8" s="192"/>
      <c r="X8" s="59"/>
      <c r="Y8" s="96"/>
      <c r="Z8" s="59"/>
      <c r="AA8" s="59"/>
      <c r="AB8" s="59"/>
      <c r="AC8" s="59"/>
      <c r="AD8" s="44"/>
      <c r="AE8" s="59"/>
      <c r="AF8" s="59"/>
      <c r="AG8" s="193"/>
      <c r="AH8" s="59"/>
      <c r="AI8" s="96"/>
      <c r="AJ8" s="59"/>
      <c r="AK8" s="59"/>
      <c r="AL8" s="59"/>
      <c r="AM8" s="59"/>
      <c r="AN8" s="44"/>
      <c r="AO8" s="59"/>
      <c r="AP8" s="59"/>
      <c r="AQ8" s="258"/>
      <c r="AR8" s="59"/>
      <c r="AS8" s="96"/>
      <c r="AT8" s="59"/>
      <c r="AU8" s="59"/>
      <c r="AV8" s="59"/>
      <c r="AW8" s="59"/>
      <c r="AX8" s="44"/>
      <c r="AY8" s="59"/>
      <c r="AZ8" s="59"/>
      <c r="BA8" s="187"/>
      <c r="BB8" s="59"/>
      <c r="BC8" s="96"/>
      <c r="BD8" s="59"/>
      <c r="BE8" s="59"/>
      <c r="BF8" s="59"/>
      <c r="BG8" s="59"/>
      <c r="BH8" s="44"/>
      <c r="BI8" s="59"/>
      <c r="BJ8" s="59"/>
      <c r="BK8" s="208"/>
      <c r="BL8" s="59"/>
      <c r="BM8" s="96">
        <f t="shared" si="1"/>
        <v>0</v>
      </c>
      <c r="BN8" s="59">
        <v>0</v>
      </c>
      <c r="BO8" s="59">
        <v>0</v>
      </c>
      <c r="BP8" s="59">
        <v>0</v>
      </c>
      <c r="BQ8" s="59">
        <v>0</v>
      </c>
      <c r="BR8" s="44">
        <f t="shared" si="2"/>
        <v>0</v>
      </c>
      <c r="BS8" s="59">
        <v>0</v>
      </c>
    </row>
    <row r="9" spans="1:7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298"/>
      <c r="L9" s="205"/>
      <c r="M9" s="190"/>
      <c r="N9" s="59"/>
      <c r="O9" s="96"/>
      <c r="P9" s="59"/>
      <c r="Q9" s="59"/>
      <c r="R9" s="59"/>
      <c r="S9" s="59"/>
      <c r="T9" s="44"/>
      <c r="U9" s="59"/>
      <c r="V9" s="59"/>
      <c r="W9" s="192"/>
      <c r="X9" s="59"/>
      <c r="Y9" s="96"/>
      <c r="Z9" s="59"/>
      <c r="AA9" s="59"/>
      <c r="AB9" s="59"/>
      <c r="AC9" s="59"/>
      <c r="AD9" s="44"/>
      <c r="AE9" s="59"/>
      <c r="AF9" s="59"/>
      <c r="AG9" s="193"/>
      <c r="AH9" s="59"/>
      <c r="AI9" s="96"/>
      <c r="AJ9" s="59"/>
      <c r="AK9" s="59"/>
      <c r="AL9" s="59"/>
      <c r="AM9" s="59"/>
      <c r="AN9" s="44"/>
      <c r="AO9" s="59"/>
      <c r="AP9" s="59"/>
      <c r="AQ9" s="258"/>
      <c r="AR9" s="59"/>
      <c r="AS9" s="96"/>
      <c r="AT9" s="59"/>
      <c r="AU9" s="59"/>
      <c r="AV9" s="59"/>
      <c r="AW9" s="59"/>
      <c r="AX9" s="44"/>
      <c r="AY9" s="59"/>
      <c r="AZ9" s="59"/>
      <c r="BA9" s="187"/>
      <c r="BB9" s="59"/>
      <c r="BC9" s="96"/>
      <c r="BD9" s="59"/>
      <c r="BE9" s="59"/>
      <c r="BF9" s="59"/>
      <c r="BG9" s="59"/>
      <c r="BH9" s="44"/>
      <c r="BI9" s="59"/>
      <c r="BJ9" s="59"/>
      <c r="BK9" s="208"/>
      <c r="BL9" s="59"/>
      <c r="BM9" s="96">
        <f t="shared" si="1"/>
        <v>0</v>
      </c>
      <c r="BN9" s="59">
        <v>0</v>
      </c>
      <c r="BO9" s="59">
        <v>0</v>
      </c>
      <c r="BP9" s="59">
        <v>0</v>
      </c>
      <c r="BQ9" s="59">
        <v>0</v>
      </c>
      <c r="BR9" s="44">
        <f t="shared" si="2"/>
        <v>0</v>
      </c>
      <c r="BS9" s="59">
        <v>0</v>
      </c>
    </row>
    <row r="10" spans="1:7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298"/>
      <c r="L10" s="205"/>
      <c r="M10" s="190"/>
      <c r="N10" s="59"/>
      <c r="O10" s="96"/>
      <c r="P10" s="59"/>
      <c r="Q10" s="59"/>
      <c r="R10" s="59"/>
      <c r="S10" s="59"/>
      <c r="T10" s="44"/>
      <c r="U10" s="59"/>
      <c r="V10" s="59"/>
      <c r="W10" s="192"/>
      <c r="X10" s="59"/>
      <c r="Y10" s="96"/>
      <c r="Z10" s="59"/>
      <c r="AA10" s="59"/>
      <c r="AB10" s="59"/>
      <c r="AC10" s="59"/>
      <c r="AD10" s="44"/>
      <c r="AE10" s="59"/>
      <c r="AF10" s="59"/>
      <c r="AG10" s="193"/>
      <c r="AH10" s="59"/>
      <c r="AI10" s="96"/>
      <c r="AJ10" s="59"/>
      <c r="AK10" s="59"/>
      <c r="AL10" s="59"/>
      <c r="AM10" s="59"/>
      <c r="AN10" s="44"/>
      <c r="AO10" s="59"/>
      <c r="AP10" s="59"/>
      <c r="AQ10" s="258"/>
      <c r="AR10" s="59"/>
      <c r="AS10" s="96"/>
      <c r="AT10" s="59"/>
      <c r="AU10" s="59"/>
      <c r="AV10" s="59"/>
      <c r="AW10" s="59"/>
      <c r="AX10" s="44"/>
      <c r="AY10" s="59"/>
      <c r="AZ10" s="59"/>
      <c r="BA10" s="187"/>
      <c r="BB10" s="59"/>
      <c r="BC10" s="96"/>
      <c r="BD10" s="59"/>
      <c r="BE10" s="59"/>
      <c r="BF10" s="59"/>
      <c r="BG10" s="59"/>
      <c r="BH10" s="44"/>
      <c r="BI10" s="59"/>
      <c r="BJ10" s="59"/>
      <c r="BK10" s="208"/>
      <c r="BL10" s="59"/>
      <c r="BM10" s="96">
        <f t="shared" si="1"/>
        <v>0</v>
      </c>
      <c r="BN10" s="59">
        <v>0</v>
      </c>
      <c r="BO10" s="59">
        <v>0</v>
      </c>
      <c r="BP10" s="59">
        <v>0</v>
      </c>
      <c r="BQ10" s="59">
        <v>0</v>
      </c>
      <c r="BR10" s="44">
        <f t="shared" si="2"/>
        <v>0</v>
      </c>
      <c r="BS10" s="59">
        <v>0</v>
      </c>
    </row>
    <row r="11" spans="1:7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298"/>
      <c r="L11" s="205"/>
      <c r="M11" s="190"/>
      <c r="N11" s="59"/>
      <c r="O11" s="96"/>
      <c r="P11" s="59"/>
      <c r="Q11" s="59"/>
      <c r="R11" s="59"/>
      <c r="S11" s="59"/>
      <c r="T11" s="44"/>
      <c r="U11" s="59"/>
      <c r="V11" s="59"/>
      <c r="W11" s="192"/>
      <c r="X11" s="59"/>
      <c r="Y11" s="96"/>
      <c r="Z11" s="59"/>
      <c r="AA11" s="59"/>
      <c r="AB11" s="59"/>
      <c r="AC11" s="59"/>
      <c r="AD11" s="44"/>
      <c r="AE11" s="59"/>
      <c r="AF11" s="59"/>
      <c r="AG11" s="193"/>
      <c r="AH11" s="59"/>
      <c r="AI11" s="96"/>
      <c r="AJ11" s="59"/>
      <c r="AK11" s="59"/>
      <c r="AL11" s="59"/>
      <c r="AM11" s="59"/>
      <c r="AN11" s="44"/>
      <c r="AO11" s="59"/>
      <c r="AP11" s="59"/>
      <c r="AQ11" s="258"/>
      <c r="AR11" s="59"/>
      <c r="AS11" s="96"/>
      <c r="AT11" s="59"/>
      <c r="AU11" s="59"/>
      <c r="AV11" s="59"/>
      <c r="AW11" s="59"/>
      <c r="AX11" s="44"/>
      <c r="AY11" s="59"/>
      <c r="AZ11" s="59"/>
      <c r="BA11" s="187"/>
      <c r="BB11" s="59"/>
      <c r="BC11" s="96"/>
      <c r="BD11" s="59"/>
      <c r="BE11" s="59"/>
      <c r="BF11" s="59"/>
      <c r="BG11" s="59"/>
      <c r="BH11" s="44"/>
      <c r="BI11" s="59"/>
      <c r="BJ11" s="59"/>
      <c r="BK11" s="208"/>
      <c r="BL11" s="59"/>
      <c r="BM11" s="96">
        <f t="shared" si="1"/>
        <v>0</v>
      </c>
      <c r="BN11" s="59">
        <v>0</v>
      </c>
      <c r="BO11" s="59">
        <v>0</v>
      </c>
      <c r="BP11" s="59">
        <v>0</v>
      </c>
      <c r="BQ11" s="59">
        <v>0</v>
      </c>
      <c r="BR11" s="44">
        <f t="shared" si="2"/>
        <v>0</v>
      </c>
      <c r="BS11" s="59">
        <v>0</v>
      </c>
    </row>
    <row r="12" spans="1:7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298"/>
      <c r="L12" s="205"/>
      <c r="M12" s="190"/>
      <c r="N12" s="59"/>
      <c r="O12" s="96"/>
      <c r="P12" s="59"/>
      <c r="Q12" s="59"/>
      <c r="R12" s="59"/>
      <c r="S12" s="59"/>
      <c r="T12" s="44"/>
      <c r="U12" s="59"/>
      <c r="V12" s="59"/>
      <c r="W12" s="192"/>
      <c r="X12" s="59"/>
      <c r="Y12" s="96"/>
      <c r="Z12" s="59"/>
      <c r="AA12" s="59"/>
      <c r="AB12" s="59"/>
      <c r="AC12" s="59"/>
      <c r="AD12" s="44"/>
      <c r="AE12" s="59"/>
      <c r="AF12" s="59"/>
      <c r="AG12" s="193"/>
      <c r="AH12" s="59"/>
      <c r="AI12" s="96"/>
      <c r="AJ12" s="59"/>
      <c r="AK12" s="59"/>
      <c r="AL12" s="59"/>
      <c r="AM12" s="59"/>
      <c r="AN12" s="44"/>
      <c r="AO12" s="59"/>
      <c r="AP12" s="59"/>
      <c r="AQ12" s="258"/>
      <c r="AR12" s="59"/>
      <c r="AS12" s="96"/>
      <c r="AT12" s="59"/>
      <c r="AU12" s="59"/>
      <c r="AV12" s="59"/>
      <c r="AW12" s="59"/>
      <c r="AX12" s="44"/>
      <c r="AY12" s="59"/>
      <c r="AZ12" s="59"/>
      <c r="BA12" s="187"/>
      <c r="BB12" s="59"/>
      <c r="BC12" s="96"/>
      <c r="BD12" s="59"/>
      <c r="BE12" s="59"/>
      <c r="BF12" s="59"/>
      <c r="BG12" s="59"/>
      <c r="BH12" s="44"/>
      <c r="BI12" s="59"/>
      <c r="BJ12" s="59"/>
      <c r="BK12" s="208"/>
      <c r="BL12" s="59"/>
      <c r="BM12" s="96">
        <f t="shared" si="1"/>
        <v>0</v>
      </c>
      <c r="BN12" s="59">
        <v>0</v>
      </c>
      <c r="BO12" s="59">
        <v>0</v>
      </c>
      <c r="BP12" s="59">
        <v>0</v>
      </c>
      <c r="BQ12" s="59">
        <v>0</v>
      </c>
      <c r="BR12" s="44">
        <f t="shared" si="2"/>
        <v>0</v>
      </c>
      <c r="BS12" s="59">
        <v>0</v>
      </c>
    </row>
    <row r="13" spans="1:7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298"/>
      <c r="L13" s="205"/>
      <c r="M13" s="190"/>
      <c r="N13" s="59"/>
      <c r="O13" s="96"/>
      <c r="P13" s="59"/>
      <c r="Q13" s="59"/>
      <c r="R13" s="59"/>
      <c r="S13" s="59"/>
      <c r="T13" s="44"/>
      <c r="U13" s="59"/>
      <c r="V13" s="59"/>
      <c r="W13" s="192"/>
      <c r="X13" s="59"/>
      <c r="Y13" s="96"/>
      <c r="Z13" s="59"/>
      <c r="AA13" s="59"/>
      <c r="AB13" s="59"/>
      <c r="AC13" s="59"/>
      <c r="AD13" s="44"/>
      <c r="AE13" s="59"/>
      <c r="AF13" s="59"/>
      <c r="AG13" s="193"/>
      <c r="AH13" s="59"/>
      <c r="AI13" s="96"/>
      <c r="AJ13" s="59"/>
      <c r="AK13" s="59"/>
      <c r="AL13" s="59"/>
      <c r="AM13" s="59"/>
      <c r="AN13" s="44"/>
      <c r="AO13" s="59"/>
      <c r="AP13" s="59"/>
      <c r="AQ13" s="258"/>
      <c r="AR13" s="59"/>
      <c r="AS13" s="96"/>
      <c r="AT13" s="59"/>
      <c r="AU13" s="59"/>
      <c r="AV13" s="59"/>
      <c r="AW13" s="59"/>
      <c r="AX13" s="44"/>
      <c r="AY13" s="59"/>
      <c r="AZ13" s="59"/>
      <c r="BA13" s="187"/>
      <c r="BB13" s="59"/>
      <c r="BC13" s="96"/>
      <c r="BD13" s="59"/>
      <c r="BE13" s="59"/>
      <c r="BF13" s="59"/>
      <c r="BG13" s="59"/>
      <c r="BH13" s="44"/>
      <c r="BI13" s="59"/>
      <c r="BJ13" s="59"/>
      <c r="BK13" s="208"/>
      <c r="BL13" s="59"/>
      <c r="BM13" s="96">
        <f t="shared" si="1"/>
        <v>0</v>
      </c>
      <c r="BN13" s="59">
        <v>0</v>
      </c>
      <c r="BO13" s="59">
        <v>0</v>
      </c>
      <c r="BP13" s="59">
        <v>0</v>
      </c>
      <c r="BQ13" s="59">
        <v>0</v>
      </c>
      <c r="BR13" s="44">
        <f t="shared" si="2"/>
        <v>0</v>
      </c>
      <c r="BS13" s="59">
        <v>0</v>
      </c>
    </row>
    <row r="14" spans="1:7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298"/>
      <c r="L14" s="205"/>
      <c r="M14" s="190"/>
      <c r="N14" s="59"/>
      <c r="O14" s="96"/>
      <c r="P14" s="59"/>
      <c r="Q14" s="59"/>
      <c r="R14" s="59"/>
      <c r="S14" s="59"/>
      <c r="T14" s="44"/>
      <c r="U14" s="59"/>
      <c r="V14" s="59"/>
      <c r="W14" s="192"/>
      <c r="X14" s="59"/>
      <c r="Y14" s="96"/>
      <c r="Z14" s="59"/>
      <c r="AA14" s="59"/>
      <c r="AB14" s="59"/>
      <c r="AC14" s="59"/>
      <c r="AD14" s="44"/>
      <c r="AE14" s="59"/>
      <c r="AF14" s="59"/>
      <c r="AG14" s="193"/>
      <c r="AH14" s="59"/>
      <c r="AI14" s="96"/>
      <c r="AJ14" s="59"/>
      <c r="AK14" s="59"/>
      <c r="AL14" s="59"/>
      <c r="AM14" s="59"/>
      <c r="AN14" s="44"/>
      <c r="AO14" s="59"/>
      <c r="AP14" s="59"/>
      <c r="AQ14" s="258"/>
      <c r="AR14" s="59"/>
      <c r="AS14" s="96"/>
      <c r="AT14" s="59"/>
      <c r="AU14" s="59"/>
      <c r="AV14" s="59"/>
      <c r="AW14" s="59"/>
      <c r="AX14" s="44"/>
      <c r="AY14" s="59"/>
      <c r="AZ14" s="59"/>
      <c r="BA14" s="187"/>
      <c r="BB14" s="59"/>
      <c r="BC14" s="96"/>
      <c r="BD14" s="59"/>
      <c r="BE14" s="59"/>
      <c r="BF14" s="59"/>
      <c r="BG14" s="59"/>
      <c r="BH14" s="44"/>
      <c r="BI14" s="59"/>
      <c r="BJ14" s="59"/>
      <c r="BK14" s="208"/>
      <c r="BL14" s="59"/>
      <c r="BM14" s="96">
        <f t="shared" si="1"/>
        <v>0</v>
      </c>
      <c r="BN14" s="59">
        <v>0</v>
      </c>
      <c r="BO14" s="59">
        <v>0</v>
      </c>
      <c r="BP14" s="59">
        <v>0</v>
      </c>
      <c r="BQ14" s="59">
        <v>0</v>
      </c>
      <c r="BR14" s="44">
        <f t="shared" si="2"/>
        <v>0</v>
      </c>
      <c r="BS14" s="59">
        <v>0</v>
      </c>
    </row>
    <row r="15" spans="1:7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298"/>
      <c r="L15" s="205"/>
      <c r="M15" s="190"/>
      <c r="N15" s="59"/>
      <c r="O15" s="96"/>
      <c r="P15" s="59"/>
      <c r="Q15" s="59"/>
      <c r="R15" s="59"/>
      <c r="S15" s="59"/>
      <c r="T15" s="44"/>
      <c r="U15" s="59"/>
      <c r="V15" s="59"/>
      <c r="W15" s="192"/>
      <c r="X15" s="59"/>
      <c r="Y15" s="96"/>
      <c r="Z15" s="59"/>
      <c r="AA15" s="59"/>
      <c r="AB15" s="59"/>
      <c r="AC15" s="59"/>
      <c r="AD15" s="44"/>
      <c r="AE15" s="59"/>
      <c r="AF15" s="59"/>
      <c r="AG15" s="193"/>
      <c r="AH15" s="59"/>
      <c r="AI15" s="96"/>
      <c r="AJ15" s="59"/>
      <c r="AK15" s="59"/>
      <c r="AL15" s="59"/>
      <c r="AM15" s="59"/>
      <c r="AN15" s="44"/>
      <c r="AO15" s="59"/>
      <c r="AP15" s="59"/>
      <c r="AQ15" s="258"/>
      <c r="AR15" s="59"/>
      <c r="AS15" s="96"/>
      <c r="AT15" s="59"/>
      <c r="AU15" s="59"/>
      <c r="AV15" s="59"/>
      <c r="AW15" s="59"/>
      <c r="AX15" s="44"/>
      <c r="AY15" s="59"/>
      <c r="AZ15" s="59"/>
      <c r="BA15" s="187"/>
      <c r="BB15" s="59"/>
      <c r="BC15" s="96"/>
      <c r="BD15" s="59"/>
      <c r="BE15" s="59"/>
      <c r="BF15" s="59"/>
      <c r="BG15" s="59"/>
      <c r="BH15" s="44"/>
      <c r="BI15" s="59"/>
      <c r="BJ15" s="59"/>
      <c r="BK15" s="208"/>
      <c r="BL15" s="59"/>
      <c r="BM15" s="96">
        <f t="shared" si="1"/>
        <v>0</v>
      </c>
      <c r="BN15" s="59">
        <v>0</v>
      </c>
      <c r="BO15" s="59">
        <v>0</v>
      </c>
      <c r="BP15" s="59">
        <v>0</v>
      </c>
      <c r="BQ15" s="59">
        <v>0</v>
      </c>
      <c r="BR15" s="44">
        <f t="shared" si="2"/>
        <v>0</v>
      </c>
      <c r="BS15" s="59">
        <v>0</v>
      </c>
    </row>
    <row r="16" spans="1:71" ht="26.25" hidden="1">
      <c r="A16" s="53">
        <v>2</v>
      </c>
      <c r="B16" s="56"/>
      <c r="C16" s="269">
        <v>1113090</v>
      </c>
      <c r="D16" s="242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5"/>
      <c r="M16" s="190"/>
      <c r="N16" s="59"/>
      <c r="O16" s="96"/>
      <c r="P16" s="59"/>
      <c r="Q16" s="59"/>
      <c r="R16" s="59"/>
      <c r="S16" s="59"/>
      <c r="T16" s="44"/>
      <c r="U16" s="59"/>
      <c r="V16" s="59"/>
      <c r="W16" s="250"/>
      <c r="X16" s="59"/>
      <c r="Y16" s="96"/>
      <c r="Z16" s="59"/>
      <c r="AA16" s="59"/>
      <c r="AB16" s="59"/>
      <c r="AC16" s="59"/>
      <c r="AD16" s="106"/>
      <c r="AE16" s="59"/>
      <c r="AF16" s="59"/>
      <c r="AG16" s="193"/>
      <c r="AH16" s="59"/>
      <c r="AI16" s="96"/>
      <c r="AJ16" s="59"/>
      <c r="AK16" s="59"/>
      <c r="AL16" s="59"/>
      <c r="AM16" s="59"/>
      <c r="AN16" s="44"/>
      <c r="AO16" s="59"/>
      <c r="AP16" s="59"/>
      <c r="AQ16" s="516"/>
      <c r="AR16" s="59"/>
      <c r="AS16" s="96"/>
      <c r="AT16" s="59"/>
      <c r="AU16" s="59"/>
      <c r="AV16" s="59"/>
      <c r="AW16" s="59"/>
      <c r="AX16" s="106"/>
      <c r="AY16" s="59"/>
      <c r="AZ16" s="59"/>
      <c r="BA16" s="187"/>
      <c r="BB16" s="59"/>
      <c r="BC16" s="96"/>
      <c r="BD16" s="59"/>
      <c r="BE16" s="59"/>
      <c r="BF16" s="59"/>
      <c r="BG16" s="59"/>
      <c r="BH16" s="44"/>
      <c r="BI16" s="59"/>
      <c r="BJ16" s="59"/>
      <c r="BK16" s="208"/>
      <c r="BL16" s="59"/>
      <c r="BM16" s="96">
        <f t="shared" si="1"/>
        <v>0</v>
      </c>
      <c r="BN16" s="59">
        <v>0</v>
      </c>
      <c r="BO16" s="59">
        <v>0</v>
      </c>
      <c r="BP16" s="59">
        <v>0</v>
      </c>
      <c r="BQ16" s="59">
        <v>0</v>
      </c>
      <c r="BR16" s="44">
        <f t="shared" si="2"/>
        <v>0</v>
      </c>
      <c r="BS16" s="59">
        <v>0</v>
      </c>
    </row>
    <row r="17" spans="1:71" ht="26.25" hidden="1">
      <c r="A17" s="53">
        <v>1</v>
      </c>
      <c r="B17" s="56"/>
      <c r="C17" s="275">
        <v>1113087</v>
      </c>
      <c r="D17" s="276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5"/>
      <c r="M17" s="190"/>
      <c r="N17" s="59"/>
      <c r="O17" s="96"/>
      <c r="P17" s="59"/>
      <c r="Q17" s="59"/>
      <c r="R17" s="59"/>
      <c r="S17" s="59"/>
      <c r="T17" s="44"/>
      <c r="U17" s="59"/>
      <c r="V17" s="59"/>
      <c r="W17" s="250"/>
      <c r="X17" s="59"/>
      <c r="Y17" s="96"/>
      <c r="Z17" s="59"/>
      <c r="AA17" s="59"/>
      <c r="AB17" s="59"/>
      <c r="AC17" s="59"/>
      <c r="AD17" s="106"/>
      <c r="AE17" s="59"/>
      <c r="AF17" s="59"/>
      <c r="AG17" s="193"/>
      <c r="AH17" s="59"/>
      <c r="AI17" s="96"/>
      <c r="AJ17" s="59"/>
      <c r="AK17" s="59"/>
      <c r="AL17" s="59"/>
      <c r="AM17" s="59"/>
      <c r="AN17" s="44"/>
      <c r="AO17" s="59"/>
      <c r="AP17" s="59"/>
      <c r="AQ17" s="516"/>
      <c r="AR17" s="59"/>
      <c r="AS17" s="96"/>
      <c r="AT17" s="59"/>
      <c r="AU17" s="59"/>
      <c r="AV17" s="59"/>
      <c r="AW17" s="59"/>
      <c r="AX17" s="106"/>
      <c r="AY17" s="59"/>
      <c r="AZ17" s="59"/>
      <c r="BA17" s="187"/>
      <c r="BB17" s="59"/>
      <c r="BC17" s="96"/>
      <c r="BD17" s="59"/>
      <c r="BE17" s="59"/>
      <c r="BF17" s="59"/>
      <c r="BG17" s="59"/>
      <c r="BH17" s="44"/>
      <c r="BI17" s="59"/>
      <c r="BJ17" s="59"/>
      <c r="BK17" s="208"/>
      <c r="BL17" s="59"/>
      <c r="BM17" s="96">
        <f t="shared" si="1"/>
        <v>0</v>
      </c>
      <c r="BN17" s="59">
        <v>0</v>
      </c>
      <c r="BO17" s="59">
        <v>0</v>
      </c>
      <c r="BP17" s="59">
        <v>0</v>
      </c>
      <c r="BQ17" s="59">
        <v>0</v>
      </c>
      <c r="BR17" s="44">
        <f t="shared" si="2"/>
        <v>0</v>
      </c>
      <c r="BS17" s="59">
        <v>0</v>
      </c>
    </row>
    <row r="18" spans="1:71" ht="26.25">
      <c r="A18" s="53">
        <v>1</v>
      </c>
      <c r="B18" s="56"/>
      <c r="C18" s="54">
        <v>20039044</v>
      </c>
      <c r="D18" s="57" t="s">
        <v>419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107"/>
      <c r="N18" s="59"/>
      <c r="O18" s="96"/>
      <c r="P18" s="59"/>
      <c r="Q18" s="59"/>
      <c r="R18" s="59"/>
      <c r="S18" s="105"/>
      <c r="T18" s="106"/>
      <c r="U18" s="59"/>
      <c r="V18" s="59"/>
      <c r="W18" s="108"/>
      <c r="X18" s="105"/>
      <c r="Y18" s="96"/>
      <c r="Z18" s="59"/>
      <c r="AA18" s="59"/>
      <c r="AB18" s="59"/>
      <c r="AC18" s="105"/>
      <c r="AD18" s="106"/>
      <c r="AE18" s="59"/>
      <c r="AF18" s="59"/>
      <c r="AG18" s="127"/>
      <c r="AH18" s="59"/>
      <c r="AI18" s="96"/>
      <c r="AJ18" s="59"/>
      <c r="AK18" s="59"/>
      <c r="AL18" s="59"/>
      <c r="AM18" s="105"/>
      <c r="AN18" s="106"/>
      <c r="AO18" s="59"/>
      <c r="AP18" s="59"/>
      <c r="AQ18" s="109"/>
      <c r="AR18" s="59"/>
      <c r="AS18" s="96"/>
      <c r="AT18" s="59"/>
      <c r="AU18" s="59"/>
      <c r="AV18" s="59"/>
      <c r="AW18" s="105"/>
      <c r="AX18" s="106"/>
      <c r="AY18" s="105"/>
      <c r="AZ18" s="59"/>
      <c r="BA18" s="110"/>
      <c r="BB18" s="59"/>
      <c r="BC18" s="96"/>
      <c r="BD18" s="59"/>
      <c r="BE18" s="59"/>
      <c r="BF18" s="59"/>
      <c r="BG18" s="105"/>
      <c r="BH18" s="106"/>
      <c r="BI18" s="59"/>
      <c r="BJ18" s="59"/>
      <c r="BK18" s="296"/>
      <c r="BL18" s="59"/>
      <c r="BM18" s="96">
        <f t="shared" si="1"/>
        <v>0</v>
      </c>
      <c r="BN18" s="59">
        <v>0</v>
      </c>
      <c r="BO18" s="59">
        <v>0</v>
      </c>
      <c r="BP18" s="59">
        <v>0</v>
      </c>
      <c r="BQ18" s="105">
        <v>0</v>
      </c>
      <c r="BR18" s="44">
        <f t="shared" si="2"/>
        <v>0</v>
      </c>
      <c r="BS18" s="59">
        <v>0</v>
      </c>
    </row>
    <row r="19" spans="1:7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298"/>
      <c r="L19" s="205"/>
      <c r="M19" s="190"/>
      <c r="N19" s="59"/>
      <c r="O19" s="96"/>
      <c r="P19" s="59"/>
      <c r="Q19" s="59"/>
      <c r="R19" s="59"/>
      <c r="S19" s="59"/>
      <c r="T19" s="44"/>
      <c r="U19" s="59"/>
      <c r="V19" s="59"/>
      <c r="W19" s="192"/>
      <c r="X19" s="59"/>
      <c r="Y19" s="96"/>
      <c r="Z19" s="59"/>
      <c r="AA19" s="59"/>
      <c r="AB19" s="59"/>
      <c r="AC19" s="59"/>
      <c r="AD19" s="44"/>
      <c r="AE19" s="59"/>
      <c r="AF19" s="59"/>
      <c r="AG19" s="193"/>
      <c r="AH19" s="59"/>
      <c r="AI19" s="96"/>
      <c r="AJ19" s="59"/>
      <c r="AK19" s="59"/>
      <c r="AL19" s="59"/>
      <c r="AM19" s="59"/>
      <c r="AN19" s="44"/>
      <c r="AO19" s="59"/>
      <c r="AP19" s="59"/>
      <c r="AQ19" s="258"/>
      <c r="AR19" s="59"/>
      <c r="AS19" s="96"/>
      <c r="AT19" s="59"/>
      <c r="AU19" s="59"/>
      <c r="AV19" s="59"/>
      <c r="AW19" s="59"/>
      <c r="AX19" s="44"/>
      <c r="AY19" s="59"/>
      <c r="AZ19" s="59"/>
      <c r="BA19" s="187"/>
      <c r="BB19" s="59"/>
      <c r="BC19" s="96"/>
      <c r="BD19" s="59"/>
      <c r="BE19" s="59"/>
      <c r="BF19" s="59"/>
      <c r="BG19" s="59"/>
      <c r="BH19" s="44"/>
      <c r="BI19" s="59"/>
      <c r="BJ19" s="59"/>
      <c r="BK19" s="208"/>
      <c r="BL19" s="59"/>
      <c r="BM19" s="96">
        <f t="shared" si="1"/>
        <v>0</v>
      </c>
      <c r="BN19" s="59">
        <v>0</v>
      </c>
      <c r="BO19" s="59">
        <v>0</v>
      </c>
      <c r="BP19" s="59">
        <v>0</v>
      </c>
      <c r="BQ19" s="59">
        <v>0</v>
      </c>
      <c r="BR19" s="44">
        <f t="shared" si="2"/>
        <v>0</v>
      </c>
      <c r="BS19" s="59">
        <v>0</v>
      </c>
    </row>
    <row r="20" spans="1:71" ht="26.25" hidden="1">
      <c r="A20" s="53">
        <v>13</v>
      </c>
      <c r="B20" s="56"/>
      <c r="C20" s="54">
        <v>1113059</v>
      </c>
      <c r="D20" s="57" t="s">
        <v>182</v>
      </c>
      <c r="E20" s="269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298"/>
      <c r="L20" s="191"/>
      <c r="M20" s="190"/>
      <c r="N20" s="59"/>
      <c r="O20" s="96"/>
      <c r="P20" s="59"/>
      <c r="Q20" s="59"/>
      <c r="R20" s="59"/>
      <c r="S20" s="59"/>
      <c r="T20" s="44"/>
      <c r="U20" s="59"/>
      <c r="V20" s="59"/>
      <c r="W20" s="192"/>
      <c r="X20" s="59"/>
      <c r="Y20" s="96"/>
      <c r="Z20" s="59"/>
      <c r="AA20" s="59"/>
      <c r="AB20" s="59"/>
      <c r="AC20" s="59"/>
      <c r="AD20" s="44"/>
      <c r="AE20" s="59"/>
      <c r="AF20" s="59"/>
      <c r="AG20" s="193"/>
      <c r="AH20" s="59"/>
      <c r="AI20" s="96"/>
      <c r="AJ20" s="59"/>
      <c r="AK20" s="59"/>
      <c r="AL20" s="59"/>
      <c r="AM20" s="59"/>
      <c r="AN20" s="44"/>
      <c r="AO20" s="59"/>
      <c r="AP20" s="59"/>
      <c r="AQ20" s="181"/>
      <c r="AR20" s="59"/>
      <c r="AS20" s="96"/>
      <c r="AT20" s="59"/>
      <c r="AU20" s="59"/>
      <c r="AV20" s="59"/>
      <c r="AW20" s="59"/>
      <c r="AX20" s="44"/>
      <c r="AY20" s="59"/>
      <c r="AZ20" s="59"/>
      <c r="BA20" s="187"/>
      <c r="BB20" s="59"/>
      <c r="BC20" s="96"/>
      <c r="BD20" s="59"/>
      <c r="BE20" s="59"/>
      <c r="BF20" s="59"/>
      <c r="BG20" s="59"/>
      <c r="BH20" s="44"/>
      <c r="BI20" s="59"/>
      <c r="BJ20" s="59"/>
      <c r="BK20" s="208"/>
      <c r="BL20" s="59"/>
      <c r="BM20" s="96">
        <f t="shared" si="1"/>
        <v>0</v>
      </c>
      <c r="BN20" s="59">
        <v>0</v>
      </c>
      <c r="BO20" s="59">
        <v>0</v>
      </c>
      <c r="BP20" s="59">
        <v>0</v>
      </c>
      <c r="BQ20" s="59">
        <v>0</v>
      </c>
      <c r="BR20" s="44">
        <f t="shared" si="2"/>
        <v>0</v>
      </c>
      <c r="BS20" s="59">
        <v>0</v>
      </c>
    </row>
    <row r="21" spans="1:71" ht="26.25" hidden="1">
      <c r="A21" s="53">
        <v>14</v>
      </c>
      <c r="B21" s="56"/>
      <c r="C21" s="54">
        <v>1005977</v>
      </c>
      <c r="D21" s="57" t="s">
        <v>189</v>
      </c>
      <c r="E21" s="269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298"/>
      <c r="L21" s="205"/>
      <c r="M21" s="190"/>
      <c r="N21" s="59"/>
      <c r="O21" s="96"/>
      <c r="P21" s="59"/>
      <c r="Q21" s="59"/>
      <c r="R21" s="59"/>
      <c r="S21" s="59"/>
      <c r="T21" s="44"/>
      <c r="U21" s="59"/>
      <c r="V21" s="59"/>
      <c r="W21" s="192"/>
      <c r="X21" s="59"/>
      <c r="Y21" s="96"/>
      <c r="Z21" s="59"/>
      <c r="AA21" s="59"/>
      <c r="AB21" s="59"/>
      <c r="AC21" s="59"/>
      <c r="AD21" s="44"/>
      <c r="AE21" s="59"/>
      <c r="AF21" s="59"/>
      <c r="AG21" s="193"/>
      <c r="AH21" s="59"/>
      <c r="AI21" s="96"/>
      <c r="AJ21" s="59"/>
      <c r="AK21" s="59"/>
      <c r="AL21" s="59"/>
      <c r="AM21" s="59"/>
      <c r="AN21" s="44"/>
      <c r="AO21" s="59"/>
      <c r="AP21" s="59"/>
      <c r="AQ21" s="258"/>
      <c r="AR21" s="59"/>
      <c r="AS21" s="96"/>
      <c r="AT21" s="59"/>
      <c r="AU21" s="59"/>
      <c r="AV21" s="59"/>
      <c r="AW21" s="59"/>
      <c r="AX21" s="44"/>
      <c r="AY21" s="59"/>
      <c r="AZ21" s="59"/>
      <c r="BA21" s="187"/>
      <c r="BB21" s="59"/>
      <c r="BC21" s="96"/>
      <c r="BD21" s="59"/>
      <c r="BE21" s="59"/>
      <c r="BF21" s="59"/>
      <c r="BG21" s="59"/>
      <c r="BH21" s="44"/>
      <c r="BI21" s="59"/>
      <c r="BJ21" s="59"/>
      <c r="BK21" s="208"/>
      <c r="BL21" s="59"/>
      <c r="BM21" s="96">
        <f t="shared" si="1"/>
        <v>0</v>
      </c>
      <c r="BN21" s="59">
        <v>0</v>
      </c>
      <c r="BO21" s="59">
        <v>0</v>
      </c>
      <c r="BP21" s="59">
        <v>0</v>
      </c>
      <c r="BQ21" s="59">
        <v>0</v>
      </c>
      <c r="BR21" s="44">
        <f t="shared" si="2"/>
        <v>0</v>
      </c>
      <c r="BS21" s="59">
        <v>0</v>
      </c>
    </row>
    <row r="22" spans="1:71" ht="26.25" hidden="1">
      <c r="A22" s="53">
        <v>15</v>
      </c>
      <c r="B22" s="56"/>
      <c r="C22" s="269">
        <v>1113088</v>
      </c>
      <c r="D22" s="242" t="s">
        <v>407</v>
      </c>
      <c r="E22" s="269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298"/>
      <c r="L22" s="191"/>
      <c r="M22" s="190"/>
      <c r="N22" s="59"/>
      <c r="O22" s="96"/>
      <c r="P22" s="59"/>
      <c r="Q22" s="59"/>
      <c r="R22" s="59"/>
      <c r="S22" s="59"/>
      <c r="T22" s="44"/>
      <c r="U22" s="59"/>
      <c r="V22" s="59"/>
      <c r="W22" s="192"/>
      <c r="X22" s="59"/>
      <c r="Y22" s="96"/>
      <c r="Z22" s="59"/>
      <c r="AA22" s="59"/>
      <c r="AB22" s="59"/>
      <c r="AC22" s="59"/>
      <c r="AD22" s="44"/>
      <c r="AE22" s="59"/>
      <c r="AF22" s="59"/>
      <c r="AG22" s="193"/>
      <c r="AH22" s="59"/>
      <c r="AI22" s="96"/>
      <c r="AJ22" s="59"/>
      <c r="AK22" s="59"/>
      <c r="AL22" s="59"/>
      <c r="AM22" s="59"/>
      <c r="AN22" s="44"/>
      <c r="AO22" s="59"/>
      <c r="AP22" s="59"/>
      <c r="AQ22" s="181"/>
      <c r="AR22" s="59"/>
      <c r="AS22" s="96"/>
      <c r="AT22" s="59"/>
      <c r="AU22" s="59"/>
      <c r="AV22" s="59"/>
      <c r="AW22" s="59"/>
      <c r="AX22" s="44"/>
      <c r="AY22" s="59"/>
      <c r="AZ22" s="59"/>
      <c r="BA22" s="187"/>
      <c r="BB22" s="59"/>
      <c r="BC22" s="96"/>
      <c r="BD22" s="59"/>
      <c r="BE22" s="59"/>
      <c r="BF22" s="59"/>
      <c r="BG22" s="59"/>
      <c r="BH22" s="44"/>
      <c r="BI22" s="59"/>
      <c r="BJ22" s="59"/>
      <c r="BK22" s="208"/>
      <c r="BL22" s="59"/>
      <c r="BM22" s="96">
        <f t="shared" si="1"/>
        <v>0</v>
      </c>
      <c r="BN22" s="59">
        <v>0</v>
      </c>
      <c r="BO22" s="59">
        <v>0</v>
      </c>
      <c r="BP22" s="59">
        <v>0</v>
      </c>
      <c r="BQ22" s="59">
        <v>0</v>
      </c>
      <c r="BR22" s="44">
        <f t="shared" si="2"/>
        <v>0</v>
      </c>
      <c r="BS22" s="59">
        <v>0</v>
      </c>
    </row>
    <row r="23" spans="1:71" ht="26.25" hidden="1">
      <c r="A23" s="53">
        <v>4</v>
      </c>
      <c r="B23" s="56"/>
      <c r="C23" s="269">
        <v>1113089</v>
      </c>
      <c r="D23" s="242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5"/>
      <c r="M23" s="190"/>
      <c r="N23" s="59"/>
      <c r="O23" s="96"/>
      <c r="P23" s="59"/>
      <c r="Q23" s="59"/>
      <c r="R23" s="59"/>
      <c r="S23" s="59"/>
      <c r="T23" s="44"/>
      <c r="U23" s="59"/>
      <c r="V23" s="59"/>
      <c r="W23" s="250"/>
      <c r="X23" s="59"/>
      <c r="Y23" s="96"/>
      <c r="Z23" s="59"/>
      <c r="AA23" s="59"/>
      <c r="AB23" s="59"/>
      <c r="AC23" s="59"/>
      <c r="AD23" s="106"/>
      <c r="AE23" s="59"/>
      <c r="AF23" s="59"/>
      <c r="AG23" s="193"/>
      <c r="AH23" s="59"/>
      <c r="AI23" s="96"/>
      <c r="AJ23" s="59"/>
      <c r="AK23" s="59"/>
      <c r="AL23" s="59"/>
      <c r="AM23" s="59"/>
      <c r="AN23" s="44"/>
      <c r="AO23" s="59"/>
      <c r="AP23" s="59"/>
      <c r="AQ23" s="516"/>
      <c r="AR23" s="59"/>
      <c r="AS23" s="96"/>
      <c r="AT23" s="59"/>
      <c r="AU23" s="59"/>
      <c r="AV23" s="59"/>
      <c r="AW23" s="59"/>
      <c r="AX23" s="106"/>
      <c r="AY23" s="59"/>
      <c r="AZ23" s="59"/>
      <c r="BA23" s="187"/>
      <c r="BB23" s="59"/>
      <c r="BC23" s="96"/>
      <c r="BD23" s="59"/>
      <c r="BE23" s="59"/>
      <c r="BF23" s="59"/>
      <c r="BG23" s="59"/>
      <c r="BH23" s="44"/>
      <c r="BI23" s="59"/>
      <c r="BJ23" s="59"/>
      <c r="BK23" s="208"/>
      <c r="BL23" s="59"/>
      <c r="BM23" s="96">
        <f t="shared" si="1"/>
        <v>0</v>
      </c>
      <c r="BN23" s="59">
        <v>0</v>
      </c>
      <c r="BO23" s="59">
        <v>0</v>
      </c>
      <c r="BP23" s="59">
        <v>0</v>
      </c>
      <c r="BQ23" s="59">
        <v>0</v>
      </c>
      <c r="BR23" s="44">
        <f t="shared" si="2"/>
        <v>0</v>
      </c>
      <c r="BS23" s="59">
        <v>0</v>
      </c>
    </row>
    <row r="24" spans="1:71" ht="26.25" hidden="1">
      <c r="A24" s="53">
        <v>16</v>
      </c>
      <c r="B24" s="56"/>
      <c r="C24" s="275">
        <v>1113093</v>
      </c>
      <c r="D24" s="276" t="s">
        <v>196</v>
      </c>
      <c r="E24" s="28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298"/>
      <c r="L24" s="195"/>
      <c r="M24" s="190"/>
      <c r="N24" s="59"/>
      <c r="O24" s="96"/>
      <c r="P24" s="59"/>
      <c r="Q24" s="59"/>
      <c r="R24" s="59"/>
      <c r="S24" s="105"/>
      <c r="T24" s="44"/>
      <c r="U24" s="59"/>
      <c r="V24" s="59"/>
      <c r="W24" s="192"/>
      <c r="X24" s="105"/>
      <c r="Y24" s="96"/>
      <c r="Z24" s="59"/>
      <c r="AA24" s="59"/>
      <c r="AB24" s="59"/>
      <c r="AC24" s="105"/>
      <c r="AD24" s="44"/>
      <c r="AE24" s="59"/>
      <c r="AF24" s="59"/>
      <c r="AG24" s="193"/>
      <c r="AH24" s="59"/>
      <c r="AI24" s="96"/>
      <c r="AJ24" s="59"/>
      <c r="AK24" s="59"/>
      <c r="AL24" s="59"/>
      <c r="AM24" s="105"/>
      <c r="AN24" s="44"/>
      <c r="AO24" s="59"/>
      <c r="AP24" s="59"/>
      <c r="AQ24" s="258"/>
      <c r="AR24" s="59"/>
      <c r="AS24" s="96"/>
      <c r="AT24" s="59"/>
      <c r="AU24" s="59"/>
      <c r="AV24" s="59"/>
      <c r="AW24" s="105"/>
      <c r="AX24" s="44"/>
      <c r="AY24" s="105"/>
      <c r="AZ24" s="59"/>
      <c r="BA24" s="187"/>
      <c r="BB24" s="59"/>
      <c r="BC24" s="96"/>
      <c r="BD24" s="59"/>
      <c r="BE24" s="59"/>
      <c r="BF24" s="59"/>
      <c r="BG24" s="105"/>
      <c r="BH24" s="44"/>
      <c r="BI24" s="59"/>
      <c r="BJ24" s="59"/>
      <c r="BK24" s="208"/>
      <c r="BL24" s="59"/>
      <c r="BM24" s="96">
        <f t="shared" si="1"/>
        <v>0</v>
      </c>
      <c r="BN24" s="59">
        <v>0</v>
      </c>
      <c r="BO24" s="59">
        <v>0</v>
      </c>
      <c r="BP24" s="59">
        <v>0</v>
      </c>
      <c r="BQ24" s="105">
        <v>0</v>
      </c>
      <c r="BR24" s="44">
        <f t="shared" si="2"/>
        <v>0</v>
      </c>
      <c r="BS24" s="59">
        <v>0</v>
      </c>
    </row>
    <row r="25" spans="1:71" ht="26.25">
      <c r="A25" s="53">
        <v>2</v>
      </c>
      <c r="B25" s="56"/>
      <c r="C25" s="54">
        <v>20039963</v>
      </c>
      <c r="D25" s="57" t="s">
        <v>433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107"/>
      <c r="N25" s="59"/>
      <c r="O25" s="96"/>
      <c r="P25" s="59"/>
      <c r="Q25" s="59"/>
      <c r="R25" s="59"/>
      <c r="S25" s="59"/>
      <c r="T25" s="106"/>
      <c r="U25" s="59"/>
      <c r="V25" s="59"/>
      <c r="W25" s="108"/>
      <c r="X25" s="59"/>
      <c r="Y25" s="96"/>
      <c r="Z25" s="59"/>
      <c r="AA25" s="59"/>
      <c r="AB25" s="59"/>
      <c r="AC25" s="59"/>
      <c r="AD25" s="106"/>
      <c r="AE25" s="59"/>
      <c r="AF25" s="59"/>
      <c r="AG25" s="127"/>
      <c r="AH25" s="59"/>
      <c r="AI25" s="96"/>
      <c r="AJ25" s="59"/>
      <c r="AK25" s="59"/>
      <c r="AL25" s="59"/>
      <c r="AM25" s="59"/>
      <c r="AN25" s="106"/>
      <c r="AO25" s="59"/>
      <c r="AP25" s="59"/>
      <c r="AQ25" s="109"/>
      <c r="AR25" s="59"/>
      <c r="AS25" s="96"/>
      <c r="AT25" s="59"/>
      <c r="AU25" s="59"/>
      <c r="AV25" s="59"/>
      <c r="AW25" s="59"/>
      <c r="AX25" s="106"/>
      <c r="AY25" s="59"/>
      <c r="AZ25" s="59"/>
      <c r="BA25" s="110"/>
      <c r="BB25" s="59"/>
      <c r="BC25" s="96"/>
      <c r="BD25" s="59"/>
      <c r="BE25" s="59"/>
      <c r="BF25" s="59"/>
      <c r="BG25" s="59"/>
      <c r="BH25" s="106"/>
      <c r="BI25" s="59"/>
      <c r="BJ25" s="59"/>
      <c r="BK25" s="296"/>
      <c r="BL25" s="59"/>
      <c r="BM25" s="96">
        <f t="shared" si="1"/>
        <v>0</v>
      </c>
      <c r="BN25" s="59">
        <v>0</v>
      </c>
      <c r="BO25" s="59">
        <v>0</v>
      </c>
      <c r="BP25" s="59">
        <v>0</v>
      </c>
      <c r="BQ25" s="59">
        <v>0</v>
      </c>
      <c r="BR25" s="44">
        <f t="shared" si="2"/>
        <v>0</v>
      </c>
      <c r="BS25" s="59">
        <v>0</v>
      </c>
    </row>
    <row r="26" spans="1:71" ht="26.25" hidden="1">
      <c r="A26" s="53">
        <v>17</v>
      </c>
      <c r="B26" s="56"/>
      <c r="C26" s="269">
        <v>1113087</v>
      </c>
      <c r="D26" s="242" t="s">
        <v>411</v>
      </c>
      <c r="E26" s="284" t="s">
        <v>27</v>
      </c>
      <c r="F26" s="54"/>
      <c r="G26" s="44"/>
      <c r="H26" s="58"/>
      <c r="I26" s="63">
        <f t="shared" si="0"/>
        <v>0</v>
      </c>
      <c r="J26" s="58"/>
      <c r="K26" s="298"/>
      <c r="L26" s="195"/>
      <c r="M26" s="190"/>
      <c r="N26" s="59"/>
      <c r="O26" s="96"/>
      <c r="P26" s="105"/>
      <c r="Q26" s="59"/>
      <c r="R26" s="59"/>
      <c r="S26" s="105"/>
      <c r="T26" s="44"/>
      <c r="U26" s="59"/>
      <c r="V26" s="59"/>
      <c r="W26" s="192"/>
      <c r="X26" s="105"/>
      <c r="Y26" s="96"/>
      <c r="Z26" s="105"/>
      <c r="AA26" s="59"/>
      <c r="AB26" s="59"/>
      <c r="AC26" s="105"/>
      <c r="AD26" s="44"/>
      <c r="AE26" s="59"/>
      <c r="AF26" s="59"/>
      <c r="AG26" s="256"/>
      <c r="AH26" s="59"/>
      <c r="AI26" s="96"/>
      <c r="AJ26" s="105"/>
      <c r="AK26" s="59"/>
      <c r="AL26" s="59"/>
      <c r="AM26" s="105"/>
      <c r="AN26" s="106"/>
      <c r="AO26" s="59"/>
      <c r="AP26" s="59"/>
      <c r="AQ26" s="258"/>
      <c r="AR26" s="59"/>
      <c r="AS26" s="96"/>
      <c r="AT26" s="105"/>
      <c r="AU26" s="59"/>
      <c r="AV26" s="59"/>
      <c r="AW26" s="105"/>
      <c r="AX26" s="44"/>
      <c r="AY26" s="105"/>
      <c r="AZ26" s="59"/>
      <c r="BA26" s="187"/>
      <c r="BB26" s="105"/>
      <c r="BC26" s="96"/>
      <c r="BD26" s="105"/>
      <c r="BE26" s="59"/>
      <c r="BF26" s="59"/>
      <c r="BG26" s="105"/>
      <c r="BH26" s="44"/>
      <c r="BI26" s="59"/>
      <c r="BJ26" s="59"/>
      <c r="BK26" s="208"/>
      <c r="BL26" s="59"/>
      <c r="BM26" s="96"/>
      <c r="BN26" s="105"/>
      <c r="BO26" s="59"/>
      <c r="BP26" s="59"/>
      <c r="BQ26" s="105"/>
      <c r="BR26" s="44"/>
      <c r="BS26" s="59"/>
    </row>
    <row r="27" spans="1:71" ht="26.25" hidden="1">
      <c r="A27" s="53">
        <v>18</v>
      </c>
      <c r="B27" s="56"/>
      <c r="C27" s="54">
        <v>1005982</v>
      </c>
      <c r="D27" s="57" t="s">
        <v>199</v>
      </c>
      <c r="E27" s="269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298"/>
      <c r="L27" s="205"/>
      <c r="M27" s="190"/>
      <c r="N27" s="59"/>
      <c r="O27" s="96"/>
      <c r="P27" s="59"/>
      <c r="Q27" s="59"/>
      <c r="R27" s="59"/>
      <c r="S27" s="59"/>
      <c r="T27" s="44"/>
      <c r="U27" s="59"/>
      <c r="V27" s="59"/>
      <c r="W27" s="192"/>
      <c r="X27" s="59"/>
      <c r="Y27" s="96"/>
      <c r="Z27" s="59"/>
      <c r="AA27" s="59"/>
      <c r="AB27" s="59"/>
      <c r="AC27" s="59"/>
      <c r="AD27" s="44"/>
      <c r="AE27" s="59"/>
      <c r="AF27" s="59"/>
      <c r="AG27" s="193"/>
      <c r="AH27" s="59"/>
      <c r="AI27" s="96"/>
      <c r="AJ27" s="59"/>
      <c r="AK27" s="59"/>
      <c r="AL27" s="59"/>
      <c r="AM27" s="59"/>
      <c r="AN27" s="44"/>
      <c r="AO27" s="59"/>
      <c r="AP27" s="59"/>
      <c r="AQ27" s="258"/>
      <c r="AR27" s="59"/>
      <c r="AS27" s="96"/>
      <c r="AT27" s="59"/>
      <c r="AU27" s="59"/>
      <c r="AV27" s="59"/>
      <c r="AW27" s="59"/>
      <c r="AX27" s="44"/>
      <c r="AY27" s="59"/>
      <c r="AZ27" s="59"/>
      <c r="BA27" s="187"/>
      <c r="BB27" s="59"/>
      <c r="BC27" s="96"/>
      <c r="BD27" s="59"/>
      <c r="BE27" s="59"/>
      <c r="BF27" s="59"/>
      <c r="BG27" s="59"/>
      <c r="BH27" s="44"/>
      <c r="BI27" s="59"/>
      <c r="BJ27" s="59"/>
      <c r="BK27" s="208"/>
      <c r="BL27" s="59"/>
      <c r="BM27" s="96">
        <f t="shared" si="1"/>
        <v>0</v>
      </c>
      <c r="BN27" s="59">
        <v>0</v>
      </c>
      <c r="BO27" s="59">
        <v>0</v>
      </c>
      <c r="BP27" s="59">
        <v>0</v>
      </c>
      <c r="BQ27" s="59">
        <v>0</v>
      </c>
      <c r="BR27" s="44">
        <f t="shared" si="2"/>
        <v>0</v>
      </c>
      <c r="BS27" s="59">
        <v>0</v>
      </c>
    </row>
    <row r="28" spans="1:71" ht="26.25" hidden="1">
      <c r="A28" s="53">
        <v>5</v>
      </c>
      <c r="B28" s="56"/>
      <c r="C28" s="269">
        <v>1113086</v>
      </c>
      <c r="D28" s="242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5"/>
      <c r="M28" s="190"/>
      <c r="N28" s="59"/>
      <c r="O28" s="96"/>
      <c r="P28" s="59"/>
      <c r="Q28" s="59"/>
      <c r="R28" s="59"/>
      <c r="S28" s="59"/>
      <c r="T28" s="44"/>
      <c r="U28" s="59"/>
      <c r="V28" s="59"/>
      <c r="W28" s="249"/>
      <c r="X28" s="59"/>
      <c r="Y28" s="96"/>
      <c r="Z28" s="59"/>
      <c r="AA28" s="59"/>
      <c r="AB28" s="59"/>
      <c r="AC28" s="59"/>
      <c r="AD28" s="44"/>
      <c r="AE28" s="59"/>
      <c r="AF28" s="59"/>
      <c r="AG28" s="193"/>
      <c r="AH28" s="59"/>
      <c r="AI28" s="96"/>
      <c r="AJ28" s="59"/>
      <c r="AK28" s="59"/>
      <c r="AL28" s="59"/>
      <c r="AM28" s="59"/>
      <c r="AN28" s="44"/>
      <c r="AO28" s="59"/>
      <c r="AP28" s="59"/>
      <c r="AQ28" s="515"/>
      <c r="AR28" s="59"/>
      <c r="AS28" s="96"/>
      <c r="AT28" s="59"/>
      <c r="AU28" s="59"/>
      <c r="AV28" s="59"/>
      <c r="AW28" s="59"/>
      <c r="AX28" s="44"/>
      <c r="AY28" s="59"/>
      <c r="AZ28" s="59"/>
      <c r="BA28" s="187"/>
      <c r="BB28" s="59"/>
      <c r="BC28" s="96"/>
      <c r="BD28" s="59"/>
      <c r="BE28" s="59"/>
      <c r="BF28" s="59"/>
      <c r="BG28" s="59"/>
      <c r="BH28" s="44"/>
      <c r="BI28" s="59"/>
      <c r="BJ28" s="59"/>
      <c r="BK28" s="208"/>
      <c r="BL28" s="59"/>
      <c r="BM28" s="96">
        <f t="shared" si="1"/>
        <v>0</v>
      </c>
      <c r="BN28" s="59">
        <v>0</v>
      </c>
      <c r="BO28" s="59">
        <v>0</v>
      </c>
      <c r="BP28" s="59">
        <v>0</v>
      </c>
      <c r="BQ28" s="59">
        <v>0</v>
      </c>
      <c r="BR28" s="44">
        <f t="shared" si="2"/>
        <v>0</v>
      </c>
      <c r="BS28" s="59">
        <v>0</v>
      </c>
    </row>
    <row r="29" spans="1:71" ht="26.25" hidden="1">
      <c r="A29" s="168">
        <v>1</v>
      </c>
      <c r="B29" s="170"/>
      <c r="C29" s="169">
        <v>1005985</v>
      </c>
      <c r="D29" s="262" t="s">
        <v>202</v>
      </c>
      <c r="E29" s="169" t="s">
        <v>203</v>
      </c>
      <c r="F29" s="169"/>
      <c r="G29" s="183"/>
      <c r="H29" s="184">
        <v>0</v>
      </c>
      <c r="I29" s="215">
        <f t="shared" si="0"/>
        <v>0</v>
      </c>
      <c r="J29" s="184">
        <v>0</v>
      </c>
      <c r="K29" s="299"/>
      <c r="L29" s="201"/>
      <c r="M29" s="202"/>
      <c r="N29" s="219"/>
      <c r="O29" s="96"/>
      <c r="P29" s="59"/>
      <c r="Q29" s="59"/>
      <c r="R29" s="59"/>
      <c r="S29" s="59"/>
      <c r="T29" s="44"/>
      <c r="U29" s="59"/>
      <c r="V29" s="59"/>
      <c r="W29" s="248"/>
      <c r="X29" s="219"/>
      <c r="Y29" s="96"/>
      <c r="Z29" s="59"/>
      <c r="AA29" s="59"/>
      <c r="AB29" s="59"/>
      <c r="AC29" s="59"/>
      <c r="AD29" s="44"/>
      <c r="AE29" s="59"/>
      <c r="AF29" s="59"/>
      <c r="AG29" s="257"/>
      <c r="AH29" s="219"/>
      <c r="AI29" s="96"/>
      <c r="AJ29" s="59"/>
      <c r="AK29" s="59"/>
      <c r="AL29" s="59"/>
      <c r="AM29" s="59"/>
      <c r="AN29" s="44"/>
      <c r="AO29" s="59"/>
      <c r="AP29" s="59"/>
      <c r="AQ29" s="259"/>
      <c r="AR29" s="219"/>
      <c r="AS29" s="96"/>
      <c r="AT29" s="59"/>
      <c r="AU29" s="59"/>
      <c r="AV29" s="59"/>
      <c r="AW29" s="59"/>
      <c r="AX29" s="44"/>
      <c r="AY29" s="59"/>
      <c r="AZ29" s="59"/>
      <c r="BA29" s="261"/>
      <c r="BB29" s="219"/>
      <c r="BC29" s="96"/>
      <c r="BD29" s="59"/>
      <c r="BE29" s="59"/>
      <c r="BF29" s="59"/>
      <c r="BG29" s="59"/>
      <c r="BH29" s="44"/>
      <c r="BI29" s="59"/>
      <c r="BJ29" s="59"/>
      <c r="BK29" s="204"/>
      <c r="BL29" s="219"/>
      <c r="BM29" s="96">
        <f t="shared" si="1"/>
        <v>0</v>
      </c>
      <c r="BN29" s="59">
        <v>0</v>
      </c>
      <c r="BO29" s="59">
        <v>0</v>
      </c>
      <c r="BP29" s="59">
        <v>0</v>
      </c>
      <c r="BQ29" s="59">
        <v>0</v>
      </c>
      <c r="BR29" s="44">
        <f t="shared" si="2"/>
        <v>0</v>
      </c>
      <c r="BS29" s="59">
        <v>0</v>
      </c>
    </row>
    <row r="30" spans="1:71" ht="26.25" hidden="1">
      <c r="A30" s="53">
        <v>2</v>
      </c>
      <c r="B30" s="56"/>
      <c r="C30" s="275">
        <v>1113088</v>
      </c>
      <c r="D30" s="276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5"/>
      <c r="M30" s="222"/>
      <c r="N30" s="59"/>
      <c r="O30" s="96"/>
      <c r="P30" s="59"/>
      <c r="Q30" s="59"/>
      <c r="R30" s="59"/>
      <c r="S30" s="59"/>
      <c r="T30" s="44"/>
      <c r="U30" s="59"/>
      <c r="V30" s="59"/>
      <c r="W30" s="250"/>
      <c r="X30" s="59"/>
      <c r="Y30" s="96"/>
      <c r="Z30" s="59"/>
      <c r="AA30" s="59"/>
      <c r="AB30" s="59"/>
      <c r="AC30" s="59"/>
      <c r="AD30" s="106"/>
      <c r="AE30" s="59"/>
      <c r="AF30" s="59"/>
      <c r="AG30" s="256"/>
      <c r="AH30" s="59"/>
      <c r="AI30" s="96"/>
      <c r="AJ30" s="59"/>
      <c r="AK30" s="59"/>
      <c r="AL30" s="59"/>
      <c r="AM30" s="59"/>
      <c r="AN30" s="44"/>
      <c r="AO30" s="59"/>
      <c r="AP30" s="59"/>
      <c r="AQ30" s="516"/>
      <c r="AR30" s="59"/>
      <c r="AS30" s="96"/>
      <c r="AT30" s="59"/>
      <c r="AU30" s="59"/>
      <c r="AV30" s="59"/>
      <c r="AW30" s="59"/>
      <c r="AX30" s="106"/>
      <c r="AY30" s="59"/>
      <c r="AZ30" s="59"/>
      <c r="BA30" s="187"/>
      <c r="BB30" s="59"/>
      <c r="BC30" s="96"/>
      <c r="BD30" s="59"/>
      <c r="BE30" s="59"/>
      <c r="BF30" s="59"/>
      <c r="BG30" s="59"/>
      <c r="BH30" s="44"/>
      <c r="BI30" s="59"/>
      <c r="BJ30" s="59"/>
      <c r="BK30" s="208"/>
      <c r="BL30" s="59"/>
      <c r="BM30" s="96">
        <f t="shared" si="1"/>
        <v>0</v>
      </c>
      <c r="BN30" s="59">
        <v>0</v>
      </c>
      <c r="BO30" s="59">
        <v>0</v>
      </c>
      <c r="BP30" s="59">
        <v>0</v>
      </c>
      <c r="BQ30" s="59">
        <v>0</v>
      </c>
      <c r="BR30" s="44">
        <f t="shared" si="2"/>
        <v>0</v>
      </c>
      <c r="BS30" s="59">
        <v>0</v>
      </c>
    </row>
    <row r="31" spans="1:71" ht="26.25" hidden="1">
      <c r="A31" s="168">
        <v>2</v>
      </c>
      <c r="B31" s="170"/>
      <c r="C31" s="169">
        <v>1113155</v>
      </c>
      <c r="D31" s="262" t="s">
        <v>214</v>
      </c>
      <c r="E31" s="169" t="s">
        <v>31</v>
      </c>
      <c r="F31" s="169"/>
      <c r="G31" s="183"/>
      <c r="H31" s="255">
        <v>0</v>
      </c>
      <c r="I31" s="63">
        <f t="shared" si="0"/>
        <v>0</v>
      </c>
      <c r="J31" s="58">
        <v>0</v>
      </c>
      <c r="K31" s="59"/>
      <c r="L31" s="111"/>
      <c r="M31" s="97"/>
      <c r="N31" s="59"/>
      <c r="O31" s="96"/>
      <c r="P31" s="105"/>
      <c r="Q31" s="59"/>
      <c r="R31" s="59"/>
      <c r="S31" s="105"/>
      <c r="T31" s="44"/>
      <c r="U31" s="59"/>
      <c r="V31" s="59"/>
      <c r="W31" s="98"/>
      <c r="X31" s="105"/>
      <c r="Y31" s="96"/>
      <c r="Z31" s="105"/>
      <c r="AA31" s="59"/>
      <c r="AB31" s="59"/>
      <c r="AC31" s="105"/>
      <c r="AD31" s="44"/>
      <c r="AE31" s="59"/>
      <c r="AF31" s="59"/>
      <c r="AG31" s="112"/>
      <c r="AH31" s="59"/>
      <c r="AI31" s="96"/>
      <c r="AJ31" s="105"/>
      <c r="AK31" s="59"/>
      <c r="AL31" s="59"/>
      <c r="AM31" s="105"/>
      <c r="AN31" s="106"/>
      <c r="AO31" s="59"/>
      <c r="AP31" s="59"/>
      <c r="AQ31" s="103"/>
      <c r="AR31" s="59"/>
      <c r="AS31" s="96"/>
      <c r="AT31" s="105"/>
      <c r="AU31" s="59"/>
      <c r="AV31" s="59"/>
      <c r="AW31" s="105"/>
      <c r="AX31" s="44"/>
      <c r="AY31" s="105"/>
      <c r="AZ31" s="59"/>
      <c r="BA31" s="100"/>
      <c r="BB31" s="105"/>
      <c r="BC31" s="96"/>
      <c r="BD31" s="105"/>
      <c r="BE31" s="59"/>
      <c r="BF31" s="59"/>
      <c r="BG31" s="105"/>
      <c r="BH31" s="44"/>
      <c r="BI31" s="59"/>
      <c r="BJ31" s="59"/>
      <c r="BK31" s="101"/>
      <c r="BL31" s="59"/>
      <c r="BM31" s="96">
        <f t="shared" si="1"/>
        <v>0</v>
      </c>
      <c r="BN31" s="105">
        <v>0</v>
      </c>
      <c r="BO31" s="59">
        <v>0</v>
      </c>
      <c r="BP31" s="59">
        <v>0</v>
      </c>
      <c r="BQ31" s="105">
        <v>0</v>
      </c>
      <c r="BR31" s="44">
        <f t="shared" si="2"/>
        <v>0</v>
      </c>
      <c r="BS31" s="59">
        <v>0</v>
      </c>
    </row>
    <row r="32" spans="1:71" ht="26.25">
      <c r="A32" s="53">
        <v>3</v>
      </c>
      <c r="B32" s="56"/>
      <c r="C32" s="54">
        <v>20049130</v>
      </c>
      <c r="D32" s="57" t="s">
        <v>421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107"/>
      <c r="N32" s="59"/>
      <c r="O32" s="96"/>
      <c r="P32" s="59"/>
      <c r="Q32" s="59"/>
      <c r="R32" s="59"/>
      <c r="S32" s="59"/>
      <c r="T32" s="106"/>
      <c r="U32" s="59"/>
      <c r="V32" s="59"/>
      <c r="W32" s="108"/>
      <c r="X32" s="59"/>
      <c r="Y32" s="96"/>
      <c r="Z32" s="59"/>
      <c r="AA32" s="59"/>
      <c r="AB32" s="59"/>
      <c r="AC32" s="59"/>
      <c r="AD32" s="106"/>
      <c r="AE32" s="59"/>
      <c r="AF32" s="59"/>
      <c r="AG32" s="127"/>
      <c r="AH32" s="59"/>
      <c r="AI32" s="96"/>
      <c r="AJ32" s="59"/>
      <c r="AK32" s="59"/>
      <c r="AL32" s="59"/>
      <c r="AM32" s="59"/>
      <c r="AN32" s="106"/>
      <c r="AO32" s="59"/>
      <c r="AP32" s="59"/>
      <c r="AQ32" s="109"/>
      <c r="AR32" s="59"/>
      <c r="AS32" s="96"/>
      <c r="AT32" s="59"/>
      <c r="AU32" s="59"/>
      <c r="AV32" s="59"/>
      <c r="AW32" s="59"/>
      <c r="AX32" s="106"/>
      <c r="AY32" s="59"/>
      <c r="AZ32" s="59"/>
      <c r="BA32" s="110"/>
      <c r="BB32" s="59"/>
      <c r="BC32" s="96"/>
      <c r="BD32" s="59"/>
      <c r="BE32" s="59"/>
      <c r="BF32" s="59"/>
      <c r="BG32" s="59"/>
      <c r="BH32" s="106"/>
      <c r="BI32" s="59"/>
      <c r="BJ32" s="59"/>
      <c r="BK32" s="296"/>
      <c r="BL32" s="59"/>
      <c r="BM32" s="96">
        <f t="shared" si="1"/>
        <v>0</v>
      </c>
      <c r="BN32" s="59">
        <v>0</v>
      </c>
      <c r="BO32" s="59">
        <v>0</v>
      </c>
      <c r="BP32" s="59">
        <v>0</v>
      </c>
      <c r="BQ32" s="59">
        <v>0</v>
      </c>
      <c r="BR32" s="44">
        <f t="shared" si="2"/>
        <v>0</v>
      </c>
      <c r="BS32" s="59">
        <v>0</v>
      </c>
    </row>
    <row r="33" spans="1:71" ht="26.25">
      <c r="A33" s="53">
        <v>4</v>
      </c>
      <c r="B33" s="56"/>
      <c r="C33" s="54">
        <v>20051101</v>
      </c>
      <c r="D33" s="57" t="s">
        <v>422</v>
      </c>
      <c r="E33" s="54" t="s">
        <v>69</v>
      </c>
      <c r="F33" s="54"/>
      <c r="G33" s="44"/>
      <c r="H33" s="58">
        <v>0</v>
      </c>
      <c r="I33" s="63">
        <f t="shared" ref="I33:I60" si="3">SUM(L33,M33,W33,AG33,AQ33,BA33,BK33)</f>
        <v>0</v>
      </c>
      <c r="J33" s="58">
        <v>0</v>
      </c>
      <c r="K33" s="59"/>
      <c r="L33" s="104"/>
      <c r="M33" s="107"/>
      <c r="N33" s="59"/>
      <c r="O33" s="96"/>
      <c r="P33" s="105"/>
      <c r="Q33" s="59"/>
      <c r="R33" s="59"/>
      <c r="S33" s="105"/>
      <c r="T33" s="106"/>
      <c r="U33" s="59"/>
      <c r="V33" s="59"/>
      <c r="W33" s="108"/>
      <c r="X33" s="105"/>
      <c r="Y33" s="96"/>
      <c r="Z33" s="105"/>
      <c r="AA33" s="59"/>
      <c r="AB33" s="59"/>
      <c r="AC33" s="105"/>
      <c r="AD33" s="106"/>
      <c r="AE33" s="59"/>
      <c r="AF33" s="59"/>
      <c r="AG33" s="127"/>
      <c r="AH33" s="59"/>
      <c r="AI33" s="96"/>
      <c r="AJ33" s="105"/>
      <c r="AK33" s="59"/>
      <c r="AL33" s="59"/>
      <c r="AM33" s="105"/>
      <c r="AN33" s="106"/>
      <c r="AO33" s="59"/>
      <c r="AP33" s="59"/>
      <c r="AQ33" s="109"/>
      <c r="AR33" s="59"/>
      <c r="AS33" s="96"/>
      <c r="AT33" s="105"/>
      <c r="AU33" s="59"/>
      <c r="AV33" s="59"/>
      <c r="AW33" s="105"/>
      <c r="AX33" s="106"/>
      <c r="AY33" s="105"/>
      <c r="AZ33" s="59"/>
      <c r="BA33" s="110"/>
      <c r="BB33" s="105"/>
      <c r="BC33" s="96"/>
      <c r="BD33" s="105"/>
      <c r="BE33" s="59"/>
      <c r="BF33" s="59"/>
      <c r="BG33" s="105"/>
      <c r="BH33" s="106"/>
      <c r="BI33" s="59"/>
      <c r="BJ33" s="59"/>
      <c r="BK33" s="296"/>
      <c r="BL33" s="59"/>
      <c r="BM33" s="96">
        <f t="shared" si="1"/>
        <v>0</v>
      </c>
      <c r="BN33" s="105">
        <v>0</v>
      </c>
      <c r="BO33" s="59">
        <v>0</v>
      </c>
      <c r="BP33" s="59">
        <v>0</v>
      </c>
      <c r="BQ33" s="105">
        <v>0</v>
      </c>
      <c r="BR33" s="44">
        <f t="shared" si="2"/>
        <v>0</v>
      </c>
      <c r="BS33" s="59">
        <v>0</v>
      </c>
    </row>
    <row r="34" spans="1:71" ht="26.25">
      <c r="A34" s="53">
        <v>5</v>
      </c>
      <c r="B34" s="56"/>
      <c r="C34" s="54">
        <v>20052721</v>
      </c>
      <c r="D34" s="57" t="s">
        <v>423</v>
      </c>
      <c r="E34" s="54" t="s">
        <v>69</v>
      </c>
      <c r="F34" s="54"/>
      <c r="G34" s="44"/>
      <c r="H34" s="58">
        <v>0</v>
      </c>
      <c r="I34" s="63">
        <f t="shared" si="3"/>
        <v>0</v>
      </c>
      <c r="J34" s="58">
        <v>0</v>
      </c>
      <c r="K34" s="59"/>
      <c r="L34" s="104"/>
      <c r="M34" s="107"/>
      <c r="N34" s="59"/>
      <c r="O34" s="96"/>
      <c r="P34" s="105"/>
      <c r="Q34" s="59"/>
      <c r="R34" s="59"/>
      <c r="S34" s="105"/>
      <c r="T34" s="106"/>
      <c r="U34" s="59"/>
      <c r="V34" s="59"/>
      <c r="W34" s="108"/>
      <c r="X34" s="105"/>
      <c r="Y34" s="96"/>
      <c r="Z34" s="105"/>
      <c r="AA34" s="59"/>
      <c r="AB34" s="59"/>
      <c r="AC34" s="105"/>
      <c r="AD34" s="106"/>
      <c r="AE34" s="59"/>
      <c r="AF34" s="59"/>
      <c r="AG34" s="127"/>
      <c r="AH34" s="59"/>
      <c r="AI34" s="96"/>
      <c r="AJ34" s="105"/>
      <c r="AK34" s="59"/>
      <c r="AL34" s="59"/>
      <c r="AM34" s="105"/>
      <c r="AN34" s="106"/>
      <c r="AO34" s="59"/>
      <c r="AP34" s="59"/>
      <c r="AQ34" s="109"/>
      <c r="AR34" s="59"/>
      <c r="AS34" s="96"/>
      <c r="AT34" s="105"/>
      <c r="AU34" s="59"/>
      <c r="AV34" s="59"/>
      <c r="AW34" s="105"/>
      <c r="AX34" s="106"/>
      <c r="AY34" s="105"/>
      <c r="AZ34" s="59"/>
      <c r="BA34" s="110"/>
      <c r="BB34" s="105"/>
      <c r="BC34" s="96"/>
      <c r="BD34" s="105"/>
      <c r="BE34" s="59"/>
      <c r="BF34" s="59"/>
      <c r="BG34" s="105"/>
      <c r="BH34" s="106"/>
      <c r="BI34" s="59"/>
      <c r="BJ34" s="59"/>
      <c r="BK34" s="296"/>
      <c r="BL34" s="59"/>
      <c r="BM34" s="96">
        <f t="shared" si="1"/>
        <v>0</v>
      </c>
      <c r="BN34" s="105">
        <v>0</v>
      </c>
      <c r="BO34" s="59">
        <v>0</v>
      </c>
      <c r="BP34" s="59">
        <v>0</v>
      </c>
      <c r="BQ34" s="105">
        <v>0</v>
      </c>
      <c r="BR34" s="44">
        <f t="shared" si="2"/>
        <v>0</v>
      </c>
      <c r="BS34" s="59">
        <v>0</v>
      </c>
    </row>
    <row r="35" spans="1:71" ht="26.25" hidden="1">
      <c r="A35" s="53">
        <v>7</v>
      </c>
      <c r="B35" s="56"/>
      <c r="C35" s="286">
        <v>1113148</v>
      </c>
      <c r="D35" s="287" t="s">
        <v>348</v>
      </c>
      <c r="E35" s="64" t="s">
        <v>42</v>
      </c>
      <c r="F35" s="54"/>
      <c r="G35" s="44"/>
      <c r="H35" s="58">
        <v>0</v>
      </c>
      <c r="I35" s="45">
        <f t="shared" si="3"/>
        <v>0</v>
      </c>
      <c r="J35" s="58">
        <v>0</v>
      </c>
      <c r="K35" s="59"/>
      <c r="L35" s="191"/>
      <c r="M35" s="190"/>
      <c r="N35" s="59"/>
      <c r="O35" s="96"/>
      <c r="P35" s="59"/>
      <c r="Q35" s="59"/>
      <c r="R35" s="59"/>
      <c r="S35" s="59"/>
      <c r="T35" s="44"/>
      <c r="U35" s="59"/>
      <c r="V35" s="59"/>
      <c r="W35" s="192"/>
      <c r="X35" s="59"/>
      <c r="Y35" s="96"/>
      <c r="Z35" s="59"/>
      <c r="AA35" s="59"/>
      <c r="AB35" s="59"/>
      <c r="AC35" s="59"/>
      <c r="AD35" s="44"/>
      <c r="AE35" s="59"/>
      <c r="AF35" s="59"/>
      <c r="AG35" s="193"/>
      <c r="AH35" s="59"/>
      <c r="AI35" s="96"/>
      <c r="AJ35" s="59"/>
      <c r="AK35" s="59"/>
      <c r="AL35" s="59"/>
      <c r="AM35" s="59"/>
      <c r="AN35" s="44"/>
      <c r="AO35" s="59"/>
      <c r="AP35" s="59"/>
      <c r="AQ35" s="517"/>
      <c r="AR35" s="59"/>
      <c r="AS35" s="96"/>
      <c r="AT35" s="59"/>
      <c r="AU35" s="59"/>
      <c r="AV35" s="59"/>
      <c r="AW35" s="59"/>
      <c r="AX35" s="44"/>
      <c r="AY35" s="59"/>
      <c r="AZ35" s="59"/>
      <c r="BA35" s="187"/>
      <c r="BB35" s="59"/>
      <c r="BC35" s="96"/>
      <c r="BD35" s="59"/>
      <c r="BE35" s="59"/>
      <c r="BF35" s="59"/>
      <c r="BG35" s="59"/>
      <c r="BH35" s="44"/>
      <c r="BI35" s="59"/>
      <c r="BJ35" s="59"/>
      <c r="BK35" s="208"/>
      <c r="BL35" s="59">
        <v>0</v>
      </c>
      <c r="BM35" s="96">
        <f t="shared" ref="BM35:BM45" si="4">SUM(BJ35:BL35)</f>
        <v>0</v>
      </c>
      <c r="BN35" s="59">
        <v>0</v>
      </c>
      <c r="BO35" s="59">
        <v>0</v>
      </c>
      <c r="BP35" s="59">
        <v>0</v>
      </c>
      <c r="BQ35" s="59">
        <v>0</v>
      </c>
      <c r="BR35" s="44">
        <f t="shared" ref="BR35:BR45" si="5">BK35-BO35</f>
        <v>0</v>
      </c>
      <c r="BS35" s="59"/>
    </row>
    <row r="36" spans="1:71" ht="26.25" hidden="1">
      <c r="A36" s="165">
        <v>8</v>
      </c>
      <c r="B36" s="132"/>
      <c r="C36" s="478">
        <v>1113149</v>
      </c>
      <c r="D36" s="479" t="s">
        <v>349</v>
      </c>
      <c r="E36" s="135" t="s">
        <v>42</v>
      </c>
      <c r="F36" s="73"/>
      <c r="G36" s="116"/>
      <c r="H36" s="129">
        <v>0</v>
      </c>
      <c r="I36" s="220">
        <f t="shared" si="3"/>
        <v>0</v>
      </c>
      <c r="J36" s="129">
        <v>0</v>
      </c>
      <c r="K36" s="117"/>
      <c r="L36" s="210"/>
      <c r="M36" s="211"/>
      <c r="N36" s="59"/>
      <c r="O36" s="96"/>
      <c r="P36" s="59"/>
      <c r="Q36" s="59"/>
      <c r="R36" s="59"/>
      <c r="S36" s="59"/>
      <c r="T36" s="44"/>
      <c r="U36" s="59"/>
      <c r="V36" s="59"/>
      <c r="W36" s="212"/>
      <c r="X36" s="59"/>
      <c r="Y36" s="96"/>
      <c r="Z36" s="59"/>
      <c r="AA36" s="59"/>
      <c r="AB36" s="59"/>
      <c r="AC36" s="59"/>
      <c r="AD36" s="44"/>
      <c r="AE36" s="59"/>
      <c r="AF36" s="59"/>
      <c r="AG36" s="213"/>
      <c r="AH36" s="59"/>
      <c r="AI36" s="96"/>
      <c r="AJ36" s="59"/>
      <c r="AK36" s="59"/>
      <c r="AL36" s="59"/>
      <c r="AM36" s="59"/>
      <c r="AN36" s="44"/>
      <c r="AO36" s="59"/>
      <c r="AP36" s="59"/>
      <c r="AQ36" s="518"/>
      <c r="AR36" s="59"/>
      <c r="AS36" s="96"/>
      <c r="AT36" s="59"/>
      <c r="AU36" s="59"/>
      <c r="AV36" s="59"/>
      <c r="AW36" s="59"/>
      <c r="AX36" s="44"/>
      <c r="AY36" s="59"/>
      <c r="AZ36" s="59"/>
      <c r="BA36" s="214"/>
      <c r="BB36" s="59"/>
      <c r="BC36" s="96"/>
      <c r="BD36" s="59"/>
      <c r="BE36" s="59"/>
      <c r="BF36" s="59"/>
      <c r="BG36" s="59"/>
      <c r="BH36" s="44"/>
      <c r="BI36" s="59"/>
      <c r="BJ36" s="59"/>
      <c r="BK36" s="221"/>
      <c r="BL36" s="59">
        <v>0</v>
      </c>
      <c r="BM36" s="96">
        <f t="shared" si="4"/>
        <v>0</v>
      </c>
      <c r="BN36" s="59">
        <v>0</v>
      </c>
      <c r="BO36" s="59">
        <v>0</v>
      </c>
      <c r="BP36" s="59">
        <v>0</v>
      </c>
      <c r="BQ36" s="59">
        <v>0</v>
      </c>
      <c r="BR36" s="44">
        <f t="shared" si="5"/>
        <v>0</v>
      </c>
      <c r="BS36" s="59"/>
    </row>
    <row r="37" spans="1:71" ht="26.25" hidden="1">
      <c r="A37" s="168">
        <v>9</v>
      </c>
      <c r="B37" s="170"/>
      <c r="C37" s="169">
        <v>1113192</v>
      </c>
      <c r="D37" s="262" t="s">
        <v>351</v>
      </c>
      <c r="E37" s="217" t="s">
        <v>42</v>
      </c>
      <c r="F37" s="169"/>
      <c r="G37" s="183"/>
      <c r="H37" s="184">
        <v>0</v>
      </c>
      <c r="I37" s="215">
        <f t="shared" si="3"/>
        <v>0</v>
      </c>
      <c r="J37" s="184">
        <v>0</v>
      </c>
      <c r="K37" s="185"/>
      <c r="L37" s="252"/>
      <c r="M37" s="202"/>
      <c r="N37" s="219"/>
      <c r="O37" s="96"/>
      <c r="P37" s="59"/>
      <c r="Q37" s="59"/>
      <c r="R37" s="59"/>
      <c r="S37" s="59"/>
      <c r="T37" s="44"/>
      <c r="U37" s="59"/>
      <c r="V37" s="218"/>
      <c r="W37" s="224"/>
      <c r="X37" s="219"/>
      <c r="Y37" s="96"/>
      <c r="Z37" s="59"/>
      <c r="AA37" s="59"/>
      <c r="AB37" s="59"/>
      <c r="AC37" s="59"/>
      <c r="AD37" s="106"/>
      <c r="AE37" s="59"/>
      <c r="AF37" s="218"/>
      <c r="AG37" s="257"/>
      <c r="AH37" s="219"/>
      <c r="AI37" s="96"/>
      <c r="AJ37" s="59"/>
      <c r="AK37" s="59"/>
      <c r="AL37" s="59"/>
      <c r="AM37" s="59"/>
      <c r="AN37" s="44"/>
      <c r="AO37" s="59"/>
      <c r="AP37" s="218"/>
      <c r="AQ37" s="519"/>
      <c r="AR37" s="219"/>
      <c r="AS37" s="96"/>
      <c r="AT37" s="59"/>
      <c r="AU37" s="59"/>
      <c r="AV37" s="59"/>
      <c r="AW37" s="59"/>
      <c r="AX37" s="106"/>
      <c r="AY37" s="59"/>
      <c r="AZ37" s="218"/>
      <c r="BA37" s="261"/>
      <c r="BB37" s="219"/>
      <c r="BC37" s="96"/>
      <c r="BD37" s="59"/>
      <c r="BE37" s="59"/>
      <c r="BF37" s="59"/>
      <c r="BG37" s="59"/>
      <c r="BH37" s="44"/>
      <c r="BI37" s="59"/>
      <c r="BJ37" s="218"/>
      <c r="BK37" s="204"/>
      <c r="BL37" s="219">
        <v>0</v>
      </c>
      <c r="BM37" s="96">
        <f t="shared" si="4"/>
        <v>0</v>
      </c>
      <c r="BN37" s="59">
        <v>0</v>
      </c>
      <c r="BO37" s="59">
        <v>0</v>
      </c>
      <c r="BP37" s="59">
        <v>0</v>
      </c>
      <c r="BQ37" s="59">
        <v>0</v>
      </c>
      <c r="BR37" s="44">
        <f t="shared" si="5"/>
        <v>0</v>
      </c>
      <c r="BS37" s="59"/>
    </row>
    <row r="38" spans="1:71" ht="26.25" hidden="1">
      <c r="A38" s="168">
        <v>10</v>
      </c>
      <c r="B38" s="170"/>
      <c r="C38" s="301">
        <v>1113194</v>
      </c>
      <c r="D38" s="302" t="s">
        <v>353</v>
      </c>
      <c r="E38" s="217" t="s">
        <v>42</v>
      </c>
      <c r="F38" s="169"/>
      <c r="G38" s="183"/>
      <c r="H38" s="184">
        <v>0</v>
      </c>
      <c r="I38" s="215">
        <f t="shared" si="3"/>
        <v>0</v>
      </c>
      <c r="J38" s="184">
        <v>0</v>
      </c>
      <c r="K38" s="185"/>
      <c r="L38" s="252"/>
      <c r="M38" s="223"/>
      <c r="N38" s="219"/>
      <c r="O38" s="96"/>
      <c r="P38" s="59"/>
      <c r="Q38" s="59"/>
      <c r="R38" s="59"/>
      <c r="S38" s="105"/>
      <c r="T38" s="44"/>
      <c r="U38" s="59"/>
      <c r="V38" s="218"/>
      <c r="W38" s="224"/>
      <c r="X38" s="354"/>
      <c r="Y38" s="96"/>
      <c r="Z38" s="59"/>
      <c r="AA38" s="59"/>
      <c r="AB38" s="59"/>
      <c r="AC38" s="105"/>
      <c r="AD38" s="106"/>
      <c r="AE38" s="59"/>
      <c r="AF38" s="218"/>
      <c r="AG38" s="257"/>
      <c r="AH38" s="219"/>
      <c r="AI38" s="96"/>
      <c r="AJ38" s="59"/>
      <c r="AK38" s="59"/>
      <c r="AL38" s="59"/>
      <c r="AM38" s="105"/>
      <c r="AN38" s="44"/>
      <c r="AO38" s="59"/>
      <c r="AP38" s="218"/>
      <c r="AQ38" s="519"/>
      <c r="AR38" s="219"/>
      <c r="AS38" s="96"/>
      <c r="AT38" s="59"/>
      <c r="AU38" s="59"/>
      <c r="AV38" s="59"/>
      <c r="AW38" s="105"/>
      <c r="AX38" s="106"/>
      <c r="AY38" s="105"/>
      <c r="AZ38" s="218"/>
      <c r="BA38" s="261"/>
      <c r="BB38" s="219"/>
      <c r="BC38" s="96"/>
      <c r="BD38" s="59"/>
      <c r="BE38" s="59"/>
      <c r="BF38" s="59"/>
      <c r="BG38" s="105"/>
      <c r="BH38" s="44"/>
      <c r="BI38" s="59"/>
      <c r="BJ38" s="218"/>
      <c r="BK38" s="204"/>
      <c r="BL38" s="219">
        <v>0</v>
      </c>
      <c r="BM38" s="96">
        <f t="shared" si="4"/>
        <v>0</v>
      </c>
      <c r="BN38" s="59">
        <v>0</v>
      </c>
      <c r="BO38" s="59">
        <v>0</v>
      </c>
      <c r="BP38" s="59">
        <v>0</v>
      </c>
      <c r="BQ38" s="105">
        <v>0</v>
      </c>
      <c r="BR38" s="44">
        <f t="shared" si="5"/>
        <v>0</v>
      </c>
      <c r="BS38" s="59"/>
    </row>
    <row r="39" spans="1:71" ht="29.25" hidden="1">
      <c r="A39" s="358">
        <v>1</v>
      </c>
      <c r="B39" s="68"/>
      <c r="C39" s="196">
        <v>1001001087</v>
      </c>
      <c r="D39" s="197" t="s">
        <v>376</v>
      </c>
      <c r="E39" s="198" t="s">
        <v>377</v>
      </c>
      <c r="F39" s="198"/>
      <c r="G39" s="199"/>
      <c r="H39" s="401">
        <v>0</v>
      </c>
      <c r="I39" s="63">
        <f t="shared" si="3"/>
        <v>0</v>
      </c>
      <c r="J39" s="146">
        <v>0</v>
      </c>
      <c r="K39" s="147"/>
      <c r="L39" s="148"/>
      <c r="M39" s="209"/>
      <c r="N39" s="59"/>
      <c r="O39" s="96"/>
      <c r="P39" s="59"/>
      <c r="Q39" s="59"/>
      <c r="R39" s="59"/>
      <c r="S39" s="59"/>
      <c r="T39" s="44"/>
      <c r="U39" s="59"/>
      <c r="V39" s="59"/>
      <c r="W39" s="150"/>
      <c r="X39" s="105"/>
      <c r="Y39" s="96"/>
      <c r="Z39" s="59"/>
      <c r="AA39" s="59"/>
      <c r="AB39" s="59"/>
      <c r="AC39" s="59"/>
      <c r="AD39" s="44"/>
      <c r="AE39" s="59"/>
      <c r="AF39" s="59"/>
      <c r="AG39" s="151"/>
      <c r="AH39" s="59"/>
      <c r="AI39" s="96"/>
      <c r="AJ39" s="59"/>
      <c r="AK39" s="59"/>
      <c r="AL39" s="59"/>
      <c r="AM39" s="59"/>
      <c r="AN39" s="44"/>
      <c r="AO39" s="59"/>
      <c r="AP39" s="59"/>
      <c r="AQ39" s="152"/>
      <c r="AR39" s="59"/>
      <c r="AS39" s="96"/>
      <c r="AT39" s="59"/>
      <c r="AU39" s="59"/>
      <c r="AV39" s="59"/>
      <c r="AW39" s="59"/>
      <c r="AX39" s="44"/>
      <c r="AY39" s="59"/>
      <c r="AZ39" s="59"/>
      <c r="BA39" s="260"/>
      <c r="BB39" s="59"/>
      <c r="BC39" s="96"/>
      <c r="BD39" s="59"/>
      <c r="BE39" s="59"/>
      <c r="BF39" s="59"/>
      <c r="BG39" s="59"/>
      <c r="BH39" s="44"/>
      <c r="BI39" s="59"/>
      <c r="BJ39" s="59"/>
      <c r="BK39" s="154"/>
      <c r="BL39" s="59">
        <v>0</v>
      </c>
      <c r="BM39" s="96">
        <f t="shared" si="4"/>
        <v>0</v>
      </c>
      <c r="BN39" s="59">
        <v>0</v>
      </c>
      <c r="BO39" s="59">
        <v>0</v>
      </c>
      <c r="BP39" s="59">
        <v>0</v>
      </c>
      <c r="BQ39" s="59">
        <v>0</v>
      </c>
      <c r="BR39" s="44">
        <f t="shared" si="5"/>
        <v>0</v>
      </c>
      <c r="BS39" s="59"/>
    </row>
    <row r="40" spans="1:71" ht="29.25" hidden="1">
      <c r="A40" s="168">
        <v>2</v>
      </c>
      <c r="B40" s="68"/>
      <c r="C40" s="196">
        <v>1001001088</v>
      </c>
      <c r="D40" s="197" t="s">
        <v>378</v>
      </c>
      <c r="E40" s="198" t="s">
        <v>377</v>
      </c>
      <c r="F40" s="198"/>
      <c r="G40" s="199"/>
      <c r="H40" s="200">
        <v>0</v>
      </c>
      <c r="I40" s="63">
        <f t="shared" si="3"/>
        <v>0</v>
      </c>
      <c r="J40" s="58">
        <v>0</v>
      </c>
      <c r="K40" s="59"/>
      <c r="L40" s="102"/>
      <c r="M40" s="190"/>
      <c r="N40" s="59"/>
      <c r="O40" s="96"/>
      <c r="P40" s="59"/>
      <c r="Q40" s="59"/>
      <c r="R40" s="59"/>
      <c r="S40" s="59"/>
      <c r="T40" s="44"/>
      <c r="U40" s="59"/>
      <c r="V40" s="59"/>
      <c r="W40" s="98"/>
      <c r="X40" s="59"/>
      <c r="Y40" s="96"/>
      <c r="Z40" s="59"/>
      <c r="AA40" s="59"/>
      <c r="AB40" s="59"/>
      <c r="AC40" s="59"/>
      <c r="AD40" s="44"/>
      <c r="AE40" s="59"/>
      <c r="AF40" s="59"/>
      <c r="AG40" s="99"/>
      <c r="AH40" s="59"/>
      <c r="AI40" s="96"/>
      <c r="AJ40" s="59"/>
      <c r="AK40" s="59"/>
      <c r="AL40" s="59"/>
      <c r="AM40" s="59"/>
      <c r="AN40" s="44"/>
      <c r="AO40" s="59"/>
      <c r="AP40" s="59"/>
      <c r="AQ40" s="103"/>
      <c r="AR40" s="59"/>
      <c r="AS40" s="96"/>
      <c r="AT40" s="59"/>
      <c r="AU40" s="59"/>
      <c r="AV40" s="59"/>
      <c r="AW40" s="59"/>
      <c r="AX40" s="44"/>
      <c r="AY40" s="59"/>
      <c r="AZ40" s="59"/>
      <c r="BA40" s="187"/>
      <c r="BB40" s="59"/>
      <c r="BC40" s="96"/>
      <c r="BD40" s="59"/>
      <c r="BE40" s="59"/>
      <c r="BF40" s="59"/>
      <c r="BG40" s="59"/>
      <c r="BH40" s="44"/>
      <c r="BI40" s="59"/>
      <c r="BJ40" s="59"/>
      <c r="BK40" s="101"/>
      <c r="BL40" s="59">
        <v>0</v>
      </c>
      <c r="BM40" s="96">
        <f t="shared" si="4"/>
        <v>0</v>
      </c>
      <c r="BN40" s="59">
        <v>0</v>
      </c>
      <c r="BO40" s="59">
        <v>0</v>
      </c>
      <c r="BP40" s="59">
        <v>0</v>
      </c>
      <c r="BQ40" s="59">
        <v>0</v>
      </c>
      <c r="BR40" s="44">
        <f t="shared" si="5"/>
        <v>0</v>
      </c>
      <c r="BS40" s="59"/>
    </row>
    <row r="41" spans="1:71" ht="29.25" hidden="1">
      <c r="A41" s="168">
        <v>3</v>
      </c>
      <c r="B41" s="68"/>
      <c r="C41" s="196">
        <v>1001001089</v>
      </c>
      <c r="D41" s="197" t="s">
        <v>379</v>
      </c>
      <c r="E41" s="198" t="s">
        <v>377</v>
      </c>
      <c r="F41" s="198"/>
      <c r="G41" s="199"/>
      <c r="H41" s="200">
        <v>0</v>
      </c>
      <c r="I41" s="63">
        <f t="shared" si="3"/>
        <v>0</v>
      </c>
      <c r="J41" s="58">
        <v>0</v>
      </c>
      <c r="K41" s="59"/>
      <c r="L41" s="102"/>
      <c r="M41" s="190"/>
      <c r="N41" s="59"/>
      <c r="O41" s="96"/>
      <c r="P41" s="59"/>
      <c r="Q41" s="59"/>
      <c r="R41" s="59"/>
      <c r="S41" s="105"/>
      <c r="T41" s="44"/>
      <c r="U41" s="59"/>
      <c r="V41" s="59"/>
      <c r="W41" s="98"/>
      <c r="X41" s="105"/>
      <c r="Y41" s="96"/>
      <c r="Z41" s="59"/>
      <c r="AA41" s="59"/>
      <c r="AB41" s="59"/>
      <c r="AC41" s="105"/>
      <c r="AD41" s="44"/>
      <c r="AE41" s="59"/>
      <c r="AF41" s="59"/>
      <c r="AG41" s="99"/>
      <c r="AH41" s="59"/>
      <c r="AI41" s="96"/>
      <c r="AJ41" s="59"/>
      <c r="AK41" s="59"/>
      <c r="AL41" s="59"/>
      <c r="AM41" s="105"/>
      <c r="AN41" s="44"/>
      <c r="AO41" s="59"/>
      <c r="AP41" s="59"/>
      <c r="AQ41" s="103"/>
      <c r="AR41" s="59"/>
      <c r="AS41" s="96"/>
      <c r="AT41" s="59"/>
      <c r="AU41" s="59"/>
      <c r="AV41" s="59"/>
      <c r="AW41" s="105"/>
      <c r="AX41" s="44"/>
      <c r="AY41" s="105"/>
      <c r="AZ41" s="59"/>
      <c r="BA41" s="187"/>
      <c r="BB41" s="59"/>
      <c r="BC41" s="96"/>
      <c r="BD41" s="59"/>
      <c r="BE41" s="59"/>
      <c r="BF41" s="59"/>
      <c r="BG41" s="105"/>
      <c r="BH41" s="44"/>
      <c r="BI41" s="59"/>
      <c r="BJ41" s="59"/>
      <c r="BK41" s="101"/>
      <c r="BL41" s="59">
        <v>0</v>
      </c>
      <c r="BM41" s="96">
        <f t="shared" si="4"/>
        <v>0</v>
      </c>
      <c r="BN41" s="59">
        <v>0</v>
      </c>
      <c r="BO41" s="59">
        <v>0</v>
      </c>
      <c r="BP41" s="59">
        <v>0</v>
      </c>
      <c r="BQ41" s="59">
        <v>0</v>
      </c>
      <c r="BR41" s="44">
        <f t="shared" si="5"/>
        <v>0</v>
      </c>
      <c r="BS41" s="59"/>
    </row>
    <row r="42" spans="1:71" ht="29.25" hidden="1">
      <c r="A42" s="168">
        <v>4</v>
      </c>
      <c r="B42" s="68"/>
      <c r="C42" s="196">
        <v>1001001111</v>
      </c>
      <c r="D42" s="197" t="s">
        <v>381</v>
      </c>
      <c r="E42" s="198" t="s">
        <v>377</v>
      </c>
      <c r="F42" s="198"/>
      <c r="G42" s="199"/>
      <c r="H42" s="200">
        <v>0</v>
      </c>
      <c r="I42" s="63">
        <f t="shared" si="3"/>
        <v>0</v>
      </c>
      <c r="J42" s="58">
        <v>0</v>
      </c>
      <c r="K42" s="59"/>
      <c r="L42" s="111"/>
      <c r="M42" s="190"/>
      <c r="N42" s="59"/>
      <c r="O42" s="96"/>
      <c r="P42" s="59"/>
      <c r="Q42" s="59"/>
      <c r="R42" s="59"/>
      <c r="S42" s="105"/>
      <c r="T42" s="44"/>
      <c r="U42" s="59"/>
      <c r="V42" s="59"/>
      <c r="W42" s="98"/>
      <c r="X42" s="105"/>
      <c r="Y42" s="96"/>
      <c r="Z42" s="59"/>
      <c r="AA42" s="59"/>
      <c r="AB42" s="59"/>
      <c r="AC42" s="105"/>
      <c r="AD42" s="44"/>
      <c r="AE42" s="59"/>
      <c r="AF42" s="59"/>
      <c r="AG42" s="99"/>
      <c r="AH42" s="59"/>
      <c r="AI42" s="96"/>
      <c r="AJ42" s="59"/>
      <c r="AK42" s="59"/>
      <c r="AL42" s="59"/>
      <c r="AM42" s="105"/>
      <c r="AN42" s="44"/>
      <c r="AO42" s="59"/>
      <c r="AP42" s="59"/>
      <c r="AQ42" s="103"/>
      <c r="AR42" s="59"/>
      <c r="AS42" s="96"/>
      <c r="AT42" s="59"/>
      <c r="AU42" s="59"/>
      <c r="AV42" s="59"/>
      <c r="AW42" s="105"/>
      <c r="AX42" s="44"/>
      <c r="AY42" s="105"/>
      <c r="AZ42" s="59"/>
      <c r="BA42" s="187"/>
      <c r="BB42" s="59"/>
      <c r="BC42" s="96"/>
      <c r="BD42" s="59"/>
      <c r="BE42" s="59"/>
      <c r="BF42" s="59"/>
      <c r="BG42" s="105"/>
      <c r="BH42" s="44"/>
      <c r="BI42" s="59"/>
      <c r="BJ42" s="59"/>
      <c r="BK42" s="101"/>
      <c r="BL42" s="59">
        <v>0</v>
      </c>
      <c r="BM42" s="96">
        <f t="shared" si="4"/>
        <v>0</v>
      </c>
      <c r="BN42" s="59">
        <v>0</v>
      </c>
      <c r="BO42" s="59">
        <v>0</v>
      </c>
      <c r="BP42" s="59">
        <v>0</v>
      </c>
      <c r="BQ42" s="59">
        <v>0</v>
      </c>
      <c r="BR42" s="44">
        <f t="shared" si="5"/>
        <v>0</v>
      </c>
      <c r="BS42" s="59"/>
    </row>
    <row r="43" spans="1:71" ht="29.25" hidden="1">
      <c r="A43" s="168">
        <v>5</v>
      </c>
      <c r="B43" s="68"/>
      <c r="C43" s="196">
        <v>1001001112</v>
      </c>
      <c r="D43" s="197" t="s">
        <v>382</v>
      </c>
      <c r="E43" s="198" t="s">
        <v>377</v>
      </c>
      <c r="F43" s="198"/>
      <c r="G43" s="199"/>
      <c r="H43" s="200">
        <v>0</v>
      </c>
      <c r="I43" s="63">
        <f t="shared" si="3"/>
        <v>0</v>
      </c>
      <c r="J43" s="58">
        <v>0</v>
      </c>
      <c r="K43" s="59"/>
      <c r="L43" s="111"/>
      <c r="M43" s="190"/>
      <c r="N43" s="59"/>
      <c r="O43" s="96"/>
      <c r="P43" s="59"/>
      <c r="Q43" s="59"/>
      <c r="R43" s="59"/>
      <c r="S43" s="59"/>
      <c r="T43" s="44"/>
      <c r="U43" s="59"/>
      <c r="V43" s="59"/>
      <c r="W43" s="98"/>
      <c r="X43" s="59"/>
      <c r="Y43" s="96"/>
      <c r="Z43" s="59"/>
      <c r="AA43" s="59"/>
      <c r="AB43" s="59"/>
      <c r="AC43" s="59"/>
      <c r="AD43" s="44"/>
      <c r="AE43" s="59"/>
      <c r="AF43" s="59"/>
      <c r="AG43" s="99"/>
      <c r="AH43" s="59"/>
      <c r="AI43" s="96"/>
      <c r="AJ43" s="59"/>
      <c r="AK43" s="59"/>
      <c r="AL43" s="59"/>
      <c r="AM43" s="59"/>
      <c r="AN43" s="44"/>
      <c r="AO43" s="59"/>
      <c r="AP43" s="59"/>
      <c r="AQ43" s="103"/>
      <c r="AR43" s="59"/>
      <c r="AS43" s="96"/>
      <c r="AT43" s="59"/>
      <c r="AU43" s="59"/>
      <c r="AV43" s="59"/>
      <c r="AW43" s="59"/>
      <c r="AX43" s="44"/>
      <c r="AY43" s="59"/>
      <c r="AZ43" s="59"/>
      <c r="BA43" s="187"/>
      <c r="BB43" s="59"/>
      <c r="BC43" s="96"/>
      <c r="BD43" s="59"/>
      <c r="BE43" s="59"/>
      <c r="BF43" s="59"/>
      <c r="BG43" s="59"/>
      <c r="BH43" s="44"/>
      <c r="BI43" s="59"/>
      <c r="BJ43" s="59"/>
      <c r="BK43" s="101"/>
      <c r="BL43" s="59">
        <v>0</v>
      </c>
      <c r="BM43" s="96">
        <f t="shared" si="4"/>
        <v>0</v>
      </c>
      <c r="BN43" s="59">
        <v>0</v>
      </c>
      <c r="BO43" s="59">
        <v>0</v>
      </c>
      <c r="BP43" s="59">
        <v>0</v>
      </c>
      <c r="BQ43" s="59">
        <v>0</v>
      </c>
      <c r="BR43" s="44">
        <f t="shared" si="5"/>
        <v>0</v>
      </c>
      <c r="BS43" s="59"/>
    </row>
    <row r="44" spans="1:71" ht="29.25" hidden="1">
      <c r="A44" s="168">
        <v>6</v>
      </c>
      <c r="B44" s="68"/>
      <c r="C44" s="196">
        <v>1001001113</v>
      </c>
      <c r="D44" s="197" t="s">
        <v>383</v>
      </c>
      <c r="E44" s="198" t="s">
        <v>377</v>
      </c>
      <c r="F44" s="198"/>
      <c r="G44" s="199"/>
      <c r="H44" s="200">
        <v>0</v>
      </c>
      <c r="I44" s="63">
        <f t="shared" si="3"/>
        <v>0</v>
      </c>
      <c r="J44" s="58">
        <v>0</v>
      </c>
      <c r="K44" s="59"/>
      <c r="L44" s="102"/>
      <c r="M44" s="190"/>
      <c r="N44" s="59"/>
      <c r="O44" s="96"/>
      <c r="P44" s="59"/>
      <c r="Q44" s="59"/>
      <c r="R44" s="59"/>
      <c r="S44" s="59"/>
      <c r="T44" s="44"/>
      <c r="U44" s="59"/>
      <c r="V44" s="59"/>
      <c r="W44" s="98"/>
      <c r="X44" s="59"/>
      <c r="Y44" s="96"/>
      <c r="Z44" s="59"/>
      <c r="AA44" s="59"/>
      <c r="AB44" s="59"/>
      <c r="AC44" s="59"/>
      <c r="AD44" s="44"/>
      <c r="AE44" s="59"/>
      <c r="AF44" s="59"/>
      <c r="AG44" s="99"/>
      <c r="AH44" s="59"/>
      <c r="AI44" s="96"/>
      <c r="AJ44" s="59"/>
      <c r="AK44" s="59"/>
      <c r="AL44" s="59"/>
      <c r="AM44" s="59"/>
      <c r="AN44" s="44"/>
      <c r="AO44" s="59"/>
      <c r="AP44" s="59"/>
      <c r="AQ44" s="103"/>
      <c r="AR44" s="59"/>
      <c r="AS44" s="96"/>
      <c r="AT44" s="59"/>
      <c r="AU44" s="59"/>
      <c r="AV44" s="59"/>
      <c r="AW44" s="59"/>
      <c r="AX44" s="44"/>
      <c r="AY44" s="59"/>
      <c r="AZ44" s="59"/>
      <c r="BA44" s="187"/>
      <c r="BB44" s="59"/>
      <c r="BC44" s="96"/>
      <c r="BD44" s="59"/>
      <c r="BE44" s="59"/>
      <c r="BF44" s="59"/>
      <c r="BG44" s="59"/>
      <c r="BH44" s="44"/>
      <c r="BI44" s="59"/>
      <c r="BJ44" s="59"/>
      <c r="BK44" s="101"/>
      <c r="BL44" s="59">
        <v>0</v>
      </c>
      <c r="BM44" s="96">
        <f t="shared" si="4"/>
        <v>0</v>
      </c>
      <c r="BN44" s="59">
        <v>0</v>
      </c>
      <c r="BO44" s="59">
        <v>0</v>
      </c>
      <c r="BP44" s="59">
        <v>0</v>
      </c>
      <c r="BQ44" s="59">
        <v>0</v>
      </c>
      <c r="BR44" s="44">
        <f t="shared" si="5"/>
        <v>0</v>
      </c>
      <c r="BS44" s="59"/>
    </row>
    <row r="45" spans="1:71" ht="29.25" hidden="1">
      <c r="A45" s="279">
        <v>7</v>
      </c>
      <c r="B45" s="132"/>
      <c r="C45" s="390">
        <v>1001001114</v>
      </c>
      <c r="D45" s="391" t="s">
        <v>384</v>
      </c>
      <c r="E45" s="392" t="s">
        <v>377</v>
      </c>
      <c r="F45" s="392"/>
      <c r="G45" s="393"/>
      <c r="H45" s="394">
        <v>0</v>
      </c>
      <c r="I45" s="300">
        <f t="shared" si="3"/>
        <v>0</v>
      </c>
      <c r="J45" s="129">
        <v>0</v>
      </c>
      <c r="K45" s="117"/>
      <c r="L45" s="292"/>
      <c r="M45" s="211"/>
      <c r="N45" s="59"/>
      <c r="O45" s="96"/>
      <c r="P45" s="59"/>
      <c r="Q45" s="59"/>
      <c r="R45" s="59"/>
      <c r="S45" s="59"/>
      <c r="T45" s="44"/>
      <c r="U45" s="59"/>
      <c r="V45" s="59"/>
      <c r="W45" s="293"/>
      <c r="X45" s="59"/>
      <c r="Y45" s="96"/>
      <c r="Z45" s="59"/>
      <c r="AA45" s="59"/>
      <c r="AB45" s="59"/>
      <c r="AC45" s="59"/>
      <c r="AD45" s="44"/>
      <c r="AE45" s="59"/>
      <c r="AF45" s="59"/>
      <c r="AG45" s="139"/>
      <c r="AH45" s="59"/>
      <c r="AI45" s="96"/>
      <c r="AJ45" s="59"/>
      <c r="AK45" s="59"/>
      <c r="AL45" s="59"/>
      <c r="AM45" s="59"/>
      <c r="AN45" s="44"/>
      <c r="AO45" s="59"/>
      <c r="AP45" s="59"/>
      <c r="AQ45" s="294"/>
      <c r="AR45" s="59"/>
      <c r="AS45" s="96"/>
      <c r="AT45" s="59"/>
      <c r="AU45" s="59"/>
      <c r="AV45" s="59"/>
      <c r="AW45" s="59"/>
      <c r="AX45" s="44"/>
      <c r="AY45" s="59"/>
      <c r="AZ45" s="59"/>
      <c r="BA45" s="214"/>
      <c r="BB45" s="59"/>
      <c r="BC45" s="96"/>
      <c r="BD45" s="59"/>
      <c r="BE45" s="59"/>
      <c r="BF45" s="59"/>
      <c r="BG45" s="59"/>
      <c r="BH45" s="44"/>
      <c r="BI45" s="59"/>
      <c r="BJ45" s="59"/>
      <c r="BK45" s="295"/>
      <c r="BL45" s="59">
        <v>0</v>
      </c>
      <c r="BM45" s="96">
        <f t="shared" si="4"/>
        <v>0</v>
      </c>
      <c r="BN45" s="59">
        <v>0</v>
      </c>
      <c r="BO45" s="59">
        <v>0</v>
      </c>
      <c r="BP45" s="59">
        <v>0</v>
      </c>
      <c r="BQ45" s="59">
        <v>0</v>
      </c>
      <c r="BR45" s="44">
        <f t="shared" si="5"/>
        <v>0</v>
      </c>
      <c r="BS45" s="59"/>
    </row>
    <row r="46" spans="1:71" ht="29.25" hidden="1">
      <c r="A46" s="168">
        <v>11</v>
      </c>
      <c r="B46" s="170"/>
      <c r="C46" s="206">
        <v>1113225</v>
      </c>
      <c r="D46" s="207" t="s">
        <v>451</v>
      </c>
      <c r="E46" s="217" t="s">
        <v>42</v>
      </c>
      <c r="F46" s="169"/>
      <c r="G46" s="183"/>
      <c r="H46" s="184"/>
      <c r="I46" s="215">
        <f t="shared" si="3"/>
        <v>0</v>
      </c>
      <c r="J46" s="184"/>
      <c r="K46" s="185"/>
      <c r="L46" s="252"/>
      <c r="M46" s="223"/>
      <c r="N46" s="219"/>
      <c r="O46" s="96"/>
      <c r="P46" s="59"/>
      <c r="Q46" s="59"/>
      <c r="R46" s="59"/>
      <c r="S46" s="59"/>
      <c r="T46" s="44"/>
      <c r="U46" s="59"/>
      <c r="V46" s="218"/>
      <c r="W46" s="224"/>
      <c r="X46" s="219"/>
      <c r="Y46" s="96"/>
      <c r="Z46" s="59"/>
      <c r="AA46" s="59"/>
      <c r="AB46" s="59"/>
      <c r="AC46" s="59"/>
      <c r="AD46" s="44"/>
      <c r="AE46" s="59"/>
      <c r="AF46" s="218"/>
      <c r="AG46" s="257"/>
      <c r="AH46" s="219"/>
      <c r="AI46" s="96"/>
      <c r="AJ46" s="59"/>
      <c r="AK46" s="59"/>
      <c r="AL46" s="59"/>
      <c r="AM46" s="59"/>
      <c r="AN46" s="44"/>
      <c r="AO46" s="59"/>
      <c r="AP46" s="218"/>
      <c r="AQ46" s="520"/>
      <c r="AR46" s="219"/>
      <c r="AS46" s="96"/>
      <c r="AT46" s="59"/>
      <c r="AU46" s="59"/>
      <c r="AV46" s="59"/>
      <c r="AW46" s="59"/>
      <c r="AX46" s="44"/>
      <c r="AY46" s="59"/>
      <c r="AZ46" s="218"/>
      <c r="BA46" s="261"/>
      <c r="BB46" s="219"/>
      <c r="BC46" s="96"/>
      <c r="BD46" s="59"/>
      <c r="BE46" s="59"/>
      <c r="BF46" s="59"/>
      <c r="BG46" s="59"/>
      <c r="BH46" s="44"/>
      <c r="BI46" s="59"/>
      <c r="BJ46" s="218"/>
      <c r="BK46" s="204"/>
      <c r="BL46" s="219"/>
      <c r="BM46" s="96"/>
      <c r="BN46" s="59"/>
      <c r="BO46" s="59"/>
      <c r="BP46" s="59"/>
      <c r="BQ46" s="59"/>
      <c r="BR46" s="44"/>
      <c r="BS46" s="59"/>
    </row>
    <row r="47" spans="1:71" ht="24" customHeight="1">
      <c r="A47" s="358">
        <v>6</v>
      </c>
      <c r="B47" s="245"/>
      <c r="C47" s="452">
        <v>20059547</v>
      </c>
      <c r="D47" s="280" t="s">
        <v>424</v>
      </c>
      <c r="E47" s="182" t="s">
        <v>69</v>
      </c>
      <c r="F47" s="480"/>
      <c r="G47" s="480"/>
      <c r="H47" s="453"/>
      <c r="I47" s="254">
        <f t="shared" si="3"/>
        <v>0</v>
      </c>
      <c r="J47" s="454"/>
      <c r="K47" s="480"/>
      <c r="L47" s="308"/>
      <c r="M47" s="450"/>
      <c r="W47" s="451"/>
      <c r="AG47" s="481"/>
      <c r="AQ47" s="455"/>
      <c r="BA47" s="456"/>
      <c r="BK47" s="314"/>
    </row>
    <row r="48" spans="1:71" ht="24" customHeight="1">
      <c r="A48" s="168">
        <v>7</v>
      </c>
      <c r="B48" s="170"/>
      <c r="C48" s="239">
        <v>20059548</v>
      </c>
      <c r="D48" s="188" t="s">
        <v>425</v>
      </c>
      <c r="E48" s="169" t="s">
        <v>69</v>
      </c>
      <c r="F48" s="186"/>
      <c r="G48" s="186"/>
      <c r="H48" s="240"/>
      <c r="I48" s="232">
        <f t="shared" si="3"/>
        <v>0</v>
      </c>
      <c r="J48" s="241"/>
      <c r="K48" s="186"/>
      <c r="L48" s="233"/>
      <c r="M48" s="234"/>
      <c r="W48" s="235"/>
      <c r="AG48" s="236"/>
      <c r="AQ48" s="237"/>
      <c r="BA48" s="238"/>
      <c r="BK48" s="297"/>
    </row>
    <row r="49" spans="1:71" ht="24" customHeight="1">
      <c r="A49" s="168">
        <v>8</v>
      </c>
      <c r="B49" s="245"/>
      <c r="C49" s="206">
        <v>20060019</v>
      </c>
      <c r="D49" s="188" t="s">
        <v>408</v>
      </c>
      <c r="E49" s="169" t="s">
        <v>69</v>
      </c>
      <c r="F49" s="186"/>
      <c r="G49" s="186"/>
      <c r="H49" s="184"/>
      <c r="I49" s="232">
        <f t="shared" si="3"/>
        <v>0</v>
      </c>
      <c r="J49" s="232"/>
      <c r="K49" s="186"/>
      <c r="L49" s="233"/>
      <c r="M49" s="223"/>
      <c r="W49" s="224"/>
      <c r="AG49" s="244"/>
      <c r="AQ49" s="203"/>
      <c r="BA49" s="243"/>
      <c r="BK49" s="297"/>
    </row>
    <row r="50" spans="1:71" ht="24" customHeight="1">
      <c r="A50" s="168">
        <v>9</v>
      </c>
      <c r="B50" s="229"/>
      <c r="C50" s="169">
        <v>20059087</v>
      </c>
      <c r="D50" s="246" t="s">
        <v>239</v>
      </c>
      <c r="E50" s="169" t="s">
        <v>69</v>
      </c>
      <c r="F50" s="186"/>
      <c r="G50" s="186"/>
      <c r="H50" s="184"/>
      <c r="I50" s="232">
        <f t="shared" si="3"/>
        <v>0</v>
      </c>
      <c r="J50" s="232"/>
      <c r="K50" s="186"/>
      <c r="L50" s="233"/>
      <c r="M50" s="223"/>
      <c r="W50" s="224"/>
      <c r="AG50" s="244"/>
      <c r="AQ50" s="203"/>
      <c r="BA50" s="243"/>
      <c r="BK50" s="297"/>
    </row>
    <row r="51" spans="1:71" ht="24.75" customHeight="1">
      <c r="A51" s="168">
        <v>10</v>
      </c>
      <c r="B51" s="229"/>
      <c r="C51" s="247">
        <v>20060974</v>
      </c>
      <c r="D51" s="246" t="s">
        <v>427</v>
      </c>
      <c r="E51" s="169" t="s">
        <v>69</v>
      </c>
      <c r="F51" s="186"/>
      <c r="G51" s="186"/>
      <c r="H51" s="184"/>
      <c r="I51" s="232">
        <f t="shared" si="3"/>
        <v>0</v>
      </c>
      <c r="J51" s="232"/>
      <c r="K51" s="186"/>
      <c r="L51" s="233"/>
      <c r="M51" s="223"/>
      <c r="W51" s="224"/>
      <c r="AG51" s="244"/>
      <c r="AQ51" s="203"/>
      <c r="BA51" s="243"/>
      <c r="BK51" s="297"/>
    </row>
    <row r="52" spans="1:71" ht="24.75" customHeight="1">
      <c r="A52" s="168">
        <v>11</v>
      </c>
      <c r="B52" s="229"/>
      <c r="C52" s="247">
        <v>20060976</v>
      </c>
      <c r="D52" s="246" t="s">
        <v>436</v>
      </c>
      <c r="E52" s="169" t="s">
        <v>69</v>
      </c>
      <c r="F52" s="186"/>
      <c r="G52" s="186"/>
      <c r="H52" s="184"/>
      <c r="I52" s="232">
        <f t="shared" si="3"/>
        <v>0</v>
      </c>
      <c r="J52" s="232"/>
      <c r="K52" s="186"/>
      <c r="L52" s="233"/>
      <c r="M52" s="223"/>
      <c r="W52" s="224"/>
      <c r="AG52" s="244"/>
      <c r="AQ52" s="203"/>
      <c r="BA52" s="243"/>
      <c r="BK52" s="297"/>
    </row>
    <row r="53" spans="1:71" ht="27.75" customHeight="1">
      <c r="A53" s="168">
        <v>12</v>
      </c>
      <c r="B53" s="229"/>
      <c r="C53" s="247">
        <v>20060973</v>
      </c>
      <c r="D53" s="262" t="s">
        <v>429</v>
      </c>
      <c r="E53" s="169" t="s">
        <v>69</v>
      </c>
      <c r="F53" s="186"/>
      <c r="G53" s="186"/>
      <c r="H53" s="184"/>
      <c r="I53" s="232">
        <f t="shared" si="3"/>
        <v>0</v>
      </c>
      <c r="J53" s="232"/>
      <c r="K53" s="186"/>
      <c r="L53" s="233"/>
      <c r="M53" s="223"/>
      <c r="W53" s="224"/>
      <c r="AG53" s="244"/>
      <c r="AQ53" s="203"/>
      <c r="BA53" s="243"/>
      <c r="BK53" s="297"/>
    </row>
    <row r="54" spans="1:71" ht="26.25" customHeight="1">
      <c r="A54" s="168">
        <v>13</v>
      </c>
      <c r="B54" s="229"/>
      <c r="C54" s="247">
        <v>20061982</v>
      </c>
      <c r="D54" s="262" t="s">
        <v>430</v>
      </c>
      <c r="E54" s="169" t="s">
        <v>69</v>
      </c>
      <c r="F54" s="186"/>
      <c r="G54" s="186"/>
      <c r="H54" s="184"/>
      <c r="I54" s="232">
        <f t="shared" si="3"/>
        <v>0</v>
      </c>
      <c r="J54" s="232"/>
      <c r="K54" s="186"/>
      <c r="L54" s="233"/>
      <c r="M54" s="223"/>
      <c r="W54" s="224"/>
      <c r="AG54" s="244"/>
      <c r="AQ54" s="203"/>
      <c r="BA54" s="243"/>
      <c r="BK54" s="297"/>
    </row>
    <row r="55" spans="1:71" ht="32.25" customHeight="1">
      <c r="A55" s="168">
        <v>14</v>
      </c>
      <c r="B55" s="170"/>
      <c r="C55" s="247">
        <v>20062915</v>
      </c>
      <c r="D55" s="283" t="s">
        <v>431</v>
      </c>
      <c r="E55" s="169" t="s">
        <v>69</v>
      </c>
      <c r="F55" s="186"/>
      <c r="G55" s="186"/>
      <c r="H55" s="184"/>
      <c r="I55" s="232">
        <f t="shared" si="3"/>
        <v>0</v>
      </c>
      <c r="J55" s="232"/>
      <c r="K55" s="186"/>
      <c r="L55" s="233"/>
      <c r="M55" s="223"/>
      <c r="W55" s="224"/>
      <c r="AG55" s="244"/>
      <c r="AQ55" s="203"/>
      <c r="BA55" s="243"/>
      <c r="BK55" s="297"/>
    </row>
    <row r="56" spans="1:71" ht="32.25" customHeight="1">
      <c r="A56" s="168">
        <v>15</v>
      </c>
      <c r="B56" s="170"/>
      <c r="C56" s="247">
        <v>20063266</v>
      </c>
      <c r="D56" s="283" t="s">
        <v>438</v>
      </c>
      <c r="E56" s="169" t="s">
        <v>69</v>
      </c>
      <c r="F56" s="186"/>
      <c r="G56" s="186"/>
      <c r="H56" s="184"/>
      <c r="I56" s="232">
        <f t="shared" si="3"/>
        <v>0</v>
      </c>
      <c r="J56" s="232"/>
      <c r="K56" s="186"/>
      <c r="L56" s="233"/>
      <c r="M56" s="223"/>
      <c r="W56" s="224"/>
      <c r="AG56" s="244"/>
      <c r="AQ56" s="203"/>
      <c r="BA56" s="243"/>
      <c r="BK56" s="297"/>
    </row>
    <row r="57" spans="1:71" ht="32.25" customHeight="1">
      <c r="A57" s="168">
        <v>16</v>
      </c>
      <c r="B57" s="170"/>
      <c r="C57" s="247">
        <v>20062916</v>
      </c>
      <c r="D57" s="283" t="s">
        <v>413</v>
      </c>
      <c r="E57" s="169" t="s">
        <v>69</v>
      </c>
      <c r="F57" s="186"/>
      <c r="G57" s="186"/>
      <c r="H57" s="184"/>
      <c r="I57" s="232">
        <f t="shared" si="3"/>
        <v>0</v>
      </c>
      <c r="J57" s="232"/>
      <c r="K57" s="186"/>
      <c r="L57" s="233"/>
      <c r="M57" s="223"/>
      <c r="W57" s="224"/>
      <c r="AG57" s="244"/>
      <c r="AQ57" s="203"/>
      <c r="BA57" s="243"/>
      <c r="BK57" s="297"/>
    </row>
    <row r="58" spans="1:71" ht="32.25" customHeight="1">
      <c r="A58" s="168">
        <v>17</v>
      </c>
      <c r="B58" s="170"/>
      <c r="C58" s="247">
        <v>20063380</v>
      </c>
      <c r="D58" s="283" t="s">
        <v>414</v>
      </c>
      <c r="E58" s="169" t="s">
        <v>69</v>
      </c>
      <c r="F58" s="186"/>
      <c r="G58" s="186"/>
      <c r="H58" s="184"/>
      <c r="I58" s="232">
        <f t="shared" si="3"/>
        <v>0</v>
      </c>
      <c r="J58" s="232"/>
      <c r="K58" s="186"/>
      <c r="L58" s="233"/>
      <c r="M58" s="223"/>
      <c r="W58" s="224"/>
      <c r="AG58" s="244"/>
      <c r="AQ58" s="203"/>
      <c r="BA58" s="243"/>
      <c r="BK58" s="297"/>
    </row>
    <row r="59" spans="1:71" ht="30" customHeight="1">
      <c r="A59" s="168">
        <v>18</v>
      </c>
      <c r="B59" s="170"/>
      <c r="C59" s="247">
        <v>20063468</v>
      </c>
      <c r="D59" s="283" t="s">
        <v>417</v>
      </c>
      <c r="E59" s="169" t="s">
        <v>69</v>
      </c>
      <c r="F59" s="186"/>
      <c r="G59" s="186"/>
      <c r="H59" s="184"/>
      <c r="I59" s="232">
        <f t="shared" si="3"/>
        <v>0</v>
      </c>
      <c r="J59" s="232"/>
      <c r="K59" s="186"/>
      <c r="L59" s="233"/>
      <c r="M59" s="223"/>
      <c r="W59" s="224"/>
      <c r="AG59" s="244"/>
      <c r="AQ59" s="203"/>
      <c r="BA59" s="243"/>
      <c r="BK59" s="297"/>
    </row>
    <row r="60" spans="1:71" ht="30" customHeight="1">
      <c r="A60" s="168">
        <v>19</v>
      </c>
      <c r="B60" s="170"/>
      <c r="C60" s="285">
        <v>20064190</v>
      </c>
      <c r="D60" s="307" t="s">
        <v>449</v>
      </c>
      <c r="E60" s="169" t="s">
        <v>69</v>
      </c>
      <c r="F60" s="188"/>
      <c r="G60" s="188"/>
      <c r="H60" s="184"/>
      <c r="I60" s="232">
        <f t="shared" si="3"/>
        <v>0</v>
      </c>
      <c r="J60" s="232"/>
      <c r="K60" s="186"/>
      <c r="L60" s="233"/>
      <c r="M60" s="223"/>
      <c r="W60" s="224"/>
      <c r="AG60" s="244"/>
      <c r="AQ60" s="203"/>
      <c r="BA60" s="243"/>
      <c r="BK60" s="297"/>
    </row>
    <row r="61" spans="1:71" ht="30" customHeight="1">
      <c r="A61" s="168">
        <v>20</v>
      </c>
      <c r="B61" s="170"/>
      <c r="C61" s="285">
        <v>20064191</v>
      </c>
      <c r="D61" s="307" t="s">
        <v>447</v>
      </c>
      <c r="E61" s="169" t="s">
        <v>69</v>
      </c>
      <c r="F61" s="188"/>
      <c r="G61" s="188"/>
      <c r="H61" s="184"/>
      <c r="I61" s="232">
        <f t="shared" ref="I61:I70" si="6">SUM(L61,M61,W61,AG61,AQ61,BA61,BK61)</f>
        <v>0</v>
      </c>
      <c r="J61" s="232"/>
      <c r="K61" s="186"/>
      <c r="L61" s="233"/>
      <c r="M61" s="223"/>
      <c r="W61" s="224"/>
      <c r="AG61" s="244"/>
      <c r="AQ61" s="203"/>
      <c r="BA61" s="243"/>
      <c r="BK61" s="297"/>
    </row>
    <row r="62" spans="1:71" ht="30" customHeight="1">
      <c r="A62" s="279">
        <v>21</v>
      </c>
      <c r="B62" s="402"/>
      <c r="C62" s="84">
        <v>20064271</v>
      </c>
      <c r="D62" s="439" t="s">
        <v>448</v>
      </c>
      <c r="E62" s="226" t="s">
        <v>69</v>
      </c>
      <c r="F62" s="427"/>
      <c r="G62" s="427"/>
      <c r="H62" s="228"/>
      <c r="I62" s="405">
        <f t="shared" si="6"/>
        <v>0</v>
      </c>
      <c r="J62" s="405"/>
      <c r="K62" s="512"/>
      <c r="L62" s="406"/>
      <c r="M62" s="423"/>
      <c r="W62" s="424"/>
      <c r="AG62" s="425"/>
      <c r="AQ62" s="426"/>
      <c r="BA62" s="428"/>
      <c r="BK62" s="430"/>
    </row>
    <row r="63" spans="1:71" s="164" customFormat="1" ht="30" customHeight="1">
      <c r="A63" s="168">
        <v>22</v>
      </c>
      <c r="B63" s="170"/>
      <c r="C63" s="429">
        <v>20064365</v>
      </c>
      <c r="D63" s="188" t="s">
        <v>463</v>
      </c>
      <c r="E63" s="169" t="s">
        <v>69</v>
      </c>
      <c r="F63" s="188"/>
      <c r="G63" s="188"/>
      <c r="H63" s="184"/>
      <c r="I63" s="232">
        <f t="shared" si="6"/>
        <v>0</v>
      </c>
      <c r="J63" s="232"/>
      <c r="K63" s="188"/>
      <c r="L63" s="233"/>
      <c r="M63" s="223"/>
      <c r="N63" s="42"/>
      <c r="O63" s="42"/>
      <c r="P63" s="42"/>
      <c r="Q63" s="42"/>
      <c r="R63" s="42"/>
      <c r="S63" s="42"/>
      <c r="T63" s="42"/>
      <c r="U63" s="42"/>
      <c r="V63" s="42"/>
      <c r="W63" s="224"/>
      <c r="X63" s="42"/>
      <c r="Y63" s="42"/>
      <c r="Z63" s="42"/>
      <c r="AA63" s="42"/>
      <c r="AB63" s="42"/>
      <c r="AC63" s="42"/>
      <c r="AD63" s="42"/>
      <c r="AE63" s="42"/>
      <c r="AF63" s="42"/>
      <c r="AG63" s="244"/>
      <c r="AH63" s="42"/>
      <c r="AI63" s="42"/>
      <c r="AJ63" s="42"/>
      <c r="AK63" s="42"/>
      <c r="AL63" s="42"/>
      <c r="AM63" s="42"/>
      <c r="AN63" s="42"/>
      <c r="AO63" s="42"/>
      <c r="AP63" s="42"/>
      <c r="AQ63" s="203"/>
      <c r="AR63" s="42"/>
      <c r="AS63" s="42"/>
      <c r="AT63" s="42"/>
      <c r="AU63" s="42"/>
      <c r="AV63" s="42"/>
      <c r="AW63" s="42"/>
      <c r="AX63" s="42"/>
      <c r="AY63" s="42"/>
      <c r="AZ63" s="42"/>
      <c r="BA63" s="243"/>
      <c r="BB63" s="42"/>
      <c r="BC63" s="42"/>
      <c r="BD63" s="42"/>
      <c r="BE63" s="42"/>
      <c r="BF63" s="42"/>
      <c r="BG63" s="42"/>
      <c r="BH63" s="42"/>
      <c r="BI63" s="42"/>
      <c r="BJ63" s="42"/>
      <c r="BK63" s="297"/>
      <c r="BL63" s="42"/>
      <c r="BM63" s="42"/>
      <c r="BN63" s="42"/>
      <c r="BO63" s="42"/>
      <c r="BP63" s="42"/>
      <c r="BQ63" s="42"/>
      <c r="BR63" s="42"/>
      <c r="BS63" s="42"/>
    </row>
    <row r="64" spans="1:71" s="164" customFormat="1" ht="30" customHeight="1">
      <c r="A64" s="168">
        <v>2</v>
      </c>
      <c r="B64" s="170"/>
      <c r="C64" s="429">
        <v>20064787</v>
      </c>
      <c r="D64" s="321" t="s">
        <v>443</v>
      </c>
      <c r="E64" s="169" t="s">
        <v>69</v>
      </c>
      <c r="F64" s="188"/>
      <c r="G64" s="188"/>
      <c r="H64" s="184"/>
      <c r="I64" s="232">
        <f t="shared" si="6"/>
        <v>0</v>
      </c>
      <c r="J64" s="232"/>
      <c r="K64" s="188"/>
      <c r="L64" s="233"/>
      <c r="M64" s="223"/>
      <c r="N64" s="42"/>
      <c r="O64" s="42"/>
      <c r="P64" s="42"/>
      <c r="Q64" s="42"/>
      <c r="R64" s="42"/>
      <c r="S64" s="42"/>
      <c r="T64" s="42"/>
      <c r="U64" s="42"/>
      <c r="V64" s="42"/>
      <c r="W64" s="224"/>
      <c r="X64" s="42"/>
      <c r="Y64" s="42"/>
      <c r="Z64" s="42"/>
      <c r="AA64" s="42"/>
      <c r="AB64" s="42"/>
      <c r="AC64" s="42"/>
      <c r="AD64" s="42"/>
      <c r="AE64" s="42"/>
      <c r="AF64" s="42"/>
      <c r="AG64" s="244"/>
      <c r="AH64" s="42"/>
      <c r="AI64" s="42"/>
      <c r="AJ64" s="42"/>
      <c r="AK64" s="42"/>
      <c r="AL64" s="42"/>
      <c r="AM64" s="42"/>
      <c r="AN64" s="42"/>
      <c r="AO64" s="42"/>
      <c r="AP64" s="42"/>
      <c r="AQ64" s="203"/>
      <c r="AR64" s="42"/>
      <c r="AS64" s="42"/>
      <c r="AT64" s="42"/>
      <c r="AU64" s="42"/>
      <c r="AV64" s="42"/>
      <c r="AW64" s="42"/>
      <c r="AX64" s="42"/>
      <c r="AY64" s="42"/>
      <c r="AZ64" s="42"/>
      <c r="BA64" s="243"/>
      <c r="BB64" s="42"/>
      <c r="BC64" s="42"/>
      <c r="BD64" s="42"/>
      <c r="BE64" s="42"/>
      <c r="BF64" s="42"/>
      <c r="BG64" s="42"/>
      <c r="BH64" s="42"/>
      <c r="BI64" s="42"/>
      <c r="BJ64" s="42"/>
      <c r="BK64" s="297"/>
      <c r="BL64" s="42"/>
      <c r="BM64" s="42"/>
      <c r="BN64" s="42"/>
      <c r="BO64" s="42"/>
      <c r="BP64" s="42"/>
      <c r="BQ64" s="42"/>
      <c r="BR64" s="42"/>
      <c r="BS64" s="42"/>
    </row>
    <row r="65" spans="1:71" s="164" customFormat="1" ht="30" customHeight="1">
      <c r="A65" s="168">
        <v>24</v>
      </c>
      <c r="B65" s="170"/>
      <c r="C65" s="429">
        <v>20064791</v>
      </c>
      <c r="D65" s="321" t="s">
        <v>444</v>
      </c>
      <c r="E65" s="169" t="s">
        <v>69</v>
      </c>
      <c r="F65" s="188"/>
      <c r="G65" s="188"/>
      <c r="H65" s="184"/>
      <c r="I65" s="232">
        <f t="shared" si="6"/>
        <v>0</v>
      </c>
      <c r="J65" s="232"/>
      <c r="K65" s="188"/>
      <c r="L65" s="233"/>
      <c r="M65" s="223"/>
      <c r="N65" s="42"/>
      <c r="O65" s="42"/>
      <c r="P65" s="42"/>
      <c r="Q65" s="42"/>
      <c r="R65" s="42"/>
      <c r="S65" s="42"/>
      <c r="T65" s="42"/>
      <c r="U65" s="42"/>
      <c r="V65" s="42"/>
      <c r="W65" s="224"/>
      <c r="X65" s="42"/>
      <c r="Y65" s="42"/>
      <c r="Z65" s="42"/>
      <c r="AA65" s="42"/>
      <c r="AB65" s="42"/>
      <c r="AC65" s="42"/>
      <c r="AD65" s="42"/>
      <c r="AE65" s="42"/>
      <c r="AF65" s="42"/>
      <c r="AG65" s="244"/>
      <c r="AH65" s="42"/>
      <c r="AI65" s="42"/>
      <c r="AJ65" s="42"/>
      <c r="AK65" s="42"/>
      <c r="AL65" s="42"/>
      <c r="AM65" s="42"/>
      <c r="AN65" s="42"/>
      <c r="AO65" s="42"/>
      <c r="AP65" s="42"/>
      <c r="AQ65" s="203"/>
      <c r="AR65" s="42"/>
      <c r="AS65" s="42"/>
      <c r="AT65" s="42"/>
      <c r="AU65" s="42"/>
      <c r="AV65" s="42"/>
      <c r="AW65" s="42"/>
      <c r="AX65" s="42"/>
      <c r="AY65" s="42"/>
      <c r="AZ65" s="42"/>
      <c r="BA65" s="243"/>
      <c r="BB65" s="42"/>
      <c r="BC65" s="42"/>
      <c r="BD65" s="42"/>
      <c r="BE65" s="42"/>
      <c r="BF65" s="42"/>
      <c r="BG65" s="42"/>
      <c r="BH65" s="42"/>
      <c r="BI65" s="42"/>
      <c r="BJ65" s="42"/>
      <c r="BK65" s="297"/>
      <c r="BL65" s="42"/>
      <c r="BM65" s="42"/>
      <c r="BN65" s="42"/>
      <c r="BO65" s="42"/>
      <c r="BP65" s="42"/>
      <c r="BQ65" s="42"/>
      <c r="BR65" s="42"/>
      <c r="BS65" s="42"/>
    </row>
    <row r="66" spans="1:71" s="164" customFormat="1" ht="30" customHeight="1">
      <c r="A66" s="168">
        <v>25</v>
      </c>
      <c r="B66" s="170"/>
      <c r="C66" s="429">
        <v>20064861</v>
      </c>
      <c r="D66" s="321" t="s">
        <v>445</v>
      </c>
      <c r="E66" s="169" t="s">
        <v>69</v>
      </c>
      <c r="F66" s="188"/>
      <c r="G66" s="188"/>
      <c r="H66" s="184"/>
      <c r="I66" s="232">
        <f t="shared" si="6"/>
        <v>0</v>
      </c>
      <c r="J66" s="232"/>
      <c r="K66" s="188"/>
      <c r="L66" s="233"/>
      <c r="M66" s="223"/>
      <c r="N66" s="42"/>
      <c r="O66" s="42"/>
      <c r="P66" s="42"/>
      <c r="Q66" s="42"/>
      <c r="R66" s="42"/>
      <c r="S66" s="42"/>
      <c r="T66" s="42"/>
      <c r="U66" s="42"/>
      <c r="V66" s="42"/>
      <c r="W66" s="224"/>
      <c r="X66" s="42"/>
      <c r="Y66" s="42"/>
      <c r="Z66" s="42"/>
      <c r="AA66" s="42"/>
      <c r="AB66" s="42"/>
      <c r="AC66" s="42"/>
      <c r="AD66" s="42"/>
      <c r="AE66" s="42"/>
      <c r="AF66" s="42"/>
      <c r="AG66" s="244"/>
      <c r="AH66" s="42"/>
      <c r="AI66" s="42"/>
      <c r="AJ66" s="42"/>
      <c r="AK66" s="42"/>
      <c r="AL66" s="42"/>
      <c r="AM66" s="42"/>
      <c r="AN66" s="42"/>
      <c r="AO66" s="42"/>
      <c r="AP66" s="42"/>
      <c r="AQ66" s="203"/>
      <c r="AR66" s="42"/>
      <c r="AS66" s="42"/>
      <c r="AT66" s="42"/>
      <c r="AU66" s="42"/>
      <c r="AV66" s="42"/>
      <c r="AW66" s="42"/>
      <c r="AX66" s="42"/>
      <c r="AY66" s="42"/>
      <c r="AZ66" s="42"/>
      <c r="BA66" s="243"/>
      <c r="BB66" s="42"/>
      <c r="BC66" s="42"/>
      <c r="BD66" s="42"/>
      <c r="BE66" s="42"/>
      <c r="BF66" s="42"/>
      <c r="BG66" s="42"/>
      <c r="BH66" s="42"/>
      <c r="BI66" s="42"/>
      <c r="BJ66" s="42"/>
      <c r="BK66" s="297"/>
      <c r="BL66" s="42"/>
      <c r="BM66" s="42"/>
      <c r="BN66" s="42"/>
      <c r="BO66" s="42"/>
      <c r="BP66" s="42"/>
      <c r="BQ66" s="42"/>
      <c r="BR66" s="42"/>
      <c r="BS66" s="42"/>
    </row>
    <row r="67" spans="1:71" s="164" customFormat="1" ht="30" hidden="1" customHeight="1">
      <c r="A67" s="168">
        <v>12</v>
      </c>
      <c r="B67" s="170"/>
      <c r="C67" s="420">
        <v>1113237</v>
      </c>
      <c r="D67" s="321" t="s">
        <v>454</v>
      </c>
      <c r="E67" s="217" t="s">
        <v>42</v>
      </c>
      <c r="F67" s="169"/>
      <c r="G67" s="183"/>
      <c r="H67" s="184"/>
      <c r="I67" s="215">
        <f t="shared" si="6"/>
        <v>0</v>
      </c>
      <c r="J67" s="232"/>
      <c r="K67" s="188"/>
      <c r="L67" s="252"/>
      <c r="M67" s="223"/>
      <c r="N67" s="42"/>
      <c r="O67" s="42"/>
      <c r="P67" s="42"/>
      <c r="Q67" s="42"/>
      <c r="R67" s="42"/>
      <c r="S67" s="42"/>
      <c r="T67" s="42"/>
      <c r="U67" s="42"/>
      <c r="V67" s="42"/>
      <c r="W67" s="224"/>
      <c r="X67" s="42"/>
      <c r="Y67" s="42"/>
      <c r="Z67" s="42"/>
      <c r="AA67" s="42"/>
      <c r="AB67" s="42"/>
      <c r="AC67" s="42"/>
      <c r="AD67" s="42"/>
      <c r="AE67" s="42"/>
      <c r="AF67" s="42"/>
      <c r="AG67" s="244"/>
      <c r="AH67" s="42"/>
      <c r="AI67" s="42"/>
      <c r="AJ67" s="42"/>
      <c r="AK67" s="42"/>
      <c r="AL67" s="42"/>
      <c r="AM67" s="42"/>
      <c r="AN67" s="42"/>
      <c r="AO67" s="42"/>
      <c r="AP67" s="42"/>
      <c r="AQ67" s="519"/>
      <c r="AR67" s="42"/>
      <c r="AS67" s="42"/>
      <c r="AT67" s="42"/>
      <c r="AU67" s="42"/>
      <c r="AV67" s="42"/>
      <c r="AW67" s="42"/>
      <c r="AX67" s="42"/>
      <c r="AY67" s="42"/>
      <c r="AZ67" s="42"/>
      <c r="BA67" s="243"/>
      <c r="BB67" s="42"/>
      <c r="BC67" s="42"/>
      <c r="BD67" s="42"/>
      <c r="BE67" s="42"/>
      <c r="BF67" s="42"/>
      <c r="BG67" s="42"/>
      <c r="BH67" s="42"/>
      <c r="BI67" s="42"/>
      <c r="BJ67" s="42"/>
      <c r="BK67" s="204"/>
      <c r="BL67" s="42"/>
      <c r="BM67" s="42"/>
      <c r="BN67" s="42"/>
      <c r="BO67" s="42"/>
      <c r="BP67" s="42"/>
      <c r="BQ67" s="42"/>
      <c r="BR67" s="42"/>
      <c r="BS67" s="42"/>
    </row>
    <row r="68" spans="1:71" s="164" customFormat="1" ht="30" hidden="1" customHeight="1">
      <c r="A68" s="168">
        <v>13</v>
      </c>
      <c r="B68" s="170"/>
      <c r="C68" s="420">
        <v>1113238</v>
      </c>
      <c r="D68" s="321" t="s">
        <v>455</v>
      </c>
      <c r="E68" s="217" t="s">
        <v>42</v>
      </c>
      <c r="F68" s="169"/>
      <c r="G68" s="183"/>
      <c r="H68" s="184"/>
      <c r="I68" s="215">
        <f t="shared" si="6"/>
        <v>0</v>
      </c>
      <c r="J68" s="232"/>
      <c r="K68" s="188"/>
      <c r="L68" s="252"/>
      <c r="M68" s="223"/>
      <c r="N68" s="42"/>
      <c r="O68" s="42"/>
      <c r="P68" s="42"/>
      <c r="Q68" s="42"/>
      <c r="R68" s="42"/>
      <c r="S68" s="42"/>
      <c r="T68" s="42"/>
      <c r="U68" s="42"/>
      <c r="V68" s="42"/>
      <c r="W68" s="224"/>
      <c r="X68" s="42"/>
      <c r="Y68" s="42"/>
      <c r="Z68" s="42"/>
      <c r="AA68" s="42"/>
      <c r="AB68" s="42"/>
      <c r="AC68" s="42"/>
      <c r="AD68" s="42"/>
      <c r="AE68" s="42"/>
      <c r="AF68" s="42"/>
      <c r="AG68" s="244"/>
      <c r="AH68" s="42"/>
      <c r="AI68" s="42"/>
      <c r="AJ68" s="42"/>
      <c r="AK68" s="42"/>
      <c r="AL68" s="42"/>
      <c r="AM68" s="42"/>
      <c r="AN68" s="42"/>
      <c r="AO68" s="42"/>
      <c r="AP68" s="42"/>
      <c r="AQ68" s="519"/>
      <c r="AR68" s="42"/>
      <c r="AS68" s="42"/>
      <c r="AT68" s="42"/>
      <c r="AU68" s="42"/>
      <c r="AV68" s="42"/>
      <c r="AW68" s="42"/>
      <c r="AX68" s="42"/>
      <c r="AY68" s="42"/>
      <c r="AZ68" s="42"/>
      <c r="BA68" s="243"/>
      <c r="BB68" s="42"/>
      <c r="BC68" s="42"/>
      <c r="BD68" s="42"/>
      <c r="BE68" s="42"/>
      <c r="BF68" s="42"/>
      <c r="BG68" s="42"/>
      <c r="BH68" s="42"/>
      <c r="BI68" s="42"/>
      <c r="BJ68" s="42"/>
      <c r="BK68" s="204"/>
      <c r="BL68" s="42"/>
      <c r="BM68" s="42"/>
      <c r="BN68" s="42"/>
      <c r="BO68" s="42"/>
      <c r="BP68" s="42"/>
      <c r="BQ68" s="42"/>
      <c r="BR68" s="42"/>
      <c r="BS68" s="42"/>
    </row>
    <row r="69" spans="1:71" s="164" customFormat="1" ht="30" hidden="1" customHeight="1">
      <c r="A69" s="358">
        <v>2</v>
      </c>
      <c r="B69" s="245"/>
      <c r="C69" s="469">
        <v>1112048</v>
      </c>
      <c r="D69" s="323" t="s">
        <v>441</v>
      </c>
      <c r="E69" s="182" t="s">
        <v>203</v>
      </c>
      <c r="F69" s="182"/>
      <c r="G69" s="359"/>
      <c r="H69" s="230"/>
      <c r="I69" s="360">
        <f t="shared" si="6"/>
        <v>0</v>
      </c>
      <c r="J69" s="254"/>
      <c r="K69" s="513"/>
      <c r="L69" s="514"/>
      <c r="M69" s="309"/>
      <c r="N69" s="42"/>
      <c r="O69" s="42"/>
      <c r="P69" s="42"/>
      <c r="Q69" s="42"/>
      <c r="R69" s="42"/>
      <c r="S69" s="42"/>
      <c r="T69" s="42"/>
      <c r="U69" s="42"/>
      <c r="V69" s="42"/>
      <c r="W69" s="310"/>
      <c r="X69" s="42"/>
      <c r="Y69" s="42"/>
      <c r="Z69" s="42"/>
      <c r="AA69" s="42"/>
      <c r="AB69" s="42"/>
      <c r="AC69" s="42"/>
      <c r="AD69" s="42"/>
      <c r="AE69" s="42"/>
      <c r="AF69" s="42"/>
      <c r="AG69" s="311"/>
      <c r="AH69" s="42"/>
      <c r="AI69" s="42"/>
      <c r="AJ69" s="42"/>
      <c r="AK69" s="42"/>
      <c r="AL69" s="42"/>
      <c r="AM69" s="42"/>
      <c r="AN69" s="42"/>
      <c r="AO69" s="42"/>
      <c r="AP69" s="42"/>
      <c r="AQ69" s="312"/>
      <c r="AR69" s="42"/>
      <c r="AS69" s="42"/>
      <c r="AT69" s="42"/>
      <c r="AU69" s="42"/>
      <c r="AV69" s="42"/>
      <c r="AW69" s="42"/>
      <c r="AX69" s="42"/>
      <c r="AY69" s="42"/>
      <c r="AZ69" s="42"/>
      <c r="BA69" s="313"/>
      <c r="BB69" s="42"/>
      <c r="BC69" s="42"/>
      <c r="BD69" s="42"/>
      <c r="BE69" s="42"/>
      <c r="BF69" s="42"/>
      <c r="BG69" s="42"/>
      <c r="BH69" s="42"/>
      <c r="BI69" s="42"/>
      <c r="BJ69" s="42"/>
      <c r="BK69" s="404"/>
      <c r="BL69" s="42"/>
      <c r="BM69" s="42"/>
      <c r="BN69" s="42"/>
      <c r="BO69" s="42"/>
      <c r="BP69" s="42"/>
      <c r="BQ69" s="42"/>
      <c r="BR69" s="42"/>
      <c r="BS69" s="42"/>
    </row>
    <row r="70" spans="1:71" s="164" customFormat="1" ht="30" hidden="1" customHeight="1">
      <c r="A70" s="168">
        <v>3</v>
      </c>
      <c r="B70" s="170"/>
      <c r="C70" s="420">
        <v>1112049</v>
      </c>
      <c r="D70" s="321" t="s">
        <v>442</v>
      </c>
      <c r="E70" s="169" t="s">
        <v>203</v>
      </c>
      <c r="F70" s="169"/>
      <c r="G70" s="183"/>
      <c r="H70" s="184"/>
      <c r="I70" s="215">
        <f t="shared" si="6"/>
        <v>0</v>
      </c>
      <c r="J70" s="232"/>
      <c r="K70" s="511"/>
      <c r="L70" s="252"/>
      <c r="M70" s="223"/>
      <c r="N70" s="42"/>
      <c r="O70" s="42"/>
      <c r="P70" s="42"/>
      <c r="Q70" s="42"/>
      <c r="R70" s="42"/>
      <c r="S70" s="42"/>
      <c r="T70" s="42"/>
      <c r="U70" s="42"/>
      <c r="V70" s="42"/>
      <c r="W70" s="224"/>
      <c r="X70" s="42"/>
      <c r="Y70" s="42"/>
      <c r="Z70" s="42"/>
      <c r="AA70" s="42"/>
      <c r="AB70" s="42"/>
      <c r="AC70" s="42"/>
      <c r="AD70" s="42"/>
      <c r="AE70" s="42"/>
      <c r="AF70" s="42"/>
      <c r="AG70" s="244"/>
      <c r="AH70" s="42"/>
      <c r="AI70" s="42"/>
      <c r="AJ70" s="42"/>
      <c r="AK70" s="42"/>
      <c r="AL70" s="42"/>
      <c r="AM70" s="42"/>
      <c r="AN70" s="42"/>
      <c r="AO70" s="42"/>
      <c r="AP70" s="42"/>
      <c r="AQ70" s="203"/>
      <c r="AR70" s="42"/>
      <c r="AS70" s="42"/>
      <c r="AT70" s="42"/>
      <c r="AU70" s="42"/>
      <c r="AV70" s="42"/>
      <c r="AW70" s="42"/>
      <c r="AX70" s="42"/>
      <c r="AY70" s="42"/>
      <c r="AZ70" s="42"/>
      <c r="BA70" s="243"/>
      <c r="BB70" s="42"/>
      <c r="BC70" s="42"/>
      <c r="BD70" s="42"/>
      <c r="BE70" s="42"/>
      <c r="BF70" s="42"/>
      <c r="BG70" s="42"/>
      <c r="BH70" s="42"/>
      <c r="BI70" s="42"/>
      <c r="BJ70" s="42"/>
      <c r="BK70" s="204"/>
      <c r="BL70" s="42"/>
      <c r="BM70" s="42"/>
      <c r="BN70" s="42"/>
      <c r="BO70" s="42"/>
      <c r="BP70" s="42"/>
      <c r="BQ70" s="42"/>
      <c r="BR70" s="42"/>
      <c r="BS70" s="42"/>
    </row>
  </sheetData>
  <autoFilter ref="E1:E70" xr:uid="{00000000-0001-0000-0700-000000000000}">
    <filterColumn colId="0">
      <filters>
        <filter val="CJ"/>
      </filters>
    </filterColumn>
  </autoFilter>
  <mergeCells count="3">
    <mergeCell ref="F1:G1"/>
    <mergeCell ref="H1:J1"/>
    <mergeCell ref="K1:BS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383" customFormat="1" ht="15.75" customHeight="1">
      <c r="A1" s="622" t="s">
        <v>14</v>
      </c>
      <c r="B1" s="626"/>
      <c r="C1" s="626"/>
      <c r="D1" s="626"/>
      <c r="E1" s="626"/>
      <c r="F1" s="623"/>
      <c r="G1" s="384"/>
      <c r="H1" s="622" t="s">
        <v>15</v>
      </c>
      <c r="I1" s="623"/>
      <c r="J1" s="623"/>
      <c r="K1" s="623"/>
      <c r="L1" s="623"/>
      <c r="M1" s="623"/>
      <c r="N1" s="384"/>
      <c r="O1" s="622" t="s">
        <v>16</v>
      </c>
      <c r="P1" s="623"/>
      <c r="Q1" s="623"/>
      <c r="R1" s="623"/>
      <c r="S1" s="623"/>
      <c r="T1" s="623"/>
      <c r="U1" s="384"/>
      <c r="V1" s="622" t="s">
        <v>17</v>
      </c>
      <c r="W1" s="623"/>
      <c r="X1" s="623"/>
      <c r="Y1" s="623"/>
      <c r="Z1" s="623"/>
      <c r="AA1" s="623"/>
      <c r="AB1" s="384"/>
      <c r="AC1" s="622" t="s">
        <v>385</v>
      </c>
      <c r="AD1" s="623"/>
      <c r="AE1" s="623"/>
      <c r="AF1" s="623"/>
      <c r="AG1" s="623"/>
      <c r="AH1" s="623"/>
      <c r="AI1" s="384"/>
      <c r="AJ1" s="622" t="s">
        <v>19</v>
      </c>
      <c r="AK1" s="623"/>
      <c r="AL1" s="623"/>
      <c r="AM1" s="623"/>
      <c r="AN1" s="623"/>
      <c r="AO1" s="623"/>
      <c r="AP1" s="384"/>
      <c r="AQ1" s="622" t="s">
        <v>386</v>
      </c>
      <c r="AR1" s="623"/>
      <c r="AS1" s="623"/>
      <c r="AT1" s="623"/>
      <c r="AU1" s="623"/>
      <c r="AV1" s="623"/>
      <c r="AW1" s="385"/>
      <c r="AX1" s="385"/>
      <c r="AY1" s="385"/>
      <c r="AZ1" s="385"/>
      <c r="BA1" s="385"/>
      <c r="BB1" s="385"/>
      <c r="BC1" s="385"/>
      <c r="BD1" s="385"/>
      <c r="BE1" s="385"/>
      <c r="BF1" s="385"/>
      <c r="BG1" s="385"/>
      <c r="BH1" s="385"/>
      <c r="BI1" s="385"/>
      <c r="BJ1" s="385"/>
      <c r="BK1" s="385"/>
      <c r="BL1" s="385"/>
      <c r="BM1" s="385"/>
      <c r="BN1" s="385"/>
      <c r="BO1" s="385"/>
      <c r="BP1" s="385"/>
      <c r="BQ1" s="385"/>
      <c r="BR1" s="385"/>
      <c r="BS1" s="385"/>
      <c r="BT1" s="385"/>
      <c r="BU1" s="385"/>
      <c r="BV1" s="385"/>
      <c r="BW1" s="386"/>
      <c r="BX1" s="386"/>
      <c r="BY1" s="385" t="s">
        <v>9</v>
      </c>
      <c r="BZ1" s="385"/>
      <c r="CA1" s="385"/>
      <c r="CB1" s="385"/>
      <c r="CC1" s="385"/>
      <c r="CD1" s="385"/>
      <c r="CE1" s="385"/>
      <c r="CF1" s="385"/>
      <c r="CG1" s="385"/>
      <c r="CH1" s="385"/>
      <c r="CI1" s="385"/>
      <c r="CJ1" s="385"/>
      <c r="CK1" s="385"/>
      <c r="CL1" s="385"/>
      <c r="CM1" s="385"/>
      <c r="CN1" s="385"/>
      <c r="CO1" s="385"/>
      <c r="CP1" s="385"/>
      <c r="CQ1" s="385"/>
      <c r="CR1" s="385"/>
      <c r="CS1" s="386"/>
      <c r="CT1" s="628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3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74"/>
  <sheetViews>
    <sheetView topLeftCell="A53" zoomScale="90" zoomScaleNormal="90" workbookViewId="0">
      <selection activeCell="E77" sqref="E77"/>
    </sheetView>
  </sheetViews>
  <sheetFormatPr defaultColWidth="12.7109375" defaultRowHeight="15.75" customHeight="1"/>
  <cols>
    <col min="1" max="1" width="12.7109375" style="318"/>
    <col min="2" max="2" width="4" style="318" customWidth="1"/>
    <col min="3" max="3" width="14.28515625" style="318" bestFit="1" customWidth="1"/>
    <col min="4" max="4" width="61.140625" style="318" customWidth="1"/>
    <col min="5" max="5" width="16.42578125" style="318" customWidth="1"/>
    <col min="6" max="6" width="6.140625" style="318" customWidth="1"/>
    <col min="7" max="7" width="5.85546875" style="318" customWidth="1"/>
    <col min="8" max="10" width="9.42578125" style="318" customWidth="1"/>
    <col min="11" max="11" width="11.7109375" style="318" customWidth="1"/>
    <col min="12" max="12" width="14.140625" style="318" bestFit="1" customWidth="1"/>
    <col min="13" max="21" width="0" style="42" hidden="1" customWidth="1"/>
    <col min="22" max="22" width="12.7109375" style="318"/>
    <col min="23" max="31" width="0" style="42" hidden="1" customWidth="1"/>
    <col min="32" max="32" width="12.7109375" style="318"/>
    <col min="33" max="41" width="0" style="42" hidden="1" customWidth="1"/>
    <col min="42" max="42" width="12.7109375" style="318"/>
    <col min="43" max="51" width="0" style="42" hidden="1" customWidth="1"/>
    <col min="52" max="52" width="12.7109375" style="318"/>
    <col min="53" max="61" width="0" style="42" hidden="1" customWidth="1"/>
    <col min="62" max="62" width="12.7109375" style="318"/>
    <col min="63" max="71" width="0" style="42" hidden="1" customWidth="1"/>
    <col min="72" max="72" width="12.7109375" style="318"/>
    <col min="73" max="80" width="0" style="42" hidden="1" customWidth="1"/>
    <col min="81" max="16384" width="12.7109375" style="318"/>
  </cols>
  <sheetData>
    <row r="1" spans="1:80" ht="40.5">
      <c r="A1" s="608" t="s">
        <v>0</v>
      </c>
      <c r="B1" s="609" t="s">
        <v>4</v>
      </c>
      <c r="C1" s="606" t="s">
        <v>5</v>
      </c>
      <c r="D1" s="607" t="s">
        <v>6</v>
      </c>
      <c r="E1" s="374" t="s">
        <v>7</v>
      </c>
      <c r="F1" s="607" t="s">
        <v>8</v>
      </c>
      <c r="G1" s="610"/>
      <c r="H1" s="606"/>
      <c r="I1" s="610"/>
      <c r="J1" s="610"/>
      <c r="K1" s="611" t="s">
        <v>462</v>
      </c>
      <c r="L1" s="612"/>
      <c r="M1" s="589"/>
      <c r="N1" s="589"/>
      <c r="O1" s="589"/>
      <c r="P1" s="589"/>
      <c r="Q1" s="589"/>
      <c r="R1" s="589"/>
      <c r="S1" s="589"/>
      <c r="T1" s="589"/>
      <c r="U1" s="589"/>
      <c r="V1" s="612"/>
      <c r="W1" s="589"/>
      <c r="X1" s="589"/>
      <c r="Y1" s="589"/>
      <c r="Z1" s="589"/>
      <c r="AA1" s="589"/>
      <c r="AB1" s="589"/>
      <c r="AC1" s="589"/>
      <c r="AD1" s="589"/>
      <c r="AE1" s="589"/>
      <c r="AF1" s="612"/>
      <c r="AG1" s="589"/>
      <c r="AH1" s="589"/>
      <c r="AI1" s="589"/>
      <c r="AJ1" s="589"/>
      <c r="AK1" s="589"/>
      <c r="AL1" s="589"/>
      <c r="AM1" s="589"/>
      <c r="AN1" s="589"/>
      <c r="AO1" s="589"/>
      <c r="AP1" s="612"/>
      <c r="AQ1" s="589"/>
      <c r="AR1" s="589"/>
      <c r="AS1" s="589"/>
      <c r="AT1" s="589"/>
      <c r="AU1" s="589"/>
      <c r="AV1" s="589"/>
      <c r="AW1" s="589"/>
      <c r="AX1" s="589"/>
      <c r="AY1" s="589"/>
      <c r="AZ1" s="612"/>
      <c r="BA1" s="589"/>
      <c r="BB1" s="589"/>
      <c r="BC1" s="589"/>
      <c r="BD1" s="589"/>
      <c r="BE1" s="589"/>
      <c r="BF1" s="589"/>
      <c r="BG1" s="589"/>
      <c r="BH1" s="589"/>
      <c r="BI1" s="589"/>
      <c r="BJ1" s="612"/>
      <c r="BK1" s="589"/>
      <c r="BL1" s="589"/>
      <c r="BM1" s="589"/>
      <c r="BN1" s="589"/>
      <c r="BO1" s="589"/>
      <c r="BP1" s="589"/>
      <c r="BQ1" s="589"/>
      <c r="BR1" s="589"/>
      <c r="BS1" s="589"/>
      <c r="BT1" s="612"/>
      <c r="BU1" s="589"/>
      <c r="BV1" s="589"/>
      <c r="BW1" s="589"/>
      <c r="BX1" s="589"/>
      <c r="BY1" s="589"/>
      <c r="BZ1" s="589"/>
      <c r="CA1" s="589"/>
      <c r="CB1" s="590"/>
    </row>
    <row r="2" spans="1:80" s="42" customFormat="1" ht="26.25" hidden="1">
      <c r="A2" s="600"/>
      <c r="B2" s="600"/>
      <c r="C2" s="600"/>
      <c r="D2" s="600"/>
      <c r="E2" s="125"/>
      <c r="F2" s="613" t="s">
        <v>11</v>
      </c>
      <c r="G2" s="613" t="s">
        <v>12</v>
      </c>
      <c r="H2" s="620" t="s">
        <v>13</v>
      </c>
      <c r="I2" s="618"/>
      <c r="J2" s="619"/>
      <c r="K2" s="621" t="s">
        <v>14</v>
      </c>
      <c r="L2" s="618"/>
      <c r="M2" s="589"/>
      <c r="N2" s="590"/>
      <c r="O2" s="614" t="s">
        <v>368</v>
      </c>
      <c r="P2" s="615"/>
      <c r="Q2" s="615"/>
      <c r="R2" s="615"/>
      <c r="S2" s="615"/>
      <c r="T2" s="616"/>
      <c r="U2" s="591" t="s">
        <v>15</v>
      </c>
      <c r="V2" s="618"/>
      <c r="W2" s="589"/>
      <c r="X2" s="590"/>
      <c r="Y2" s="614" t="s">
        <v>368</v>
      </c>
      <c r="Z2" s="615"/>
      <c r="AA2" s="615"/>
      <c r="AB2" s="615"/>
      <c r="AC2" s="615"/>
      <c r="AD2" s="616"/>
      <c r="AE2" s="591" t="s">
        <v>16</v>
      </c>
      <c r="AF2" s="618"/>
      <c r="AG2" s="589"/>
      <c r="AH2" s="590"/>
      <c r="AI2" s="614" t="s">
        <v>368</v>
      </c>
      <c r="AJ2" s="615"/>
      <c r="AK2" s="615"/>
      <c r="AL2" s="615"/>
      <c r="AM2" s="615"/>
      <c r="AN2" s="616"/>
      <c r="AO2" s="591" t="s">
        <v>17</v>
      </c>
      <c r="AP2" s="618"/>
      <c r="AQ2" s="589"/>
      <c r="AR2" s="590"/>
      <c r="AS2" s="614" t="s">
        <v>368</v>
      </c>
      <c r="AT2" s="615"/>
      <c r="AU2" s="615"/>
      <c r="AV2" s="615"/>
      <c r="AW2" s="615"/>
      <c r="AX2" s="616"/>
      <c r="AY2" s="591" t="s">
        <v>18</v>
      </c>
      <c r="AZ2" s="618"/>
      <c r="BA2" s="589"/>
      <c r="BB2" s="590"/>
      <c r="BC2" s="614" t="s">
        <v>368</v>
      </c>
      <c r="BD2" s="615"/>
      <c r="BE2" s="615"/>
      <c r="BF2" s="615"/>
      <c r="BG2" s="615"/>
      <c r="BH2" s="616"/>
      <c r="BI2" s="591" t="s">
        <v>19</v>
      </c>
      <c r="BJ2" s="618"/>
      <c r="BK2" s="589"/>
      <c r="BL2" s="590"/>
      <c r="BM2" s="614" t="s">
        <v>368</v>
      </c>
      <c r="BN2" s="615"/>
      <c r="BO2" s="615"/>
      <c r="BP2" s="615"/>
      <c r="BQ2" s="615"/>
      <c r="BR2" s="616"/>
      <c r="BS2" s="591" t="s">
        <v>20</v>
      </c>
      <c r="BT2" s="618"/>
      <c r="BU2" s="589"/>
      <c r="BV2" s="590"/>
      <c r="BW2" s="614" t="s">
        <v>368</v>
      </c>
      <c r="BX2" s="615"/>
      <c r="BY2" s="615"/>
      <c r="BZ2" s="615"/>
      <c r="CA2" s="615"/>
      <c r="CB2" s="616"/>
    </row>
    <row r="3" spans="1:80" s="42" customFormat="1" ht="26.25" hidden="1">
      <c r="A3" s="600"/>
      <c r="B3" s="600"/>
      <c r="C3" s="600"/>
      <c r="D3" s="600"/>
      <c r="E3" s="125"/>
      <c r="F3" s="600"/>
      <c r="G3" s="600"/>
      <c r="H3" s="598" t="s">
        <v>21</v>
      </c>
      <c r="I3" s="589"/>
      <c r="J3" s="590"/>
      <c r="K3" s="591"/>
      <c r="L3" s="589"/>
      <c r="M3" s="589"/>
      <c r="N3" s="590"/>
      <c r="O3" s="617"/>
      <c r="P3" s="618"/>
      <c r="Q3" s="618"/>
      <c r="R3" s="618"/>
      <c r="S3" s="618"/>
      <c r="T3" s="619"/>
      <c r="U3" s="591"/>
      <c r="V3" s="589"/>
      <c r="W3" s="589"/>
      <c r="X3" s="590"/>
      <c r="Y3" s="617"/>
      <c r="Z3" s="618"/>
      <c r="AA3" s="618"/>
      <c r="AB3" s="618"/>
      <c r="AC3" s="618"/>
      <c r="AD3" s="619"/>
      <c r="AE3" s="591"/>
      <c r="AF3" s="589"/>
      <c r="AG3" s="589"/>
      <c r="AH3" s="590"/>
      <c r="AI3" s="617"/>
      <c r="AJ3" s="618"/>
      <c r="AK3" s="618"/>
      <c r="AL3" s="618"/>
      <c r="AM3" s="618"/>
      <c r="AN3" s="619"/>
      <c r="AO3" s="591"/>
      <c r="AP3" s="589"/>
      <c r="AQ3" s="589"/>
      <c r="AR3" s="590"/>
      <c r="AS3" s="617"/>
      <c r="AT3" s="618"/>
      <c r="AU3" s="618"/>
      <c r="AV3" s="618"/>
      <c r="AW3" s="618"/>
      <c r="AX3" s="619"/>
      <c r="AY3" s="591"/>
      <c r="AZ3" s="589"/>
      <c r="BA3" s="589"/>
      <c r="BB3" s="590"/>
      <c r="BC3" s="617"/>
      <c r="BD3" s="618"/>
      <c r="BE3" s="618"/>
      <c r="BF3" s="618"/>
      <c r="BG3" s="618"/>
      <c r="BH3" s="619"/>
      <c r="BI3" s="591"/>
      <c r="BJ3" s="589"/>
      <c r="BK3" s="589"/>
      <c r="BL3" s="590"/>
      <c r="BM3" s="617"/>
      <c r="BN3" s="618"/>
      <c r="BO3" s="618"/>
      <c r="BP3" s="618"/>
      <c r="BQ3" s="618"/>
      <c r="BR3" s="619"/>
      <c r="BS3" s="591"/>
      <c r="BT3" s="589"/>
      <c r="BU3" s="589"/>
      <c r="BV3" s="590"/>
      <c r="BW3" s="617"/>
      <c r="BX3" s="618"/>
      <c r="BY3" s="618"/>
      <c r="BZ3" s="618"/>
      <c r="CA3" s="618"/>
      <c r="CB3" s="619"/>
    </row>
    <row r="4" spans="1:80" s="42" customFormat="1" ht="56.25" hidden="1" customHeight="1">
      <c r="A4" s="601"/>
      <c r="B4" s="601"/>
      <c r="C4" s="601"/>
      <c r="D4" s="601"/>
      <c r="E4" s="126"/>
      <c r="F4" s="601"/>
      <c r="G4" s="601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1" si="0">SUM(L5,V5,AF5,AP5,AZ5,BJ5,BT5)</f>
        <v>0</v>
      </c>
      <c r="J5" s="58">
        <v>0</v>
      </c>
      <c r="K5" s="59"/>
      <c r="L5" s="205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2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 hidden="1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205"/>
      <c r="M8" s="59"/>
      <c r="N8" s="96"/>
      <c r="O8" s="59"/>
      <c r="P8" s="59"/>
      <c r="Q8" s="59"/>
      <c r="R8" s="59"/>
      <c r="S8" s="44"/>
      <c r="T8" s="59"/>
      <c r="U8" s="59"/>
      <c r="V8" s="190"/>
      <c r="W8" s="59"/>
      <c r="X8" s="96"/>
      <c r="Y8" s="59"/>
      <c r="Z8" s="59"/>
      <c r="AA8" s="59"/>
      <c r="AB8" s="59"/>
      <c r="AC8" s="44"/>
      <c r="AD8" s="59"/>
      <c r="AE8" s="59"/>
      <c r="AF8" s="249"/>
      <c r="AG8" s="59"/>
      <c r="AH8" s="96"/>
      <c r="AI8" s="59"/>
      <c r="AJ8" s="59"/>
      <c r="AK8" s="59"/>
      <c r="AL8" s="59"/>
      <c r="AM8" s="44"/>
      <c r="AN8" s="59"/>
      <c r="AO8" s="59"/>
      <c r="AP8" s="193"/>
      <c r="AQ8" s="59"/>
      <c r="AR8" s="96"/>
      <c r="AS8" s="59"/>
      <c r="AT8" s="59"/>
      <c r="AU8" s="59"/>
      <c r="AV8" s="59"/>
      <c r="AW8" s="44"/>
      <c r="AX8" s="59"/>
      <c r="AY8" s="59"/>
      <c r="AZ8" s="258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5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205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5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205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205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205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205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205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205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205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269">
        <v>1113106</v>
      </c>
      <c r="D18" s="242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205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 hidden="1">
      <c r="A19" s="53">
        <v>2</v>
      </c>
      <c r="B19" s="56"/>
      <c r="C19" s="269">
        <v>1113090</v>
      </c>
      <c r="D19" s="242" t="s">
        <v>406</v>
      </c>
      <c r="E19" s="64" t="s">
        <v>42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195"/>
      <c r="M19" s="59"/>
      <c r="N19" s="96"/>
      <c r="O19" s="59"/>
      <c r="P19" s="59"/>
      <c r="Q19" s="59"/>
      <c r="R19" s="59"/>
      <c r="S19" s="106"/>
      <c r="T19" s="59"/>
      <c r="U19" s="59"/>
      <c r="V19" s="222"/>
      <c r="W19" s="59"/>
      <c r="X19" s="96"/>
      <c r="Y19" s="59"/>
      <c r="Z19" s="59"/>
      <c r="AA19" s="59"/>
      <c r="AB19" s="59"/>
      <c r="AC19" s="44"/>
      <c r="AD19" s="59"/>
      <c r="AE19" s="59"/>
      <c r="AF19" s="250"/>
      <c r="AG19" s="59"/>
      <c r="AH19" s="96"/>
      <c r="AI19" s="59"/>
      <c r="AJ19" s="59"/>
      <c r="AK19" s="59"/>
      <c r="AL19" s="59"/>
      <c r="AM19" s="106"/>
      <c r="AN19" s="59"/>
      <c r="AO19" s="59"/>
      <c r="AP19" s="256"/>
      <c r="AQ19" s="59"/>
      <c r="AR19" s="96"/>
      <c r="AS19" s="59"/>
      <c r="AT19" s="59"/>
      <c r="AU19" s="59"/>
      <c r="AV19" s="59"/>
      <c r="AW19" s="44"/>
      <c r="AX19" s="59"/>
      <c r="AY19" s="59"/>
      <c r="AZ19" s="189"/>
      <c r="BA19" s="59"/>
      <c r="BB19" s="96"/>
      <c r="BC19" s="59"/>
      <c r="BD19" s="59"/>
      <c r="BE19" s="59"/>
      <c r="BF19" s="59"/>
      <c r="BG19" s="106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5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165">
        <v>1</v>
      </c>
      <c r="B20" s="166"/>
      <c r="C20" s="559">
        <v>1113087</v>
      </c>
      <c r="D20" s="560" t="s">
        <v>169</v>
      </c>
      <c r="E20" s="135" t="s">
        <v>170</v>
      </c>
      <c r="F20" s="73"/>
      <c r="G20" s="116"/>
      <c r="H20" s="129">
        <v>0</v>
      </c>
      <c r="I20" s="220">
        <f t="shared" si="0"/>
        <v>0</v>
      </c>
      <c r="J20" s="129">
        <v>0</v>
      </c>
      <c r="K20" s="117"/>
      <c r="L20" s="561"/>
      <c r="M20" s="59"/>
      <c r="N20" s="96"/>
      <c r="O20" s="59"/>
      <c r="P20" s="59"/>
      <c r="Q20" s="59"/>
      <c r="R20" s="59"/>
      <c r="S20" s="106"/>
      <c r="T20" s="59"/>
      <c r="U20" s="59"/>
      <c r="V20" s="562"/>
      <c r="W20" s="59"/>
      <c r="X20" s="96"/>
      <c r="Y20" s="59"/>
      <c r="Z20" s="59"/>
      <c r="AA20" s="59"/>
      <c r="AB20" s="59"/>
      <c r="AC20" s="44"/>
      <c r="AD20" s="59"/>
      <c r="AE20" s="59"/>
      <c r="AF20" s="563"/>
      <c r="AG20" s="59"/>
      <c r="AH20" s="96"/>
      <c r="AI20" s="59"/>
      <c r="AJ20" s="59"/>
      <c r="AK20" s="59"/>
      <c r="AL20" s="59"/>
      <c r="AM20" s="106"/>
      <c r="AN20" s="59"/>
      <c r="AO20" s="59"/>
      <c r="AP20" s="564"/>
      <c r="AQ20" s="59"/>
      <c r="AR20" s="96"/>
      <c r="AS20" s="59"/>
      <c r="AT20" s="59"/>
      <c r="AU20" s="59"/>
      <c r="AV20" s="59"/>
      <c r="AW20" s="44"/>
      <c r="AX20" s="59"/>
      <c r="AY20" s="59"/>
      <c r="AZ20" s="565"/>
      <c r="BA20" s="59"/>
      <c r="BB20" s="96"/>
      <c r="BC20" s="59"/>
      <c r="BD20" s="59"/>
      <c r="BE20" s="59"/>
      <c r="BF20" s="59"/>
      <c r="BG20" s="106"/>
      <c r="BH20" s="59"/>
      <c r="BI20" s="59"/>
      <c r="BJ20" s="214"/>
      <c r="BK20" s="59"/>
      <c r="BL20" s="96"/>
      <c r="BM20" s="59"/>
      <c r="BN20" s="59"/>
      <c r="BO20" s="59"/>
      <c r="BP20" s="59"/>
      <c r="BQ20" s="44"/>
      <c r="BR20" s="59"/>
      <c r="BS20" s="59"/>
      <c r="BT20" s="566"/>
      <c r="BU20" s="59"/>
      <c r="BV20" s="96"/>
      <c r="BW20" s="59"/>
      <c r="BX20" s="59"/>
      <c r="BY20" s="59"/>
      <c r="BZ20" s="59"/>
      <c r="CA20" s="44"/>
      <c r="CB20" s="59"/>
    </row>
    <row r="21" spans="1:80" ht="26.25">
      <c r="A21" s="317">
        <v>1</v>
      </c>
      <c r="B21" s="320"/>
      <c r="C21" s="582">
        <v>20039044</v>
      </c>
      <c r="D21" s="583" t="s">
        <v>419</v>
      </c>
      <c r="E21" s="326" t="s">
        <v>69</v>
      </c>
      <c r="F21" s="326"/>
      <c r="G21" s="465"/>
      <c r="H21" s="327">
        <v>0</v>
      </c>
      <c r="I21" s="328">
        <f t="shared" si="0"/>
        <v>0</v>
      </c>
      <c r="J21" s="327">
        <v>0</v>
      </c>
      <c r="K21" s="466"/>
      <c r="L21" s="325"/>
      <c r="M21" s="219"/>
      <c r="N21" s="96"/>
      <c r="O21" s="59"/>
      <c r="P21" s="59"/>
      <c r="Q21" s="59"/>
      <c r="R21" s="105"/>
      <c r="S21" s="106"/>
      <c r="T21" s="59"/>
      <c r="U21" s="59"/>
      <c r="V21" s="334"/>
      <c r="W21" s="219"/>
      <c r="X21" s="96"/>
      <c r="Y21" s="59"/>
      <c r="Z21" s="59"/>
      <c r="AA21" s="59"/>
      <c r="AB21" s="105"/>
      <c r="AC21" s="106"/>
      <c r="AD21" s="59"/>
      <c r="AE21" s="59"/>
      <c r="AF21" s="335"/>
      <c r="AG21" s="354"/>
      <c r="AH21" s="96"/>
      <c r="AI21" s="59"/>
      <c r="AJ21" s="59"/>
      <c r="AK21" s="59"/>
      <c r="AL21" s="105"/>
      <c r="AM21" s="106"/>
      <c r="AN21" s="59"/>
      <c r="AO21" s="59"/>
      <c r="AP21" s="336"/>
      <c r="AQ21" s="219"/>
      <c r="AR21" s="96"/>
      <c r="AS21" s="59"/>
      <c r="AT21" s="59"/>
      <c r="AU21" s="59"/>
      <c r="AV21" s="105"/>
      <c r="AW21" s="106"/>
      <c r="AX21" s="59"/>
      <c r="AY21" s="59"/>
      <c r="AZ21" s="337"/>
      <c r="BA21" s="219"/>
      <c r="BB21" s="96"/>
      <c r="BC21" s="59"/>
      <c r="BD21" s="59"/>
      <c r="BE21" s="59"/>
      <c r="BF21" s="105"/>
      <c r="BG21" s="106"/>
      <c r="BH21" s="105"/>
      <c r="BI21" s="59"/>
      <c r="BJ21" s="339"/>
      <c r="BK21" s="219"/>
      <c r="BL21" s="96"/>
      <c r="BM21" s="59"/>
      <c r="BN21" s="59"/>
      <c r="BO21" s="59"/>
      <c r="BP21" s="105"/>
      <c r="BQ21" s="106"/>
      <c r="BR21" s="59"/>
      <c r="BS21" s="59"/>
      <c r="BT21" s="341"/>
      <c r="BU21" s="21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269">
        <v>1113056</v>
      </c>
      <c r="D22" s="242" t="s">
        <v>181</v>
      </c>
      <c r="E22" s="54" t="s">
        <v>27</v>
      </c>
      <c r="F22" s="54"/>
      <c r="G22" s="44"/>
      <c r="H22" s="146">
        <v>0</v>
      </c>
      <c r="I22" s="45">
        <f t="shared" si="0"/>
        <v>0</v>
      </c>
      <c r="J22" s="146">
        <v>0</v>
      </c>
      <c r="K22" s="147"/>
      <c r="L22" s="205"/>
      <c r="M22" s="59"/>
      <c r="N22" s="96"/>
      <c r="O22" s="59"/>
      <c r="P22" s="59"/>
      <c r="Q22" s="59"/>
      <c r="R22" s="59"/>
      <c r="S22" s="44"/>
      <c r="T22" s="59"/>
      <c r="U22" s="59"/>
      <c r="V22" s="149"/>
      <c r="W22" s="59"/>
      <c r="X22" s="96"/>
      <c r="Y22" s="59"/>
      <c r="Z22" s="59"/>
      <c r="AA22" s="59"/>
      <c r="AB22" s="59"/>
      <c r="AC22" s="44"/>
      <c r="AD22" s="59"/>
      <c r="AE22" s="59"/>
      <c r="AF22" s="150"/>
      <c r="AG22" s="59"/>
      <c r="AH22" s="96"/>
      <c r="AI22" s="59"/>
      <c r="AJ22" s="59"/>
      <c r="AK22" s="59"/>
      <c r="AL22" s="59"/>
      <c r="AM22" s="44"/>
      <c r="AN22" s="59"/>
      <c r="AO22" s="59"/>
      <c r="AP22" s="151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53"/>
      <c r="BK22" s="59"/>
      <c r="BL22" s="96"/>
      <c r="BM22" s="59"/>
      <c r="BN22" s="59"/>
      <c r="BO22" s="59"/>
      <c r="BP22" s="59"/>
      <c r="BQ22" s="44"/>
      <c r="BR22" s="59"/>
      <c r="BS22" s="59"/>
      <c r="BT22" s="154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1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5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0</v>
      </c>
      <c r="J25" s="58">
        <v>0</v>
      </c>
      <c r="K25" s="59"/>
      <c r="L25" s="191"/>
      <c r="M25" s="59"/>
      <c r="N25" s="96"/>
      <c r="O25" s="59"/>
      <c r="P25" s="59"/>
      <c r="Q25" s="59"/>
      <c r="R25" s="59"/>
      <c r="S25" s="44"/>
      <c r="T25" s="59"/>
      <c r="U25" s="59"/>
      <c r="V25" s="190"/>
      <c r="W25" s="59"/>
      <c r="X25" s="96"/>
      <c r="Y25" s="59"/>
      <c r="Z25" s="59"/>
      <c r="AA25" s="59"/>
      <c r="AB25" s="59"/>
      <c r="AC25" s="44"/>
      <c r="AD25" s="59"/>
      <c r="AE25" s="59"/>
      <c r="AF25" s="192"/>
      <c r="AG25" s="59"/>
      <c r="AH25" s="96"/>
      <c r="AI25" s="59"/>
      <c r="AJ25" s="59"/>
      <c r="AK25" s="59"/>
      <c r="AL25" s="59"/>
      <c r="AM25" s="44"/>
      <c r="AN25" s="59"/>
      <c r="AO25" s="59"/>
      <c r="AP25" s="193"/>
      <c r="AQ25" s="59"/>
      <c r="AR25" s="96"/>
      <c r="AS25" s="59"/>
      <c r="AT25" s="59"/>
      <c r="AU25" s="59"/>
      <c r="AV25" s="59"/>
      <c r="AW25" s="44"/>
      <c r="AX25" s="59"/>
      <c r="AY25" s="59"/>
      <c r="AZ25" s="181"/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4</v>
      </c>
      <c r="B26" s="56"/>
      <c r="C26" s="265">
        <v>1113089</v>
      </c>
      <c r="D26" s="266" t="s">
        <v>195</v>
      </c>
      <c r="E26" s="64" t="s">
        <v>42</v>
      </c>
      <c r="F26" s="54"/>
      <c r="G26" s="44"/>
      <c r="H26" s="58">
        <v>0</v>
      </c>
      <c r="I26" s="45">
        <f t="shared" si="0"/>
        <v>0</v>
      </c>
      <c r="J26" s="58">
        <v>0</v>
      </c>
      <c r="K26" s="59"/>
      <c r="L26" s="195"/>
      <c r="M26" s="59"/>
      <c r="N26" s="96"/>
      <c r="O26" s="59"/>
      <c r="P26" s="59"/>
      <c r="Q26" s="59"/>
      <c r="R26" s="59"/>
      <c r="S26" s="106"/>
      <c r="T26" s="59"/>
      <c r="U26" s="59"/>
      <c r="V26" s="222"/>
      <c r="W26" s="59"/>
      <c r="X26" s="96"/>
      <c r="Y26" s="59"/>
      <c r="Z26" s="59"/>
      <c r="AA26" s="59"/>
      <c r="AB26" s="59"/>
      <c r="AC26" s="44"/>
      <c r="AD26" s="59"/>
      <c r="AE26" s="59"/>
      <c r="AF26" s="250"/>
      <c r="AG26" s="59"/>
      <c r="AH26" s="96"/>
      <c r="AI26" s="59"/>
      <c r="AJ26" s="59"/>
      <c r="AK26" s="59"/>
      <c r="AL26" s="59"/>
      <c r="AM26" s="106"/>
      <c r="AN26" s="59"/>
      <c r="AO26" s="59"/>
      <c r="AP26" s="256"/>
      <c r="AQ26" s="59"/>
      <c r="AR26" s="96"/>
      <c r="AS26" s="59"/>
      <c r="AT26" s="59"/>
      <c r="AU26" s="59"/>
      <c r="AV26" s="59"/>
      <c r="AW26" s="44"/>
      <c r="AX26" s="59"/>
      <c r="AY26" s="59"/>
      <c r="AZ26" s="189"/>
      <c r="BA26" s="59"/>
      <c r="BB26" s="96"/>
      <c r="BC26" s="59"/>
      <c r="BD26" s="59"/>
      <c r="BE26" s="59"/>
      <c r="BF26" s="59"/>
      <c r="BG26" s="106"/>
      <c r="BH26" s="59"/>
      <c r="BI26" s="59"/>
      <c r="BJ26" s="187"/>
      <c r="BK26" s="59"/>
      <c r="BL26" s="96"/>
      <c r="BM26" s="59"/>
      <c r="BN26" s="59"/>
      <c r="BO26" s="59"/>
      <c r="BP26" s="59"/>
      <c r="BQ26" s="44"/>
      <c r="BR26" s="59"/>
      <c r="BS26" s="59"/>
      <c r="BT26" s="251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165">
        <v>16</v>
      </c>
      <c r="B27" s="166"/>
      <c r="C27" s="559">
        <v>1113093</v>
      </c>
      <c r="D27" s="560" t="s">
        <v>196</v>
      </c>
      <c r="E27" s="567" t="s">
        <v>27</v>
      </c>
      <c r="F27" s="568"/>
      <c r="G27" s="116"/>
      <c r="H27" s="129">
        <v>0</v>
      </c>
      <c r="I27" s="300">
        <f t="shared" si="0"/>
        <v>0</v>
      </c>
      <c r="J27" s="129">
        <v>0</v>
      </c>
      <c r="K27" s="117"/>
      <c r="L27" s="561"/>
      <c r="M27" s="59"/>
      <c r="N27" s="96"/>
      <c r="O27" s="59"/>
      <c r="P27" s="59"/>
      <c r="Q27" s="59"/>
      <c r="R27" s="105"/>
      <c r="S27" s="106"/>
      <c r="T27" s="59"/>
      <c r="U27" s="59"/>
      <c r="V27" s="137"/>
      <c r="W27" s="59"/>
      <c r="X27" s="96"/>
      <c r="Y27" s="59"/>
      <c r="Z27" s="59"/>
      <c r="AA27" s="59"/>
      <c r="AB27" s="105"/>
      <c r="AC27" s="44"/>
      <c r="AD27" s="59"/>
      <c r="AE27" s="59"/>
      <c r="AF27" s="293"/>
      <c r="AG27" s="105"/>
      <c r="AH27" s="96"/>
      <c r="AI27" s="59"/>
      <c r="AJ27" s="59"/>
      <c r="AK27" s="59"/>
      <c r="AL27" s="105"/>
      <c r="AM27" s="44"/>
      <c r="AN27" s="59"/>
      <c r="AO27" s="59"/>
      <c r="AP27" s="139"/>
      <c r="AQ27" s="59"/>
      <c r="AR27" s="96"/>
      <c r="AS27" s="59"/>
      <c r="AT27" s="59"/>
      <c r="AU27" s="59"/>
      <c r="AV27" s="105"/>
      <c r="AW27" s="44"/>
      <c r="AX27" s="59"/>
      <c r="AY27" s="59"/>
      <c r="AZ27" s="356"/>
      <c r="BA27" s="59"/>
      <c r="BB27" s="96"/>
      <c r="BC27" s="59"/>
      <c r="BD27" s="59"/>
      <c r="BE27" s="59"/>
      <c r="BF27" s="105"/>
      <c r="BG27" s="44"/>
      <c r="BH27" s="105"/>
      <c r="BI27" s="59"/>
      <c r="BJ27" s="141"/>
      <c r="BK27" s="59"/>
      <c r="BL27" s="96"/>
      <c r="BM27" s="59"/>
      <c r="BN27" s="59"/>
      <c r="BO27" s="59"/>
      <c r="BP27" s="105"/>
      <c r="BQ27" s="44"/>
      <c r="BR27" s="59"/>
      <c r="BS27" s="59"/>
      <c r="BT27" s="295"/>
      <c r="BU27" s="59"/>
      <c r="BV27" s="96"/>
      <c r="BW27" s="59"/>
      <c r="BX27" s="59"/>
      <c r="BY27" s="59"/>
      <c r="BZ27" s="105"/>
      <c r="CA27" s="44"/>
      <c r="CB27" s="59"/>
    </row>
    <row r="28" spans="1:80" ht="26.25">
      <c r="A28" s="317">
        <v>2</v>
      </c>
      <c r="B28" s="320"/>
      <c r="C28" s="326">
        <v>20039963</v>
      </c>
      <c r="D28" s="331" t="s">
        <v>433</v>
      </c>
      <c r="E28" s="326" t="s">
        <v>69</v>
      </c>
      <c r="F28" s="326"/>
      <c r="G28" s="465"/>
      <c r="H28" s="327">
        <v>0</v>
      </c>
      <c r="I28" s="328">
        <f t="shared" si="0"/>
        <v>0</v>
      </c>
      <c r="J28" s="327">
        <v>0</v>
      </c>
      <c r="K28" s="466"/>
      <c r="L28" s="325"/>
      <c r="M28" s="219"/>
      <c r="N28" s="96"/>
      <c r="O28" s="59"/>
      <c r="P28" s="59"/>
      <c r="Q28" s="59"/>
      <c r="R28" s="59"/>
      <c r="S28" s="106"/>
      <c r="T28" s="59"/>
      <c r="U28" s="59"/>
      <c r="V28" s="334"/>
      <c r="W28" s="219"/>
      <c r="X28" s="96"/>
      <c r="Y28" s="59"/>
      <c r="Z28" s="59"/>
      <c r="AA28" s="59"/>
      <c r="AB28" s="59"/>
      <c r="AC28" s="106"/>
      <c r="AD28" s="59"/>
      <c r="AE28" s="59"/>
      <c r="AF28" s="335"/>
      <c r="AG28" s="219"/>
      <c r="AH28" s="96"/>
      <c r="AI28" s="59"/>
      <c r="AJ28" s="59"/>
      <c r="AK28" s="59"/>
      <c r="AL28" s="59"/>
      <c r="AM28" s="106"/>
      <c r="AN28" s="59"/>
      <c r="AO28" s="59"/>
      <c r="AP28" s="336"/>
      <c r="AQ28" s="219"/>
      <c r="AR28" s="96"/>
      <c r="AS28" s="59"/>
      <c r="AT28" s="59"/>
      <c r="AU28" s="59"/>
      <c r="AV28" s="59"/>
      <c r="AW28" s="106"/>
      <c r="AX28" s="59"/>
      <c r="AY28" s="59"/>
      <c r="AZ28" s="337"/>
      <c r="BA28" s="219"/>
      <c r="BB28" s="96"/>
      <c r="BC28" s="59"/>
      <c r="BD28" s="59"/>
      <c r="BE28" s="59"/>
      <c r="BF28" s="59"/>
      <c r="BG28" s="106"/>
      <c r="BH28" s="59"/>
      <c r="BI28" s="59"/>
      <c r="BJ28" s="339"/>
      <c r="BK28" s="219"/>
      <c r="BL28" s="96"/>
      <c r="BM28" s="59"/>
      <c r="BN28" s="59"/>
      <c r="BO28" s="59"/>
      <c r="BP28" s="59"/>
      <c r="BQ28" s="106"/>
      <c r="BR28" s="59"/>
      <c r="BS28" s="59"/>
      <c r="BT28" s="341"/>
      <c r="BU28" s="21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69">
        <v>1113087</v>
      </c>
      <c r="D29" s="242" t="s">
        <v>410</v>
      </c>
      <c r="E29" s="284" t="s">
        <v>27</v>
      </c>
      <c r="F29" s="269"/>
      <c r="G29" s="44"/>
      <c r="H29" s="146"/>
      <c r="I29" s="63">
        <f t="shared" si="0"/>
        <v>0</v>
      </c>
      <c r="J29" s="146"/>
      <c r="K29" s="147"/>
      <c r="L29" s="104"/>
      <c r="M29" s="59"/>
      <c r="N29" s="96"/>
      <c r="O29" s="105"/>
      <c r="P29" s="59"/>
      <c r="Q29" s="59"/>
      <c r="R29" s="105"/>
      <c r="S29" s="106"/>
      <c r="T29" s="59"/>
      <c r="U29" s="105"/>
      <c r="V29" s="149"/>
      <c r="W29" s="59"/>
      <c r="X29" s="96"/>
      <c r="Y29" s="105"/>
      <c r="Z29" s="59"/>
      <c r="AA29" s="59"/>
      <c r="AB29" s="105"/>
      <c r="AC29" s="44"/>
      <c r="AD29" s="59"/>
      <c r="AE29" s="59"/>
      <c r="AF29" s="150"/>
      <c r="AG29" s="105"/>
      <c r="AH29" s="96"/>
      <c r="AI29" s="105"/>
      <c r="AJ29" s="59"/>
      <c r="AK29" s="59"/>
      <c r="AL29" s="105"/>
      <c r="AM29" s="44"/>
      <c r="AN29" s="59"/>
      <c r="AO29" s="59"/>
      <c r="AP29" s="574"/>
      <c r="AQ29" s="59"/>
      <c r="AR29" s="96"/>
      <c r="AS29" s="105"/>
      <c r="AT29" s="59"/>
      <c r="AU29" s="59"/>
      <c r="AV29" s="105"/>
      <c r="AW29" s="106"/>
      <c r="AX29" s="59"/>
      <c r="AY29" s="59"/>
      <c r="AZ29" s="93"/>
      <c r="BA29" s="59"/>
      <c r="BB29" s="96"/>
      <c r="BC29" s="105"/>
      <c r="BD29" s="59"/>
      <c r="BE29" s="59"/>
      <c r="BF29" s="105"/>
      <c r="BG29" s="44"/>
      <c r="BH29" s="105"/>
      <c r="BI29" s="59"/>
      <c r="BJ29" s="153"/>
      <c r="BK29" s="105"/>
      <c r="BL29" s="96"/>
      <c r="BM29" s="105"/>
      <c r="BN29" s="59"/>
      <c r="BO29" s="59"/>
      <c r="BP29" s="105"/>
      <c r="BQ29" s="44"/>
      <c r="BR29" s="59"/>
      <c r="BS29" s="59"/>
      <c r="BT29" s="154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205"/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/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0</v>
      </c>
      <c r="J31" s="58">
        <v>0</v>
      </c>
      <c r="K31" s="59"/>
      <c r="L31" s="205"/>
      <c r="M31" s="59"/>
      <c r="N31" s="96"/>
      <c r="O31" s="59"/>
      <c r="P31" s="59"/>
      <c r="Q31" s="59"/>
      <c r="R31" s="59"/>
      <c r="S31" s="44"/>
      <c r="T31" s="59"/>
      <c r="U31" s="59"/>
      <c r="V31" s="190"/>
      <c r="W31" s="59"/>
      <c r="X31" s="96"/>
      <c r="Y31" s="59"/>
      <c r="Z31" s="59"/>
      <c r="AA31" s="59"/>
      <c r="AB31" s="59"/>
      <c r="AC31" s="44"/>
      <c r="AD31" s="59"/>
      <c r="AE31" s="59"/>
      <c r="AF31" s="249"/>
      <c r="AG31" s="59"/>
      <c r="AH31" s="96"/>
      <c r="AI31" s="59"/>
      <c r="AJ31" s="59"/>
      <c r="AK31" s="59"/>
      <c r="AL31" s="59"/>
      <c r="AM31" s="44"/>
      <c r="AN31" s="59"/>
      <c r="AO31" s="59"/>
      <c r="AP31" s="193"/>
      <c r="AQ31" s="59"/>
      <c r="AR31" s="96"/>
      <c r="AS31" s="59"/>
      <c r="AT31" s="59"/>
      <c r="AU31" s="59"/>
      <c r="AV31" s="59"/>
      <c r="AW31" s="44"/>
      <c r="AX31" s="59"/>
      <c r="AY31" s="59"/>
      <c r="AZ31" s="258"/>
      <c r="BA31" s="59"/>
      <c r="BB31" s="96"/>
      <c r="BC31" s="59"/>
      <c r="BD31" s="59"/>
      <c r="BE31" s="59"/>
      <c r="BF31" s="59"/>
      <c r="BG31" s="44"/>
      <c r="BH31" s="59"/>
      <c r="BI31" s="59"/>
      <c r="BJ31" s="187"/>
      <c r="BK31" s="59"/>
      <c r="BL31" s="96"/>
      <c r="BM31" s="59"/>
      <c r="BN31" s="59"/>
      <c r="BO31" s="59"/>
      <c r="BP31" s="59"/>
      <c r="BQ31" s="44"/>
      <c r="BR31" s="59"/>
      <c r="BS31" s="59"/>
      <c r="BT31" s="251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2" t="s">
        <v>202</v>
      </c>
      <c r="E32" s="169" t="s">
        <v>203</v>
      </c>
      <c r="F32" s="169"/>
      <c r="G32" s="183"/>
      <c r="H32" s="184">
        <v>0</v>
      </c>
      <c r="I32" s="215">
        <f t="shared" si="0"/>
        <v>0</v>
      </c>
      <c r="J32" s="184">
        <v>0</v>
      </c>
      <c r="K32" s="185"/>
      <c r="L32" s="367"/>
      <c r="M32" s="219"/>
      <c r="N32" s="96"/>
      <c r="O32" s="59"/>
      <c r="P32" s="59"/>
      <c r="Q32" s="59"/>
      <c r="R32" s="59"/>
      <c r="S32" s="44"/>
      <c r="T32" s="59"/>
      <c r="U32" s="59"/>
      <c r="V32" s="362"/>
      <c r="W32" s="219"/>
      <c r="X32" s="96"/>
      <c r="Y32" s="59"/>
      <c r="Z32" s="59"/>
      <c r="AA32" s="59"/>
      <c r="AB32" s="59"/>
      <c r="AC32" s="44"/>
      <c r="AD32" s="59"/>
      <c r="AE32" s="59"/>
      <c r="AF32" s="363"/>
      <c r="AG32" s="219"/>
      <c r="AH32" s="96"/>
      <c r="AI32" s="59"/>
      <c r="AJ32" s="59"/>
      <c r="AK32" s="59"/>
      <c r="AL32" s="59"/>
      <c r="AM32" s="44"/>
      <c r="AN32" s="59"/>
      <c r="AO32" s="59"/>
      <c r="AP32" s="364"/>
      <c r="AQ32" s="219"/>
      <c r="AR32" s="96"/>
      <c r="AS32" s="59"/>
      <c r="AT32" s="59"/>
      <c r="AU32" s="59"/>
      <c r="AV32" s="59"/>
      <c r="AW32" s="44"/>
      <c r="AX32" s="59"/>
      <c r="AY32" s="59"/>
      <c r="AZ32" s="365"/>
      <c r="BA32" s="219"/>
      <c r="BB32" s="96"/>
      <c r="BC32" s="59"/>
      <c r="BD32" s="59"/>
      <c r="BE32" s="59"/>
      <c r="BF32" s="59"/>
      <c r="BG32" s="44"/>
      <c r="BH32" s="59"/>
      <c r="BI32" s="59"/>
      <c r="BJ32" s="366"/>
      <c r="BK32" s="219"/>
      <c r="BL32" s="96"/>
      <c r="BM32" s="59"/>
      <c r="BN32" s="59"/>
      <c r="BO32" s="59"/>
      <c r="BP32" s="59"/>
      <c r="BQ32" s="44"/>
      <c r="BR32" s="59"/>
      <c r="BS32" s="59"/>
      <c r="BT32" s="216"/>
      <c r="BU32" s="219"/>
      <c r="BV32" s="96"/>
      <c r="BW32" s="59"/>
      <c r="BX32" s="59"/>
      <c r="BY32" s="59"/>
      <c r="BZ32" s="59"/>
      <c r="CA32" s="44"/>
      <c r="CB32" s="59"/>
    </row>
    <row r="33" spans="1:80" s="42" customFormat="1" ht="26.25" hidden="1">
      <c r="A33" s="53">
        <v>2</v>
      </c>
      <c r="B33" s="56"/>
      <c r="C33" s="267">
        <v>1113088</v>
      </c>
      <c r="D33" s="268" t="s">
        <v>208</v>
      </c>
      <c r="E33" s="64" t="s">
        <v>170</v>
      </c>
      <c r="F33" s="54"/>
      <c r="G33" s="44"/>
      <c r="H33" s="58">
        <v>0</v>
      </c>
      <c r="I33" s="45">
        <f t="shared" si="0"/>
        <v>0</v>
      </c>
      <c r="J33" s="58">
        <v>0</v>
      </c>
      <c r="K33" s="59"/>
      <c r="L33" s="195"/>
      <c r="M33" s="59"/>
      <c r="N33" s="96"/>
      <c r="O33" s="59"/>
      <c r="P33" s="59"/>
      <c r="Q33" s="59"/>
      <c r="R33" s="59"/>
      <c r="S33" s="106"/>
      <c r="T33" s="59"/>
      <c r="U33" s="59"/>
      <c r="V33" s="222"/>
      <c r="W33" s="59"/>
      <c r="X33" s="96"/>
      <c r="Y33" s="59"/>
      <c r="Z33" s="59"/>
      <c r="AA33" s="59"/>
      <c r="AB33" s="59"/>
      <c r="AC33" s="44"/>
      <c r="AD33" s="59"/>
      <c r="AE33" s="59"/>
      <c r="AF33" s="250"/>
      <c r="AG33" s="59"/>
      <c r="AH33" s="96"/>
      <c r="AI33" s="59"/>
      <c r="AJ33" s="59"/>
      <c r="AK33" s="59"/>
      <c r="AL33" s="59"/>
      <c r="AM33" s="106"/>
      <c r="AN33" s="59"/>
      <c r="AO33" s="59"/>
      <c r="AP33" s="256"/>
      <c r="AQ33" s="59"/>
      <c r="AR33" s="96"/>
      <c r="AS33" s="59"/>
      <c r="AT33" s="59"/>
      <c r="AU33" s="59"/>
      <c r="AV33" s="59"/>
      <c r="AW33" s="44"/>
      <c r="AX33" s="59"/>
      <c r="AY33" s="59"/>
      <c r="AZ33" s="189"/>
      <c r="BA33" s="59"/>
      <c r="BB33" s="96"/>
      <c r="BC33" s="59"/>
      <c r="BD33" s="59"/>
      <c r="BE33" s="59"/>
      <c r="BF33" s="59"/>
      <c r="BG33" s="106"/>
      <c r="BH33" s="59"/>
      <c r="BI33" s="59"/>
      <c r="BJ33" s="187"/>
      <c r="BK33" s="59"/>
      <c r="BL33" s="96"/>
      <c r="BM33" s="59"/>
      <c r="BN33" s="59"/>
      <c r="BO33" s="59"/>
      <c r="BP33" s="59"/>
      <c r="BQ33" s="44"/>
      <c r="BR33" s="59"/>
      <c r="BS33" s="59"/>
      <c r="BT33" s="251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279">
        <v>2</v>
      </c>
      <c r="B34" s="402"/>
      <c r="C34" s="226">
        <v>1113155</v>
      </c>
      <c r="D34" s="376" t="s">
        <v>214</v>
      </c>
      <c r="E34" s="73" t="s">
        <v>31</v>
      </c>
      <c r="F34" s="73"/>
      <c r="G34" s="116"/>
      <c r="H34" s="129">
        <v>0</v>
      </c>
      <c r="I34" s="300">
        <f t="shared" si="0"/>
        <v>0</v>
      </c>
      <c r="J34" s="129">
        <v>0</v>
      </c>
      <c r="K34" s="117"/>
      <c r="L34" s="136"/>
      <c r="M34" s="59"/>
      <c r="N34" s="96"/>
      <c r="O34" s="105"/>
      <c r="P34" s="59"/>
      <c r="Q34" s="59"/>
      <c r="R34" s="105"/>
      <c r="S34" s="106"/>
      <c r="T34" s="59"/>
      <c r="U34" s="105"/>
      <c r="V34" s="137"/>
      <c r="W34" s="59"/>
      <c r="X34" s="96"/>
      <c r="Y34" s="105"/>
      <c r="Z34" s="59"/>
      <c r="AA34" s="59"/>
      <c r="AB34" s="105"/>
      <c r="AC34" s="44"/>
      <c r="AD34" s="59"/>
      <c r="AE34" s="59"/>
      <c r="AF34" s="293"/>
      <c r="AG34" s="105"/>
      <c r="AH34" s="96"/>
      <c r="AI34" s="105"/>
      <c r="AJ34" s="59"/>
      <c r="AK34" s="59"/>
      <c r="AL34" s="105"/>
      <c r="AM34" s="44"/>
      <c r="AN34" s="59"/>
      <c r="AO34" s="59"/>
      <c r="AP34" s="569"/>
      <c r="AQ34" s="59"/>
      <c r="AR34" s="96"/>
      <c r="AS34" s="105"/>
      <c r="AT34" s="59"/>
      <c r="AU34" s="59"/>
      <c r="AV34" s="105"/>
      <c r="AW34" s="106"/>
      <c r="AX34" s="59"/>
      <c r="AY34" s="59"/>
      <c r="AZ34" s="294"/>
      <c r="BA34" s="59"/>
      <c r="BB34" s="96"/>
      <c r="BC34" s="105"/>
      <c r="BD34" s="59"/>
      <c r="BE34" s="59"/>
      <c r="BF34" s="105"/>
      <c r="BG34" s="44"/>
      <c r="BH34" s="105"/>
      <c r="BI34" s="59"/>
      <c r="BJ34" s="141"/>
      <c r="BK34" s="105"/>
      <c r="BL34" s="96"/>
      <c r="BM34" s="105"/>
      <c r="BN34" s="59"/>
      <c r="BO34" s="59"/>
      <c r="BP34" s="105"/>
      <c r="BQ34" s="44"/>
      <c r="BR34" s="59"/>
      <c r="BS34" s="59"/>
      <c r="BT34" s="295"/>
      <c r="BU34" s="59"/>
      <c r="BV34" s="96"/>
      <c r="BW34" s="105"/>
      <c r="BX34" s="59"/>
      <c r="BY34" s="59"/>
      <c r="BZ34" s="105"/>
      <c r="CA34" s="44"/>
      <c r="CB34" s="59"/>
    </row>
    <row r="35" spans="1:80" ht="26.25">
      <c r="A35" s="317">
        <v>3</v>
      </c>
      <c r="B35" s="320"/>
      <c r="C35" s="326">
        <v>20063379</v>
      </c>
      <c r="D35" s="331" t="s">
        <v>421</v>
      </c>
      <c r="E35" s="326" t="s">
        <v>69</v>
      </c>
      <c r="F35" s="326"/>
      <c r="G35" s="465"/>
      <c r="H35" s="327">
        <v>0</v>
      </c>
      <c r="I35" s="328">
        <f t="shared" si="0"/>
        <v>0</v>
      </c>
      <c r="J35" s="327">
        <v>0</v>
      </c>
      <c r="K35" s="466"/>
      <c r="L35" s="325"/>
      <c r="M35" s="219"/>
      <c r="N35" s="96"/>
      <c r="O35" s="59"/>
      <c r="P35" s="59"/>
      <c r="Q35" s="59"/>
      <c r="R35" s="59"/>
      <c r="S35" s="106"/>
      <c r="T35" s="59"/>
      <c r="U35" s="59"/>
      <c r="V35" s="334"/>
      <c r="W35" s="219"/>
      <c r="X35" s="96"/>
      <c r="Y35" s="59"/>
      <c r="Z35" s="59"/>
      <c r="AA35" s="59"/>
      <c r="AB35" s="59"/>
      <c r="AC35" s="106"/>
      <c r="AD35" s="59"/>
      <c r="AE35" s="59"/>
      <c r="AF35" s="335"/>
      <c r="AG35" s="219"/>
      <c r="AH35" s="96"/>
      <c r="AI35" s="59"/>
      <c r="AJ35" s="59"/>
      <c r="AK35" s="59"/>
      <c r="AL35" s="59"/>
      <c r="AM35" s="106"/>
      <c r="AN35" s="59"/>
      <c r="AO35" s="59"/>
      <c r="AP35" s="336"/>
      <c r="AQ35" s="219"/>
      <c r="AR35" s="96"/>
      <c r="AS35" s="59"/>
      <c r="AT35" s="59"/>
      <c r="AU35" s="59"/>
      <c r="AV35" s="59"/>
      <c r="AW35" s="106"/>
      <c r="AX35" s="59"/>
      <c r="AY35" s="59"/>
      <c r="AZ35" s="337"/>
      <c r="BA35" s="219"/>
      <c r="BB35" s="96"/>
      <c r="BC35" s="59"/>
      <c r="BD35" s="59"/>
      <c r="BE35" s="59"/>
      <c r="BF35" s="59"/>
      <c r="BG35" s="106"/>
      <c r="BH35" s="59"/>
      <c r="BI35" s="59"/>
      <c r="BJ35" s="339"/>
      <c r="BK35" s="219"/>
      <c r="BL35" s="96"/>
      <c r="BM35" s="59"/>
      <c r="BN35" s="59"/>
      <c r="BO35" s="59"/>
      <c r="BP35" s="59"/>
      <c r="BQ35" s="106"/>
      <c r="BR35" s="59"/>
      <c r="BS35" s="59"/>
      <c r="BT35" s="341"/>
      <c r="BU35" s="219"/>
      <c r="BV35" s="96"/>
      <c r="BW35" s="59"/>
      <c r="BX35" s="59"/>
      <c r="BY35" s="59"/>
      <c r="BZ35" s="59"/>
      <c r="CA35" s="44"/>
      <c r="CB35" s="59"/>
    </row>
    <row r="36" spans="1:80" ht="26.25">
      <c r="A36" s="317">
        <v>4</v>
      </c>
      <c r="B36" s="320"/>
      <c r="C36" s="326">
        <v>20060015</v>
      </c>
      <c r="D36" s="331" t="s">
        <v>422</v>
      </c>
      <c r="E36" s="326" t="s">
        <v>69</v>
      </c>
      <c r="F36" s="326"/>
      <c r="G36" s="465"/>
      <c r="H36" s="327">
        <v>0</v>
      </c>
      <c r="I36" s="328">
        <f t="shared" si="0"/>
        <v>0</v>
      </c>
      <c r="J36" s="327">
        <v>0</v>
      </c>
      <c r="K36" s="466"/>
      <c r="L36" s="325"/>
      <c r="M36" s="219"/>
      <c r="N36" s="96"/>
      <c r="O36" s="105"/>
      <c r="P36" s="59"/>
      <c r="Q36" s="59"/>
      <c r="R36" s="105"/>
      <c r="S36" s="106"/>
      <c r="T36" s="59"/>
      <c r="U36" s="105"/>
      <c r="V36" s="334"/>
      <c r="W36" s="219"/>
      <c r="X36" s="96"/>
      <c r="Y36" s="105"/>
      <c r="Z36" s="59"/>
      <c r="AA36" s="59"/>
      <c r="AB36" s="105"/>
      <c r="AC36" s="106"/>
      <c r="AD36" s="59"/>
      <c r="AE36" s="59"/>
      <c r="AF36" s="335"/>
      <c r="AG36" s="354"/>
      <c r="AH36" s="96"/>
      <c r="AI36" s="105"/>
      <c r="AJ36" s="59"/>
      <c r="AK36" s="59"/>
      <c r="AL36" s="105"/>
      <c r="AM36" s="106"/>
      <c r="AN36" s="59"/>
      <c r="AO36" s="59"/>
      <c r="AP36" s="336"/>
      <c r="AQ36" s="219"/>
      <c r="AR36" s="96"/>
      <c r="AS36" s="105"/>
      <c r="AT36" s="59"/>
      <c r="AU36" s="59"/>
      <c r="AV36" s="105"/>
      <c r="AW36" s="106"/>
      <c r="AX36" s="59"/>
      <c r="AY36" s="59"/>
      <c r="AZ36" s="337"/>
      <c r="BA36" s="219"/>
      <c r="BB36" s="96"/>
      <c r="BC36" s="105"/>
      <c r="BD36" s="59"/>
      <c r="BE36" s="59"/>
      <c r="BF36" s="105"/>
      <c r="BG36" s="106"/>
      <c r="BH36" s="105"/>
      <c r="BI36" s="59"/>
      <c r="BJ36" s="339"/>
      <c r="BK36" s="354"/>
      <c r="BL36" s="96"/>
      <c r="BM36" s="105"/>
      <c r="BN36" s="59"/>
      <c r="BO36" s="59"/>
      <c r="BP36" s="105"/>
      <c r="BQ36" s="106"/>
      <c r="BR36" s="59"/>
      <c r="BS36" s="59"/>
      <c r="BT36" s="341"/>
      <c r="BU36" s="219"/>
      <c r="BV36" s="96"/>
      <c r="BW36" s="105"/>
      <c r="BX36" s="59"/>
      <c r="BY36" s="59"/>
      <c r="BZ36" s="105"/>
      <c r="CA36" s="44"/>
      <c r="CB36" s="59"/>
    </row>
    <row r="37" spans="1:80" ht="26.25">
      <c r="A37" s="317">
        <v>5</v>
      </c>
      <c r="B37" s="320"/>
      <c r="C37" s="326">
        <v>20063378</v>
      </c>
      <c r="D37" s="331" t="s">
        <v>423</v>
      </c>
      <c r="E37" s="326" t="s">
        <v>69</v>
      </c>
      <c r="F37" s="326"/>
      <c r="G37" s="465"/>
      <c r="H37" s="327">
        <v>0</v>
      </c>
      <c r="I37" s="328">
        <f t="shared" si="0"/>
        <v>0</v>
      </c>
      <c r="J37" s="327">
        <v>0</v>
      </c>
      <c r="K37" s="466"/>
      <c r="L37" s="325"/>
      <c r="M37" s="219"/>
      <c r="N37" s="96"/>
      <c r="O37" s="105"/>
      <c r="P37" s="59"/>
      <c r="Q37" s="59"/>
      <c r="R37" s="105"/>
      <c r="S37" s="106"/>
      <c r="T37" s="59"/>
      <c r="U37" s="105"/>
      <c r="V37" s="334"/>
      <c r="W37" s="219"/>
      <c r="X37" s="96"/>
      <c r="Y37" s="105"/>
      <c r="Z37" s="59"/>
      <c r="AA37" s="59"/>
      <c r="AB37" s="105"/>
      <c r="AC37" s="106"/>
      <c r="AD37" s="59"/>
      <c r="AE37" s="59"/>
      <c r="AF37" s="335"/>
      <c r="AG37" s="354"/>
      <c r="AH37" s="96"/>
      <c r="AI37" s="105"/>
      <c r="AJ37" s="59"/>
      <c r="AK37" s="59"/>
      <c r="AL37" s="105"/>
      <c r="AM37" s="106"/>
      <c r="AN37" s="59"/>
      <c r="AO37" s="59"/>
      <c r="AP37" s="336"/>
      <c r="AQ37" s="219"/>
      <c r="AR37" s="96"/>
      <c r="AS37" s="105"/>
      <c r="AT37" s="59"/>
      <c r="AU37" s="59"/>
      <c r="AV37" s="105"/>
      <c r="AW37" s="106"/>
      <c r="AX37" s="59"/>
      <c r="AY37" s="59"/>
      <c r="AZ37" s="337"/>
      <c r="BA37" s="219"/>
      <c r="BB37" s="96"/>
      <c r="BC37" s="105"/>
      <c r="BD37" s="59"/>
      <c r="BE37" s="59"/>
      <c r="BF37" s="105"/>
      <c r="BG37" s="106"/>
      <c r="BH37" s="105"/>
      <c r="BI37" s="59"/>
      <c r="BJ37" s="339"/>
      <c r="BK37" s="354"/>
      <c r="BL37" s="96"/>
      <c r="BM37" s="105"/>
      <c r="BN37" s="59"/>
      <c r="BO37" s="59"/>
      <c r="BP37" s="105"/>
      <c r="BQ37" s="106"/>
      <c r="BR37" s="59"/>
      <c r="BS37" s="59"/>
      <c r="BT37" s="341"/>
      <c r="BU37" s="219"/>
      <c r="BV37" s="96"/>
      <c r="BW37" s="105"/>
      <c r="BX37" s="59"/>
      <c r="BY37" s="59"/>
      <c r="BZ37" s="105"/>
      <c r="CA37" s="44"/>
      <c r="CB37" s="59"/>
    </row>
    <row r="38" spans="1:80" s="42" customFormat="1" ht="26.25" hidden="1">
      <c r="A38" s="53">
        <v>7</v>
      </c>
      <c r="B38" s="56"/>
      <c r="C38" s="286">
        <v>1113148</v>
      </c>
      <c r="D38" s="287" t="s">
        <v>348</v>
      </c>
      <c r="E38" s="64" t="s">
        <v>42</v>
      </c>
      <c r="F38" s="54"/>
      <c r="G38" s="44"/>
      <c r="H38" s="146">
        <v>0</v>
      </c>
      <c r="I38" s="45">
        <f t="shared" si="0"/>
        <v>0</v>
      </c>
      <c r="J38" s="146">
        <v>0</v>
      </c>
      <c r="K38" s="147"/>
      <c r="L38" s="575"/>
      <c r="M38" s="59"/>
      <c r="N38" s="96"/>
      <c r="O38" s="59"/>
      <c r="P38" s="59"/>
      <c r="Q38" s="59"/>
      <c r="R38" s="59"/>
      <c r="S38" s="44"/>
      <c r="T38" s="59"/>
      <c r="U38" s="59"/>
      <c r="V38" s="209"/>
      <c r="W38" s="59"/>
      <c r="X38" s="96"/>
      <c r="Y38" s="59"/>
      <c r="Z38" s="59"/>
      <c r="AA38" s="59"/>
      <c r="AB38" s="59"/>
      <c r="AC38" s="44"/>
      <c r="AD38" s="59"/>
      <c r="AE38" s="59"/>
      <c r="AF38" s="509"/>
      <c r="AG38" s="59"/>
      <c r="AH38" s="96"/>
      <c r="AI38" s="59"/>
      <c r="AJ38" s="59"/>
      <c r="AK38" s="59"/>
      <c r="AL38" s="59"/>
      <c r="AM38" s="44"/>
      <c r="AN38" s="59"/>
      <c r="AO38" s="59"/>
      <c r="AP38" s="510"/>
      <c r="AQ38" s="59"/>
      <c r="AR38" s="96"/>
      <c r="AS38" s="59"/>
      <c r="AT38" s="59"/>
      <c r="AU38" s="59"/>
      <c r="AV38" s="59"/>
      <c r="AW38" s="44"/>
      <c r="AX38" s="59"/>
      <c r="AY38" s="59"/>
      <c r="AZ38" s="576"/>
      <c r="BA38" s="59"/>
      <c r="BB38" s="96"/>
      <c r="BC38" s="59"/>
      <c r="BD38" s="59"/>
      <c r="BE38" s="59"/>
      <c r="BF38" s="59"/>
      <c r="BG38" s="44"/>
      <c r="BH38" s="59"/>
      <c r="BI38" s="59"/>
      <c r="BJ38" s="260"/>
      <c r="BK38" s="59"/>
      <c r="BL38" s="96"/>
      <c r="BM38" s="59"/>
      <c r="BN38" s="59"/>
      <c r="BO38" s="59"/>
      <c r="BP38" s="59"/>
      <c r="BQ38" s="44"/>
      <c r="BR38" s="59"/>
      <c r="BS38" s="59"/>
      <c r="BT38" s="577"/>
      <c r="BU38" s="59"/>
      <c r="BV38" s="96"/>
      <c r="BW38" s="59"/>
      <c r="BX38" s="59"/>
      <c r="BY38" s="59"/>
      <c r="BZ38" s="59"/>
      <c r="CA38" s="44"/>
      <c r="CB38" s="59"/>
    </row>
    <row r="39" spans="1:80" s="42" customFormat="1" ht="26.25" hidden="1">
      <c r="A39" s="53">
        <v>8</v>
      </c>
      <c r="B39" s="68"/>
      <c r="C39" s="288">
        <v>1113149</v>
      </c>
      <c r="D39" s="289" t="s">
        <v>349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1"/>
      <c r="M39" s="59"/>
      <c r="N39" s="96"/>
      <c r="O39" s="59"/>
      <c r="P39" s="59"/>
      <c r="Q39" s="59"/>
      <c r="R39" s="59"/>
      <c r="S39" s="44"/>
      <c r="T39" s="59"/>
      <c r="U39" s="59"/>
      <c r="V39" s="190"/>
      <c r="W39" s="59"/>
      <c r="X39" s="96"/>
      <c r="Y39" s="59"/>
      <c r="Z39" s="59"/>
      <c r="AA39" s="59"/>
      <c r="AB39" s="59"/>
      <c r="AC39" s="44"/>
      <c r="AD39" s="59"/>
      <c r="AE39" s="59"/>
      <c r="AF39" s="192"/>
      <c r="AG39" s="59"/>
      <c r="AH39" s="96"/>
      <c r="AI39" s="59"/>
      <c r="AJ39" s="59"/>
      <c r="AK39" s="59"/>
      <c r="AL39" s="59"/>
      <c r="AM39" s="44"/>
      <c r="AN39" s="59"/>
      <c r="AO39" s="59"/>
      <c r="AP39" s="193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1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 hidden="1">
      <c r="A40" s="53">
        <v>9</v>
      </c>
      <c r="B40" s="77"/>
      <c r="C40" s="272">
        <v>1113192</v>
      </c>
      <c r="D40" s="273" t="s">
        <v>453</v>
      </c>
      <c r="E40" s="142" t="s">
        <v>42</v>
      </c>
      <c r="F40" s="76"/>
      <c r="G40" s="118"/>
      <c r="H40" s="58">
        <v>0</v>
      </c>
      <c r="I40" s="45">
        <f t="shared" si="0"/>
        <v>0</v>
      </c>
      <c r="J40" s="58">
        <v>0</v>
      </c>
      <c r="K40" s="59"/>
      <c r="L40" s="194"/>
      <c r="M40" s="59"/>
      <c r="N40" s="96"/>
      <c r="O40" s="59"/>
      <c r="P40" s="59"/>
      <c r="Q40" s="59"/>
      <c r="R40" s="59"/>
      <c r="S40" s="106"/>
      <c r="T40" s="59"/>
      <c r="U40" s="59"/>
      <c r="V40" s="190"/>
      <c r="W40" s="59"/>
      <c r="X40" s="96"/>
      <c r="Y40" s="59"/>
      <c r="Z40" s="59"/>
      <c r="AA40" s="59"/>
      <c r="AB40" s="59"/>
      <c r="AC40" s="44"/>
      <c r="AD40" s="59"/>
      <c r="AE40" s="59"/>
      <c r="AF40" s="431"/>
      <c r="AG40" s="59"/>
      <c r="AH40" s="96"/>
      <c r="AI40" s="59"/>
      <c r="AJ40" s="59"/>
      <c r="AK40" s="59"/>
      <c r="AL40" s="59"/>
      <c r="AM40" s="106"/>
      <c r="AN40" s="59"/>
      <c r="AO40" s="59"/>
      <c r="AP40" s="256"/>
      <c r="AQ40" s="59"/>
      <c r="AR40" s="96"/>
      <c r="AS40" s="59"/>
      <c r="AT40" s="59"/>
      <c r="AU40" s="59"/>
      <c r="AV40" s="59"/>
      <c r="AW40" s="44"/>
      <c r="AX40" s="59"/>
      <c r="AY40" s="59"/>
      <c r="AZ40" s="432"/>
      <c r="BA40" s="59"/>
      <c r="BB40" s="96"/>
      <c r="BC40" s="59"/>
      <c r="BD40" s="59"/>
      <c r="BE40" s="59"/>
      <c r="BF40" s="59"/>
      <c r="BG40" s="106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1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 hidden="1">
      <c r="A41" s="53">
        <v>10</v>
      </c>
      <c r="B41" s="56"/>
      <c r="C41" s="265">
        <v>1113194</v>
      </c>
      <c r="D41" s="266" t="s">
        <v>452</v>
      </c>
      <c r="E41" s="64" t="s">
        <v>42</v>
      </c>
      <c r="F41" s="54"/>
      <c r="G41" s="44"/>
      <c r="H41" s="58">
        <v>0</v>
      </c>
      <c r="I41" s="45">
        <f t="shared" si="0"/>
        <v>0</v>
      </c>
      <c r="J41" s="58">
        <v>0</v>
      </c>
      <c r="K41" s="59"/>
      <c r="L41" s="195"/>
      <c r="M41" s="59"/>
      <c r="N41" s="96"/>
      <c r="O41" s="59"/>
      <c r="P41" s="59"/>
      <c r="Q41" s="59"/>
      <c r="R41" s="105"/>
      <c r="S41" s="106"/>
      <c r="T41" s="59"/>
      <c r="U41" s="59"/>
      <c r="V41" s="222"/>
      <c r="W41" s="59"/>
      <c r="X41" s="96"/>
      <c r="Y41" s="59"/>
      <c r="Z41" s="59"/>
      <c r="AA41" s="59"/>
      <c r="AB41" s="105"/>
      <c r="AC41" s="44"/>
      <c r="AD41" s="59"/>
      <c r="AE41" s="59"/>
      <c r="AF41" s="250"/>
      <c r="AG41" s="105"/>
      <c r="AH41" s="96"/>
      <c r="AI41" s="59"/>
      <c r="AJ41" s="59"/>
      <c r="AK41" s="59"/>
      <c r="AL41" s="105"/>
      <c r="AM41" s="106"/>
      <c r="AN41" s="59"/>
      <c r="AO41" s="59"/>
      <c r="AP41" s="256"/>
      <c r="AQ41" s="59"/>
      <c r="AR41" s="96"/>
      <c r="AS41" s="59"/>
      <c r="AT41" s="59"/>
      <c r="AU41" s="59"/>
      <c r="AV41" s="105"/>
      <c r="AW41" s="44"/>
      <c r="AX41" s="59"/>
      <c r="AY41" s="59"/>
      <c r="AZ41" s="189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51"/>
      <c r="BU41" s="59"/>
      <c r="BV41" s="96"/>
      <c r="BW41" s="59"/>
      <c r="BX41" s="59"/>
      <c r="BY41" s="59"/>
      <c r="BZ41" s="105"/>
      <c r="CA41" s="44"/>
      <c r="CB41" s="59"/>
    </row>
    <row r="42" spans="1:80" s="42" customFormat="1" ht="29.25" hidden="1">
      <c r="A42" s="53">
        <v>1</v>
      </c>
      <c r="B42" s="68"/>
      <c r="C42" s="196">
        <v>1001001087</v>
      </c>
      <c r="D42" s="197" t="s">
        <v>376</v>
      </c>
      <c r="E42" s="198" t="s">
        <v>377</v>
      </c>
      <c r="F42" s="198"/>
      <c r="G42" s="199"/>
      <c r="H42" s="200">
        <v>0</v>
      </c>
      <c r="I42" s="63">
        <f t="shared" ref="I42:I49" si="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0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2</v>
      </c>
      <c r="B43" s="68"/>
      <c r="C43" s="196">
        <v>1001001088</v>
      </c>
      <c r="D43" s="197" t="s">
        <v>378</v>
      </c>
      <c r="E43" s="198" t="s">
        <v>377</v>
      </c>
      <c r="F43" s="198"/>
      <c r="G43" s="199"/>
      <c r="H43" s="200">
        <v>0</v>
      </c>
      <c r="I43" s="63">
        <f t="shared" si="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0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3</v>
      </c>
      <c r="B44" s="68"/>
      <c r="C44" s="196">
        <v>1001001089</v>
      </c>
      <c r="D44" s="197" t="s">
        <v>379</v>
      </c>
      <c r="E44" s="198" t="s">
        <v>377</v>
      </c>
      <c r="F44" s="198"/>
      <c r="G44" s="199"/>
      <c r="H44" s="200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0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4</v>
      </c>
      <c r="B45" s="68"/>
      <c r="C45" s="196">
        <v>1001001111</v>
      </c>
      <c r="D45" s="197" t="s">
        <v>381</v>
      </c>
      <c r="E45" s="198" t="s">
        <v>377</v>
      </c>
      <c r="F45" s="198"/>
      <c r="G45" s="199"/>
      <c r="H45" s="200">
        <v>0</v>
      </c>
      <c r="I45" s="63">
        <f t="shared" si="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0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5</v>
      </c>
      <c r="B46" s="68"/>
      <c r="C46" s="196">
        <v>1001001112</v>
      </c>
      <c r="D46" s="197" t="s">
        <v>382</v>
      </c>
      <c r="E46" s="198" t="s">
        <v>377</v>
      </c>
      <c r="F46" s="198"/>
      <c r="G46" s="199"/>
      <c r="H46" s="200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0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6</v>
      </c>
      <c r="B47" s="68"/>
      <c r="C47" s="196">
        <v>1001001113</v>
      </c>
      <c r="D47" s="197" t="s">
        <v>383</v>
      </c>
      <c r="E47" s="198" t="s">
        <v>377</v>
      </c>
      <c r="F47" s="198"/>
      <c r="G47" s="199"/>
      <c r="H47" s="200">
        <v>0</v>
      </c>
      <c r="I47" s="63">
        <f t="shared" si="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0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7</v>
      </c>
      <c r="B48" s="68"/>
      <c r="C48" s="196">
        <v>1001001114</v>
      </c>
      <c r="D48" s="197" t="s">
        <v>384</v>
      </c>
      <c r="E48" s="198" t="s">
        <v>377</v>
      </c>
      <c r="F48" s="198"/>
      <c r="G48" s="199"/>
      <c r="H48" s="200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0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70">
        <v>11</v>
      </c>
      <c r="B49" s="402"/>
      <c r="C49" s="551">
        <v>1113225</v>
      </c>
      <c r="D49" s="549" t="s">
        <v>451</v>
      </c>
      <c r="E49" s="443" t="s">
        <v>42</v>
      </c>
      <c r="F49" s="226"/>
      <c r="G49" s="227"/>
      <c r="H49" s="228"/>
      <c r="I49" s="220">
        <f t="shared" si="1"/>
        <v>0</v>
      </c>
      <c r="J49" s="129"/>
      <c r="K49" s="117"/>
      <c r="L49" s="571"/>
      <c r="M49" s="59"/>
      <c r="N49" s="96"/>
      <c r="O49" s="59"/>
      <c r="P49" s="59"/>
      <c r="Q49" s="59"/>
      <c r="R49" s="59"/>
      <c r="S49" s="44"/>
      <c r="T49" s="59"/>
      <c r="U49" s="59"/>
      <c r="V49" s="562"/>
      <c r="W49" s="59"/>
      <c r="X49" s="96"/>
      <c r="Y49" s="59"/>
      <c r="Z49" s="59"/>
      <c r="AA49" s="59"/>
      <c r="AB49" s="59"/>
      <c r="AC49" s="44"/>
      <c r="AD49" s="59"/>
      <c r="AE49" s="59"/>
      <c r="AF49" s="572"/>
      <c r="AG49" s="59"/>
      <c r="AH49" s="96"/>
      <c r="AI49" s="59"/>
      <c r="AJ49" s="59"/>
      <c r="AK49" s="59"/>
      <c r="AL49" s="59"/>
      <c r="AM49" s="44"/>
      <c r="AN49" s="59"/>
      <c r="AO49" s="59"/>
      <c r="AP49" s="564"/>
      <c r="AQ49" s="59"/>
      <c r="AR49" s="96"/>
      <c r="AS49" s="59"/>
      <c r="AT49" s="59"/>
      <c r="AU49" s="59"/>
      <c r="AV49" s="59"/>
      <c r="AW49" s="44"/>
      <c r="AX49" s="59"/>
      <c r="AY49" s="59"/>
      <c r="AZ49" s="573"/>
      <c r="BA49" s="59"/>
      <c r="BB49" s="96"/>
      <c r="BC49" s="59"/>
      <c r="BD49" s="59"/>
      <c r="BE49" s="59"/>
      <c r="BF49" s="59"/>
      <c r="BG49" s="44"/>
      <c r="BH49" s="59"/>
      <c r="BI49" s="59"/>
      <c r="BJ49" s="214"/>
      <c r="BK49" s="59"/>
      <c r="BL49" s="96"/>
      <c r="BM49" s="59"/>
      <c r="BN49" s="59"/>
      <c r="BO49" s="59"/>
      <c r="BP49" s="59"/>
      <c r="BQ49" s="44"/>
      <c r="BR49" s="59"/>
      <c r="BS49" s="59"/>
      <c r="BT49" s="566"/>
      <c r="BU49" s="59"/>
      <c r="BV49" s="96"/>
      <c r="BW49" s="59"/>
      <c r="BX49" s="59"/>
      <c r="BY49" s="59"/>
      <c r="BZ49" s="59"/>
      <c r="CA49" s="44"/>
      <c r="CB49" s="59"/>
    </row>
    <row r="50" spans="1:80" ht="24" customHeight="1">
      <c r="A50" s="317">
        <v>6</v>
      </c>
      <c r="B50" s="320"/>
      <c r="C50" s="239">
        <v>20059547</v>
      </c>
      <c r="D50" s="321" t="s">
        <v>424</v>
      </c>
      <c r="E50" s="326" t="s">
        <v>69</v>
      </c>
      <c r="F50" s="321"/>
      <c r="G50" s="321"/>
      <c r="H50" s="327"/>
      <c r="I50" s="328">
        <f t="shared" ref="I50:I55" si="2">SUM(L50,V50,AF50,AP50,AZ50,BJ50,BT50)</f>
        <v>0</v>
      </c>
      <c r="J50" s="328"/>
      <c r="K50" s="321"/>
      <c r="L50" s="325"/>
      <c r="V50" s="334"/>
      <c r="AF50" s="335"/>
      <c r="AP50" s="336"/>
      <c r="AZ50" s="337"/>
      <c r="BJ50" s="339"/>
      <c r="BT50" s="341"/>
    </row>
    <row r="51" spans="1:80" ht="24" customHeight="1">
      <c r="A51" s="317">
        <v>7</v>
      </c>
      <c r="B51" s="320"/>
      <c r="C51" s="239">
        <v>20059548</v>
      </c>
      <c r="D51" s="321" t="s">
        <v>425</v>
      </c>
      <c r="E51" s="326" t="s">
        <v>69</v>
      </c>
      <c r="F51" s="321"/>
      <c r="G51" s="321"/>
      <c r="H51" s="327"/>
      <c r="I51" s="328">
        <f t="shared" si="2"/>
        <v>0</v>
      </c>
      <c r="J51" s="328"/>
      <c r="K51" s="321"/>
      <c r="L51" s="325"/>
      <c r="V51" s="334"/>
      <c r="AF51" s="335"/>
      <c r="AP51" s="336"/>
      <c r="AZ51" s="337"/>
      <c r="BJ51" s="339"/>
      <c r="BT51" s="341"/>
    </row>
    <row r="52" spans="1:80" ht="24" customHeight="1">
      <c r="A52" s="317">
        <v>8</v>
      </c>
      <c r="B52" s="320"/>
      <c r="C52" s="330">
        <v>20060019</v>
      </c>
      <c r="D52" s="321" t="s">
        <v>408</v>
      </c>
      <c r="E52" s="326" t="s">
        <v>69</v>
      </c>
      <c r="F52" s="321"/>
      <c r="G52" s="321"/>
      <c r="H52" s="327"/>
      <c r="I52" s="328">
        <f t="shared" si="2"/>
        <v>0</v>
      </c>
      <c r="J52" s="328"/>
      <c r="K52" s="321"/>
      <c r="L52" s="325"/>
      <c r="V52" s="334"/>
      <c r="AF52" s="335"/>
      <c r="AP52" s="336"/>
      <c r="AZ52" s="338"/>
      <c r="BJ52" s="340"/>
      <c r="BT52" s="341"/>
    </row>
    <row r="53" spans="1:80" ht="24" customHeight="1">
      <c r="A53" s="317">
        <v>9</v>
      </c>
      <c r="B53" s="320"/>
      <c r="C53" s="326">
        <v>20059087</v>
      </c>
      <c r="D53" s="331" t="s">
        <v>426</v>
      </c>
      <c r="E53" s="326" t="s">
        <v>69</v>
      </c>
      <c r="F53" s="321"/>
      <c r="G53" s="321"/>
      <c r="H53" s="327"/>
      <c r="I53" s="328">
        <f t="shared" si="2"/>
        <v>0</v>
      </c>
      <c r="J53" s="328"/>
      <c r="K53" s="321"/>
      <c r="L53" s="325"/>
      <c r="V53" s="334"/>
      <c r="AF53" s="335"/>
      <c r="AP53" s="336"/>
      <c r="AZ53" s="338"/>
      <c r="BJ53" s="340"/>
      <c r="BT53" s="341"/>
    </row>
    <row r="54" spans="1:80" ht="24.75" customHeight="1">
      <c r="A54" s="317">
        <v>10</v>
      </c>
      <c r="B54" s="320"/>
      <c r="C54" s="239">
        <v>20060974</v>
      </c>
      <c r="D54" s="331" t="s">
        <v>427</v>
      </c>
      <c r="E54" s="326" t="s">
        <v>69</v>
      </c>
      <c r="F54" s="321"/>
      <c r="G54" s="321"/>
      <c r="H54" s="327"/>
      <c r="I54" s="328">
        <f t="shared" si="2"/>
        <v>0</v>
      </c>
      <c r="J54" s="328"/>
      <c r="K54" s="321"/>
      <c r="L54" s="325"/>
      <c r="V54" s="334"/>
      <c r="AF54" s="335"/>
      <c r="AP54" s="336"/>
      <c r="AZ54" s="338"/>
      <c r="BJ54" s="340"/>
      <c r="BT54" s="341"/>
    </row>
    <row r="55" spans="1:80" ht="24.75" customHeight="1">
      <c r="A55" s="317">
        <v>11</v>
      </c>
      <c r="B55" s="320"/>
      <c r="C55" s="239">
        <v>20060976</v>
      </c>
      <c r="D55" s="331" t="s">
        <v>428</v>
      </c>
      <c r="E55" s="326" t="s">
        <v>69</v>
      </c>
      <c r="F55" s="321"/>
      <c r="G55" s="321"/>
      <c r="H55" s="327"/>
      <c r="I55" s="328">
        <f t="shared" si="2"/>
        <v>0</v>
      </c>
      <c r="J55" s="328"/>
      <c r="K55" s="321"/>
      <c r="L55" s="325"/>
      <c r="V55" s="334"/>
      <c r="AF55" s="335"/>
      <c r="AP55" s="336"/>
      <c r="AZ55" s="338"/>
      <c r="BJ55" s="340"/>
      <c r="BT55" s="341"/>
    </row>
    <row r="56" spans="1:80" ht="27.75" customHeight="1">
      <c r="A56" s="317">
        <v>12</v>
      </c>
      <c r="B56" s="320"/>
      <c r="C56" s="239">
        <v>20060973</v>
      </c>
      <c r="D56" s="331" t="s">
        <v>429</v>
      </c>
      <c r="E56" s="326" t="s">
        <v>69</v>
      </c>
      <c r="F56" s="321"/>
      <c r="G56" s="321"/>
      <c r="H56" s="327"/>
      <c r="I56" s="328">
        <f t="shared" ref="I56:I57" si="3">SUM(L56,V56,AF56,AP56,AZ56,BJ56,BT56)</f>
        <v>0</v>
      </c>
      <c r="J56" s="328"/>
      <c r="K56" s="321"/>
      <c r="L56" s="325"/>
      <c r="V56" s="334"/>
      <c r="AF56" s="335"/>
      <c r="AP56" s="336"/>
      <c r="AZ56" s="338"/>
      <c r="BJ56" s="340"/>
      <c r="BT56" s="341"/>
    </row>
    <row r="57" spans="1:80" ht="26.25" customHeight="1">
      <c r="A57" s="317">
        <v>13</v>
      </c>
      <c r="B57" s="320"/>
      <c r="C57" s="239">
        <v>20061982</v>
      </c>
      <c r="D57" s="331" t="s">
        <v>430</v>
      </c>
      <c r="E57" s="326" t="s">
        <v>69</v>
      </c>
      <c r="F57" s="321"/>
      <c r="G57" s="321"/>
      <c r="H57" s="327"/>
      <c r="I57" s="328">
        <f t="shared" si="3"/>
        <v>0</v>
      </c>
      <c r="J57" s="328"/>
      <c r="K57" s="321"/>
      <c r="L57" s="325"/>
      <c r="M57" s="271"/>
      <c r="N57" s="263"/>
      <c r="O57" s="263"/>
      <c r="P57" s="263"/>
      <c r="Q57" s="263"/>
      <c r="R57" s="263"/>
      <c r="S57" s="263"/>
      <c r="T57" s="263"/>
      <c r="U57" s="270"/>
      <c r="V57" s="334"/>
      <c r="W57" s="271"/>
      <c r="X57" s="263"/>
      <c r="Y57" s="263"/>
      <c r="Z57" s="263"/>
      <c r="AA57" s="263"/>
      <c r="AB57" s="263"/>
      <c r="AC57" s="263"/>
      <c r="AD57" s="263"/>
      <c r="AE57" s="270"/>
      <c r="AF57" s="335"/>
      <c r="AG57" s="271"/>
      <c r="AH57" s="263"/>
      <c r="AI57" s="263"/>
      <c r="AJ57" s="263"/>
      <c r="AK57" s="263"/>
      <c r="AL57" s="263"/>
      <c r="AM57" s="263"/>
      <c r="AN57" s="263"/>
      <c r="AO57" s="270"/>
      <c r="AP57" s="336"/>
      <c r="AQ57" s="271"/>
      <c r="AR57" s="263"/>
      <c r="AS57" s="263"/>
      <c r="AT57" s="263"/>
      <c r="AU57" s="263"/>
      <c r="AV57" s="263"/>
      <c r="AW57" s="263"/>
      <c r="AX57" s="263"/>
      <c r="AY57" s="270"/>
      <c r="AZ57" s="338"/>
      <c r="BA57" s="271"/>
      <c r="BB57" s="263"/>
      <c r="BC57" s="263"/>
      <c r="BD57" s="263"/>
      <c r="BE57" s="263"/>
      <c r="BF57" s="263"/>
      <c r="BG57" s="263"/>
      <c r="BH57" s="263"/>
      <c r="BI57" s="270"/>
      <c r="BJ57" s="340"/>
      <c r="BK57" s="271"/>
      <c r="BL57" s="263"/>
      <c r="BM57" s="263"/>
      <c r="BN57" s="263"/>
      <c r="BO57" s="263"/>
      <c r="BP57" s="263"/>
      <c r="BQ57" s="263"/>
      <c r="BR57" s="263"/>
      <c r="BS57" s="270"/>
      <c r="BT57" s="341"/>
    </row>
    <row r="58" spans="1:80" ht="31.5" customHeight="1">
      <c r="A58" s="317">
        <v>14</v>
      </c>
      <c r="B58" s="320"/>
      <c r="C58" s="239">
        <v>20062915</v>
      </c>
      <c r="D58" s="331" t="s">
        <v>431</v>
      </c>
      <c r="E58" s="326" t="s">
        <v>69</v>
      </c>
      <c r="F58" s="321"/>
      <c r="G58" s="321"/>
      <c r="H58" s="327"/>
      <c r="I58" s="328">
        <f t="shared" ref="I58:I59" si="4">SUM(L58,V58,AF58,AP58,AZ58,BJ58,BT58)</f>
        <v>0</v>
      </c>
      <c r="J58" s="328"/>
      <c r="K58" s="321"/>
      <c r="L58" s="325"/>
      <c r="V58" s="334"/>
      <c r="AF58" s="335"/>
      <c r="AP58" s="336"/>
      <c r="AZ58" s="338"/>
      <c r="BJ58" s="340"/>
      <c r="BT58" s="341"/>
    </row>
    <row r="59" spans="1:80" ht="31.5" customHeight="1">
      <c r="A59" s="317">
        <v>15</v>
      </c>
      <c r="B59" s="320"/>
      <c r="C59" s="332">
        <v>20063266</v>
      </c>
      <c r="D59" s="333" t="s">
        <v>432</v>
      </c>
      <c r="E59" s="326" t="s">
        <v>69</v>
      </c>
      <c r="F59" s="321"/>
      <c r="G59" s="321"/>
      <c r="H59" s="327"/>
      <c r="I59" s="328">
        <f t="shared" si="4"/>
        <v>0</v>
      </c>
      <c r="J59" s="328"/>
      <c r="K59" s="321"/>
      <c r="L59" s="325"/>
      <c r="V59" s="334"/>
      <c r="AF59" s="335"/>
      <c r="AP59" s="336"/>
      <c r="AZ59" s="338"/>
      <c r="BJ59" s="340"/>
      <c r="BT59" s="341"/>
    </row>
    <row r="60" spans="1:80" ht="31.5" customHeight="1">
      <c r="A60" s="319">
        <v>16</v>
      </c>
      <c r="B60" s="329"/>
      <c r="C60" s="452">
        <v>20062916</v>
      </c>
      <c r="D60" s="578" t="s">
        <v>413</v>
      </c>
      <c r="E60" s="579" t="s">
        <v>69</v>
      </c>
      <c r="F60" s="323"/>
      <c r="G60" s="323"/>
      <c r="H60" s="471"/>
      <c r="I60" s="324">
        <f t="shared" ref="I60:I61" si="5">SUM(L60,V60,AF60,AP60,AZ60,BJ60,BT60)</f>
        <v>0</v>
      </c>
      <c r="J60" s="324"/>
      <c r="K60" s="323"/>
      <c r="L60" s="580"/>
      <c r="V60" s="473"/>
      <c r="AF60" s="474"/>
      <c r="AP60" s="475"/>
      <c r="AZ60" s="476"/>
      <c r="BJ60" s="477"/>
      <c r="BT60" s="581"/>
    </row>
    <row r="61" spans="1:80" ht="31.5" customHeight="1">
      <c r="A61" s="319">
        <v>17</v>
      </c>
      <c r="B61" s="320"/>
      <c r="C61" s="239">
        <v>20063380</v>
      </c>
      <c r="D61" s="342" t="s">
        <v>416</v>
      </c>
      <c r="E61" s="343" t="s">
        <v>69</v>
      </c>
      <c r="F61" s="321"/>
      <c r="G61" s="321"/>
      <c r="H61" s="327"/>
      <c r="I61" s="328">
        <f t="shared" si="5"/>
        <v>0</v>
      </c>
      <c r="J61" s="328"/>
      <c r="K61" s="321"/>
      <c r="L61" s="325"/>
      <c r="V61" s="334"/>
      <c r="AF61" s="335"/>
      <c r="AP61" s="336"/>
      <c r="AZ61" s="338"/>
      <c r="BJ61" s="340"/>
      <c r="BT61" s="341"/>
    </row>
    <row r="62" spans="1:80" ht="29.25" customHeight="1">
      <c r="A62" s="319">
        <v>18</v>
      </c>
      <c r="B62" s="320"/>
      <c r="C62" s="239">
        <v>20063468</v>
      </c>
      <c r="D62" s="342" t="s">
        <v>417</v>
      </c>
      <c r="E62" s="326" t="s">
        <v>69</v>
      </c>
      <c r="F62" s="321"/>
      <c r="G62" s="321"/>
      <c r="H62" s="327"/>
      <c r="I62" s="328">
        <f t="shared" ref="I62" si="6">SUM(L62,V62,AF62,AP62,AZ62,BJ62,BT62)</f>
        <v>0</v>
      </c>
      <c r="J62" s="328"/>
      <c r="K62" s="321"/>
      <c r="L62" s="325"/>
      <c r="V62" s="334"/>
      <c r="AF62" s="335"/>
      <c r="AP62" s="336"/>
      <c r="AZ62" s="338"/>
      <c r="BJ62" s="340"/>
      <c r="BT62" s="341"/>
    </row>
    <row r="63" spans="1:80" ht="29.25" customHeight="1">
      <c r="A63" s="319">
        <v>19</v>
      </c>
      <c r="B63" s="320"/>
      <c r="C63" s="332">
        <v>20064190</v>
      </c>
      <c r="D63" s="344" t="s">
        <v>446</v>
      </c>
      <c r="E63" s="326" t="s">
        <v>69</v>
      </c>
      <c r="F63" s="321"/>
      <c r="G63" s="321"/>
      <c r="H63" s="327"/>
      <c r="I63" s="328">
        <f t="shared" ref="I63:I73" si="7">SUM(L63,V63,AF63,AP63,AZ63,BJ63,BT63)</f>
        <v>0</v>
      </c>
      <c r="J63" s="328"/>
      <c r="K63" s="321"/>
      <c r="L63" s="325"/>
      <c r="V63" s="334"/>
      <c r="AF63" s="335"/>
      <c r="AP63" s="336"/>
      <c r="AZ63" s="338"/>
      <c r="BJ63" s="340"/>
      <c r="BT63" s="341"/>
    </row>
    <row r="64" spans="1:80" ht="29.25" customHeight="1">
      <c r="A64" s="319">
        <v>20</v>
      </c>
      <c r="B64" s="320"/>
      <c r="C64" s="332">
        <v>20064191</v>
      </c>
      <c r="D64" s="344" t="s">
        <v>447</v>
      </c>
      <c r="E64" s="326" t="s">
        <v>69</v>
      </c>
      <c r="F64" s="321"/>
      <c r="G64" s="321"/>
      <c r="H64" s="327"/>
      <c r="I64" s="328">
        <f t="shared" si="7"/>
        <v>0</v>
      </c>
      <c r="J64" s="328"/>
      <c r="K64" s="321"/>
      <c r="L64" s="325"/>
      <c r="V64" s="334"/>
      <c r="AF64" s="335"/>
      <c r="AP64" s="336"/>
      <c r="AZ64" s="338"/>
      <c r="BJ64" s="340"/>
      <c r="BT64" s="341"/>
    </row>
    <row r="65" spans="1:72" ht="29.25" customHeight="1">
      <c r="A65" s="382">
        <v>21</v>
      </c>
      <c r="B65" s="408"/>
      <c r="C65" s="421">
        <v>20064271</v>
      </c>
      <c r="D65" s="422" t="s">
        <v>448</v>
      </c>
      <c r="E65" s="409" t="s">
        <v>69</v>
      </c>
      <c r="F65" s="410"/>
      <c r="G65" s="410"/>
      <c r="H65" s="411"/>
      <c r="I65" s="412">
        <f t="shared" si="7"/>
        <v>0</v>
      </c>
      <c r="J65" s="412"/>
      <c r="K65" s="410"/>
      <c r="L65" s="413"/>
      <c r="V65" s="414"/>
      <c r="AF65" s="415"/>
      <c r="AP65" s="416"/>
      <c r="AZ65" s="417"/>
      <c r="BJ65" s="418"/>
      <c r="BT65" s="419"/>
    </row>
    <row r="66" spans="1:72" ht="29.25" customHeight="1">
      <c r="A66" s="317">
        <v>22</v>
      </c>
      <c r="B66" s="320"/>
      <c r="C66" s="420">
        <v>20064365</v>
      </c>
      <c r="D66" s="321" t="s">
        <v>464</v>
      </c>
      <c r="E66" s="326" t="s">
        <v>69</v>
      </c>
      <c r="F66" s="321"/>
      <c r="G66" s="321"/>
      <c r="H66" s="327"/>
      <c r="I66" s="328">
        <f t="shared" si="7"/>
        <v>0</v>
      </c>
      <c r="J66" s="328"/>
      <c r="K66" s="321"/>
      <c r="L66" s="325"/>
      <c r="V66" s="334"/>
      <c r="AF66" s="335"/>
      <c r="AP66" s="336"/>
      <c r="AZ66" s="338"/>
      <c r="BJ66" s="340"/>
      <c r="BT66" s="341"/>
    </row>
    <row r="67" spans="1:72" ht="29.25" hidden="1" customHeight="1">
      <c r="A67" s="317">
        <v>2</v>
      </c>
      <c r="B67" s="320"/>
      <c r="C67" s="420">
        <v>1112048</v>
      </c>
      <c r="D67" s="321" t="s">
        <v>441</v>
      </c>
      <c r="E67" s="169" t="s">
        <v>203</v>
      </c>
      <c r="F67" s="321"/>
      <c r="G67" s="321"/>
      <c r="H67" s="327"/>
      <c r="I67" s="215">
        <f t="shared" si="7"/>
        <v>0</v>
      </c>
      <c r="J67" s="328"/>
      <c r="K67" s="321"/>
      <c r="L67" s="325"/>
      <c r="V67" s="334"/>
      <c r="AF67" s="335"/>
      <c r="AP67" s="336"/>
      <c r="AZ67" s="338"/>
      <c r="BJ67" s="340"/>
      <c r="BT67" s="341"/>
    </row>
    <row r="68" spans="1:72" ht="29.25" hidden="1" customHeight="1">
      <c r="A68" s="317">
        <v>3</v>
      </c>
      <c r="B68" s="320"/>
      <c r="C68" s="420">
        <v>1112049</v>
      </c>
      <c r="D68" s="321" t="s">
        <v>442</v>
      </c>
      <c r="E68" s="169" t="s">
        <v>203</v>
      </c>
      <c r="F68" s="321"/>
      <c r="G68" s="321"/>
      <c r="H68" s="327"/>
      <c r="I68" s="215">
        <f t="shared" si="7"/>
        <v>0</v>
      </c>
      <c r="J68" s="328"/>
      <c r="K68" s="321"/>
      <c r="L68" s="325"/>
      <c r="V68" s="334"/>
      <c r="AF68" s="335"/>
      <c r="AP68" s="336"/>
      <c r="AZ68" s="338"/>
      <c r="BJ68" s="340"/>
      <c r="BT68" s="341"/>
    </row>
    <row r="69" spans="1:72" ht="29.25" customHeight="1">
      <c r="A69" s="317">
        <v>23</v>
      </c>
      <c r="B69" s="320"/>
      <c r="C69" s="420">
        <v>20064787</v>
      </c>
      <c r="D69" s="321" t="s">
        <v>443</v>
      </c>
      <c r="E69" s="326" t="s">
        <v>69</v>
      </c>
      <c r="F69" s="321"/>
      <c r="G69" s="321"/>
      <c r="H69" s="327"/>
      <c r="I69" s="328">
        <f t="shared" si="7"/>
        <v>0</v>
      </c>
      <c r="J69" s="328"/>
      <c r="K69" s="321"/>
      <c r="L69" s="325"/>
      <c r="V69" s="334"/>
      <c r="AF69" s="335"/>
      <c r="AP69" s="336"/>
      <c r="AZ69" s="338"/>
      <c r="BJ69" s="340"/>
      <c r="BT69" s="341"/>
    </row>
    <row r="70" spans="1:72" ht="29.25" customHeight="1">
      <c r="A70" s="317">
        <v>24</v>
      </c>
      <c r="B70" s="320"/>
      <c r="C70" s="420">
        <v>20064791</v>
      </c>
      <c r="D70" s="321" t="s">
        <v>444</v>
      </c>
      <c r="E70" s="326" t="s">
        <v>69</v>
      </c>
      <c r="F70" s="321"/>
      <c r="G70" s="321"/>
      <c r="H70" s="327"/>
      <c r="I70" s="328">
        <f t="shared" si="7"/>
        <v>0</v>
      </c>
      <c r="J70" s="328"/>
      <c r="K70" s="321"/>
      <c r="L70" s="325"/>
      <c r="V70" s="334"/>
      <c r="AF70" s="335"/>
      <c r="AP70" s="336"/>
      <c r="AZ70" s="338"/>
      <c r="BJ70" s="340"/>
      <c r="BT70" s="341"/>
    </row>
    <row r="71" spans="1:72" ht="29.25" customHeight="1">
      <c r="A71" s="317">
        <v>25</v>
      </c>
      <c r="B71" s="320"/>
      <c r="C71" s="420">
        <v>20064861</v>
      </c>
      <c r="D71" s="321" t="s">
        <v>445</v>
      </c>
      <c r="E71" s="326" t="s">
        <v>69</v>
      </c>
      <c r="F71" s="321"/>
      <c r="G71" s="321"/>
      <c r="H71" s="327"/>
      <c r="I71" s="328">
        <f t="shared" si="7"/>
        <v>0</v>
      </c>
      <c r="J71" s="328"/>
      <c r="K71" s="321"/>
      <c r="L71" s="325"/>
      <c r="V71" s="334"/>
      <c r="AF71" s="335"/>
      <c r="AP71" s="336"/>
      <c r="AZ71" s="338"/>
      <c r="BJ71" s="340"/>
      <c r="BT71" s="341"/>
    </row>
    <row r="72" spans="1:72" ht="29.25" hidden="1" customHeight="1">
      <c r="A72" s="317">
        <v>12</v>
      </c>
      <c r="B72" s="320"/>
      <c r="C72" s="420">
        <v>1113237</v>
      </c>
      <c r="D72" s="321" t="s">
        <v>454</v>
      </c>
      <c r="E72" s="217" t="s">
        <v>42</v>
      </c>
      <c r="F72" s="169"/>
      <c r="G72" s="183"/>
      <c r="H72" s="184"/>
      <c r="I72" s="45">
        <f t="shared" si="7"/>
        <v>0</v>
      </c>
      <c r="J72" s="328"/>
      <c r="K72" s="321"/>
      <c r="L72" s="325"/>
      <c r="V72" s="334"/>
      <c r="AF72" s="335"/>
      <c r="AP72" s="336"/>
      <c r="AZ72" s="338"/>
      <c r="BJ72" s="340"/>
      <c r="BT72" s="341"/>
    </row>
    <row r="73" spans="1:72" ht="29.25" hidden="1" customHeight="1">
      <c r="A73" s="317">
        <v>13</v>
      </c>
      <c r="B73" s="320"/>
      <c r="C73" s="420">
        <v>1113238</v>
      </c>
      <c r="D73" s="321" t="s">
        <v>455</v>
      </c>
      <c r="E73" s="217" t="s">
        <v>42</v>
      </c>
      <c r="F73" s="169"/>
      <c r="G73" s="183"/>
      <c r="H73" s="184"/>
      <c r="I73" s="45">
        <f t="shared" si="7"/>
        <v>0</v>
      </c>
      <c r="J73" s="328"/>
      <c r="K73" s="321"/>
      <c r="L73" s="325"/>
      <c r="V73" s="334"/>
      <c r="AF73" s="335"/>
      <c r="AP73" s="336"/>
      <c r="AZ73" s="338"/>
      <c r="BJ73" s="340"/>
      <c r="BT73" s="341"/>
    </row>
    <row r="74" spans="1:72" ht="18.75" customHeight="1"/>
  </sheetData>
  <autoFilter ref="E1:E73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383" customFormat="1" ht="15.75" customHeight="1">
      <c r="A1" s="622" t="s">
        <v>14</v>
      </c>
      <c r="B1" s="626"/>
      <c r="C1" s="626"/>
      <c r="D1" s="626"/>
      <c r="E1" s="626"/>
      <c r="F1" s="623"/>
      <c r="G1" s="384"/>
      <c r="H1" s="622" t="s">
        <v>15</v>
      </c>
      <c r="I1" s="623"/>
      <c r="J1" s="623"/>
      <c r="K1" s="623"/>
      <c r="L1" s="623"/>
      <c r="M1" s="623"/>
      <c r="N1" s="384"/>
      <c r="O1" s="622" t="s">
        <v>16</v>
      </c>
      <c r="P1" s="623"/>
      <c r="Q1" s="623"/>
      <c r="R1" s="623"/>
      <c r="S1" s="623"/>
      <c r="T1" s="623"/>
      <c r="U1" s="384"/>
      <c r="V1" s="622" t="s">
        <v>17</v>
      </c>
      <c r="W1" s="623"/>
      <c r="X1" s="623"/>
      <c r="Y1" s="623"/>
      <c r="Z1" s="623"/>
      <c r="AA1" s="623"/>
      <c r="AB1" s="384"/>
      <c r="AC1" s="622" t="s">
        <v>385</v>
      </c>
      <c r="AD1" s="623"/>
      <c r="AE1" s="623"/>
      <c r="AF1" s="623"/>
      <c r="AG1" s="623"/>
      <c r="AH1" s="623"/>
      <c r="AI1" s="384"/>
      <c r="AJ1" s="622" t="s">
        <v>19</v>
      </c>
      <c r="AK1" s="623"/>
      <c r="AL1" s="623"/>
      <c r="AM1" s="623"/>
      <c r="AN1" s="623"/>
      <c r="AO1" s="623"/>
      <c r="AP1" s="384"/>
      <c r="AQ1" s="622" t="s">
        <v>386</v>
      </c>
      <c r="AR1" s="623"/>
      <c r="AS1" s="623"/>
      <c r="AT1" s="623"/>
      <c r="AU1" s="623"/>
      <c r="AV1" s="623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24"/>
      <c r="P68" s="625"/>
      <c r="Q68" s="7"/>
      <c r="R68" s="6"/>
      <c r="S68" s="7"/>
      <c r="T68" s="6"/>
      <c r="U68" s="8"/>
      <c r="V68" s="8"/>
      <c r="W68" s="1"/>
      <c r="X68" s="1"/>
      <c r="Y68" s="624"/>
      <c r="Z68" s="625"/>
      <c r="AA68" s="7"/>
      <c r="AB68" s="6"/>
      <c r="AC68" s="7"/>
      <c r="AD68" s="6"/>
      <c r="AE68" s="8"/>
      <c r="AF68" s="8"/>
      <c r="AG68" s="1"/>
      <c r="AH68" s="1"/>
      <c r="AI68" s="624"/>
      <c r="AJ68" s="625"/>
      <c r="AK68" s="7"/>
      <c r="AL68" s="6"/>
      <c r="AM68" s="7"/>
      <c r="AN68" s="6"/>
      <c r="AO68" s="8"/>
      <c r="AP68" s="8"/>
      <c r="AQ68" s="1"/>
      <c r="AR68" s="1"/>
      <c r="AS68" s="624"/>
      <c r="AT68" s="625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24"/>
      <c r="P69" s="625"/>
      <c r="Q69" s="7"/>
      <c r="R69" s="6"/>
      <c r="S69" s="7"/>
      <c r="T69" s="6"/>
      <c r="U69" s="8"/>
      <c r="V69" s="8"/>
      <c r="W69" s="1"/>
      <c r="X69" s="1"/>
      <c r="Y69" s="624"/>
      <c r="Z69" s="625"/>
      <c r="AA69" s="7"/>
      <c r="AB69" s="6"/>
      <c r="AC69" s="7"/>
      <c r="AD69" s="6"/>
      <c r="AE69" s="8"/>
      <c r="AF69" s="8"/>
      <c r="AG69" s="1"/>
      <c r="AH69" s="1"/>
      <c r="AI69" s="624"/>
      <c r="AJ69" s="625"/>
      <c r="AK69" s="7"/>
      <c r="AL69" s="6"/>
      <c r="AM69" s="7"/>
      <c r="AN69" s="6"/>
      <c r="AO69" s="8"/>
      <c r="AP69" s="8"/>
      <c r="AQ69" s="1"/>
      <c r="AR69" s="1"/>
      <c r="AS69" s="624"/>
      <c r="AT69" s="625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24"/>
      <c r="P70" s="625"/>
      <c r="Q70" s="7"/>
      <c r="R70" s="6"/>
      <c r="S70" s="7"/>
      <c r="T70" s="6"/>
      <c r="U70" s="8"/>
      <c r="V70" s="8"/>
      <c r="W70" s="1"/>
      <c r="X70" s="1"/>
      <c r="Y70" s="624"/>
      <c r="Z70" s="625"/>
      <c r="AA70" s="7"/>
      <c r="AB70" s="6"/>
      <c r="AC70" s="7"/>
      <c r="AD70" s="6"/>
      <c r="AE70" s="8"/>
      <c r="AF70" s="8"/>
      <c r="AG70" s="1"/>
      <c r="AH70" s="1"/>
      <c r="AI70" s="624"/>
      <c r="AJ70" s="625"/>
      <c r="AK70" s="7"/>
      <c r="AL70" s="6"/>
      <c r="AM70" s="7"/>
      <c r="AN70" s="6"/>
      <c r="AO70" s="8"/>
      <c r="AP70" s="8"/>
      <c r="AQ70" s="1"/>
      <c r="AR70" s="1"/>
      <c r="AS70" s="624"/>
      <c r="AT70" s="625"/>
      <c r="AU70" s="7"/>
      <c r="AV70" s="6"/>
    </row>
  </sheetData>
  <mergeCells count="19">
    <mergeCell ref="O70:P70"/>
    <mergeCell ref="Y70:Z70"/>
    <mergeCell ref="AS70:AT70"/>
    <mergeCell ref="AI69:AJ69"/>
    <mergeCell ref="AI70:AJ70"/>
    <mergeCell ref="O69:P69"/>
    <mergeCell ref="Y69:Z69"/>
    <mergeCell ref="AS69:AT69"/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2026-07-07T03:20:34Z</dcterms:modified>
</cp:coreProperties>
</file>