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1832B289-422F-437A-82FA-A394945AB330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1'!$E$1:$E$77</definedName>
    <definedName name="_xlnm._FilterDatabase" localSheetId="3" hidden="1">'Week 2'!$E$1:$E$76</definedName>
    <definedName name="_xlnm._FilterDatabase" localSheetId="5" hidden="1">'Week 3'!$E$1:$E$76</definedName>
    <definedName name="_xlnm._FilterDatabase" localSheetId="7" hidden="1">'Week 4'!$E$1:$E$76</definedName>
    <definedName name="_xlnm._FilterDatabase" localSheetId="9" hidden="1">'Week 5'!$A$1:$CB$78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4" i="6" l="1"/>
  <c r="I73" i="6"/>
  <c r="I48" i="6"/>
  <c r="I39" i="6"/>
  <c r="I38" i="6"/>
  <c r="I37" i="6"/>
  <c r="I36" i="6"/>
  <c r="I30" i="6"/>
  <c r="I28" i="6"/>
  <c r="I23" i="6"/>
  <c r="I17" i="6"/>
  <c r="I16" i="6"/>
  <c r="AF76" i="6"/>
  <c r="AF75" i="6"/>
  <c r="I78" i="10"/>
  <c r="I77" i="10"/>
  <c r="I76" i="8"/>
  <c r="I75" i="8"/>
  <c r="I75" i="6"/>
  <c r="I76" i="6"/>
  <c r="I76" i="4"/>
  <c r="I75" i="4"/>
  <c r="I76" i="10"/>
  <c r="I75" i="10"/>
  <c r="I74" i="8"/>
  <c r="I73" i="8"/>
  <c r="I74" i="4"/>
  <c r="I73" i="4"/>
  <c r="I79" i="2"/>
  <c r="I78" i="2"/>
  <c r="I50" i="2"/>
  <c r="I42" i="2"/>
  <c r="I41" i="2"/>
  <c r="I40" i="2"/>
  <c r="I39" i="2"/>
  <c r="I33" i="2"/>
  <c r="I31" i="2"/>
  <c r="I26" i="2"/>
  <c r="I20" i="2"/>
  <c r="I19" i="2"/>
  <c r="I72" i="10"/>
  <c r="I73" i="10"/>
  <c r="I74" i="10"/>
  <c r="I70" i="8"/>
  <c r="I71" i="8"/>
  <c r="I72" i="8"/>
  <c r="I77" i="2"/>
  <c r="I76" i="2"/>
  <c r="I75" i="2"/>
  <c r="I70" i="4"/>
  <c r="I71" i="4"/>
  <c r="I72" i="4"/>
  <c r="I70" i="6"/>
  <c r="I71" i="6"/>
  <c r="I72" i="6"/>
  <c r="I74" i="2"/>
  <c r="I73" i="2"/>
  <c r="I40" i="6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67" i="6"/>
  <c r="I68" i="6"/>
  <c r="I69" i="6"/>
  <c r="I67" i="8"/>
  <c r="I68" i="8"/>
  <c r="I69" i="8"/>
  <c r="I69" i="10"/>
  <c r="I70" i="10"/>
  <c r="I71" i="10"/>
  <c r="I68" i="2"/>
  <c r="I69" i="2"/>
  <c r="I70" i="2"/>
  <c r="I71" i="2"/>
  <c r="I72" i="2"/>
  <c r="I47" i="8"/>
  <c r="I39" i="8"/>
  <c r="I38" i="8"/>
  <c r="I37" i="8"/>
  <c r="I36" i="8"/>
  <c r="I30" i="8"/>
  <c r="I28" i="8"/>
  <c r="I23" i="8"/>
  <c r="I17" i="8"/>
  <c r="I16" i="8"/>
  <c r="I5" i="6"/>
  <c r="I67" i="10"/>
  <c r="I68" i="10"/>
  <c r="I65" i="8"/>
  <c r="I66" i="8"/>
  <c r="I65" i="6"/>
  <c r="I66" i="6"/>
  <c r="I17" i="4"/>
  <c r="I16" i="4"/>
  <c r="I49" i="10"/>
  <c r="I41" i="10"/>
  <c r="I40" i="10"/>
  <c r="I39" i="10"/>
  <c r="I38" i="10"/>
  <c r="I32" i="10"/>
  <c r="I30" i="10"/>
  <c r="I26" i="10"/>
  <c r="I20" i="10"/>
  <c r="I19" i="10"/>
  <c r="I15" i="4"/>
  <c r="I14" i="4"/>
  <c r="I13" i="4"/>
  <c r="I12" i="4"/>
  <c r="I11" i="4"/>
  <c r="I10" i="4"/>
  <c r="I9" i="4"/>
  <c r="I8" i="4"/>
  <c r="I7" i="4"/>
  <c r="I6" i="4"/>
  <c r="I66" i="10"/>
  <c r="I65" i="10"/>
  <c r="I64" i="8"/>
  <c r="I63" i="8"/>
  <c r="I64" i="6"/>
  <c r="I63" i="6"/>
  <c r="I67" i="2"/>
  <c r="I66" i="2"/>
  <c r="I64" i="10"/>
  <c r="I62" i="8"/>
  <c r="I62" i="6"/>
  <c r="I65" i="2"/>
  <c r="I63" i="10"/>
  <c r="I61" i="8"/>
  <c r="I61" i="6"/>
  <c r="I64" i="2"/>
  <c r="I62" i="2"/>
  <c r="I61" i="2"/>
  <c r="I63" i="2"/>
  <c r="I60" i="6"/>
  <c r="I62" i="10"/>
  <c r="I60" i="8"/>
  <c r="I58" i="10"/>
  <c r="I59" i="10"/>
  <c r="I60" i="10"/>
  <c r="I61" i="10"/>
  <c r="E58" i="10"/>
  <c r="E59" i="10"/>
  <c r="I56" i="8"/>
  <c r="I57" i="8"/>
  <c r="I58" i="8"/>
  <c r="I59" i="8"/>
  <c r="I56" i="6"/>
  <c r="I57" i="6"/>
  <c r="I58" i="6"/>
  <c r="I59" i="6"/>
  <c r="I59" i="2"/>
  <c r="I60" i="2"/>
  <c r="I47" i="6"/>
  <c r="I46" i="6"/>
  <c r="I45" i="6"/>
  <c r="I44" i="6"/>
  <c r="I43" i="6"/>
  <c r="I42" i="6"/>
  <c r="I41" i="6"/>
  <c r="I49" i="2"/>
  <c r="I48" i="2"/>
  <c r="I47" i="2"/>
  <c r="I46" i="2"/>
  <c r="I45" i="2"/>
  <c r="I44" i="2"/>
  <c r="I43" i="2"/>
  <c r="I46" i="8"/>
  <c r="I45" i="8"/>
  <c r="I44" i="8"/>
  <c r="I43" i="8"/>
  <c r="I42" i="8"/>
  <c r="I41" i="8"/>
  <c r="I40" i="8"/>
  <c r="C57" i="10"/>
  <c r="D57" i="10"/>
  <c r="E57" i="10"/>
  <c r="I57" i="10"/>
  <c r="I55" i="6"/>
  <c r="I58" i="2"/>
  <c r="I26" i="8"/>
  <c r="I54" i="8"/>
  <c r="I26" i="6"/>
  <c r="I29" i="2"/>
  <c r="I56" i="10"/>
  <c r="I55" i="8"/>
  <c r="I54" i="6"/>
  <c r="I57" i="2"/>
  <c r="CA46" i="4"/>
  <c r="BV46" i="4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6" i="2"/>
  <c r="I55" i="2"/>
  <c r="I54" i="2"/>
  <c r="I53" i="2"/>
  <c r="I52" i="2"/>
  <c r="I51" i="2"/>
  <c r="I38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5" i="10"/>
  <c r="I54" i="10"/>
  <c r="I53" i="10"/>
  <c r="I52" i="10"/>
  <c r="I51" i="10"/>
  <c r="I50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CA40" i="10"/>
  <c r="BV40" i="10"/>
  <c r="CA39" i="10"/>
  <c r="BV39" i="10"/>
  <c r="CA38" i="10"/>
  <c r="BV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CA31" i="10"/>
  <c r="BV31" i="10"/>
  <c r="I31" i="10"/>
  <c r="CA30" i="10"/>
  <c r="BV30" i="10"/>
  <c r="CA29" i="10"/>
  <c r="BV29" i="10"/>
  <c r="I29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3" i="8"/>
  <c r="I52" i="8"/>
  <c r="I51" i="8"/>
  <c r="I50" i="8"/>
  <c r="I49" i="8"/>
  <c r="I48" i="8"/>
  <c r="CA46" i="8"/>
  <c r="BV46" i="8"/>
  <c r="CA45" i="8"/>
  <c r="BV45" i="8"/>
  <c r="CA44" i="8"/>
  <c r="BV44" i="8"/>
  <c r="CA43" i="8"/>
  <c r="BV43" i="8"/>
  <c r="CA42" i="8"/>
  <c r="BV42" i="8"/>
  <c r="CA41" i="8"/>
  <c r="BV41" i="8"/>
  <c r="CA40" i="8"/>
  <c r="BV40" i="8"/>
  <c r="CA39" i="8"/>
  <c r="BV39" i="8"/>
  <c r="CA38" i="8"/>
  <c r="BV38" i="8"/>
  <c r="CA37" i="8"/>
  <c r="BV37" i="8"/>
  <c r="CA36" i="8"/>
  <c r="BV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CA29" i="8"/>
  <c r="BV29" i="8"/>
  <c r="I29" i="8"/>
  <c r="CA28" i="8"/>
  <c r="BV28" i="8"/>
  <c r="CA27" i="8"/>
  <c r="BV27" i="8"/>
  <c r="I27" i="8"/>
  <c r="CA25" i="8"/>
  <c r="BV25" i="8"/>
  <c r="I25" i="8"/>
  <c r="CA24" i="8"/>
  <c r="BV24" i="8"/>
  <c r="I24" i="8"/>
  <c r="CA23" i="8"/>
  <c r="BV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CA16" i="8"/>
  <c r="BV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CA4" i="8"/>
  <c r="BV4" i="8"/>
  <c r="I4" i="8"/>
  <c r="CA3" i="8"/>
  <c r="BV3" i="8"/>
  <c r="I3" i="8"/>
  <c r="CA2" i="8"/>
  <c r="BV2" i="8"/>
  <c r="I2" i="8"/>
  <c r="I53" i="6"/>
  <c r="I52" i="6"/>
  <c r="I51" i="6"/>
  <c r="I50" i="6"/>
  <c r="I49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" i="6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</calcChain>
</file>

<file path=xl/sharedStrings.xml><?xml version="1.0" encoding="utf-8"?>
<sst xmlns="http://schemas.openxmlformats.org/spreadsheetml/2006/main" count="1640" uniqueCount="484">
  <si>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</si>
  <si>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</si>
  <si>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</si>
  <si>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</si>
  <si>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</si>
  <si>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</si>
  <si>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</si>
  <si>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</si>
  <si>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</si>
  <si>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</si>
  <si>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</si>
  <si>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</si>
  <si>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</si>
  <si>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</si>
  <si>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</si>
  <si>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</si>
  <si>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</si>
  <si>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</si>
  <si>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</si>
  <si>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</si>
  <si>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</si>
  <si>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</si>
  <si>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</si>
  <si>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</si>
  <si>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</si>
  <si>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</si>
  <si>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</si>
  <si>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</si>
  <si>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</si>
  <si>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</si>
  <si>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</si>
  <si>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</si>
  <si>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</si>
  <si>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</si>
  <si>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</si>
  <si>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</si>
  <si>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</si>
  <si>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</si>
  <si>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</si>
  <si>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</si>
  <si>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</si>
  <si>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</si>
  <si>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</si>
  <si>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</si>
  <si>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</si>
  <si>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</si>
  <si>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</si>
  <si>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</si>
  <si>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</si>
  <si>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</si>
  <si>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</si>
  <si>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</si>
  <si>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</si>
  <si>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</si>
  <si>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</si>
  <si>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</si>
  <si>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</si>
  <si>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</si>
  <si>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</si>
  <si>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</si>
  <si>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</si>
  <si>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</si>
  <si>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</si>
  <si>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</si>
  <si>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</si>
  <si>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</si>
  <si>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</si>
  <si>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</si>
  <si>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</si>
  <si>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</si>
  <si>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</si>
  <si>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</si>
  <si>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</si>
  <si>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</si>
  <si>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</si>
  <si>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</si>
  <si>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</si>
  <si>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</si>
  <si>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</si>
  <si>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</si>
  <si>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</si>
  <si>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</si>
  <si>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</si>
  <si>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</si>
  <si>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</si>
  <si>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</si>
  <si>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</si>
  <si>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</si>
  <si>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</si>
  <si>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</si>
  <si>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</si>
  <si>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</si>
  <si>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</si>
  <si>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</si>
  <si>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</si>
  <si>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</si>
  <si>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</si>
  <si>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</si>
  <si>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</si>
  <si>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</si>
  <si>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</si>
  <si>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</si>
  <si>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</si>
  <si>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</si>
  <si>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</si>
  <si>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</si>
  <si>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</si>
  <si>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</si>
  <si>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</si>
  <si>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</si>
  <si>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</si>
  <si>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</si>
  <si>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</si>
  <si>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</si>
  <si>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</si>
  <si>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</si>
  <si>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</si>
  <si>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</si>
  <si>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</si>
  <si>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</si>
  <si>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</si>
  <si>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</si>
  <si>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</si>
  <si>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</si>
  <si>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</si>
  <si>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</si>
  <si>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</si>
  <si>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</si>
  <si>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</si>
  <si>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</si>
  <si>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</si>
  <si>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</si>
  <si>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</si>
  <si>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</si>
  <si>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</si>
  <si>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</si>
  <si>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</si>
  <si>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</si>
  <si>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</si>
  <si>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</si>
  <si>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</si>
  <si>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</si>
  <si>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</si>
  <si>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</si>
  <si>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</si>
  <si>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</si>
  <si>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</si>
  <si>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</si>
  <si>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</si>
  <si>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</si>
  <si>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</si>
  <si>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</si>
  <si>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</si>
  <si>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</si>
  <si>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</si>
  <si>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</si>
  <si>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</si>
  <si>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</si>
  <si>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</si>
  <si>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</si>
  <si>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</si>
  <si>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</si>
  <si>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</si>
  <si>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</si>
  <si>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</si>
  <si>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</si>
  <si>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</si>
  <si>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</si>
  <si>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</si>
  <si>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</si>
  <si>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</si>
  <si>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</si>
  <si>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</si>
  <si>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</si>
  <si>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</si>
  <si>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</si>
  <si>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</si>
  <si>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</si>
  <si>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</si>
  <si>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</si>
  <si>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</si>
  <si>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</si>
  <si>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</si>
  <si>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</si>
  <si>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</si>
  <si>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</si>
  <si>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</si>
  <si>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</si>
  <si>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</si>
  <si>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</si>
  <si>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</si>
  <si>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</si>
  <si>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</si>
  <si>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</si>
  <si>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</si>
  <si>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</si>
  <si>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</si>
  <si>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</si>
  <si>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</si>
  <si>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</si>
  <si>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</si>
  <si>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</si>
  <si>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</si>
  <si>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</si>
  <si>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</si>
  <si>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</si>
  <si>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</si>
  <si>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</si>
  <si>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</si>
  <si>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</si>
  <si>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</si>
  <si>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</si>
  <si>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</si>
  <si>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</si>
  <si>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</si>
  <si>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</si>
  <si>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</si>
  <si>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</si>
  <si>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</si>
  <si>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</si>
  <si>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</si>
  <si>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</si>
  <si>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</si>
  <si>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</si>
  <si>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</si>
  <si>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</si>
  <si>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</si>
  <si>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</si>
  <si>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</si>
  <si>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</si>
  <si>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</si>
  <si>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</si>
  <si>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</si>
  <si>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</si>
  <si>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</si>
  <si>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</si>
  <si>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</si>
  <si>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</si>
  <si>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</si>
  <si>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</si>
  <si>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</si>
  <si>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</si>
  <si>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</si>
  <si>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</si>
  <si>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</si>
  <si>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</si>
  <si>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</si>
  <si>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</si>
  <si>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</si>
  <si>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</si>
  <si>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</si>
  <si>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</si>
  <si>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</si>
  <si>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</si>
  <si>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</si>
  <si>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</si>
  <si>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</si>
  <si>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</si>
  <si>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</si>
  <si>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</si>
  <si>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</si>
  <si>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</si>
  <si>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</si>
  <si>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</si>
  <si>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</si>
  <si>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</si>
  <si>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</si>
  <si>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</si>
  <si>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</si>
  <si>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</si>
  <si>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</si>
  <si>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</si>
  <si>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</si>
  <si>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</si>
  <si>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</si>
  <si>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</si>
  <si>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</si>
  <si>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</si>
  <si>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</si>
  <si>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</si>
  <si>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</si>
  <si>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</si>
  <si>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</si>
  <si>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</si>
  <si>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</si>
  <si>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</si>
  <si>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</si>
  <si>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</si>
  <si>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</si>
  <si>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</si>
  <si>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</si>
  <si>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</si>
  <si>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</si>
  <si>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</si>
  <si>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</si>
  <si>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</si>
  <si>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</si>
  <si>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</si>
  <si>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</si>
  <si>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</si>
  <si>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</si>
  <si>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</si>
  <si>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</si>
  <si>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</si>
  <si>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</si>
  <si>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</si>
  <si>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</si>
  <si>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</si>
  <si>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</si>
  <si>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</si>
  <si>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</si>
  <si>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</si>
  <si>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</si>
  <si>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</si>
  <si>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</si>
  <si>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</si>
  <si>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</si>
  <si>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</si>
  <si>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</si>
  <si>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</si>
  <si>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</si>
  <si>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</si>
  <si>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</si>
  <si>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</si>
  <si>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</si>
  <si>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</si>
  <si>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</si>
  <si>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</si>
  <si>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</si>
  <si>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</si>
  <si>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</si>
  <si>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</si>
  <si>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</si>
  <si>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</si>
  <si>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</si>
  <si>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</si>
  <si>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</si>
  <si>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</si>
  <si>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</si>
  <si>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</si>
  <si>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</si>
  <si>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</si>
  <si>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</si>
  <si>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</si>
  <si>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</si>
  <si>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</si>
  <si>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</si>
  <si>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</si>
  <si>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</si>
  <si>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</si>
  <si>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</si>
  <si>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</si>
  <si>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</si>
  <si>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</si>
  <si>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</si>
  <si>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</si>
  <si>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</si>
  <si>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</si>
  <si>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</si>
  <si>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</si>
  <si>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</si>
  <si>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</si>
  <si>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</si>
  <si>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</si>
  <si>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</si>
  <si>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</si>
  <si>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</si>
  <si>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</si>
  <si>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</si>
  <si>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</si>
  <si>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</si>
  <si>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</si>
  <si>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</si>
  <si>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</si>
  <si>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</si>
  <si>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</si>
  <si>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</si>
  <si>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</si>
  <si>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</si>
  <si>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</si>
  <si>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</si>
  <si>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</si>
  <si>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</si>
  <si>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</si>
  <si>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</si>
  <si>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</si>
  <si>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</si>
  <si>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</si>
  <si>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</si>
  <si>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</si>
  <si>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</si>
  <si>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</si>
  <si>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</si>
  <si>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</si>
  <si>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</si>
  <si>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</si>
  <si>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</si>
  <si>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</si>
  <si>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</si>
  <si>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</si>
  <si>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</si>
  <si>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</si>
  <si>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</si>
  <si>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</si>
  <si>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</si>
  <si>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</si>
  <si>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</si>
  <si>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</si>
  <si>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</si>
  <si>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</si>
  <si>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</si>
  <si>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</si>
  <si>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</si>
  <si>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</si>
  <si>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</si>
  <si>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</si>
  <si>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</si>
  <si>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</si>
  <si>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t>week 5 (วันที่ 2569)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</si>
  <si>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</si>
  <si>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</si>
  <si>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>week 1 (วันที่ 31 พฤษภาคม - 6 มิถุนายน 2569)</t>
  </si>
  <si>
    <t>week 2 (วันที่ 7 - 13 มิถุนายน 2569)</t>
  </si>
  <si>
    <t>week 3 (วันที่ 14 - 20 มิถุนายน 2569)</t>
  </si>
  <si>
    <t>week 4 (วันที่ 21 - 27 มิถุนายน 2569)</t>
  </si>
  <si>
    <t>เอแคลร์นมสด 125 g</t>
  </si>
  <si>
    <t>ปังสังขยาใบเตยนมสด 190 g</t>
  </si>
  <si>
    <t>ขนมปังชนิดแผ่น 400g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</si>
  <si>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</si>
  <si>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</si>
  <si>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</si>
  <si>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</si>
  <si>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</si>
  <si>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</si>
  <si>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</si>
  <si>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</si>
  <si>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</si>
  <si>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</si>
  <si>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</si>
  <si>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</si>
  <si>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 xml:space="preserve">ชิฟฟอนเค้กสอดไส้ครีมมะพร้าว105g </t>
  </si>
  <si>
    <r>
      <t>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</si>
  <si>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</si>
  <si>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</si>
  <si>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</si>
  <si>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ท๊อฟฟี่เค้ก 70 กรัม  </t>
    </r>
    <r>
      <rPr>
        <b/>
        <sz val="18"/>
        <color rgb="FFFF6D01"/>
        <rFont val="Angsana New"/>
        <family val="1"/>
      </rPr>
      <t>(เข้าขาย 29/5)</t>
    </r>
  </si>
  <si>
    <t>ขนมปังสังขยาใบเตยนมสด 190 g</t>
  </si>
  <si>
    <t>ขนมปังชนิดแผ่น 430g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</si>
  <si>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</si>
  <si>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</si>
  <si>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</si>
  <si>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</si>
  <si>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r>
      <t xml:space="preserve">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</si>
  <si>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</si>
  <si>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</si>
  <si>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 xml:space="preserve">มินิบันแฮมชีส90g </t>
  </si>
  <si>
    <t>เครปบานาน่าช็อกโกแลต 75g.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</si>
  <si>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</si>
  <si>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</si>
  <si>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</si>
  <si>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</si>
  <si>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t>ชิฟฟอนเค้กสอดไส้ครีมมะพร้าว105g</t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</si>
  <si>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</si>
  <si>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</si>
  <si>
    <t>วรรณวนัชวุ้นกะทิใบเตยลอดช่อง190g</t>
  </si>
  <si>
    <t>วรรณวนัชวุ้นกะทิใบเตยฝอยทอง190g</t>
  </si>
  <si>
    <r>
      <t xml:space="preserve">มินิบันลาบโบโลน่ามาโย 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</si>
  <si>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เค้กเผือกลอดช่องครีมตะโก้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</si>
  <si>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แซนวิชลาบไก่แซ่บ </t>
    </r>
    <r>
      <rPr>
        <b/>
        <sz val="18"/>
        <color rgb="FF7030A0"/>
        <rFont val="Angsana New"/>
        <family val="1"/>
      </rPr>
      <t>(เข้าขาย 3/7)</t>
    </r>
  </si>
  <si>
    <t xml:space="preserve">เค้กสตรอว์เบอร์รี่80g  </t>
  </si>
  <si>
    <t xml:space="preserve">ขนมปังบันพิซซ่าโบโลน่า100g  </t>
  </si>
  <si>
    <t xml:space="preserve">ขนมปังบันสังขยาใบเตย 100 กรัม </t>
  </si>
  <si>
    <t xml:space="preserve">เค้กสตรอว์เบอร์รี่80g </t>
  </si>
  <si>
    <t xml:space="preserve">ขนมปังบันพิซซ่าโบโลน่า100g </t>
  </si>
  <si>
    <t>(BC) ไดฟูกุช็อกโกแลตดูไบ</t>
  </si>
  <si>
    <t>(BC) บานอฟฟี่ 140g</t>
  </si>
  <si>
    <t>(BC) ปังนุ่มมะพร้าว 100g</t>
  </si>
  <si>
    <t>(BC) เครปโรลโอรีโอ 85 กรัม</t>
  </si>
  <si>
    <t>(BC) มูสเค้กโอวัลตินครั้นชี่ 90 กรัม</t>
  </si>
  <si>
    <t>วรรณวนัช วุ้นกะทิใบเตยลอดช่อง 190กรัม</t>
  </si>
  <si>
    <t>วรรณวนัช วุ้นกะทิใบเตยฝอยทอง 190กรัม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</si>
  <si>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  <r>
      <rPr>
        <sz val="18"/>
        <color rgb="FFFF0000"/>
        <rFont val="Angsana New"/>
        <family val="1"/>
      </rPr>
      <t>ยกเลิก 20.6.26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</si>
  <si>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  <r>
      <rPr>
        <sz val="18"/>
        <color rgb="FFFF0000"/>
        <rFont val="Angsana New"/>
        <family val="1"/>
      </rPr>
      <t>ยกเลิก 20.6.26</t>
    </r>
  </si>
  <si>
    <r>
      <t xml:space="preserve">ขนมปังชนิดแผ่น 430g </t>
    </r>
    <r>
      <rPr>
        <sz val="18"/>
        <color rgb="FFFF0000"/>
        <rFont val="Angsana New"/>
        <family val="1"/>
      </rPr>
      <t>ยกเลิก 13.6.26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</si>
</sst>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</fonts>
  <fills count="47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rgb="FFC6E0B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80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1" borderId="6" xfId="0" applyNumberFormat="1" applyFont="1" applyFill="1" applyBorder="1" applyAlignment="1">
      <alignment horizontal="center"/>
    </xf>
    <xf numFmtId="3" fontId="21" fillId="22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2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3" fontId="21" fillId="16" borderId="8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3" fontId="21" fillId="20" borderId="8" xfId="0" applyNumberFormat="1" applyFont="1" applyFill="1" applyBorder="1" applyAlignment="1">
      <alignment horizontal="center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25" fillId="21" borderId="8" xfId="0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34" borderId="16" xfId="0" applyFont="1" applyFill="1" applyBorder="1" applyAlignment="1">
      <alignment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 wrapText="1"/>
    </xf>
    <xf numFmtId="0" fontId="25" fillId="34" borderId="16" xfId="0" applyFont="1" applyFill="1" applyBorder="1" applyAlignment="1">
      <alignment wrapText="1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25" fillId="20" borderId="6" xfId="0" applyFont="1" applyFill="1" applyBorder="1" applyAlignment="1">
      <alignment horizontal="center"/>
    </xf>
    <xf numFmtId="0" fontId="25" fillId="22" borderId="6" xfId="0" applyFont="1" applyFill="1" applyBorder="1" applyAlignment="1">
      <alignment horizontal="center"/>
    </xf>
    <xf numFmtId="3" fontId="25" fillId="20" borderId="6" xfId="0" applyNumberFormat="1" applyFont="1" applyFill="1" applyBorder="1" applyAlignment="1">
      <alignment horizontal="center"/>
    </xf>
    <xf numFmtId="3" fontId="25" fillId="22" borderId="6" xfId="0" applyNumberFormat="1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3" fontId="12" fillId="3" borderId="6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21" fillId="16" borderId="6" xfId="0" applyNumberFormat="1" applyFont="1" applyFill="1" applyBorder="1" applyAlignment="1">
      <alignment horizontal="center" vertical="center"/>
    </xf>
    <xf numFmtId="3" fontId="21" fillId="12" borderId="6" xfId="0" applyNumberFormat="1" applyFont="1" applyFill="1" applyBorder="1" applyAlignment="1">
      <alignment horizontal="center" vertical="center"/>
    </xf>
    <xf numFmtId="3" fontId="21" fillId="20" borderId="6" xfId="0" applyNumberFormat="1" applyFont="1" applyFill="1" applyBorder="1" applyAlignment="1">
      <alignment horizontal="center" vertical="center"/>
    </xf>
    <xf numFmtId="3" fontId="21" fillId="21" borderId="6" xfId="0" applyNumberFormat="1" applyFont="1" applyFill="1" applyBorder="1" applyAlignment="1">
      <alignment horizontal="center" vertical="center"/>
    </xf>
    <xf numFmtId="3" fontId="12" fillId="22" borderId="6" xfId="0" applyNumberFormat="1" applyFont="1" applyFill="1" applyBorder="1" applyAlignment="1">
      <alignment horizontal="center" vertical="center"/>
    </xf>
    <xf numFmtId="3" fontId="12" fillId="23" borderId="6" xfId="0" applyNumberFormat="1" applyFont="1" applyFill="1" applyBorder="1" applyAlignment="1">
      <alignment horizontal="center" vertical="center"/>
    </xf>
    <xf numFmtId="0" fontId="21" fillId="24" borderId="8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5" fillId="3" borderId="23" xfId="0" applyFont="1" applyFill="1" applyBorder="1" applyAlignment="1">
      <alignment horizontal="center"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12" fillId="3" borderId="24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25" fillId="34" borderId="16" xfId="0" applyFont="1" applyFill="1" applyBorder="1" applyAlignment="1">
      <alignment vertical="center" wrapText="1"/>
    </xf>
    <xf numFmtId="0" fontId="12" fillId="34" borderId="16" xfId="0" applyFont="1" applyFill="1" applyBorder="1" applyAlignment="1">
      <alignment vertical="center" wrapText="1"/>
    </xf>
    <xf numFmtId="0" fontId="11" fillId="18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43" borderId="7" xfId="0" applyFont="1" applyFill="1" applyBorder="1" applyAlignment="1">
      <alignment horizontal="center" vertical="center"/>
    </xf>
    <xf numFmtId="0" fontId="11" fillId="34" borderId="16" xfId="0" applyFont="1" applyFill="1" applyBorder="1"/>
    <xf numFmtId="0" fontId="21" fillId="0" borderId="0" xfId="0" applyFont="1"/>
    <xf numFmtId="3" fontId="12" fillId="16" borderId="6" xfId="0" applyNumberFormat="1" applyFont="1" applyFill="1" applyBorder="1" applyAlignment="1">
      <alignment horizontal="center" vertical="center"/>
    </xf>
    <xf numFmtId="3" fontId="12" fillId="12" borderId="6" xfId="0" applyNumberFormat="1" applyFont="1" applyFill="1" applyBorder="1" applyAlignment="1">
      <alignment horizontal="center" vertical="center"/>
    </xf>
    <xf numFmtId="3" fontId="12" fillId="20" borderId="6" xfId="0" applyNumberFormat="1" applyFont="1" applyFill="1" applyBorder="1" applyAlignment="1">
      <alignment horizontal="center" vertical="center"/>
    </xf>
    <xf numFmtId="3" fontId="12" fillId="21" borderId="6" xfId="0" applyNumberFormat="1" applyFont="1" applyFill="1" applyBorder="1" applyAlignment="1">
      <alignment horizontal="center" vertical="center"/>
    </xf>
    <xf numFmtId="0" fontId="16" fillId="24" borderId="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3" fontId="12" fillId="3" borderId="22" xfId="0" applyNumberFormat="1" applyFont="1" applyFill="1" applyBorder="1" applyAlignment="1">
      <alignment horizontal="center" vertical="center"/>
    </xf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3" fontId="21" fillId="16" borderId="9" xfId="0" applyNumberFormat="1" applyFont="1" applyFill="1" applyBorder="1" applyAlignment="1">
      <alignment horizontal="center"/>
    </xf>
    <xf numFmtId="3" fontId="21" fillId="20" borderId="9" xfId="0" applyNumberFormat="1" applyFont="1" applyFill="1" applyBorder="1" applyAlignment="1">
      <alignment horizontal="center"/>
    </xf>
    <xf numFmtId="3" fontId="21" fillId="22" borderId="9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34" borderId="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left"/>
    </xf>
    <xf numFmtId="0" fontId="12" fillId="34" borderId="9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3" fontId="12" fillId="3" borderId="9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2" fillId="16" borderId="9" xfId="0" applyNumberFormat="1" applyFont="1" applyFill="1" applyBorder="1" applyAlignment="1">
      <alignment horizontal="center" vertical="center"/>
    </xf>
    <xf numFmtId="3" fontId="12" fillId="12" borderId="9" xfId="0" applyNumberFormat="1" applyFont="1" applyFill="1" applyBorder="1" applyAlignment="1">
      <alignment horizontal="center" vertical="center"/>
    </xf>
    <xf numFmtId="3" fontId="12" fillId="20" borderId="9" xfId="0" applyNumberFormat="1" applyFont="1" applyFill="1" applyBorder="1" applyAlignment="1">
      <alignment horizontal="center" vertical="center"/>
    </xf>
    <xf numFmtId="3" fontId="12" fillId="21" borderId="9" xfId="0" applyNumberFormat="1" applyFont="1" applyFill="1" applyBorder="1" applyAlignment="1">
      <alignment horizontal="center" vertical="center"/>
    </xf>
    <xf numFmtId="3" fontId="12" fillId="22" borderId="9" xfId="0" applyNumberFormat="1" applyFont="1" applyFill="1" applyBorder="1" applyAlignment="1">
      <alignment horizontal="center" vertical="center"/>
    </xf>
    <xf numFmtId="3" fontId="12" fillId="23" borderId="9" xfId="0" applyNumberFormat="1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24" borderId="7" xfId="0" applyFont="1" applyFill="1" applyBorder="1" applyAlignment="1">
      <alignment horizontal="center" vertical="center"/>
    </xf>
    <xf numFmtId="3" fontId="16" fillId="16" borderId="7" xfId="0" applyNumberFormat="1" applyFont="1" applyFill="1" applyBorder="1" applyAlignment="1">
      <alignment horizontal="center"/>
    </xf>
    <xf numFmtId="3" fontId="16" fillId="21" borderId="7" xfId="0" applyNumberFormat="1" applyFont="1" applyFill="1" applyBorder="1" applyAlignment="1">
      <alignment horizont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3" fontId="12" fillId="16" borderId="9" xfId="0" applyNumberFormat="1" applyFont="1" applyFill="1" applyBorder="1" applyAlignment="1">
      <alignment horizontal="center"/>
    </xf>
    <xf numFmtId="3" fontId="12" fillId="12" borderId="9" xfId="0" applyNumberFormat="1" applyFont="1" applyFill="1" applyBorder="1" applyAlignment="1">
      <alignment horizontal="center"/>
    </xf>
    <xf numFmtId="3" fontId="12" fillId="20" borderId="9" xfId="0" applyNumberFormat="1" applyFont="1" applyFill="1" applyBorder="1" applyAlignment="1">
      <alignment horizontal="center"/>
    </xf>
    <xf numFmtId="3" fontId="12" fillId="21" borderId="9" xfId="0" applyNumberFormat="1" applyFont="1" applyFill="1" applyBorder="1" applyAlignment="1">
      <alignment horizontal="center"/>
    </xf>
    <xf numFmtId="3" fontId="12" fillId="22" borderId="9" xfId="0" applyNumberFormat="1" applyFont="1" applyFill="1" applyBorder="1" applyAlignment="1">
      <alignment horizontal="center"/>
    </xf>
    <xf numFmtId="3" fontId="12" fillId="23" borderId="9" xfId="0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6" fillId="21" borderId="18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0" borderId="28" xfId="0" applyFont="1" applyBorder="1" applyAlignment="1">
      <alignment horizontal="center" textRotation="90"/>
    </xf>
    <xf numFmtId="0" fontId="12" fillId="3" borderId="28" xfId="0" applyFont="1" applyFill="1" applyBorder="1" applyAlignment="1">
      <alignment horizontal="center"/>
    </xf>
    <xf numFmtId="0" fontId="12" fillId="4" borderId="28" xfId="0" applyFont="1" applyFill="1" applyBorder="1" applyAlignment="1">
      <alignment horizontal="center"/>
    </xf>
    <xf numFmtId="3" fontId="21" fillId="21" borderId="9" xfId="0" applyNumberFormat="1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center" wrapText="1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46" borderId="6" xfId="0" applyFont="1" applyFill="1" applyBorder="1" applyAlignment="1">
      <alignment horizontal="center"/>
    </xf>
    <xf numFmtId="0" fontId="11" fillId="46" borderId="6" xfId="0" applyFont="1" applyFill="1" applyBorder="1" applyAlignment="1">
      <alignment horizontal="left"/>
    </xf>
    <xf numFmtId="3" fontId="21" fillId="12" borderId="21" xfId="0" applyNumberFormat="1" applyFont="1" applyFill="1" applyBorder="1" applyAlignment="1">
      <alignment horizontal="center"/>
    </xf>
    <xf numFmtId="3" fontId="21" fillId="20" borderId="21" xfId="0" applyNumberFormat="1" applyFont="1" applyFill="1" applyBorder="1" applyAlignment="1">
      <alignment horizontal="center"/>
    </xf>
    <xf numFmtId="3" fontId="21" fillId="21" borderId="21" xfId="0" applyNumberFormat="1" applyFont="1" applyFill="1" applyBorder="1" applyAlignment="1">
      <alignment horizontal="center"/>
    </xf>
    <xf numFmtId="3" fontId="21" fillId="22" borderId="21" xfId="0" applyNumberFormat="1" applyFont="1" applyFill="1" applyBorder="1" applyAlignment="1">
      <alignment horizontal="center"/>
    </xf>
    <xf numFmtId="0" fontId="11" fillId="43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21" xfId="0" applyFont="1" applyBorder="1"/>
    <xf numFmtId="3" fontId="21" fillId="23" borderId="21" xfId="0" applyNumberFormat="1" applyFont="1" applyFill="1" applyBorder="1" applyAlignment="1">
      <alignment horizontal="center"/>
    </xf>
    <xf numFmtId="0" fontId="11" fillId="43" borderId="16" xfId="0" applyFont="1" applyFill="1" applyBorder="1" applyAlignment="1">
      <alignment horizontal="center"/>
    </xf>
    <xf numFmtId="0" fontId="11" fillId="34" borderId="21" xfId="0" applyFont="1" applyFill="1" applyBorder="1"/>
    <xf numFmtId="3" fontId="21" fillId="39" borderId="21" xfId="0" applyNumberFormat="1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11" fillId="4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3" fontId="12" fillId="16" borderId="21" xfId="0" applyNumberFormat="1" applyFont="1" applyFill="1" applyBorder="1" applyAlignment="1">
      <alignment horizontal="center" vertical="center"/>
    </xf>
    <xf numFmtId="0" fontId="16" fillId="24" borderId="21" xfId="0" applyFont="1" applyFill="1" applyBorder="1" applyAlignment="1">
      <alignment horizontal="center" vertical="center"/>
    </xf>
    <xf numFmtId="3" fontId="21" fillId="20" borderId="3" xfId="0" applyNumberFormat="1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3" fontId="21" fillId="22" borderId="8" xfId="0" applyNumberFormat="1" applyFont="1" applyFill="1" applyBorder="1" applyAlignment="1">
      <alignment horizontal="center"/>
    </xf>
    <xf numFmtId="0" fontId="11" fillId="35" borderId="16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left"/>
    </xf>
    <xf numFmtId="0" fontId="12" fillId="20" borderId="9" xfId="0" applyFont="1" applyFill="1" applyBorder="1" applyAlignment="1">
      <alignment horizontal="center"/>
    </xf>
    <xf numFmtId="0" fontId="16" fillId="24" borderId="21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6" fillId="24" borderId="18" xfId="0" applyFont="1" applyFill="1" applyBorder="1" applyAlignment="1">
      <alignment horizontal="center"/>
    </xf>
    <xf numFmtId="0" fontId="11" fillId="0" borderId="4" xfId="0" applyFont="1" applyBorder="1"/>
    <xf numFmtId="0" fontId="11" fillId="13" borderId="29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left"/>
    </xf>
    <xf numFmtId="0" fontId="11" fillId="9" borderId="21" xfId="0" applyFont="1" applyFill="1" applyBorder="1" applyAlignment="1">
      <alignment horizontal="center"/>
    </xf>
    <xf numFmtId="3" fontId="21" fillId="16" borderId="21" xfId="0" applyNumberFormat="1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23" borderId="2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1" fillId="24" borderId="4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 vertical="center"/>
    </xf>
    <xf numFmtId="0" fontId="11" fillId="43" borderId="21" xfId="0" applyFont="1" applyFill="1" applyBorder="1" applyAlignment="1">
      <alignment horizontal="center" vertical="center"/>
    </xf>
    <xf numFmtId="0" fontId="11" fillId="43" borderId="21" xfId="0" applyFont="1" applyFill="1" applyBorder="1" applyAlignment="1">
      <alignment horizontal="center"/>
    </xf>
    <xf numFmtId="3" fontId="12" fillId="12" borderId="18" xfId="0" applyNumberFormat="1" applyFont="1" applyFill="1" applyBorder="1" applyAlignment="1">
      <alignment horizontal="center"/>
    </xf>
    <xf numFmtId="3" fontId="12" fillId="20" borderId="18" xfId="0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/>
    </xf>
    <xf numFmtId="3" fontId="12" fillId="3" borderId="24" xfId="0" applyNumberFormat="1" applyFont="1" applyFill="1" applyBorder="1" applyAlignment="1">
      <alignment horizontal="center"/>
    </xf>
    <xf numFmtId="3" fontId="12" fillId="22" borderId="18" xfId="0" applyNumberFormat="1" applyFont="1" applyFill="1" applyBorder="1" applyAlignment="1">
      <alignment horizontal="center"/>
    </xf>
    <xf numFmtId="3" fontId="12" fillId="23" borderId="18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0" fontId="20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3" fontId="16" fillId="16" borderId="16" xfId="0" applyNumberFormat="1" applyFont="1" applyFill="1" applyBorder="1" applyAlignment="1">
      <alignment horizontal="center"/>
    </xf>
    <xf numFmtId="0" fontId="14" fillId="0" borderId="19" xfId="0" applyFont="1" applyBorder="1"/>
    <xf numFmtId="0" fontId="11" fillId="40" borderId="16" xfId="0" applyFont="1" applyFill="1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16" borderId="16" xfId="0" applyFont="1" applyFill="1" applyBorder="1" applyAlignment="1">
      <alignment horizontal="center" vertical="center"/>
    </xf>
    <xf numFmtId="0" fontId="16" fillId="12" borderId="16" xfId="0" applyFont="1" applyFill="1" applyBorder="1" applyAlignment="1">
      <alignment horizontal="center" vertical="center"/>
    </xf>
    <xf numFmtId="0" fontId="16" fillId="20" borderId="16" xfId="0" applyFont="1" applyFill="1" applyBorder="1" applyAlignment="1">
      <alignment horizontal="center" vertical="center"/>
    </xf>
    <xf numFmtId="0" fontId="16" fillId="21" borderId="16" xfId="0" applyFont="1" applyFill="1" applyBorder="1" applyAlignment="1">
      <alignment horizontal="center" vertical="center"/>
    </xf>
    <xf numFmtId="0" fontId="12" fillId="22" borderId="16" xfId="0" applyFont="1" applyFill="1" applyBorder="1" applyAlignment="1">
      <alignment horizontal="center" vertical="center"/>
    </xf>
    <xf numFmtId="0" fontId="16" fillId="23" borderId="16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1" fillId="12" borderId="4" xfId="0" applyFont="1" applyFill="1" applyBorder="1" applyAlignment="1">
      <alignment horizontal="center"/>
    </xf>
    <xf numFmtId="0" fontId="21" fillId="21" borderId="4" xfId="0" applyFont="1" applyFill="1" applyBorder="1" applyAlignment="1">
      <alignment horizontal="center"/>
    </xf>
    <xf numFmtId="0" fontId="21" fillId="23" borderId="4" xfId="0" applyFont="1" applyFill="1" applyBorder="1" applyAlignment="1">
      <alignment horizontal="center"/>
    </xf>
    <xf numFmtId="3" fontId="12" fillId="16" borderId="18" xfId="0" applyNumberFormat="1" applyFont="1" applyFill="1" applyBorder="1" applyAlignment="1">
      <alignment horizontal="center" vertical="center"/>
    </xf>
    <xf numFmtId="3" fontId="12" fillId="12" borderId="18" xfId="0" applyNumberFormat="1" applyFont="1" applyFill="1" applyBorder="1" applyAlignment="1">
      <alignment horizontal="center" vertical="center"/>
    </xf>
    <xf numFmtId="3" fontId="12" fillId="20" borderId="18" xfId="0" applyNumberFormat="1" applyFont="1" applyFill="1" applyBorder="1" applyAlignment="1">
      <alignment horizontal="center" vertical="center"/>
    </xf>
    <xf numFmtId="3" fontId="12" fillId="21" borderId="18" xfId="0" applyNumberFormat="1" applyFont="1" applyFill="1" applyBorder="1" applyAlignment="1">
      <alignment horizontal="center" vertical="center"/>
    </xf>
    <xf numFmtId="3" fontId="12" fillId="22" borderId="18" xfId="0" applyNumberFormat="1" applyFont="1" applyFill="1" applyBorder="1" applyAlignment="1">
      <alignment horizontal="center" vertical="center"/>
    </xf>
    <xf numFmtId="3" fontId="12" fillId="23" borderId="18" xfId="0" applyNumberFormat="1" applyFont="1" applyFill="1" applyBorder="1" applyAlignment="1">
      <alignment horizontal="center" vertical="center"/>
    </xf>
    <xf numFmtId="0" fontId="16" fillId="24" borderId="18" xfId="0" applyFont="1" applyFill="1" applyBorder="1" applyAlignment="1">
      <alignment horizontal="center" vertical="center"/>
    </xf>
    <xf numFmtId="0" fontId="11" fillId="43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3" fontId="21" fillId="12" borderId="18" xfId="0" applyNumberFormat="1" applyFont="1" applyFill="1" applyBorder="1" applyAlignment="1">
      <alignment horizontal="center" vertical="center"/>
    </xf>
    <xf numFmtId="3" fontId="21" fillId="20" borderId="18" xfId="0" applyNumberFormat="1" applyFont="1" applyFill="1" applyBorder="1" applyAlignment="1">
      <alignment horizontal="center" vertical="center"/>
    </xf>
    <xf numFmtId="3" fontId="21" fillId="21" borderId="18" xfId="0" applyNumberFormat="1" applyFont="1" applyFill="1" applyBorder="1" applyAlignment="1">
      <alignment horizontal="center" vertical="center"/>
    </xf>
    <xf numFmtId="3" fontId="21" fillId="22" borderId="18" xfId="0" applyNumberFormat="1" applyFont="1" applyFill="1" applyBorder="1" applyAlignment="1">
      <alignment horizontal="center" vertical="center"/>
    </xf>
    <xf numFmtId="3" fontId="21" fillId="23" borderId="18" xfId="0" applyNumberFormat="1" applyFont="1" applyFill="1" applyBorder="1" applyAlignment="1">
      <alignment horizontal="center" vertical="center"/>
    </xf>
    <xf numFmtId="0" fontId="11" fillId="41" borderId="4" xfId="0" applyFont="1" applyFill="1" applyBorder="1" applyAlignment="1">
      <alignment horizontal="center"/>
    </xf>
    <xf numFmtId="0" fontId="17" fillId="42" borderId="9" xfId="0" applyFont="1" applyFill="1" applyBorder="1" applyAlignment="1">
      <alignment horizontal="left"/>
    </xf>
    <xf numFmtId="0" fontId="25" fillId="20" borderId="1" xfId="0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14" fillId="0" borderId="18" xfId="0" applyFont="1" applyBorder="1"/>
    <xf numFmtId="3" fontId="12" fillId="21" borderId="18" xfId="0" applyNumberFormat="1" applyFont="1" applyFill="1" applyBorder="1" applyAlignment="1">
      <alignment horizontal="center"/>
    </xf>
    <xf numFmtId="3" fontId="25" fillId="20" borderId="16" xfId="0" applyNumberFormat="1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3" fontId="25" fillId="22" borderId="16" xfId="0" applyNumberFormat="1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1" fillId="16" borderId="21" xfId="0" applyFont="1" applyFill="1" applyBorder="1" applyAlignment="1">
      <alignment horizontal="center"/>
    </xf>
    <xf numFmtId="0" fontId="21" fillId="20" borderId="21" xfId="0" applyFont="1" applyFill="1" applyBorder="1" applyAlignment="1">
      <alignment horizontal="center"/>
    </xf>
    <xf numFmtId="0" fontId="21" fillId="21" borderId="21" xfId="0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0" fontId="16" fillId="16" borderId="21" xfId="0" applyFont="1" applyFill="1" applyBorder="1" applyAlignment="1">
      <alignment horizontal="center"/>
    </xf>
    <xf numFmtId="3" fontId="12" fillId="12" borderId="21" xfId="0" applyNumberFormat="1" applyFont="1" applyFill="1" applyBorder="1" applyAlignment="1">
      <alignment horizontal="center"/>
    </xf>
    <xf numFmtId="3" fontId="12" fillId="20" borderId="21" xfId="0" applyNumberFormat="1" applyFont="1" applyFill="1" applyBorder="1" applyAlignment="1">
      <alignment horizontal="center"/>
    </xf>
    <xf numFmtId="3" fontId="12" fillId="22" borderId="21" xfId="0" applyNumberFormat="1" applyFont="1" applyFill="1" applyBorder="1" applyAlignment="1">
      <alignment horizontal="center"/>
    </xf>
    <xf numFmtId="3" fontId="12" fillId="23" borderId="21" xfId="0" applyNumberFormat="1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1" xfId="0" applyFont="1" applyBorder="1" applyAlignment="1">
      <alignment horizontal="left"/>
    </xf>
    <xf numFmtId="0" fontId="23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6" fillId="22" borderId="21" xfId="0" applyFont="1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38" borderId="21" xfId="0" applyFont="1" applyFill="1" applyBorder="1" applyAlignment="1">
      <alignment horizontal="center"/>
    </xf>
    <xf numFmtId="0" fontId="11" fillId="38" borderId="21" xfId="0" applyFont="1" applyFill="1" applyBorder="1" applyAlignment="1">
      <alignment horizontal="left"/>
    </xf>
    <xf numFmtId="0" fontId="11" fillId="35" borderId="21" xfId="0" applyFont="1" applyFill="1" applyBorder="1" applyAlignment="1">
      <alignment horizontal="center"/>
    </xf>
    <xf numFmtId="0" fontId="11" fillId="35" borderId="21" xfId="0" applyFont="1" applyFill="1" applyBorder="1" applyAlignment="1">
      <alignment horizontal="left"/>
    </xf>
    <xf numFmtId="0" fontId="11" fillId="34" borderId="18" xfId="0" applyFont="1" applyFill="1" applyBorder="1" applyAlignment="1">
      <alignment horizontal="center"/>
    </xf>
    <xf numFmtId="0" fontId="11" fillId="34" borderId="18" xfId="0" applyFont="1" applyFill="1" applyBorder="1" applyAlignment="1">
      <alignment horizontal="left"/>
    </xf>
    <xf numFmtId="0" fontId="11" fillId="41" borderId="18" xfId="0" applyFont="1" applyFill="1" applyBorder="1" applyAlignment="1">
      <alignment horizontal="center"/>
    </xf>
    <xf numFmtId="0" fontId="17" fillId="42" borderId="18" xfId="0" applyFont="1" applyFill="1" applyBorder="1" applyAlignment="1">
      <alignment horizontal="left"/>
    </xf>
    <xf numFmtId="0" fontId="16" fillId="0" borderId="31" xfId="0" applyFont="1" applyBorder="1" applyAlignment="1">
      <alignment horizontal="center"/>
    </xf>
    <xf numFmtId="3" fontId="16" fillId="16" borderId="4" xfId="0" applyNumberFormat="1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6" fillId="20" borderId="4" xfId="0" applyFont="1" applyFill="1" applyBorder="1" applyAlignment="1">
      <alignment horizontal="center"/>
    </xf>
    <xf numFmtId="3" fontId="16" fillId="21" borderId="4" xfId="0" applyNumberFormat="1" applyFont="1" applyFill="1" applyBorder="1" applyAlignment="1">
      <alignment horizontal="center"/>
    </xf>
    <xf numFmtId="0" fontId="16" fillId="22" borderId="4" xfId="0" applyFont="1" applyFill="1" applyBorder="1" applyAlignment="1">
      <alignment horizontal="center"/>
    </xf>
    <xf numFmtId="0" fontId="16" fillId="23" borderId="4" xfId="0" applyFont="1" applyFill="1" applyBorder="1" applyAlignment="1">
      <alignment horizontal="center"/>
    </xf>
    <xf numFmtId="3" fontId="16" fillId="21" borderId="18" xfId="0" applyNumberFormat="1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2" xfId="0" applyFont="1" applyBorder="1"/>
    <xf numFmtId="0" fontId="13" fillId="0" borderId="3" xfId="0" applyFont="1" applyBorder="1"/>
    <xf numFmtId="0" fontId="12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12" fillId="3" borderId="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0" borderId="4" xfId="0" applyFont="1" applyBorder="1"/>
    <xf numFmtId="0" fontId="13" fillId="0" borderId="7" xfId="0" applyFont="1" applyBorder="1"/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textRotation="90"/>
    </xf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0" fontId="12" fillId="3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3" fillId="0" borderId="5" xfId="0" applyFont="1" applyBorder="1"/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3" fillId="0" borderId="6" xfId="0" applyFont="1" applyBorder="1"/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2" fillId="0" borderId="5" xfId="0" applyFont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7" fillId="0" borderId="0" xfId="0" applyFont="1" applyAlignment="1">
      <alignment horizontal="left"/>
    </xf>
    <xf numFmtId="0" fontId="0" fillId="0" borderId="0" xfId="0"/>
    <xf numFmtId="0" fontId="0" fillId="0" borderId="16" xfId="0" applyBorder="1"/>
    <xf numFmtId="0" fontId="13" fillId="0" borderId="16" xfId="0" applyFont="1" applyBorder="1"/>
    <xf numFmtId="0" fontId="3" fillId="5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299" activePane="bottomRight" state="frozen"/>
      <selection pane="topRight" activeCell="I1" sqref="I1"/>
      <selection pane="bottomLeft" activeCell="A5" sqref="A5"/>
      <selection pane="bottomRight" activeCell="AV13" sqref="AV13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655" t="s">
        <v>0</v>
      </c>
      <c r="B1" s="656" t="s">
        <v>1</v>
      </c>
      <c r="C1" s="656" t="s">
        <v>2</v>
      </c>
      <c r="D1" s="656" t="s">
        <v>3</v>
      </c>
      <c r="E1" s="656" t="s">
        <v>4</v>
      </c>
      <c r="F1" s="650" t="s">
        <v>5</v>
      </c>
      <c r="G1" s="653" t="s">
        <v>6</v>
      </c>
      <c r="H1" s="41" t="s">
        <v>7</v>
      </c>
      <c r="I1" s="654" t="s">
        <v>8</v>
      </c>
      <c r="J1" s="644"/>
      <c r="K1" s="649"/>
      <c r="L1" s="643"/>
      <c r="M1" s="644"/>
      <c r="N1" s="645" t="s">
        <v>401</v>
      </c>
      <c r="O1" s="643"/>
      <c r="P1" s="643"/>
      <c r="Q1" s="643"/>
      <c r="R1" s="643"/>
      <c r="S1" s="643"/>
      <c r="T1" s="643"/>
      <c r="U1" s="643"/>
      <c r="V1" s="643"/>
      <c r="W1" s="643"/>
      <c r="X1" s="643"/>
      <c r="Y1" s="643"/>
      <c r="Z1" s="643"/>
      <c r="AA1" s="643"/>
      <c r="AB1" s="643"/>
      <c r="AC1" s="643"/>
      <c r="AD1" s="643"/>
      <c r="AE1" s="643"/>
      <c r="AF1" s="643"/>
      <c r="AG1" s="643"/>
      <c r="AH1" s="644"/>
      <c r="AI1" s="645" t="s">
        <v>402</v>
      </c>
      <c r="AJ1" s="643"/>
      <c r="AK1" s="643"/>
      <c r="AL1" s="643"/>
      <c r="AM1" s="643"/>
      <c r="AN1" s="643"/>
      <c r="AO1" s="643"/>
      <c r="AP1" s="643"/>
      <c r="AQ1" s="643"/>
      <c r="AR1" s="643"/>
      <c r="AS1" s="643"/>
      <c r="AT1" s="643"/>
      <c r="AU1" s="643"/>
      <c r="AV1" s="643"/>
      <c r="AW1" s="643"/>
      <c r="AX1" s="643"/>
      <c r="AY1" s="643"/>
      <c r="AZ1" s="643"/>
      <c r="BA1" s="643"/>
      <c r="BB1" s="643"/>
      <c r="BC1" s="644"/>
      <c r="BD1" s="645" t="s">
        <v>403</v>
      </c>
      <c r="BE1" s="643"/>
      <c r="BF1" s="643"/>
      <c r="BG1" s="643"/>
      <c r="BH1" s="643"/>
      <c r="BI1" s="643"/>
      <c r="BJ1" s="643"/>
      <c r="BK1" s="643"/>
      <c r="BL1" s="643"/>
      <c r="BM1" s="643"/>
      <c r="BN1" s="643"/>
      <c r="BO1" s="643"/>
      <c r="BP1" s="643"/>
      <c r="BQ1" s="643"/>
      <c r="BR1" s="643"/>
      <c r="BS1" s="643"/>
      <c r="BT1" s="643"/>
      <c r="BU1" s="643"/>
      <c r="BV1" s="643"/>
      <c r="BW1" s="643"/>
      <c r="BX1" s="644"/>
      <c r="BY1" s="645" t="s">
        <v>404</v>
      </c>
      <c r="BZ1" s="643"/>
      <c r="CA1" s="643"/>
      <c r="CB1" s="643"/>
      <c r="CC1" s="643"/>
      <c r="CD1" s="643"/>
      <c r="CE1" s="643"/>
      <c r="CF1" s="643"/>
      <c r="CG1" s="643"/>
      <c r="CH1" s="643"/>
      <c r="CI1" s="643"/>
      <c r="CJ1" s="643"/>
      <c r="CK1" s="643"/>
      <c r="CL1" s="643"/>
      <c r="CM1" s="643"/>
      <c r="CN1" s="643"/>
      <c r="CO1" s="643"/>
      <c r="CP1" s="643"/>
      <c r="CQ1" s="643"/>
      <c r="CR1" s="643"/>
      <c r="CS1" s="644"/>
      <c r="CT1" s="645" t="s">
        <v>405</v>
      </c>
      <c r="CU1" s="643"/>
      <c r="CV1" s="643"/>
      <c r="CW1" s="643"/>
      <c r="CX1" s="643"/>
      <c r="CY1" s="643"/>
      <c r="CZ1" s="643"/>
      <c r="DA1" s="643"/>
      <c r="DB1" s="643"/>
      <c r="DC1" s="643"/>
      <c r="DD1" s="643"/>
      <c r="DE1" s="643"/>
      <c r="DF1" s="643"/>
      <c r="DG1" s="643"/>
      <c r="DH1" s="643"/>
      <c r="DI1" s="643"/>
      <c r="DJ1" s="643"/>
      <c r="DK1" s="643"/>
      <c r="DL1" s="643"/>
      <c r="DM1" s="643"/>
      <c r="DN1" s="644"/>
    </row>
    <row r="2" spans="1:118" ht="26.25">
      <c r="A2" s="651"/>
      <c r="B2" s="651"/>
      <c r="C2" s="651"/>
      <c r="D2" s="651"/>
      <c r="E2" s="651"/>
      <c r="F2" s="651"/>
      <c r="G2" s="651"/>
      <c r="H2" s="125"/>
      <c r="I2" s="646" t="s">
        <v>11</v>
      </c>
      <c r="J2" s="646" t="s">
        <v>12</v>
      </c>
      <c r="K2" s="649" t="s">
        <v>13</v>
      </c>
      <c r="L2" s="643"/>
      <c r="M2" s="644"/>
      <c r="N2" s="642" t="s">
        <v>14</v>
      </c>
      <c r="O2" s="643"/>
      <c r="P2" s="644"/>
      <c r="Q2" s="642" t="s">
        <v>15</v>
      </c>
      <c r="R2" s="643"/>
      <c r="S2" s="644"/>
      <c r="T2" s="642" t="s">
        <v>16</v>
      </c>
      <c r="U2" s="643"/>
      <c r="V2" s="644"/>
      <c r="W2" s="642" t="s">
        <v>17</v>
      </c>
      <c r="X2" s="643"/>
      <c r="Y2" s="644"/>
      <c r="Z2" s="642" t="s">
        <v>18</v>
      </c>
      <c r="AA2" s="643"/>
      <c r="AB2" s="644"/>
      <c r="AC2" s="642" t="s">
        <v>19</v>
      </c>
      <c r="AD2" s="643"/>
      <c r="AE2" s="644"/>
      <c r="AF2" s="642" t="s">
        <v>20</v>
      </c>
      <c r="AG2" s="643"/>
      <c r="AH2" s="644"/>
      <c r="AI2" s="642" t="s">
        <v>14</v>
      </c>
      <c r="AJ2" s="643"/>
      <c r="AK2" s="644"/>
      <c r="AL2" s="642" t="s">
        <v>15</v>
      </c>
      <c r="AM2" s="643"/>
      <c r="AN2" s="644"/>
      <c r="AO2" s="642" t="s">
        <v>16</v>
      </c>
      <c r="AP2" s="643"/>
      <c r="AQ2" s="644"/>
      <c r="AR2" s="642" t="s">
        <v>17</v>
      </c>
      <c r="AS2" s="643"/>
      <c r="AT2" s="644"/>
      <c r="AU2" s="642" t="s">
        <v>18</v>
      </c>
      <c r="AV2" s="643"/>
      <c r="AW2" s="644"/>
      <c r="AX2" s="642" t="s">
        <v>19</v>
      </c>
      <c r="AY2" s="643"/>
      <c r="AZ2" s="644"/>
      <c r="BA2" s="642" t="s">
        <v>20</v>
      </c>
      <c r="BB2" s="643"/>
      <c r="BC2" s="644"/>
      <c r="BD2" s="642" t="s">
        <v>14</v>
      </c>
      <c r="BE2" s="643"/>
      <c r="BF2" s="644"/>
      <c r="BG2" s="642" t="s">
        <v>15</v>
      </c>
      <c r="BH2" s="643"/>
      <c r="BI2" s="644"/>
      <c r="BJ2" s="642" t="s">
        <v>16</v>
      </c>
      <c r="BK2" s="643"/>
      <c r="BL2" s="644"/>
      <c r="BM2" s="642" t="s">
        <v>17</v>
      </c>
      <c r="BN2" s="643"/>
      <c r="BO2" s="644"/>
      <c r="BP2" s="642" t="s">
        <v>18</v>
      </c>
      <c r="BQ2" s="643"/>
      <c r="BR2" s="644"/>
      <c r="BS2" s="642" t="s">
        <v>19</v>
      </c>
      <c r="BT2" s="643"/>
      <c r="BU2" s="644"/>
      <c r="BV2" s="642" t="s">
        <v>20</v>
      </c>
      <c r="BW2" s="643"/>
      <c r="BX2" s="644"/>
      <c r="BY2" s="642" t="s">
        <v>14</v>
      </c>
      <c r="BZ2" s="643"/>
      <c r="CA2" s="644"/>
      <c r="CB2" s="642" t="s">
        <v>15</v>
      </c>
      <c r="CC2" s="643"/>
      <c r="CD2" s="644"/>
      <c r="CE2" s="642" t="s">
        <v>16</v>
      </c>
      <c r="CF2" s="643"/>
      <c r="CG2" s="644"/>
      <c r="CH2" s="642" t="s">
        <v>17</v>
      </c>
      <c r="CI2" s="643"/>
      <c r="CJ2" s="644"/>
      <c r="CK2" s="642" t="s">
        <v>18</v>
      </c>
      <c r="CL2" s="643"/>
      <c r="CM2" s="644"/>
      <c r="CN2" s="642" t="s">
        <v>19</v>
      </c>
      <c r="CO2" s="643"/>
      <c r="CP2" s="644"/>
      <c r="CQ2" s="642" t="s">
        <v>20</v>
      </c>
      <c r="CR2" s="643"/>
      <c r="CS2" s="644"/>
      <c r="CT2" s="642" t="s">
        <v>14</v>
      </c>
      <c r="CU2" s="643"/>
      <c r="CV2" s="644"/>
      <c r="CW2" s="642" t="s">
        <v>15</v>
      </c>
      <c r="CX2" s="643"/>
      <c r="CY2" s="644"/>
      <c r="CZ2" s="642" t="s">
        <v>16</v>
      </c>
      <c r="DA2" s="643"/>
      <c r="DB2" s="644"/>
      <c r="DC2" s="642" t="s">
        <v>17</v>
      </c>
      <c r="DD2" s="643"/>
      <c r="DE2" s="644"/>
      <c r="DF2" s="642" t="s">
        <v>18</v>
      </c>
      <c r="DG2" s="643"/>
      <c r="DH2" s="644"/>
      <c r="DI2" s="642" t="s">
        <v>19</v>
      </c>
      <c r="DJ2" s="643"/>
      <c r="DK2" s="644"/>
      <c r="DL2" s="642" t="s">
        <v>20</v>
      </c>
      <c r="DM2" s="643"/>
      <c r="DN2" s="644"/>
    </row>
    <row r="3" spans="1:118" ht="26.25">
      <c r="A3" s="651"/>
      <c r="B3" s="651"/>
      <c r="C3" s="651"/>
      <c r="D3" s="651"/>
      <c r="E3" s="651"/>
      <c r="F3" s="651"/>
      <c r="G3" s="651"/>
      <c r="H3" s="125"/>
      <c r="I3" s="647"/>
      <c r="J3" s="647"/>
      <c r="K3" s="649" t="s">
        <v>21</v>
      </c>
      <c r="L3" s="643"/>
      <c r="M3" s="644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642">
        <v>30</v>
      </c>
      <c r="DG3" s="643"/>
      <c r="DH3" s="644"/>
      <c r="DI3" s="642">
        <v>31</v>
      </c>
      <c r="DJ3" s="643"/>
      <c r="DK3" s="644"/>
      <c r="DL3" s="642">
        <v>1</v>
      </c>
      <c r="DM3" s="643"/>
      <c r="DN3" s="644"/>
    </row>
    <row r="4" spans="1:118" ht="60.75" customHeight="1">
      <c r="A4" s="652"/>
      <c r="B4" s="652"/>
      <c r="C4" s="652"/>
      <c r="D4" s="652"/>
      <c r="E4" s="652"/>
      <c r="F4" s="652"/>
      <c r="G4" s="652"/>
      <c r="H4" s="126"/>
      <c r="I4" s="648"/>
      <c r="J4" s="648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5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5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5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5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5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5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80"/>
  <sheetViews>
    <sheetView zoomScale="90" zoomScaleNormal="90" workbookViewId="0">
      <selection activeCell="H83" sqref="H83"/>
    </sheetView>
  </sheetViews>
  <sheetFormatPr defaultColWidth="12.7109375" defaultRowHeight="15.75" customHeight="1"/>
  <cols>
    <col min="1" max="1" width="12.7109375" style="335"/>
    <col min="2" max="2" width="4" style="335" customWidth="1"/>
    <col min="3" max="3" width="14.28515625" style="335" bestFit="1" customWidth="1"/>
    <col min="4" max="4" width="61.140625" style="335" customWidth="1"/>
    <col min="5" max="5" width="16.42578125" style="335" customWidth="1"/>
    <col min="6" max="6" width="6.140625" style="335" customWidth="1"/>
    <col min="7" max="7" width="5.85546875" style="335" customWidth="1"/>
    <col min="8" max="10" width="9.42578125" style="335" customWidth="1"/>
    <col min="11" max="11" width="11.7109375" style="335" customWidth="1"/>
    <col min="12" max="12" width="14.140625" style="335" bestFit="1" customWidth="1"/>
    <col min="13" max="21" width="0" style="42" hidden="1" customWidth="1"/>
    <col min="22" max="22" width="12.7109375" style="335"/>
    <col min="23" max="31" width="0" style="42" hidden="1" customWidth="1"/>
    <col min="32" max="32" width="12.7109375" style="335"/>
    <col min="33" max="41" width="0" style="42" hidden="1" customWidth="1"/>
    <col min="42" max="42" width="12.7109375" style="335"/>
    <col min="43" max="51" width="0" style="42" hidden="1" customWidth="1"/>
    <col min="52" max="52" width="12.7109375" style="335"/>
    <col min="53" max="61" width="0" style="42" hidden="1" customWidth="1"/>
    <col min="62" max="62" width="12.7109375" style="335"/>
    <col min="63" max="71" width="0" style="42" hidden="1" customWidth="1"/>
    <col min="72" max="72" width="12.7109375" style="335"/>
    <col min="73" max="80" width="0" style="42" hidden="1" customWidth="1"/>
    <col min="81" max="16384" width="12.7109375" style="335"/>
  </cols>
  <sheetData>
    <row r="1" spans="1:80" ht="40.5">
      <c r="A1" s="657" t="s">
        <v>0</v>
      </c>
      <c r="B1" s="658" t="s">
        <v>4</v>
      </c>
      <c r="C1" s="659" t="s">
        <v>5</v>
      </c>
      <c r="D1" s="660" t="s">
        <v>6</v>
      </c>
      <c r="E1" s="424" t="s">
        <v>7</v>
      </c>
      <c r="F1" s="660" t="s">
        <v>8</v>
      </c>
      <c r="G1" s="662"/>
      <c r="H1" s="659"/>
      <c r="I1" s="662"/>
      <c r="J1" s="662"/>
      <c r="K1" s="663" t="s">
        <v>421</v>
      </c>
      <c r="L1" s="664"/>
      <c r="M1" s="640"/>
      <c r="N1" s="640"/>
      <c r="O1" s="640"/>
      <c r="P1" s="640"/>
      <c r="Q1" s="640"/>
      <c r="R1" s="640"/>
      <c r="S1" s="640"/>
      <c r="T1" s="640"/>
      <c r="U1" s="640"/>
      <c r="V1" s="664"/>
      <c r="W1" s="640"/>
      <c r="X1" s="640"/>
      <c r="Y1" s="640"/>
      <c r="Z1" s="640"/>
      <c r="AA1" s="640"/>
      <c r="AB1" s="640"/>
      <c r="AC1" s="640"/>
      <c r="AD1" s="640"/>
      <c r="AE1" s="640"/>
      <c r="AF1" s="664"/>
      <c r="AG1" s="640"/>
      <c r="AH1" s="640"/>
      <c r="AI1" s="640"/>
      <c r="AJ1" s="640"/>
      <c r="AK1" s="640"/>
      <c r="AL1" s="640"/>
      <c r="AM1" s="640"/>
      <c r="AN1" s="640"/>
      <c r="AO1" s="640"/>
      <c r="AP1" s="664"/>
      <c r="AQ1" s="640"/>
      <c r="AR1" s="640"/>
      <c r="AS1" s="640"/>
      <c r="AT1" s="640"/>
      <c r="AU1" s="640"/>
      <c r="AV1" s="640"/>
      <c r="AW1" s="640"/>
      <c r="AX1" s="640"/>
      <c r="AY1" s="640"/>
      <c r="AZ1" s="664"/>
      <c r="BA1" s="640"/>
      <c r="BB1" s="640"/>
      <c r="BC1" s="640"/>
      <c r="BD1" s="640"/>
      <c r="BE1" s="640"/>
      <c r="BF1" s="640"/>
      <c r="BG1" s="640"/>
      <c r="BH1" s="640"/>
      <c r="BI1" s="640"/>
      <c r="BJ1" s="664"/>
      <c r="BK1" s="640"/>
      <c r="BL1" s="640"/>
      <c r="BM1" s="640"/>
      <c r="BN1" s="640"/>
      <c r="BO1" s="640"/>
      <c r="BP1" s="640"/>
      <c r="BQ1" s="640"/>
      <c r="BR1" s="640"/>
      <c r="BS1" s="640"/>
      <c r="BT1" s="664"/>
      <c r="BU1" s="640"/>
      <c r="BV1" s="640"/>
      <c r="BW1" s="640"/>
      <c r="BX1" s="640"/>
      <c r="BY1" s="640"/>
      <c r="BZ1" s="640"/>
      <c r="CA1" s="640"/>
      <c r="CB1" s="641"/>
    </row>
    <row r="2" spans="1:80" s="42" customFormat="1" ht="26.25" hidden="1">
      <c r="A2" s="651"/>
      <c r="B2" s="651"/>
      <c r="C2" s="651"/>
      <c r="D2" s="651"/>
      <c r="E2" s="125"/>
      <c r="F2" s="665" t="s">
        <v>11</v>
      </c>
      <c r="G2" s="665" t="s">
        <v>12</v>
      </c>
      <c r="H2" s="666" t="s">
        <v>13</v>
      </c>
      <c r="I2" s="661"/>
      <c r="J2" s="667"/>
      <c r="K2" s="672" t="s">
        <v>14</v>
      </c>
      <c r="L2" s="661"/>
      <c r="M2" s="640"/>
      <c r="N2" s="641"/>
      <c r="O2" s="668" t="s">
        <v>368</v>
      </c>
      <c r="P2" s="669"/>
      <c r="Q2" s="669"/>
      <c r="R2" s="669"/>
      <c r="S2" s="669"/>
      <c r="T2" s="670"/>
      <c r="U2" s="642" t="s">
        <v>15</v>
      </c>
      <c r="V2" s="661"/>
      <c r="W2" s="640"/>
      <c r="X2" s="641"/>
      <c r="Y2" s="668" t="s">
        <v>368</v>
      </c>
      <c r="Z2" s="669"/>
      <c r="AA2" s="669"/>
      <c r="AB2" s="669"/>
      <c r="AC2" s="669"/>
      <c r="AD2" s="670"/>
      <c r="AE2" s="642" t="s">
        <v>16</v>
      </c>
      <c r="AF2" s="661"/>
      <c r="AG2" s="640"/>
      <c r="AH2" s="641"/>
      <c r="AI2" s="668" t="s">
        <v>368</v>
      </c>
      <c r="AJ2" s="669"/>
      <c r="AK2" s="669"/>
      <c r="AL2" s="669"/>
      <c r="AM2" s="669"/>
      <c r="AN2" s="670"/>
      <c r="AO2" s="642" t="s">
        <v>17</v>
      </c>
      <c r="AP2" s="661"/>
      <c r="AQ2" s="640"/>
      <c r="AR2" s="641"/>
      <c r="AS2" s="668" t="s">
        <v>368</v>
      </c>
      <c r="AT2" s="669"/>
      <c r="AU2" s="669"/>
      <c r="AV2" s="669"/>
      <c r="AW2" s="669"/>
      <c r="AX2" s="670"/>
      <c r="AY2" s="642" t="s">
        <v>18</v>
      </c>
      <c r="AZ2" s="661"/>
      <c r="BA2" s="640"/>
      <c r="BB2" s="641"/>
      <c r="BC2" s="668" t="s">
        <v>368</v>
      </c>
      <c r="BD2" s="669"/>
      <c r="BE2" s="669"/>
      <c r="BF2" s="669"/>
      <c r="BG2" s="669"/>
      <c r="BH2" s="670"/>
      <c r="BI2" s="642" t="s">
        <v>19</v>
      </c>
      <c r="BJ2" s="661"/>
      <c r="BK2" s="640"/>
      <c r="BL2" s="641"/>
      <c r="BM2" s="668" t="s">
        <v>368</v>
      </c>
      <c r="BN2" s="669"/>
      <c r="BO2" s="669"/>
      <c r="BP2" s="669"/>
      <c r="BQ2" s="669"/>
      <c r="BR2" s="670"/>
      <c r="BS2" s="642" t="s">
        <v>20</v>
      </c>
      <c r="BT2" s="661"/>
      <c r="BU2" s="640"/>
      <c r="BV2" s="641"/>
      <c r="BW2" s="668" t="s">
        <v>368</v>
      </c>
      <c r="BX2" s="669"/>
      <c r="BY2" s="669"/>
      <c r="BZ2" s="669"/>
      <c r="CA2" s="669"/>
      <c r="CB2" s="670"/>
    </row>
    <row r="3" spans="1:80" s="42" customFormat="1" ht="26.25" hidden="1">
      <c r="A3" s="651"/>
      <c r="B3" s="651"/>
      <c r="C3" s="651"/>
      <c r="D3" s="651"/>
      <c r="E3" s="125"/>
      <c r="F3" s="651"/>
      <c r="G3" s="651"/>
      <c r="H3" s="649" t="s">
        <v>21</v>
      </c>
      <c r="I3" s="640"/>
      <c r="J3" s="641"/>
      <c r="K3" s="642"/>
      <c r="L3" s="640"/>
      <c r="M3" s="640"/>
      <c r="N3" s="641"/>
      <c r="O3" s="671"/>
      <c r="P3" s="661"/>
      <c r="Q3" s="661"/>
      <c r="R3" s="661"/>
      <c r="S3" s="661"/>
      <c r="T3" s="667"/>
      <c r="U3" s="642"/>
      <c r="V3" s="640"/>
      <c r="W3" s="640"/>
      <c r="X3" s="641"/>
      <c r="Y3" s="671"/>
      <c r="Z3" s="661"/>
      <c r="AA3" s="661"/>
      <c r="AB3" s="661"/>
      <c r="AC3" s="661"/>
      <c r="AD3" s="667"/>
      <c r="AE3" s="642"/>
      <c r="AF3" s="640"/>
      <c r="AG3" s="640"/>
      <c r="AH3" s="641"/>
      <c r="AI3" s="671"/>
      <c r="AJ3" s="661"/>
      <c r="AK3" s="661"/>
      <c r="AL3" s="661"/>
      <c r="AM3" s="661"/>
      <c r="AN3" s="667"/>
      <c r="AO3" s="642"/>
      <c r="AP3" s="640"/>
      <c r="AQ3" s="640"/>
      <c r="AR3" s="641"/>
      <c r="AS3" s="671"/>
      <c r="AT3" s="661"/>
      <c r="AU3" s="661"/>
      <c r="AV3" s="661"/>
      <c r="AW3" s="661"/>
      <c r="AX3" s="667"/>
      <c r="AY3" s="642"/>
      <c r="AZ3" s="640"/>
      <c r="BA3" s="640"/>
      <c r="BB3" s="641"/>
      <c r="BC3" s="671"/>
      <c r="BD3" s="661"/>
      <c r="BE3" s="661"/>
      <c r="BF3" s="661"/>
      <c r="BG3" s="661"/>
      <c r="BH3" s="667"/>
      <c r="BI3" s="642"/>
      <c r="BJ3" s="640"/>
      <c r="BK3" s="640"/>
      <c r="BL3" s="641"/>
      <c r="BM3" s="671"/>
      <c r="BN3" s="661"/>
      <c r="BO3" s="661"/>
      <c r="BP3" s="661"/>
      <c r="BQ3" s="661"/>
      <c r="BR3" s="667"/>
      <c r="BS3" s="642"/>
      <c r="BT3" s="640"/>
      <c r="BU3" s="640"/>
      <c r="BV3" s="641"/>
      <c r="BW3" s="671"/>
      <c r="BX3" s="661"/>
      <c r="BY3" s="661"/>
      <c r="BZ3" s="661"/>
      <c r="CA3" s="661"/>
      <c r="CB3" s="667"/>
    </row>
    <row r="4" spans="1:80" s="42" customFormat="1" ht="56.25" hidden="1" customHeight="1">
      <c r="A4" s="652"/>
      <c r="B4" s="652"/>
      <c r="C4" s="652"/>
      <c r="D4" s="652"/>
      <c r="E4" s="126"/>
      <c r="F4" s="652"/>
      <c r="G4" s="652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409</v>
      </c>
      <c r="E5" s="54" t="s">
        <v>27</v>
      </c>
      <c r="F5" s="54"/>
      <c r="G5" s="44"/>
      <c r="H5" s="58">
        <v>0</v>
      </c>
      <c r="I5" s="45">
        <f t="shared" ref="I5:I42" si="0">SUM(L5,V5,AF5,AP5,AZ5,BJ5,BT5)</f>
        <v>18</v>
      </c>
      <c r="J5" s="58">
        <v>0</v>
      </c>
      <c r="K5" s="59"/>
      <c r="L5" s="206">
        <v>8</v>
      </c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>
        <v>10</v>
      </c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67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1160</v>
      </c>
      <c r="J7" s="58">
        <v>0</v>
      </c>
      <c r="K7" s="59"/>
      <c r="L7" s="104">
        <v>750</v>
      </c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>
        <v>410</v>
      </c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845</v>
      </c>
      <c r="J8" s="58">
        <v>0</v>
      </c>
      <c r="K8" s="59"/>
      <c r="L8" s="206">
        <v>100</v>
      </c>
      <c r="M8" s="59"/>
      <c r="N8" s="96"/>
      <c r="O8" s="59"/>
      <c r="P8" s="59"/>
      <c r="Q8" s="59"/>
      <c r="R8" s="59"/>
      <c r="S8" s="44"/>
      <c r="T8" s="59"/>
      <c r="U8" s="59"/>
      <c r="V8" s="191">
        <v>185</v>
      </c>
      <c r="W8" s="59"/>
      <c r="X8" s="96"/>
      <c r="Y8" s="59"/>
      <c r="Z8" s="59"/>
      <c r="AA8" s="59"/>
      <c r="AB8" s="59"/>
      <c r="AC8" s="44"/>
      <c r="AD8" s="59"/>
      <c r="AE8" s="59"/>
      <c r="AF8" s="254">
        <v>95</v>
      </c>
      <c r="AG8" s="59"/>
      <c r="AH8" s="96"/>
      <c r="AI8" s="59"/>
      <c r="AJ8" s="59"/>
      <c r="AK8" s="59"/>
      <c r="AL8" s="59"/>
      <c r="AM8" s="44"/>
      <c r="AN8" s="59"/>
      <c r="AO8" s="59"/>
      <c r="AP8" s="194">
        <v>115</v>
      </c>
      <c r="AQ8" s="59"/>
      <c r="AR8" s="96"/>
      <c r="AS8" s="59"/>
      <c r="AT8" s="59"/>
      <c r="AU8" s="59"/>
      <c r="AV8" s="59"/>
      <c r="AW8" s="44"/>
      <c r="AX8" s="59"/>
      <c r="AY8" s="59"/>
      <c r="AZ8" s="263">
        <v>150</v>
      </c>
      <c r="BA8" s="59"/>
      <c r="BB8" s="96"/>
      <c r="BC8" s="59"/>
      <c r="BD8" s="59"/>
      <c r="BE8" s="59"/>
      <c r="BF8" s="59"/>
      <c r="BG8" s="44"/>
      <c r="BH8" s="59"/>
      <c r="BI8" s="59"/>
      <c r="BJ8" s="187">
        <v>200</v>
      </c>
      <c r="BK8" s="59"/>
      <c r="BL8" s="96"/>
      <c r="BM8" s="59"/>
      <c r="BN8" s="59"/>
      <c r="BO8" s="59"/>
      <c r="BP8" s="59"/>
      <c r="BQ8" s="44"/>
      <c r="BR8" s="59"/>
      <c r="BS8" s="59"/>
      <c r="BT8" s="256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31</v>
      </c>
      <c r="J9" s="58">
        <v>0</v>
      </c>
      <c r="K9" s="59"/>
      <c r="L9" s="206">
        <v>16</v>
      </c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>
        <v>15</v>
      </c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6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11</v>
      </c>
      <c r="J11" s="58">
        <v>0</v>
      </c>
      <c r="K11" s="59"/>
      <c r="L11" s="206">
        <v>6</v>
      </c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>
        <v>5</v>
      </c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52</v>
      </c>
      <c r="J12" s="58">
        <v>0</v>
      </c>
      <c r="K12" s="59"/>
      <c r="L12" s="206">
        <v>27</v>
      </c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>
        <v>25</v>
      </c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42</v>
      </c>
      <c r="J13" s="58">
        <v>0</v>
      </c>
      <c r="K13" s="59"/>
      <c r="L13" s="206">
        <v>22</v>
      </c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>
        <v>20</v>
      </c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37</v>
      </c>
      <c r="J14" s="58">
        <v>0</v>
      </c>
      <c r="K14" s="59"/>
      <c r="L14" s="206">
        <v>17</v>
      </c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>
        <v>20</v>
      </c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22</v>
      </c>
      <c r="J15" s="58">
        <v>0</v>
      </c>
      <c r="K15" s="59"/>
      <c r="L15" s="206">
        <v>12</v>
      </c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>
        <v>10</v>
      </c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17</v>
      </c>
      <c r="J16" s="58">
        <v>0</v>
      </c>
      <c r="K16" s="59"/>
      <c r="L16" s="206">
        <v>7</v>
      </c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>
        <v>10</v>
      </c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40</v>
      </c>
      <c r="J17" s="58">
        <v>0</v>
      </c>
      <c r="K17" s="59"/>
      <c r="L17" s="206">
        <v>20</v>
      </c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>
        <v>20</v>
      </c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31</v>
      </c>
      <c r="J18" s="58">
        <v>0</v>
      </c>
      <c r="K18" s="59"/>
      <c r="L18" s="206">
        <v>16</v>
      </c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>
        <v>15</v>
      </c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>
      <c r="A19" s="53">
        <v>2</v>
      </c>
      <c r="B19" s="56"/>
      <c r="C19" s="274">
        <v>1113090</v>
      </c>
      <c r="D19" s="246" t="s">
        <v>406</v>
      </c>
      <c r="E19" s="64" t="s">
        <v>42</v>
      </c>
      <c r="F19" s="54"/>
      <c r="G19" s="44"/>
      <c r="H19" s="58">
        <v>0</v>
      </c>
      <c r="I19" s="45">
        <f t="shared" si="0"/>
        <v>6307</v>
      </c>
      <c r="J19" s="58">
        <v>0</v>
      </c>
      <c r="K19" s="59"/>
      <c r="L19" s="196">
        <v>1234</v>
      </c>
      <c r="M19" s="59"/>
      <c r="N19" s="96"/>
      <c r="O19" s="59"/>
      <c r="P19" s="59"/>
      <c r="Q19" s="59"/>
      <c r="R19" s="59"/>
      <c r="S19" s="106"/>
      <c r="T19" s="59"/>
      <c r="U19" s="59"/>
      <c r="V19" s="225">
        <v>1079</v>
      </c>
      <c r="W19" s="59"/>
      <c r="X19" s="96"/>
      <c r="Y19" s="59"/>
      <c r="Z19" s="59"/>
      <c r="AA19" s="59"/>
      <c r="AB19" s="59"/>
      <c r="AC19" s="44"/>
      <c r="AD19" s="59"/>
      <c r="AE19" s="59"/>
      <c r="AF19" s="255">
        <v>814</v>
      </c>
      <c r="AG19" s="59"/>
      <c r="AH19" s="96"/>
      <c r="AI19" s="59"/>
      <c r="AJ19" s="59"/>
      <c r="AK19" s="59"/>
      <c r="AL19" s="59"/>
      <c r="AM19" s="106"/>
      <c r="AN19" s="59"/>
      <c r="AO19" s="59"/>
      <c r="AP19" s="261">
        <v>892</v>
      </c>
      <c r="AQ19" s="59"/>
      <c r="AR19" s="96"/>
      <c r="AS19" s="59"/>
      <c r="AT19" s="59"/>
      <c r="AU19" s="59"/>
      <c r="AV19" s="59"/>
      <c r="AW19" s="44"/>
      <c r="AX19" s="59"/>
      <c r="AY19" s="59"/>
      <c r="AZ19" s="190">
        <v>1088</v>
      </c>
      <c r="BA19" s="59"/>
      <c r="BB19" s="96"/>
      <c r="BC19" s="59"/>
      <c r="BD19" s="59"/>
      <c r="BE19" s="59"/>
      <c r="BF19" s="59"/>
      <c r="BG19" s="106"/>
      <c r="BH19" s="59"/>
      <c r="BI19" s="59"/>
      <c r="BJ19" s="187">
        <v>1200</v>
      </c>
      <c r="BK19" s="59"/>
      <c r="BL19" s="96"/>
      <c r="BM19" s="59"/>
      <c r="BN19" s="59"/>
      <c r="BO19" s="59"/>
      <c r="BP19" s="59"/>
      <c r="BQ19" s="44"/>
      <c r="BR19" s="59"/>
      <c r="BS19" s="59"/>
      <c r="BT19" s="256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>
      <c r="A20" s="53">
        <v>1</v>
      </c>
      <c r="B20" s="56"/>
      <c r="C20" s="507">
        <v>1113087</v>
      </c>
      <c r="D20" s="508" t="s">
        <v>169</v>
      </c>
      <c r="E20" s="64" t="s">
        <v>170</v>
      </c>
      <c r="F20" s="54"/>
      <c r="G20" s="44"/>
      <c r="H20" s="58">
        <v>0</v>
      </c>
      <c r="I20" s="45">
        <f t="shared" si="0"/>
        <v>6343</v>
      </c>
      <c r="J20" s="58">
        <v>0</v>
      </c>
      <c r="K20" s="59"/>
      <c r="L20" s="196">
        <v>900</v>
      </c>
      <c r="M20" s="59"/>
      <c r="N20" s="96"/>
      <c r="O20" s="59"/>
      <c r="P20" s="59"/>
      <c r="Q20" s="59"/>
      <c r="R20" s="59"/>
      <c r="S20" s="106"/>
      <c r="T20" s="59"/>
      <c r="U20" s="59"/>
      <c r="V20" s="225">
        <v>1820</v>
      </c>
      <c r="W20" s="59"/>
      <c r="X20" s="96"/>
      <c r="Y20" s="59"/>
      <c r="Z20" s="59"/>
      <c r="AA20" s="59"/>
      <c r="AB20" s="59"/>
      <c r="AC20" s="44"/>
      <c r="AD20" s="59"/>
      <c r="AE20" s="59"/>
      <c r="AF20" s="255">
        <v>962</v>
      </c>
      <c r="AG20" s="59"/>
      <c r="AH20" s="96"/>
      <c r="AI20" s="59"/>
      <c r="AJ20" s="59"/>
      <c r="AK20" s="59"/>
      <c r="AL20" s="59"/>
      <c r="AM20" s="106"/>
      <c r="AN20" s="59"/>
      <c r="AO20" s="59"/>
      <c r="AP20" s="261">
        <v>756</v>
      </c>
      <c r="AQ20" s="59"/>
      <c r="AR20" s="96"/>
      <c r="AS20" s="59"/>
      <c r="AT20" s="59"/>
      <c r="AU20" s="59"/>
      <c r="AV20" s="59"/>
      <c r="AW20" s="44"/>
      <c r="AX20" s="59"/>
      <c r="AY20" s="59"/>
      <c r="AZ20" s="190">
        <v>905</v>
      </c>
      <c r="BA20" s="59"/>
      <c r="BB20" s="96"/>
      <c r="BC20" s="59"/>
      <c r="BD20" s="59"/>
      <c r="BE20" s="59"/>
      <c r="BF20" s="59"/>
      <c r="BG20" s="106"/>
      <c r="BH20" s="59"/>
      <c r="BI20" s="59"/>
      <c r="BJ20" s="187">
        <v>1000</v>
      </c>
      <c r="BK20" s="59"/>
      <c r="BL20" s="96"/>
      <c r="BM20" s="59"/>
      <c r="BN20" s="59"/>
      <c r="BO20" s="59"/>
      <c r="BP20" s="59"/>
      <c r="BQ20" s="44"/>
      <c r="BR20" s="59"/>
      <c r="BS20" s="59"/>
      <c r="BT20" s="256"/>
      <c r="BU20" s="59"/>
      <c r="BV20" s="96"/>
      <c r="BW20" s="59"/>
      <c r="BX20" s="59"/>
      <c r="BY20" s="59"/>
      <c r="BZ20" s="59"/>
      <c r="CA20" s="44"/>
      <c r="CB20" s="59"/>
    </row>
    <row r="21" spans="1:80" ht="26.25" hidden="1">
      <c r="A21" s="336">
        <v>1</v>
      </c>
      <c r="B21" s="337"/>
      <c r="C21" s="338">
        <v>20039044</v>
      </c>
      <c r="D21" s="339" t="s">
        <v>425</v>
      </c>
      <c r="E21" s="338" t="s">
        <v>69</v>
      </c>
      <c r="F21" s="338"/>
      <c r="G21" s="340"/>
      <c r="H21" s="341">
        <v>0</v>
      </c>
      <c r="I21" s="342">
        <f t="shared" si="0"/>
        <v>11360</v>
      </c>
      <c r="J21" s="341">
        <v>0</v>
      </c>
      <c r="K21" s="343"/>
      <c r="L21" s="344">
        <v>1380</v>
      </c>
      <c r="M21" s="59"/>
      <c r="N21" s="96"/>
      <c r="O21" s="59"/>
      <c r="P21" s="59"/>
      <c r="Q21" s="59"/>
      <c r="R21" s="105"/>
      <c r="S21" s="106"/>
      <c r="T21" s="59"/>
      <c r="U21" s="59"/>
      <c r="V21" s="345">
        <v>1500</v>
      </c>
      <c r="W21" s="59"/>
      <c r="X21" s="96"/>
      <c r="Y21" s="59"/>
      <c r="Z21" s="59"/>
      <c r="AA21" s="59"/>
      <c r="AB21" s="105"/>
      <c r="AC21" s="106"/>
      <c r="AD21" s="59"/>
      <c r="AE21" s="59"/>
      <c r="AF21" s="346">
        <v>1560</v>
      </c>
      <c r="AG21" s="105"/>
      <c r="AH21" s="96"/>
      <c r="AI21" s="59"/>
      <c r="AJ21" s="59"/>
      <c r="AK21" s="59"/>
      <c r="AL21" s="105"/>
      <c r="AM21" s="106"/>
      <c r="AN21" s="59"/>
      <c r="AO21" s="59"/>
      <c r="AP21" s="347">
        <v>1800</v>
      </c>
      <c r="AQ21" s="59"/>
      <c r="AR21" s="96"/>
      <c r="AS21" s="59"/>
      <c r="AT21" s="59"/>
      <c r="AU21" s="59"/>
      <c r="AV21" s="105"/>
      <c r="AW21" s="106"/>
      <c r="AX21" s="59"/>
      <c r="AY21" s="59"/>
      <c r="AZ21" s="348">
        <v>1920</v>
      </c>
      <c r="BA21" s="59"/>
      <c r="BB21" s="96"/>
      <c r="BC21" s="59"/>
      <c r="BD21" s="59"/>
      <c r="BE21" s="59"/>
      <c r="BF21" s="105"/>
      <c r="BG21" s="106"/>
      <c r="BH21" s="105"/>
      <c r="BI21" s="59"/>
      <c r="BJ21" s="349">
        <v>1700</v>
      </c>
      <c r="BK21" s="59"/>
      <c r="BL21" s="96"/>
      <c r="BM21" s="59"/>
      <c r="BN21" s="59"/>
      <c r="BO21" s="59"/>
      <c r="BP21" s="105"/>
      <c r="BQ21" s="106"/>
      <c r="BR21" s="59"/>
      <c r="BS21" s="59"/>
      <c r="BT21" s="350">
        <v>1500</v>
      </c>
      <c r="BU21" s="5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206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6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407</v>
      </c>
      <c r="E25" s="54" t="s">
        <v>27</v>
      </c>
      <c r="F25" s="54"/>
      <c r="G25" s="44"/>
      <c r="H25" s="58">
        <v>0</v>
      </c>
      <c r="I25" s="45">
        <f t="shared" si="0"/>
        <v>39</v>
      </c>
      <c r="J25" s="58">
        <v>0</v>
      </c>
      <c r="K25" s="59"/>
      <c r="L25" s="192">
        <v>19</v>
      </c>
      <c r="M25" s="59"/>
      <c r="N25" s="96"/>
      <c r="O25" s="59"/>
      <c r="P25" s="59"/>
      <c r="Q25" s="59"/>
      <c r="R25" s="59"/>
      <c r="S25" s="44"/>
      <c r="T25" s="59"/>
      <c r="U25" s="59"/>
      <c r="V25" s="191"/>
      <c r="W25" s="59"/>
      <c r="X25" s="96"/>
      <c r="Y25" s="59"/>
      <c r="Z25" s="59"/>
      <c r="AA25" s="59"/>
      <c r="AB25" s="59"/>
      <c r="AC25" s="44"/>
      <c r="AD25" s="59"/>
      <c r="AE25" s="59"/>
      <c r="AF25" s="193"/>
      <c r="AG25" s="59"/>
      <c r="AH25" s="96"/>
      <c r="AI25" s="59"/>
      <c r="AJ25" s="59"/>
      <c r="AK25" s="59"/>
      <c r="AL25" s="59"/>
      <c r="AM25" s="44"/>
      <c r="AN25" s="59"/>
      <c r="AO25" s="59"/>
      <c r="AP25" s="194"/>
      <c r="AQ25" s="59"/>
      <c r="AR25" s="96"/>
      <c r="AS25" s="59"/>
      <c r="AT25" s="59"/>
      <c r="AU25" s="59"/>
      <c r="AV25" s="59"/>
      <c r="AW25" s="44"/>
      <c r="AX25" s="59"/>
      <c r="AY25" s="59"/>
      <c r="AZ25" s="181">
        <v>20</v>
      </c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>
      <c r="A26" s="53">
        <v>4</v>
      </c>
      <c r="B26" s="56"/>
      <c r="C26" s="270">
        <v>1113089</v>
      </c>
      <c r="D26" s="271" t="s">
        <v>195</v>
      </c>
      <c r="E26" s="64" t="s">
        <v>42</v>
      </c>
      <c r="F26" s="54"/>
      <c r="G26" s="44"/>
      <c r="H26" s="58">
        <v>0</v>
      </c>
      <c r="I26" s="45">
        <f t="shared" si="0"/>
        <v>5407</v>
      </c>
      <c r="J26" s="58">
        <v>0</v>
      </c>
      <c r="K26" s="59"/>
      <c r="L26" s="196">
        <v>1116</v>
      </c>
      <c r="M26" s="59"/>
      <c r="N26" s="96"/>
      <c r="O26" s="59"/>
      <c r="P26" s="59"/>
      <c r="Q26" s="59"/>
      <c r="R26" s="59"/>
      <c r="S26" s="106"/>
      <c r="T26" s="59"/>
      <c r="U26" s="59"/>
      <c r="V26" s="225">
        <v>1041</v>
      </c>
      <c r="W26" s="59"/>
      <c r="X26" s="96"/>
      <c r="Y26" s="59"/>
      <c r="Z26" s="59"/>
      <c r="AA26" s="59"/>
      <c r="AB26" s="59"/>
      <c r="AC26" s="44"/>
      <c r="AD26" s="59"/>
      <c r="AE26" s="59"/>
      <c r="AF26" s="255">
        <v>757</v>
      </c>
      <c r="AG26" s="59"/>
      <c r="AH26" s="96"/>
      <c r="AI26" s="59"/>
      <c r="AJ26" s="59"/>
      <c r="AK26" s="59"/>
      <c r="AL26" s="59"/>
      <c r="AM26" s="106"/>
      <c r="AN26" s="59"/>
      <c r="AO26" s="59"/>
      <c r="AP26" s="261">
        <v>721</v>
      </c>
      <c r="AQ26" s="59"/>
      <c r="AR26" s="96"/>
      <c r="AS26" s="59"/>
      <c r="AT26" s="59"/>
      <c r="AU26" s="59"/>
      <c r="AV26" s="59"/>
      <c r="AW26" s="44"/>
      <c r="AX26" s="59"/>
      <c r="AY26" s="59"/>
      <c r="AZ26" s="190">
        <v>872</v>
      </c>
      <c r="BA26" s="59"/>
      <c r="BB26" s="96"/>
      <c r="BC26" s="59"/>
      <c r="BD26" s="59"/>
      <c r="BE26" s="59"/>
      <c r="BF26" s="59"/>
      <c r="BG26" s="106"/>
      <c r="BH26" s="59"/>
      <c r="BI26" s="59"/>
      <c r="BJ26" s="187">
        <v>900</v>
      </c>
      <c r="BK26" s="59"/>
      <c r="BL26" s="96"/>
      <c r="BM26" s="59"/>
      <c r="BN26" s="59"/>
      <c r="BO26" s="59"/>
      <c r="BP26" s="59"/>
      <c r="BQ26" s="44"/>
      <c r="BR26" s="59"/>
      <c r="BS26" s="59"/>
      <c r="BT26" s="256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53">
        <v>16</v>
      </c>
      <c r="B27" s="56"/>
      <c r="C27" s="280">
        <v>1113093</v>
      </c>
      <c r="D27" s="281" t="s">
        <v>196</v>
      </c>
      <c r="E27" s="291" t="s">
        <v>27</v>
      </c>
      <c r="F27" s="274"/>
      <c r="G27" s="44"/>
      <c r="H27" s="58">
        <v>0</v>
      </c>
      <c r="I27" s="63">
        <f t="shared" si="0"/>
        <v>31</v>
      </c>
      <c r="J27" s="58">
        <v>0</v>
      </c>
      <c r="K27" s="59"/>
      <c r="L27" s="196">
        <v>16</v>
      </c>
      <c r="M27" s="59"/>
      <c r="N27" s="96"/>
      <c r="O27" s="59"/>
      <c r="P27" s="59"/>
      <c r="Q27" s="59"/>
      <c r="R27" s="105"/>
      <c r="S27" s="106"/>
      <c r="T27" s="59"/>
      <c r="U27" s="59"/>
      <c r="V27" s="97"/>
      <c r="W27" s="59"/>
      <c r="X27" s="96"/>
      <c r="Y27" s="59"/>
      <c r="Z27" s="59"/>
      <c r="AA27" s="59"/>
      <c r="AB27" s="105"/>
      <c r="AC27" s="44"/>
      <c r="AD27" s="59"/>
      <c r="AE27" s="59"/>
      <c r="AF27" s="98"/>
      <c r="AG27" s="105"/>
      <c r="AH27" s="96"/>
      <c r="AI27" s="59"/>
      <c r="AJ27" s="59"/>
      <c r="AK27" s="59"/>
      <c r="AL27" s="105"/>
      <c r="AM27" s="44"/>
      <c r="AN27" s="59"/>
      <c r="AO27" s="59"/>
      <c r="AP27" s="99"/>
      <c r="AQ27" s="59"/>
      <c r="AR27" s="96"/>
      <c r="AS27" s="59"/>
      <c r="AT27" s="59"/>
      <c r="AU27" s="59"/>
      <c r="AV27" s="105"/>
      <c r="AW27" s="44"/>
      <c r="AX27" s="59"/>
      <c r="AY27" s="59"/>
      <c r="AZ27" s="93">
        <v>15</v>
      </c>
      <c r="BA27" s="59"/>
      <c r="BB27" s="96"/>
      <c r="BC27" s="59"/>
      <c r="BD27" s="59"/>
      <c r="BE27" s="59"/>
      <c r="BF27" s="105"/>
      <c r="BG27" s="44"/>
      <c r="BH27" s="105"/>
      <c r="BI27" s="59"/>
      <c r="BJ27" s="100"/>
      <c r="BK27" s="59"/>
      <c r="BL27" s="96"/>
      <c r="BM27" s="59"/>
      <c r="BN27" s="59"/>
      <c r="BO27" s="59"/>
      <c r="BP27" s="105"/>
      <c r="BQ27" s="44"/>
      <c r="BR27" s="59"/>
      <c r="BS27" s="59"/>
      <c r="BT27" s="101"/>
      <c r="BU27" s="59"/>
      <c r="BV27" s="96"/>
      <c r="BW27" s="59"/>
      <c r="BX27" s="59"/>
      <c r="BY27" s="59"/>
      <c r="BZ27" s="105"/>
      <c r="CA27" s="44"/>
      <c r="CB27" s="59"/>
    </row>
    <row r="28" spans="1:80" ht="26.25" hidden="1">
      <c r="A28" s="336">
        <v>2</v>
      </c>
      <c r="B28" s="337"/>
      <c r="C28" s="338">
        <v>20039963</v>
      </c>
      <c r="D28" s="339" t="s">
        <v>446</v>
      </c>
      <c r="E28" s="338" t="s">
        <v>69</v>
      </c>
      <c r="F28" s="338"/>
      <c r="G28" s="340"/>
      <c r="H28" s="341">
        <v>0</v>
      </c>
      <c r="I28" s="342">
        <f t="shared" si="0"/>
        <v>13140</v>
      </c>
      <c r="J28" s="341">
        <v>0</v>
      </c>
      <c r="K28" s="343"/>
      <c r="L28" s="344">
        <v>1665</v>
      </c>
      <c r="M28" s="59"/>
      <c r="N28" s="96"/>
      <c r="O28" s="59"/>
      <c r="P28" s="59"/>
      <c r="Q28" s="59"/>
      <c r="R28" s="59"/>
      <c r="S28" s="106"/>
      <c r="T28" s="59"/>
      <c r="U28" s="59"/>
      <c r="V28" s="345">
        <v>1980</v>
      </c>
      <c r="W28" s="59"/>
      <c r="X28" s="96"/>
      <c r="Y28" s="59"/>
      <c r="Z28" s="59"/>
      <c r="AA28" s="59"/>
      <c r="AB28" s="59"/>
      <c r="AC28" s="106"/>
      <c r="AD28" s="59"/>
      <c r="AE28" s="59"/>
      <c r="AF28" s="346">
        <v>2070</v>
      </c>
      <c r="AG28" s="59"/>
      <c r="AH28" s="96"/>
      <c r="AI28" s="59"/>
      <c r="AJ28" s="59"/>
      <c r="AK28" s="59"/>
      <c r="AL28" s="59"/>
      <c r="AM28" s="106"/>
      <c r="AN28" s="59"/>
      <c r="AO28" s="59"/>
      <c r="AP28" s="347">
        <v>2340</v>
      </c>
      <c r="AQ28" s="59"/>
      <c r="AR28" s="96"/>
      <c r="AS28" s="59"/>
      <c r="AT28" s="59"/>
      <c r="AU28" s="59"/>
      <c r="AV28" s="59"/>
      <c r="AW28" s="106"/>
      <c r="AX28" s="59"/>
      <c r="AY28" s="59"/>
      <c r="AZ28" s="348">
        <v>1485</v>
      </c>
      <c r="BA28" s="59"/>
      <c r="BB28" s="96"/>
      <c r="BC28" s="59"/>
      <c r="BD28" s="59"/>
      <c r="BE28" s="59"/>
      <c r="BF28" s="59"/>
      <c r="BG28" s="106"/>
      <c r="BH28" s="59"/>
      <c r="BI28" s="59"/>
      <c r="BJ28" s="349">
        <v>2000</v>
      </c>
      <c r="BK28" s="59"/>
      <c r="BL28" s="96"/>
      <c r="BM28" s="59"/>
      <c r="BN28" s="59"/>
      <c r="BO28" s="59"/>
      <c r="BP28" s="59"/>
      <c r="BQ28" s="106"/>
      <c r="BR28" s="59"/>
      <c r="BS28" s="59"/>
      <c r="BT28" s="350">
        <v>1600</v>
      </c>
      <c r="BU28" s="5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74">
        <v>1113087</v>
      </c>
      <c r="D29" s="246" t="s">
        <v>410</v>
      </c>
      <c r="E29" s="291" t="s">
        <v>27</v>
      </c>
      <c r="F29" s="274"/>
      <c r="G29" s="44"/>
      <c r="H29" s="58"/>
      <c r="I29" s="63">
        <f t="shared" si="0"/>
        <v>19</v>
      </c>
      <c r="J29" s="58"/>
      <c r="K29" s="59"/>
      <c r="L29" s="104">
        <v>9</v>
      </c>
      <c r="M29" s="59"/>
      <c r="N29" s="96"/>
      <c r="O29" s="105"/>
      <c r="P29" s="59"/>
      <c r="Q29" s="59"/>
      <c r="R29" s="105"/>
      <c r="S29" s="106"/>
      <c r="T29" s="59"/>
      <c r="U29" s="105"/>
      <c r="V29" s="97"/>
      <c r="W29" s="59"/>
      <c r="X29" s="96"/>
      <c r="Y29" s="105"/>
      <c r="Z29" s="59"/>
      <c r="AA29" s="59"/>
      <c r="AB29" s="105"/>
      <c r="AC29" s="44"/>
      <c r="AD29" s="59"/>
      <c r="AE29" s="59"/>
      <c r="AF29" s="98"/>
      <c r="AG29" s="105"/>
      <c r="AH29" s="96"/>
      <c r="AI29" s="105"/>
      <c r="AJ29" s="59"/>
      <c r="AK29" s="59"/>
      <c r="AL29" s="105"/>
      <c r="AM29" s="44"/>
      <c r="AN29" s="59"/>
      <c r="AO29" s="59"/>
      <c r="AP29" s="112"/>
      <c r="AQ29" s="59"/>
      <c r="AR29" s="96"/>
      <c r="AS29" s="105"/>
      <c r="AT29" s="59"/>
      <c r="AU29" s="59"/>
      <c r="AV29" s="105"/>
      <c r="AW29" s="106"/>
      <c r="AX29" s="59"/>
      <c r="AY29" s="59"/>
      <c r="AZ29" s="93">
        <v>10</v>
      </c>
      <c r="BA29" s="59"/>
      <c r="BB29" s="96"/>
      <c r="BC29" s="105"/>
      <c r="BD29" s="59"/>
      <c r="BE29" s="59"/>
      <c r="BF29" s="105"/>
      <c r="BG29" s="44"/>
      <c r="BH29" s="105"/>
      <c r="BI29" s="59"/>
      <c r="BJ29" s="100"/>
      <c r="BK29" s="105"/>
      <c r="BL29" s="96"/>
      <c r="BM29" s="105"/>
      <c r="BN29" s="59"/>
      <c r="BO29" s="59"/>
      <c r="BP29" s="105"/>
      <c r="BQ29" s="44"/>
      <c r="BR29" s="59"/>
      <c r="BS29" s="59"/>
      <c r="BT29" s="101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36</v>
      </c>
      <c r="J30" s="58">
        <v>0</v>
      </c>
      <c r="K30" s="59"/>
      <c r="L30" s="206">
        <v>16</v>
      </c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>
        <v>20</v>
      </c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si="0"/>
        <v>878</v>
      </c>
      <c r="J31" s="58">
        <v>0</v>
      </c>
      <c r="K31" s="59"/>
      <c r="L31" s="206">
        <v>90</v>
      </c>
      <c r="M31" s="59"/>
      <c r="N31" s="96"/>
      <c r="O31" s="59"/>
      <c r="P31" s="59"/>
      <c r="Q31" s="59"/>
      <c r="R31" s="59"/>
      <c r="S31" s="44"/>
      <c r="T31" s="59"/>
      <c r="U31" s="59"/>
      <c r="V31" s="191">
        <v>305</v>
      </c>
      <c r="W31" s="59"/>
      <c r="X31" s="96"/>
      <c r="Y31" s="59"/>
      <c r="Z31" s="59"/>
      <c r="AA31" s="59"/>
      <c r="AB31" s="59"/>
      <c r="AC31" s="44"/>
      <c r="AD31" s="59"/>
      <c r="AE31" s="59"/>
      <c r="AF31" s="254">
        <v>83</v>
      </c>
      <c r="AG31" s="59"/>
      <c r="AH31" s="96"/>
      <c r="AI31" s="59"/>
      <c r="AJ31" s="59"/>
      <c r="AK31" s="59"/>
      <c r="AL31" s="59"/>
      <c r="AM31" s="44"/>
      <c r="AN31" s="59"/>
      <c r="AO31" s="59"/>
      <c r="AP31" s="194">
        <v>80</v>
      </c>
      <c r="AQ31" s="59"/>
      <c r="AR31" s="96"/>
      <c r="AS31" s="59"/>
      <c r="AT31" s="59"/>
      <c r="AU31" s="59"/>
      <c r="AV31" s="59"/>
      <c r="AW31" s="44"/>
      <c r="AX31" s="59"/>
      <c r="AY31" s="59"/>
      <c r="AZ31" s="263">
        <v>120</v>
      </c>
      <c r="BA31" s="59"/>
      <c r="BB31" s="96"/>
      <c r="BC31" s="59"/>
      <c r="BD31" s="59"/>
      <c r="BE31" s="59"/>
      <c r="BF31" s="59"/>
      <c r="BG31" s="44"/>
      <c r="BH31" s="59"/>
      <c r="BI31" s="59"/>
      <c r="BJ31" s="187">
        <v>200</v>
      </c>
      <c r="BK31" s="59"/>
      <c r="BL31" s="96"/>
      <c r="BM31" s="59"/>
      <c r="BN31" s="59"/>
      <c r="BO31" s="59"/>
      <c r="BP31" s="59"/>
      <c r="BQ31" s="44"/>
      <c r="BR31" s="59"/>
      <c r="BS31" s="59"/>
      <c r="BT31" s="256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67" t="s">
        <v>202</v>
      </c>
      <c r="E32" s="169" t="s">
        <v>203</v>
      </c>
      <c r="F32" s="169"/>
      <c r="G32" s="183"/>
      <c r="H32" s="184">
        <v>0</v>
      </c>
      <c r="I32" s="217">
        <f t="shared" si="0"/>
        <v>324</v>
      </c>
      <c r="J32" s="184">
        <v>0</v>
      </c>
      <c r="K32" s="185"/>
      <c r="L32" s="416"/>
      <c r="M32" s="221"/>
      <c r="N32" s="96"/>
      <c r="O32" s="59"/>
      <c r="P32" s="59"/>
      <c r="Q32" s="59"/>
      <c r="R32" s="59"/>
      <c r="S32" s="44"/>
      <c r="T32" s="59"/>
      <c r="U32" s="59"/>
      <c r="V32" s="411"/>
      <c r="W32" s="221"/>
      <c r="X32" s="96"/>
      <c r="Y32" s="59"/>
      <c r="Z32" s="59"/>
      <c r="AA32" s="59"/>
      <c r="AB32" s="59"/>
      <c r="AC32" s="44"/>
      <c r="AD32" s="59"/>
      <c r="AE32" s="59"/>
      <c r="AF32" s="412"/>
      <c r="AG32" s="221"/>
      <c r="AH32" s="96"/>
      <c r="AI32" s="59"/>
      <c r="AJ32" s="59"/>
      <c r="AK32" s="59"/>
      <c r="AL32" s="59"/>
      <c r="AM32" s="44"/>
      <c r="AN32" s="59"/>
      <c r="AO32" s="59"/>
      <c r="AP32" s="413"/>
      <c r="AQ32" s="221"/>
      <c r="AR32" s="96"/>
      <c r="AS32" s="59"/>
      <c r="AT32" s="59"/>
      <c r="AU32" s="59"/>
      <c r="AV32" s="59"/>
      <c r="AW32" s="44"/>
      <c r="AX32" s="59"/>
      <c r="AY32" s="59"/>
      <c r="AZ32" s="414">
        <v>324</v>
      </c>
      <c r="BA32" s="221"/>
      <c r="BB32" s="96"/>
      <c r="BC32" s="59"/>
      <c r="BD32" s="59"/>
      <c r="BE32" s="59"/>
      <c r="BF32" s="59"/>
      <c r="BG32" s="44"/>
      <c r="BH32" s="59"/>
      <c r="BI32" s="59"/>
      <c r="BJ32" s="415"/>
      <c r="BK32" s="221"/>
      <c r="BL32" s="96"/>
      <c r="BM32" s="59"/>
      <c r="BN32" s="59"/>
      <c r="BO32" s="59"/>
      <c r="BP32" s="59"/>
      <c r="BQ32" s="44"/>
      <c r="BR32" s="59"/>
      <c r="BS32" s="59"/>
      <c r="BT32" s="218"/>
      <c r="BU32" s="221"/>
      <c r="BV32" s="96"/>
      <c r="BW32" s="59"/>
      <c r="BX32" s="59"/>
      <c r="BY32" s="59"/>
      <c r="BZ32" s="59"/>
      <c r="CA32" s="44"/>
      <c r="CB32" s="59"/>
    </row>
    <row r="33" spans="1:80" s="42" customFormat="1" ht="26.25">
      <c r="A33" s="53">
        <v>2</v>
      </c>
      <c r="B33" s="56"/>
      <c r="C33" s="272">
        <v>1113088</v>
      </c>
      <c r="D33" s="273" t="s">
        <v>208</v>
      </c>
      <c r="E33" s="64" t="s">
        <v>170</v>
      </c>
      <c r="F33" s="54"/>
      <c r="G33" s="44"/>
      <c r="H33" s="58">
        <v>0</v>
      </c>
      <c r="I33" s="45">
        <f t="shared" si="0"/>
        <v>5901</v>
      </c>
      <c r="J33" s="58">
        <v>0</v>
      </c>
      <c r="K33" s="59"/>
      <c r="L33" s="196">
        <v>1257</v>
      </c>
      <c r="M33" s="59"/>
      <c r="N33" s="96"/>
      <c r="O33" s="59"/>
      <c r="P33" s="59"/>
      <c r="Q33" s="59"/>
      <c r="R33" s="59"/>
      <c r="S33" s="106"/>
      <c r="T33" s="59"/>
      <c r="U33" s="59"/>
      <c r="V33" s="225">
        <v>1125</v>
      </c>
      <c r="W33" s="59"/>
      <c r="X33" s="96"/>
      <c r="Y33" s="59"/>
      <c r="Z33" s="59"/>
      <c r="AA33" s="59"/>
      <c r="AB33" s="59"/>
      <c r="AC33" s="44"/>
      <c r="AD33" s="59"/>
      <c r="AE33" s="59"/>
      <c r="AF33" s="255">
        <v>739</v>
      </c>
      <c r="AG33" s="59"/>
      <c r="AH33" s="96"/>
      <c r="AI33" s="59"/>
      <c r="AJ33" s="59"/>
      <c r="AK33" s="59"/>
      <c r="AL33" s="59"/>
      <c r="AM33" s="106"/>
      <c r="AN33" s="59"/>
      <c r="AO33" s="59"/>
      <c r="AP33" s="261">
        <v>849</v>
      </c>
      <c r="AQ33" s="59"/>
      <c r="AR33" s="96"/>
      <c r="AS33" s="59"/>
      <c r="AT33" s="59"/>
      <c r="AU33" s="59"/>
      <c r="AV33" s="59"/>
      <c r="AW33" s="44"/>
      <c r="AX33" s="59"/>
      <c r="AY33" s="59"/>
      <c r="AZ33" s="190">
        <v>1031</v>
      </c>
      <c r="BA33" s="59"/>
      <c r="BB33" s="96"/>
      <c r="BC33" s="59"/>
      <c r="BD33" s="59"/>
      <c r="BE33" s="59"/>
      <c r="BF33" s="59"/>
      <c r="BG33" s="106"/>
      <c r="BH33" s="59"/>
      <c r="BI33" s="59"/>
      <c r="BJ33" s="187">
        <v>900</v>
      </c>
      <c r="BK33" s="59"/>
      <c r="BL33" s="96"/>
      <c r="BM33" s="59"/>
      <c r="BN33" s="59"/>
      <c r="BO33" s="59"/>
      <c r="BP33" s="59"/>
      <c r="BQ33" s="44"/>
      <c r="BR33" s="59"/>
      <c r="BS33" s="59"/>
      <c r="BT33" s="256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168">
        <v>2</v>
      </c>
      <c r="B34" s="170"/>
      <c r="C34" s="169">
        <v>1113155</v>
      </c>
      <c r="D34" s="267" t="s">
        <v>214</v>
      </c>
      <c r="E34" s="54" t="s">
        <v>31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11"/>
      <c r="M34" s="59"/>
      <c r="N34" s="96"/>
      <c r="O34" s="105"/>
      <c r="P34" s="59"/>
      <c r="Q34" s="59"/>
      <c r="R34" s="105"/>
      <c r="S34" s="106"/>
      <c r="T34" s="59"/>
      <c r="U34" s="105"/>
      <c r="V34" s="97"/>
      <c r="W34" s="59"/>
      <c r="X34" s="96"/>
      <c r="Y34" s="105"/>
      <c r="Z34" s="59"/>
      <c r="AA34" s="59"/>
      <c r="AB34" s="105"/>
      <c r="AC34" s="44"/>
      <c r="AD34" s="59"/>
      <c r="AE34" s="59"/>
      <c r="AF34" s="98"/>
      <c r="AG34" s="105"/>
      <c r="AH34" s="96"/>
      <c r="AI34" s="105"/>
      <c r="AJ34" s="59"/>
      <c r="AK34" s="59"/>
      <c r="AL34" s="105"/>
      <c r="AM34" s="44"/>
      <c r="AN34" s="59"/>
      <c r="AO34" s="59"/>
      <c r="AP34" s="112"/>
      <c r="AQ34" s="59"/>
      <c r="AR34" s="96"/>
      <c r="AS34" s="105"/>
      <c r="AT34" s="59"/>
      <c r="AU34" s="59"/>
      <c r="AV34" s="105"/>
      <c r="AW34" s="106"/>
      <c r="AX34" s="59"/>
      <c r="AY34" s="59"/>
      <c r="AZ34" s="103"/>
      <c r="BA34" s="59"/>
      <c r="BB34" s="96"/>
      <c r="BC34" s="105"/>
      <c r="BD34" s="59"/>
      <c r="BE34" s="59"/>
      <c r="BF34" s="105"/>
      <c r="BG34" s="44"/>
      <c r="BH34" s="105"/>
      <c r="BI34" s="59"/>
      <c r="BJ34" s="100"/>
      <c r="BK34" s="105"/>
      <c r="BL34" s="96"/>
      <c r="BM34" s="105"/>
      <c r="BN34" s="59"/>
      <c r="BO34" s="59"/>
      <c r="BP34" s="105"/>
      <c r="BQ34" s="44"/>
      <c r="BR34" s="59"/>
      <c r="BS34" s="59"/>
      <c r="BT34" s="101"/>
      <c r="BU34" s="59"/>
      <c r="BV34" s="96"/>
      <c r="BW34" s="105"/>
      <c r="BX34" s="59"/>
      <c r="BY34" s="59"/>
      <c r="BZ34" s="105"/>
      <c r="CA34" s="44"/>
      <c r="CB34" s="59"/>
    </row>
    <row r="35" spans="1:80" ht="26.25" hidden="1">
      <c r="A35" s="336">
        <v>3</v>
      </c>
      <c r="B35" s="337"/>
      <c r="C35" s="338">
        <v>20053132</v>
      </c>
      <c r="D35" s="339" t="s">
        <v>427</v>
      </c>
      <c r="E35" s="338" t="s">
        <v>69</v>
      </c>
      <c r="F35" s="338"/>
      <c r="G35" s="340"/>
      <c r="H35" s="341">
        <v>0</v>
      </c>
      <c r="I35" s="342">
        <f t="shared" si="0"/>
        <v>9280</v>
      </c>
      <c r="J35" s="341">
        <v>0</v>
      </c>
      <c r="K35" s="343"/>
      <c r="L35" s="344">
        <v>1460</v>
      </c>
      <c r="M35" s="59"/>
      <c r="N35" s="96"/>
      <c r="O35" s="59"/>
      <c r="P35" s="59"/>
      <c r="Q35" s="59"/>
      <c r="R35" s="59"/>
      <c r="S35" s="106"/>
      <c r="T35" s="59"/>
      <c r="U35" s="59"/>
      <c r="V35" s="345">
        <v>1300</v>
      </c>
      <c r="W35" s="59"/>
      <c r="X35" s="96"/>
      <c r="Y35" s="59"/>
      <c r="Z35" s="59"/>
      <c r="AA35" s="59"/>
      <c r="AB35" s="59"/>
      <c r="AC35" s="106"/>
      <c r="AD35" s="59"/>
      <c r="AE35" s="59"/>
      <c r="AF35" s="346">
        <v>1300</v>
      </c>
      <c r="AG35" s="59"/>
      <c r="AH35" s="96"/>
      <c r="AI35" s="59"/>
      <c r="AJ35" s="59"/>
      <c r="AK35" s="59"/>
      <c r="AL35" s="59"/>
      <c r="AM35" s="106"/>
      <c r="AN35" s="59"/>
      <c r="AO35" s="59"/>
      <c r="AP35" s="347">
        <v>1700</v>
      </c>
      <c r="AQ35" s="59"/>
      <c r="AR35" s="96"/>
      <c r="AS35" s="59"/>
      <c r="AT35" s="59"/>
      <c r="AU35" s="59"/>
      <c r="AV35" s="59"/>
      <c r="AW35" s="106"/>
      <c r="AX35" s="59"/>
      <c r="AY35" s="59"/>
      <c r="AZ35" s="348">
        <v>1820</v>
      </c>
      <c r="BA35" s="59"/>
      <c r="BB35" s="96"/>
      <c r="BC35" s="59"/>
      <c r="BD35" s="59"/>
      <c r="BE35" s="59"/>
      <c r="BF35" s="59"/>
      <c r="BG35" s="106"/>
      <c r="BH35" s="59"/>
      <c r="BI35" s="59"/>
      <c r="BJ35" s="349">
        <v>1700</v>
      </c>
      <c r="BK35" s="59"/>
      <c r="BL35" s="96"/>
      <c r="BM35" s="59"/>
      <c r="BN35" s="59"/>
      <c r="BO35" s="59"/>
      <c r="BP35" s="59"/>
      <c r="BQ35" s="106"/>
      <c r="BR35" s="59"/>
      <c r="BS35" s="59"/>
      <c r="BT35" s="350"/>
      <c r="BU35" s="59"/>
      <c r="BV35" s="96"/>
      <c r="BW35" s="59"/>
      <c r="BX35" s="59"/>
      <c r="BY35" s="59"/>
      <c r="BZ35" s="59"/>
      <c r="CA35" s="44"/>
      <c r="CB35" s="59"/>
    </row>
    <row r="36" spans="1:80" ht="26.25" hidden="1">
      <c r="A36" s="336">
        <v>4</v>
      </c>
      <c r="B36" s="337"/>
      <c r="C36" s="338">
        <v>20063379</v>
      </c>
      <c r="D36" s="339" t="s">
        <v>428</v>
      </c>
      <c r="E36" s="338" t="s">
        <v>69</v>
      </c>
      <c r="F36" s="338"/>
      <c r="G36" s="340"/>
      <c r="H36" s="341">
        <v>0</v>
      </c>
      <c r="I36" s="342">
        <f t="shared" si="0"/>
        <v>20836</v>
      </c>
      <c r="J36" s="341">
        <v>0</v>
      </c>
      <c r="K36" s="343"/>
      <c r="L36" s="344">
        <v>2700</v>
      </c>
      <c r="M36" s="59"/>
      <c r="N36" s="96"/>
      <c r="O36" s="59"/>
      <c r="P36" s="59"/>
      <c r="Q36" s="59"/>
      <c r="R36" s="59"/>
      <c r="S36" s="106"/>
      <c r="T36" s="59"/>
      <c r="U36" s="59"/>
      <c r="V36" s="345">
        <v>2916</v>
      </c>
      <c r="W36" s="59"/>
      <c r="X36" s="96"/>
      <c r="Y36" s="59"/>
      <c r="Z36" s="59"/>
      <c r="AA36" s="59"/>
      <c r="AB36" s="59"/>
      <c r="AC36" s="106"/>
      <c r="AD36" s="59"/>
      <c r="AE36" s="59"/>
      <c r="AF36" s="346">
        <v>3024</v>
      </c>
      <c r="AG36" s="59"/>
      <c r="AH36" s="96"/>
      <c r="AI36" s="59"/>
      <c r="AJ36" s="59"/>
      <c r="AK36" s="59"/>
      <c r="AL36" s="59"/>
      <c r="AM36" s="106"/>
      <c r="AN36" s="59"/>
      <c r="AO36" s="59"/>
      <c r="AP36" s="347">
        <v>3312</v>
      </c>
      <c r="AQ36" s="59"/>
      <c r="AR36" s="96"/>
      <c r="AS36" s="59"/>
      <c r="AT36" s="59"/>
      <c r="AU36" s="59"/>
      <c r="AV36" s="59"/>
      <c r="AW36" s="106"/>
      <c r="AX36" s="59"/>
      <c r="AY36" s="59"/>
      <c r="AZ36" s="348">
        <v>2484</v>
      </c>
      <c r="BA36" s="59"/>
      <c r="BB36" s="96"/>
      <c r="BC36" s="59"/>
      <c r="BD36" s="59"/>
      <c r="BE36" s="59"/>
      <c r="BF36" s="59"/>
      <c r="BG36" s="106"/>
      <c r="BH36" s="59"/>
      <c r="BI36" s="59"/>
      <c r="BJ36" s="349">
        <v>3200</v>
      </c>
      <c r="BK36" s="59"/>
      <c r="BL36" s="96"/>
      <c r="BM36" s="59"/>
      <c r="BN36" s="59"/>
      <c r="BO36" s="59"/>
      <c r="BP36" s="59"/>
      <c r="BQ36" s="106"/>
      <c r="BR36" s="59"/>
      <c r="BS36" s="59"/>
      <c r="BT36" s="350">
        <v>3200</v>
      </c>
      <c r="BU36" s="59"/>
      <c r="BV36" s="96"/>
      <c r="BW36" s="59"/>
      <c r="BX36" s="59"/>
      <c r="BY36" s="59"/>
      <c r="BZ36" s="59"/>
      <c r="CA36" s="44"/>
      <c r="CB36" s="59"/>
    </row>
    <row r="37" spans="1:80" ht="26.25" hidden="1">
      <c r="A37" s="336">
        <v>5</v>
      </c>
      <c r="B37" s="337"/>
      <c r="C37" s="338">
        <v>20060015</v>
      </c>
      <c r="D37" s="339" t="s">
        <v>429</v>
      </c>
      <c r="E37" s="338" t="s">
        <v>69</v>
      </c>
      <c r="F37" s="338"/>
      <c r="G37" s="340"/>
      <c r="H37" s="341">
        <v>0</v>
      </c>
      <c r="I37" s="342">
        <f t="shared" si="0"/>
        <v>14400</v>
      </c>
      <c r="J37" s="341">
        <v>0</v>
      </c>
      <c r="K37" s="343"/>
      <c r="L37" s="344">
        <v>2016</v>
      </c>
      <c r="M37" s="59"/>
      <c r="N37" s="96"/>
      <c r="O37" s="105"/>
      <c r="P37" s="59"/>
      <c r="Q37" s="59"/>
      <c r="R37" s="105"/>
      <c r="S37" s="106"/>
      <c r="T37" s="59"/>
      <c r="U37" s="105"/>
      <c r="V37" s="345">
        <v>2016</v>
      </c>
      <c r="W37" s="59"/>
      <c r="X37" s="96"/>
      <c r="Y37" s="105"/>
      <c r="Z37" s="59"/>
      <c r="AA37" s="59"/>
      <c r="AB37" s="105"/>
      <c r="AC37" s="106"/>
      <c r="AD37" s="59"/>
      <c r="AE37" s="59"/>
      <c r="AF37" s="346">
        <v>2232</v>
      </c>
      <c r="AG37" s="105"/>
      <c r="AH37" s="96"/>
      <c r="AI37" s="105"/>
      <c r="AJ37" s="59"/>
      <c r="AK37" s="59"/>
      <c r="AL37" s="105"/>
      <c r="AM37" s="106"/>
      <c r="AN37" s="59"/>
      <c r="AO37" s="59"/>
      <c r="AP37" s="347">
        <v>2160</v>
      </c>
      <c r="AQ37" s="59"/>
      <c r="AR37" s="96"/>
      <c r="AS37" s="105"/>
      <c r="AT37" s="59"/>
      <c r="AU37" s="59"/>
      <c r="AV37" s="105"/>
      <c r="AW37" s="106"/>
      <c r="AX37" s="59"/>
      <c r="AY37" s="59"/>
      <c r="AZ37" s="348">
        <v>1476</v>
      </c>
      <c r="BA37" s="59"/>
      <c r="BB37" s="96"/>
      <c r="BC37" s="105"/>
      <c r="BD37" s="59"/>
      <c r="BE37" s="59"/>
      <c r="BF37" s="105"/>
      <c r="BG37" s="106"/>
      <c r="BH37" s="105"/>
      <c r="BI37" s="59"/>
      <c r="BJ37" s="349">
        <v>2500</v>
      </c>
      <c r="BK37" s="105"/>
      <c r="BL37" s="96"/>
      <c r="BM37" s="105"/>
      <c r="BN37" s="59"/>
      <c r="BO37" s="59"/>
      <c r="BP37" s="105"/>
      <c r="BQ37" s="106"/>
      <c r="BR37" s="59"/>
      <c r="BS37" s="59"/>
      <c r="BT37" s="350">
        <v>2000</v>
      </c>
      <c r="BU37" s="59"/>
      <c r="BV37" s="96"/>
      <c r="BW37" s="105"/>
      <c r="BX37" s="59"/>
      <c r="BY37" s="59"/>
      <c r="BZ37" s="105"/>
      <c r="CA37" s="44"/>
      <c r="CB37" s="59"/>
    </row>
    <row r="38" spans="1:80" ht="26.25" hidden="1">
      <c r="A38" s="336">
        <v>6</v>
      </c>
      <c r="B38" s="337"/>
      <c r="C38" s="338">
        <v>20063378</v>
      </c>
      <c r="D38" s="339" t="s">
        <v>430</v>
      </c>
      <c r="E38" s="338" t="s">
        <v>69</v>
      </c>
      <c r="F38" s="338"/>
      <c r="G38" s="340"/>
      <c r="H38" s="341">
        <v>0</v>
      </c>
      <c r="I38" s="342">
        <f t="shared" si="0"/>
        <v>19508</v>
      </c>
      <c r="J38" s="341">
        <v>0</v>
      </c>
      <c r="K38" s="343"/>
      <c r="L38" s="344">
        <v>2624</v>
      </c>
      <c r="M38" s="59"/>
      <c r="N38" s="96"/>
      <c r="O38" s="105"/>
      <c r="P38" s="59"/>
      <c r="Q38" s="59"/>
      <c r="R38" s="105"/>
      <c r="S38" s="106"/>
      <c r="T38" s="59"/>
      <c r="U38" s="105"/>
      <c r="V38" s="345">
        <v>3072</v>
      </c>
      <c r="W38" s="59"/>
      <c r="X38" s="96"/>
      <c r="Y38" s="105"/>
      <c r="Z38" s="59"/>
      <c r="AA38" s="59"/>
      <c r="AB38" s="105"/>
      <c r="AC38" s="106"/>
      <c r="AD38" s="59"/>
      <c r="AE38" s="59"/>
      <c r="AF38" s="346">
        <v>3008</v>
      </c>
      <c r="AG38" s="105"/>
      <c r="AH38" s="96"/>
      <c r="AI38" s="105"/>
      <c r="AJ38" s="59"/>
      <c r="AK38" s="59"/>
      <c r="AL38" s="105"/>
      <c r="AM38" s="106"/>
      <c r="AN38" s="59"/>
      <c r="AO38" s="59"/>
      <c r="AP38" s="347">
        <v>3904</v>
      </c>
      <c r="AQ38" s="59"/>
      <c r="AR38" s="96"/>
      <c r="AS38" s="105"/>
      <c r="AT38" s="59"/>
      <c r="AU38" s="59"/>
      <c r="AV38" s="105"/>
      <c r="AW38" s="106"/>
      <c r="AX38" s="59"/>
      <c r="AY38" s="59"/>
      <c r="AZ38" s="348">
        <v>3200</v>
      </c>
      <c r="BA38" s="59"/>
      <c r="BB38" s="96"/>
      <c r="BC38" s="105"/>
      <c r="BD38" s="59"/>
      <c r="BE38" s="59"/>
      <c r="BF38" s="105"/>
      <c r="BG38" s="106"/>
      <c r="BH38" s="105"/>
      <c r="BI38" s="59"/>
      <c r="BJ38" s="349">
        <v>3700</v>
      </c>
      <c r="BK38" s="105"/>
      <c r="BL38" s="96"/>
      <c r="BM38" s="105"/>
      <c r="BN38" s="59"/>
      <c r="BO38" s="59"/>
      <c r="BP38" s="105"/>
      <c r="BQ38" s="106"/>
      <c r="BR38" s="59"/>
      <c r="BS38" s="59"/>
      <c r="BT38" s="350"/>
      <c r="BU38" s="59"/>
      <c r="BV38" s="96"/>
      <c r="BW38" s="105"/>
      <c r="BX38" s="59"/>
      <c r="BY38" s="59"/>
      <c r="BZ38" s="105"/>
      <c r="CA38" s="44"/>
      <c r="CB38" s="59"/>
    </row>
    <row r="39" spans="1:80" s="42" customFormat="1" ht="26.25">
      <c r="A39" s="53">
        <v>7</v>
      </c>
      <c r="B39" s="56"/>
      <c r="C39" s="294">
        <v>1113148</v>
      </c>
      <c r="D39" s="295" t="s">
        <v>348</v>
      </c>
      <c r="E39" s="64" t="s">
        <v>42</v>
      </c>
      <c r="F39" s="54"/>
      <c r="G39" s="44"/>
      <c r="H39" s="58">
        <v>0</v>
      </c>
      <c r="I39" s="45">
        <f t="shared" si="0"/>
        <v>0</v>
      </c>
      <c r="J39" s="58">
        <v>0</v>
      </c>
      <c r="K39" s="59"/>
      <c r="L39" s="192"/>
      <c r="M39" s="59"/>
      <c r="N39" s="96"/>
      <c r="O39" s="59"/>
      <c r="P39" s="59"/>
      <c r="Q39" s="59"/>
      <c r="R39" s="59"/>
      <c r="S39" s="44"/>
      <c r="T39" s="59"/>
      <c r="U39" s="59"/>
      <c r="V39" s="191"/>
      <c r="W39" s="59"/>
      <c r="X39" s="96"/>
      <c r="Y39" s="59"/>
      <c r="Z39" s="59"/>
      <c r="AA39" s="59"/>
      <c r="AB39" s="59"/>
      <c r="AC39" s="44"/>
      <c r="AD39" s="59"/>
      <c r="AE39" s="59"/>
      <c r="AF39" s="193"/>
      <c r="AG39" s="59"/>
      <c r="AH39" s="96"/>
      <c r="AI39" s="59"/>
      <c r="AJ39" s="59"/>
      <c r="AK39" s="59"/>
      <c r="AL39" s="59"/>
      <c r="AM39" s="44"/>
      <c r="AN39" s="59"/>
      <c r="AO39" s="59"/>
      <c r="AP39" s="194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6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>
      <c r="A40" s="53">
        <v>8</v>
      </c>
      <c r="B40" s="68"/>
      <c r="C40" s="296">
        <v>1113149</v>
      </c>
      <c r="D40" s="297" t="s">
        <v>349</v>
      </c>
      <c r="E40" s="64" t="s">
        <v>42</v>
      </c>
      <c r="F40" s="54"/>
      <c r="G40" s="44"/>
      <c r="H40" s="58">
        <v>0</v>
      </c>
      <c r="I40" s="45">
        <f t="shared" si="0"/>
        <v>0</v>
      </c>
      <c r="J40" s="58">
        <v>0</v>
      </c>
      <c r="K40" s="59"/>
      <c r="L40" s="192"/>
      <c r="M40" s="59"/>
      <c r="N40" s="96"/>
      <c r="O40" s="59"/>
      <c r="P40" s="59"/>
      <c r="Q40" s="59"/>
      <c r="R40" s="59"/>
      <c r="S40" s="44"/>
      <c r="T40" s="59"/>
      <c r="U40" s="59"/>
      <c r="V40" s="191"/>
      <c r="W40" s="59"/>
      <c r="X40" s="96"/>
      <c r="Y40" s="59"/>
      <c r="Z40" s="59"/>
      <c r="AA40" s="59"/>
      <c r="AB40" s="59"/>
      <c r="AC40" s="44"/>
      <c r="AD40" s="59"/>
      <c r="AE40" s="59"/>
      <c r="AF40" s="193"/>
      <c r="AG40" s="59"/>
      <c r="AH40" s="96"/>
      <c r="AI40" s="59"/>
      <c r="AJ40" s="59"/>
      <c r="AK40" s="59"/>
      <c r="AL40" s="59"/>
      <c r="AM40" s="44"/>
      <c r="AN40" s="59"/>
      <c r="AO40" s="59"/>
      <c r="AP40" s="194"/>
      <c r="AQ40" s="59"/>
      <c r="AR40" s="96"/>
      <c r="AS40" s="59"/>
      <c r="AT40" s="59"/>
      <c r="AU40" s="59"/>
      <c r="AV40" s="59"/>
      <c r="AW40" s="44"/>
      <c r="AX40" s="59"/>
      <c r="AY40" s="59"/>
      <c r="AZ40" s="181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6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>
      <c r="A41" s="53">
        <v>9</v>
      </c>
      <c r="B41" s="77"/>
      <c r="C41" s="277">
        <v>1113192</v>
      </c>
      <c r="D41" s="278" t="s">
        <v>476</v>
      </c>
      <c r="E41" s="142" t="s">
        <v>42</v>
      </c>
      <c r="F41" s="76"/>
      <c r="G41" s="118"/>
      <c r="H41" s="58">
        <v>0</v>
      </c>
      <c r="I41" s="45">
        <f t="shared" si="0"/>
        <v>5607</v>
      </c>
      <c r="J41" s="58">
        <v>0</v>
      </c>
      <c r="K41" s="59"/>
      <c r="L41" s="195">
        <v>1155</v>
      </c>
      <c r="M41" s="59"/>
      <c r="N41" s="96"/>
      <c r="O41" s="59"/>
      <c r="P41" s="59"/>
      <c r="Q41" s="59"/>
      <c r="R41" s="59"/>
      <c r="S41" s="106"/>
      <c r="T41" s="59"/>
      <c r="U41" s="59"/>
      <c r="V41" s="191">
        <v>1007</v>
      </c>
      <c r="W41" s="59"/>
      <c r="X41" s="96"/>
      <c r="Y41" s="59"/>
      <c r="Z41" s="59"/>
      <c r="AA41" s="59"/>
      <c r="AB41" s="59"/>
      <c r="AC41" s="44"/>
      <c r="AD41" s="59"/>
      <c r="AE41" s="59"/>
      <c r="AF41" s="526">
        <v>811</v>
      </c>
      <c r="AG41" s="59"/>
      <c r="AH41" s="96"/>
      <c r="AI41" s="59"/>
      <c r="AJ41" s="59"/>
      <c r="AK41" s="59"/>
      <c r="AL41" s="59"/>
      <c r="AM41" s="106"/>
      <c r="AN41" s="59"/>
      <c r="AO41" s="59"/>
      <c r="AP41" s="261">
        <v>768</v>
      </c>
      <c r="AQ41" s="59"/>
      <c r="AR41" s="96"/>
      <c r="AS41" s="59"/>
      <c r="AT41" s="59"/>
      <c r="AU41" s="59"/>
      <c r="AV41" s="59"/>
      <c r="AW41" s="44"/>
      <c r="AX41" s="59"/>
      <c r="AY41" s="59"/>
      <c r="AZ41" s="527">
        <v>966</v>
      </c>
      <c r="BA41" s="59"/>
      <c r="BB41" s="96"/>
      <c r="BC41" s="59"/>
      <c r="BD41" s="59"/>
      <c r="BE41" s="59"/>
      <c r="BF41" s="59"/>
      <c r="BG41" s="106"/>
      <c r="BH41" s="59"/>
      <c r="BI41" s="59"/>
      <c r="BJ41" s="187">
        <v>900</v>
      </c>
      <c r="BK41" s="59"/>
      <c r="BL41" s="96"/>
      <c r="BM41" s="59"/>
      <c r="BN41" s="59"/>
      <c r="BO41" s="59"/>
      <c r="BP41" s="59"/>
      <c r="BQ41" s="44"/>
      <c r="BR41" s="59"/>
      <c r="BS41" s="59"/>
      <c r="BT41" s="256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6.25">
      <c r="A42" s="53">
        <v>10</v>
      </c>
      <c r="B42" s="56"/>
      <c r="C42" s="270">
        <v>1113194</v>
      </c>
      <c r="D42" s="271" t="s">
        <v>475</v>
      </c>
      <c r="E42" s="64" t="s">
        <v>42</v>
      </c>
      <c r="F42" s="54"/>
      <c r="G42" s="44"/>
      <c r="H42" s="58">
        <v>0</v>
      </c>
      <c r="I42" s="45">
        <f t="shared" si="0"/>
        <v>5780</v>
      </c>
      <c r="J42" s="58">
        <v>0</v>
      </c>
      <c r="K42" s="59"/>
      <c r="L42" s="196">
        <v>1274</v>
      </c>
      <c r="M42" s="59"/>
      <c r="N42" s="96"/>
      <c r="O42" s="59"/>
      <c r="P42" s="59"/>
      <c r="Q42" s="59"/>
      <c r="R42" s="105"/>
      <c r="S42" s="106"/>
      <c r="T42" s="59"/>
      <c r="U42" s="59"/>
      <c r="V42" s="225">
        <v>1073</v>
      </c>
      <c r="W42" s="59"/>
      <c r="X42" s="96"/>
      <c r="Y42" s="59"/>
      <c r="Z42" s="59"/>
      <c r="AA42" s="59"/>
      <c r="AB42" s="105"/>
      <c r="AC42" s="44"/>
      <c r="AD42" s="59"/>
      <c r="AE42" s="59"/>
      <c r="AF42" s="255">
        <v>773</v>
      </c>
      <c r="AG42" s="105"/>
      <c r="AH42" s="96"/>
      <c r="AI42" s="59"/>
      <c r="AJ42" s="59"/>
      <c r="AK42" s="59"/>
      <c r="AL42" s="105"/>
      <c r="AM42" s="106"/>
      <c r="AN42" s="59"/>
      <c r="AO42" s="59"/>
      <c r="AP42" s="261">
        <v>766</v>
      </c>
      <c r="AQ42" s="59"/>
      <c r="AR42" s="96"/>
      <c r="AS42" s="59"/>
      <c r="AT42" s="59"/>
      <c r="AU42" s="59"/>
      <c r="AV42" s="105"/>
      <c r="AW42" s="44"/>
      <c r="AX42" s="59"/>
      <c r="AY42" s="59"/>
      <c r="AZ42" s="190">
        <v>994</v>
      </c>
      <c r="BA42" s="59"/>
      <c r="BB42" s="96"/>
      <c r="BC42" s="59"/>
      <c r="BD42" s="59"/>
      <c r="BE42" s="59"/>
      <c r="BF42" s="105"/>
      <c r="BG42" s="106"/>
      <c r="BH42" s="105"/>
      <c r="BI42" s="59"/>
      <c r="BJ42" s="187">
        <v>900</v>
      </c>
      <c r="BK42" s="59"/>
      <c r="BL42" s="96"/>
      <c r="BM42" s="59"/>
      <c r="BN42" s="59"/>
      <c r="BO42" s="59"/>
      <c r="BP42" s="105"/>
      <c r="BQ42" s="44"/>
      <c r="BR42" s="59"/>
      <c r="BS42" s="59"/>
      <c r="BT42" s="256"/>
      <c r="BU42" s="59"/>
      <c r="BV42" s="96"/>
      <c r="BW42" s="59"/>
      <c r="BX42" s="59"/>
      <c r="BY42" s="59"/>
      <c r="BZ42" s="105"/>
      <c r="CA42" s="44"/>
      <c r="CB42" s="59"/>
    </row>
    <row r="43" spans="1:80" s="42" customFormat="1" ht="29.25" hidden="1">
      <c r="A43" s="53">
        <v>1</v>
      </c>
      <c r="B43" s="68"/>
      <c r="C43" s="197">
        <v>1001001087</v>
      </c>
      <c r="D43" s="198" t="s">
        <v>376</v>
      </c>
      <c r="E43" s="199" t="s">
        <v>377</v>
      </c>
      <c r="F43" s="199"/>
      <c r="G43" s="200"/>
      <c r="H43" s="201">
        <v>0</v>
      </c>
      <c r="I43" s="63">
        <f t="shared" ref="I43:I50" si="1">SUM(L43,V43,AF43,AP43,AZ43,BJ43,BT43)</f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1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105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2</v>
      </c>
      <c r="B44" s="68"/>
      <c r="C44" s="197">
        <v>1001001088</v>
      </c>
      <c r="D44" s="198" t="s">
        <v>378</v>
      </c>
      <c r="E44" s="199" t="s">
        <v>377</v>
      </c>
      <c r="F44" s="199"/>
      <c r="G44" s="200"/>
      <c r="H44" s="201">
        <v>0</v>
      </c>
      <c r="I44" s="63">
        <f t="shared" si="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3</v>
      </c>
      <c r="B45" s="68"/>
      <c r="C45" s="197">
        <v>1001001089</v>
      </c>
      <c r="D45" s="198" t="s">
        <v>379</v>
      </c>
      <c r="E45" s="199" t="s">
        <v>377</v>
      </c>
      <c r="F45" s="199"/>
      <c r="G45" s="200"/>
      <c r="H45" s="201">
        <v>0</v>
      </c>
      <c r="I45" s="63">
        <f t="shared" si="1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105"/>
      <c r="S45" s="44"/>
      <c r="T45" s="59"/>
      <c r="U45" s="59"/>
      <c r="V45" s="191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4</v>
      </c>
      <c r="B46" s="68"/>
      <c r="C46" s="197">
        <v>1001001111</v>
      </c>
      <c r="D46" s="198" t="s">
        <v>381</v>
      </c>
      <c r="E46" s="199" t="s">
        <v>377</v>
      </c>
      <c r="F46" s="199"/>
      <c r="G46" s="200"/>
      <c r="H46" s="201">
        <v>0</v>
      </c>
      <c r="I46" s="63">
        <f t="shared" si="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105"/>
      <c r="S46" s="106"/>
      <c r="T46" s="59"/>
      <c r="U46" s="59"/>
      <c r="V46" s="191"/>
      <c r="W46" s="59"/>
      <c r="X46" s="96"/>
      <c r="Y46" s="59"/>
      <c r="Z46" s="59"/>
      <c r="AA46" s="59"/>
      <c r="AB46" s="105"/>
      <c r="AC46" s="44"/>
      <c r="AD46" s="59"/>
      <c r="AE46" s="59"/>
      <c r="AF46" s="98"/>
      <c r="AG46" s="105"/>
      <c r="AH46" s="96"/>
      <c r="AI46" s="59"/>
      <c r="AJ46" s="59"/>
      <c r="AK46" s="59"/>
      <c r="AL46" s="105"/>
      <c r="AM46" s="44"/>
      <c r="AN46" s="59"/>
      <c r="AO46" s="59"/>
      <c r="AP46" s="99"/>
      <c r="AQ46" s="59"/>
      <c r="AR46" s="96"/>
      <c r="AS46" s="59"/>
      <c r="AT46" s="59"/>
      <c r="AU46" s="59"/>
      <c r="AV46" s="105"/>
      <c r="AW46" s="44"/>
      <c r="AX46" s="59"/>
      <c r="AY46" s="59"/>
      <c r="AZ46" s="103"/>
      <c r="BA46" s="59"/>
      <c r="BB46" s="96"/>
      <c r="BC46" s="59"/>
      <c r="BD46" s="59"/>
      <c r="BE46" s="59"/>
      <c r="BF46" s="105"/>
      <c r="BG46" s="44"/>
      <c r="BH46" s="105"/>
      <c r="BI46" s="59"/>
      <c r="BJ46" s="187"/>
      <c r="BK46" s="59"/>
      <c r="BL46" s="96"/>
      <c r="BM46" s="59"/>
      <c r="BN46" s="59"/>
      <c r="BO46" s="59"/>
      <c r="BP46" s="105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5</v>
      </c>
      <c r="B47" s="68"/>
      <c r="C47" s="197">
        <v>1001001112</v>
      </c>
      <c r="D47" s="198" t="s">
        <v>382</v>
      </c>
      <c r="E47" s="199" t="s">
        <v>377</v>
      </c>
      <c r="F47" s="199"/>
      <c r="G47" s="200"/>
      <c r="H47" s="201">
        <v>0</v>
      </c>
      <c r="I47" s="63">
        <f t="shared" si="1"/>
        <v>0</v>
      </c>
      <c r="J47" s="58">
        <v>0</v>
      </c>
      <c r="K47" s="59"/>
      <c r="L47" s="111"/>
      <c r="M47" s="59"/>
      <c r="N47" s="96"/>
      <c r="O47" s="59"/>
      <c r="P47" s="59"/>
      <c r="Q47" s="59"/>
      <c r="R47" s="59"/>
      <c r="S47" s="106"/>
      <c r="T47" s="59"/>
      <c r="U47" s="59"/>
      <c r="V47" s="191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6</v>
      </c>
      <c r="B48" s="68"/>
      <c r="C48" s="197">
        <v>1001001113</v>
      </c>
      <c r="D48" s="198" t="s">
        <v>383</v>
      </c>
      <c r="E48" s="199" t="s">
        <v>377</v>
      </c>
      <c r="F48" s="199"/>
      <c r="G48" s="200"/>
      <c r="H48" s="201">
        <v>0</v>
      </c>
      <c r="I48" s="63">
        <f t="shared" si="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1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3">
        <v>7</v>
      </c>
      <c r="B49" s="68"/>
      <c r="C49" s="197">
        <v>1001001114</v>
      </c>
      <c r="D49" s="198" t="s">
        <v>384</v>
      </c>
      <c r="E49" s="199" t="s">
        <v>377</v>
      </c>
      <c r="F49" s="199"/>
      <c r="G49" s="200"/>
      <c r="H49" s="201">
        <v>0</v>
      </c>
      <c r="I49" s="63">
        <f t="shared" si="1"/>
        <v>0</v>
      </c>
      <c r="J49" s="58">
        <v>0</v>
      </c>
      <c r="K49" s="59"/>
      <c r="L49" s="102"/>
      <c r="M49" s="59"/>
      <c r="N49" s="96"/>
      <c r="O49" s="59"/>
      <c r="P49" s="59"/>
      <c r="Q49" s="59"/>
      <c r="R49" s="59"/>
      <c r="S49" s="44"/>
      <c r="T49" s="59"/>
      <c r="U49" s="59"/>
      <c r="V49" s="191"/>
      <c r="W49" s="59"/>
      <c r="X49" s="96"/>
      <c r="Y49" s="59"/>
      <c r="Z49" s="59"/>
      <c r="AA49" s="59"/>
      <c r="AB49" s="59"/>
      <c r="AC49" s="44"/>
      <c r="AD49" s="59"/>
      <c r="AE49" s="59"/>
      <c r="AF49" s="98"/>
      <c r="AG49" s="59"/>
      <c r="AH49" s="96"/>
      <c r="AI49" s="59"/>
      <c r="AJ49" s="59"/>
      <c r="AK49" s="59"/>
      <c r="AL49" s="59"/>
      <c r="AM49" s="44"/>
      <c r="AN49" s="59"/>
      <c r="AO49" s="59"/>
      <c r="AP49" s="99"/>
      <c r="AQ49" s="59"/>
      <c r="AR49" s="96"/>
      <c r="AS49" s="59"/>
      <c r="AT49" s="59"/>
      <c r="AU49" s="59"/>
      <c r="AV49" s="59"/>
      <c r="AW49" s="44"/>
      <c r="AX49" s="59"/>
      <c r="AY49" s="59"/>
      <c r="AZ49" s="103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101"/>
      <c r="BU49" s="59"/>
      <c r="BV49" s="96"/>
      <c r="BW49" s="59"/>
      <c r="BX49" s="59"/>
      <c r="BY49" s="59"/>
      <c r="BZ49" s="59"/>
      <c r="CA49" s="44"/>
      <c r="CB49" s="59"/>
    </row>
    <row r="50" spans="1:80" s="42" customFormat="1" ht="29.25">
      <c r="A50" s="224">
        <v>11</v>
      </c>
      <c r="B50" s="170"/>
      <c r="C50" s="207">
        <v>1113225</v>
      </c>
      <c r="D50" s="208" t="s">
        <v>474</v>
      </c>
      <c r="E50" s="219" t="s">
        <v>42</v>
      </c>
      <c r="F50" s="169"/>
      <c r="G50" s="183"/>
      <c r="H50" s="184"/>
      <c r="I50" s="45">
        <f t="shared" si="1"/>
        <v>6145</v>
      </c>
      <c r="J50" s="58"/>
      <c r="K50" s="59"/>
      <c r="L50" s="228">
        <v>1293</v>
      </c>
      <c r="M50" s="59"/>
      <c r="N50" s="96"/>
      <c r="O50" s="59"/>
      <c r="P50" s="59"/>
      <c r="Q50" s="59"/>
      <c r="R50" s="59"/>
      <c r="S50" s="44"/>
      <c r="T50" s="59"/>
      <c r="U50" s="59"/>
      <c r="V50" s="225">
        <v>1133</v>
      </c>
      <c r="W50" s="59"/>
      <c r="X50" s="96"/>
      <c r="Y50" s="59"/>
      <c r="Z50" s="59"/>
      <c r="AA50" s="59"/>
      <c r="AB50" s="59"/>
      <c r="AC50" s="44"/>
      <c r="AD50" s="59"/>
      <c r="AE50" s="59"/>
      <c r="AF50" s="252">
        <v>762</v>
      </c>
      <c r="AG50" s="59"/>
      <c r="AH50" s="96"/>
      <c r="AI50" s="59"/>
      <c r="AJ50" s="59"/>
      <c r="AK50" s="59"/>
      <c r="AL50" s="59"/>
      <c r="AM50" s="44"/>
      <c r="AN50" s="59"/>
      <c r="AO50" s="59"/>
      <c r="AP50" s="261">
        <v>890</v>
      </c>
      <c r="AQ50" s="59"/>
      <c r="AR50" s="96"/>
      <c r="AS50" s="59"/>
      <c r="AT50" s="59"/>
      <c r="AU50" s="59"/>
      <c r="AV50" s="59"/>
      <c r="AW50" s="44"/>
      <c r="AX50" s="59"/>
      <c r="AY50" s="59"/>
      <c r="AZ50" s="528">
        <v>967</v>
      </c>
      <c r="BA50" s="59"/>
      <c r="BB50" s="96"/>
      <c r="BC50" s="59"/>
      <c r="BD50" s="59"/>
      <c r="BE50" s="59"/>
      <c r="BF50" s="59"/>
      <c r="BG50" s="44"/>
      <c r="BH50" s="59"/>
      <c r="BI50" s="59"/>
      <c r="BJ50" s="187">
        <v>1100</v>
      </c>
      <c r="BK50" s="59"/>
      <c r="BL50" s="96"/>
      <c r="BM50" s="59"/>
      <c r="BN50" s="59"/>
      <c r="BO50" s="59"/>
      <c r="BP50" s="59"/>
      <c r="BQ50" s="44"/>
      <c r="BR50" s="59"/>
      <c r="BS50" s="59"/>
      <c r="BT50" s="256"/>
      <c r="BU50" s="59"/>
      <c r="BV50" s="96"/>
      <c r="BW50" s="59"/>
      <c r="BX50" s="59"/>
      <c r="BY50" s="59"/>
      <c r="BZ50" s="59"/>
      <c r="CA50" s="44"/>
      <c r="CB50" s="59"/>
    </row>
    <row r="51" spans="1:80" ht="24" hidden="1" customHeight="1">
      <c r="A51" s="336">
        <v>7</v>
      </c>
      <c r="B51" s="351"/>
      <c r="C51" s="243">
        <v>20059547</v>
      </c>
      <c r="D51" s="352" t="s">
        <v>431</v>
      </c>
      <c r="E51" s="353" t="s">
        <v>69</v>
      </c>
      <c r="F51" s="354"/>
      <c r="G51" s="354"/>
      <c r="H51" s="355"/>
      <c r="I51" s="356">
        <f t="shared" ref="I51:I56" si="2">SUM(L51,V51,AF51,AP51,AZ51,BJ51,BT51)</f>
        <v>16664</v>
      </c>
      <c r="J51" s="357"/>
      <c r="K51" s="354"/>
      <c r="L51" s="358">
        <v>2952</v>
      </c>
      <c r="V51" s="369">
        <v>3204</v>
      </c>
      <c r="AF51" s="370">
        <v>3024</v>
      </c>
      <c r="AP51" s="371">
        <v>2484</v>
      </c>
      <c r="AZ51" s="372">
        <v>1800</v>
      </c>
      <c r="BJ51" s="374">
        <v>3200</v>
      </c>
      <c r="BT51" s="376"/>
    </row>
    <row r="52" spans="1:80" ht="24" hidden="1" customHeight="1">
      <c r="A52" s="336">
        <v>8</v>
      </c>
      <c r="B52" s="351"/>
      <c r="C52" s="243">
        <v>20059548</v>
      </c>
      <c r="D52" s="352" t="s">
        <v>432</v>
      </c>
      <c r="E52" s="359" t="s">
        <v>69</v>
      </c>
      <c r="F52" s="352"/>
      <c r="G52" s="352"/>
      <c r="H52" s="360"/>
      <c r="I52" s="361">
        <f t="shared" si="2"/>
        <v>55340</v>
      </c>
      <c r="J52" s="361"/>
      <c r="K52" s="352"/>
      <c r="L52" s="358">
        <v>9060</v>
      </c>
      <c r="V52" s="369">
        <v>8100</v>
      </c>
      <c r="AF52" s="370">
        <v>8580</v>
      </c>
      <c r="AP52" s="371">
        <v>10260</v>
      </c>
      <c r="AZ52" s="372">
        <v>9540</v>
      </c>
      <c r="BJ52" s="374">
        <v>9800</v>
      </c>
      <c r="BT52" s="376"/>
    </row>
    <row r="53" spans="1:80" ht="24" hidden="1" customHeight="1">
      <c r="A53" s="336">
        <v>9</v>
      </c>
      <c r="B53" s="362"/>
      <c r="C53" s="363">
        <v>20060019</v>
      </c>
      <c r="D53" s="352" t="s">
        <v>408</v>
      </c>
      <c r="E53" s="359" t="s">
        <v>69</v>
      </c>
      <c r="F53" s="352"/>
      <c r="G53" s="352"/>
      <c r="H53" s="360"/>
      <c r="I53" s="361">
        <f t="shared" si="2"/>
        <v>17140</v>
      </c>
      <c r="J53" s="361"/>
      <c r="K53" s="352"/>
      <c r="L53" s="358">
        <v>2520</v>
      </c>
      <c r="V53" s="369">
        <v>2580</v>
      </c>
      <c r="AF53" s="370">
        <v>2520</v>
      </c>
      <c r="AP53" s="371">
        <v>3240</v>
      </c>
      <c r="AZ53" s="373">
        <v>3180</v>
      </c>
      <c r="BJ53" s="375">
        <v>3100</v>
      </c>
      <c r="BT53" s="376"/>
    </row>
    <row r="54" spans="1:80" ht="24" hidden="1" customHeight="1">
      <c r="A54" s="336">
        <v>10</v>
      </c>
      <c r="B54" s="364"/>
      <c r="C54" s="359">
        <v>20059087</v>
      </c>
      <c r="D54" s="365" t="s">
        <v>433</v>
      </c>
      <c r="E54" s="359" t="s">
        <v>69</v>
      </c>
      <c r="F54" s="352"/>
      <c r="G54" s="352"/>
      <c r="H54" s="360"/>
      <c r="I54" s="361">
        <f t="shared" si="2"/>
        <v>20300</v>
      </c>
      <c r="J54" s="361"/>
      <c r="K54" s="352"/>
      <c r="L54" s="358">
        <v>4080</v>
      </c>
      <c r="V54" s="369">
        <v>3480</v>
      </c>
      <c r="AF54" s="370">
        <v>3480</v>
      </c>
      <c r="AP54" s="371">
        <v>3420</v>
      </c>
      <c r="AZ54" s="373">
        <v>2340</v>
      </c>
      <c r="BJ54" s="375">
        <v>3500</v>
      </c>
      <c r="BT54" s="376"/>
    </row>
    <row r="55" spans="1:80" ht="24.75" hidden="1" customHeight="1">
      <c r="A55" s="336">
        <v>11</v>
      </c>
      <c r="B55" s="364"/>
      <c r="C55" s="243">
        <v>20060974</v>
      </c>
      <c r="D55" s="365" t="s">
        <v>434</v>
      </c>
      <c r="E55" s="359" t="s">
        <v>69</v>
      </c>
      <c r="F55" s="352"/>
      <c r="G55" s="352"/>
      <c r="H55" s="360"/>
      <c r="I55" s="361">
        <f t="shared" si="2"/>
        <v>5944</v>
      </c>
      <c r="J55" s="361"/>
      <c r="K55" s="352"/>
      <c r="L55" s="358">
        <v>1008</v>
      </c>
      <c r="V55" s="369">
        <v>828</v>
      </c>
      <c r="AF55" s="370">
        <v>792</v>
      </c>
      <c r="AP55" s="371">
        <v>1044</v>
      </c>
      <c r="AZ55" s="373">
        <v>972</v>
      </c>
      <c r="BJ55" s="375">
        <v>1300</v>
      </c>
      <c r="BT55" s="376"/>
    </row>
    <row r="56" spans="1:80" ht="24.75" hidden="1" customHeight="1">
      <c r="A56" s="336">
        <v>12</v>
      </c>
      <c r="B56" s="364"/>
      <c r="C56" s="243">
        <v>20060976</v>
      </c>
      <c r="D56" s="365" t="s">
        <v>435</v>
      </c>
      <c r="E56" s="359" t="s">
        <v>69</v>
      </c>
      <c r="F56" s="352"/>
      <c r="G56" s="352"/>
      <c r="H56" s="360"/>
      <c r="I56" s="361">
        <f t="shared" si="2"/>
        <v>16020</v>
      </c>
      <c r="J56" s="361"/>
      <c r="K56" s="352"/>
      <c r="L56" s="358">
        <v>2640</v>
      </c>
      <c r="V56" s="369">
        <v>3000</v>
      </c>
      <c r="AF56" s="370">
        <v>2820</v>
      </c>
      <c r="AP56" s="371">
        <v>2760</v>
      </c>
      <c r="AZ56" s="373">
        <v>1800</v>
      </c>
      <c r="BJ56" s="375">
        <v>3000</v>
      </c>
      <c r="BT56" s="376"/>
    </row>
    <row r="57" spans="1:80" ht="27.75" hidden="1" customHeight="1">
      <c r="A57" s="336">
        <v>13</v>
      </c>
      <c r="B57" s="364"/>
      <c r="C57" s="243">
        <v>20060973</v>
      </c>
      <c r="D57" s="366" t="s">
        <v>436</v>
      </c>
      <c r="E57" s="359" t="s">
        <v>69</v>
      </c>
      <c r="F57" s="352"/>
      <c r="G57" s="352"/>
      <c r="H57" s="360"/>
      <c r="I57" s="361">
        <f t="shared" ref="I57:I58" si="3">SUM(L57,V57,AF57,AP57,AZ57,BJ57,BT57)</f>
        <v>6136</v>
      </c>
      <c r="J57" s="361"/>
      <c r="K57" s="352"/>
      <c r="L57" s="358">
        <v>984</v>
      </c>
      <c r="V57" s="369">
        <v>900</v>
      </c>
      <c r="AF57" s="370">
        <v>804</v>
      </c>
      <c r="AP57" s="371">
        <v>1044</v>
      </c>
      <c r="AZ57" s="373">
        <v>804</v>
      </c>
      <c r="BJ57" s="375">
        <v>800</v>
      </c>
      <c r="BT57" s="376">
        <v>800</v>
      </c>
    </row>
    <row r="58" spans="1:80" ht="26.25" hidden="1" customHeight="1">
      <c r="A58" s="336">
        <v>14</v>
      </c>
      <c r="B58" s="351"/>
      <c r="C58" s="243">
        <v>20061982</v>
      </c>
      <c r="D58" s="366" t="s">
        <v>437</v>
      </c>
      <c r="E58" s="359" t="s">
        <v>69</v>
      </c>
      <c r="F58" s="352"/>
      <c r="G58" s="352"/>
      <c r="H58" s="360"/>
      <c r="I58" s="361">
        <f t="shared" si="3"/>
        <v>18240</v>
      </c>
      <c r="J58" s="361"/>
      <c r="K58" s="352"/>
      <c r="L58" s="358">
        <v>2760</v>
      </c>
      <c r="M58" s="276"/>
      <c r="N58" s="268"/>
      <c r="O58" s="268"/>
      <c r="P58" s="268"/>
      <c r="Q58" s="268"/>
      <c r="R58" s="268"/>
      <c r="S58" s="268"/>
      <c r="T58" s="268"/>
      <c r="U58" s="275"/>
      <c r="V58" s="369">
        <v>3000</v>
      </c>
      <c r="W58" s="276"/>
      <c r="X58" s="268"/>
      <c r="Y58" s="268"/>
      <c r="Z58" s="268"/>
      <c r="AA58" s="268"/>
      <c r="AB58" s="268"/>
      <c r="AC58" s="268"/>
      <c r="AD58" s="268"/>
      <c r="AE58" s="275"/>
      <c r="AF58" s="370">
        <v>2960</v>
      </c>
      <c r="AG58" s="276"/>
      <c r="AH58" s="268"/>
      <c r="AI58" s="268"/>
      <c r="AJ58" s="268"/>
      <c r="AK58" s="268"/>
      <c r="AL58" s="268"/>
      <c r="AM58" s="268"/>
      <c r="AN58" s="268"/>
      <c r="AO58" s="275"/>
      <c r="AP58" s="371">
        <v>3860</v>
      </c>
      <c r="AQ58" s="276"/>
      <c r="AR58" s="268"/>
      <c r="AS58" s="268"/>
      <c r="AT58" s="268"/>
      <c r="AU58" s="268"/>
      <c r="AV58" s="268"/>
      <c r="AW58" s="268"/>
      <c r="AX58" s="268"/>
      <c r="AY58" s="275"/>
      <c r="AZ58" s="373">
        <v>2960</v>
      </c>
      <c r="BA58" s="276"/>
      <c r="BB58" s="268"/>
      <c r="BC58" s="268"/>
      <c r="BD58" s="268"/>
      <c r="BE58" s="268"/>
      <c r="BF58" s="268"/>
      <c r="BG58" s="268"/>
      <c r="BH58" s="268"/>
      <c r="BI58" s="275"/>
      <c r="BJ58" s="375">
        <v>2700</v>
      </c>
      <c r="BK58" s="276"/>
      <c r="BL58" s="268"/>
      <c r="BM58" s="268"/>
      <c r="BN58" s="268"/>
      <c r="BO58" s="268"/>
      <c r="BP58" s="268"/>
      <c r="BQ58" s="268"/>
      <c r="BR58" s="268"/>
      <c r="BS58" s="275"/>
      <c r="BT58" s="376"/>
    </row>
    <row r="59" spans="1:80" ht="31.5" hidden="1" customHeight="1">
      <c r="A59" s="336">
        <v>15</v>
      </c>
      <c r="B59" s="351"/>
      <c r="C59" s="243">
        <v>20062915</v>
      </c>
      <c r="D59" s="366" t="s">
        <v>438</v>
      </c>
      <c r="E59" s="359" t="s">
        <v>69</v>
      </c>
      <c r="F59" s="352"/>
      <c r="G59" s="352"/>
      <c r="H59" s="360"/>
      <c r="I59" s="361">
        <f t="shared" ref="I59:I60" si="4">SUM(L59,V59,AF59,AP59,AZ59,BJ59,BT59)</f>
        <v>11980</v>
      </c>
      <c r="J59" s="361"/>
      <c r="K59" s="352"/>
      <c r="L59" s="358">
        <v>1520</v>
      </c>
      <c r="V59" s="369">
        <v>1680</v>
      </c>
      <c r="AF59" s="370">
        <v>1720</v>
      </c>
      <c r="AP59" s="371">
        <v>2000</v>
      </c>
      <c r="AZ59" s="373">
        <v>1560</v>
      </c>
      <c r="BJ59" s="375">
        <v>2000</v>
      </c>
      <c r="BT59" s="376">
        <v>1500</v>
      </c>
    </row>
    <row r="60" spans="1:80" ht="31.5" hidden="1" customHeight="1">
      <c r="A60" s="336">
        <v>16</v>
      </c>
      <c r="B60" s="351"/>
      <c r="C60" s="367">
        <v>20063266</v>
      </c>
      <c r="D60" s="368" t="s">
        <v>439</v>
      </c>
      <c r="E60" s="359" t="s">
        <v>69</v>
      </c>
      <c r="F60" s="352"/>
      <c r="G60" s="352"/>
      <c r="H60" s="360"/>
      <c r="I60" s="361">
        <f t="shared" si="4"/>
        <v>12020</v>
      </c>
      <c r="J60" s="361"/>
      <c r="K60" s="352"/>
      <c r="L60" s="358">
        <v>2000</v>
      </c>
      <c r="V60" s="369">
        <v>1680</v>
      </c>
      <c r="AF60" s="370">
        <v>1640</v>
      </c>
      <c r="AP60" s="371">
        <v>2080</v>
      </c>
      <c r="AZ60" s="373">
        <v>2720</v>
      </c>
      <c r="BJ60" s="375">
        <v>1900</v>
      </c>
      <c r="BT60" s="376"/>
    </row>
    <row r="61" spans="1:80" ht="31.5" hidden="1" customHeight="1">
      <c r="A61" s="336">
        <v>17</v>
      </c>
      <c r="B61" s="351"/>
      <c r="C61" s="243">
        <v>20062916</v>
      </c>
      <c r="D61" s="377" t="s">
        <v>413</v>
      </c>
      <c r="E61" s="378" t="s">
        <v>69</v>
      </c>
      <c r="F61" s="352"/>
      <c r="G61" s="352"/>
      <c r="H61" s="360"/>
      <c r="I61" s="361">
        <f t="shared" ref="I61:I62" si="5">SUM(L61,V61,AF61,AP61,AZ61,BJ61,BT61)</f>
        <v>11560</v>
      </c>
      <c r="J61" s="361"/>
      <c r="K61" s="352"/>
      <c r="L61" s="358">
        <v>1620</v>
      </c>
      <c r="V61" s="369">
        <v>1404</v>
      </c>
      <c r="AF61" s="370">
        <v>1368</v>
      </c>
      <c r="AP61" s="371">
        <v>1836</v>
      </c>
      <c r="AZ61" s="373">
        <v>2232</v>
      </c>
      <c r="BJ61" s="375">
        <v>1600</v>
      </c>
      <c r="BT61" s="376">
        <v>1500</v>
      </c>
    </row>
    <row r="62" spans="1:80" ht="31.5" hidden="1" customHeight="1">
      <c r="A62" s="336">
        <v>18</v>
      </c>
      <c r="B62" s="351"/>
      <c r="C62" s="243">
        <v>20063380</v>
      </c>
      <c r="D62" s="377" t="s">
        <v>416</v>
      </c>
      <c r="E62" s="378" t="s">
        <v>69</v>
      </c>
      <c r="F62" s="352"/>
      <c r="G62" s="352"/>
      <c r="H62" s="360"/>
      <c r="I62" s="361">
        <f t="shared" si="5"/>
        <v>9580</v>
      </c>
      <c r="J62" s="361"/>
      <c r="K62" s="352"/>
      <c r="L62" s="358">
        <v>1200</v>
      </c>
      <c r="V62" s="369">
        <v>1320</v>
      </c>
      <c r="AF62" s="370">
        <v>1380</v>
      </c>
      <c r="AP62" s="371">
        <v>1440</v>
      </c>
      <c r="AZ62" s="373">
        <v>1140</v>
      </c>
      <c r="BJ62" s="375">
        <v>1600</v>
      </c>
      <c r="BT62" s="376">
        <v>1500</v>
      </c>
    </row>
    <row r="63" spans="1:80" ht="29.25" hidden="1" customHeight="1">
      <c r="A63" s="336">
        <v>19</v>
      </c>
      <c r="B63" s="351"/>
      <c r="C63" s="243">
        <v>20063468</v>
      </c>
      <c r="D63" s="377" t="s">
        <v>417</v>
      </c>
      <c r="E63" s="359" t="s">
        <v>69</v>
      </c>
      <c r="F63" s="352"/>
      <c r="G63" s="352"/>
      <c r="H63" s="360"/>
      <c r="I63" s="361">
        <f t="shared" ref="I63:I65" si="6">SUM(L63,V63,AF63,AP63,AZ63,BJ63,BT63)</f>
        <v>12520</v>
      </c>
      <c r="J63" s="361"/>
      <c r="K63" s="352"/>
      <c r="L63" s="358">
        <v>1880</v>
      </c>
      <c r="V63" s="369">
        <v>1800</v>
      </c>
      <c r="AF63" s="370">
        <v>1800</v>
      </c>
      <c r="AP63" s="371">
        <v>2280</v>
      </c>
      <c r="AZ63" s="373">
        <v>2560</v>
      </c>
      <c r="BJ63" s="375">
        <v>2200</v>
      </c>
      <c r="BT63" s="376"/>
    </row>
    <row r="64" spans="1:80" ht="29.25" hidden="1" customHeight="1">
      <c r="A64" s="336">
        <v>20</v>
      </c>
      <c r="B64" s="351"/>
      <c r="C64" s="367">
        <v>20063720</v>
      </c>
      <c r="D64" s="368" t="s">
        <v>440</v>
      </c>
      <c r="E64" s="359" t="s">
        <v>69</v>
      </c>
      <c r="F64" s="352"/>
      <c r="G64" s="352"/>
      <c r="H64" s="360"/>
      <c r="I64" s="361">
        <f t="shared" si="6"/>
        <v>5720</v>
      </c>
      <c r="J64" s="361"/>
      <c r="K64" s="352"/>
      <c r="L64" s="358">
        <v>720</v>
      </c>
      <c r="V64" s="369">
        <v>600</v>
      </c>
      <c r="AF64" s="370">
        <v>600</v>
      </c>
      <c r="AP64" s="371">
        <v>800</v>
      </c>
      <c r="AZ64" s="373">
        <v>1400</v>
      </c>
      <c r="BJ64" s="375">
        <v>800</v>
      </c>
      <c r="BT64" s="376">
        <v>800</v>
      </c>
    </row>
    <row r="65" spans="1:72" ht="29.25" hidden="1" customHeight="1">
      <c r="A65" s="336">
        <v>21</v>
      </c>
      <c r="B65" s="351"/>
      <c r="C65" s="367">
        <v>20063783</v>
      </c>
      <c r="D65" s="368" t="s">
        <v>441</v>
      </c>
      <c r="E65" s="359" t="s">
        <v>69</v>
      </c>
      <c r="F65" s="352"/>
      <c r="G65" s="352"/>
      <c r="H65" s="360"/>
      <c r="I65" s="361">
        <f t="shared" si="6"/>
        <v>4000</v>
      </c>
      <c r="J65" s="361"/>
      <c r="K65" s="352"/>
      <c r="L65" s="358">
        <v>360</v>
      </c>
      <c r="V65" s="369">
        <v>320</v>
      </c>
      <c r="AF65" s="370">
        <v>360</v>
      </c>
      <c r="AP65" s="371">
        <v>680</v>
      </c>
      <c r="AZ65" s="373">
        <v>680</v>
      </c>
      <c r="BJ65" s="375">
        <v>800</v>
      </c>
      <c r="BT65" s="376">
        <v>800</v>
      </c>
    </row>
    <row r="66" spans="1:72" ht="29.25" hidden="1" customHeight="1">
      <c r="A66" s="336">
        <v>22</v>
      </c>
      <c r="B66" s="351"/>
      <c r="C66" s="367">
        <v>20063930</v>
      </c>
      <c r="D66" s="379" t="s">
        <v>442</v>
      </c>
      <c r="E66" s="359" t="s">
        <v>69</v>
      </c>
      <c r="F66" s="352"/>
      <c r="G66" s="352"/>
      <c r="H66" s="360"/>
      <c r="I66" s="361">
        <f t="shared" ref="I66:I79" si="7">SUM(L66,V66,AF66,AP66,AZ66,BJ66,BT66)</f>
        <v>7928</v>
      </c>
      <c r="J66" s="361"/>
      <c r="K66" s="352"/>
      <c r="L66" s="358">
        <v>1064</v>
      </c>
      <c r="V66" s="369">
        <v>1512</v>
      </c>
      <c r="AF66" s="370">
        <v>1680</v>
      </c>
      <c r="AP66" s="371">
        <v>1120</v>
      </c>
      <c r="AZ66" s="373">
        <v>952</v>
      </c>
      <c r="BJ66" s="375">
        <v>800</v>
      </c>
      <c r="BT66" s="376">
        <v>800</v>
      </c>
    </row>
    <row r="67" spans="1:72" ht="29.25" hidden="1" customHeight="1">
      <c r="A67" s="336">
        <v>23</v>
      </c>
      <c r="B67" s="351"/>
      <c r="C67" s="367">
        <v>20063929</v>
      </c>
      <c r="D67" s="379" t="s">
        <v>443</v>
      </c>
      <c r="E67" s="359" t="s">
        <v>69</v>
      </c>
      <c r="F67" s="352"/>
      <c r="G67" s="352"/>
      <c r="H67" s="360"/>
      <c r="I67" s="361">
        <f t="shared" si="7"/>
        <v>5592</v>
      </c>
      <c r="J67" s="361"/>
      <c r="K67" s="352"/>
      <c r="L67" s="358">
        <v>560</v>
      </c>
      <c r="V67" s="369">
        <v>1176</v>
      </c>
      <c r="AF67" s="370">
        <v>1624</v>
      </c>
      <c r="AP67" s="371">
        <v>616</v>
      </c>
      <c r="AZ67" s="373">
        <v>616</v>
      </c>
      <c r="BJ67" s="375">
        <v>500</v>
      </c>
      <c r="BT67" s="376">
        <v>500</v>
      </c>
    </row>
    <row r="68" spans="1:72" ht="29.25" hidden="1" customHeight="1">
      <c r="A68" s="336">
        <v>24</v>
      </c>
      <c r="B68" s="351"/>
      <c r="C68" s="367">
        <v>20064190</v>
      </c>
      <c r="D68" s="380" t="s">
        <v>469</v>
      </c>
      <c r="E68" s="359" t="s">
        <v>69</v>
      </c>
      <c r="F68" s="352"/>
      <c r="G68" s="352"/>
      <c r="H68" s="360"/>
      <c r="I68" s="361">
        <f t="shared" si="7"/>
        <v>4840</v>
      </c>
      <c r="J68" s="361"/>
      <c r="K68" s="352"/>
      <c r="L68" s="358">
        <v>920</v>
      </c>
      <c r="V68" s="369">
        <v>840</v>
      </c>
      <c r="AF68" s="370">
        <v>840</v>
      </c>
      <c r="AP68" s="371">
        <v>400</v>
      </c>
      <c r="AZ68" s="373">
        <v>440</v>
      </c>
      <c r="BJ68" s="375">
        <v>600</v>
      </c>
      <c r="BT68" s="376">
        <v>800</v>
      </c>
    </row>
    <row r="69" spans="1:72" ht="29.25" hidden="1" customHeight="1">
      <c r="A69" s="336">
        <v>25</v>
      </c>
      <c r="B69" s="351"/>
      <c r="C69" s="367">
        <v>20064191</v>
      </c>
      <c r="D69" s="380" t="s">
        <v>470</v>
      </c>
      <c r="E69" s="359" t="s">
        <v>69</v>
      </c>
      <c r="F69" s="352"/>
      <c r="G69" s="352"/>
      <c r="H69" s="360"/>
      <c r="I69" s="361">
        <f t="shared" si="7"/>
        <v>16942</v>
      </c>
      <c r="J69" s="361"/>
      <c r="K69" s="352"/>
      <c r="L69" s="358">
        <v>3762</v>
      </c>
      <c r="V69" s="369">
        <v>376</v>
      </c>
      <c r="AF69" s="370">
        <v>3762</v>
      </c>
      <c r="AP69" s="371">
        <v>2628</v>
      </c>
      <c r="AZ69" s="373">
        <v>2664</v>
      </c>
      <c r="BJ69" s="375">
        <v>3750</v>
      </c>
      <c r="BT69" s="376"/>
    </row>
    <row r="70" spans="1:72" ht="29.25" hidden="1" customHeight="1">
      <c r="A70" s="435">
        <v>26</v>
      </c>
      <c r="B70" s="492"/>
      <c r="C70" s="505">
        <v>20064271</v>
      </c>
      <c r="D70" s="506" t="s">
        <v>471</v>
      </c>
      <c r="E70" s="493" t="s">
        <v>69</v>
      </c>
      <c r="F70" s="494"/>
      <c r="G70" s="494"/>
      <c r="H70" s="495"/>
      <c r="I70" s="496">
        <f t="shared" si="7"/>
        <v>24702</v>
      </c>
      <c r="J70" s="496"/>
      <c r="K70" s="494"/>
      <c r="L70" s="497">
        <v>3744</v>
      </c>
      <c r="V70" s="498">
        <v>3744</v>
      </c>
      <c r="AF70" s="499">
        <v>3744</v>
      </c>
      <c r="AP70" s="500">
        <v>4878</v>
      </c>
      <c r="AZ70" s="501">
        <v>4842</v>
      </c>
      <c r="BJ70" s="502">
        <v>3750</v>
      </c>
      <c r="BT70" s="503"/>
    </row>
    <row r="71" spans="1:72" ht="29.25" hidden="1" customHeight="1">
      <c r="A71" s="334">
        <v>27</v>
      </c>
      <c r="B71" s="351"/>
      <c r="C71" s="504">
        <v>20064365</v>
      </c>
      <c r="D71" s="352" t="s">
        <v>444</v>
      </c>
      <c r="E71" s="359" t="s">
        <v>69</v>
      </c>
      <c r="F71" s="352"/>
      <c r="G71" s="352"/>
      <c r="H71" s="360"/>
      <c r="I71" s="361">
        <f t="shared" si="7"/>
        <v>17512</v>
      </c>
      <c r="J71" s="361"/>
      <c r="K71" s="352"/>
      <c r="L71" s="358">
        <v>2268</v>
      </c>
      <c r="V71" s="369">
        <v>2160</v>
      </c>
      <c r="AF71" s="370">
        <v>2196</v>
      </c>
      <c r="AP71" s="371">
        <v>2232</v>
      </c>
      <c r="AZ71" s="373">
        <v>1656</v>
      </c>
      <c r="BJ71" s="375">
        <v>3500</v>
      </c>
      <c r="BT71" s="376">
        <v>3500</v>
      </c>
    </row>
    <row r="72" spans="1:72" ht="29.25" hidden="1" customHeight="1">
      <c r="A72" s="334">
        <v>28</v>
      </c>
      <c r="B72" s="351"/>
      <c r="C72" s="504">
        <v>20064366</v>
      </c>
      <c r="D72" s="352" t="s">
        <v>445</v>
      </c>
      <c r="E72" s="359" t="s">
        <v>69</v>
      </c>
      <c r="F72" s="352"/>
      <c r="G72" s="352"/>
      <c r="H72" s="360"/>
      <c r="I72" s="361">
        <f t="shared" si="7"/>
        <v>4946</v>
      </c>
      <c r="J72" s="361"/>
      <c r="K72" s="352"/>
      <c r="L72" s="358">
        <v>0</v>
      </c>
      <c r="V72" s="369">
        <v>0</v>
      </c>
      <c r="AF72" s="370">
        <v>0</v>
      </c>
      <c r="AP72" s="371">
        <v>0</v>
      </c>
      <c r="AZ72" s="373">
        <v>2346</v>
      </c>
      <c r="BJ72" s="375">
        <v>1300</v>
      </c>
      <c r="BT72" s="376">
        <v>1300</v>
      </c>
    </row>
    <row r="73" spans="1:72" ht="29.25" hidden="1" customHeight="1">
      <c r="A73" s="334">
        <v>2</v>
      </c>
      <c r="B73" s="351"/>
      <c r="C73" s="504">
        <v>1112048</v>
      </c>
      <c r="D73" s="352" t="s">
        <v>464</v>
      </c>
      <c r="E73" s="169" t="s">
        <v>203</v>
      </c>
      <c r="F73" s="352"/>
      <c r="G73" s="352"/>
      <c r="H73" s="360"/>
      <c r="I73" s="217">
        <f t="shared" si="7"/>
        <v>880</v>
      </c>
      <c r="J73" s="361"/>
      <c r="K73" s="352"/>
      <c r="L73" s="358"/>
      <c r="V73" s="369"/>
      <c r="AF73" s="370"/>
      <c r="AP73" s="371"/>
      <c r="AZ73" s="373">
        <v>880</v>
      </c>
      <c r="BJ73" s="375"/>
      <c r="BT73" s="376"/>
    </row>
    <row r="74" spans="1:72" ht="29.25" hidden="1" customHeight="1">
      <c r="A74" s="334">
        <v>3</v>
      </c>
      <c r="B74" s="351"/>
      <c r="C74" s="504">
        <v>1112049</v>
      </c>
      <c r="D74" s="352" t="s">
        <v>465</v>
      </c>
      <c r="E74" s="169" t="s">
        <v>203</v>
      </c>
      <c r="F74" s="352"/>
      <c r="G74" s="352"/>
      <c r="H74" s="360"/>
      <c r="I74" s="217">
        <f t="shared" si="7"/>
        <v>760</v>
      </c>
      <c r="J74" s="361"/>
      <c r="K74" s="352"/>
      <c r="L74" s="358"/>
      <c r="V74" s="369"/>
      <c r="AF74" s="370"/>
      <c r="AP74" s="371"/>
      <c r="AZ74" s="373">
        <v>760</v>
      </c>
      <c r="BJ74" s="375"/>
      <c r="BT74" s="376"/>
    </row>
    <row r="75" spans="1:72" ht="29.25" hidden="1" customHeight="1">
      <c r="A75" s="334">
        <v>29</v>
      </c>
      <c r="B75" s="351"/>
      <c r="C75" s="504"/>
      <c r="D75" s="352" t="s">
        <v>466</v>
      </c>
      <c r="E75" s="359" t="s">
        <v>69</v>
      </c>
      <c r="F75" s="352"/>
      <c r="G75" s="352"/>
      <c r="H75" s="360"/>
      <c r="I75" s="361">
        <f t="shared" si="7"/>
        <v>0</v>
      </c>
      <c r="J75" s="361"/>
      <c r="K75" s="352"/>
      <c r="L75" s="358"/>
      <c r="V75" s="369"/>
      <c r="AF75" s="370"/>
      <c r="AP75" s="371"/>
      <c r="AZ75" s="373"/>
      <c r="BJ75" s="375"/>
      <c r="BT75" s="376"/>
    </row>
    <row r="76" spans="1:72" ht="29.25" hidden="1" customHeight="1">
      <c r="A76" s="334">
        <v>30</v>
      </c>
      <c r="B76" s="351"/>
      <c r="C76" s="504"/>
      <c r="D76" s="352" t="s">
        <v>467</v>
      </c>
      <c r="E76" s="359" t="s">
        <v>69</v>
      </c>
      <c r="F76" s="352"/>
      <c r="G76" s="352"/>
      <c r="H76" s="360"/>
      <c r="I76" s="361">
        <f t="shared" si="7"/>
        <v>0</v>
      </c>
      <c r="J76" s="361"/>
      <c r="K76" s="352"/>
      <c r="L76" s="358"/>
      <c r="V76" s="369"/>
      <c r="AF76" s="370"/>
      <c r="AP76" s="371"/>
      <c r="AZ76" s="373"/>
      <c r="BJ76" s="375"/>
      <c r="BT76" s="376"/>
    </row>
    <row r="77" spans="1:72" ht="29.25" hidden="1" customHeight="1">
      <c r="A77" s="334">
        <v>31</v>
      </c>
      <c r="B77" s="351"/>
      <c r="C77" s="504"/>
      <c r="D77" s="352" t="s">
        <v>468</v>
      </c>
      <c r="E77" s="359" t="s">
        <v>69</v>
      </c>
      <c r="F77" s="352"/>
      <c r="G77" s="352"/>
      <c r="H77" s="360"/>
      <c r="I77" s="361">
        <f t="shared" si="7"/>
        <v>0</v>
      </c>
      <c r="J77" s="361"/>
      <c r="K77" s="352"/>
      <c r="L77" s="358"/>
      <c r="V77" s="369"/>
      <c r="AF77" s="370"/>
      <c r="AP77" s="371"/>
      <c r="AZ77" s="373"/>
      <c r="BJ77" s="375"/>
      <c r="BT77" s="376"/>
    </row>
    <row r="78" spans="1:72" ht="29.25" customHeight="1">
      <c r="A78" s="334">
        <v>12</v>
      </c>
      <c r="B78" s="351"/>
      <c r="C78" s="504">
        <v>1113237</v>
      </c>
      <c r="D78" s="352" t="s">
        <v>477</v>
      </c>
      <c r="E78" s="219" t="s">
        <v>42</v>
      </c>
      <c r="F78" s="169"/>
      <c r="G78" s="183"/>
      <c r="H78" s="184"/>
      <c r="I78" s="45">
        <f t="shared" si="7"/>
        <v>0</v>
      </c>
      <c r="J78" s="361"/>
      <c r="K78" s="352"/>
      <c r="L78" s="358"/>
      <c r="V78" s="369"/>
      <c r="AF78" s="370"/>
      <c r="AP78" s="371"/>
      <c r="AZ78" s="373"/>
      <c r="BJ78" s="375"/>
      <c r="BT78" s="376"/>
    </row>
    <row r="79" spans="1:72" ht="29.25" customHeight="1">
      <c r="A79" s="334">
        <v>13</v>
      </c>
      <c r="B79" s="351"/>
      <c r="C79" s="504">
        <v>1113238</v>
      </c>
      <c r="D79" s="352" t="s">
        <v>478</v>
      </c>
      <c r="E79" s="219" t="s">
        <v>42</v>
      </c>
      <c r="F79" s="169"/>
      <c r="G79" s="183"/>
      <c r="H79" s="184"/>
      <c r="I79" s="45">
        <f t="shared" si="7"/>
        <v>0</v>
      </c>
      <c r="J79" s="361"/>
      <c r="K79" s="352"/>
      <c r="L79" s="358"/>
      <c r="V79" s="369"/>
      <c r="AF79" s="370"/>
      <c r="AP79" s="371"/>
      <c r="AZ79" s="373"/>
      <c r="BJ79" s="375"/>
      <c r="BT79" s="376"/>
    </row>
    <row r="80" spans="1:72" ht="18.75" customHeight="1"/>
  </sheetData>
  <autoFilter ref="E1:E77" xr:uid="{00000000-0001-0000-0100-000000000000}">
    <filterColumn colId="0">
      <filters>
        <filter val="BC"/>
        <filter val="BC,Aeon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455" customFormat="1" ht="15.75" customHeight="1">
      <c r="A1" s="673" t="s">
        <v>14</v>
      </c>
      <c r="B1" s="677"/>
      <c r="C1" s="677"/>
      <c r="D1" s="677"/>
      <c r="E1" s="677"/>
      <c r="F1" s="674"/>
      <c r="G1" s="456"/>
      <c r="H1" s="673" t="s">
        <v>15</v>
      </c>
      <c r="I1" s="674"/>
      <c r="J1" s="674"/>
      <c r="K1" s="674"/>
      <c r="L1" s="674"/>
      <c r="M1" s="674"/>
      <c r="N1" s="456"/>
      <c r="O1" s="673" t="s">
        <v>16</v>
      </c>
      <c r="P1" s="674"/>
      <c r="Q1" s="674"/>
      <c r="R1" s="674"/>
      <c r="S1" s="674"/>
      <c r="T1" s="674"/>
      <c r="U1" s="456"/>
      <c r="V1" s="673" t="s">
        <v>17</v>
      </c>
      <c r="W1" s="674"/>
      <c r="X1" s="674"/>
      <c r="Y1" s="674"/>
      <c r="Z1" s="674"/>
      <c r="AA1" s="674"/>
      <c r="AB1" s="456"/>
      <c r="AC1" s="673" t="s">
        <v>385</v>
      </c>
      <c r="AD1" s="674"/>
      <c r="AE1" s="674"/>
      <c r="AF1" s="674"/>
      <c r="AG1" s="674"/>
      <c r="AH1" s="674"/>
      <c r="AI1" s="456"/>
      <c r="AJ1" s="673" t="s">
        <v>19</v>
      </c>
      <c r="AK1" s="674"/>
      <c r="AL1" s="674"/>
      <c r="AM1" s="674"/>
      <c r="AN1" s="674"/>
      <c r="AO1" s="674"/>
      <c r="AP1" s="456"/>
      <c r="AQ1" s="673" t="s">
        <v>386</v>
      </c>
      <c r="AR1" s="674"/>
      <c r="AS1" s="674"/>
      <c r="AT1" s="674"/>
      <c r="AU1" s="674"/>
      <c r="AV1" s="674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75"/>
      <c r="P68" s="676"/>
      <c r="Q68" s="7"/>
      <c r="R68" s="6"/>
      <c r="S68" s="7"/>
      <c r="T68" s="6"/>
      <c r="U68" s="8"/>
      <c r="V68" s="8"/>
      <c r="W68" s="1"/>
      <c r="X68" s="1"/>
      <c r="Y68" s="675"/>
      <c r="Z68" s="676"/>
      <c r="AA68" s="7"/>
      <c r="AB68" s="6"/>
      <c r="AC68" s="7"/>
      <c r="AD68" s="6"/>
      <c r="AE68" s="8"/>
      <c r="AF68" s="8"/>
      <c r="AG68" s="1"/>
      <c r="AH68" s="1"/>
      <c r="AI68" s="675"/>
      <c r="AJ68" s="676"/>
      <c r="AK68" s="7"/>
      <c r="AL68" s="6"/>
      <c r="AM68" s="7"/>
      <c r="AN68" s="6"/>
      <c r="AO68" s="8"/>
      <c r="AP68" s="8"/>
      <c r="AQ68" s="1"/>
      <c r="AR68" s="1"/>
      <c r="AS68" s="675"/>
      <c r="AT68" s="676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75"/>
      <c r="P69" s="676"/>
      <c r="Q69" s="7"/>
      <c r="R69" s="6"/>
      <c r="S69" s="7"/>
      <c r="T69" s="6"/>
      <c r="U69" s="8"/>
      <c r="V69" s="8"/>
      <c r="W69" s="1"/>
      <c r="X69" s="1"/>
      <c r="Y69" s="675"/>
      <c r="Z69" s="676"/>
      <c r="AA69" s="7"/>
      <c r="AB69" s="6"/>
      <c r="AC69" s="7"/>
      <c r="AD69" s="6"/>
      <c r="AE69" s="8"/>
      <c r="AF69" s="8"/>
      <c r="AG69" s="1"/>
      <c r="AH69" s="1"/>
      <c r="AI69" s="675"/>
      <c r="AJ69" s="676"/>
      <c r="AK69" s="7"/>
      <c r="AL69" s="6"/>
      <c r="AM69" s="7"/>
      <c r="AN69" s="6"/>
      <c r="AO69" s="8"/>
      <c r="AP69" s="8"/>
      <c r="AQ69" s="1"/>
      <c r="AR69" s="1"/>
      <c r="AS69" s="675"/>
      <c r="AT69" s="676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75"/>
      <c r="P70" s="676"/>
      <c r="Q70" s="7"/>
      <c r="R70" s="6"/>
      <c r="S70" s="7"/>
      <c r="T70" s="6"/>
      <c r="U70" s="8"/>
      <c r="V70" s="8"/>
      <c r="W70" s="1"/>
      <c r="X70" s="1"/>
      <c r="Y70" s="675"/>
      <c r="Z70" s="676"/>
      <c r="AA70" s="7"/>
      <c r="AB70" s="6"/>
      <c r="AC70" s="7"/>
      <c r="AD70" s="6"/>
      <c r="AE70" s="8"/>
      <c r="AF70" s="8"/>
      <c r="AG70" s="1"/>
      <c r="AH70" s="1"/>
      <c r="AI70" s="675"/>
      <c r="AJ70" s="676"/>
      <c r="AK70" s="7"/>
      <c r="AL70" s="6"/>
      <c r="AM70" s="7"/>
      <c r="AN70" s="6"/>
      <c r="AO70" s="8"/>
      <c r="AP70" s="8"/>
      <c r="AQ70" s="1"/>
      <c r="AR70" s="1"/>
      <c r="AS70" s="675"/>
      <c r="AT70" s="676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9"/>
  <sheetViews>
    <sheetView zoomScale="90" zoomScaleNormal="90" workbookViewId="0">
      <selection activeCell="K79" sqref="K79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2.8554687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2" width="13.42578125" style="164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459" t="s">
        <v>4</v>
      </c>
      <c r="C1" s="217" t="s">
        <v>5</v>
      </c>
      <c r="D1" s="425" t="s">
        <v>6</v>
      </c>
      <c r="E1" s="425" t="s">
        <v>7</v>
      </c>
      <c r="F1" s="635" t="s">
        <v>8</v>
      </c>
      <c r="G1" s="636"/>
      <c r="H1" s="637"/>
      <c r="I1" s="636"/>
      <c r="J1" s="636"/>
      <c r="K1" s="638" t="s">
        <v>422</v>
      </c>
      <c r="L1" s="639"/>
      <c r="M1" s="640"/>
      <c r="N1" s="640"/>
      <c r="O1" s="640"/>
      <c r="P1" s="640"/>
      <c r="Q1" s="640"/>
      <c r="R1" s="640"/>
      <c r="S1" s="640"/>
      <c r="T1" s="640"/>
      <c r="U1" s="640"/>
      <c r="V1" s="639"/>
      <c r="W1" s="640"/>
      <c r="X1" s="640"/>
      <c r="Y1" s="640"/>
      <c r="Z1" s="640"/>
      <c r="AA1" s="640"/>
      <c r="AB1" s="640"/>
      <c r="AC1" s="640"/>
      <c r="AD1" s="640"/>
      <c r="AE1" s="640"/>
      <c r="AF1" s="639"/>
      <c r="AG1" s="640"/>
      <c r="AH1" s="640"/>
      <c r="AI1" s="640"/>
      <c r="AJ1" s="640"/>
      <c r="AK1" s="640"/>
      <c r="AL1" s="640"/>
      <c r="AM1" s="640"/>
      <c r="AN1" s="640"/>
      <c r="AO1" s="640"/>
      <c r="AP1" s="639"/>
      <c r="AQ1" s="640"/>
      <c r="AR1" s="640"/>
      <c r="AS1" s="640"/>
      <c r="AT1" s="640"/>
      <c r="AU1" s="640"/>
      <c r="AV1" s="640"/>
      <c r="AW1" s="640"/>
      <c r="AX1" s="640"/>
      <c r="AY1" s="640"/>
      <c r="AZ1" s="639"/>
      <c r="BA1" s="640"/>
      <c r="BB1" s="640"/>
      <c r="BC1" s="640"/>
      <c r="BD1" s="640"/>
      <c r="BE1" s="640"/>
      <c r="BF1" s="640"/>
      <c r="BG1" s="640"/>
      <c r="BH1" s="640"/>
      <c r="BI1" s="640"/>
      <c r="BJ1" s="639"/>
      <c r="BK1" s="640"/>
      <c r="BL1" s="640"/>
      <c r="BM1" s="640"/>
      <c r="BN1" s="640"/>
      <c r="BO1" s="640"/>
      <c r="BP1" s="640"/>
      <c r="BQ1" s="640"/>
      <c r="BR1" s="640"/>
      <c r="BS1" s="640"/>
      <c r="BT1" s="639"/>
      <c r="BU1" s="640"/>
      <c r="BV1" s="640"/>
      <c r="BW1" s="640"/>
      <c r="BX1" s="640"/>
      <c r="BY1" s="640"/>
      <c r="BZ1" s="640"/>
      <c r="CA1" s="640"/>
      <c r="CB1" s="641"/>
    </row>
    <row r="2" spans="1:80" s="42" customFormat="1" ht="26.25" hidden="1">
      <c r="A2" s="168">
        <v>1</v>
      </c>
      <c r="B2" s="421"/>
      <c r="C2" s="169">
        <v>1113036</v>
      </c>
      <c r="D2" s="267" t="s">
        <v>26</v>
      </c>
      <c r="E2" s="169" t="s">
        <v>27</v>
      </c>
      <c r="F2" s="169"/>
      <c r="G2" s="183"/>
      <c r="H2" s="184">
        <v>0</v>
      </c>
      <c r="I2" s="217">
        <f t="shared" ref="I2:I35" si="0">SUM(L2,V2,AF2,AP2,AZ2,BJ2,BT2)</f>
        <v>20</v>
      </c>
      <c r="J2" s="184">
        <v>0</v>
      </c>
      <c r="K2" s="185"/>
      <c r="L2" s="410">
        <v>10</v>
      </c>
      <c r="M2" s="221"/>
      <c r="N2" s="96"/>
      <c r="O2" s="59"/>
      <c r="P2" s="59"/>
      <c r="Q2" s="59"/>
      <c r="R2" s="59"/>
      <c r="S2" s="44"/>
      <c r="T2" s="59"/>
      <c r="U2" s="220"/>
      <c r="V2" s="411"/>
      <c r="W2" s="221"/>
      <c r="X2" s="96"/>
      <c r="Y2" s="59"/>
      <c r="Z2" s="59"/>
      <c r="AA2" s="59"/>
      <c r="AB2" s="59"/>
      <c r="AC2" s="44"/>
      <c r="AD2" s="59"/>
      <c r="AE2" s="220"/>
      <c r="AF2" s="412"/>
      <c r="AG2" s="221"/>
      <c r="AH2" s="96"/>
      <c r="AI2" s="59"/>
      <c r="AJ2" s="59"/>
      <c r="AK2" s="59"/>
      <c r="AL2" s="59"/>
      <c r="AM2" s="44"/>
      <c r="AN2" s="59"/>
      <c r="AO2" s="220"/>
      <c r="AP2" s="413"/>
      <c r="AQ2" s="221"/>
      <c r="AR2" s="96"/>
      <c r="AS2" s="59"/>
      <c r="AT2" s="59"/>
      <c r="AU2" s="59"/>
      <c r="AV2" s="59"/>
      <c r="AW2" s="44"/>
      <c r="AX2" s="59"/>
      <c r="AY2" s="220"/>
      <c r="AZ2" s="414">
        <v>10</v>
      </c>
      <c r="BA2" s="221"/>
      <c r="BB2" s="96"/>
      <c r="BC2" s="59"/>
      <c r="BD2" s="59"/>
      <c r="BE2" s="59"/>
      <c r="BF2" s="59"/>
      <c r="BG2" s="44"/>
      <c r="BH2" s="59"/>
      <c r="BI2" s="220"/>
      <c r="BJ2" s="415"/>
      <c r="BK2" s="221"/>
      <c r="BL2" s="96"/>
      <c r="BM2" s="59"/>
      <c r="BN2" s="59"/>
      <c r="BO2" s="59"/>
      <c r="BP2" s="59"/>
      <c r="BQ2" s="44"/>
      <c r="BR2" s="59"/>
      <c r="BS2" s="220"/>
      <c r="BT2" s="218"/>
      <c r="BU2" s="221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53">
        <v>1</v>
      </c>
      <c r="B4" s="56"/>
      <c r="C4" s="73">
        <v>1111055</v>
      </c>
      <c r="D4" s="75" t="s">
        <v>32</v>
      </c>
      <c r="E4" s="73" t="s">
        <v>33</v>
      </c>
      <c r="F4" s="73"/>
      <c r="G4" s="116"/>
      <c r="H4" s="129">
        <v>0</v>
      </c>
      <c r="I4" s="311">
        <f t="shared" si="0"/>
        <v>1290</v>
      </c>
      <c r="J4" s="129">
        <v>0</v>
      </c>
      <c r="K4" s="117"/>
      <c r="L4" s="462">
        <v>690</v>
      </c>
      <c r="M4" s="59"/>
      <c r="N4" s="96"/>
      <c r="O4" s="59"/>
      <c r="P4" s="59"/>
      <c r="Q4" s="59"/>
      <c r="R4" s="105"/>
      <c r="S4" s="106"/>
      <c r="T4" s="59"/>
      <c r="U4" s="59"/>
      <c r="V4" s="137"/>
      <c r="W4" s="59"/>
      <c r="X4" s="96"/>
      <c r="Y4" s="59"/>
      <c r="Z4" s="59"/>
      <c r="AA4" s="59"/>
      <c r="AB4" s="105"/>
      <c r="AC4" s="44"/>
      <c r="AD4" s="59"/>
      <c r="AE4" s="59"/>
      <c r="AF4" s="531">
        <v>600</v>
      </c>
      <c r="AG4" s="105"/>
      <c r="AH4" s="96"/>
      <c r="AI4" s="59"/>
      <c r="AJ4" s="59"/>
      <c r="AK4" s="59"/>
      <c r="AL4" s="105"/>
      <c r="AM4" s="44"/>
      <c r="AN4" s="59"/>
      <c r="AO4" s="59"/>
      <c r="AP4" s="139"/>
      <c r="AQ4" s="59"/>
      <c r="AR4" s="96"/>
      <c r="AS4" s="59"/>
      <c r="AT4" s="59"/>
      <c r="AU4" s="59"/>
      <c r="AV4" s="105"/>
      <c r="AW4" s="44"/>
      <c r="AX4" s="59"/>
      <c r="AY4" s="59"/>
      <c r="AZ4" s="302"/>
      <c r="BA4" s="59"/>
      <c r="BB4" s="96"/>
      <c r="BC4" s="59"/>
      <c r="BD4" s="59"/>
      <c r="BE4" s="59"/>
      <c r="BF4" s="105"/>
      <c r="BG4" s="44"/>
      <c r="BH4" s="105"/>
      <c r="BI4" s="59"/>
      <c r="BJ4" s="141"/>
      <c r="BK4" s="59"/>
      <c r="BL4" s="96"/>
      <c r="BM4" s="59"/>
      <c r="BN4" s="59"/>
      <c r="BO4" s="59"/>
      <c r="BP4" s="105"/>
      <c r="BQ4" s="44"/>
      <c r="BR4" s="59"/>
      <c r="BS4" s="59"/>
      <c r="BT4" s="303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>
      <c r="A5" s="168">
        <v>1</v>
      </c>
      <c r="B5" s="233"/>
      <c r="C5" s="169">
        <v>1113091</v>
      </c>
      <c r="D5" s="267" t="s">
        <v>41</v>
      </c>
      <c r="E5" s="219" t="s">
        <v>42</v>
      </c>
      <c r="F5" s="169"/>
      <c r="G5" s="183"/>
      <c r="H5" s="184">
        <v>0</v>
      </c>
      <c r="I5" s="217">
        <f t="shared" si="0"/>
        <v>1090</v>
      </c>
      <c r="J5" s="184">
        <v>0</v>
      </c>
      <c r="K5" s="185"/>
      <c r="L5" s="202">
        <v>210</v>
      </c>
      <c r="M5" s="221"/>
      <c r="N5" s="96"/>
      <c r="O5" s="59"/>
      <c r="P5" s="59"/>
      <c r="Q5" s="59"/>
      <c r="R5" s="59"/>
      <c r="S5" s="44"/>
      <c r="T5" s="59"/>
      <c r="U5" s="220"/>
      <c r="V5" s="203">
        <v>145</v>
      </c>
      <c r="W5" s="221"/>
      <c r="X5" s="96"/>
      <c r="Y5" s="59"/>
      <c r="Z5" s="59"/>
      <c r="AA5" s="59"/>
      <c r="AB5" s="59"/>
      <c r="AC5" s="44"/>
      <c r="AD5" s="59"/>
      <c r="AE5" s="220"/>
      <c r="AF5" s="253">
        <v>180</v>
      </c>
      <c r="AG5" s="221"/>
      <c r="AH5" s="96"/>
      <c r="AI5" s="59"/>
      <c r="AJ5" s="59"/>
      <c r="AK5" s="59"/>
      <c r="AL5" s="59"/>
      <c r="AM5" s="44"/>
      <c r="AN5" s="59"/>
      <c r="AO5" s="220"/>
      <c r="AP5" s="262">
        <v>170</v>
      </c>
      <c r="AQ5" s="221"/>
      <c r="AR5" s="96"/>
      <c r="AS5" s="59"/>
      <c r="AT5" s="59"/>
      <c r="AU5" s="59"/>
      <c r="AV5" s="59"/>
      <c r="AW5" s="44"/>
      <c r="AX5" s="59"/>
      <c r="AY5" s="220"/>
      <c r="AZ5" s="264">
        <v>185</v>
      </c>
      <c r="BA5" s="221"/>
      <c r="BB5" s="96"/>
      <c r="BC5" s="59"/>
      <c r="BD5" s="59"/>
      <c r="BE5" s="59"/>
      <c r="BF5" s="59"/>
      <c r="BG5" s="44"/>
      <c r="BH5" s="59"/>
      <c r="BI5" s="220"/>
      <c r="BJ5" s="266">
        <v>200</v>
      </c>
      <c r="BK5" s="221"/>
      <c r="BL5" s="96"/>
      <c r="BM5" s="59"/>
      <c r="BN5" s="59"/>
      <c r="BO5" s="59"/>
      <c r="BP5" s="59"/>
      <c r="BQ5" s="44"/>
      <c r="BR5" s="59"/>
      <c r="BS5" s="220"/>
      <c r="BT5" s="205"/>
      <c r="BU5" s="221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421"/>
      <c r="C6" s="182">
        <v>1004061</v>
      </c>
      <c r="D6" s="487" t="s">
        <v>57</v>
      </c>
      <c r="E6" s="182" t="s">
        <v>27</v>
      </c>
      <c r="F6" s="182"/>
      <c r="G6" s="408"/>
      <c r="H6" s="234">
        <v>0</v>
      </c>
      <c r="I6" s="409">
        <f t="shared" si="0"/>
        <v>28</v>
      </c>
      <c r="J6" s="234">
        <v>0</v>
      </c>
      <c r="K6" s="473"/>
      <c r="L6" s="533">
        <v>13</v>
      </c>
      <c r="M6" s="221"/>
      <c r="N6" s="96"/>
      <c r="O6" s="59"/>
      <c r="P6" s="59"/>
      <c r="Q6" s="59"/>
      <c r="R6" s="59"/>
      <c r="S6" s="44"/>
      <c r="T6" s="59"/>
      <c r="U6" s="220"/>
      <c r="V6" s="474"/>
      <c r="W6" s="221"/>
      <c r="X6" s="96"/>
      <c r="Y6" s="59"/>
      <c r="Z6" s="59"/>
      <c r="AA6" s="59"/>
      <c r="AB6" s="59"/>
      <c r="AC6" s="44"/>
      <c r="AD6" s="59"/>
      <c r="AE6" s="220"/>
      <c r="AF6" s="475"/>
      <c r="AG6" s="221"/>
      <c r="AH6" s="96"/>
      <c r="AI6" s="59"/>
      <c r="AJ6" s="59"/>
      <c r="AK6" s="59"/>
      <c r="AL6" s="59"/>
      <c r="AM6" s="44"/>
      <c r="AN6" s="59"/>
      <c r="AO6" s="220"/>
      <c r="AP6" s="476"/>
      <c r="AQ6" s="221"/>
      <c r="AR6" s="96"/>
      <c r="AS6" s="59"/>
      <c r="AT6" s="59"/>
      <c r="AU6" s="59"/>
      <c r="AV6" s="59"/>
      <c r="AW6" s="44"/>
      <c r="AX6" s="59"/>
      <c r="AY6" s="220"/>
      <c r="AZ6" s="477">
        <v>15</v>
      </c>
      <c r="BA6" s="221"/>
      <c r="BB6" s="96"/>
      <c r="BC6" s="59"/>
      <c r="BD6" s="59"/>
      <c r="BE6" s="59"/>
      <c r="BF6" s="59"/>
      <c r="BG6" s="44"/>
      <c r="BH6" s="59"/>
      <c r="BI6" s="220"/>
      <c r="BJ6" s="478"/>
      <c r="BK6" s="221"/>
      <c r="BL6" s="96"/>
      <c r="BM6" s="59"/>
      <c r="BN6" s="59"/>
      <c r="BO6" s="59"/>
      <c r="BP6" s="59"/>
      <c r="BQ6" s="44"/>
      <c r="BR6" s="59"/>
      <c r="BS6" s="220"/>
      <c r="BT6" s="534"/>
      <c r="BU6" s="221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421"/>
      <c r="C7" s="169">
        <v>1004071</v>
      </c>
      <c r="D7" s="267" t="s">
        <v>122</v>
      </c>
      <c r="E7" s="169" t="s">
        <v>27</v>
      </c>
      <c r="F7" s="169"/>
      <c r="G7" s="183"/>
      <c r="H7" s="184">
        <v>0</v>
      </c>
      <c r="I7" s="217">
        <f t="shared" si="0"/>
        <v>0</v>
      </c>
      <c r="J7" s="184">
        <v>0</v>
      </c>
      <c r="K7" s="185"/>
      <c r="L7" s="410"/>
      <c r="M7" s="221"/>
      <c r="N7" s="96"/>
      <c r="O7" s="59"/>
      <c r="P7" s="59"/>
      <c r="Q7" s="59"/>
      <c r="R7" s="59"/>
      <c r="S7" s="44"/>
      <c r="T7" s="59"/>
      <c r="U7" s="220"/>
      <c r="V7" s="411"/>
      <c r="W7" s="221"/>
      <c r="X7" s="96"/>
      <c r="Y7" s="59"/>
      <c r="Z7" s="59"/>
      <c r="AA7" s="59"/>
      <c r="AB7" s="59"/>
      <c r="AC7" s="44"/>
      <c r="AD7" s="59"/>
      <c r="AE7" s="220"/>
      <c r="AF7" s="412"/>
      <c r="AG7" s="221"/>
      <c r="AH7" s="96"/>
      <c r="AI7" s="59"/>
      <c r="AJ7" s="59"/>
      <c r="AK7" s="59"/>
      <c r="AL7" s="59"/>
      <c r="AM7" s="44"/>
      <c r="AN7" s="59"/>
      <c r="AO7" s="220"/>
      <c r="AP7" s="413"/>
      <c r="AQ7" s="221"/>
      <c r="AR7" s="96"/>
      <c r="AS7" s="59"/>
      <c r="AT7" s="59"/>
      <c r="AU7" s="59"/>
      <c r="AV7" s="59"/>
      <c r="AW7" s="44"/>
      <c r="AX7" s="59"/>
      <c r="AY7" s="220"/>
      <c r="AZ7" s="414"/>
      <c r="BA7" s="221"/>
      <c r="BB7" s="96"/>
      <c r="BC7" s="59"/>
      <c r="BD7" s="59"/>
      <c r="BE7" s="59"/>
      <c r="BF7" s="59"/>
      <c r="BG7" s="44"/>
      <c r="BH7" s="59"/>
      <c r="BI7" s="220"/>
      <c r="BJ7" s="415"/>
      <c r="BK7" s="221"/>
      <c r="BL7" s="96"/>
      <c r="BM7" s="59"/>
      <c r="BN7" s="59"/>
      <c r="BO7" s="59"/>
      <c r="BP7" s="59"/>
      <c r="BQ7" s="44"/>
      <c r="BR7" s="59"/>
      <c r="BS7" s="220"/>
      <c r="BT7" s="218"/>
      <c r="BU7" s="221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421"/>
      <c r="C8" s="169">
        <v>1004070</v>
      </c>
      <c r="D8" s="267" t="s">
        <v>123</v>
      </c>
      <c r="E8" s="169" t="s">
        <v>27</v>
      </c>
      <c r="F8" s="169"/>
      <c r="G8" s="183"/>
      <c r="H8" s="184">
        <v>0</v>
      </c>
      <c r="I8" s="217">
        <f t="shared" si="0"/>
        <v>11</v>
      </c>
      <c r="J8" s="184">
        <v>0</v>
      </c>
      <c r="K8" s="185"/>
      <c r="L8" s="410">
        <v>6</v>
      </c>
      <c r="M8" s="221"/>
      <c r="N8" s="96"/>
      <c r="O8" s="59"/>
      <c r="P8" s="59"/>
      <c r="Q8" s="59"/>
      <c r="R8" s="59"/>
      <c r="S8" s="44"/>
      <c r="T8" s="59"/>
      <c r="U8" s="220"/>
      <c r="V8" s="411"/>
      <c r="W8" s="221"/>
      <c r="X8" s="96"/>
      <c r="Y8" s="59"/>
      <c r="Z8" s="59"/>
      <c r="AA8" s="59"/>
      <c r="AB8" s="59"/>
      <c r="AC8" s="44"/>
      <c r="AD8" s="59"/>
      <c r="AE8" s="220"/>
      <c r="AF8" s="412"/>
      <c r="AG8" s="221"/>
      <c r="AH8" s="96"/>
      <c r="AI8" s="59"/>
      <c r="AJ8" s="59"/>
      <c r="AK8" s="59"/>
      <c r="AL8" s="59"/>
      <c r="AM8" s="44"/>
      <c r="AN8" s="59"/>
      <c r="AO8" s="220"/>
      <c r="AP8" s="413"/>
      <c r="AQ8" s="221"/>
      <c r="AR8" s="96"/>
      <c r="AS8" s="59"/>
      <c r="AT8" s="59"/>
      <c r="AU8" s="59"/>
      <c r="AV8" s="59"/>
      <c r="AW8" s="44"/>
      <c r="AX8" s="59"/>
      <c r="AY8" s="220"/>
      <c r="AZ8" s="414">
        <v>5</v>
      </c>
      <c r="BA8" s="221"/>
      <c r="BB8" s="96"/>
      <c r="BC8" s="59"/>
      <c r="BD8" s="59"/>
      <c r="BE8" s="59"/>
      <c r="BF8" s="59"/>
      <c r="BG8" s="44"/>
      <c r="BH8" s="59"/>
      <c r="BI8" s="220"/>
      <c r="BJ8" s="415"/>
      <c r="BK8" s="221"/>
      <c r="BL8" s="96"/>
      <c r="BM8" s="59"/>
      <c r="BN8" s="59"/>
      <c r="BO8" s="59"/>
      <c r="BP8" s="59"/>
      <c r="BQ8" s="44"/>
      <c r="BR8" s="59"/>
      <c r="BS8" s="220"/>
      <c r="BT8" s="218"/>
      <c r="BU8" s="221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421"/>
      <c r="C9" s="169">
        <v>1004063</v>
      </c>
      <c r="D9" s="267" t="s">
        <v>124</v>
      </c>
      <c r="E9" s="169" t="s">
        <v>27</v>
      </c>
      <c r="F9" s="169"/>
      <c r="G9" s="183"/>
      <c r="H9" s="184">
        <v>0</v>
      </c>
      <c r="I9" s="217">
        <f t="shared" si="0"/>
        <v>53</v>
      </c>
      <c r="J9" s="184">
        <v>0</v>
      </c>
      <c r="K9" s="185"/>
      <c r="L9" s="410">
        <v>28</v>
      </c>
      <c r="M9" s="221"/>
      <c r="N9" s="96"/>
      <c r="O9" s="59"/>
      <c r="P9" s="59"/>
      <c r="Q9" s="59"/>
      <c r="R9" s="59"/>
      <c r="S9" s="44"/>
      <c r="T9" s="59"/>
      <c r="U9" s="220"/>
      <c r="V9" s="411"/>
      <c r="W9" s="221"/>
      <c r="X9" s="96"/>
      <c r="Y9" s="59"/>
      <c r="Z9" s="59"/>
      <c r="AA9" s="59"/>
      <c r="AB9" s="59"/>
      <c r="AC9" s="44"/>
      <c r="AD9" s="59"/>
      <c r="AE9" s="220"/>
      <c r="AF9" s="412"/>
      <c r="AG9" s="221"/>
      <c r="AH9" s="96"/>
      <c r="AI9" s="59"/>
      <c r="AJ9" s="59"/>
      <c r="AK9" s="59"/>
      <c r="AL9" s="59"/>
      <c r="AM9" s="44"/>
      <c r="AN9" s="59"/>
      <c r="AO9" s="220"/>
      <c r="AP9" s="413"/>
      <c r="AQ9" s="221"/>
      <c r="AR9" s="96"/>
      <c r="AS9" s="59"/>
      <c r="AT9" s="59"/>
      <c r="AU9" s="59"/>
      <c r="AV9" s="59"/>
      <c r="AW9" s="44"/>
      <c r="AX9" s="59"/>
      <c r="AY9" s="220"/>
      <c r="AZ9" s="414">
        <v>25</v>
      </c>
      <c r="BA9" s="221"/>
      <c r="BB9" s="96"/>
      <c r="BC9" s="59"/>
      <c r="BD9" s="59"/>
      <c r="BE9" s="59"/>
      <c r="BF9" s="59"/>
      <c r="BG9" s="44"/>
      <c r="BH9" s="59"/>
      <c r="BI9" s="220"/>
      <c r="BJ9" s="415"/>
      <c r="BK9" s="221"/>
      <c r="BL9" s="96"/>
      <c r="BM9" s="59"/>
      <c r="BN9" s="59"/>
      <c r="BO9" s="59"/>
      <c r="BP9" s="59"/>
      <c r="BQ9" s="44"/>
      <c r="BR9" s="59"/>
      <c r="BS9" s="220"/>
      <c r="BT9" s="218"/>
      <c r="BU9" s="221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421"/>
      <c r="C10" s="169">
        <v>1004065</v>
      </c>
      <c r="D10" s="267" t="s">
        <v>125</v>
      </c>
      <c r="E10" s="169" t="s">
        <v>27</v>
      </c>
      <c r="F10" s="169"/>
      <c r="G10" s="183"/>
      <c r="H10" s="184">
        <v>0</v>
      </c>
      <c r="I10" s="217">
        <f t="shared" si="0"/>
        <v>39</v>
      </c>
      <c r="J10" s="184">
        <v>0</v>
      </c>
      <c r="K10" s="185"/>
      <c r="L10" s="410">
        <v>19</v>
      </c>
      <c r="M10" s="221"/>
      <c r="N10" s="96"/>
      <c r="O10" s="59"/>
      <c r="P10" s="59"/>
      <c r="Q10" s="59"/>
      <c r="R10" s="59"/>
      <c r="S10" s="44"/>
      <c r="T10" s="59"/>
      <c r="U10" s="220"/>
      <c r="V10" s="411"/>
      <c r="W10" s="221"/>
      <c r="X10" s="96"/>
      <c r="Y10" s="59"/>
      <c r="Z10" s="59"/>
      <c r="AA10" s="59"/>
      <c r="AB10" s="59"/>
      <c r="AC10" s="44"/>
      <c r="AD10" s="59"/>
      <c r="AE10" s="220"/>
      <c r="AF10" s="412"/>
      <c r="AG10" s="221"/>
      <c r="AH10" s="96"/>
      <c r="AI10" s="59"/>
      <c r="AJ10" s="59"/>
      <c r="AK10" s="59"/>
      <c r="AL10" s="59"/>
      <c r="AM10" s="44"/>
      <c r="AN10" s="59"/>
      <c r="AO10" s="220"/>
      <c r="AP10" s="413"/>
      <c r="AQ10" s="221"/>
      <c r="AR10" s="96"/>
      <c r="AS10" s="59"/>
      <c r="AT10" s="59"/>
      <c r="AU10" s="59"/>
      <c r="AV10" s="59"/>
      <c r="AW10" s="44"/>
      <c r="AX10" s="59"/>
      <c r="AY10" s="220"/>
      <c r="AZ10" s="414">
        <v>20</v>
      </c>
      <c r="BA10" s="221"/>
      <c r="BB10" s="96"/>
      <c r="BC10" s="59"/>
      <c r="BD10" s="59"/>
      <c r="BE10" s="59"/>
      <c r="BF10" s="59"/>
      <c r="BG10" s="44"/>
      <c r="BH10" s="59"/>
      <c r="BI10" s="220"/>
      <c r="BJ10" s="415"/>
      <c r="BK10" s="221"/>
      <c r="BL10" s="96"/>
      <c r="BM10" s="59"/>
      <c r="BN10" s="59"/>
      <c r="BO10" s="59"/>
      <c r="BP10" s="59"/>
      <c r="BQ10" s="44"/>
      <c r="BR10" s="59"/>
      <c r="BS10" s="220"/>
      <c r="BT10" s="218"/>
      <c r="BU10" s="221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421"/>
      <c r="C11" s="169">
        <v>1004074</v>
      </c>
      <c r="D11" s="267" t="s">
        <v>128</v>
      </c>
      <c r="E11" s="169" t="s">
        <v>27</v>
      </c>
      <c r="F11" s="169"/>
      <c r="G11" s="183"/>
      <c r="H11" s="184">
        <v>0</v>
      </c>
      <c r="I11" s="217">
        <f t="shared" si="0"/>
        <v>37</v>
      </c>
      <c r="J11" s="184">
        <v>0</v>
      </c>
      <c r="K11" s="185"/>
      <c r="L11" s="410">
        <v>17</v>
      </c>
      <c r="M11" s="221"/>
      <c r="N11" s="96"/>
      <c r="O11" s="59"/>
      <c r="P11" s="59"/>
      <c r="Q11" s="59"/>
      <c r="R11" s="59"/>
      <c r="S11" s="44"/>
      <c r="T11" s="59"/>
      <c r="U11" s="220"/>
      <c r="V11" s="411"/>
      <c r="W11" s="221"/>
      <c r="X11" s="96"/>
      <c r="Y11" s="59"/>
      <c r="Z11" s="59"/>
      <c r="AA11" s="59"/>
      <c r="AB11" s="59"/>
      <c r="AC11" s="44"/>
      <c r="AD11" s="59"/>
      <c r="AE11" s="220"/>
      <c r="AF11" s="412"/>
      <c r="AG11" s="221"/>
      <c r="AH11" s="96"/>
      <c r="AI11" s="59"/>
      <c r="AJ11" s="59"/>
      <c r="AK11" s="59"/>
      <c r="AL11" s="59"/>
      <c r="AM11" s="44"/>
      <c r="AN11" s="59"/>
      <c r="AO11" s="220"/>
      <c r="AP11" s="413"/>
      <c r="AQ11" s="221"/>
      <c r="AR11" s="96"/>
      <c r="AS11" s="59"/>
      <c r="AT11" s="59"/>
      <c r="AU11" s="59"/>
      <c r="AV11" s="59"/>
      <c r="AW11" s="44"/>
      <c r="AX11" s="59"/>
      <c r="AY11" s="220"/>
      <c r="AZ11" s="414">
        <v>20</v>
      </c>
      <c r="BA11" s="221"/>
      <c r="BB11" s="96"/>
      <c r="BC11" s="59"/>
      <c r="BD11" s="59"/>
      <c r="BE11" s="59"/>
      <c r="BF11" s="59"/>
      <c r="BG11" s="44"/>
      <c r="BH11" s="59"/>
      <c r="BI11" s="220"/>
      <c r="BJ11" s="415"/>
      <c r="BK11" s="221"/>
      <c r="BL11" s="96"/>
      <c r="BM11" s="59"/>
      <c r="BN11" s="59"/>
      <c r="BO11" s="59"/>
      <c r="BP11" s="59"/>
      <c r="BQ11" s="44"/>
      <c r="BR11" s="59"/>
      <c r="BS11" s="220"/>
      <c r="BT11" s="218"/>
      <c r="BU11" s="221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421"/>
      <c r="C12" s="169">
        <v>1004064</v>
      </c>
      <c r="D12" s="267" t="s">
        <v>131</v>
      </c>
      <c r="E12" s="169" t="s">
        <v>27</v>
      </c>
      <c r="F12" s="169"/>
      <c r="G12" s="183"/>
      <c r="H12" s="184">
        <v>0</v>
      </c>
      <c r="I12" s="217">
        <f t="shared" si="0"/>
        <v>23</v>
      </c>
      <c r="J12" s="184">
        <v>0</v>
      </c>
      <c r="K12" s="185"/>
      <c r="L12" s="410">
        <v>13</v>
      </c>
      <c r="M12" s="221"/>
      <c r="N12" s="96"/>
      <c r="O12" s="59"/>
      <c r="P12" s="59"/>
      <c r="Q12" s="59"/>
      <c r="R12" s="59"/>
      <c r="S12" s="44"/>
      <c r="T12" s="59"/>
      <c r="U12" s="220"/>
      <c r="V12" s="411"/>
      <c r="W12" s="221"/>
      <c r="X12" s="96"/>
      <c r="Y12" s="59"/>
      <c r="Z12" s="59"/>
      <c r="AA12" s="59"/>
      <c r="AB12" s="59"/>
      <c r="AC12" s="44"/>
      <c r="AD12" s="59"/>
      <c r="AE12" s="220"/>
      <c r="AF12" s="412"/>
      <c r="AG12" s="221"/>
      <c r="AH12" s="96"/>
      <c r="AI12" s="59"/>
      <c r="AJ12" s="59"/>
      <c r="AK12" s="59"/>
      <c r="AL12" s="59"/>
      <c r="AM12" s="44"/>
      <c r="AN12" s="59"/>
      <c r="AO12" s="220"/>
      <c r="AP12" s="413"/>
      <c r="AQ12" s="221"/>
      <c r="AR12" s="96"/>
      <c r="AS12" s="59"/>
      <c r="AT12" s="59"/>
      <c r="AU12" s="59"/>
      <c r="AV12" s="59"/>
      <c r="AW12" s="44"/>
      <c r="AX12" s="59"/>
      <c r="AY12" s="220"/>
      <c r="AZ12" s="414">
        <v>10</v>
      </c>
      <c r="BA12" s="221"/>
      <c r="BB12" s="96"/>
      <c r="BC12" s="59"/>
      <c r="BD12" s="59"/>
      <c r="BE12" s="59"/>
      <c r="BF12" s="59"/>
      <c r="BG12" s="44"/>
      <c r="BH12" s="59"/>
      <c r="BI12" s="220"/>
      <c r="BJ12" s="415"/>
      <c r="BK12" s="221"/>
      <c r="BL12" s="96"/>
      <c r="BM12" s="59"/>
      <c r="BN12" s="59"/>
      <c r="BO12" s="59"/>
      <c r="BP12" s="59"/>
      <c r="BQ12" s="44"/>
      <c r="BR12" s="59"/>
      <c r="BS12" s="220"/>
      <c r="BT12" s="218"/>
      <c r="BU12" s="221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421"/>
      <c r="C13" s="169">
        <v>1004072</v>
      </c>
      <c r="D13" s="267" t="s">
        <v>133</v>
      </c>
      <c r="E13" s="169" t="s">
        <v>27</v>
      </c>
      <c r="F13" s="169"/>
      <c r="G13" s="183"/>
      <c r="H13" s="184">
        <v>0</v>
      </c>
      <c r="I13" s="217">
        <f t="shared" si="0"/>
        <v>17</v>
      </c>
      <c r="J13" s="184">
        <v>0</v>
      </c>
      <c r="K13" s="185"/>
      <c r="L13" s="410">
        <v>7</v>
      </c>
      <c r="M13" s="221"/>
      <c r="N13" s="96"/>
      <c r="O13" s="59"/>
      <c r="P13" s="59"/>
      <c r="Q13" s="59"/>
      <c r="R13" s="59"/>
      <c r="S13" s="44"/>
      <c r="T13" s="59"/>
      <c r="U13" s="220"/>
      <c r="V13" s="411"/>
      <c r="W13" s="221"/>
      <c r="X13" s="96"/>
      <c r="Y13" s="59"/>
      <c r="Z13" s="59"/>
      <c r="AA13" s="59"/>
      <c r="AB13" s="59"/>
      <c r="AC13" s="44"/>
      <c r="AD13" s="59"/>
      <c r="AE13" s="220"/>
      <c r="AF13" s="412"/>
      <c r="AG13" s="221"/>
      <c r="AH13" s="96"/>
      <c r="AI13" s="59"/>
      <c r="AJ13" s="59"/>
      <c r="AK13" s="59"/>
      <c r="AL13" s="59"/>
      <c r="AM13" s="44"/>
      <c r="AN13" s="59"/>
      <c r="AO13" s="220"/>
      <c r="AP13" s="413"/>
      <c r="AQ13" s="221"/>
      <c r="AR13" s="96"/>
      <c r="AS13" s="59"/>
      <c r="AT13" s="59"/>
      <c r="AU13" s="59"/>
      <c r="AV13" s="59"/>
      <c r="AW13" s="44"/>
      <c r="AX13" s="59"/>
      <c r="AY13" s="220"/>
      <c r="AZ13" s="414">
        <v>10</v>
      </c>
      <c r="BA13" s="221"/>
      <c r="BB13" s="96"/>
      <c r="BC13" s="59"/>
      <c r="BD13" s="59"/>
      <c r="BE13" s="59"/>
      <c r="BF13" s="59"/>
      <c r="BG13" s="44"/>
      <c r="BH13" s="59"/>
      <c r="BI13" s="220"/>
      <c r="BJ13" s="415"/>
      <c r="BK13" s="221"/>
      <c r="BL13" s="96"/>
      <c r="BM13" s="59"/>
      <c r="BN13" s="59"/>
      <c r="BO13" s="59"/>
      <c r="BP13" s="59"/>
      <c r="BQ13" s="44"/>
      <c r="BR13" s="59"/>
      <c r="BS13" s="220"/>
      <c r="BT13" s="218"/>
      <c r="BU13" s="221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421"/>
      <c r="C14" s="169">
        <v>1113008</v>
      </c>
      <c r="D14" s="267" t="s">
        <v>137</v>
      </c>
      <c r="E14" s="169" t="s">
        <v>27</v>
      </c>
      <c r="F14" s="169"/>
      <c r="G14" s="183"/>
      <c r="H14" s="184">
        <v>0</v>
      </c>
      <c r="I14" s="217">
        <f t="shared" ref="I14" si="3">SUM(L14,V14,AF14,AP14,AZ14,BJ14,BT14)</f>
        <v>41</v>
      </c>
      <c r="J14" s="184">
        <v>0</v>
      </c>
      <c r="K14" s="185"/>
      <c r="L14" s="410">
        <v>21</v>
      </c>
      <c r="M14" s="221"/>
      <c r="N14" s="96"/>
      <c r="O14" s="59"/>
      <c r="P14" s="59"/>
      <c r="Q14" s="59"/>
      <c r="R14" s="59"/>
      <c r="S14" s="44"/>
      <c r="T14" s="59"/>
      <c r="U14" s="220"/>
      <c r="V14" s="411"/>
      <c r="W14" s="221"/>
      <c r="X14" s="96"/>
      <c r="Y14" s="59"/>
      <c r="Z14" s="59"/>
      <c r="AA14" s="59"/>
      <c r="AB14" s="59"/>
      <c r="AC14" s="44"/>
      <c r="AD14" s="59"/>
      <c r="AE14" s="220"/>
      <c r="AF14" s="412"/>
      <c r="AG14" s="221"/>
      <c r="AH14" s="96"/>
      <c r="AI14" s="59"/>
      <c r="AJ14" s="59"/>
      <c r="AK14" s="59"/>
      <c r="AL14" s="59"/>
      <c r="AM14" s="44"/>
      <c r="AN14" s="59"/>
      <c r="AO14" s="220"/>
      <c r="AP14" s="413"/>
      <c r="AQ14" s="221"/>
      <c r="AR14" s="96"/>
      <c r="AS14" s="59"/>
      <c r="AT14" s="59"/>
      <c r="AU14" s="59"/>
      <c r="AV14" s="59"/>
      <c r="AW14" s="44"/>
      <c r="AX14" s="59"/>
      <c r="AY14" s="220"/>
      <c r="AZ14" s="414">
        <v>20</v>
      </c>
      <c r="BA14" s="221"/>
      <c r="BB14" s="96"/>
      <c r="BC14" s="59"/>
      <c r="BD14" s="59"/>
      <c r="BE14" s="59"/>
      <c r="BF14" s="59"/>
      <c r="BG14" s="44"/>
      <c r="BH14" s="59"/>
      <c r="BI14" s="220"/>
      <c r="BJ14" s="415"/>
      <c r="BK14" s="221"/>
      <c r="BL14" s="96"/>
      <c r="BM14" s="59"/>
      <c r="BN14" s="59"/>
      <c r="BO14" s="59"/>
      <c r="BP14" s="59"/>
      <c r="BQ14" s="44"/>
      <c r="BR14" s="59"/>
      <c r="BS14" s="220"/>
      <c r="BT14" s="218"/>
      <c r="BU14" s="221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86">
        <v>11</v>
      </c>
      <c r="B15" s="460"/>
      <c r="C15" s="230">
        <v>1113106</v>
      </c>
      <c r="D15" s="429" t="s">
        <v>152</v>
      </c>
      <c r="E15" s="230" t="s">
        <v>27</v>
      </c>
      <c r="F15" s="230"/>
      <c r="G15" s="231"/>
      <c r="H15" s="232">
        <v>0</v>
      </c>
      <c r="I15" s="403">
        <f t="shared" ref="I15" si="4">SUM(L15,V15,AF15,AP15,AZ15,BJ15,BT15)</f>
        <v>27</v>
      </c>
      <c r="J15" s="232">
        <v>0</v>
      </c>
      <c r="K15" s="258"/>
      <c r="L15" s="461">
        <v>12</v>
      </c>
      <c r="M15" s="221"/>
      <c r="N15" s="96"/>
      <c r="O15" s="59"/>
      <c r="P15" s="59"/>
      <c r="Q15" s="59"/>
      <c r="R15" s="59"/>
      <c r="S15" s="44"/>
      <c r="T15" s="59"/>
      <c r="U15" s="220"/>
      <c r="V15" s="430"/>
      <c r="W15" s="221"/>
      <c r="X15" s="96"/>
      <c r="Y15" s="59"/>
      <c r="Z15" s="59"/>
      <c r="AA15" s="59"/>
      <c r="AB15" s="59"/>
      <c r="AC15" s="44"/>
      <c r="AD15" s="59"/>
      <c r="AE15" s="220"/>
      <c r="AF15" s="431"/>
      <c r="AG15" s="221"/>
      <c r="AH15" s="96"/>
      <c r="AI15" s="59"/>
      <c r="AJ15" s="59"/>
      <c r="AK15" s="59"/>
      <c r="AL15" s="59"/>
      <c r="AM15" s="44"/>
      <c r="AN15" s="59"/>
      <c r="AO15" s="220"/>
      <c r="AP15" s="432"/>
      <c r="AQ15" s="221"/>
      <c r="AR15" s="96"/>
      <c r="AS15" s="59"/>
      <c r="AT15" s="59"/>
      <c r="AU15" s="59"/>
      <c r="AV15" s="59"/>
      <c r="AW15" s="44"/>
      <c r="AX15" s="59"/>
      <c r="AY15" s="220"/>
      <c r="AZ15" s="433">
        <v>15</v>
      </c>
      <c r="BA15" s="221"/>
      <c r="BB15" s="96"/>
      <c r="BC15" s="59"/>
      <c r="BD15" s="59"/>
      <c r="BE15" s="59"/>
      <c r="BF15" s="59"/>
      <c r="BG15" s="44"/>
      <c r="BH15" s="59"/>
      <c r="BI15" s="220"/>
      <c r="BJ15" s="434"/>
      <c r="BK15" s="221"/>
      <c r="BL15" s="96"/>
      <c r="BM15" s="59"/>
      <c r="BN15" s="59"/>
      <c r="BO15" s="59"/>
      <c r="BP15" s="59"/>
      <c r="BQ15" s="44"/>
      <c r="BR15" s="59"/>
      <c r="BS15" s="220"/>
      <c r="BT15" s="532"/>
      <c r="BU15" s="221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>
      <c r="A16" s="168">
        <v>2</v>
      </c>
      <c r="B16" s="233"/>
      <c r="C16" s="312">
        <v>1113090</v>
      </c>
      <c r="D16" s="313" t="s">
        <v>406</v>
      </c>
      <c r="E16" s="219" t="s">
        <v>42</v>
      </c>
      <c r="F16" s="169"/>
      <c r="G16" s="183"/>
      <c r="H16" s="184">
        <v>0</v>
      </c>
      <c r="I16" s="217">
        <f t="shared" ref="I16" si="5">SUM(L16,V16,AF16,AP16,AZ16,BJ16,BT16)</f>
        <v>6246</v>
      </c>
      <c r="J16" s="184">
        <v>0</v>
      </c>
      <c r="K16" s="185"/>
      <c r="L16" s="257">
        <v>1546</v>
      </c>
      <c r="M16" s="221"/>
      <c r="N16" s="96"/>
      <c r="O16" s="59"/>
      <c r="P16" s="59"/>
      <c r="Q16" s="59"/>
      <c r="R16" s="59"/>
      <c r="S16" s="106"/>
      <c r="T16" s="59"/>
      <c r="U16" s="220"/>
      <c r="V16" s="203">
        <v>843</v>
      </c>
      <c r="W16" s="221"/>
      <c r="X16" s="96"/>
      <c r="Y16" s="59"/>
      <c r="Z16" s="59"/>
      <c r="AA16" s="59"/>
      <c r="AB16" s="59"/>
      <c r="AC16" s="44"/>
      <c r="AD16" s="59"/>
      <c r="AE16" s="220"/>
      <c r="AF16" s="227">
        <v>840</v>
      </c>
      <c r="AG16" s="221"/>
      <c r="AH16" s="96"/>
      <c r="AI16" s="59"/>
      <c r="AJ16" s="59"/>
      <c r="AK16" s="59"/>
      <c r="AL16" s="59"/>
      <c r="AM16" s="106"/>
      <c r="AN16" s="59"/>
      <c r="AO16" s="220"/>
      <c r="AP16" s="248">
        <v>868</v>
      </c>
      <c r="AQ16" s="221"/>
      <c r="AR16" s="96"/>
      <c r="AS16" s="59"/>
      <c r="AT16" s="59"/>
      <c r="AU16" s="59"/>
      <c r="AV16" s="59"/>
      <c r="AW16" s="44"/>
      <c r="AX16" s="59"/>
      <c r="AY16" s="220"/>
      <c r="AZ16" s="204">
        <v>949</v>
      </c>
      <c r="BA16" s="221"/>
      <c r="BB16" s="96"/>
      <c r="BC16" s="59"/>
      <c r="BD16" s="59"/>
      <c r="BE16" s="59"/>
      <c r="BF16" s="59"/>
      <c r="BG16" s="106"/>
      <c r="BH16" s="59"/>
      <c r="BI16" s="220"/>
      <c r="BJ16" s="266">
        <v>1200</v>
      </c>
      <c r="BK16" s="221"/>
      <c r="BL16" s="96"/>
      <c r="BM16" s="59"/>
      <c r="BN16" s="59"/>
      <c r="BO16" s="59"/>
      <c r="BP16" s="59"/>
      <c r="BQ16" s="44"/>
      <c r="BR16" s="59"/>
      <c r="BS16" s="220"/>
      <c r="BT16" s="205"/>
      <c r="BU16" s="221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>
      <c r="A17" s="168">
        <v>1</v>
      </c>
      <c r="B17" s="233"/>
      <c r="C17" s="314">
        <v>1113087</v>
      </c>
      <c r="D17" s="315" t="s">
        <v>169</v>
      </c>
      <c r="E17" s="219" t="s">
        <v>170</v>
      </c>
      <c r="F17" s="169"/>
      <c r="G17" s="183"/>
      <c r="H17" s="184">
        <v>0</v>
      </c>
      <c r="I17" s="217">
        <f t="shared" ref="I17" si="6">SUM(L17,V17,AF17,AP17,AZ17,BJ17,BT17)</f>
        <v>5912</v>
      </c>
      <c r="J17" s="184">
        <v>0</v>
      </c>
      <c r="K17" s="185"/>
      <c r="L17" s="257">
        <v>1299</v>
      </c>
      <c r="M17" s="221"/>
      <c r="N17" s="96"/>
      <c r="O17" s="59"/>
      <c r="P17" s="59"/>
      <c r="Q17" s="59"/>
      <c r="R17" s="59"/>
      <c r="S17" s="106"/>
      <c r="T17" s="59"/>
      <c r="U17" s="220"/>
      <c r="V17" s="203">
        <v>1245</v>
      </c>
      <c r="W17" s="221"/>
      <c r="X17" s="96"/>
      <c r="Y17" s="59"/>
      <c r="Z17" s="59"/>
      <c r="AA17" s="59"/>
      <c r="AB17" s="59"/>
      <c r="AC17" s="44"/>
      <c r="AD17" s="59"/>
      <c r="AE17" s="220"/>
      <c r="AF17" s="227">
        <v>855</v>
      </c>
      <c r="AG17" s="221"/>
      <c r="AH17" s="96"/>
      <c r="AI17" s="59"/>
      <c r="AJ17" s="59"/>
      <c r="AK17" s="59"/>
      <c r="AL17" s="59"/>
      <c r="AM17" s="106"/>
      <c r="AN17" s="59"/>
      <c r="AO17" s="220"/>
      <c r="AP17" s="248">
        <v>781</v>
      </c>
      <c r="AQ17" s="221"/>
      <c r="AR17" s="96"/>
      <c r="AS17" s="59"/>
      <c r="AT17" s="59"/>
      <c r="AU17" s="59"/>
      <c r="AV17" s="59"/>
      <c r="AW17" s="44"/>
      <c r="AX17" s="59"/>
      <c r="AY17" s="220"/>
      <c r="AZ17" s="204">
        <v>732</v>
      </c>
      <c r="BA17" s="221"/>
      <c r="BB17" s="96"/>
      <c r="BC17" s="59"/>
      <c r="BD17" s="59"/>
      <c r="BE17" s="59"/>
      <c r="BF17" s="59"/>
      <c r="BG17" s="106"/>
      <c r="BH17" s="59"/>
      <c r="BI17" s="220"/>
      <c r="BJ17" s="266">
        <v>1000</v>
      </c>
      <c r="BK17" s="221"/>
      <c r="BL17" s="96"/>
      <c r="BM17" s="59"/>
      <c r="BN17" s="59"/>
      <c r="BO17" s="59"/>
      <c r="BP17" s="59"/>
      <c r="BQ17" s="44"/>
      <c r="BR17" s="59"/>
      <c r="BS17" s="220"/>
      <c r="BT17" s="205"/>
      <c r="BU17" s="221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146">
        <v>0</v>
      </c>
      <c r="I18" s="63">
        <f t="shared" si="0"/>
        <v>12300</v>
      </c>
      <c r="J18" s="146">
        <v>0</v>
      </c>
      <c r="K18" s="147"/>
      <c r="L18" s="104">
        <v>1800</v>
      </c>
      <c r="M18" s="59"/>
      <c r="N18" s="96"/>
      <c r="O18" s="59"/>
      <c r="P18" s="59"/>
      <c r="Q18" s="59"/>
      <c r="R18" s="105"/>
      <c r="S18" s="106"/>
      <c r="T18" s="59"/>
      <c r="U18" s="59"/>
      <c r="V18" s="107">
        <v>1860</v>
      </c>
      <c r="W18" s="59"/>
      <c r="X18" s="96"/>
      <c r="Y18" s="59"/>
      <c r="Z18" s="59"/>
      <c r="AA18" s="59"/>
      <c r="AB18" s="105"/>
      <c r="AC18" s="106"/>
      <c r="AD18" s="59"/>
      <c r="AE18" s="59"/>
      <c r="AF18" s="108">
        <v>1740</v>
      </c>
      <c r="AG18" s="105"/>
      <c r="AH18" s="96"/>
      <c r="AI18" s="59"/>
      <c r="AJ18" s="59"/>
      <c r="AK18" s="59"/>
      <c r="AL18" s="105"/>
      <c r="AM18" s="106"/>
      <c r="AN18" s="59"/>
      <c r="AO18" s="59"/>
      <c r="AP18" s="127">
        <v>1920</v>
      </c>
      <c r="AQ18" s="59"/>
      <c r="AR18" s="96"/>
      <c r="AS18" s="59"/>
      <c r="AT18" s="59"/>
      <c r="AU18" s="59"/>
      <c r="AV18" s="105"/>
      <c r="AW18" s="106"/>
      <c r="AX18" s="59"/>
      <c r="AY18" s="59"/>
      <c r="AZ18" s="109">
        <v>1680</v>
      </c>
      <c r="BA18" s="59"/>
      <c r="BB18" s="96"/>
      <c r="BC18" s="59"/>
      <c r="BD18" s="59"/>
      <c r="BE18" s="59"/>
      <c r="BF18" s="105"/>
      <c r="BG18" s="106"/>
      <c r="BH18" s="105"/>
      <c r="BI18" s="59"/>
      <c r="BJ18" s="110">
        <v>1700</v>
      </c>
      <c r="BK18" s="59"/>
      <c r="BL18" s="96"/>
      <c r="BM18" s="59"/>
      <c r="BN18" s="59"/>
      <c r="BO18" s="59"/>
      <c r="BP18" s="105"/>
      <c r="BQ18" s="106"/>
      <c r="BR18" s="59"/>
      <c r="BS18" s="59"/>
      <c r="BT18" s="229">
        <v>1600</v>
      </c>
      <c r="BU18" s="59"/>
      <c r="BV18" s="96">
        <f t="shared" si="1"/>
        <v>1600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1600</v>
      </c>
      <c r="CB18" s="59">
        <v>0</v>
      </c>
    </row>
    <row r="19" spans="1:80" s="42" customFormat="1" ht="26.25" hidden="1">
      <c r="A19" s="286">
        <v>12</v>
      </c>
      <c r="B19" s="460"/>
      <c r="C19" s="230">
        <v>1113056</v>
      </c>
      <c r="D19" s="429" t="s">
        <v>181</v>
      </c>
      <c r="E19" s="230" t="s">
        <v>27</v>
      </c>
      <c r="F19" s="230"/>
      <c r="G19" s="231"/>
      <c r="H19" s="232">
        <v>0</v>
      </c>
      <c r="I19" s="403">
        <f t="shared" ref="I19:I20" si="7">SUM(L19,V19,AF19,AP19,AZ19,BJ19,BT19)</f>
        <v>0</v>
      </c>
      <c r="J19" s="232">
        <v>0</v>
      </c>
      <c r="K19" s="258"/>
      <c r="L19" s="461"/>
      <c r="M19" s="221"/>
      <c r="N19" s="96"/>
      <c r="O19" s="59"/>
      <c r="P19" s="59"/>
      <c r="Q19" s="59"/>
      <c r="R19" s="59"/>
      <c r="S19" s="44"/>
      <c r="T19" s="59"/>
      <c r="U19" s="220"/>
      <c r="V19" s="430"/>
      <c r="W19" s="221"/>
      <c r="X19" s="96"/>
      <c r="Y19" s="59"/>
      <c r="Z19" s="59"/>
      <c r="AA19" s="59"/>
      <c r="AB19" s="59"/>
      <c r="AC19" s="44"/>
      <c r="AD19" s="59"/>
      <c r="AE19" s="220"/>
      <c r="AF19" s="431"/>
      <c r="AG19" s="221"/>
      <c r="AH19" s="96"/>
      <c r="AI19" s="59"/>
      <c r="AJ19" s="59"/>
      <c r="AK19" s="59"/>
      <c r="AL19" s="59"/>
      <c r="AM19" s="44"/>
      <c r="AN19" s="59"/>
      <c r="AO19" s="220"/>
      <c r="AP19" s="432"/>
      <c r="AQ19" s="221"/>
      <c r="AR19" s="96"/>
      <c r="AS19" s="59"/>
      <c r="AT19" s="59"/>
      <c r="AU19" s="59"/>
      <c r="AV19" s="59"/>
      <c r="AW19" s="44"/>
      <c r="AX19" s="59"/>
      <c r="AY19" s="220"/>
      <c r="AZ19" s="433"/>
      <c r="BA19" s="221"/>
      <c r="BB19" s="96"/>
      <c r="BC19" s="59"/>
      <c r="BD19" s="59"/>
      <c r="BE19" s="59"/>
      <c r="BF19" s="59"/>
      <c r="BG19" s="44"/>
      <c r="BH19" s="59"/>
      <c r="BI19" s="220"/>
      <c r="BJ19" s="434"/>
      <c r="BK19" s="221"/>
      <c r="BL19" s="96"/>
      <c r="BM19" s="59"/>
      <c r="BN19" s="59"/>
      <c r="BO19" s="59"/>
      <c r="BP19" s="59"/>
      <c r="BQ19" s="44"/>
      <c r="BR19" s="59"/>
      <c r="BS19" s="220"/>
      <c r="BT19" s="532"/>
      <c r="BU19" s="221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422"/>
      <c r="C20" s="169">
        <v>1113059</v>
      </c>
      <c r="D20" s="267" t="s">
        <v>182</v>
      </c>
      <c r="E20" s="169" t="s">
        <v>27</v>
      </c>
      <c r="F20" s="169"/>
      <c r="G20" s="183"/>
      <c r="H20" s="184">
        <v>0</v>
      </c>
      <c r="I20" s="217">
        <f t="shared" si="7"/>
        <v>0</v>
      </c>
      <c r="J20" s="184">
        <v>0</v>
      </c>
      <c r="K20" s="185"/>
      <c r="L20" s="416"/>
      <c r="M20" s="221"/>
      <c r="N20" s="96"/>
      <c r="O20" s="59"/>
      <c r="P20" s="59"/>
      <c r="Q20" s="59"/>
      <c r="R20" s="59"/>
      <c r="S20" s="44"/>
      <c r="T20" s="59"/>
      <c r="U20" s="220"/>
      <c r="V20" s="411"/>
      <c r="W20" s="221"/>
      <c r="X20" s="96"/>
      <c r="Y20" s="59"/>
      <c r="Z20" s="59"/>
      <c r="AA20" s="59"/>
      <c r="AB20" s="59"/>
      <c r="AC20" s="44"/>
      <c r="AD20" s="59"/>
      <c r="AE20" s="220"/>
      <c r="AF20" s="412"/>
      <c r="AG20" s="221"/>
      <c r="AH20" s="96"/>
      <c r="AI20" s="59"/>
      <c r="AJ20" s="59"/>
      <c r="AK20" s="59"/>
      <c r="AL20" s="59"/>
      <c r="AM20" s="44"/>
      <c r="AN20" s="59"/>
      <c r="AO20" s="220"/>
      <c r="AP20" s="413"/>
      <c r="AQ20" s="221"/>
      <c r="AR20" s="96"/>
      <c r="AS20" s="59"/>
      <c r="AT20" s="59"/>
      <c r="AU20" s="59"/>
      <c r="AV20" s="59"/>
      <c r="AW20" s="44"/>
      <c r="AX20" s="59"/>
      <c r="AY20" s="220"/>
      <c r="AZ20" s="417"/>
      <c r="BA20" s="221"/>
      <c r="BB20" s="96"/>
      <c r="BC20" s="59"/>
      <c r="BD20" s="59"/>
      <c r="BE20" s="59"/>
      <c r="BF20" s="59"/>
      <c r="BG20" s="44"/>
      <c r="BH20" s="59"/>
      <c r="BI20" s="220"/>
      <c r="BJ20" s="415"/>
      <c r="BK20" s="221"/>
      <c r="BL20" s="96"/>
      <c r="BM20" s="59"/>
      <c r="BN20" s="59"/>
      <c r="BO20" s="59"/>
      <c r="BP20" s="59"/>
      <c r="BQ20" s="44"/>
      <c r="BR20" s="59"/>
      <c r="BS20" s="220"/>
      <c r="BT20" s="218"/>
      <c r="BU20" s="221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168">
        <v>14</v>
      </c>
      <c r="B21" s="421"/>
      <c r="C21" s="169">
        <v>1005977</v>
      </c>
      <c r="D21" s="267" t="s">
        <v>189</v>
      </c>
      <c r="E21" s="169" t="s">
        <v>27</v>
      </c>
      <c r="F21" s="169"/>
      <c r="G21" s="183"/>
      <c r="H21" s="184">
        <v>0</v>
      </c>
      <c r="I21" s="217">
        <f t="shared" ref="I21:I22" si="8">SUM(L21,V21,AF21,AP21,AZ21,BJ21,BT21)</f>
        <v>0</v>
      </c>
      <c r="J21" s="184">
        <v>0</v>
      </c>
      <c r="K21" s="185"/>
      <c r="L21" s="410"/>
      <c r="M21" s="221"/>
      <c r="N21" s="96"/>
      <c r="O21" s="59"/>
      <c r="P21" s="59"/>
      <c r="Q21" s="59"/>
      <c r="R21" s="59"/>
      <c r="S21" s="44"/>
      <c r="T21" s="59"/>
      <c r="U21" s="220"/>
      <c r="V21" s="411"/>
      <c r="W21" s="221"/>
      <c r="X21" s="96"/>
      <c r="Y21" s="59"/>
      <c r="Z21" s="59"/>
      <c r="AA21" s="59"/>
      <c r="AB21" s="59"/>
      <c r="AC21" s="44"/>
      <c r="AD21" s="59"/>
      <c r="AE21" s="220"/>
      <c r="AF21" s="412"/>
      <c r="AG21" s="221"/>
      <c r="AH21" s="96"/>
      <c r="AI21" s="59"/>
      <c r="AJ21" s="59"/>
      <c r="AK21" s="59"/>
      <c r="AL21" s="59"/>
      <c r="AM21" s="44"/>
      <c r="AN21" s="59"/>
      <c r="AO21" s="220"/>
      <c r="AP21" s="413"/>
      <c r="AQ21" s="221"/>
      <c r="AR21" s="96"/>
      <c r="AS21" s="59"/>
      <c r="AT21" s="59"/>
      <c r="AU21" s="59"/>
      <c r="AV21" s="59"/>
      <c r="AW21" s="44"/>
      <c r="AX21" s="59"/>
      <c r="AY21" s="220"/>
      <c r="AZ21" s="414"/>
      <c r="BA21" s="221"/>
      <c r="BB21" s="96"/>
      <c r="BC21" s="59"/>
      <c r="BD21" s="59"/>
      <c r="BE21" s="59"/>
      <c r="BF21" s="59"/>
      <c r="BG21" s="44"/>
      <c r="BH21" s="59"/>
      <c r="BI21" s="220"/>
      <c r="BJ21" s="415"/>
      <c r="BK21" s="221"/>
      <c r="BL21" s="96"/>
      <c r="BM21" s="59"/>
      <c r="BN21" s="59"/>
      <c r="BO21" s="59"/>
      <c r="BP21" s="59"/>
      <c r="BQ21" s="44"/>
      <c r="BR21" s="59"/>
      <c r="BS21" s="220"/>
      <c r="BT21" s="218"/>
      <c r="BU21" s="221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168">
        <v>15</v>
      </c>
      <c r="B22" s="422"/>
      <c r="C22" s="169">
        <v>1113088</v>
      </c>
      <c r="D22" s="267" t="s">
        <v>407</v>
      </c>
      <c r="E22" s="169" t="s">
        <v>27</v>
      </c>
      <c r="F22" s="169"/>
      <c r="G22" s="183"/>
      <c r="H22" s="184">
        <v>0</v>
      </c>
      <c r="I22" s="217">
        <f t="shared" si="8"/>
        <v>37</v>
      </c>
      <c r="J22" s="184">
        <v>0</v>
      </c>
      <c r="K22" s="185"/>
      <c r="L22" s="202">
        <v>17</v>
      </c>
      <c r="M22" s="221"/>
      <c r="N22" s="96"/>
      <c r="O22" s="59"/>
      <c r="P22" s="59"/>
      <c r="Q22" s="59"/>
      <c r="R22" s="59"/>
      <c r="S22" s="44"/>
      <c r="T22" s="59"/>
      <c r="U22" s="220"/>
      <c r="V22" s="203"/>
      <c r="W22" s="221"/>
      <c r="X22" s="96"/>
      <c r="Y22" s="59"/>
      <c r="Z22" s="59"/>
      <c r="AA22" s="59"/>
      <c r="AB22" s="59"/>
      <c r="AC22" s="44"/>
      <c r="AD22" s="59"/>
      <c r="AE22" s="220"/>
      <c r="AF22" s="253"/>
      <c r="AG22" s="221"/>
      <c r="AH22" s="96"/>
      <c r="AI22" s="59"/>
      <c r="AJ22" s="59"/>
      <c r="AK22" s="59"/>
      <c r="AL22" s="59"/>
      <c r="AM22" s="44"/>
      <c r="AN22" s="59"/>
      <c r="AO22" s="220"/>
      <c r="AP22" s="262"/>
      <c r="AQ22" s="221"/>
      <c r="AR22" s="96"/>
      <c r="AS22" s="59"/>
      <c r="AT22" s="59"/>
      <c r="AU22" s="59"/>
      <c r="AV22" s="59"/>
      <c r="AW22" s="44"/>
      <c r="AX22" s="59"/>
      <c r="AY22" s="220"/>
      <c r="AZ22" s="264">
        <v>20</v>
      </c>
      <c r="BA22" s="221"/>
      <c r="BB22" s="96"/>
      <c r="BC22" s="59"/>
      <c r="BD22" s="59"/>
      <c r="BE22" s="59"/>
      <c r="BF22" s="59"/>
      <c r="BG22" s="44"/>
      <c r="BH22" s="59"/>
      <c r="BI22" s="220"/>
      <c r="BJ22" s="415"/>
      <c r="BK22" s="221"/>
      <c r="BL22" s="96"/>
      <c r="BM22" s="59"/>
      <c r="BN22" s="59"/>
      <c r="BO22" s="59"/>
      <c r="BP22" s="59"/>
      <c r="BQ22" s="44"/>
      <c r="BR22" s="59"/>
      <c r="BS22" s="220"/>
      <c r="BT22" s="218"/>
      <c r="BU22" s="221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>
      <c r="A23" s="286">
        <v>4</v>
      </c>
      <c r="B23" s="536"/>
      <c r="C23" s="537">
        <v>1113089</v>
      </c>
      <c r="D23" s="538" t="s">
        <v>195</v>
      </c>
      <c r="E23" s="539" t="s">
        <v>42</v>
      </c>
      <c r="F23" s="230"/>
      <c r="G23" s="231"/>
      <c r="H23" s="232">
        <v>0</v>
      </c>
      <c r="I23" s="403">
        <f t="shared" ref="I23" si="9">SUM(L23,V23,AF23,AP23,AZ23,BJ23,BT23)</f>
        <v>5476</v>
      </c>
      <c r="J23" s="232">
        <v>0</v>
      </c>
      <c r="K23" s="258"/>
      <c r="L23" s="540">
        <v>1329</v>
      </c>
      <c r="M23" s="221"/>
      <c r="N23" s="96"/>
      <c r="O23" s="59"/>
      <c r="P23" s="59"/>
      <c r="Q23" s="59"/>
      <c r="R23" s="59"/>
      <c r="S23" s="106"/>
      <c r="T23" s="59"/>
      <c r="U23" s="220"/>
      <c r="V23" s="541">
        <v>794</v>
      </c>
      <c r="W23" s="221"/>
      <c r="X23" s="96"/>
      <c r="Y23" s="59"/>
      <c r="Z23" s="59"/>
      <c r="AA23" s="59"/>
      <c r="AB23" s="59"/>
      <c r="AC23" s="44"/>
      <c r="AD23" s="59"/>
      <c r="AE23" s="220"/>
      <c r="AF23" s="510">
        <v>819</v>
      </c>
      <c r="AG23" s="221"/>
      <c r="AH23" s="96"/>
      <c r="AI23" s="59"/>
      <c r="AJ23" s="59"/>
      <c r="AK23" s="59"/>
      <c r="AL23" s="59"/>
      <c r="AM23" s="106"/>
      <c r="AN23" s="59"/>
      <c r="AO23" s="220"/>
      <c r="AP23" s="511">
        <v>834</v>
      </c>
      <c r="AQ23" s="221"/>
      <c r="AR23" s="96"/>
      <c r="AS23" s="59"/>
      <c r="AT23" s="59"/>
      <c r="AU23" s="59"/>
      <c r="AV23" s="59"/>
      <c r="AW23" s="44"/>
      <c r="AX23" s="59"/>
      <c r="AY23" s="220"/>
      <c r="AZ23" s="512">
        <v>800</v>
      </c>
      <c r="BA23" s="221"/>
      <c r="BB23" s="96"/>
      <c r="BC23" s="59"/>
      <c r="BD23" s="59"/>
      <c r="BE23" s="59"/>
      <c r="BF23" s="59"/>
      <c r="BG23" s="106"/>
      <c r="BH23" s="59"/>
      <c r="BI23" s="220"/>
      <c r="BJ23" s="542">
        <v>900</v>
      </c>
      <c r="BK23" s="221"/>
      <c r="BL23" s="96"/>
      <c r="BM23" s="59"/>
      <c r="BN23" s="59"/>
      <c r="BO23" s="59"/>
      <c r="BP23" s="59"/>
      <c r="BQ23" s="44"/>
      <c r="BR23" s="59"/>
      <c r="BS23" s="220"/>
      <c r="BT23" s="491"/>
      <c r="BU23" s="221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16</v>
      </c>
      <c r="B24" s="421"/>
      <c r="C24" s="418">
        <v>1113093</v>
      </c>
      <c r="D24" s="419" t="s">
        <v>196</v>
      </c>
      <c r="E24" s="169" t="s">
        <v>27</v>
      </c>
      <c r="F24" s="169"/>
      <c r="G24" s="183"/>
      <c r="H24" s="184">
        <v>0</v>
      </c>
      <c r="I24" s="217">
        <f t="shared" ref="I24" si="10">SUM(L24,V24,AF24,AP24,AZ24,BJ24,BT24)</f>
        <v>30</v>
      </c>
      <c r="J24" s="184">
        <v>0</v>
      </c>
      <c r="K24" s="185"/>
      <c r="L24" s="237">
        <v>15</v>
      </c>
      <c r="M24" s="221"/>
      <c r="N24" s="96"/>
      <c r="O24" s="59"/>
      <c r="P24" s="59"/>
      <c r="Q24" s="59"/>
      <c r="R24" s="105"/>
      <c r="S24" s="106"/>
      <c r="T24" s="59"/>
      <c r="U24" s="220"/>
      <c r="V24" s="411"/>
      <c r="W24" s="221"/>
      <c r="X24" s="96"/>
      <c r="Y24" s="59"/>
      <c r="Z24" s="59"/>
      <c r="AA24" s="59"/>
      <c r="AB24" s="105"/>
      <c r="AC24" s="44"/>
      <c r="AD24" s="59"/>
      <c r="AE24" s="220"/>
      <c r="AF24" s="412"/>
      <c r="AG24" s="400"/>
      <c r="AH24" s="96"/>
      <c r="AI24" s="59"/>
      <c r="AJ24" s="59"/>
      <c r="AK24" s="59"/>
      <c r="AL24" s="105"/>
      <c r="AM24" s="44"/>
      <c r="AN24" s="59"/>
      <c r="AO24" s="220"/>
      <c r="AP24" s="413"/>
      <c r="AQ24" s="221"/>
      <c r="AR24" s="96"/>
      <c r="AS24" s="59"/>
      <c r="AT24" s="59"/>
      <c r="AU24" s="59"/>
      <c r="AV24" s="105"/>
      <c r="AW24" s="44"/>
      <c r="AX24" s="59"/>
      <c r="AY24" s="220"/>
      <c r="AZ24" s="414">
        <v>15</v>
      </c>
      <c r="BA24" s="221"/>
      <c r="BB24" s="96"/>
      <c r="BC24" s="59"/>
      <c r="BD24" s="59"/>
      <c r="BE24" s="59"/>
      <c r="BF24" s="105"/>
      <c r="BG24" s="44"/>
      <c r="BH24" s="105"/>
      <c r="BI24" s="220"/>
      <c r="BJ24" s="415"/>
      <c r="BK24" s="221"/>
      <c r="BL24" s="96"/>
      <c r="BM24" s="59"/>
      <c r="BN24" s="59"/>
      <c r="BO24" s="59"/>
      <c r="BP24" s="105"/>
      <c r="BQ24" s="44"/>
      <c r="BR24" s="59"/>
      <c r="BS24" s="220"/>
      <c r="BT24" s="218"/>
      <c r="BU24" s="221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165">
        <v>2</v>
      </c>
      <c r="B25" s="166"/>
      <c r="C25" s="73">
        <v>20039963</v>
      </c>
      <c r="D25" s="75" t="s">
        <v>446</v>
      </c>
      <c r="E25" s="73" t="s">
        <v>69</v>
      </c>
      <c r="F25" s="73"/>
      <c r="G25" s="116"/>
      <c r="H25" s="543">
        <v>0</v>
      </c>
      <c r="I25" s="311">
        <f t="shared" si="0"/>
        <v>12900</v>
      </c>
      <c r="J25" s="543">
        <v>0</v>
      </c>
      <c r="K25" s="544"/>
      <c r="L25" s="462">
        <v>1710</v>
      </c>
      <c r="M25" s="59"/>
      <c r="N25" s="96"/>
      <c r="O25" s="59"/>
      <c r="P25" s="59"/>
      <c r="Q25" s="59"/>
      <c r="R25" s="59"/>
      <c r="S25" s="106"/>
      <c r="T25" s="59"/>
      <c r="U25" s="59"/>
      <c r="V25" s="463">
        <v>1935</v>
      </c>
      <c r="W25" s="59"/>
      <c r="X25" s="96"/>
      <c r="Y25" s="59"/>
      <c r="Z25" s="59"/>
      <c r="AA25" s="59"/>
      <c r="AB25" s="59"/>
      <c r="AC25" s="106"/>
      <c r="AD25" s="59"/>
      <c r="AE25" s="59"/>
      <c r="AF25" s="464">
        <v>1935</v>
      </c>
      <c r="AG25" s="59"/>
      <c r="AH25" s="96"/>
      <c r="AI25" s="59"/>
      <c r="AJ25" s="59"/>
      <c r="AK25" s="59"/>
      <c r="AL25" s="59"/>
      <c r="AM25" s="106"/>
      <c r="AN25" s="59"/>
      <c r="AO25" s="59"/>
      <c r="AP25" s="465">
        <v>2250</v>
      </c>
      <c r="AQ25" s="59"/>
      <c r="AR25" s="96"/>
      <c r="AS25" s="59"/>
      <c r="AT25" s="59"/>
      <c r="AU25" s="59"/>
      <c r="AV25" s="59"/>
      <c r="AW25" s="106"/>
      <c r="AX25" s="59"/>
      <c r="AY25" s="59"/>
      <c r="AZ25" s="466">
        <v>2070</v>
      </c>
      <c r="BA25" s="59"/>
      <c r="BB25" s="96"/>
      <c r="BC25" s="59"/>
      <c r="BD25" s="59"/>
      <c r="BE25" s="59"/>
      <c r="BF25" s="59"/>
      <c r="BG25" s="106"/>
      <c r="BH25" s="59"/>
      <c r="BI25" s="59"/>
      <c r="BJ25" s="467">
        <v>1500</v>
      </c>
      <c r="BK25" s="59"/>
      <c r="BL25" s="96"/>
      <c r="BM25" s="59"/>
      <c r="BN25" s="59"/>
      <c r="BO25" s="59"/>
      <c r="BP25" s="59"/>
      <c r="BQ25" s="106"/>
      <c r="BR25" s="59"/>
      <c r="BS25" s="59"/>
      <c r="BT25" s="545">
        <v>1500</v>
      </c>
      <c r="BU25" s="59"/>
      <c r="BV25" s="96">
        <f t="shared" si="1"/>
        <v>1500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1500</v>
      </c>
      <c r="CB25" s="59">
        <v>0</v>
      </c>
    </row>
    <row r="26" spans="1:80" s="42" customFormat="1" ht="26.25" hidden="1">
      <c r="A26" s="168">
        <v>17</v>
      </c>
      <c r="B26" s="422"/>
      <c r="C26" s="169">
        <v>1113087</v>
      </c>
      <c r="D26" s="267" t="s">
        <v>410</v>
      </c>
      <c r="E26" s="169" t="s">
        <v>27</v>
      </c>
      <c r="F26" s="169"/>
      <c r="G26" s="183"/>
      <c r="H26" s="184"/>
      <c r="I26" s="217">
        <f t="shared" ref="I26:I28" si="11">SUM(L26,V26,AF26,AP26,AZ26,BJ26,BT26)</f>
        <v>20</v>
      </c>
      <c r="J26" s="184"/>
      <c r="K26" s="185"/>
      <c r="L26" s="237">
        <v>10</v>
      </c>
      <c r="M26" s="221"/>
      <c r="N26" s="96"/>
      <c r="O26" s="105"/>
      <c r="P26" s="59"/>
      <c r="Q26" s="59"/>
      <c r="R26" s="105"/>
      <c r="S26" s="106"/>
      <c r="T26" s="59"/>
      <c r="U26" s="399"/>
      <c r="V26" s="411"/>
      <c r="W26" s="221"/>
      <c r="X26" s="96"/>
      <c r="Y26" s="105"/>
      <c r="Z26" s="59"/>
      <c r="AA26" s="59"/>
      <c r="AB26" s="105"/>
      <c r="AC26" s="44"/>
      <c r="AD26" s="59"/>
      <c r="AE26" s="220"/>
      <c r="AF26" s="412"/>
      <c r="AG26" s="400"/>
      <c r="AH26" s="96"/>
      <c r="AI26" s="105"/>
      <c r="AJ26" s="59"/>
      <c r="AK26" s="59"/>
      <c r="AL26" s="105"/>
      <c r="AM26" s="44"/>
      <c r="AN26" s="59"/>
      <c r="AO26" s="220"/>
      <c r="AP26" s="420"/>
      <c r="AQ26" s="221"/>
      <c r="AR26" s="96"/>
      <c r="AS26" s="105"/>
      <c r="AT26" s="59"/>
      <c r="AU26" s="59"/>
      <c r="AV26" s="105"/>
      <c r="AW26" s="106"/>
      <c r="AX26" s="59"/>
      <c r="AY26" s="220"/>
      <c r="AZ26" s="414">
        <v>10</v>
      </c>
      <c r="BA26" s="221"/>
      <c r="BB26" s="96"/>
      <c r="BC26" s="105"/>
      <c r="BD26" s="59"/>
      <c r="BE26" s="59"/>
      <c r="BF26" s="105"/>
      <c r="BG26" s="44"/>
      <c r="BH26" s="105"/>
      <c r="BI26" s="220"/>
      <c r="BJ26" s="415"/>
      <c r="BK26" s="400"/>
      <c r="BL26" s="96"/>
      <c r="BM26" s="105"/>
      <c r="BN26" s="59"/>
      <c r="BO26" s="59"/>
      <c r="BP26" s="105"/>
      <c r="BQ26" s="44"/>
      <c r="BR26" s="59"/>
      <c r="BS26" s="220"/>
      <c r="BT26" s="218"/>
      <c r="BU26" s="221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421"/>
      <c r="C27" s="169">
        <v>1005982</v>
      </c>
      <c r="D27" s="267" t="s">
        <v>199</v>
      </c>
      <c r="E27" s="169" t="s">
        <v>27</v>
      </c>
      <c r="F27" s="169"/>
      <c r="G27" s="183"/>
      <c r="H27" s="184">
        <v>0</v>
      </c>
      <c r="I27" s="217">
        <f t="shared" si="11"/>
        <v>36</v>
      </c>
      <c r="J27" s="184">
        <v>0</v>
      </c>
      <c r="K27" s="185"/>
      <c r="L27" s="410">
        <v>16</v>
      </c>
      <c r="M27" s="221"/>
      <c r="N27" s="96"/>
      <c r="O27" s="59"/>
      <c r="P27" s="59"/>
      <c r="Q27" s="59"/>
      <c r="R27" s="59"/>
      <c r="S27" s="44"/>
      <c r="T27" s="59"/>
      <c r="U27" s="220"/>
      <c r="V27" s="411"/>
      <c r="W27" s="221"/>
      <c r="X27" s="96"/>
      <c r="Y27" s="59"/>
      <c r="Z27" s="59"/>
      <c r="AA27" s="59"/>
      <c r="AB27" s="59"/>
      <c r="AC27" s="44"/>
      <c r="AD27" s="59"/>
      <c r="AE27" s="220"/>
      <c r="AF27" s="412"/>
      <c r="AG27" s="221"/>
      <c r="AH27" s="96"/>
      <c r="AI27" s="59"/>
      <c r="AJ27" s="59"/>
      <c r="AK27" s="59"/>
      <c r="AL27" s="59"/>
      <c r="AM27" s="44"/>
      <c r="AN27" s="59"/>
      <c r="AO27" s="220"/>
      <c r="AP27" s="413"/>
      <c r="AQ27" s="221"/>
      <c r="AR27" s="96"/>
      <c r="AS27" s="59"/>
      <c r="AT27" s="59"/>
      <c r="AU27" s="59"/>
      <c r="AV27" s="59"/>
      <c r="AW27" s="44"/>
      <c r="AX27" s="59"/>
      <c r="AY27" s="220"/>
      <c r="AZ27" s="414">
        <v>20</v>
      </c>
      <c r="BA27" s="221"/>
      <c r="BB27" s="96"/>
      <c r="BC27" s="59"/>
      <c r="BD27" s="59"/>
      <c r="BE27" s="59"/>
      <c r="BF27" s="59"/>
      <c r="BG27" s="44"/>
      <c r="BH27" s="59"/>
      <c r="BI27" s="220"/>
      <c r="BJ27" s="415"/>
      <c r="BK27" s="221"/>
      <c r="BL27" s="96"/>
      <c r="BM27" s="59"/>
      <c r="BN27" s="59"/>
      <c r="BO27" s="59"/>
      <c r="BP27" s="59"/>
      <c r="BQ27" s="44"/>
      <c r="BR27" s="59"/>
      <c r="BS27" s="220"/>
      <c r="BT27" s="218"/>
      <c r="BU27" s="221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>
      <c r="A28" s="168">
        <v>5</v>
      </c>
      <c r="B28" s="233"/>
      <c r="C28" s="529">
        <v>1113086</v>
      </c>
      <c r="D28" s="530" t="s">
        <v>200</v>
      </c>
      <c r="E28" s="219" t="s">
        <v>42</v>
      </c>
      <c r="F28" s="169"/>
      <c r="G28" s="183"/>
      <c r="H28" s="184">
        <v>0</v>
      </c>
      <c r="I28" s="217">
        <f t="shared" si="11"/>
        <v>890</v>
      </c>
      <c r="J28" s="184">
        <v>0</v>
      </c>
      <c r="K28" s="185"/>
      <c r="L28" s="202">
        <v>179</v>
      </c>
      <c r="M28" s="221"/>
      <c r="N28" s="96"/>
      <c r="O28" s="59"/>
      <c r="P28" s="59"/>
      <c r="Q28" s="59"/>
      <c r="R28" s="59"/>
      <c r="S28" s="44"/>
      <c r="T28" s="59"/>
      <c r="U28" s="220"/>
      <c r="V28" s="203">
        <v>84</v>
      </c>
      <c r="W28" s="221"/>
      <c r="X28" s="96"/>
      <c r="Y28" s="59"/>
      <c r="Z28" s="59"/>
      <c r="AA28" s="59"/>
      <c r="AB28" s="59"/>
      <c r="AC28" s="44"/>
      <c r="AD28" s="59"/>
      <c r="AE28" s="220"/>
      <c r="AF28" s="253">
        <v>144</v>
      </c>
      <c r="AG28" s="221"/>
      <c r="AH28" s="96"/>
      <c r="AI28" s="59"/>
      <c r="AJ28" s="59"/>
      <c r="AK28" s="59"/>
      <c r="AL28" s="59"/>
      <c r="AM28" s="44"/>
      <c r="AN28" s="59"/>
      <c r="AO28" s="220"/>
      <c r="AP28" s="262">
        <v>134</v>
      </c>
      <c r="AQ28" s="221"/>
      <c r="AR28" s="96"/>
      <c r="AS28" s="59"/>
      <c r="AT28" s="59"/>
      <c r="AU28" s="59"/>
      <c r="AV28" s="59"/>
      <c r="AW28" s="44"/>
      <c r="AX28" s="59"/>
      <c r="AY28" s="220"/>
      <c r="AZ28" s="264">
        <v>149</v>
      </c>
      <c r="BA28" s="221"/>
      <c r="BB28" s="96"/>
      <c r="BC28" s="59"/>
      <c r="BD28" s="59"/>
      <c r="BE28" s="59"/>
      <c r="BF28" s="59"/>
      <c r="BG28" s="44"/>
      <c r="BH28" s="59"/>
      <c r="BI28" s="220"/>
      <c r="BJ28" s="266">
        <v>200</v>
      </c>
      <c r="BK28" s="221"/>
      <c r="BL28" s="96"/>
      <c r="BM28" s="59"/>
      <c r="BN28" s="59"/>
      <c r="BO28" s="59"/>
      <c r="BP28" s="59"/>
      <c r="BQ28" s="44"/>
      <c r="BR28" s="59"/>
      <c r="BS28" s="220"/>
      <c r="BT28" s="205"/>
      <c r="BU28" s="221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8">
        <v>1</v>
      </c>
      <c r="B29" s="170"/>
      <c r="C29" s="169">
        <v>1005985</v>
      </c>
      <c r="D29" s="267" t="s">
        <v>202</v>
      </c>
      <c r="E29" s="169" t="s">
        <v>203</v>
      </c>
      <c r="F29" s="169"/>
      <c r="G29" s="183"/>
      <c r="H29" s="184">
        <v>0</v>
      </c>
      <c r="I29" s="217">
        <f t="shared" si="0"/>
        <v>345</v>
      </c>
      <c r="J29" s="184">
        <v>0</v>
      </c>
      <c r="K29" s="185"/>
      <c r="L29" s="416"/>
      <c r="M29" s="221"/>
      <c r="N29" s="96"/>
      <c r="O29" s="59"/>
      <c r="P29" s="59"/>
      <c r="Q29" s="59"/>
      <c r="R29" s="59"/>
      <c r="S29" s="44"/>
      <c r="T29" s="59"/>
      <c r="U29" s="220"/>
      <c r="V29" s="411"/>
      <c r="W29" s="221"/>
      <c r="X29" s="96"/>
      <c r="Y29" s="59"/>
      <c r="Z29" s="59"/>
      <c r="AA29" s="59"/>
      <c r="AB29" s="59"/>
      <c r="AC29" s="44"/>
      <c r="AD29" s="59"/>
      <c r="AE29" s="220"/>
      <c r="AF29" s="412"/>
      <c r="AG29" s="221"/>
      <c r="AH29" s="96"/>
      <c r="AI29" s="59"/>
      <c r="AJ29" s="59"/>
      <c r="AK29" s="59"/>
      <c r="AL29" s="59"/>
      <c r="AM29" s="44"/>
      <c r="AN29" s="59"/>
      <c r="AO29" s="220"/>
      <c r="AP29" s="413"/>
      <c r="AQ29" s="221"/>
      <c r="AR29" s="96"/>
      <c r="AS29" s="59"/>
      <c r="AT29" s="59"/>
      <c r="AU29" s="59"/>
      <c r="AV29" s="59"/>
      <c r="AW29" s="44"/>
      <c r="AX29" s="59"/>
      <c r="AY29" s="220"/>
      <c r="AZ29" s="414">
        <v>345</v>
      </c>
      <c r="BA29" s="221"/>
      <c r="BB29" s="96"/>
      <c r="BC29" s="59"/>
      <c r="BD29" s="59"/>
      <c r="BE29" s="59"/>
      <c r="BF29" s="59"/>
      <c r="BG29" s="44"/>
      <c r="BH29" s="59"/>
      <c r="BI29" s="220"/>
      <c r="BJ29" s="415"/>
      <c r="BK29" s="221"/>
      <c r="BL29" s="96"/>
      <c r="BM29" s="59"/>
      <c r="BN29" s="59"/>
      <c r="BO29" s="59"/>
      <c r="BP29" s="59"/>
      <c r="BQ29" s="44"/>
      <c r="BR29" s="59"/>
      <c r="BS29" s="220"/>
      <c r="BT29" s="218"/>
      <c r="BU29" s="221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2</v>
      </c>
      <c r="B30" s="233"/>
      <c r="C30" s="314">
        <v>1113088</v>
      </c>
      <c r="D30" s="315" t="s">
        <v>208</v>
      </c>
      <c r="E30" s="219" t="s">
        <v>170</v>
      </c>
      <c r="F30" s="169"/>
      <c r="G30" s="183"/>
      <c r="H30" s="184">
        <v>0</v>
      </c>
      <c r="I30" s="217">
        <f t="shared" ref="I30" si="12">SUM(L30,V30,AF30,AP30,AZ30,BJ30,BT30)</f>
        <v>5837</v>
      </c>
      <c r="J30" s="184">
        <v>0</v>
      </c>
      <c r="K30" s="185"/>
      <c r="L30" s="257">
        <v>1417</v>
      </c>
      <c r="M30" s="221"/>
      <c r="N30" s="96"/>
      <c r="O30" s="59"/>
      <c r="P30" s="59"/>
      <c r="Q30" s="59"/>
      <c r="R30" s="59"/>
      <c r="S30" s="106"/>
      <c r="T30" s="59"/>
      <c r="U30" s="220"/>
      <c r="V30" s="226">
        <v>866</v>
      </c>
      <c r="W30" s="221"/>
      <c r="X30" s="96"/>
      <c r="Y30" s="59"/>
      <c r="Z30" s="59"/>
      <c r="AA30" s="59"/>
      <c r="AB30" s="59"/>
      <c r="AC30" s="44"/>
      <c r="AD30" s="59"/>
      <c r="AE30" s="220"/>
      <c r="AF30" s="227">
        <v>886</v>
      </c>
      <c r="AG30" s="221"/>
      <c r="AH30" s="96"/>
      <c r="AI30" s="59"/>
      <c r="AJ30" s="59"/>
      <c r="AK30" s="59"/>
      <c r="AL30" s="59"/>
      <c r="AM30" s="106"/>
      <c r="AN30" s="59"/>
      <c r="AO30" s="220"/>
      <c r="AP30" s="248">
        <v>912</v>
      </c>
      <c r="AQ30" s="221"/>
      <c r="AR30" s="96"/>
      <c r="AS30" s="59"/>
      <c r="AT30" s="59"/>
      <c r="AU30" s="59"/>
      <c r="AV30" s="59"/>
      <c r="AW30" s="44"/>
      <c r="AX30" s="59"/>
      <c r="AY30" s="220"/>
      <c r="AZ30" s="204">
        <v>856</v>
      </c>
      <c r="BA30" s="221"/>
      <c r="BB30" s="96"/>
      <c r="BC30" s="59"/>
      <c r="BD30" s="59"/>
      <c r="BE30" s="59"/>
      <c r="BF30" s="59"/>
      <c r="BG30" s="106"/>
      <c r="BH30" s="59"/>
      <c r="BI30" s="220"/>
      <c r="BJ30" s="266">
        <v>900</v>
      </c>
      <c r="BK30" s="221"/>
      <c r="BL30" s="96"/>
      <c r="BM30" s="59"/>
      <c r="BN30" s="59"/>
      <c r="BO30" s="59"/>
      <c r="BP30" s="59"/>
      <c r="BQ30" s="44"/>
      <c r="BR30" s="59"/>
      <c r="BS30" s="220"/>
      <c r="BT30" s="205"/>
      <c r="BU30" s="221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453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54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165">
        <v>3</v>
      </c>
      <c r="B32" s="166"/>
      <c r="C32" s="73">
        <v>20053132</v>
      </c>
      <c r="D32" s="75" t="s">
        <v>447</v>
      </c>
      <c r="E32" s="73" t="s">
        <v>69</v>
      </c>
      <c r="F32" s="73"/>
      <c r="G32" s="116"/>
      <c r="H32" s="129">
        <v>0</v>
      </c>
      <c r="I32" s="311">
        <f t="shared" si="0"/>
        <v>8840</v>
      </c>
      <c r="J32" s="129">
        <v>0</v>
      </c>
      <c r="K32" s="117"/>
      <c r="L32" s="462">
        <v>1980</v>
      </c>
      <c r="M32" s="59"/>
      <c r="N32" s="96"/>
      <c r="O32" s="59"/>
      <c r="P32" s="59"/>
      <c r="Q32" s="59"/>
      <c r="R32" s="59"/>
      <c r="S32" s="106"/>
      <c r="T32" s="59"/>
      <c r="U32" s="59"/>
      <c r="V32" s="463">
        <v>1740</v>
      </c>
      <c r="W32" s="59"/>
      <c r="X32" s="96"/>
      <c r="Y32" s="59"/>
      <c r="Z32" s="59"/>
      <c r="AA32" s="59"/>
      <c r="AB32" s="59"/>
      <c r="AC32" s="106"/>
      <c r="AD32" s="59"/>
      <c r="AE32" s="59"/>
      <c r="AF32" s="464">
        <v>1500</v>
      </c>
      <c r="AG32" s="59"/>
      <c r="AH32" s="96"/>
      <c r="AI32" s="59"/>
      <c r="AJ32" s="59"/>
      <c r="AK32" s="59"/>
      <c r="AL32" s="59"/>
      <c r="AM32" s="106"/>
      <c r="AN32" s="59"/>
      <c r="AO32" s="59"/>
      <c r="AP32" s="465">
        <v>1820</v>
      </c>
      <c r="AQ32" s="59"/>
      <c r="AR32" s="96"/>
      <c r="AS32" s="59"/>
      <c r="AT32" s="59"/>
      <c r="AU32" s="59"/>
      <c r="AV32" s="59"/>
      <c r="AW32" s="106"/>
      <c r="AX32" s="59"/>
      <c r="AY32" s="59"/>
      <c r="AZ32" s="466">
        <v>1800</v>
      </c>
      <c r="BA32" s="59"/>
      <c r="BB32" s="96"/>
      <c r="BC32" s="59"/>
      <c r="BD32" s="59"/>
      <c r="BE32" s="59"/>
      <c r="BF32" s="59"/>
      <c r="BG32" s="106"/>
      <c r="BH32" s="59"/>
      <c r="BI32" s="59"/>
      <c r="BJ32" s="467"/>
      <c r="BK32" s="59"/>
      <c r="BL32" s="96"/>
      <c r="BM32" s="59"/>
      <c r="BN32" s="59"/>
      <c r="BO32" s="59"/>
      <c r="BP32" s="59"/>
      <c r="BQ32" s="106"/>
      <c r="BR32" s="59"/>
      <c r="BS32" s="59"/>
      <c r="BT32" s="223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168">
        <v>4</v>
      </c>
      <c r="B33" s="170"/>
      <c r="C33" s="169">
        <v>20049130</v>
      </c>
      <c r="D33" s="267" t="s">
        <v>428</v>
      </c>
      <c r="E33" s="169" t="s">
        <v>69</v>
      </c>
      <c r="F33" s="169"/>
      <c r="G33" s="183"/>
      <c r="H33" s="184">
        <v>0</v>
      </c>
      <c r="I33" s="236">
        <f t="shared" si="0"/>
        <v>20408</v>
      </c>
      <c r="J33" s="184">
        <v>0</v>
      </c>
      <c r="K33" s="185"/>
      <c r="L33" s="237">
        <v>2880</v>
      </c>
      <c r="M33" s="221"/>
      <c r="N33" s="96"/>
      <c r="O33" s="59"/>
      <c r="P33" s="59"/>
      <c r="Q33" s="59"/>
      <c r="R33" s="59"/>
      <c r="S33" s="106"/>
      <c r="T33" s="59"/>
      <c r="U33" s="59"/>
      <c r="V33" s="238">
        <v>3024</v>
      </c>
      <c r="W33" s="221"/>
      <c r="X33" s="96"/>
      <c r="Y33" s="59"/>
      <c r="Z33" s="59"/>
      <c r="AA33" s="59"/>
      <c r="AB33" s="59"/>
      <c r="AC33" s="106"/>
      <c r="AD33" s="59"/>
      <c r="AE33" s="59"/>
      <c r="AF33" s="239">
        <v>3024</v>
      </c>
      <c r="AG33" s="221"/>
      <c r="AH33" s="96"/>
      <c r="AI33" s="59"/>
      <c r="AJ33" s="59"/>
      <c r="AK33" s="59"/>
      <c r="AL33" s="59"/>
      <c r="AM33" s="106"/>
      <c r="AN33" s="59"/>
      <c r="AO33" s="59"/>
      <c r="AP33" s="240">
        <v>3240</v>
      </c>
      <c r="AQ33" s="221"/>
      <c r="AR33" s="96"/>
      <c r="AS33" s="59"/>
      <c r="AT33" s="59"/>
      <c r="AU33" s="59"/>
      <c r="AV33" s="59"/>
      <c r="AW33" s="106"/>
      <c r="AX33" s="59"/>
      <c r="AY33" s="59"/>
      <c r="AZ33" s="241">
        <v>3240</v>
      </c>
      <c r="BA33" s="221"/>
      <c r="BB33" s="96"/>
      <c r="BC33" s="59"/>
      <c r="BD33" s="59"/>
      <c r="BE33" s="59"/>
      <c r="BF33" s="59"/>
      <c r="BG33" s="106"/>
      <c r="BH33" s="59"/>
      <c r="BI33" s="59"/>
      <c r="BJ33" s="242">
        <v>2500</v>
      </c>
      <c r="BK33" s="221"/>
      <c r="BL33" s="96"/>
      <c r="BM33" s="59"/>
      <c r="BN33" s="59"/>
      <c r="BO33" s="59"/>
      <c r="BP33" s="59"/>
      <c r="BQ33" s="106"/>
      <c r="BR33" s="59"/>
      <c r="BS33" s="59"/>
      <c r="BT33" s="205">
        <v>2500</v>
      </c>
      <c r="BU33" s="221"/>
      <c r="BV33" s="96">
        <f t="shared" si="1"/>
        <v>2500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2500</v>
      </c>
      <c r="CB33" s="59">
        <v>0</v>
      </c>
    </row>
    <row r="34" spans="1:80" ht="26.25" hidden="1">
      <c r="A34" s="168">
        <v>5</v>
      </c>
      <c r="B34" s="170"/>
      <c r="C34" s="169">
        <v>20051101</v>
      </c>
      <c r="D34" s="267" t="s">
        <v>429</v>
      </c>
      <c r="E34" s="169" t="s">
        <v>69</v>
      </c>
      <c r="F34" s="169"/>
      <c r="G34" s="183"/>
      <c r="H34" s="184">
        <v>0</v>
      </c>
      <c r="I34" s="236">
        <f t="shared" si="0"/>
        <v>14180</v>
      </c>
      <c r="J34" s="184">
        <v>0</v>
      </c>
      <c r="K34" s="185"/>
      <c r="L34" s="237">
        <v>1872</v>
      </c>
      <c r="M34" s="221"/>
      <c r="N34" s="96"/>
      <c r="O34" s="105"/>
      <c r="P34" s="59"/>
      <c r="Q34" s="59"/>
      <c r="R34" s="105"/>
      <c r="S34" s="106"/>
      <c r="T34" s="59"/>
      <c r="U34" s="105"/>
      <c r="V34" s="238">
        <v>1980</v>
      </c>
      <c r="W34" s="221"/>
      <c r="X34" s="96"/>
      <c r="Y34" s="105"/>
      <c r="Z34" s="59"/>
      <c r="AA34" s="59"/>
      <c r="AB34" s="105"/>
      <c r="AC34" s="106"/>
      <c r="AD34" s="59"/>
      <c r="AE34" s="59"/>
      <c r="AF34" s="239">
        <v>1980</v>
      </c>
      <c r="AG34" s="400"/>
      <c r="AH34" s="96"/>
      <c r="AI34" s="105"/>
      <c r="AJ34" s="59"/>
      <c r="AK34" s="59"/>
      <c r="AL34" s="105"/>
      <c r="AM34" s="106"/>
      <c r="AN34" s="59"/>
      <c r="AO34" s="59"/>
      <c r="AP34" s="240">
        <v>2088</v>
      </c>
      <c r="AQ34" s="221"/>
      <c r="AR34" s="96"/>
      <c r="AS34" s="105"/>
      <c r="AT34" s="59"/>
      <c r="AU34" s="59"/>
      <c r="AV34" s="105"/>
      <c r="AW34" s="106"/>
      <c r="AX34" s="59"/>
      <c r="AY34" s="59"/>
      <c r="AZ34" s="241">
        <v>2160</v>
      </c>
      <c r="BA34" s="221"/>
      <c r="BB34" s="96"/>
      <c r="BC34" s="105"/>
      <c r="BD34" s="59"/>
      <c r="BE34" s="59"/>
      <c r="BF34" s="105"/>
      <c r="BG34" s="106"/>
      <c r="BH34" s="105"/>
      <c r="BI34" s="59"/>
      <c r="BJ34" s="242">
        <v>2300</v>
      </c>
      <c r="BK34" s="400"/>
      <c r="BL34" s="96"/>
      <c r="BM34" s="105"/>
      <c r="BN34" s="59"/>
      <c r="BO34" s="59"/>
      <c r="BP34" s="105"/>
      <c r="BQ34" s="106"/>
      <c r="BR34" s="59"/>
      <c r="BS34" s="59"/>
      <c r="BT34" s="205">
        <v>1800</v>
      </c>
      <c r="BU34" s="221"/>
      <c r="BV34" s="96">
        <f t="shared" si="1"/>
        <v>1800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1800</v>
      </c>
      <c r="CB34" s="59">
        <v>0</v>
      </c>
    </row>
    <row r="35" spans="1:80" ht="26.25" hidden="1">
      <c r="A35" s="168">
        <v>6</v>
      </c>
      <c r="B35" s="170"/>
      <c r="C35" s="169">
        <v>20052721</v>
      </c>
      <c r="D35" s="267" t="s">
        <v>430</v>
      </c>
      <c r="E35" s="169" t="s">
        <v>69</v>
      </c>
      <c r="F35" s="169"/>
      <c r="G35" s="183"/>
      <c r="H35" s="184">
        <v>0</v>
      </c>
      <c r="I35" s="236">
        <f t="shared" si="0"/>
        <v>19456</v>
      </c>
      <c r="J35" s="184">
        <v>0</v>
      </c>
      <c r="K35" s="185">
        <v>1800</v>
      </c>
      <c r="L35" s="237">
        <v>4160</v>
      </c>
      <c r="M35" s="221"/>
      <c r="N35" s="96"/>
      <c r="O35" s="105"/>
      <c r="P35" s="59"/>
      <c r="Q35" s="59"/>
      <c r="R35" s="105"/>
      <c r="S35" s="106"/>
      <c r="T35" s="59"/>
      <c r="U35" s="399"/>
      <c r="V35" s="238">
        <v>2752</v>
      </c>
      <c r="W35" s="221"/>
      <c r="X35" s="96"/>
      <c r="Y35" s="105"/>
      <c r="Z35" s="59"/>
      <c r="AA35" s="59"/>
      <c r="AB35" s="105"/>
      <c r="AC35" s="106"/>
      <c r="AD35" s="59"/>
      <c r="AE35" s="220"/>
      <c r="AF35" s="239">
        <v>2752</v>
      </c>
      <c r="AG35" s="400"/>
      <c r="AH35" s="96"/>
      <c r="AI35" s="105"/>
      <c r="AJ35" s="59"/>
      <c r="AK35" s="59"/>
      <c r="AL35" s="105"/>
      <c r="AM35" s="106"/>
      <c r="AN35" s="59"/>
      <c r="AO35" s="220"/>
      <c r="AP35" s="240">
        <v>3136</v>
      </c>
      <c r="AQ35" s="221"/>
      <c r="AR35" s="96"/>
      <c r="AS35" s="105"/>
      <c r="AT35" s="59"/>
      <c r="AU35" s="59"/>
      <c r="AV35" s="105"/>
      <c r="AW35" s="106"/>
      <c r="AX35" s="59"/>
      <c r="AY35" s="220"/>
      <c r="AZ35" s="241">
        <v>3456</v>
      </c>
      <c r="BA35" s="221"/>
      <c r="BB35" s="96"/>
      <c r="BC35" s="105"/>
      <c r="BD35" s="59"/>
      <c r="BE35" s="59"/>
      <c r="BF35" s="105"/>
      <c r="BG35" s="106"/>
      <c r="BH35" s="105"/>
      <c r="BI35" s="220"/>
      <c r="BJ35" s="242">
        <v>3200</v>
      </c>
      <c r="BK35" s="400"/>
      <c r="BL35" s="96"/>
      <c r="BM35" s="105"/>
      <c r="BN35" s="59"/>
      <c r="BO35" s="59"/>
      <c r="BP35" s="105"/>
      <c r="BQ35" s="106"/>
      <c r="BR35" s="59"/>
      <c r="BS35" s="220"/>
      <c r="BT35" s="205"/>
      <c r="BU35" s="221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s="42" customFormat="1" ht="26.25">
      <c r="A36" s="168">
        <v>7</v>
      </c>
      <c r="B36" s="233"/>
      <c r="C36" s="316">
        <v>1113148</v>
      </c>
      <c r="D36" s="317" t="s">
        <v>348</v>
      </c>
      <c r="E36" s="219" t="s">
        <v>42</v>
      </c>
      <c r="F36" s="169"/>
      <c r="G36" s="183"/>
      <c r="H36" s="184">
        <v>0</v>
      </c>
      <c r="I36" s="217">
        <f t="shared" ref="I36:I39" si="13">SUM(L36,V36,AF36,AP36,AZ36,BJ36,BT36)</f>
        <v>0</v>
      </c>
      <c r="J36" s="184">
        <v>0</v>
      </c>
      <c r="K36" s="185"/>
      <c r="L36" s="202"/>
      <c r="M36" s="221"/>
      <c r="N36" s="96"/>
      <c r="O36" s="59"/>
      <c r="P36" s="59"/>
      <c r="Q36" s="59"/>
      <c r="R36" s="59"/>
      <c r="S36" s="44"/>
      <c r="T36" s="59"/>
      <c r="U36" s="220"/>
      <c r="V36" s="203"/>
      <c r="W36" s="221"/>
      <c r="X36" s="96"/>
      <c r="Y36" s="59"/>
      <c r="Z36" s="59"/>
      <c r="AA36" s="59"/>
      <c r="AB36" s="59"/>
      <c r="AC36" s="44"/>
      <c r="AD36" s="59"/>
      <c r="AE36" s="220"/>
      <c r="AF36" s="253"/>
      <c r="AG36" s="221"/>
      <c r="AH36" s="96"/>
      <c r="AI36" s="59"/>
      <c r="AJ36" s="59"/>
      <c r="AK36" s="59"/>
      <c r="AL36" s="59"/>
      <c r="AM36" s="44"/>
      <c r="AN36" s="59"/>
      <c r="AO36" s="220"/>
      <c r="AP36" s="262"/>
      <c r="AQ36" s="221"/>
      <c r="AR36" s="96"/>
      <c r="AS36" s="59"/>
      <c r="AT36" s="59"/>
      <c r="AU36" s="59"/>
      <c r="AV36" s="59"/>
      <c r="AW36" s="44"/>
      <c r="AX36" s="59"/>
      <c r="AY36" s="220"/>
      <c r="AZ36" s="264"/>
      <c r="BA36" s="221"/>
      <c r="BB36" s="96"/>
      <c r="BC36" s="59"/>
      <c r="BD36" s="59"/>
      <c r="BE36" s="59"/>
      <c r="BF36" s="59"/>
      <c r="BG36" s="44"/>
      <c r="BH36" s="59"/>
      <c r="BI36" s="220"/>
      <c r="BJ36" s="266"/>
      <c r="BK36" s="221"/>
      <c r="BL36" s="96"/>
      <c r="BM36" s="59"/>
      <c r="BN36" s="59"/>
      <c r="BO36" s="59"/>
      <c r="BP36" s="59"/>
      <c r="BQ36" s="44"/>
      <c r="BR36" s="59"/>
      <c r="BS36" s="220"/>
      <c r="BT36" s="205"/>
      <c r="BU36" s="221">
        <v>0</v>
      </c>
      <c r="BV36" s="96">
        <f t="shared" ref="BV36:BV46" si="1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15">BT36-BX36</f>
        <v>0</v>
      </c>
      <c r="CB36" s="59"/>
    </row>
    <row r="37" spans="1:80" s="42" customFormat="1" ht="26.25">
      <c r="A37" s="168">
        <v>8</v>
      </c>
      <c r="B37" s="233"/>
      <c r="C37" s="316">
        <v>1113149</v>
      </c>
      <c r="D37" s="317" t="s">
        <v>349</v>
      </c>
      <c r="E37" s="219" t="s">
        <v>42</v>
      </c>
      <c r="F37" s="169"/>
      <c r="G37" s="183"/>
      <c r="H37" s="184">
        <v>0</v>
      </c>
      <c r="I37" s="217">
        <f t="shared" si="13"/>
        <v>0</v>
      </c>
      <c r="J37" s="184">
        <v>0</v>
      </c>
      <c r="K37" s="185"/>
      <c r="L37" s="202"/>
      <c r="M37" s="221"/>
      <c r="N37" s="96"/>
      <c r="O37" s="59"/>
      <c r="P37" s="59"/>
      <c r="Q37" s="59"/>
      <c r="R37" s="59"/>
      <c r="S37" s="44"/>
      <c r="T37" s="59"/>
      <c r="U37" s="220"/>
      <c r="V37" s="203"/>
      <c r="W37" s="221"/>
      <c r="X37" s="96"/>
      <c r="Y37" s="59"/>
      <c r="Z37" s="59"/>
      <c r="AA37" s="59"/>
      <c r="AB37" s="59"/>
      <c r="AC37" s="44"/>
      <c r="AD37" s="59"/>
      <c r="AE37" s="220"/>
      <c r="AF37" s="253"/>
      <c r="AG37" s="221"/>
      <c r="AH37" s="96"/>
      <c r="AI37" s="59"/>
      <c r="AJ37" s="59"/>
      <c r="AK37" s="59"/>
      <c r="AL37" s="59"/>
      <c r="AM37" s="44"/>
      <c r="AN37" s="59"/>
      <c r="AO37" s="220"/>
      <c r="AP37" s="262"/>
      <c r="AQ37" s="221"/>
      <c r="AR37" s="96"/>
      <c r="AS37" s="59"/>
      <c r="AT37" s="59"/>
      <c r="AU37" s="59"/>
      <c r="AV37" s="59"/>
      <c r="AW37" s="44"/>
      <c r="AX37" s="59"/>
      <c r="AY37" s="220"/>
      <c r="AZ37" s="264"/>
      <c r="BA37" s="221"/>
      <c r="BB37" s="96"/>
      <c r="BC37" s="59"/>
      <c r="BD37" s="59"/>
      <c r="BE37" s="59"/>
      <c r="BF37" s="59"/>
      <c r="BG37" s="44"/>
      <c r="BH37" s="59"/>
      <c r="BI37" s="220"/>
      <c r="BJ37" s="266"/>
      <c r="BK37" s="221"/>
      <c r="BL37" s="96"/>
      <c r="BM37" s="59"/>
      <c r="BN37" s="59"/>
      <c r="BO37" s="59"/>
      <c r="BP37" s="59"/>
      <c r="BQ37" s="44"/>
      <c r="BR37" s="59"/>
      <c r="BS37" s="220"/>
      <c r="BT37" s="205"/>
      <c r="BU37" s="221">
        <v>0</v>
      </c>
      <c r="BV37" s="96">
        <f t="shared" si="1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5"/>
        <v>0</v>
      </c>
      <c r="CB37" s="59"/>
    </row>
    <row r="38" spans="1:80" s="42" customFormat="1" ht="26.25">
      <c r="A38" s="168">
        <v>9</v>
      </c>
      <c r="B38" s="233"/>
      <c r="C38" s="169">
        <v>1113192</v>
      </c>
      <c r="D38" s="267" t="s">
        <v>351</v>
      </c>
      <c r="E38" s="219" t="s">
        <v>42</v>
      </c>
      <c r="F38" s="169"/>
      <c r="G38" s="183"/>
      <c r="H38" s="184">
        <v>0</v>
      </c>
      <c r="I38" s="217">
        <f t="shared" si="13"/>
        <v>5563</v>
      </c>
      <c r="J38" s="184">
        <v>0</v>
      </c>
      <c r="K38" s="185"/>
      <c r="L38" s="257">
        <v>1503</v>
      </c>
      <c r="M38" s="221"/>
      <c r="N38" s="96"/>
      <c r="O38" s="59"/>
      <c r="P38" s="59"/>
      <c r="Q38" s="59"/>
      <c r="R38" s="59"/>
      <c r="S38" s="106"/>
      <c r="T38" s="59"/>
      <c r="U38" s="220"/>
      <c r="V38" s="203">
        <v>755</v>
      </c>
      <c r="W38" s="221"/>
      <c r="X38" s="96"/>
      <c r="Y38" s="59"/>
      <c r="Z38" s="59"/>
      <c r="AA38" s="59"/>
      <c r="AB38" s="59"/>
      <c r="AC38" s="44"/>
      <c r="AD38" s="59"/>
      <c r="AE38" s="220"/>
      <c r="AF38" s="227">
        <v>746</v>
      </c>
      <c r="AG38" s="221"/>
      <c r="AH38" s="96"/>
      <c r="AI38" s="59"/>
      <c r="AJ38" s="59"/>
      <c r="AK38" s="59"/>
      <c r="AL38" s="59"/>
      <c r="AM38" s="106"/>
      <c r="AN38" s="59"/>
      <c r="AO38" s="220"/>
      <c r="AP38" s="248">
        <v>870</v>
      </c>
      <c r="AQ38" s="221"/>
      <c r="AR38" s="96"/>
      <c r="AS38" s="59"/>
      <c r="AT38" s="59"/>
      <c r="AU38" s="59"/>
      <c r="AV38" s="59"/>
      <c r="AW38" s="44"/>
      <c r="AX38" s="59"/>
      <c r="AY38" s="220"/>
      <c r="AZ38" s="204">
        <v>789</v>
      </c>
      <c r="BA38" s="221"/>
      <c r="BB38" s="96"/>
      <c r="BC38" s="59"/>
      <c r="BD38" s="59"/>
      <c r="BE38" s="59"/>
      <c r="BF38" s="59"/>
      <c r="BG38" s="106"/>
      <c r="BH38" s="59"/>
      <c r="BI38" s="220"/>
      <c r="BJ38" s="266">
        <v>900</v>
      </c>
      <c r="BK38" s="221"/>
      <c r="BL38" s="96"/>
      <c r="BM38" s="59"/>
      <c r="BN38" s="59"/>
      <c r="BO38" s="59"/>
      <c r="BP38" s="59"/>
      <c r="BQ38" s="44"/>
      <c r="BR38" s="59"/>
      <c r="BS38" s="220"/>
      <c r="BT38" s="205"/>
      <c r="BU38" s="221">
        <v>0</v>
      </c>
      <c r="BV38" s="96">
        <f t="shared" si="1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15"/>
        <v>0</v>
      </c>
      <c r="CB38" s="59"/>
    </row>
    <row r="39" spans="1:80" s="42" customFormat="1" ht="26.25">
      <c r="A39" s="168">
        <v>10</v>
      </c>
      <c r="B39" s="233"/>
      <c r="C39" s="312">
        <v>1113194</v>
      </c>
      <c r="D39" s="313" t="s">
        <v>353</v>
      </c>
      <c r="E39" s="219" t="s">
        <v>42</v>
      </c>
      <c r="F39" s="169"/>
      <c r="G39" s="183"/>
      <c r="H39" s="184">
        <v>0</v>
      </c>
      <c r="I39" s="217">
        <f t="shared" si="13"/>
        <v>5696</v>
      </c>
      <c r="J39" s="184">
        <v>0</v>
      </c>
      <c r="K39" s="185"/>
      <c r="L39" s="257">
        <v>1519</v>
      </c>
      <c r="M39" s="221"/>
      <c r="N39" s="96"/>
      <c r="O39" s="59"/>
      <c r="P39" s="59"/>
      <c r="Q39" s="59"/>
      <c r="R39" s="105"/>
      <c r="S39" s="106"/>
      <c r="T39" s="59"/>
      <c r="U39" s="220"/>
      <c r="V39" s="226">
        <v>744</v>
      </c>
      <c r="W39" s="221"/>
      <c r="X39" s="96"/>
      <c r="Y39" s="59"/>
      <c r="Z39" s="59"/>
      <c r="AA39" s="59"/>
      <c r="AB39" s="105"/>
      <c r="AC39" s="44"/>
      <c r="AD39" s="59"/>
      <c r="AE39" s="220"/>
      <c r="AF39" s="227">
        <v>854</v>
      </c>
      <c r="AG39" s="400"/>
      <c r="AH39" s="96"/>
      <c r="AI39" s="59"/>
      <c r="AJ39" s="59"/>
      <c r="AK39" s="59"/>
      <c r="AL39" s="105"/>
      <c r="AM39" s="106"/>
      <c r="AN39" s="59"/>
      <c r="AO39" s="220"/>
      <c r="AP39" s="248">
        <v>803</v>
      </c>
      <c r="AQ39" s="221"/>
      <c r="AR39" s="96"/>
      <c r="AS39" s="59"/>
      <c r="AT39" s="59"/>
      <c r="AU39" s="59"/>
      <c r="AV39" s="105"/>
      <c r="AW39" s="44"/>
      <c r="AX39" s="59"/>
      <c r="AY39" s="220"/>
      <c r="AZ39" s="204">
        <v>876</v>
      </c>
      <c r="BA39" s="221"/>
      <c r="BB39" s="96"/>
      <c r="BC39" s="59"/>
      <c r="BD39" s="59"/>
      <c r="BE39" s="59"/>
      <c r="BF39" s="105"/>
      <c r="BG39" s="106"/>
      <c r="BH39" s="105"/>
      <c r="BI39" s="220"/>
      <c r="BJ39" s="266">
        <v>900</v>
      </c>
      <c r="BK39" s="221"/>
      <c r="BL39" s="96"/>
      <c r="BM39" s="59"/>
      <c r="BN39" s="59"/>
      <c r="BO39" s="59"/>
      <c r="BP39" s="105"/>
      <c r="BQ39" s="44"/>
      <c r="BR39" s="59"/>
      <c r="BS39" s="220"/>
      <c r="BT39" s="205"/>
      <c r="BU39" s="221">
        <v>0</v>
      </c>
      <c r="BV39" s="96">
        <f t="shared" si="1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15"/>
        <v>0</v>
      </c>
      <c r="CB39" s="59"/>
    </row>
    <row r="40" spans="1:80" s="42" customFormat="1" ht="29.25" hidden="1">
      <c r="A40" s="53">
        <v>1</v>
      </c>
      <c r="B40" s="68"/>
      <c r="C40" s="197">
        <v>1001001087</v>
      </c>
      <c r="D40" s="198" t="s">
        <v>376</v>
      </c>
      <c r="E40" s="199" t="s">
        <v>377</v>
      </c>
      <c r="F40" s="199"/>
      <c r="G40" s="200"/>
      <c r="H40" s="479">
        <v>0</v>
      </c>
      <c r="I40" s="63">
        <f t="shared" ref="I40:I46" si="16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10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5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>
        <v>0</v>
      </c>
      <c r="BV40" s="96">
        <f t="shared" si="1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5"/>
        <v>0</v>
      </c>
      <c r="CB40" s="59"/>
    </row>
    <row r="41" spans="1:80" s="42" customFormat="1" ht="29.25" hidden="1">
      <c r="A41" s="53">
        <v>2</v>
      </c>
      <c r="B41" s="68"/>
      <c r="C41" s="197">
        <v>1001001088</v>
      </c>
      <c r="D41" s="198" t="s">
        <v>378</v>
      </c>
      <c r="E41" s="199" t="s">
        <v>377</v>
      </c>
      <c r="F41" s="199"/>
      <c r="G41" s="200"/>
      <c r="H41" s="201">
        <v>0</v>
      </c>
      <c r="I41" s="63">
        <f t="shared" si="16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1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1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5"/>
        <v>0</v>
      </c>
      <c r="CB41" s="59"/>
    </row>
    <row r="42" spans="1:80" s="42" customFormat="1" ht="29.25" hidden="1">
      <c r="A42" s="53">
        <v>3</v>
      </c>
      <c r="B42" s="68"/>
      <c r="C42" s="197">
        <v>1001001089</v>
      </c>
      <c r="D42" s="198" t="s">
        <v>379</v>
      </c>
      <c r="E42" s="199" t="s">
        <v>377</v>
      </c>
      <c r="F42" s="199"/>
      <c r="G42" s="200"/>
      <c r="H42" s="201">
        <v>0</v>
      </c>
      <c r="I42" s="63">
        <f t="shared" si="16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1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1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5"/>
        <v>0</v>
      </c>
      <c r="CB42" s="59"/>
    </row>
    <row r="43" spans="1:80" s="42" customFormat="1" ht="29.25" hidden="1">
      <c r="A43" s="53">
        <v>4</v>
      </c>
      <c r="B43" s="68"/>
      <c r="C43" s="197">
        <v>1001001111</v>
      </c>
      <c r="D43" s="198" t="s">
        <v>381</v>
      </c>
      <c r="E43" s="199" t="s">
        <v>377</v>
      </c>
      <c r="F43" s="199"/>
      <c r="G43" s="200"/>
      <c r="H43" s="201">
        <v>0</v>
      </c>
      <c r="I43" s="63">
        <f t="shared" si="16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1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1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5"/>
        <v>0</v>
      </c>
      <c r="CB43" s="59"/>
    </row>
    <row r="44" spans="1:80" s="42" customFormat="1" ht="29.25" hidden="1">
      <c r="A44" s="53">
        <v>5</v>
      </c>
      <c r="B44" s="68"/>
      <c r="C44" s="197">
        <v>1001001112</v>
      </c>
      <c r="D44" s="198" t="s">
        <v>382</v>
      </c>
      <c r="E44" s="199" t="s">
        <v>377</v>
      </c>
      <c r="F44" s="199"/>
      <c r="G44" s="200"/>
      <c r="H44" s="201">
        <v>0</v>
      </c>
      <c r="I44" s="63">
        <f t="shared" si="16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1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5"/>
        <v>0</v>
      </c>
      <c r="CB44" s="59"/>
    </row>
    <row r="45" spans="1:80" s="42" customFormat="1" ht="29.25" hidden="1">
      <c r="A45" s="53">
        <v>6</v>
      </c>
      <c r="B45" s="68"/>
      <c r="C45" s="197">
        <v>1001001113</v>
      </c>
      <c r="D45" s="198" t="s">
        <v>383</v>
      </c>
      <c r="E45" s="199" t="s">
        <v>377</v>
      </c>
      <c r="F45" s="199"/>
      <c r="G45" s="200"/>
      <c r="H45" s="201">
        <v>0</v>
      </c>
      <c r="I45" s="63">
        <f t="shared" si="16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1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1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5"/>
        <v>0</v>
      </c>
      <c r="CB45" s="59"/>
    </row>
    <row r="46" spans="1:80" s="42" customFormat="1" ht="29.25" hidden="1">
      <c r="A46" s="165">
        <v>7</v>
      </c>
      <c r="B46" s="132"/>
      <c r="C46" s="468">
        <v>1001001114</v>
      </c>
      <c r="D46" s="469" t="s">
        <v>412</v>
      </c>
      <c r="E46" s="470" t="s">
        <v>377</v>
      </c>
      <c r="F46" s="470"/>
      <c r="G46" s="471"/>
      <c r="H46" s="472">
        <v>0</v>
      </c>
      <c r="I46" s="311">
        <f t="shared" si="16"/>
        <v>0</v>
      </c>
      <c r="J46" s="129">
        <v>0</v>
      </c>
      <c r="K46" s="117"/>
      <c r="L46" s="300"/>
      <c r="M46" s="59"/>
      <c r="N46" s="96"/>
      <c r="O46" s="59"/>
      <c r="P46" s="59"/>
      <c r="Q46" s="59"/>
      <c r="R46" s="59"/>
      <c r="S46" s="44"/>
      <c r="T46" s="59"/>
      <c r="U46" s="59"/>
      <c r="V46" s="212"/>
      <c r="W46" s="59"/>
      <c r="X46" s="96"/>
      <c r="Y46" s="59"/>
      <c r="Z46" s="59"/>
      <c r="AA46" s="59"/>
      <c r="AB46" s="59"/>
      <c r="AC46" s="44"/>
      <c r="AD46" s="59"/>
      <c r="AE46" s="59"/>
      <c r="AF46" s="301"/>
      <c r="AG46" s="59"/>
      <c r="AH46" s="96"/>
      <c r="AI46" s="59"/>
      <c r="AJ46" s="59"/>
      <c r="AK46" s="59"/>
      <c r="AL46" s="59"/>
      <c r="AM46" s="44"/>
      <c r="AN46" s="59"/>
      <c r="AO46" s="59"/>
      <c r="AP46" s="139"/>
      <c r="AQ46" s="59"/>
      <c r="AR46" s="96"/>
      <c r="AS46" s="59"/>
      <c r="AT46" s="59"/>
      <c r="AU46" s="59"/>
      <c r="AV46" s="59"/>
      <c r="AW46" s="44"/>
      <c r="AX46" s="59"/>
      <c r="AY46" s="59"/>
      <c r="AZ46" s="302"/>
      <c r="BA46" s="59"/>
      <c r="BB46" s="96"/>
      <c r="BC46" s="59"/>
      <c r="BD46" s="59"/>
      <c r="BE46" s="59"/>
      <c r="BF46" s="59"/>
      <c r="BG46" s="44"/>
      <c r="BH46" s="59"/>
      <c r="BI46" s="59"/>
      <c r="BJ46" s="216"/>
      <c r="BK46" s="59"/>
      <c r="BL46" s="96"/>
      <c r="BM46" s="59"/>
      <c r="BN46" s="59"/>
      <c r="BO46" s="59"/>
      <c r="BP46" s="59"/>
      <c r="BQ46" s="44"/>
      <c r="BR46" s="59"/>
      <c r="BS46" s="59"/>
      <c r="BT46" s="303"/>
      <c r="BU46" s="59">
        <v>0</v>
      </c>
      <c r="BV46" s="96">
        <f t="shared" si="1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5"/>
        <v>0</v>
      </c>
      <c r="CB46" s="59"/>
    </row>
    <row r="47" spans="1:80" s="42" customFormat="1" ht="29.25">
      <c r="A47" s="168">
        <v>11</v>
      </c>
      <c r="B47" s="233"/>
      <c r="C47" s="207">
        <v>1113225</v>
      </c>
      <c r="D47" s="208" t="s">
        <v>474</v>
      </c>
      <c r="E47" s="219" t="s">
        <v>42</v>
      </c>
      <c r="F47" s="169"/>
      <c r="G47" s="183"/>
      <c r="H47" s="184"/>
      <c r="I47" s="217">
        <f t="shared" ref="I47" si="17">SUM(L47,V47,AF47,AP47,AZ47,BJ47,BT47)</f>
        <v>6088</v>
      </c>
      <c r="J47" s="184"/>
      <c r="K47" s="185"/>
      <c r="L47" s="257">
        <v>1558</v>
      </c>
      <c r="M47" s="221"/>
      <c r="N47" s="96"/>
      <c r="O47" s="59"/>
      <c r="P47" s="59"/>
      <c r="Q47" s="59"/>
      <c r="R47" s="59"/>
      <c r="S47" s="44"/>
      <c r="T47" s="59"/>
      <c r="U47" s="220"/>
      <c r="V47" s="226">
        <v>809</v>
      </c>
      <c r="W47" s="221"/>
      <c r="X47" s="96"/>
      <c r="Y47" s="59"/>
      <c r="Z47" s="59"/>
      <c r="AA47" s="59"/>
      <c r="AB47" s="59"/>
      <c r="AC47" s="44"/>
      <c r="AD47" s="59"/>
      <c r="AE47" s="220"/>
      <c r="AF47" s="227">
        <v>828</v>
      </c>
      <c r="AG47" s="221"/>
      <c r="AH47" s="96"/>
      <c r="AI47" s="59"/>
      <c r="AJ47" s="59"/>
      <c r="AK47" s="59"/>
      <c r="AL47" s="59"/>
      <c r="AM47" s="44"/>
      <c r="AN47" s="59"/>
      <c r="AO47" s="220"/>
      <c r="AP47" s="248">
        <v>892</v>
      </c>
      <c r="AQ47" s="221"/>
      <c r="AR47" s="96"/>
      <c r="AS47" s="59"/>
      <c r="AT47" s="59"/>
      <c r="AU47" s="59"/>
      <c r="AV47" s="59"/>
      <c r="AW47" s="44"/>
      <c r="AX47" s="59"/>
      <c r="AY47" s="220"/>
      <c r="AZ47" s="204">
        <v>901</v>
      </c>
      <c r="BA47" s="221"/>
      <c r="BB47" s="96"/>
      <c r="BC47" s="59"/>
      <c r="BD47" s="59"/>
      <c r="BE47" s="59"/>
      <c r="BF47" s="59"/>
      <c r="BG47" s="44"/>
      <c r="BH47" s="59"/>
      <c r="BI47" s="220"/>
      <c r="BJ47" s="266">
        <v>1100</v>
      </c>
      <c r="BK47" s="221"/>
      <c r="BL47" s="96"/>
      <c r="BM47" s="59"/>
      <c r="BN47" s="59"/>
      <c r="BO47" s="59"/>
      <c r="BP47" s="59"/>
      <c r="BQ47" s="44"/>
      <c r="BR47" s="59"/>
      <c r="BS47" s="220"/>
      <c r="BT47" s="205"/>
      <c r="BU47" s="221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43">
        <v>20059547</v>
      </c>
      <c r="D48" s="188" t="s">
        <v>431</v>
      </c>
      <c r="E48" s="169" t="s">
        <v>69</v>
      </c>
      <c r="F48" s="188"/>
      <c r="G48" s="188"/>
      <c r="H48" s="184"/>
      <c r="I48" s="236">
        <f t="shared" ref="I48:I55" si="18">SUM(L48,V48,AF48,AP48,AZ48,BJ48,BT48)</f>
        <v>14704</v>
      </c>
      <c r="J48" s="236"/>
      <c r="K48" s="188"/>
      <c r="L48" s="237">
        <v>2124</v>
      </c>
      <c r="V48" s="238">
        <v>2232</v>
      </c>
      <c r="AF48" s="239">
        <v>2412</v>
      </c>
      <c r="AP48" s="240">
        <v>2736</v>
      </c>
      <c r="AZ48" s="241">
        <v>2700</v>
      </c>
      <c r="BJ48" s="242">
        <v>2500</v>
      </c>
      <c r="BT48" s="205"/>
    </row>
    <row r="49" spans="1:72" ht="24" hidden="1" customHeight="1">
      <c r="A49" s="168">
        <v>8</v>
      </c>
      <c r="B49" s="170"/>
      <c r="C49" s="243">
        <v>20059548</v>
      </c>
      <c r="D49" s="188" t="s">
        <v>432</v>
      </c>
      <c r="E49" s="169" t="s">
        <v>69</v>
      </c>
      <c r="F49" s="188"/>
      <c r="G49" s="188"/>
      <c r="H49" s="184"/>
      <c r="I49" s="236">
        <f t="shared" si="18"/>
        <v>51520</v>
      </c>
      <c r="J49" s="236"/>
      <c r="K49" s="188"/>
      <c r="L49" s="237">
        <v>7860</v>
      </c>
      <c r="V49" s="238">
        <v>7860</v>
      </c>
      <c r="AF49" s="239">
        <v>7860</v>
      </c>
      <c r="AP49" s="240">
        <v>8580</v>
      </c>
      <c r="AZ49" s="241">
        <v>10260</v>
      </c>
      <c r="BJ49" s="242">
        <v>9100</v>
      </c>
      <c r="BT49" s="205"/>
    </row>
    <row r="50" spans="1:72" ht="24" hidden="1" customHeight="1">
      <c r="A50" s="168">
        <v>9</v>
      </c>
      <c r="B50" s="170"/>
      <c r="C50" s="269">
        <v>20060019</v>
      </c>
      <c r="D50" s="188" t="s">
        <v>448</v>
      </c>
      <c r="E50" s="169" t="s">
        <v>69</v>
      </c>
      <c r="F50" s="188"/>
      <c r="G50" s="188"/>
      <c r="H50" s="184"/>
      <c r="I50" s="236">
        <f t="shared" si="18"/>
        <v>17650</v>
      </c>
      <c r="J50" s="236"/>
      <c r="K50" s="188"/>
      <c r="L50" s="237">
        <v>3540</v>
      </c>
      <c r="V50" s="226">
        <v>2460</v>
      </c>
      <c r="AF50" s="227">
        <v>2400</v>
      </c>
      <c r="AP50" s="248">
        <v>2520</v>
      </c>
      <c r="AZ50" s="204">
        <v>3630</v>
      </c>
      <c r="BJ50" s="247">
        <v>3100</v>
      </c>
      <c r="BT50" s="205"/>
    </row>
    <row r="51" spans="1:72" ht="24" hidden="1" customHeight="1">
      <c r="A51" s="168">
        <v>10</v>
      </c>
      <c r="B51" s="170"/>
      <c r="C51" s="169">
        <v>20059087</v>
      </c>
      <c r="D51" s="267" t="s">
        <v>449</v>
      </c>
      <c r="E51" s="169" t="s">
        <v>69</v>
      </c>
      <c r="F51" s="188"/>
      <c r="G51" s="188"/>
      <c r="H51" s="184"/>
      <c r="I51" s="236">
        <f t="shared" si="18"/>
        <v>17940</v>
      </c>
      <c r="J51" s="236"/>
      <c r="K51" s="188"/>
      <c r="L51" s="237">
        <v>2580</v>
      </c>
      <c r="V51" s="226">
        <v>2580</v>
      </c>
      <c r="AF51" s="227">
        <v>2580</v>
      </c>
      <c r="AP51" s="248">
        <v>3120</v>
      </c>
      <c r="AZ51" s="204">
        <v>4080</v>
      </c>
      <c r="BJ51" s="247">
        <v>3000</v>
      </c>
      <c r="BT51" s="205"/>
    </row>
    <row r="52" spans="1:72" ht="24.75" hidden="1" customHeight="1">
      <c r="A52" s="168">
        <v>11</v>
      </c>
      <c r="B52" s="170"/>
      <c r="C52" s="251">
        <v>20060974</v>
      </c>
      <c r="D52" s="267" t="s">
        <v>434</v>
      </c>
      <c r="E52" s="169" t="s">
        <v>69</v>
      </c>
      <c r="F52" s="188"/>
      <c r="G52" s="188"/>
      <c r="H52" s="184"/>
      <c r="I52" s="236">
        <f t="shared" si="18"/>
        <v>6112</v>
      </c>
      <c r="J52" s="236"/>
      <c r="K52" s="188"/>
      <c r="L52" s="237">
        <v>900</v>
      </c>
      <c r="V52" s="226">
        <v>1080</v>
      </c>
      <c r="AF52" s="227">
        <v>972</v>
      </c>
      <c r="AP52" s="248">
        <v>1080</v>
      </c>
      <c r="AZ52" s="204">
        <v>1080</v>
      </c>
      <c r="BJ52" s="247">
        <v>1000</v>
      </c>
      <c r="BT52" s="205"/>
    </row>
    <row r="53" spans="1:72" ht="24.75" hidden="1" customHeight="1">
      <c r="A53" s="168">
        <v>12</v>
      </c>
      <c r="B53" s="170"/>
      <c r="C53" s="251">
        <v>20060976</v>
      </c>
      <c r="D53" s="267" t="s">
        <v>450</v>
      </c>
      <c r="E53" s="169" t="s">
        <v>69</v>
      </c>
      <c r="F53" s="188"/>
      <c r="G53" s="188"/>
      <c r="H53" s="184"/>
      <c r="I53" s="236">
        <f t="shared" si="18"/>
        <v>13880</v>
      </c>
      <c r="J53" s="236"/>
      <c r="K53" s="188"/>
      <c r="L53" s="237">
        <v>2040</v>
      </c>
      <c r="V53" s="226">
        <v>2100</v>
      </c>
      <c r="AF53" s="227">
        <v>2160</v>
      </c>
      <c r="AP53" s="248">
        <v>2640</v>
      </c>
      <c r="AZ53" s="204">
        <v>2940</v>
      </c>
      <c r="BJ53" s="247">
        <v>2000</v>
      </c>
      <c r="BT53" s="205"/>
    </row>
    <row r="54" spans="1:72" ht="27.75" hidden="1" customHeight="1">
      <c r="A54" s="407">
        <v>13</v>
      </c>
      <c r="B54" s="249"/>
      <c r="C54" s="486">
        <v>20060973</v>
      </c>
      <c r="D54" s="487" t="s">
        <v>436</v>
      </c>
      <c r="E54" s="182" t="s">
        <v>69</v>
      </c>
      <c r="F54" s="287"/>
      <c r="G54" s="287"/>
      <c r="H54" s="234"/>
      <c r="I54" s="259">
        <f t="shared" si="18"/>
        <v>6064</v>
      </c>
      <c r="J54" s="259"/>
      <c r="K54" s="287"/>
      <c r="L54" s="319">
        <v>888</v>
      </c>
      <c r="V54" s="320">
        <v>888</v>
      </c>
      <c r="AF54" s="321">
        <v>816</v>
      </c>
      <c r="AP54" s="322">
        <v>840</v>
      </c>
      <c r="AZ54" s="323">
        <v>1032</v>
      </c>
      <c r="BJ54" s="324">
        <v>800</v>
      </c>
      <c r="BT54" s="488">
        <v>800</v>
      </c>
    </row>
    <row r="55" spans="1:72" ht="27.75" hidden="1" customHeight="1">
      <c r="A55" s="168">
        <v>14</v>
      </c>
      <c r="B55" s="233"/>
      <c r="C55" s="288">
        <v>20061982</v>
      </c>
      <c r="D55" s="289" t="s">
        <v>437</v>
      </c>
      <c r="E55" s="279" t="s">
        <v>69</v>
      </c>
      <c r="F55" s="188"/>
      <c r="G55" s="188"/>
      <c r="H55" s="184"/>
      <c r="I55" s="236">
        <f t="shared" si="18"/>
        <v>15780</v>
      </c>
      <c r="J55" s="236"/>
      <c r="K55" s="188"/>
      <c r="L55" s="237">
        <v>2360</v>
      </c>
      <c r="V55" s="226">
        <v>2480</v>
      </c>
      <c r="AF55" s="227">
        <v>2480</v>
      </c>
      <c r="AP55" s="248">
        <v>2720</v>
      </c>
      <c r="AZ55" s="204">
        <v>3240</v>
      </c>
      <c r="BJ55" s="247">
        <v>2500</v>
      </c>
      <c r="BT55" s="205"/>
    </row>
    <row r="56" spans="1:72" ht="30.75" hidden="1" customHeight="1">
      <c r="A56" s="168">
        <v>15</v>
      </c>
      <c r="B56" s="170"/>
      <c r="C56" s="251">
        <v>20062915</v>
      </c>
      <c r="D56" s="290" t="s">
        <v>438</v>
      </c>
      <c r="E56" s="279" t="s">
        <v>69</v>
      </c>
      <c r="F56" s="188"/>
      <c r="G56" s="188"/>
      <c r="H56" s="184"/>
      <c r="I56" s="236">
        <f t="shared" ref="I56:I62" si="19">SUM(L56,V56,AF56,AP56,AZ56,BJ56,BT56)</f>
        <v>11840</v>
      </c>
      <c r="J56" s="236"/>
      <c r="K56" s="188"/>
      <c r="L56" s="237">
        <v>2160</v>
      </c>
      <c r="V56" s="226">
        <v>1920</v>
      </c>
      <c r="AF56" s="227">
        <v>1880</v>
      </c>
      <c r="AP56" s="248">
        <v>2080</v>
      </c>
      <c r="AZ56" s="204">
        <v>2000</v>
      </c>
      <c r="BJ56" s="247">
        <v>1800</v>
      </c>
      <c r="BT56" s="205"/>
    </row>
    <row r="57" spans="1:72" ht="30.75" hidden="1" customHeight="1">
      <c r="A57" s="168">
        <v>16</v>
      </c>
      <c r="B57" s="170"/>
      <c r="C57" s="251">
        <v>20063266</v>
      </c>
      <c r="D57" s="290" t="s">
        <v>439</v>
      </c>
      <c r="E57" s="279" t="s">
        <v>69</v>
      </c>
      <c r="F57" s="188"/>
      <c r="G57" s="188"/>
      <c r="H57" s="184"/>
      <c r="I57" s="236">
        <f t="shared" si="19"/>
        <v>14100</v>
      </c>
      <c r="J57" s="236"/>
      <c r="K57" s="188"/>
      <c r="L57" s="237">
        <v>2960</v>
      </c>
      <c r="V57" s="226">
        <v>2240</v>
      </c>
      <c r="AF57" s="227">
        <v>2080</v>
      </c>
      <c r="AP57" s="248">
        <v>2400</v>
      </c>
      <c r="AZ57" s="204">
        <v>2520</v>
      </c>
      <c r="BJ57" s="247">
        <v>1900</v>
      </c>
      <c r="BT57" s="205"/>
    </row>
    <row r="58" spans="1:72" ht="30.75" hidden="1" customHeight="1">
      <c r="A58" s="168">
        <v>17</v>
      </c>
      <c r="B58" s="170"/>
      <c r="C58" s="251">
        <v>20062916</v>
      </c>
      <c r="D58" s="290" t="s">
        <v>413</v>
      </c>
      <c r="E58" s="279" t="s">
        <v>69</v>
      </c>
      <c r="F58" s="188"/>
      <c r="G58" s="188"/>
      <c r="H58" s="184"/>
      <c r="I58" s="236">
        <f t="shared" si="19"/>
        <v>12848</v>
      </c>
      <c r="J58" s="236"/>
      <c r="K58" s="188"/>
      <c r="L58" s="237">
        <v>2196</v>
      </c>
      <c r="V58" s="226">
        <v>1872</v>
      </c>
      <c r="AF58" s="227">
        <v>1800</v>
      </c>
      <c r="AP58" s="248">
        <v>2016</v>
      </c>
      <c r="AZ58" s="204">
        <v>1764</v>
      </c>
      <c r="BJ58" s="247">
        <v>1800</v>
      </c>
      <c r="BT58" s="205">
        <v>1400</v>
      </c>
    </row>
    <row r="59" spans="1:72" ht="30.75" hidden="1" customHeight="1">
      <c r="A59" s="168">
        <v>18</v>
      </c>
      <c r="B59" s="170"/>
      <c r="C59" s="251">
        <v>20063380</v>
      </c>
      <c r="D59" s="290" t="s">
        <v>451</v>
      </c>
      <c r="E59" s="279" t="s">
        <v>69</v>
      </c>
      <c r="F59" s="188"/>
      <c r="G59" s="188"/>
      <c r="H59" s="184"/>
      <c r="I59" s="236">
        <f t="shared" si="19"/>
        <v>8720</v>
      </c>
      <c r="J59" s="236"/>
      <c r="K59" s="188"/>
      <c r="L59" s="237">
        <v>1260</v>
      </c>
      <c r="V59" s="226">
        <v>1380</v>
      </c>
      <c r="AF59" s="227">
        <v>1380</v>
      </c>
      <c r="AP59" s="248">
        <v>1560</v>
      </c>
      <c r="AZ59" s="204">
        <v>1740</v>
      </c>
      <c r="BJ59" s="247">
        <v>1400</v>
      </c>
      <c r="BT59" s="205"/>
    </row>
    <row r="60" spans="1:72" ht="30.75" hidden="1" customHeight="1">
      <c r="A60" s="168">
        <v>19</v>
      </c>
      <c r="B60" s="170"/>
      <c r="C60" s="298">
        <v>20063468</v>
      </c>
      <c r="D60" s="299" t="s">
        <v>419</v>
      </c>
      <c r="E60" s="169" t="s">
        <v>69</v>
      </c>
      <c r="F60" s="186"/>
      <c r="G60" s="186"/>
      <c r="H60" s="184"/>
      <c r="I60" s="236">
        <f t="shared" si="19"/>
        <v>13980</v>
      </c>
      <c r="J60" s="236"/>
      <c r="K60" s="188"/>
      <c r="L60" s="237">
        <v>2800</v>
      </c>
      <c r="V60" s="226">
        <v>2080</v>
      </c>
      <c r="AF60" s="227">
        <v>2000</v>
      </c>
      <c r="AP60" s="248">
        <v>2320</v>
      </c>
      <c r="AZ60" s="204">
        <v>2480</v>
      </c>
      <c r="BJ60" s="247">
        <v>2300</v>
      </c>
      <c r="BT60" s="205"/>
    </row>
    <row r="61" spans="1:72" ht="30.75" hidden="1" customHeight="1">
      <c r="A61" s="168">
        <v>20</v>
      </c>
      <c r="B61" s="170"/>
      <c r="C61" s="292">
        <v>20063720</v>
      </c>
      <c r="D61" s="293" t="s">
        <v>452</v>
      </c>
      <c r="E61" s="169" t="s">
        <v>69</v>
      </c>
      <c r="F61" s="188"/>
      <c r="G61" s="188"/>
      <c r="H61" s="184"/>
      <c r="I61" s="236">
        <f t="shared" si="19"/>
        <v>9520</v>
      </c>
      <c r="J61" s="236"/>
      <c r="K61" s="188"/>
      <c r="L61" s="237">
        <v>1640</v>
      </c>
      <c r="V61" s="226">
        <v>2080</v>
      </c>
      <c r="AF61" s="227">
        <v>1720</v>
      </c>
      <c r="AP61" s="248">
        <v>1280</v>
      </c>
      <c r="AZ61" s="204">
        <v>1200</v>
      </c>
      <c r="BJ61" s="247">
        <v>800</v>
      </c>
      <c r="BT61" s="205">
        <v>800</v>
      </c>
    </row>
    <row r="62" spans="1:72" ht="30.75" hidden="1" customHeight="1">
      <c r="A62" s="168">
        <v>21</v>
      </c>
      <c r="B62" s="170"/>
      <c r="C62" s="292">
        <v>20063783</v>
      </c>
      <c r="D62" s="293" t="s">
        <v>453</v>
      </c>
      <c r="E62" s="169" t="s">
        <v>69</v>
      </c>
      <c r="F62" s="188"/>
      <c r="G62" s="188"/>
      <c r="H62" s="184"/>
      <c r="I62" s="236">
        <f t="shared" si="19"/>
        <v>4180</v>
      </c>
      <c r="J62" s="236"/>
      <c r="K62" s="188"/>
      <c r="L62" s="237">
        <v>720</v>
      </c>
      <c r="V62" s="226">
        <v>840</v>
      </c>
      <c r="AF62" s="227">
        <v>720</v>
      </c>
      <c r="AP62" s="248">
        <v>720</v>
      </c>
      <c r="AZ62" s="204">
        <v>680</v>
      </c>
      <c r="BJ62" s="247">
        <v>500</v>
      </c>
      <c r="BT62" s="205"/>
    </row>
    <row r="63" spans="1:72" ht="30.75" hidden="1" customHeight="1">
      <c r="A63" s="168">
        <v>22</v>
      </c>
      <c r="B63" s="170"/>
      <c r="C63" s="292">
        <v>20063930</v>
      </c>
      <c r="D63" s="305" t="s">
        <v>454</v>
      </c>
      <c r="E63" s="169" t="s">
        <v>69</v>
      </c>
      <c r="F63" s="188"/>
      <c r="G63" s="188"/>
      <c r="H63" s="184"/>
      <c r="I63" s="236">
        <f t="shared" ref="I63:I76" si="20">SUM(L63,V63,AF63,AP63,AZ63,BJ63,BT63)</f>
        <v>7736</v>
      </c>
      <c r="J63" s="236"/>
      <c r="K63" s="188"/>
      <c r="L63" s="237">
        <v>1176</v>
      </c>
      <c r="V63" s="226">
        <v>1008</v>
      </c>
      <c r="AF63" s="227">
        <v>1232</v>
      </c>
      <c r="AP63" s="248">
        <v>896</v>
      </c>
      <c r="AZ63" s="204">
        <v>1624</v>
      </c>
      <c r="BJ63" s="247">
        <v>1000</v>
      </c>
      <c r="BT63" s="205">
        <v>800</v>
      </c>
    </row>
    <row r="64" spans="1:72" ht="29.25" hidden="1" customHeight="1">
      <c r="A64" s="168">
        <v>23</v>
      </c>
      <c r="B64" s="170"/>
      <c r="C64" s="292">
        <v>20063929</v>
      </c>
      <c r="D64" s="305" t="s">
        <v>420</v>
      </c>
      <c r="E64" s="169" t="s">
        <v>69</v>
      </c>
      <c r="F64" s="188"/>
      <c r="G64" s="188"/>
      <c r="H64" s="184"/>
      <c r="I64" s="236">
        <f t="shared" si="20"/>
        <v>5120</v>
      </c>
      <c r="J64" s="236"/>
      <c r="K64" s="188"/>
      <c r="L64" s="237">
        <v>672</v>
      </c>
      <c r="V64" s="226">
        <v>952</v>
      </c>
      <c r="AF64" s="227">
        <v>1120</v>
      </c>
      <c r="AP64" s="248">
        <v>448</v>
      </c>
      <c r="AZ64" s="204">
        <v>728</v>
      </c>
      <c r="BJ64" s="247">
        <v>600</v>
      </c>
      <c r="BT64" s="205">
        <v>600</v>
      </c>
    </row>
    <row r="65" spans="1:72" ht="29.25" hidden="1" customHeight="1">
      <c r="A65" s="168">
        <v>24</v>
      </c>
      <c r="B65" s="170"/>
      <c r="C65" s="292">
        <v>20064190</v>
      </c>
      <c r="D65" s="318" t="s">
        <v>472</v>
      </c>
      <c r="E65" s="169" t="s">
        <v>69</v>
      </c>
      <c r="F65" s="188"/>
      <c r="G65" s="188"/>
      <c r="H65" s="184"/>
      <c r="I65" s="236">
        <f t="shared" si="20"/>
        <v>3760</v>
      </c>
      <c r="J65" s="236"/>
      <c r="K65" s="188"/>
      <c r="L65" s="237">
        <v>360</v>
      </c>
      <c r="V65" s="226">
        <v>560</v>
      </c>
      <c r="AF65" s="227">
        <v>640</v>
      </c>
      <c r="AP65" s="248">
        <v>520</v>
      </c>
      <c r="AZ65" s="204">
        <v>680</v>
      </c>
      <c r="BJ65" s="247">
        <v>500</v>
      </c>
      <c r="BT65" s="205">
        <v>500</v>
      </c>
    </row>
    <row r="66" spans="1:72" ht="29.25" hidden="1" customHeight="1">
      <c r="A66" s="168">
        <v>25</v>
      </c>
      <c r="B66" s="170"/>
      <c r="C66" s="292">
        <v>20064191</v>
      </c>
      <c r="D66" s="318" t="s">
        <v>473</v>
      </c>
      <c r="E66" s="169" t="s">
        <v>69</v>
      </c>
      <c r="F66" s="188"/>
      <c r="G66" s="188"/>
      <c r="H66" s="184"/>
      <c r="I66" s="236">
        <f t="shared" si="20"/>
        <v>18642</v>
      </c>
      <c r="J66" s="236"/>
      <c r="K66" s="188"/>
      <c r="L66" s="237">
        <v>2880</v>
      </c>
      <c r="V66" s="226">
        <v>2592</v>
      </c>
      <c r="AF66" s="227">
        <v>4140</v>
      </c>
      <c r="AP66" s="248">
        <v>2592</v>
      </c>
      <c r="AZ66" s="204">
        <v>3438</v>
      </c>
      <c r="BJ66" s="247">
        <v>3000</v>
      </c>
      <c r="BT66" s="205"/>
    </row>
    <row r="67" spans="1:72" ht="29.25" hidden="1" customHeight="1">
      <c r="A67" s="286">
        <v>26</v>
      </c>
      <c r="B67" s="485"/>
      <c r="C67" s="84">
        <v>20064271</v>
      </c>
      <c r="D67" s="535" t="s">
        <v>471</v>
      </c>
      <c r="E67" s="230" t="s">
        <v>69</v>
      </c>
      <c r="F67" s="515"/>
      <c r="G67" s="515"/>
      <c r="H67" s="232"/>
      <c r="I67" s="489">
        <f t="shared" si="20"/>
        <v>26866</v>
      </c>
      <c r="J67" s="489"/>
      <c r="K67" s="515"/>
      <c r="L67" s="490">
        <v>4626</v>
      </c>
      <c r="V67" s="509">
        <v>4914</v>
      </c>
      <c r="AF67" s="510">
        <v>6426</v>
      </c>
      <c r="AP67" s="511">
        <v>4914</v>
      </c>
      <c r="AZ67" s="512">
        <v>1086</v>
      </c>
      <c r="BJ67" s="516">
        <v>4900</v>
      </c>
      <c r="BT67" s="491"/>
    </row>
    <row r="68" spans="1:72" ht="29.25" hidden="1" customHeight="1">
      <c r="A68" s="168">
        <v>27</v>
      </c>
      <c r="B68" s="170"/>
      <c r="C68" s="517">
        <v>20064365</v>
      </c>
      <c r="D68" s="188" t="s">
        <v>444</v>
      </c>
      <c r="E68" s="169" t="s">
        <v>69</v>
      </c>
      <c r="F68" s="188"/>
      <c r="G68" s="188"/>
      <c r="H68" s="184"/>
      <c r="I68" s="236">
        <f t="shared" si="20"/>
        <v>11616</v>
      </c>
      <c r="J68" s="236"/>
      <c r="K68" s="188"/>
      <c r="L68" s="237">
        <v>1656</v>
      </c>
      <c r="V68" s="226">
        <v>1404</v>
      </c>
      <c r="AF68" s="227">
        <v>1404</v>
      </c>
      <c r="AP68" s="248">
        <v>1332</v>
      </c>
      <c r="AZ68" s="204">
        <v>1620</v>
      </c>
      <c r="BJ68" s="247">
        <v>2100</v>
      </c>
      <c r="BT68" s="205">
        <v>2100</v>
      </c>
    </row>
    <row r="69" spans="1:72" ht="29.25" hidden="1" customHeight="1">
      <c r="A69" s="168">
        <v>28</v>
      </c>
      <c r="B69" s="170"/>
      <c r="C69" s="517">
        <v>20064366</v>
      </c>
      <c r="D69" s="188" t="s">
        <v>445</v>
      </c>
      <c r="E69" s="169" t="s">
        <v>69</v>
      </c>
      <c r="F69" s="188"/>
      <c r="G69" s="188"/>
      <c r="H69" s="184"/>
      <c r="I69" s="236">
        <f t="shared" si="20"/>
        <v>3933</v>
      </c>
      <c r="J69" s="236"/>
      <c r="K69" s="188"/>
      <c r="L69" s="237">
        <v>2001</v>
      </c>
      <c r="V69" s="226">
        <v>1932</v>
      </c>
      <c r="AF69" s="227">
        <v>0</v>
      </c>
      <c r="AP69" s="248">
        <v>0</v>
      </c>
      <c r="AZ69" s="204">
        <v>0</v>
      </c>
      <c r="BJ69" s="247">
        <v>0</v>
      </c>
      <c r="BT69" s="205">
        <v>0</v>
      </c>
    </row>
    <row r="70" spans="1:72" ht="29.25" hidden="1" customHeight="1">
      <c r="A70" s="334">
        <v>29</v>
      </c>
      <c r="B70" s="170"/>
      <c r="C70" s="517"/>
      <c r="D70" s="352" t="s">
        <v>466</v>
      </c>
      <c r="E70" s="359" t="s">
        <v>69</v>
      </c>
      <c r="F70" s="352"/>
      <c r="G70" s="352"/>
      <c r="H70" s="360"/>
      <c r="I70" s="236">
        <f t="shared" si="20"/>
        <v>0</v>
      </c>
      <c r="J70" s="236"/>
      <c r="K70" s="188"/>
      <c r="L70" s="237"/>
      <c r="V70" s="226"/>
      <c r="AF70" s="227"/>
      <c r="AP70" s="248"/>
      <c r="AZ70" s="204"/>
      <c r="BJ70" s="247"/>
      <c r="BT70" s="205"/>
    </row>
    <row r="71" spans="1:72" ht="29.25" hidden="1" customHeight="1">
      <c r="A71" s="334">
        <v>30</v>
      </c>
      <c r="B71" s="170"/>
      <c r="C71" s="517"/>
      <c r="D71" s="352" t="s">
        <v>467</v>
      </c>
      <c r="E71" s="359" t="s">
        <v>69</v>
      </c>
      <c r="F71" s="352"/>
      <c r="G71" s="352"/>
      <c r="H71" s="360"/>
      <c r="I71" s="236">
        <f t="shared" si="20"/>
        <v>0</v>
      </c>
      <c r="J71" s="236"/>
      <c r="K71" s="188"/>
      <c r="L71" s="237"/>
      <c r="V71" s="226"/>
      <c r="AF71" s="227"/>
      <c r="AP71" s="248"/>
      <c r="AZ71" s="204"/>
      <c r="BJ71" s="247"/>
      <c r="BT71" s="205"/>
    </row>
    <row r="72" spans="1:72" ht="29.25" hidden="1" customHeight="1">
      <c r="A72" s="334">
        <v>31</v>
      </c>
      <c r="B72" s="170"/>
      <c r="C72" s="517"/>
      <c r="D72" s="352" t="s">
        <v>468</v>
      </c>
      <c r="E72" s="359" t="s">
        <v>69</v>
      </c>
      <c r="F72" s="352"/>
      <c r="G72" s="352"/>
      <c r="H72" s="360"/>
      <c r="I72" s="236">
        <f t="shared" si="20"/>
        <v>0</v>
      </c>
      <c r="J72" s="236"/>
      <c r="K72" s="188"/>
      <c r="L72" s="237"/>
      <c r="V72" s="226"/>
      <c r="AF72" s="227"/>
      <c r="AP72" s="248"/>
      <c r="AZ72" s="204"/>
      <c r="BJ72" s="247"/>
      <c r="BT72" s="205"/>
    </row>
    <row r="73" spans="1:72" ht="29.25" customHeight="1">
      <c r="A73" s="334">
        <v>12</v>
      </c>
      <c r="B73" s="233"/>
      <c r="C73" s="504">
        <v>1113237</v>
      </c>
      <c r="D73" s="352" t="s">
        <v>477</v>
      </c>
      <c r="E73" s="219" t="s">
        <v>42</v>
      </c>
      <c r="F73" s="169"/>
      <c r="G73" s="183"/>
      <c r="H73" s="184"/>
      <c r="I73" s="217">
        <f t="shared" si="20"/>
        <v>0</v>
      </c>
      <c r="J73" s="236"/>
      <c r="K73" s="188"/>
      <c r="L73" s="237"/>
      <c r="V73" s="226"/>
      <c r="AF73" s="227"/>
      <c r="AP73" s="248"/>
      <c r="AZ73" s="204"/>
      <c r="BJ73" s="247"/>
      <c r="BT73" s="205"/>
    </row>
    <row r="74" spans="1:72" ht="29.25" customHeight="1">
      <c r="A74" s="334">
        <v>13</v>
      </c>
      <c r="B74" s="233"/>
      <c r="C74" s="504">
        <v>1113238</v>
      </c>
      <c r="D74" s="352" t="s">
        <v>478</v>
      </c>
      <c r="E74" s="219" t="s">
        <v>42</v>
      </c>
      <c r="F74" s="169"/>
      <c r="G74" s="183"/>
      <c r="H74" s="184"/>
      <c r="I74" s="217">
        <f t="shared" si="20"/>
        <v>0</v>
      </c>
      <c r="J74" s="236"/>
      <c r="K74" s="188"/>
      <c r="L74" s="237"/>
      <c r="V74" s="226"/>
      <c r="AF74" s="227"/>
      <c r="AP74" s="248"/>
      <c r="AZ74" s="204"/>
      <c r="BJ74" s="247"/>
      <c r="BT74" s="205"/>
    </row>
    <row r="75" spans="1:72" ht="29.25" hidden="1" customHeight="1">
      <c r="A75" s="334">
        <v>2</v>
      </c>
      <c r="B75" s="170"/>
      <c r="C75" s="504">
        <v>1112048</v>
      </c>
      <c r="D75" s="352" t="s">
        <v>464</v>
      </c>
      <c r="E75" s="169" t="s">
        <v>203</v>
      </c>
      <c r="F75" s="169"/>
      <c r="G75" s="183"/>
      <c r="H75" s="184"/>
      <c r="I75" s="217">
        <f t="shared" si="20"/>
        <v>700</v>
      </c>
      <c r="J75" s="236"/>
      <c r="K75" s="188"/>
      <c r="L75" s="237"/>
      <c r="V75" s="226">
        <v>700</v>
      </c>
      <c r="AF75" s="227"/>
      <c r="AP75" s="248"/>
      <c r="AZ75" s="204"/>
      <c r="BJ75" s="247"/>
      <c r="BT75" s="205"/>
    </row>
    <row r="76" spans="1:72" ht="29.25" hidden="1" customHeight="1">
      <c r="A76" s="334">
        <v>3</v>
      </c>
      <c r="B76" s="170"/>
      <c r="C76" s="504">
        <v>1112049</v>
      </c>
      <c r="D76" s="352" t="s">
        <v>465</v>
      </c>
      <c r="E76" s="169" t="s">
        <v>203</v>
      </c>
      <c r="F76" s="169"/>
      <c r="G76" s="183"/>
      <c r="H76" s="184"/>
      <c r="I76" s="217">
        <f t="shared" si="20"/>
        <v>600</v>
      </c>
      <c r="J76" s="236"/>
      <c r="K76" s="188"/>
      <c r="L76" s="237"/>
      <c r="V76" s="226">
        <v>600</v>
      </c>
      <c r="AF76" s="227"/>
      <c r="AP76" s="248"/>
      <c r="AZ76" s="204"/>
      <c r="BJ76" s="247"/>
      <c r="BT76" s="205"/>
    </row>
    <row r="77" spans="1:72" ht="18.75" customHeight="1"/>
    <row r="78" spans="1:72" ht="22.5" customHeight="1"/>
    <row r="79" spans="1:72" ht="23.25" customHeight="1"/>
  </sheetData>
  <autoFilter ref="E1:E76" xr:uid="{00000000-0001-0000-03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455" customFormat="1" ht="15.75" customHeight="1">
      <c r="A1" s="673" t="s">
        <v>14</v>
      </c>
      <c r="B1" s="677"/>
      <c r="C1" s="677"/>
      <c r="D1" s="677"/>
      <c r="E1" s="677"/>
      <c r="F1" s="674"/>
      <c r="G1" s="456"/>
      <c r="H1" s="673" t="s">
        <v>15</v>
      </c>
      <c r="I1" s="674"/>
      <c r="J1" s="674"/>
      <c r="K1" s="674"/>
      <c r="L1" s="674"/>
      <c r="M1" s="674"/>
      <c r="N1" s="456"/>
      <c r="O1" s="673" t="s">
        <v>16</v>
      </c>
      <c r="P1" s="674"/>
      <c r="Q1" s="674"/>
      <c r="R1" s="674"/>
      <c r="S1" s="674"/>
      <c r="T1" s="674"/>
      <c r="U1" s="456"/>
      <c r="V1" s="673" t="s">
        <v>17</v>
      </c>
      <c r="W1" s="674"/>
      <c r="X1" s="674"/>
      <c r="Y1" s="674"/>
      <c r="Z1" s="674"/>
      <c r="AA1" s="674"/>
      <c r="AB1" s="456"/>
      <c r="AC1" s="673" t="s">
        <v>385</v>
      </c>
      <c r="AD1" s="674"/>
      <c r="AE1" s="674"/>
      <c r="AF1" s="674"/>
      <c r="AG1" s="674"/>
      <c r="AH1" s="674"/>
      <c r="AI1" s="456"/>
      <c r="AJ1" s="673" t="s">
        <v>19</v>
      </c>
      <c r="AK1" s="674"/>
      <c r="AL1" s="674"/>
      <c r="AM1" s="674"/>
      <c r="AN1" s="674"/>
      <c r="AO1" s="674"/>
      <c r="AP1" s="456"/>
      <c r="AQ1" s="673" t="s">
        <v>386</v>
      </c>
      <c r="AR1" s="674"/>
      <c r="AS1" s="674"/>
      <c r="AT1" s="674"/>
      <c r="AU1" s="674"/>
      <c r="AV1" s="674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75"/>
      <c r="P68" s="676"/>
      <c r="Q68" s="7"/>
      <c r="R68" s="6"/>
      <c r="S68" s="7"/>
      <c r="T68" s="6"/>
      <c r="U68" s="8"/>
      <c r="V68" s="8"/>
      <c r="W68" s="1"/>
      <c r="X68" s="1"/>
      <c r="Y68" s="675"/>
      <c r="Z68" s="676"/>
      <c r="AA68" s="7"/>
      <c r="AB68" s="6"/>
      <c r="AC68" s="7"/>
      <c r="AD68" s="6"/>
      <c r="AE68" s="8"/>
      <c r="AF68" s="8"/>
      <c r="AG68" s="1"/>
      <c r="AH68" s="1"/>
      <c r="AI68" s="675"/>
      <c r="AJ68" s="676"/>
      <c r="AK68" s="7"/>
      <c r="AL68" s="6"/>
      <c r="AM68" s="7"/>
      <c r="AN68" s="6"/>
      <c r="AO68" s="8"/>
      <c r="AP68" s="8"/>
      <c r="AQ68" s="1"/>
      <c r="AR68" s="1"/>
      <c r="AS68" s="675"/>
      <c r="AT68" s="676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75"/>
      <c r="P69" s="676"/>
      <c r="Q69" s="7"/>
      <c r="R69" s="6"/>
      <c r="S69" s="7"/>
      <c r="T69" s="6"/>
      <c r="U69" s="8"/>
      <c r="V69" s="8"/>
      <c r="W69" s="1"/>
      <c r="X69" s="1"/>
      <c r="Y69" s="675"/>
      <c r="Z69" s="676"/>
      <c r="AA69" s="7"/>
      <c r="AB69" s="6"/>
      <c r="AC69" s="7"/>
      <c r="AD69" s="6"/>
      <c r="AE69" s="8"/>
      <c r="AF69" s="8"/>
      <c r="AG69" s="1"/>
      <c r="AH69" s="1"/>
      <c r="AI69" s="675"/>
      <c r="AJ69" s="676"/>
      <c r="AK69" s="7"/>
      <c r="AL69" s="6"/>
      <c r="AM69" s="7"/>
      <c r="AN69" s="6"/>
      <c r="AO69" s="8"/>
      <c r="AP69" s="8"/>
      <c r="AQ69" s="1"/>
      <c r="AR69" s="1"/>
      <c r="AS69" s="675"/>
      <c r="AT69" s="676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75"/>
      <c r="P70" s="676"/>
      <c r="Q70" s="7"/>
      <c r="R70" s="6"/>
      <c r="S70" s="7"/>
      <c r="T70" s="6"/>
      <c r="U70" s="8"/>
      <c r="V70" s="8"/>
      <c r="W70" s="1"/>
      <c r="X70" s="1"/>
      <c r="Y70" s="675"/>
      <c r="Z70" s="676"/>
      <c r="AA70" s="7"/>
      <c r="AB70" s="6"/>
      <c r="AC70" s="7"/>
      <c r="AD70" s="6"/>
      <c r="AE70" s="8"/>
      <c r="AF70" s="8"/>
      <c r="AG70" s="1"/>
      <c r="AH70" s="1"/>
      <c r="AI70" s="675"/>
      <c r="AJ70" s="676"/>
      <c r="AK70" s="7"/>
      <c r="AL70" s="6"/>
      <c r="AM70" s="7"/>
      <c r="AN70" s="6"/>
      <c r="AO70" s="8"/>
      <c r="AP70" s="8"/>
      <c r="AQ70" s="1"/>
      <c r="AR70" s="1"/>
      <c r="AS70" s="675"/>
      <c r="AT70" s="676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7"/>
  <sheetViews>
    <sheetView tabSelected="1" zoomScale="90" zoomScaleNormal="90" workbookViewId="0">
      <selection activeCell="AZ96" sqref="AZ96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7.2851562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13.140625" style="164" customWidth="1"/>
    <col min="13" max="21" width="0" style="42" hidden="1" customWidth="1"/>
    <col min="22" max="22" width="13.140625" style="164" customWidth="1"/>
    <col min="23" max="31" width="0" style="42" hidden="1" customWidth="1"/>
    <col min="32" max="32" width="13.28515625" style="164" customWidth="1"/>
    <col min="33" max="41" width="0" style="42" hidden="1" customWidth="1"/>
    <col min="42" max="42" width="12.7109375" style="164" customWidth="1"/>
    <col min="43" max="51" width="0" style="42" hidden="1" customWidth="1"/>
    <col min="52" max="52" width="13.28515625" style="385" customWidth="1"/>
    <col min="53" max="61" width="0" style="42" hidden="1" customWidth="1"/>
    <col min="62" max="62" width="12.85546875" style="164" customWidth="1"/>
    <col min="63" max="71" width="0" style="42" hidden="1" customWidth="1"/>
    <col min="72" max="72" width="12.85546875" style="385" customWidth="1"/>
    <col min="73" max="79" width="0" style="42" hidden="1" customWidth="1"/>
    <col min="80" max="80" width="2.42578125" style="42" hidden="1" customWidth="1"/>
    <col min="81" max="16384" width="12.7109375" style="164"/>
  </cols>
  <sheetData>
    <row r="1" spans="1:80" ht="43.5" customHeight="1">
      <c r="A1" s="168" t="s">
        <v>0</v>
      </c>
      <c r="B1" s="459" t="s">
        <v>4</v>
      </c>
      <c r="C1" s="217" t="s">
        <v>5</v>
      </c>
      <c r="D1" s="425" t="s">
        <v>6</v>
      </c>
      <c r="E1" s="425" t="s">
        <v>7</v>
      </c>
      <c r="F1" s="635" t="s">
        <v>8</v>
      </c>
      <c r="G1" s="636"/>
      <c r="H1" s="637"/>
      <c r="I1" s="636"/>
      <c r="J1" s="636"/>
      <c r="K1" s="638" t="s">
        <v>423</v>
      </c>
      <c r="L1" s="639"/>
      <c r="M1" s="640"/>
      <c r="N1" s="640"/>
      <c r="O1" s="640"/>
      <c r="P1" s="640"/>
      <c r="Q1" s="640"/>
      <c r="R1" s="640"/>
      <c r="S1" s="640"/>
      <c r="T1" s="640"/>
      <c r="U1" s="640"/>
      <c r="V1" s="639"/>
      <c r="W1" s="640"/>
      <c r="X1" s="640"/>
      <c r="Y1" s="640"/>
      <c r="Z1" s="640"/>
      <c r="AA1" s="640"/>
      <c r="AB1" s="640"/>
      <c r="AC1" s="640"/>
      <c r="AD1" s="640"/>
      <c r="AE1" s="640"/>
      <c r="AF1" s="639"/>
      <c r="AG1" s="640"/>
      <c r="AH1" s="640"/>
      <c r="AI1" s="640"/>
      <c r="AJ1" s="640"/>
      <c r="AK1" s="640"/>
      <c r="AL1" s="640"/>
      <c r="AM1" s="640"/>
      <c r="AN1" s="640"/>
      <c r="AO1" s="640"/>
      <c r="AP1" s="639"/>
      <c r="AQ1" s="640"/>
      <c r="AR1" s="640"/>
      <c r="AS1" s="640"/>
      <c r="AT1" s="640"/>
      <c r="AU1" s="640"/>
      <c r="AV1" s="640"/>
      <c r="AW1" s="640"/>
      <c r="AX1" s="640"/>
      <c r="AY1" s="640"/>
      <c r="AZ1" s="639"/>
      <c r="BA1" s="640"/>
      <c r="BB1" s="640"/>
      <c r="BC1" s="640"/>
      <c r="BD1" s="640"/>
      <c r="BE1" s="640"/>
      <c r="BF1" s="640"/>
      <c r="BG1" s="640"/>
      <c r="BH1" s="640"/>
      <c r="BI1" s="640"/>
      <c r="BJ1" s="639"/>
      <c r="BK1" s="640"/>
      <c r="BL1" s="640"/>
      <c r="BM1" s="640"/>
      <c r="BN1" s="640"/>
      <c r="BO1" s="640"/>
      <c r="BP1" s="640"/>
      <c r="BQ1" s="640"/>
      <c r="BR1" s="640"/>
      <c r="BS1" s="640"/>
      <c r="BT1" s="639"/>
      <c r="BU1" s="640"/>
      <c r="BV1" s="640"/>
      <c r="BW1" s="640"/>
      <c r="BX1" s="640"/>
      <c r="BY1" s="640"/>
      <c r="BZ1" s="640"/>
      <c r="CA1" s="640"/>
      <c r="CB1" s="641"/>
    </row>
    <row r="2" spans="1:80" s="42" customFormat="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9" si="0">SUM(L2,V2,AF2,AP2,AZ2,BJ2,BT2)</f>
        <v>22</v>
      </c>
      <c r="J2" s="58">
        <v>0</v>
      </c>
      <c r="K2" s="59"/>
      <c r="L2" s="88">
        <v>12</v>
      </c>
      <c r="M2" s="59"/>
      <c r="N2" s="96"/>
      <c r="O2" s="59"/>
      <c r="P2" s="59"/>
      <c r="Q2" s="59"/>
      <c r="R2" s="59"/>
      <c r="S2" s="44"/>
      <c r="T2" s="59"/>
      <c r="U2" s="59"/>
      <c r="V2" s="97"/>
      <c r="W2" s="59"/>
      <c r="X2" s="96"/>
      <c r="Y2" s="59"/>
      <c r="Z2" s="59"/>
      <c r="AA2" s="59"/>
      <c r="AB2" s="59"/>
      <c r="AC2" s="44"/>
      <c r="AD2" s="59"/>
      <c r="AE2" s="59"/>
      <c r="AF2" s="98"/>
      <c r="AG2" s="59"/>
      <c r="AH2" s="96"/>
      <c r="AI2" s="59"/>
      <c r="AJ2" s="59"/>
      <c r="AK2" s="59"/>
      <c r="AL2" s="59"/>
      <c r="AM2" s="44"/>
      <c r="AN2" s="59"/>
      <c r="AO2" s="59"/>
      <c r="AP2" s="99"/>
      <c r="AQ2" s="59"/>
      <c r="AR2" s="96"/>
      <c r="AS2" s="59"/>
      <c r="AT2" s="59"/>
      <c r="AU2" s="59"/>
      <c r="AV2" s="59"/>
      <c r="AW2" s="44"/>
      <c r="AX2" s="59"/>
      <c r="AY2" s="59"/>
      <c r="AZ2" s="93">
        <v>10</v>
      </c>
      <c r="BA2" s="59"/>
      <c r="BB2" s="96"/>
      <c r="BC2" s="59"/>
      <c r="BD2" s="59"/>
      <c r="BE2" s="59"/>
      <c r="BF2" s="59"/>
      <c r="BG2" s="44"/>
      <c r="BH2" s="59"/>
      <c r="BI2" s="59"/>
      <c r="BJ2" s="100"/>
      <c r="BK2" s="59"/>
      <c r="BL2" s="96"/>
      <c r="BM2" s="59"/>
      <c r="BN2" s="59"/>
      <c r="BO2" s="59"/>
      <c r="BP2" s="59"/>
      <c r="BQ2" s="44"/>
      <c r="BR2" s="59"/>
      <c r="BS2" s="59"/>
      <c r="BT2" s="101"/>
      <c r="BU2" s="5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1070</v>
      </c>
      <c r="J4" s="58">
        <v>0</v>
      </c>
      <c r="K4" s="59"/>
      <c r="L4" s="104">
        <v>620</v>
      </c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>
        <v>450</v>
      </c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 hidden="1">
      <c r="A5" s="168">
        <v>1</v>
      </c>
      <c r="B5" s="170"/>
      <c r="C5" s="169">
        <v>1113091</v>
      </c>
      <c r="D5" s="267" t="s">
        <v>41</v>
      </c>
      <c r="E5" s="219" t="s">
        <v>42</v>
      </c>
      <c r="F5" s="169"/>
      <c r="G5" s="183"/>
      <c r="H5" s="184">
        <v>0</v>
      </c>
      <c r="I5" s="217">
        <f t="shared" si="0"/>
        <v>1205</v>
      </c>
      <c r="J5" s="184">
        <v>0</v>
      </c>
      <c r="K5" s="185"/>
      <c r="L5" s="202">
        <v>285</v>
      </c>
      <c r="M5" s="221"/>
      <c r="N5" s="96"/>
      <c r="O5" s="59"/>
      <c r="P5" s="59"/>
      <c r="Q5" s="59"/>
      <c r="R5" s="59"/>
      <c r="S5" s="44"/>
      <c r="T5" s="59"/>
      <c r="U5" s="220"/>
      <c r="V5" s="203">
        <v>175</v>
      </c>
      <c r="W5" s="221"/>
      <c r="X5" s="96"/>
      <c r="Y5" s="59"/>
      <c r="Z5" s="59"/>
      <c r="AA5" s="59"/>
      <c r="AB5" s="59"/>
      <c r="AC5" s="44"/>
      <c r="AD5" s="59"/>
      <c r="AE5" s="220"/>
      <c r="AF5" s="253">
        <v>150</v>
      </c>
      <c r="AG5" s="221"/>
      <c r="AH5" s="96"/>
      <c r="AI5" s="59"/>
      <c r="AJ5" s="59"/>
      <c r="AK5" s="59"/>
      <c r="AL5" s="59"/>
      <c r="AM5" s="44"/>
      <c r="AN5" s="59"/>
      <c r="AO5" s="220"/>
      <c r="AP5" s="262">
        <v>235</v>
      </c>
      <c r="AQ5" s="221"/>
      <c r="AR5" s="96"/>
      <c r="AS5" s="59"/>
      <c r="AT5" s="59"/>
      <c r="AU5" s="59"/>
      <c r="AV5" s="59"/>
      <c r="AW5" s="44"/>
      <c r="AX5" s="59"/>
      <c r="AY5" s="220"/>
      <c r="AZ5" s="264">
        <v>160</v>
      </c>
      <c r="BA5" s="221"/>
      <c r="BB5" s="96"/>
      <c r="BC5" s="59"/>
      <c r="BD5" s="59"/>
      <c r="BE5" s="59"/>
      <c r="BF5" s="59"/>
      <c r="BG5" s="44"/>
      <c r="BH5" s="59"/>
      <c r="BI5" s="220"/>
      <c r="BJ5" s="266">
        <v>200</v>
      </c>
      <c r="BK5" s="221"/>
      <c r="BL5" s="96"/>
      <c r="BM5" s="59"/>
      <c r="BN5" s="59"/>
      <c r="BO5" s="59"/>
      <c r="BP5" s="59"/>
      <c r="BQ5" s="44"/>
      <c r="BR5" s="59"/>
      <c r="BS5" s="220"/>
      <c r="BT5" s="205"/>
      <c r="BU5" s="221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22</v>
      </c>
      <c r="J6" s="58">
        <v>0</v>
      </c>
      <c r="K6" s="59"/>
      <c r="L6" s="88">
        <v>12</v>
      </c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93">
        <v>10</v>
      </c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59"/>
      <c r="L7" s="88"/>
      <c r="M7" s="59"/>
      <c r="N7" s="96"/>
      <c r="O7" s="59"/>
      <c r="P7" s="59"/>
      <c r="Q7" s="59"/>
      <c r="R7" s="59"/>
      <c r="S7" s="44"/>
      <c r="T7" s="59"/>
      <c r="U7" s="59"/>
      <c r="V7" s="97"/>
      <c r="W7" s="59"/>
      <c r="X7" s="96"/>
      <c r="Y7" s="59"/>
      <c r="Z7" s="59"/>
      <c r="AA7" s="59"/>
      <c r="AB7" s="59"/>
      <c r="AC7" s="44"/>
      <c r="AD7" s="59"/>
      <c r="AE7" s="59"/>
      <c r="AF7" s="98"/>
      <c r="AG7" s="59"/>
      <c r="AH7" s="96"/>
      <c r="AI7" s="59"/>
      <c r="AJ7" s="59"/>
      <c r="AK7" s="59"/>
      <c r="AL7" s="59"/>
      <c r="AM7" s="44"/>
      <c r="AN7" s="59"/>
      <c r="AO7" s="59"/>
      <c r="AP7" s="99"/>
      <c r="AQ7" s="59"/>
      <c r="AR7" s="96"/>
      <c r="AS7" s="59"/>
      <c r="AT7" s="59"/>
      <c r="AU7" s="59"/>
      <c r="AV7" s="59"/>
      <c r="AW7" s="44"/>
      <c r="AX7" s="59"/>
      <c r="AY7" s="59"/>
      <c r="AZ7" s="93"/>
      <c r="BA7" s="59"/>
      <c r="BB7" s="96"/>
      <c r="BC7" s="59"/>
      <c r="BD7" s="59"/>
      <c r="BE7" s="59"/>
      <c r="BF7" s="59"/>
      <c r="BG7" s="44"/>
      <c r="BH7" s="59"/>
      <c r="BI7" s="59"/>
      <c r="BJ7" s="100"/>
      <c r="BK7" s="59"/>
      <c r="BL7" s="96"/>
      <c r="BM7" s="59"/>
      <c r="BN7" s="59"/>
      <c r="BO7" s="59"/>
      <c r="BP7" s="59"/>
      <c r="BQ7" s="44"/>
      <c r="BR7" s="59"/>
      <c r="BS7" s="59"/>
      <c r="BT7" s="101"/>
      <c r="BU7" s="5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11</v>
      </c>
      <c r="J8" s="58">
        <v>0</v>
      </c>
      <c r="K8" s="59"/>
      <c r="L8" s="88">
        <v>6</v>
      </c>
      <c r="M8" s="59"/>
      <c r="N8" s="96"/>
      <c r="O8" s="59"/>
      <c r="P8" s="59"/>
      <c r="Q8" s="59"/>
      <c r="R8" s="59"/>
      <c r="S8" s="44"/>
      <c r="T8" s="59"/>
      <c r="U8" s="59"/>
      <c r="V8" s="97"/>
      <c r="W8" s="59"/>
      <c r="X8" s="96"/>
      <c r="Y8" s="59"/>
      <c r="Z8" s="59"/>
      <c r="AA8" s="59"/>
      <c r="AB8" s="59"/>
      <c r="AC8" s="44"/>
      <c r="AD8" s="59"/>
      <c r="AE8" s="59"/>
      <c r="AF8" s="98"/>
      <c r="AG8" s="59"/>
      <c r="AH8" s="96"/>
      <c r="AI8" s="59"/>
      <c r="AJ8" s="59"/>
      <c r="AK8" s="59"/>
      <c r="AL8" s="59"/>
      <c r="AM8" s="44"/>
      <c r="AN8" s="59"/>
      <c r="AO8" s="59"/>
      <c r="AP8" s="99"/>
      <c r="AQ8" s="59"/>
      <c r="AR8" s="96"/>
      <c r="AS8" s="59"/>
      <c r="AT8" s="59"/>
      <c r="AU8" s="59"/>
      <c r="AV8" s="59"/>
      <c r="AW8" s="44"/>
      <c r="AX8" s="59"/>
      <c r="AY8" s="59"/>
      <c r="AZ8" s="93">
        <v>5</v>
      </c>
      <c r="BA8" s="59"/>
      <c r="BB8" s="96"/>
      <c r="BC8" s="59"/>
      <c r="BD8" s="59"/>
      <c r="BE8" s="59"/>
      <c r="BF8" s="59"/>
      <c r="BG8" s="44"/>
      <c r="BH8" s="59"/>
      <c r="BI8" s="59"/>
      <c r="BJ8" s="100"/>
      <c r="BK8" s="59"/>
      <c r="BL8" s="96"/>
      <c r="BM8" s="59"/>
      <c r="BN8" s="59"/>
      <c r="BO8" s="59"/>
      <c r="BP8" s="59"/>
      <c r="BQ8" s="44"/>
      <c r="BR8" s="59"/>
      <c r="BS8" s="59"/>
      <c r="BT8" s="10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50</v>
      </c>
      <c r="J9" s="58">
        <v>0</v>
      </c>
      <c r="K9" s="59"/>
      <c r="L9" s="88">
        <v>25</v>
      </c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>
        <v>25</v>
      </c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34</v>
      </c>
      <c r="J10" s="58">
        <v>0</v>
      </c>
      <c r="K10" s="59"/>
      <c r="L10" s="88">
        <v>19</v>
      </c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>
        <v>15</v>
      </c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33</v>
      </c>
      <c r="J11" s="58">
        <v>0</v>
      </c>
      <c r="K11" s="59"/>
      <c r="L11" s="88">
        <v>18</v>
      </c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>
        <v>15</v>
      </c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23</v>
      </c>
      <c r="J12" s="58">
        <v>0</v>
      </c>
      <c r="K12" s="59"/>
      <c r="L12" s="88">
        <v>13</v>
      </c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>
        <v>10</v>
      </c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16</v>
      </c>
      <c r="J13" s="58">
        <v>0</v>
      </c>
      <c r="K13" s="59"/>
      <c r="L13" s="88">
        <v>6</v>
      </c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>
        <v>10</v>
      </c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39</v>
      </c>
      <c r="J14" s="58">
        <v>0</v>
      </c>
      <c r="K14" s="59"/>
      <c r="L14" s="88">
        <v>19</v>
      </c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>
        <v>20</v>
      </c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165">
        <v>11</v>
      </c>
      <c r="B15" s="166"/>
      <c r="C15" s="73">
        <v>1113106</v>
      </c>
      <c r="D15" s="75" t="s">
        <v>152</v>
      </c>
      <c r="E15" s="73" t="s">
        <v>27</v>
      </c>
      <c r="F15" s="73"/>
      <c r="G15" s="116"/>
      <c r="H15" s="129">
        <v>0</v>
      </c>
      <c r="I15" s="222">
        <f t="shared" si="0"/>
        <v>29</v>
      </c>
      <c r="J15" s="129">
        <v>0</v>
      </c>
      <c r="K15" s="117"/>
      <c r="L15" s="401">
        <v>14</v>
      </c>
      <c r="M15" s="59"/>
      <c r="N15" s="96"/>
      <c r="O15" s="59"/>
      <c r="P15" s="59"/>
      <c r="Q15" s="59"/>
      <c r="R15" s="59"/>
      <c r="S15" s="44"/>
      <c r="T15" s="59"/>
      <c r="U15" s="59"/>
      <c r="V15" s="137"/>
      <c r="W15" s="59"/>
      <c r="X15" s="96"/>
      <c r="Y15" s="59"/>
      <c r="Z15" s="59"/>
      <c r="AA15" s="59"/>
      <c r="AB15" s="59"/>
      <c r="AC15" s="44"/>
      <c r="AD15" s="59"/>
      <c r="AE15" s="59"/>
      <c r="AF15" s="301"/>
      <c r="AG15" s="59"/>
      <c r="AH15" s="96"/>
      <c r="AI15" s="59"/>
      <c r="AJ15" s="59"/>
      <c r="AK15" s="59"/>
      <c r="AL15" s="59"/>
      <c r="AM15" s="44"/>
      <c r="AN15" s="59"/>
      <c r="AO15" s="59"/>
      <c r="AP15" s="139"/>
      <c r="AQ15" s="59"/>
      <c r="AR15" s="96"/>
      <c r="AS15" s="59"/>
      <c r="AT15" s="59"/>
      <c r="AU15" s="59"/>
      <c r="AV15" s="59"/>
      <c r="AW15" s="44"/>
      <c r="AX15" s="59"/>
      <c r="AY15" s="59"/>
      <c r="AZ15" s="402">
        <v>15</v>
      </c>
      <c r="BA15" s="59"/>
      <c r="BB15" s="96"/>
      <c r="BC15" s="59"/>
      <c r="BD15" s="59"/>
      <c r="BE15" s="59"/>
      <c r="BF15" s="59"/>
      <c r="BG15" s="44"/>
      <c r="BH15" s="59"/>
      <c r="BI15" s="59"/>
      <c r="BJ15" s="141"/>
      <c r="BK15" s="59"/>
      <c r="BL15" s="96"/>
      <c r="BM15" s="59"/>
      <c r="BN15" s="59"/>
      <c r="BO15" s="59"/>
      <c r="BP15" s="59"/>
      <c r="BQ15" s="44"/>
      <c r="BR15" s="59"/>
      <c r="BS15" s="59"/>
      <c r="BT15" s="303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168">
        <v>2</v>
      </c>
      <c r="B16" s="170"/>
      <c r="C16" s="312">
        <v>1113090</v>
      </c>
      <c r="D16" s="313" t="s">
        <v>406</v>
      </c>
      <c r="E16" s="219" t="s">
        <v>42</v>
      </c>
      <c r="F16" s="169"/>
      <c r="G16" s="183"/>
      <c r="H16" s="184">
        <v>0</v>
      </c>
      <c r="I16" s="217">
        <f t="shared" si="0"/>
        <v>6424</v>
      </c>
      <c r="J16" s="184">
        <v>0</v>
      </c>
      <c r="K16" s="185"/>
      <c r="L16" s="257">
        <v>1449</v>
      </c>
      <c r="M16" s="221"/>
      <c r="N16" s="96"/>
      <c r="O16" s="59"/>
      <c r="P16" s="59"/>
      <c r="Q16" s="59"/>
      <c r="R16" s="59"/>
      <c r="S16" s="106"/>
      <c r="T16" s="59"/>
      <c r="U16" s="59"/>
      <c r="V16" s="203">
        <v>1011</v>
      </c>
      <c r="W16" s="221"/>
      <c r="X16" s="96"/>
      <c r="Y16" s="59"/>
      <c r="Z16" s="59"/>
      <c r="AA16" s="59"/>
      <c r="AB16" s="59"/>
      <c r="AC16" s="44"/>
      <c r="AD16" s="59"/>
      <c r="AE16" s="59"/>
      <c r="AF16" s="227">
        <v>961</v>
      </c>
      <c r="AG16" s="221"/>
      <c r="AH16" s="96"/>
      <c r="AI16" s="59"/>
      <c r="AJ16" s="59"/>
      <c r="AK16" s="59"/>
      <c r="AL16" s="59"/>
      <c r="AM16" s="106"/>
      <c r="AN16" s="59"/>
      <c r="AO16" s="59"/>
      <c r="AP16" s="248">
        <v>940</v>
      </c>
      <c r="AQ16" s="221"/>
      <c r="AR16" s="96"/>
      <c r="AS16" s="59"/>
      <c r="AT16" s="59"/>
      <c r="AU16" s="59"/>
      <c r="AV16" s="59"/>
      <c r="AW16" s="44"/>
      <c r="AX16" s="59"/>
      <c r="AY16" s="59"/>
      <c r="AZ16" s="204">
        <v>863</v>
      </c>
      <c r="BA16" s="221"/>
      <c r="BB16" s="96"/>
      <c r="BC16" s="59"/>
      <c r="BD16" s="59"/>
      <c r="BE16" s="59"/>
      <c r="BF16" s="59"/>
      <c r="BG16" s="106"/>
      <c r="BH16" s="59"/>
      <c r="BI16" s="59"/>
      <c r="BJ16" s="247">
        <v>1200</v>
      </c>
      <c r="BK16" s="221"/>
      <c r="BL16" s="96"/>
      <c r="BM16" s="59"/>
      <c r="BN16" s="59"/>
      <c r="BO16" s="59"/>
      <c r="BP16" s="59"/>
      <c r="BQ16" s="44"/>
      <c r="BR16" s="59"/>
      <c r="BS16" s="59"/>
      <c r="BT16" s="205"/>
      <c r="BU16" s="221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168">
        <v>1</v>
      </c>
      <c r="B17" s="170"/>
      <c r="C17" s="418">
        <v>1113087</v>
      </c>
      <c r="D17" s="419" t="s">
        <v>169</v>
      </c>
      <c r="E17" s="219" t="s">
        <v>170</v>
      </c>
      <c r="F17" s="169"/>
      <c r="G17" s="183"/>
      <c r="H17" s="184">
        <v>0</v>
      </c>
      <c r="I17" s="217">
        <f t="shared" si="0"/>
        <v>5994</v>
      </c>
      <c r="J17" s="184">
        <v>0</v>
      </c>
      <c r="K17" s="185"/>
      <c r="L17" s="257">
        <v>1217</v>
      </c>
      <c r="M17" s="221"/>
      <c r="N17" s="96"/>
      <c r="O17" s="59"/>
      <c r="P17" s="59"/>
      <c r="Q17" s="59"/>
      <c r="R17" s="59"/>
      <c r="S17" s="106"/>
      <c r="T17" s="59"/>
      <c r="U17" s="220"/>
      <c r="V17" s="203">
        <v>1380</v>
      </c>
      <c r="W17" s="221"/>
      <c r="X17" s="96"/>
      <c r="Y17" s="59"/>
      <c r="Z17" s="59"/>
      <c r="AA17" s="59"/>
      <c r="AB17" s="59"/>
      <c r="AC17" s="44"/>
      <c r="AD17" s="59"/>
      <c r="AE17" s="220"/>
      <c r="AF17" s="227">
        <v>923</v>
      </c>
      <c r="AG17" s="221"/>
      <c r="AH17" s="96"/>
      <c r="AI17" s="59"/>
      <c r="AJ17" s="59"/>
      <c r="AK17" s="59"/>
      <c r="AL17" s="59"/>
      <c r="AM17" s="106"/>
      <c r="AN17" s="59"/>
      <c r="AO17" s="220"/>
      <c r="AP17" s="248">
        <v>711</v>
      </c>
      <c r="AQ17" s="221"/>
      <c r="AR17" s="96"/>
      <c r="AS17" s="59"/>
      <c r="AT17" s="59"/>
      <c r="AU17" s="59"/>
      <c r="AV17" s="59"/>
      <c r="AW17" s="44"/>
      <c r="AX17" s="59"/>
      <c r="AY17" s="220"/>
      <c r="AZ17" s="204">
        <v>763</v>
      </c>
      <c r="BA17" s="221"/>
      <c r="BB17" s="96"/>
      <c r="BC17" s="59"/>
      <c r="BD17" s="59"/>
      <c r="BE17" s="59"/>
      <c r="BF17" s="59"/>
      <c r="BG17" s="106"/>
      <c r="BH17" s="59"/>
      <c r="BI17" s="220"/>
      <c r="BJ17" s="247">
        <v>1000</v>
      </c>
      <c r="BK17" s="221"/>
      <c r="BL17" s="96"/>
      <c r="BM17" s="59"/>
      <c r="BN17" s="59"/>
      <c r="BO17" s="59"/>
      <c r="BP17" s="59"/>
      <c r="BQ17" s="44"/>
      <c r="BR17" s="59"/>
      <c r="BS17" s="220"/>
      <c r="BT17" s="205"/>
      <c r="BU17" s="221"/>
      <c r="BV17" s="96"/>
      <c r="BW17" s="59"/>
      <c r="BX17" s="59"/>
      <c r="BY17" s="59"/>
      <c r="BZ17" s="59"/>
      <c r="CA17" s="44"/>
      <c r="CB17" s="59"/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146">
        <v>0</v>
      </c>
      <c r="I18" s="63">
        <f t="shared" si="0"/>
        <v>11260</v>
      </c>
      <c r="J18" s="146">
        <v>0</v>
      </c>
      <c r="K18" s="147"/>
      <c r="L18" s="104">
        <v>1920</v>
      </c>
      <c r="M18" s="59"/>
      <c r="N18" s="96"/>
      <c r="O18" s="59"/>
      <c r="P18" s="59"/>
      <c r="Q18" s="59"/>
      <c r="R18" s="105"/>
      <c r="S18" s="106"/>
      <c r="T18" s="59"/>
      <c r="U18" s="59"/>
      <c r="V18" s="107">
        <v>1560</v>
      </c>
      <c r="W18" s="59"/>
      <c r="X18" s="96"/>
      <c r="Y18" s="59"/>
      <c r="Z18" s="59"/>
      <c r="AA18" s="59"/>
      <c r="AB18" s="105"/>
      <c r="AC18" s="106"/>
      <c r="AD18" s="59"/>
      <c r="AE18" s="59"/>
      <c r="AF18" s="108">
        <v>1630</v>
      </c>
      <c r="AG18" s="105"/>
      <c r="AH18" s="96"/>
      <c r="AI18" s="59"/>
      <c r="AJ18" s="59"/>
      <c r="AK18" s="59"/>
      <c r="AL18" s="105"/>
      <c r="AM18" s="106"/>
      <c r="AN18" s="59"/>
      <c r="AO18" s="59"/>
      <c r="AP18" s="189">
        <v>1250</v>
      </c>
      <c r="AQ18" s="59"/>
      <c r="AR18" s="96"/>
      <c r="AS18" s="59"/>
      <c r="AT18" s="59"/>
      <c r="AU18" s="59"/>
      <c r="AV18" s="105"/>
      <c r="AW18" s="106"/>
      <c r="AX18" s="59"/>
      <c r="AY18" s="59"/>
      <c r="AZ18" s="109">
        <v>1800</v>
      </c>
      <c r="BA18" s="59"/>
      <c r="BB18" s="96"/>
      <c r="BC18" s="59"/>
      <c r="BD18" s="59"/>
      <c r="BE18" s="59"/>
      <c r="BF18" s="105"/>
      <c r="BG18" s="106"/>
      <c r="BH18" s="105"/>
      <c r="BI18" s="59"/>
      <c r="BJ18" s="110">
        <v>1800</v>
      </c>
      <c r="BK18" s="59"/>
      <c r="BL18" s="96"/>
      <c r="BM18" s="59"/>
      <c r="BN18" s="59"/>
      <c r="BO18" s="59"/>
      <c r="BP18" s="105"/>
      <c r="BQ18" s="106"/>
      <c r="BR18" s="59"/>
      <c r="BS18" s="59"/>
      <c r="BT18" s="229">
        <v>1300</v>
      </c>
      <c r="BU18" s="5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165">
        <v>12</v>
      </c>
      <c r="B19" s="166"/>
      <c r="C19" s="73">
        <v>1113056</v>
      </c>
      <c r="D19" s="75" t="s">
        <v>181</v>
      </c>
      <c r="E19" s="73" t="s">
        <v>27</v>
      </c>
      <c r="F19" s="73"/>
      <c r="G19" s="116"/>
      <c r="H19" s="129">
        <v>0</v>
      </c>
      <c r="I19" s="222">
        <f t="shared" si="0"/>
        <v>0</v>
      </c>
      <c r="J19" s="129">
        <v>0</v>
      </c>
      <c r="K19" s="117"/>
      <c r="L19" s="401"/>
      <c r="M19" s="59"/>
      <c r="N19" s="96"/>
      <c r="O19" s="59"/>
      <c r="P19" s="59"/>
      <c r="Q19" s="59"/>
      <c r="R19" s="59"/>
      <c r="S19" s="44"/>
      <c r="T19" s="59"/>
      <c r="U19" s="59"/>
      <c r="V19" s="137"/>
      <c r="W19" s="59"/>
      <c r="X19" s="96"/>
      <c r="Y19" s="59"/>
      <c r="Z19" s="59"/>
      <c r="AA19" s="59"/>
      <c r="AB19" s="59"/>
      <c r="AC19" s="44"/>
      <c r="AD19" s="59"/>
      <c r="AE19" s="59"/>
      <c r="AF19" s="301"/>
      <c r="AG19" s="59"/>
      <c r="AH19" s="96"/>
      <c r="AI19" s="59"/>
      <c r="AJ19" s="59"/>
      <c r="AK19" s="59"/>
      <c r="AL19" s="59"/>
      <c r="AM19" s="44"/>
      <c r="AN19" s="59"/>
      <c r="AO19" s="59"/>
      <c r="AP19" s="139"/>
      <c r="AQ19" s="59"/>
      <c r="AR19" s="96"/>
      <c r="AS19" s="59"/>
      <c r="AT19" s="59"/>
      <c r="AU19" s="59"/>
      <c r="AV19" s="59"/>
      <c r="AW19" s="44"/>
      <c r="AX19" s="59"/>
      <c r="AY19" s="59"/>
      <c r="AZ19" s="402"/>
      <c r="BA19" s="59"/>
      <c r="BB19" s="96"/>
      <c r="BC19" s="59"/>
      <c r="BD19" s="59"/>
      <c r="BE19" s="59"/>
      <c r="BF19" s="59"/>
      <c r="BG19" s="44"/>
      <c r="BH19" s="59"/>
      <c r="BI19" s="59"/>
      <c r="BJ19" s="141"/>
      <c r="BK19" s="59"/>
      <c r="BL19" s="96"/>
      <c r="BM19" s="59"/>
      <c r="BN19" s="59"/>
      <c r="BO19" s="59"/>
      <c r="BP19" s="59"/>
      <c r="BQ19" s="44"/>
      <c r="BR19" s="59"/>
      <c r="BS19" s="59"/>
      <c r="BT19" s="303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8">
        <v>13</v>
      </c>
      <c r="B20" s="170"/>
      <c r="C20" s="169">
        <v>1113059</v>
      </c>
      <c r="D20" s="267" t="s">
        <v>182</v>
      </c>
      <c r="E20" s="169" t="s">
        <v>27</v>
      </c>
      <c r="F20" s="169"/>
      <c r="G20" s="183"/>
      <c r="H20" s="184">
        <v>0</v>
      </c>
      <c r="I20" s="217">
        <f t="shared" si="0"/>
        <v>0</v>
      </c>
      <c r="J20" s="184">
        <v>0</v>
      </c>
      <c r="K20" s="185"/>
      <c r="L20" s="416"/>
      <c r="M20" s="221"/>
      <c r="N20" s="96"/>
      <c r="O20" s="59"/>
      <c r="P20" s="59"/>
      <c r="Q20" s="59"/>
      <c r="R20" s="59"/>
      <c r="S20" s="44"/>
      <c r="T20" s="59"/>
      <c r="U20" s="220"/>
      <c r="V20" s="411"/>
      <c r="W20" s="221"/>
      <c r="X20" s="96"/>
      <c r="Y20" s="59"/>
      <c r="Z20" s="59"/>
      <c r="AA20" s="59"/>
      <c r="AB20" s="59"/>
      <c r="AC20" s="44"/>
      <c r="AD20" s="59"/>
      <c r="AE20" s="220"/>
      <c r="AF20" s="412"/>
      <c r="AG20" s="221"/>
      <c r="AH20" s="96"/>
      <c r="AI20" s="59"/>
      <c r="AJ20" s="59"/>
      <c r="AK20" s="59"/>
      <c r="AL20" s="59"/>
      <c r="AM20" s="44"/>
      <c r="AN20" s="59"/>
      <c r="AO20" s="220"/>
      <c r="AP20" s="413"/>
      <c r="AQ20" s="221"/>
      <c r="AR20" s="96"/>
      <c r="AS20" s="59"/>
      <c r="AT20" s="59"/>
      <c r="AU20" s="59"/>
      <c r="AV20" s="59"/>
      <c r="AW20" s="44"/>
      <c r="AX20" s="59"/>
      <c r="AY20" s="220"/>
      <c r="AZ20" s="417"/>
      <c r="BA20" s="221"/>
      <c r="BB20" s="96"/>
      <c r="BC20" s="59"/>
      <c r="BD20" s="59"/>
      <c r="BE20" s="59"/>
      <c r="BF20" s="59"/>
      <c r="BG20" s="44"/>
      <c r="BH20" s="59"/>
      <c r="BI20" s="220"/>
      <c r="BJ20" s="415"/>
      <c r="BK20" s="221"/>
      <c r="BL20" s="96"/>
      <c r="BM20" s="59"/>
      <c r="BN20" s="59"/>
      <c r="BO20" s="59"/>
      <c r="BP20" s="59"/>
      <c r="BQ20" s="44"/>
      <c r="BR20" s="59"/>
      <c r="BS20" s="220"/>
      <c r="BT20" s="218"/>
      <c r="BU20" s="221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168">
        <v>14</v>
      </c>
      <c r="B21" s="170"/>
      <c r="C21" s="169">
        <v>1005977</v>
      </c>
      <c r="D21" s="267" t="s">
        <v>189</v>
      </c>
      <c r="E21" s="169" t="s">
        <v>27</v>
      </c>
      <c r="F21" s="169"/>
      <c r="G21" s="183"/>
      <c r="H21" s="184">
        <v>0</v>
      </c>
      <c r="I21" s="217">
        <f t="shared" si="0"/>
        <v>0</v>
      </c>
      <c r="J21" s="184">
        <v>0</v>
      </c>
      <c r="K21" s="185"/>
      <c r="L21" s="410"/>
      <c r="M21" s="221"/>
      <c r="N21" s="96"/>
      <c r="O21" s="59"/>
      <c r="P21" s="59"/>
      <c r="Q21" s="59"/>
      <c r="R21" s="59"/>
      <c r="S21" s="44"/>
      <c r="T21" s="59"/>
      <c r="U21" s="220"/>
      <c r="V21" s="411"/>
      <c r="W21" s="221"/>
      <c r="X21" s="96"/>
      <c r="Y21" s="59"/>
      <c r="Z21" s="59"/>
      <c r="AA21" s="59"/>
      <c r="AB21" s="59"/>
      <c r="AC21" s="44"/>
      <c r="AD21" s="59"/>
      <c r="AE21" s="220"/>
      <c r="AF21" s="412"/>
      <c r="AG21" s="221"/>
      <c r="AH21" s="96"/>
      <c r="AI21" s="59"/>
      <c r="AJ21" s="59"/>
      <c r="AK21" s="59"/>
      <c r="AL21" s="59"/>
      <c r="AM21" s="44"/>
      <c r="AN21" s="59"/>
      <c r="AO21" s="220"/>
      <c r="AP21" s="413"/>
      <c r="AQ21" s="221"/>
      <c r="AR21" s="96"/>
      <c r="AS21" s="59"/>
      <c r="AT21" s="59"/>
      <c r="AU21" s="59"/>
      <c r="AV21" s="59"/>
      <c r="AW21" s="44"/>
      <c r="AX21" s="59"/>
      <c r="AY21" s="220"/>
      <c r="AZ21" s="414"/>
      <c r="BA21" s="221"/>
      <c r="BB21" s="96"/>
      <c r="BC21" s="59"/>
      <c r="BD21" s="59"/>
      <c r="BE21" s="59"/>
      <c r="BF21" s="59"/>
      <c r="BG21" s="44"/>
      <c r="BH21" s="59"/>
      <c r="BI21" s="220"/>
      <c r="BJ21" s="415"/>
      <c r="BK21" s="221"/>
      <c r="BL21" s="96"/>
      <c r="BM21" s="59"/>
      <c r="BN21" s="59"/>
      <c r="BO21" s="59"/>
      <c r="BP21" s="59"/>
      <c r="BQ21" s="44"/>
      <c r="BR21" s="59"/>
      <c r="BS21" s="220"/>
      <c r="BT21" s="218"/>
      <c r="BU21" s="221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286">
        <v>15</v>
      </c>
      <c r="B22" s="485"/>
      <c r="C22" s="537">
        <v>1113088</v>
      </c>
      <c r="D22" s="538" t="s">
        <v>407</v>
      </c>
      <c r="E22" s="230" t="s">
        <v>27</v>
      </c>
      <c r="F22" s="230"/>
      <c r="G22" s="231"/>
      <c r="H22" s="232">
        <v>0</v>
      </c>
      <c r="I22" s="403">
        <f t="shared" si="0"/>
        <v>39</v>
      </c>
      <c r="J22" s="232">
        <v>0</v>
      </c>
      <c r="K22" s="258"/>
      <c r="L22" s="603">
        <v>19</v>
      </c>
      <c r="M22" s="221"/>
      <c r="N22" s="96"/>
      <c r="O22" s="59"/>
      <c r="P22" s="59"/>
      <c r="Q22" s="59"/>
      <c r="R22" s="59"/>
      <c r="S22" s="44"/>
      <c r="T22" s="59"/>
      <c r="U22" s="220"/>
      <c r="V22" s="541"/>
      <c r="W22" s="221"/>
      <c r="X22" s="96"/>
      <c r="Y22" s="59"/>
      <c r="Z22" s="59"/>
      <c r="AA22" s="59"/>
      <c r="AB22" s="59"/>
      <c r="AC22" s="44"/>
      <c r="AD22" s="59"/>
      <c r="AE22" s="220"/>
      <c r="AF22" s="604"/>
      <c r="AG22" s="221"/>
      <c r="AH22" s="96"/>
      <c r="AI22" s="59"/>
      <c r="AJ22" s="59"/>
      <c r="AK22" s="59"/>
      <c r="AL22" s="59"/>
      <c r="AM22" s="44"/>
      <c r="AN22" s="59"/>
      <c r="AO22" s="220"/>
      <c r="AP22" s="605"/>
      <c r="AQ22" s="221"/>
      <c r="AR22" s="96"/>
      <c r="AS22" s="59"/>
      <c r="AT22" s="59"/>
      <c r="AU22" s="59"/>
      <c r="AV22" s="59"/>
      <c r="AW22" s="44"/>
      <c r="AX22" s="59"/>
      <c r="AY22" s="220"/>
      <c r="AZ22" s="606">
        <v>20</v>
      </c>
      <c r="BA22" s="221"/>
      <c r="BB22" s="96"/>
      <c r="BC22" s="59"/>
      <c r="BD22" s="59"/>
      <c r="BE22" s="59"/>
      <c r="BF22" s="59"/>
      <c r="BG22" s="44"/>
      <c r="BH22" s="59"/>
      <c r="BI22" s="220"/>
      <c r="BJ22" s="434"/>
      <c r="BK22" s="221"/>
      <c r="BL22" s="96"/>
      <c r="BM22" s="59"/>
      <c r="BN22" s="59"/>
      <c r="BO22" s="59"/>
      <c r="BP22" s="59"/>
      <c r="BQ22" s="44"/>
      <c r="BR22" s="59"/>
      <c r="BS22" s="220"/>
      <c r="BT22" s="532"/>
      <c r="BU22" s="221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168">
        <v>4</v>
      </c>
      <c r="B23" s="170"/>
      <c r="C23" s="312">
        <v>1113089</v>
      </c>
      <c r="D23" s="313" t="s">
        <v>195</v>
      </c>
      <c r="E23" s="219" t="s">
        <v>42</v>
      </c>
      <c r="F23" s="169"/>
      <c r="G23" s="183"/>
      <c r="H23" s="184">
        <v>0</v>
      </c>
      <c r="I23" s="217">
        <f t="shared" si="0"/>
        <v>5511</v>
      </c>
      <c r="J23" s="184">
        <v>0</v>
      </c>
      <c r="K23" s="185"/>
      <c r="L23" s="257">
        <v>1278</v>
      </c>
      <c r="M23" s="221"/>
      <c r="N23" s="96"/>
      <c r="O23" s="59"/>
      <c r="P23" s="59"/>
      <c r="Q23" s="59"/>
      <c r="R23" s="59"/>
      <c r="S23" s="106"/>
      <c r="T23" s="59"/>
      <c r="U23" s="220"/>
      <c r="V23" s="203">
        <v>830</v>
      </c>
      <c r="W23" s="221"/>
      <c r="X23" s="96"/>
      <c r="Y23" s="59"/>
      <c r="Z23" s="59"/>
      <c r="AA23" s="59"/>
      <c r="AB23" s="59"/>
      <c r="AC23" s="44"/>
      <c r="AD23" s="59"/>
      <c r="AE23" s="220"/>
      <c r="AF23" s="227">
        <v>873</v>
      </c>
      <c r="AG23" s="221"/>
      <c r="AH23" s="96"/>
      <c r="AI23" s="59"/>
      <c r="AJ23" s="59"/>
      <c r="AK23" s="59"/>
      <c r="AL23" s="59"/>
      <c r="AM23" s="106"/>
      <c r="AN23" s="59"/>
      <c r="AO23" s="220"/>
      <c r="AP23" s="248">
        <v>779</v>
      </c>
      <c r="AQ23" s="221"/>
      <c r="AR23" s="96"/>
      <c r="AS23" s="59"/>
      <c r="AT23" s="59"/>
      <c r="AU23" s="59"/>
      <c r="AV23" s="59"/>
      <c r="AW23" s="44"/>
      <c r="AX23" s="59"/>
      <c r="AY23" s="220"/>
      <c r="AZ23" s="204">
        <v>851</v>
      </c>
      <c r="BA23" s="221"/>
      <c r="BB23" s="96"/>
      <c r="BC23" s="59"/>
      <c r="BD23" s="59"/>
      <c r="BE23" s="59"/>
      <c r="BF23" s="59"/>
      <c r="BG23" s="106"/>
      <c r="BH23" s="59"/>
      <c r="BI23" s="220"/>
      <c r="BJ23" s="247">
        <v>900</v>
      </c>
      <c r="BK23" s="221"/>
      <c r="BL23" s="96"/>
      <c r="BM23" s="59"/>
      <c r="BN23" s="59"/>
      <c r="BO23" s="59"/>
      <c r="BP23" s="59"/>
      <c r="BQ23" s="44"/>
      <c r="BR23" s="59"/>
      <c r="BS23" s="220"/>
      <c r="BT23" s="205"/>
      <c r="BU23" s="221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286">
        <v>16</v>
      </c>
      <c r="B24" s="485"/>
      <c r="C24" s="619">
        <v>1113093</v>
      </c>
      <c r="D24" s="620" t="s">
        <v>196</v>
      </c>
      <c r="E24" s="563" t="s">
        <v>27</v>
      </c>
      <c r="F24" s="169"/>
      <c r="G24" s="183"/>
      <c r="H24" s="184">
        <v>0</v>
      </c>
      <c r="I24" s="236">
        <f t="shared" si="0"/>
        <v>29</v>
      </c>
      <c r="J24" s="184">
        <v>0</v>
      </c>
      <c r="K24" s="185"/>
      <c r="L24" s="490">
        <v>14</v>
      </c>
      <c r="M24" s="221"/>
      <c r="N24" s="96"/>
      <c r="O24" s="59"/>
      <c r="P24" s="59"/>
      <c r="Q24" s="59"/>
      <c r="R24" s="105"/>
      <c r="S24" s="106"/>
      <c r="T24" s="59"/>
      <c r="U24" s="220"/>
      <c r="V24" s="430"/>
      <c r="W24" s="221"/>
      <c r="X24" s="96"/>
      <c r="Y24" s="59"/>
      <c r="Z24" s="59"/>
      <c r="AA24" s="59"/>
      <c r="AB24" s="105"/>
      <c r="AC24" s="44"/>
      <c r="AD24" s="59"/>
      <c r="AE24" s="220"/>
      <c r="AF24" s="431"/>
      <c r="AG24" s="400"/>
      <c r="AH24" s="96"/>
      <c r="AI24" s="59"/>
      <c r="AJ24" s="59"/>
      <c r="AK24" s="59"/>
      <c r="AL24" s="105"/>
      <c r="AM24" s="44"/>
      <c r="AN24" s="59"/>
      <c r="AO24" s="220"/>
      <c r="AP24" s="432"/>
      <c r="AQ24" s="221"/>
      <c r="AR24" s="96"/>
      <c r="AS24" s="59"/>
      <c r="AT24" s="59"/>
      <c r="AU24" s="59"/>
      <c r="AV24" s="105"/>
      <c r="AW24" s="44"/>
      <c r="AX24" s="59"/>
      <c r="AY24" s="220"/>
      <c r="AZ24" s="433">
        <v>15</v>
      </c>
      <c r="BA24" s="221"/>
      <c r="BB24" s="96"/>
      <c r="BC24" s="59"/>
      <c r="BD24" s="59"/>
      <c r="BE24" s="59"/>
      <c r="BF24" s="105"/>
      <c r="BG24" s="44"/>
      <c r="BH24" s="105"/>
      <c r="BI24" s="220"/>
      <c r="BJ24" s="434"/>
      <c r="BK24" s="221"/>
      <c r="BL24" s="96"/>
      <c r="BM24" s="59"/>
      <c r="BN24" s="59"/>
      <c r="BO24" s="59"/>
      <c r="BP24" s="105"/>
      <c r="BQ24" s="44"/>
      <c r="BR24" s="59"/>
      <c r="BS24" s="220"/>
      <c r="BT24" s="218"/>
      <c r="BU24" s="221"/>
      <c r="BV24" s="96"/>
      <c r="BW24" s="59"/>
      <c r="BX24" s="59"/>
      <c r="BY24" s="59"/>
      <c r="BZ24" s="105"/>
      <c r="CA24" s="44"/>
      <c r="CB24" s="59"/>
    </row>
    <row r="25" spans="1:80" ht="26.25" hidden="1">
      <c r="A25" s="168">
        <v>2</v>
      </c>
      <c r="B25" s="170"/>
      <c r="C25" s="169">
        <v>20039963</v>
      </c>
      <c r="D25" s="267" t="s">
        <v>426</v>
      </c>
      <c r="E25" s="73" t="s">
        <v>69</v>
      </c>
      <c r="F25" s="73"/>
      <c r="G25" s="116"/>
      <c r="H25" s="543">
        <v>0</v>
      </c>
      <c r="I25" s="311">
        <f t="shared" si="0"/>
        <v>13070</v>
      </c>
      <c r="J25" s="543">
        <v>0</v>
      </c>
      <c r="K25" s="627"/>
      <c r="L25" s="237">
        <v>2160</v>
      </c>
      <c r="M25" s="221"/>
      <c r="N25" s="96"/>
      <c r="O25" s="59"/>
      <c r="P25" s="59"/>
      <c r="Q25" s="59"/>
      <c r="R25" s="59"/>
      <c r="S25" s="106"/>
      <c r="T25" s="59"/>
      <c r="U25" s="220"/>
      <c r="V25" s="238">
        <v>2025</v>
      </c>
      <c r="W25" s="221"/>
      <c r="X25" s="96"/>
      <c r="Y25" s="59"/>
      <c r="Z25" s="59"/>
      <c r="AA25" s="59"/>
      <c r="AB25" s="59"/>
      <c r="AC25" s="106"/>
      <c r="AD25" s="59"/>
      <c r="AE25" s="220"/>
      <c r="AF25" s="239">
        <v>1980</v>
      </c>
      <c r="AG25" s="221"/>
      <c r="AH25" s="96"/>
      <c r="AI25" s="59"/>
      <c r="AJ25" s="59"/>
      <c r="AK25" s="59"/>
      <c r="AL25" s="59"/>
      <c r="AM25" s="106"/>
      <c r="AN25" s="59"/>
      <c r="AO25" s="220"/>
      <c r="AP25" s="248">
        <v>1305</v>
      </c>
      <c r="AQ25" s="221"/>
      <c r="AR25" s="96"/>
      <c r="AS25" s="59"/>
      <c r="AT25" s="59"/>
      <c r="AU25" s="59"/>
      <c r="AV25" s="59"/>
      <c r="AW25" s="106"/>
      <c r="AX25" s="59"/>
      <c r="AY25" s="220"/>
      <c r="AZ25" s="241">
        <v>2100</v>
      </c>
      <c r="BA25" s="221"/>
      <c r="BB25" s="96"/>
      <c r="BC25" s="59"/>
      <c r="BD25" s="59"/>
      <c r="BE25" s="59"/>
      <c r="BF25" s="59"/>
      <c r="BG25" s="106"/>
      <c r="BH25" s="59"/>
      <c r="BI25" s="220"/>
      <c r="BJ25" s="242">
        <v>2000</v>
      </c>
      <c r="BK25" s="221"/>
      <c r="BL25" s="96"/>
      <c r="BM25" s="59"/>
      <c r="BN25" s="59"/>
      <c r="BO25" s="59"/>
      <c r="BP25" s="59"/>
      <c r="BQ25" s="106"/>
      <c r="BR25" s="59"/>
      <c r="BS25" s="59"/>
      <c r="BT25" s="545">
        <v>1500</v>
      </c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407">
        <v>17</v>
      </c>
      <c r="B26" s="249"/>
      <c r="C26" s="623">
        <v>1113087</v>
      </c>
      <c r="D26" s="624" t="s">
        <v>410</v>
      </c>
      <c r="E26" s="169" t="s">
        <v>27</v>
      </c>
      <c r="F26" s="169"/>
      <c r="G26" s="183"/>
      <c r="H26" s="184"/>
      <c r="I26" s="236">
        <f t="shared" si="0"/>
        <v>21</v>
      </c>
      <c r="J26" s="184"/>
      <c r="K26" s="185"/>
      <c r="L26" s="319">
        <v>11</v>
      </c>
      <c r="M26" s="221"/>
      <c r="N26" s="96"/>
      <c r="O26" s="105"/>
      <c r="P26" s="59"/>
      <c r="Q26" s="59"/>
      <c r="R26" s="105"/>
      <c r="S26" s="106"/>
      <c r="T26" s="59"/>
      <c r="U26" s="399"/>
      <c r="V26" s="474"/>
      <c r="W26" s="221"/>
      <c r="X26" s="96"/>
      <c r="Y26" s="105"/>
      <c r="Z26" s="59"/>
      <c r="AA26" s="59"/>
      <c r="AB26" s="105"/>
      <c r="AC26" s="44"/>
      <c r="AD26" s="59"/>
      <c r="AE26" s="220"/>
      <c r="AF26" s="475"/>
      <c r="AG26" s="400"/>
      <c r="AH26" s="96"/>
      <c r="AI26" s="105"/>
      <c r="AJ26" s="59"/>
      <c r="AK26" s="59"/>
      <c r="AL26" s="105"/>
      <c r="AM26" s="44"/>
      <c r="AN26" s="59"/>
      <c r="AO26" s="220"/>
      <c r="AP26" s="634"/>
      <c r="AQ26" s="221"/>
      <c r="AR26" s="96"/>
      <c r="AS26" s="105"/>
      <c r="AT26" s="59"/>
      <c r="AU26" s="59"/>
      <c r="AV26" s="105"/>
      <c r="AW26" s="106"/>
      <c r="AX26" s="59"/>
      <c r="AY26" s="220"/>
      <c r="AZ26" s="477">
        <v>10</v>
      </c>
      <c r="BA26" s="221"/>
      <c r="BB26" s="96"/>
      <c r="BC26" s="105"/>
      <c r="BD26" s="59"/>
      <c r="BE26" s="59"/>
      <c r="BF26" s="105"/>
      <c r="BG26" s="44"/>
      <c r="BH26" s="105"/>
      <c r="BI26" s="220"/>
      <c r="BJ26" s="478"/>
      <c r="BK26" s="400"/>
      <c r="BL26" s="96"/>
      <c r="BM26" s="105"/>
      <c r="BN26" s="59"/>
      <c r="BO26" s="59"/>
      <c r="BP26" s="105"/>
      <c r="BQ26" s="44"/>
      <c r="BR26" s="59"/>
      <c r="BS26" s="220"/>
      <c r="BT26" s="218"/>
      <c r="BU26" s="221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286">
        <v>18</v>
      </c>
      <c r="B27" s="485"/>
      <c r="C27" s="537">
        <v>1005982</v>
      </c>
      <c r="D27" s="538" t="s">
        <v>199</v>
      </c>
      <c r="E27" s="230" t="s">
        <v>27</v>
      </c>
      <c r="F27" s="230"/>
      <c r="G27" s="231"/>
      <c r="H27" s="232">
        <v>0</v>
      </c>
      <c r="I27" s="403">
        <f t="shared" si="0"/>
        <v>32</v>
      </c>
      <c r="J27" s="232">
        <v>0</v>
      </c>
      <c r="K27" s="258"/>
      <c r="L27" s="461">
        <v>17</v>
      </c>
      <c r="M27" s="221"/>
      <c r="N27" s="96"/>
      <c r="O27" s="59"/>
      <c r="P27" s="59"/>
      <c r="Q27" s="59"/>
      <c r="R27" s="59"/>
      <c r="S27" s="44"/>
      <c r="T27" s="59"/>
      <c r="U27" s="220"/>
      <c r="V27" s="430"/>
      <c r="W27" s="221"/>
      <c r="X27" s="96"/>
      <c r="Y27" s="59"/>
      <c r="Z27" s="59"/>
      <c r="AA27" s="59"/>
      <c r="AB27" s="59"/>
      <c r="AC27" s="44"/>
      <c r="AD27" s="59"/>
      <c r="AE27" s="220"/>
      <c r="AF27" s="431"/>
      <c r="AG27" s="221"/>
      <c r="AH27" s="96"/>
      <c r="AI27" s="59"/>
      <c r="AJ27" s="59"/>
      <c r="AK27" s="59"/>
      <c r="AL27" s="59"/>
      <c r="AM27" s="44"/>
      <c r="AN27" s="59"/>
      <c r="AO27" s="220"/>
      <c r="AP27" s="432"/>
      <c r="AQ27" s="221"/>
      <c r="AR27" s="96"/>
      <c r="AS27" s="59"/>
      <c r="AT27" s="59"/>
      <c r="AU27" s="59"/>
      <c r="AV27" s="59"/>
      <c r="AW27" s="44"/>
      <c r="AX27" s="59"/>
      <c r="AY27" s="220"/>
      <c r="AZ27" s="433">
        <v>15</v>
      </c>
      <c r="BA27" s="221"/>
      <c r="BB27" s="96"/>
      <c r="BC27" s="59"/>
      <c r="BD27" s="59"/>
      <c r="BE27" s="59"/>
      <c r="BF27" s="59"/>
      <c r="BG27" s="44"/>
      <c r="BH27" s="59"/>
      <c r="BI27" s="220"/>
      <c r="BJ27" s="434"/>
      <c r="BK27" s="221"/>
      <c r="BL27" s="96"/>
      <c r="BM27" s="59"/>
      <c r="BN27" s="59"/>
      <c r="BO27" s="59"/>
      <c r="BP27" s="59"/>
      <c r="BQ27" s="44"/>
      <c r="BR27" s="59"/>
      <c r="BS27" s="220"/>
      <c r="BT27" s="532"/>
      <c r="BU27" s="221"/>
      <c r="BV27" s="96"/>
      <c r="BW27" s="59"/>
      <c r="BX27" s="59"/>
      <c r="BY27" s="59"/>
      <c r="BZ27" s="59"/>
      <c r="CA27" s="44"/>
      <c r="CB27" s="59"/>
    </row>
    <row r="28" spans="1:80" s="42" customFormat="1" ht="26.25" hidden="1">
      <c r="A28" s="168">
        <v>5</v>
      </c>
      <c r="B28" s="170"/>
      <c r="C28" s="169">
        <v>1113086</v>
      </c>
      <c r="D28" s="267" t="s">
        <v>200</v>
      </c>
      <c r="E28" s="219" t="s">
        <v>42</v>
      </c>
      <c r="F28" s="169"/>
      <c r="G28" s="183"/>
      <c r="H28" s="184">
        <v>0</v>
      </c>
      <c r="I28" s="217">
        <f t="shared" si="0"/>
        <v>952</v>
      </c>
      <c r="J28" s="184">
        <v>0</v>
      </c>
      <c r="K28" s="185"/>
      <c r="L28" s="202">
        <v>183</v>
      </c>
      <c r="M28" s="221"/>
      <c r="N28" s="96"/>
      <c r="O28" s="59"/>
      <c r="P28" s="59"/>
      <c r="Q28" s="59"/>
      <c r="R28" s="59"/>
      <c r="S28" s="44"/>
      <c r="T28" s="59"/>
      <c r="U28" s="220"/>
      <c r="V28" s="203">
        <v>153</v>
      </c>
      <c r="W28" s="221"/>
      <c r="X28" s="96"/>
      <c r="Y28" s="59"/>
      <c r="Z28" s="59"/>
      <c r="AA28" s="59"/>
      <c r="AB28" s="59"/>
      <c r="AC28" s="44"/>
      <c r="AD28" s="59"/>
      <c r="AE28" s="220"/>
      <c r="AF28" s="253">
        <v>155</v>
      </c>
      <c r="AG28" s="221"/>
      <c r="AH28" s="96"/>
      <c r="AI28" s="59"/>
      <c r="AJ28" s="59"/>
      <c r="AK28" s="59"/>
      <c r="AL28" s="59"/>
      <c r="AM28" s="44"/>
      <c r="AN28" s="59"/>
      <c r="AO28" s="220"/>
      <c r="AP28" s="262">
        <v>119</v>
      </c>
      <c r="AQ28" s="221"/>
      <c r="AR28" s="96"/>
      <c r="AS28" s="59"/>
      <c r="AT28" s="59"/>
      <c r="AU28" s="59"/>
      <c r="AV28" s="59"/>
      <c r="AW28" s="44"/>
      <c r="AX28" s="59"/>
      <c r="AY28" s="220"/>
      <c r="AZ28" s="264">
        <v>142</v>
      </c>
      <c r="BA28" s="221"/>
      <c r="BB28" s="96"/>
      <c r="BC28" s="59"/>
      <c r="BD28" s="59"/>
      <c r="BE28" s="59"/>
      <c r="BF28" s="59"/>
      <c r="BG28" s="44"/>
      <c r="BH28" s="59"/>
      <c r="BI28" s="220"/>
      <c r="BJ28" s="266">
        <v>200</v>
      </c>
      <c r="BK28" s="221"/>
      <c r="BL28" s="96"/>
      <c r="BM28" s="59"/>
      <c r="BN28" s="59"/>
      <c r="BO28" s="59"/>
      <c r="BP28" s="59"/>
      <c r="BQ28" s="44"/>
      <c r="BR28" s="59"/>
      <c r="BS28" s="220"/>
      <c r="BT28" s="205"/>
      <c r="BU28" s="221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286">
        <v>1</v>
      </c>
      <c r="B29" s="485"/>
      <c r="C29" s="230">
        <v>1005985</v>
      </c>
      <c r="D29" s="429" t="s">
        <v>202</v>
      </c>
      <c r="E29" s="230" t="s">
        <v>203</v>
      </c>
      <c r="F29" s="230"/>
      <c r="G29" s="231"/>
      <c r="H29" s="232">
        <v>0</v>
      </c>
      <c r="I29" s="403">
        <f t="shared" si="0"/>
        <v>204</v>
      </c>
      <c r="J29" s="232">
        <v>0</v>
      </c>
      <c r="K29" s="258"/>
      <c r="L29" s="607"/>
      <c r="M29" s="221"/>
      <c r="N29" s="96"/>
      <c r="O29" s="59"/>
      <c r="P29" s="59"/>
      <c r="Q29" s="59"/>
      <c r="R29" s="59"/>
      <c r="S29" s="44"/>
      <c r="T29" s="59"/>
      <c r="U29" s="220"/>
      <c r="V29" s="430"/>
      <c r="W29" s="221"/>
      <c r="X29" s="96"/>
      <c r="Y29" s="59"/>
      <c r="Z29" s="59"/>
      <c r="AA29" s="59"/>
      <c r="AB29" s="59"/>
      <c r="AC29" s="44"/>
      <c r="AD29" s="59"/>
      <c r="AE29" s="220"/>
      <c r="AF29" s="431"/>
      <c r="AG29" s="221"/>
      <c r="AH29" s="96"/>
      <c r="AI29" s="59"/>
      <c r="AJ29" s="59"/>
      <c r="AK29" s="59"/>
      <c r="AL29" s="59"/>
      <c r="AM29" s="44"/>
      <c r="AN29" s="59"/>
      <c r="AO29" s="220"/>
      <c r="AP29" s="432"/>
      <c r="AQ29" s="221"/>
      <c r="AR29" s="96"/>
      <c r="AS29" s="59"/>
      <c r="AT29" s="59"/>
      <c r="AU29" s="59"/>
      <c r="AV29" s="59"/>
      <c r="AW29" s="44"/>
      <c r="AX29" s="59"/>
      <c r="AY29" s="220"/>
      <c r="AZ29" s="433">
        <v>204</v>
      </c>
      <c r="BA29" s="221"/>
      <c r="BB29" s="96"/>
      <c r="BC29" s="59"/>
      <c r="BD29" s="59"/>
      <c r="BE29" s="59"/>
      <c r="BF29" s="59"/>
      <c r="BG29" s="44"/>
      <c r="BH29" s="59"/>
      <c r="BI29" s="220"/>
      <c r="BJ29" s="434"/>
      <c r="BK29" s="221"/>
      <c r="BL29" s="96"/>
      <c r="BM29" s="59"/>
      <c r="BN29" s="59"/>
      <c r="BO29" s="59"/>
      <c r="BP29" s="59"/>
      <c r="BQ29" s="44"/>
      <c r="BR29" s="59"/>
      <c r="BS29" s="220"/>
      <c r="BT29" s="532"/>
      <c r="BU29" s="221"/>
      <c r="BV29" s="96"/>
      <c r="BW29" s="59"/>
      <c r="BX29" s="59"/>
      <c r="BY29" s="59"/>
      <c r="BZ29" s="59"/>
      <c r="CA29" s="44"/>
      <c r="CB29" s="59"/>
    </row>
    <row r="30" spans="1:80" s="42" customFormat="1" ht="26.25" hidden="1">
      <c r="A30" s="168">
        <v>2</v>
      </c>
      <c r="B30" s="170"/>
      <c r="C30" s="314">
        <v>1113088</v>
      </c>
      <c r="D30" s="315" t="s">
        <v>208</v>
      </c>
      <c r="E30" s="219" t="s">
        <v>170</v>
      </c>
      <c r="F30" s="169"/>
      <c r="G30" s="183"/>
      <c r="H30" s="184">
        <v>0</v>
      </c>
      <c r="I30" s="217">
        <f t="shared" si="0"/>
        <v>6083</v>
      </c>
      <c r="J30" s="184">
        <v>0</v>
      </c>
      <c r="K30" s="185"/>
      <c r="L30" s="257">
        <v>1443</v>
      </c>
      <c r="M30" s="221"/>
      <c r="N30" s="96"/>
      <c r="O30" s="59"/>
      <c r="P30" s="59"/>
      <c r="Q30" s="59"/>
      <c r="R30" s="59"/>
      <c r="S30" s="106"/>
      <c r="T30" s="59"/>
      <c r="U30" s="220"/>
      <c r="V30" s="226">
        <v>929</v>
      </c>
      <c r="W30" s="221"/>
      <c r="X30" s="96"/>
      <c r="Y30" s="59"/>
      <c r="Z30" s="59"/>
      <c r="AA30" s="59"/>
      <c r="AB30" s="59"/>
      <c r="AC30" s="44"/>
      <c r="AD30" s="59"/>
      <c r="AE30" s="220"/>
      <c r="AF30" s="227">
        <v>968</v>
      </c>
      <c r="AG30" s="221"/>
      <c r="AH30" s="96"/>
      <c r="AI30" s="59"/>
      <c r="AJ30" s="59"/>
      <c r="AK30" s="59"/>
      <c r="AL30" s="59"/>
      <c r="AM30" s="106"/>
      <c r="AN30" s="59"/>
      <c r="AO30" s="220"/>
      <c r="AP30" s="248">
        <v>913</v>
      </c>
      <c r="AQ30" s="221"/>
      <c r="AR30" s="96"/>
      <c r="AS30" s="59"/>
      <c r="AT30" s="59"/>
      <c r="AU30" s="59"/>
      <c r="AV30" s="59"/>
      <c r="AW30" s="44"/>
      <c r="AX30" s="59"/>
      <c r="AY30" s="220"/>
      <c r="AZ30" s="204">
        <v>930</v>
      </c>
      <c r="BA30" s="221"/>
      <c r="BB30" s="96"/>
      <c r="BC30" s="59"/>
      <c r="BD30" s="59"/>
      <c r="BE30" s="59"/>
      <c r="BF30" s="59"/>
      <c r="BG30" s="106"/>
      <c r="BH30" s="59"/>
      <c r="BI30" s="220"/>
      <c r="BJ30" s="247">
        <v>900</v>
      </c>
      <c r="BK30" s="221"/>
      <c r="BL30" s="96"/>
      <c r="BM30" s="59"/>
      <c r="BN30" s="59"/>
      <c r="BO30" s="59"/>
      <c r="BP30" s="59"/>
      <c r="BQ30" s="44"/>
      <c r="BR30" s="59"/>
      <c r="BS30" s="220"/>
      <c r="BT30" s="205"/>
      <c r="BU30" s="221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628"/>
      <c r="M31" s="59"/>
      <c r="N31" s="96"/>
      <c r="O31" s="105"/>
      <c r="P31" s="59"/>
      <c r="Q31" s="59"/>
      <c r="R31" s="105"/>
      <c r="S31" s="106"/>
      <c r="T31" s="59"/>
      <c r="U31" s="105"/>
      <c r="V31" s="629"/>
      <c r="W31" s="59"/>
      <c r="X31" s="96"/>
      <c r="Y31" s="105"/>
      <c r="Z31" s="59"/>
      <c r="AA31" s="59"/>
      <c r="AB31" s="105"/>
      <c r="AC31" s="44"/>
      <c r="AD31" s="59"/>
      <c r="AE31" s="59"/>
      <c r="AF31" s="630"/>
      <c r="AG31" s="105"/>
      <c r="AH31" s="96"/>
      <c r="AI31" s="105"/>
      <c r="AJ31" s="59"/>
      <c r="AK31" s="59"/>
      <c r="AL31" s="105"/>
      <c r="AM31" s="44"/>
      <c r="AN31" s="59"/>
      <c r="AO31" s="59"/>
      <c r="AP31" s="631"/>
      <c r="AQ31" s="59"/>
      <c r="AR31" s="96"/>
      <c r="AS31" s="105"/>
      <c r="AT31" s="59"/>
      <c r="AU31" s="59"/>
      <c r="AV31" s="105"/>
      <c r="AW31" s="106"/>
      <c r="AX31" s="59"/>
      <c r="AY31" s="59"/>
      <c r="AZ31" s="632"/>
      <c r="BA31" s="59"/>
      <c r="BB31" s="96"/>
      <c r="BC31" s="105"/>
      <c r="BD31" s="59"/>
      <c r="BE31" s="59"/>
      <c r="BF31" s="105"/>
      <c r="BG31" s="44"/>
      <c r="BH31" s="105"/>
      <c r="BI31" s="59"/>
      <c r="BJ31" s="63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/>
      <c r="BW31" s="105"/>
      <c r="BX31" s="59"/>
      <c r="BY31" s="59"/>
      <c r="BZ31" s="105"/>
      <c r="CA31" s="44"/>
      <c r="CB31" s="59"/>
    </row>
    <row r="32" spans="1:80" ht="26.25" hidden="1">
      <c r="A32" s="168">
        <v>3</v>
      </c>
      <c r="B32" s="170"/>
      <c r="C32" s="169">
        <v>20053132</v>
      </c>
      <c r="D32" s="267" t="s">
        <v>483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220"/>
      <c r="L32" s="237"/>
      <c r="M32" s="221"/>
      <c r="N32" s="96"/>
      <c r="O32" s="59"/>
      <c r="P32" s="59"/>
      <c r="Q32" s="59"/>
      <c r="R32" s="59"/>
      <c r="S32" s="106"/>
      <c r="T32" s="59"/>
      <c r="U32" s="220"/>
      <c r="V32" s="238"/>
      <c r="W32" s="221"/>
      <c r="X32" s="96"/>
      <c r="Y32" s="59"/>
      <c r="Z32" s="59"/>
      <c r="AA32" s="59"/>
      <c r="AB32" s="59"/>
      <c r="AC32" s="106"/>
      <c r="AD32" s="59"/>
      <c r="AE32" s="220"/>
      <c r="AF32" s="239"/>
      <c r="AG32" s="221"/>
      <c r="AH32" s="96"/>
      <c r="AI32" s="59"/>
      <c r="AJ32" s="59"/>
      <c r="AK32" s="59"/>
      <c r="AL32" s="59"/>
      <c r="AM32" s="106"/>
      <c r="AN32" s="59"/>
      <c r="AO32" s="220"/>
      <c r="AP32" s="248"/>
      <c r="AQ32" s="221"/>
      <c r="AR32" s="96"/>
      <c r="AS32" s="59"/>
      <c r="AT32" s="59"/>
      <c r="AU32" s="59"/>
      <c r="AV32" s="59"/>
      <c r="AW32" s="106"/>
      <c r="AX32" s="59"/>
      <c r="AY32" s="220"/>
      <c r="AZ32" s="241"/>
      <c r="BA32" s="221"/>
      <c r="BB32" s="96"/>
      <c r="BC32" s="59"/>
      <c r="BD32" s="59"/>
      <c r="BE32" s="59"/>
      <c r="BF32" s="59"/>
      <c r="BG32" s="106"/>
      <c r="BH32" s="59"/>
      <c r="BI32" s="220"/>
      <c r="BJ32" s="242"/>
      <c r="BK32" s="221"/>
      <c r="BL32" s="96"/>
      <c r="BM32" s="59"/>
      <c r="BN32" s="59"/>
      <c r="BO32" s="59"/>
      <c r="BP32" s="59"/>
      <c r="BQ32" s="106"/>
      <c r="BR32" s="59"/>
      <c r="BS32" s="59"/>
      <c r="BT32" s="209"/>
      <c r="BU32" s="59"/>
      <c r="BV32" s="96"/>
      <c r="BW32" s="59"/>
      <c r="BX32" s="59"/>
      <c r="BY32" s="59"/>
      <c r="BZ32" s="59"/>
      <c r="CA32" s="44"/>
      <c r="CB32" s="59"/>
    </row>
    <row r="33" spans="1:80" ht="26.25" hidden="1">
      <c r="A33" s="168">
        <v>4</v>
      </c>
      <c r="B33" s="170"/>
      <c r="C33" s="169">
        <v>20063379</v>
      </c>
      <c r="D33" s="267" t="s">
        <v>428</v>
      </c>
      <c r="E33" s="73" t="s">
        <v>69</v>
      </c>
      <c r="F33" s="73"/>
      <c r="G33" s="116"/>
      <c r="H33" s="129">
        <v>0</v>
      </c>
      <c r="I33" s="311">
        <f t="shared" si="0"/>
        <v>22352</v>
      </c>
      <c r="J33" s="129">
        <v>0</v>
      </c>
      <c r="K33" s="117"/>
      <c r="L33" s="462">
        <v>3420</v>
      </c>
      <c r="M33" s="59"/>
      <c r="N33" s="96"/>
      <c r="O33" s="59"/>
      <c r="P33" s="59"/>
      <c r="Q33" s="59"/>
      <c r="R33" s="59"/>
      <c r="S33" s="106"/>
      <c r="T33" s="59"/>
      <c r="U33" s="59"/>
      <c r="V33" s="463">
        <v>3132</v>
      </c>
      <c r="W33" s="59"/>
      <c r="X33" s="96"/>
      <c r="Y33" s="59"/>
      <c r="Z33" s="59"/>
      <c r="AA33" s="59"/>
      <c r="AB33" s="59"/>
      <c r="AC33" s="106"/>
      <c r="AD33" s="59"/>
      <c r="AE33" s="59"/>
      <c r="AF33" s="464">
        <v>3096</v>
      </c>
      <c r="AG33" s="59"/>
      <c r="AH33" s="96"/>
      <c r="AI33" s="59"/>
      <c r="AJ33" s="59"/>
      <c r="AK33" s="59"/>
      <c r="AL33" s="59"/>
      <c r="AM33" s="106"/>
      <c r="AN33" s="59"/>
      <c r="AO33" s="59"/>
      <c r="AP33" s="484">
        <v>3204</v>
      </c>
      <c r="AQ33" s="59"/>
      <c r="AR33" s="96"/>
      <c r="AS33" s="59"/>
      <c r="AT33" s="59"/>
      <c r="AU33" s="59"/>
      <c r="AV33" s="59"/>
      <c r="AW33" s="106"/>
      <c r="AX33" s="59"/>
      <c r="AY33" s="59"/>
      <c r="AZ33" s="466">
        <v>3300</v>
      </c>
      <c r="BA33" s="59"/>
      <c r="BB33" s="96"/>
      <c r="BC33" s="59"/>
      <c r="BD33" s="59"/>
      <c r="BE33" s="59"/>
      <c r="BF33" s="59"/>
      <c r="BG33" s="106"/>
      <c r="BH33" s="59"/>
      <c r="BI33" s="59"/>
      <c r="BJ33" s="467">
        <v>3100</v>
      </c>
      <c r="BK33" s="59"/>
      <c r="BL33" s="96"/>
      <c r="BM33" s="59"/>
      <c r="BN33" s="59"/>
      <c r="BO33" s="59"/>
      <c r="BP33" s="59"/>
      <c r="BQ33" s="106"/>
      <c r="BR33" s="59"/>
      <c r="BS33" s="59"/>
      <c r="BT33" s="223">
        <v>3100</v>
      </c>
      <c r="BU33" s="59"/>
      <c r="BV33" s="96"/>
      <c r="BW33" s="59"/>
      <c r="BX33" s="59"/>
      <c r="BY33" s="59"/>
      <c r="BZ33" s="59"/>
      <c r="CA33" s="44"/>
      <c r="CB33" s="59"/>
    </row>
    <row r="34" spans="1:80" ht="26.25" hidden="1">
      <c r="A34" s="168">
        <v>5</v>
      </c>
      <c r="B34" s="170"/>
      <c r="C34" s="169">
        <v>20060015</v>
      </c>
      <c r="D34" s="267" t="s">
        <v>429</v>
      </c>
      <c r="E34" s="279" t="s">
        <v>69</v>
      </c>
      <c r="F34" s="169"/>
      <c r="G34" s="183"/>
      <c r="H34" s="184">
        <v>0</v>
      </c>
      <c r="I34" s="236">
        <f t="shared" si="0"/>
        <v>14228</v>
      </c>
      <c r="J34" s="184">
        <v>0</v>
      </c>
      <c r="K34" s="185"/>
      <c r="L34" s="237">
        <v>2340</v>
      </c>
      <c r="M34" s="221"/>
      <c r="N34" s="96"/>
      <c r="O34" s="105"/>
      <c r="P34" s="59"/>
      <c r="Q34" s="59"/>
      <c r="R34" s="105"/>
      <c r="S34" s="106"/>
      <c r="T34" s="59"/>
      <c r="U34" s="399"/>
      <c r="V34" s="238">
        <v>1872</v>
      </c>
      <c r="W34" s="221"/>
      <c r="X34" s="96"/>
      <c r="Y34" s="105"/>
      <c r="Z34" s="59"/>
      <c r="AA34" s="59"/>
      <c r="AB34" s="105"/>
      <c r="AC34" s="106"/>
      <c r="AD34" s="59"/>
      <c r="AE34" s="220"/>
      <c r="AF34" s="239">
        <v>1944</v>
      </c>
      <c r="AG34" s="400"/>
      <c r="AH34" s="96"/>
      <c r="AI34" s="105"/>
      <c r="AJ34" s="59"/>
      <c r="AK34" s="59"/>
      <c r="AL34" s="105"/>
      <c r="AM34" s="106"/>
      <c r="AN34" s="59"/>
      <c r="AO34" s="220"/>
      <c r="AP34" s="248">
        <v>1872</v>
      </c>
      <c r="AQ34" s="221"/>
      <c r="AR34" s="96"/>
      <c r="AS34" s="105"/>
      <c r="AT34" s="59"/>
      <c r="AU34" s="59"/>
      <c r="AV34" s="105"/>
      <c r="AW34" s="106"/>
      <c r="AX34" s="59"/>
      <c r="AY34" s="220"/>
      <c r="AZ34" s="241">
        <v>2200</v>
      </c>
      <c r="BA34" s="221"/>
      <c r="BB34" s="96"/>
      <c r="BC34" s="105"/>
      <c r="BD34" s="59"/>
      <c r="BE34" s="59"/>
      <c r="BF34" s="105"/>
      <c r="BG34" s="106"/>
      <c r="BH34" s="105"/>
      <c r="BI34" s="220"/>
      <c r="BJ34" s="242">
        <v>2200</v>
      </c>
      <c r="BK34" s="400"/>
      <c r="BL34" s="96"/>
      <c r="BM34" s="105"/>
      <c r="BN34" s="59"/>
      <c r="BO34" s="59"/>
      <c r="BP34" s="105"/>
      <c r="BQ34" s="106"/>
      <c r="BR34" s="59"/>
      <c r="BS34" s="220"/>
      <c r="BT34" s="205">
        <v>1800</v>
      </c>
      <c r="BU34" s="221"/>
      <c r="BV34" s="96"/>
      <c r="BW34" s="105"/>
      <c r="BX34" s="59"/>
      <c r="BY34" s="59"/>
      <c r="BZ34" s="105"/>
      <c r="CA34" s="44"/>
      <c r="CB34" s="59"/>
    </row>
    <row r="35" spans="1:80" ht="26.25" hidden="1">
      <c r="A35" s="168">
        <v>6</v>
      </c>
      <c r="B35" s="170"/>
      <c r="C35" s="169">
        <v>20063378</v>
      </c>
      <c r="D35" s="267" t="s">
        <v>430</v>
      </c>
      <c r="E35" s="617" t="s">
        <v>69</v>
      </c>
      <c r="F35" s="230"/>
      <c r="G35" s="231"/>
      <c r="H35" s="232">
        <v>0</v>
      </c>
      <c r="I35" s="489">
        <f t="shared" si="0"/>
        <v>18860</v>
      </c>
      <c r="J35" s="232">
        <v>0</v>
      </c>
      <c r="K35" s="258"/>
      <c r="L35" s="490">
        <v>3264</v>
      </c>
      <c r="M35" s="221"/>
      <c r="N35" s="96"/>
      <c r="O35" s="105"/>
      <c r="P35" s="59"/>
      <c r="Q35" s="59"/>
      <c r="R35" s="105"/>
      <c r="S35" s="106"/>
      <c r="T35" s="59"/>
      <c r="U35" s="399"/>
      <c r="V35" s="608">
        <v>2944</v>
      </c>
      <c r="W35" s="221"/>
      <c r="X35" s="96"/>
      <c r="Y35" s="105"/>
      <c r="Z35" s="59"/>
      <c r="AA35" s="59"/>
      <c r="AB35" s="105"/>
      <c r="AC35" s="106"/>
      <c r="AD35" s="59"/>
      <c r="AE35" s="220"/>
      <c r="AF35" s="609">
        <v>2944</v>
      </c>
      <c r="AG35" s="400"/>
      <c r="AH35" s="96"/>
      <c r="AI35" s="105"/>
      <c r="AJ35" s="59"/>
      <c r="AK35" s="59"/>
      <c r="AL35" s="105"/>
      <c r="AM35" s="106"/>
      <c r="AN35" s="59"/>
      <c r="AO35" s="220"/>
      <c r="AP35" s="511">
        <v>3008</v>
      </c>
      <c r="AQ35" s="221"/>
      <c r="AR35" s="96"/>
      <c r="AS35" s="105"/>
      <c r="AT35" s="59"/>
      <c r="AU35" s="59"/>
      <c r="AV35" s="105"/>
      <c r="AW35" s="106"/>
      <c r="AX35" s="59"/>
      <c r="AY35" s="220"/>
      <c r="AZ35" s="610">
        <v>3500</v>
      </c>
      <c r="BA35" s="221"/>
      <c r="BB35" s="96"/>
      <c r="BC35" s="105"/>
      <c r="BD35" s="59"/>
      <c r="BE35" s="59"/>
      <c r="BF35" s="105"/>
      <c r="BG35" s="106"/>
      <c r="BH35" s="105"/>
      <c r="BI35" s="220"/>
      <c r="BJ35" s="611">
        <v>3200</v>
      </c>
      <c r="BK35" s="400"/>
      <c r="BL35" s="96"/>
      <c r="BM35" s="105"/>
      <c r="BN35" s="59"/>
      <c r="BO35" s="59"/>
      <c r="BP35" s="105"/>
      <c r="BQ35" s="106"/>
      <c r="BR35" s="59"/>
      <c r="BS35" s="220"/>
      <c r="BT35" s="491"/>
      <c r="BU35" s="221"/>
      <c r="BV35" s="96"/>
      <c r="BW35" s="105"/>
      <c r="BX35" s="59"/>
      <c r="BY35" s="59"/>
      <c r="BZ35" s="105"/>
      <c r="CA35" s="44"/>
      <c r="CB35" s="59"/>
    </row>
    <row r="36" spans="1:80" s="42" customFormat="1" ht="26.25" hidden="1">
      <c r="A36" s="407">
        <v>7</v>
      </c>
      <c r="B36" s="249"/>
      <c r="C36" s="625">
        <v>1113148</v>
      </c>
      <c r="D36" s="626" t="s">
        <v>348</v>
      </c>
      <c r="E36" s="219" t="s">
        <v>42</v>
      </c>
      <c r="F36" s="169"/>
      <c r="G36" s="183"/>
      <c r="H36" s="184">
        <v>0</v>
      </c>
      <c r="I36" s="217">
        <f t="shared" si="0"/>
        <v>0</v>
      </c>
      <c r="J36" s="184">
        <v>0</v>
      </c>
      <c r="K36" s="185"/>
      <c r="L36" s="202"/>
      <c r="M36" s="221"/>
      <c r="N36" s="96"/>
      <c r="O36" s="59"/>
      <c r="P36" s="59"/>
      <c r="Q36" s="59"/>
      <c r="R36" s="59"/>
      <c r="S36" s="44"/>
      <c r="T36" s="59"/>
      <c r="U36" s="220"/>
      <c r="V36" s="203"/>
      <c r="W36" s="221"/>
      <c r="X36" s="96"/>
      <c r="Y36" s="59"/>
      <c r="Z36" s="59"/>
      <c r="AA36" s="59"/>
      <c r="AB36" s="59"/>
      <c r="AC36" s="44"/>
      <c r="AD36" s="59"/>
      <c r="AE36" s="220"/>
      <c r="AF36" s="253"/>
      <c r="AG36" s="221"/>
      <c r="AH36" s="96"/>
      <c r="AI36" s="59"/>
      <c r="AJ36" s="59"/>
      <c r="AK36" s="59"/>
      <c r="AL36" s="59"/>
      <c r="AM36" s="44"/>
      <c r="AN36" s="59"/>
      <c r="AO36" s="220"/>
      <c r="AP36" s="262"/>
      <c r="AQ36" s="221"/>
      <c r="AR36" s="96"/>
      <c r="AS36" s="59"/>
      <c r="AT36" s="59"/>
      <c r="AU36" s="59"/>
      <c r="AV36" s="59"/>
      <c r="AW36" s="44"/>
      <c r="AX36" s="59"/>
      <c r="AY36" s="220"/>
      <c r="AZ36" s="264"/>
      <c r="BA36" s="221"/>
      <c r="BB36" s="96"/>
      <c r="BC36" s="59"/>
      <c r="BD36" s="59"/>
      <c r="BE36" s="59"/>
      <c r="BF36" s="59"/>
      <c r="BG36" s="44"/>
      <c r="BH36" s="59"/>
      <c r="BI36" s="220"/>
      <c r="BJ36" s="266"/>
      <c r="BK36" s="221"/>
      <c r="BL36" s="96"/>
      <c r="BM36" s="59"/>
      <c r="BN36" s="59"/>
      <c r="BO36" s="59"/>
      <c r="BP36" s="59"/>
      <c r="BQ36" s="44"/>
      <c r="BR36" s="59"/>
      <c r="BS36" s="220"/>
      <c r="BT36" s="205"/>
      <c r="BU36" s="221"/>
      <c r="BV36" s="96"/>
      <c r="BW36" s="59"/>
      <c r="BX36" s="59"/>
      <c r="BY36" s="59"/>
      <c r="BZ36" s="59"/>
      <c r="CA36" s="44"/>
      <c r="CB36" s="59"/>
    </row>
    <row r="37" spans="1:80" s="42" customFormat="1" ht="26.25" hidden="1">
      <c r="A37" s="168">
        <v>8</v>
      </c>
      <c r="B37" s="170"/>
      <c r="C37" s="316">
        <v>1113149</v>
      </c>
      <c r="D37" s="317" t="s">
        <v>349</v>
      </c>
      <c r="E37" s="219" t="s">
        <v>42</v>
      </c>
      <c r="F37" s="169"/>
      <c r="G37" s="183"/>
      <c r="H37" s="184">
        <v>0</v>
      </c>
      <c r="I37" s="217">
        <f t="shared" si="0"/>
        <v>0</v>
      </c>
      <c r="J37" s="184">
        <v>0</v>
      </c>
      <c r="K37" s="185"/>
      <c r="L37" s="202"/>
      <c r="M37" s="221"/>
      <c r="N37" s="96"/>
      <c r="O37" s="59"/>
      <c r="P37" s="59"/>
      <c r="Q37" s="59"/>
      <c r="R37" s="59"/>
      <c r="S37" s="44"/>
      <c r="T37" s="59"/>
      <c r="U37" s="220"/>
      <c r="V37" s="203"/>
      <c r="W37" s="221"/>
      <c r="X37" s="96"/>
      <c r="Y37" s="59"/>
      <c r="Z37" s="59"/>
      <c r="AA37" s="59"/>
      <c r="AB37" s="59"/>
      <c r="AC37" s="44"/>
      <c r="AD37" s="59"/>
      <c r="AE37" s="220"/>
      <c r="AF37" s="253"/>
      <c r="AG37" s="221"/>
      <c r="AH37" s="96"/>
      <c r="AI37" s="59"/>
      <c r="AJ37" s="59"/>
      <c r="AK37" s="59"/>
      <c r="AL37" s="59"/>
      <c r="AM37" s="44"/>
      <c r="AN37" s="59"/>
      <c r="AO37" s="220"/>
      <c r="AP37" s="262"/>
      <c r="AQ37" s="221"/>
      <c r="AR37" s="96"/>
      <c r="AS37" s="59"/>
      <c r="AT37" s="59"/>
      <c r="AU37" s="59"/>
      <c r="AV37" s="59"/>
      <c r="AW37" s="44"/>
      <c r="AX37" s="59"/>
      <c r="AY37" s="220"/>
      <c r="AZ37" s="264"/>
      <c r="BA37" s="221"/>
      <c r="BB37" s="96"/>
      <c r="BC37" s="59"/>
      <c r="BD37" s="59"/>
      <c r="BE37" s="59"/>
      <c r="BF37" s="59"/>
      <c r="BG37" s="44"/>
      <c r="BH37" s="59"/>
      <c r="BI37" s="220"/>
      <c r="BJ37" s="266"/>
      <c r="BK37" s="221"/>
      <c r="BL37" s="96"/>
      <c r="BM37" s="59"/>
      <c r="BN37" s="59"/>
      <c r="BO37" s="59"/>
      <c r="BP37" s="59"/>
      <c r="BQ37" s="44"/>
      <c r="BR37" s="59"/>
      <c r="BS37" s="220"/>
      <c r="BT37" s="205"/>
      <c r="BU37" s="221"/>
      <c r="BV37" s="96"/>
      <c r="BW37" s="59"/>
      <c r="BX37" s="59"/>
      <c r="BY37" s="59"/>
      <c r="BZ37" s="59"/>
      <c r="CA37" s="44"/>
      <c r="CB37" s="59"/>
    </row>
    <row r="38" spans="1:80" s="42" customFormat="1" ht="26.25" hidden="1">
      <c r="A38" s="168">
        <v>9</v>
      </c>
      <c r="B38" s="170"/>
      <c r="C38" s="169">
        <v>1113192</v>
      </c>
      <c r="D38" s="267" t="s">
        <v>351</v>
      </c>
      <c r="E38" s="219" t="s">
        <v>42</v>
      </c>
      <c r="F38" s="169"/>
      <c r="G38" s="183"/>
      <c r="H38" s="184">
        <v>0</v>
      </c>
      <c r="I38" s="217">
        <f t="shared" si="0"/>
        <v>5751</v>
      </c>
      <c r="J38" s="184">
        <v>0</v>
      </c>
      <c r="K38" s="185"/>
      <c r="L38" s="257">
        <v>1409</v>
      </c>
      <c r="M38" s="221"/>
      <c r="N38" s="96"/>
      <c r="O38" s="59"/>
      <c r="P38" s="59"/>
      <c r="Q38" s="59"/>
      <c r="R38" s="59"/>
      <c r="S38" s="106"/>
      <c r="T38" s="59"/>
      <c r="U38" s="220"/>
      <c r="V38" s="203">
        <v>838</v>
      </c>
      <c r="W38" s="221"/>
      <c r="X38" s="96"/>
      <c r="Y38" s="59"/>
      <c r="Z38" s="59"/>
      <c r="AA38" s="59"/>
      <c r="AB38" s="59"/>
      <c r="AC38" s="44"/>
      <c r="AD38" s="59"/>
      <c r="AE38" s="220"/>
      <c r="AF38" s="227">
        <v>870</v>
      </c>
      <c r="AG38" s="221"/>
      <c r="AH38" s="96"/>
      <c r="AI38" s="59"/>
      <c r="AJ38" s="59"/>
      <c r="AK38" s="59"/>
      <c r="AL38" s="59"/>
      <c r="AM38" s="106"/>
      <c r="AN38" s="59"/>
      <c r="AO38" s="220"/>
      <c r="AP38" s="248">
        <v>825</v>
      </c>
      <c r="AQ38" s="221"/>
      <c r="AR38" s="96"/>
      <c r="AS38" s="59"/>
      <c r="AT38" s="59"/>
      <c r="AU38" s="59"/>
      <c r="AV38" s="59"/>
      <c r="AW38" s="44"/>
      <c r="AX38" s="59"/>
      <c r="AY38" s="220"/>
      <c r="AZ38" s="204">
        <v>909</v>
      </c>
      <c r="BA38" s="221"/>
      <c r="BB38" s="96"/>
      <c r="BC38" s="59"/>
      <c r="BD38" s="59"/>
      <c r="BE38" s="59"/>
      <c r="BF38" s="59"/>
      <c r="BG38" s="106"/>
      <c r="BH38" s="59"/>
      <c r="BI38" s="220"/>
      <c r="BJ38" s="247">
        <v>900</v>
      </c>
      <c r="BK38" s="221"/>
      <c r="BL38" s="96"/>
      <c r="BM38" s="59"/>
      <c r="BN38" s="59"/>
      <c r="BO38" s="59"/>
      <c r="BP38" s="59"/>
      <c r="BQ38" s="44"/>
      <c r="BR38" s="59"/>
      <c r="BS38" s="220"/>
      <c r="BT38" s="205"/>
      <c r="BU38" s="221"/>
      <c r="BV38" s="96"/>
      <c r="BW38" s="59"/>
      <c r="BX38" s="59"/>
      <c r="BY38" s="59"/>
      <c r="BZ38" s="59"/>
      <c r="CA38" s="44"/>
      <c r="CB38" s="59"/>
    </row>
    <row r="39" spans="1:80" s="42" customFormat="1" ht="26.25" hidden="1">
      <c r="A39" s="286">
        <v>10</v>
      </c>
      <c r="B39" s="485"/>
      <c r="C39" s="621">
        <v>1113194</v>
      </c>
      <c r="D39" s="622" t="s">
        <v>353</v>
      </c>
      <c r="E39" s="219" t="s">
        <v>42</v>
      </c>
      <c r="F39" s="169"/>
      <c r="G39" s="183"/>
      <c r="H39" s="184">
        <v>0</v>
      </c>
      <c r="I39" s="217">
        <f t="shared" si="0"/>
        <v>6065</v>
      </c>
      <c r="J39" s="184">
        <v>0</v>
      </c>
      <c r="K39" s="185"/>
      <c r="L39" s="257">
        <v>1442</v>
      </c>
      <c r="M39" s="221"/>
      <c r="N39" s="96"/>
      <c r="O39" s="59"/>
      <c r="P39" s="59"/>
      <c r="Q39" s="59"/>
      <c r="R39" s="105"/>
      <c r="S39" s="106"/>
      <c r="T39" s="59"/>
      <c r="U39" s="220"/>
      <c r="V39" s="226">
        <v>893</v>
      </c>
      <c r="W39" s="221"/>
      <c r="X39" s="96"/>
      <c r="Y39" s="59"/>
      <c r="Z39" s="59"/>
      <c r="AA39" s="59"/>
      <c r="AB39" s="105"/>
      <c r="AC39" s="44"/>
      <c r="AD39" s="59"/>
      <c r="AE39" s="220"/>
      <c r="AF39" s="227">
        <v>975</v>
      </c>
      <c r="AG39" s="400"/>
      <c r="AH39" s="96"/>
      <c r="AI39" s="59"/>
      <c r="AJ39" s="59"/>
      <c r="AK39" s="59"/>
      <c r="AL39" s="105"/>
      <c r="AM39" s="106"/>
      <c r="AN39" s="59"/>
      <c r="AO39" s="220"/>
      <c r="AP39" s="248">
        <v>900</v>
      </c>
      <c r="AQ39" s="221"/>
      <c r="AR39" s="96"/>
      <c r="AS39" s="59"/>
      <c r="AT39" s="59"/>
      <c r="AU39" s="59"/>
      <c r="AV39" s="105"/>
      <c r="AW39" s="44"/>
      <c r="AX39" s="59"/>
      <c r="AY39" s="220"/>
      <c r="AZ39" s="204">
        <v>955</v>
      </c>
      <c r="BA39" s="221"/>
      <c r="BB39" s="96"/>
      <c r="BC39" s="59"/>
      <c r="BD39" s="59"/>
      <c r="BE39" s="59"/>
      <c r="BF39" s="105"/>
      <c r="BG39" s="106"/>
      <c r="BH39" s="105"/>
      <c r="BI39" s="220"/>
      <c r="BJ39" s="247">
        <v>900</v>
      </c>
      <c r="BK39" s="221"/>
      <c r="BL39" s="96"/>
      <c r="BM39" s="59"/>
      <c r="BN39" s="59"/>
      <c r="BO39" s="59"/>
      <c r="BP39" s="105"/>
      <c r="BQ39" s="44"/>
      <c r="BR39" s="59"/>
      <c r="BS39" s="220"/>
      <c r="BT39" s="205"/>
      <c r="BU39" s="221"/>
      <c r="BV39" s="96"/>
      <c r="BW39" s="59"/>
      <c r="BX39" s="59"/>
      <c r="BY39" s="59"/>
      <c r="BZ39" s="105"/>
      <c r="CA39" s="44"/>
      <c r="CB39" s="59"/>
    </row>
    <row r="40" spans="1:80" s="42" customFormat="1" ht="26.25" hidden="1">
      <c r="A40" s="168">
        <v>7</v>
      </c>
      <c r="B40" s="170"/>
      <c r="C40" s="243">
        <v>20059547</v>
      </c>
      <c r="D40" s="188" t="s">
        <v>431</v>
      </c>
      <c r="E40" s="618" t="s">
        <v>69</v>
      </c>
      <c r="F40" s="182"/>
      <c r="G40" s="408"/>
      <c r="H40" s="234">
        <v>0</v>
      </c>
      <c r="I40" s="259">
        <f t="shared" ref="I40" si="1">SUM(L40,V40,AF40,AP40,AZ40,BJ40,BT40)</f>
        <v>14632</v>
      </c>
      <c r="J40" s="234">
        <v>0</v>
      </c>
      <c r="K40" s="473"/>
      <c r="L40" s="319">
        <v>2556</v>
      </c>
      <c r="M40" s="221"/>
      <c r="N40" s="96"/>
      <c r="O40" s="59"/>
      <c r="P40" s="59"/>
      <c r="Q40" s="59"/>
      <c r="R40" s="105"/>
      <c r="S40" s="106"/>
      <c r="T40" s="59"/>
      <c r="U40" s="220"/>
      <c r="V40" s="549">
        <v>2340</v>
      </c>
      <c r="W40" s="221"/>
      <c r="X40" s="96"/>
      <c r="Y40" s="59"/>
      <c r="Z40" s="59"/>
      <c r="AA40" s="59"/>
      <c r="AB40" s="105"/>
      <c r="AC40" s="44"/>
      <c r="AD40" s="59"/>
      <c r="AE40" s="220"/>
      <c r="AF40" s="550">
        <v>2340</v>
      </c>
      <c r="AG40" s="400"/>
      <c r="AH40" s="96"/>
      <c r="AI40" s="59"/>
      <c r="AJ40" s="59"/>
      <c r="AK40" s="59"/>
      <c r="AL40" s="105"/>
      <c r="AM40" s="106"/>
      <c r="AN40" s="59"/>
      <c r="AO40" s="220"/>
      <c r="AP40" s="322">
        <v>2196</v>
      </c>
      <c r="AQ40" s="221"/>
      <c r="AR40" s="96"/>
      <c r="AS40" s="59"/>
      <c r="AT40" s="59"/>
      <c r="AU40" s="59"/>
      <c r="AV40" s="105"/>
      <c r="AW40" s="44"/>
      <c r="AX40" s="59"/>
      <c r="AY40" s="220"/>
      <c r="AZ40" s="323">
        <v>2700</v>
      </c>
      <c r="BA40" s="221"/>
      <c r="BB40" s="96"/>
      <c r="BC40" s="59"/>
      <c r="BD40" s="59"/>
      <c r="BE40" s="59"/>
      <c r="BF40" s="105"/>
      <c r="BG40" s="106"/>
      <c r="BH40" s="105"/>
      <c r="BI40" s="220"/>
      <c r="BJ40" s="324">
        <v>2500</v>
      </c>
      <c r="BK40" s="221"/>
      <c r="BL40" s="96"/>
      <c r="BM40" s="59"/>
      <c r="BN40" s="59"/>
      <c r="BO40" s="59"/>
      <c r="BP40" s="105"/>
      <c r="BQ40" s="44"/>
      <c r="BR40" s="59"/>
      <c r="BS40" s="220"/>
      <c r="BT40" s="488"/>
      <c r="BU40" s="221"/>
      <c r="BV40" s="96"/>
      <c r="BW40" s="59"/>
      <c r="BX40" s="59"/>
      <c r="BY40" s="59"/>
      <c r="BZ40" s="105"/>
      <c r="CA40" s="44"/>
      <c r="CB40" s="59"/>
    </row>
    <row r="41" spans="1:80" s="42" customFormat="1" ht="29.25" hidden="1">
      <c r="A41" s="53">
        <v>1</v>
      </c>
      <c r="B41" s="68"/>
      <c r="C41" s="197">
        <v>1001001087</v>
      </c>
      <c r="D41" s="198" t="s">
        <v>376</v>
      </c>
      <c r="E41" s="199" t="s">
        <v>377</v>
      </c>
      <c r="F41" s="199"/>
      <c r="G41" s="200"/>
      <c r="H41" s="479">
        <v>0</v>
      </c>
      <c r="I41" s="63">
        <f t="shared" ref="I41:I48" si="2">SUM(L41,V41,AF41,AP41,AZ41,BJ41,BT41)</f>
        <v>0</v>
      </c>
      <c r="J41" s="146">
        <v>0</v>
      </c>
      <c r="K41" s="147"/>
      <c r="L41" s="148"/>
      <c r="M41" s="59"/>
      <c r="N41" s="96"/>
      <c r="O41" s="59"/>
      <c r="P41" s="59"/>
      <c r="Q41" s="59"/>
      <c r="R41" s="59"/>
      <c r="S41" s="44"/>
      <c r="T41" s="59"/>
      <c r="U41" s="59"/>
      <c r="V41" s="210"/>
      <c r="W41" s="59"/>
      <c r="X41" s="96"/>
      <c r="Y41" s="59"/>
      <c r="Z41" s="59"/>
      <c r="AA41" s="59"/>
      <c r="AB41" s="59"/>
      <c r="AC41" s="44"/>
      <c r="AD41" s="59"/>
      <c r="AE41" s="59"/>
      <c r="AF41" s="150"/>
      <c r="AG41" s="105"/>
      <c r="AH41" s="96"/>
      <c r="AI41" s="59"/>
      <c r="AJ41" s="59"/>
      <c r="AK41" s="59"/>
      <c r="AL41" s="59"/>
      <c r="AM41" s="44"/>
      <c r="AN41" s="59"/>
      <c r="AO41" s="59"/>
      <c r="AP41" s="151"/>
      <c r="AQ41" s="59"/>
      <c r="AR41" s="96"/>
      <c r="AS41" s="59"/>
      <c r="AT41" s="59"/>
      <c r="AU41" s="59"/>
      <c r="AV41" s="59"/>
      <c r="AW41" s="44"/>
      <c r="AX41" s="59"/>
      <c r="AY41" s="59"/>
      <c r="AZ41" s="152"/>
      <c r="BA41" s="59"/>
      <c r="BB41" s="96"/>
      <c r="BC41" s="59"/>
      <c r="BD41" s="59"/>
      <c r="BE41" s="59"/>
      <c r="BF41" s="59"/>
      <c r="BG41" s="44"/>
      <c r="BH41" s="59"/>
      <c r="BI41" s="59"/>
      <c r="BJ41" s="265"/>
      <c r="BK41" s="59"/>
      <c r="BL41" s="96"/>
      <c r="BM41" s="59"/>
      <c r="BN41" s="59"/>
      <c r="BO41" s="59"/>
      <c r="BP41" s="59"/>
      <c r="BQ41" s="44"/>
      <c r="BR41" s="59"/>
      <c r="BS41" s="59"/>
      <c r="BT41" s="154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53">
        <v>2</v>
      </c>
      <c r="B42" s="68"/>
      <c r="C42" s="197">
        <v>1001001088</v>
      </c>
      <c r="D42" s="198" t="s">
        <v>378</v>
      </c>
      <c r="E42" s="199" t="s">
        <v>377</v>
      </c>
      <c r="F42" s="199"/>
      <c r="G42" s="200"/>
      <c r="H42" s="201">
        <v>0</v>
      </c>
      <c r="I42" s="63">
        <f t="shared" si="2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1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59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165">
        <v>3</v>
      </c>
      <c r="B43" s="132"/>
      <c r="C43" s="468">
        <v>1001001089</v>
      </c>
      <c r="D43" s="469" t="s">
        <v>379</v>
      </c>
      <c r="E43" s="470" t="s">
        <v>377</v>
      </c>
      <c r="F43" s="470"/>
      <c r="G43" s="471"/>
      <c r="H43" s="472">
        <v>0</v>
      </c>
      <c r="I43" s="311">
        <f t="shared" si="2"/>
        <v>0</v>
      </c>
      <c r="J43" s="129">
        <v>0</v>
      </c>
      <c r="K43" s="117"/>
      <c r="L43" s="300"/>
      <c r="M43" s="59"/>
      <c r="N43" s="96"/>
      <c r="O43" s="59"/>
      <c r="P43" s="59"/>
      <c r="Q43" s="59"/>
      <c r="R43" s="105"/>
      <c r="S43" s="44"/>
      <c r="T43" s="59"/>
      <c r="U43" s="59"/>
      <c r="V43" s="212"/>
      <c r="W43" s="59"/>
      <c r="X43" s="96"/>
      <c r="Y43" s="59"/>
      <c r="Z43" s="59"/>
      <c r="AA43" s="59"/>
      <c r="AB43" s="105"/>
      <c r="AC43" s="44"/>
      <c r="AD43" s="59"/>
      <c r="AE43" s="59"/>
      <c r="AF43" s="301"/>
      <c r="AG43" s="105"/>
      <c r="AH43" s="96"/>
      <c r="AI43" s="59"/>
      <c r="AJ43" s="59"/>
      <c r="AK43" s="59"/>
      <c r="AL43" s="105"/>
      <c r="AM43" s="44"/>
      <c r="AN43" s="59"/>
      <c r="AO43" s="59"/>
      <c r="AP43" s="139"/>
      <c r="AQ43" s="59"/>
      <c r="AR43" s="96"/>
      <c r="AS43" s="59"/>
      <c r="AT43" s="59"/>
      <c r="AU43" s="59"/>
      <c r="AV43" s="105"/>
      <c r="AW43" s="44"/>
      <c r="AX43" s="59"/>
      <c r="AY43" s="59"/>
      <c r="AZ43" s="302"/>
      <c r="BA43" s="59"/>
      <c r="BB43" s="96"/>
      <c r="BC43" s="59"/>
      <c r="BD43" s="59"/>
      <c r="BE43" s="59"/>
      <c r="BF43" s="105"/>
      <c r="BG43" s="44"/>
      <c r="BH43" s="105"/>
      <c r="BI43" s="59"/>
      <c r="BJ43" s="216"/>
      <c r="BK43" s="59"/>
      <c r="BL43" s="96"/>
      <c r="BM43" s="59"/>
      <c r="BN43" s="59"/>
      <c r="BO43" s="59"/>
      <c r="BP43" s="105"/>
      <c r="BQ43" s="44"/>
      <c r="BR43" s="59"/>
      <c r="BS43" s="59"/>
      <c r="BT43" s="303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168">
        <v>4</v>
      </c>
      <c r="B44" s="170"/>
      <c r="C44" s="557">
        <v>1001001111</v>
      </c>
      <c r="D44" s="558" t="s">
        <v>381</v>
      </c>
      <c r="E44" s="557" t="s">
        <v>377</v>
      </c>
      <c r="F44" s="557"/>
      <c r="G44" s="559"/>
      <c r="H44" s="560">
        <v>0</v>
      </c>
      <c r="I44" s="236">
        <f t="shared" si="2"/>
        <v>0</v>
      </c>
      <c r="J44" s="184">
        <v>0</v>
      </c>
      <c r="K44" s="185"/>
      <c r="L44" s="561"/>
      <c r="M44" s="221"/>
      <c r="N44" s="96"/>
      <c r="O44" s="59"/>
      <c r="P44" s="59"/>
      <c r="Q44" s="59"/>
      <c r="R44" s="105"/>
      <c r="S44" s="106"/>
      <c r="T44" s="59"/>
      <c r="U44" s="220"/>
      <c r="V44" s="203"/>
      <c r="W44" s="221"/>
      <c r="X44" s="96"/>
      <c r="Y44" s="59"/>
      <c r="Z44" s="59"/>
      <c r="AA44" s="59"/>
      <c r="AB44" s="105"/>
      <c r="AC44" s="44"/>
      <c r="AD44" s="59"/>
      <c r="AE44" s="220"/>
      <c r="AF44" s="412"/>
      <c r="AG44" s="400"/>
      <c r="AH44" s="96"/>
      <c r="AI44" s="59"/>
      <c r="AJ44" s="59"/>
      <c r="AK44" s="59"/>
      <c r="AL44" s="105"/>
      <c r="AM44" s="44"/>
      <c r="AN44" s="59"/>
      <c r="AO44" s="220"/>
      <c r="AP44" s="413"/>
      <c r="AQ44" s="221"/>
      <c r="AR44" s="96"/>
      <c r="AS44" s="59"/>
      <c r="AT44" s="59"/>
      <c r="AU44" s="59"/>
      <c r="AV44" s="105"/>
      <c r="AW44" s="44"/>
      <c r="AX44" s="59"/>
      <c r="AY44" s="220"/>
      <c r="AZ44" s="417"/>
      <c r="BA44" s="221"/>
      <c r="BB44" s="96"/>
      <c r="BC44" s="59"/>
      <c r="BD44" s="59"/>
      <c r="BE44" s="59"/>
      <c r="BF44" s="105"/>
      <c r="BG44" s="44"/>
      <c r="BH44" s="105"/>
      <c r="BI44" s="220"/>
      <c r="BJ44" s="266"/>
      <c r="BK44" s="221"/>
      <c r="BL44" s="96"/>
      <c r="BM44" s="59"/>
      <c r="BN44" s="59"/>
      <c r="BO44" s="59"/>
      <c r="BP44" s="105"/>
      <c r="BQ44" s="44"/>
      <c r="BR44" s="59"/>
      <c r="BS44" s="220"/>
      <c r="BT44" s="218"/>
      <c r="BU44" s="221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168">
        <v>5</v>
      </c>
      <c r="B45" s="170"/>
      <c r="C45" s="557">
        <v>1001001112</v>
      </c>
      <c r="D45" s="558" t="s">
        <v>382</v>
      </c>
      <c r="E45" s="557" t="s">
        <v>377</v>
      </c>
      <c r="F45" s="557"/>
      <c r="G45" s="559"/>
      <c r="H45" s="560">
        <v>0</v>
      </c>
      <c r="I45" s="236">
        <f t="shared" si="2"/>
        <v>0</v>
      </c>
      <c r="J45" s="184">
        <v>0</v>
      </c>
      <c r="K45" s="185"/>
      <c r="L45" s="561"/>
      <c r="M45" s="221"/>
      <c r="N45" s="96"/>
      <c r="O45" s="59"/>
      <c r="P45" s="59"/>
      <c r="Q45" s="59"/>
      <c r="R45" s="59"/>
      <c r="S45" s="106"/>
      <c r="T45" s="59"/>
      <c r="U45" s="220"/>
      <c r="V45" s="203"/>
      <c r="W45" s="221"/>
      <c r="X45" s="96"/>
      <c r="Y45" s="59"/>
      <c r="Z45" s="59"/>
      <c r="AA45" s="59"/>
      <c r="AB45" s="59"/>
      <c r="AC45" s="44"/>
      <c r="AD45" s="59"/>
      <c r="AE45" s="220"/>
      <c r="AF45" s="412"/>
      <c r="AG45" s="221"/>
      <c r="AH45" s="96"/>
      <c r="AI45" s="59"/>
      <c r="AJ45" s="59"/>
      <c r="AK45" s="59"/>
      <c r="AL45" s="59"/>
      <c r="AM45" s="44"/>
      <c r="AN45" s="59"/>
      <c r="AO45" s="220"/>
      <c r="AP45" s="413"/>
      <c r="AQ45" s="221"/>
      <c r="AR45" s="96"/>
      <c r="AS45" s="59"/>
      <c r="AT45" s="59"/>
      <c r="AU45" s="59"/>
      <c r="AV45" s="59"/>
      <c r="AW45" s="44"/>
      <c r="AX45" s="59"/>
      <c r="AY45" s="220"/>
      <c r="AZ45" s="417"/>
      <c r="BA45" s="221"/>
      <c r="BB45" s="96"/>
      <c r="BC45" s="59"/>
      <c r="BD45" s="59"/>
      <c r="BE45" s="59"/>
      <c r="BF45" s="59"/>
      <c r="BG45" s="44"/>
      <c r="BH45" s="59"/>
      <c r="BI45" s="220"/>
      <c r="BJ45" s="266"/>
      <c r="BK45" s="221"/>
      <c r="BL45" s="96"/>
      <c r="BM45" s="59"/>
      <c r="BN45" s="59"/>
      <c r="BO45" s="59"/>
      <c r="BP45" s="59"/>
      <c r="BQ45" s="44"/>
      <c r="BR45" s="59"/>
      <c r="BS45" s="220"/>
      <c r="BT45" s="218"/>
      <c r="BU45" s="221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168">
        <v>6</v>
      </c>
      <c r="B46" s="170"/>
      <c r="C46" s="557">
        <v>1001001113</v>
      </c>
      <c r="D46" s="558" t="s">
        <v>383</v>
      </c>
      <c r="E46" s="557" t="s">
        <v>377</v>
      </c>
      <c r="F46" s="557"/>
      <c r="G46" s="559"/>
      <c r="H46" s="560">
        <v>0</v>
      </c>
      <c r="I46" s="236">
        <f t="shared" si="2"/>
        <v>0</v>
      </c>
      <c r="J46" s="184">
        <v>0</v>
      </c>
      <c r="K46" s="185"/>
      <c r="L46" s="416"/>
      <c r="M46" s="221"/>
      <c r="N46" s="96"/>
      <c r="O46" s="59"/>
      <c r="P46" s="59"/>
      <c r="Q46" s="59"/>
      <c r="R46" s="59"/>
      <c r="S46" s="44"/>
      <c r="T46" s="59"/>
      <c r="U46" s="220"/>
      <c r="V46" s="203"/>
      <c r="W46" s="221"/>
      <c r="X46" s="96"/>
      <c r="Y46" s="59"/>
      <c r="Z46" s="59"/>
      <c r="AA46" s="59"/>
      <c r="AB46" s="59"/>
      <c r="AC46" s="44"/>
      <c r="AD46" s="59"/>
      <c r="AE46" s="220"/>
      <c r="AF46" s="412"/>
      <c r="AG46" s="221"/>
      <c r="AH46" s="96"/>
      <c r="AI46" s="59"/>
      <c r="AJ46" s="59"/>
      <c r="AK46" s="59"/>
      <c r="AL46" s="59"/>
      <c r="AM46" s="44"/>
      <c r="AN46" s="59"/>
      <c r="AO46" s="220"/>
      <c r="AP46" s="413"/>
      <c r="AQ46" s="221"/>
      <c r="AR46" s="96"/>
      <c r="AS46" s="59"/>
      <c r="AT46" s="59"/>
      <c r="AU46" s="59"/>
      <c r="AV46" s="59"/>
      <c r="AW46" s="44"/>
      <c r="AX46" s="59"/>
      <c r="AY46" s="220"/>
      <c r="AZ46" s="417"/>
      <c r="BA46" s="221"/>
      <c r="BB46" s="96"/>
      <c r="BC46" s="59"/>
      <c r="BD46" s="59"/>
      <c r="BE46" s="59"/>
      <c r="BF46" s="59"/>
      <c r="BG46" s="44"/>
      <c r="BH46" s="59"/>
      <c r="BI46" s="220"/>
      <c r="BJ46" s="266"/>
      <c r="BK46" s="221"/>
      <c r="BL46" s="96"/>
      <c r="BM46" s="59"/>
      <c r="BN46" s="59"/>
      <c r="BO46" s="59"/>
      <c r="BP46" s="59"/>
      <c r="BQ46" s="44"/>
      <c r="BR46" s="59"/>
      <c r="BS46" s="220"/>
      <c r="BT46" s="218"/>
      <c r="BU46" s="221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286">
        <v>7</v>
      </c>
      <c r="B47" s="485"/>
      <c r="C47" s="612">
        <v>1001001114</v>
      </c>
      <c r="D47" s="613" t="s">
        <v>384</v>
      </c>
      <c r="E47" s="612" t="s">
        <v>377</v>
      </c>
      <c r="F47" s="612"/>
      <c r="G47" s="614"/>
      <c r="H47" s="615">
        <v>0</v>
      </c>
      <c r="I47" s="489">
        <f t="shared" si="2"/>
        <v>0</v>
      </c>
      <c r="J47" s="232">
        <v>0</v>
      </c>
      <c r="K47" s="258"/>
      <c r="L47" s="607"/>
      <c r="M47" s="221"/>
      <c r="N47" s="96"/>
      <c r="O47" s="59"/>
      <c r="P47" s="59"/>
      <c r="Q47" s="59"/>
      <c r="R47" s="59"/>
      <c r="S47" s="44"/>
      <c r="T47" s="59"/>
      <c r="U47" s="220"/>
      <c r="V47" s="541"/>
      <c r="W47" s="221"/>
      <c r="X47" s="96"/>
      <c r="Y47" s="59"/>
      <c r="Z47" s="59"/>
      <c r="AA47" s="59"/>
      <c r="AB47" s="59"/>
      <c r="AC47" s="44"/>
      <c r="AD47" s="59"/>
      <c r="AE47" s="220"/>
      <c r="AF47" s="431"/>
      <c r="AG47" s="221"/>
      <c r="AH47" s="96"/>
      <c r="AI47" s="59"/>
      <c r="AJ47" s="59"/>
      <c r="AK47" s="59"/>
      <c r="AL47" s="59"/>
      <c r="AM47" s="44"/>
      <c r="AN47" s="59"/>
      <c r="AO47" s="220"/>
      <c r="AP47" s="432"/>
      <c r="AQ47" s="221"/>
      <c r="AR47" s="96"/>
      <c r="AS47" s="59"/>
      <c r="AT47" s="59"/>
      <c r="AU47" s="59"/>
      <c r="AV47" s="59"/>
      <c r="AW47" s="44"/>
      <c r="AX47" s="59"/>
      <c r="AY47" s="220"/>
      <c r="AZ47" s="616"/>
      <c r="BA47" s="221"/>
      <c r="BB47" s="96"/>
      <c r="BC47" s="59"/>
      <c r="BD47" s="59"/>
      <c r="BE47" s="59"/>
      <c r="BF47" s="59"/>
      <c r="BG47" s="44"/>
      <c r="BH47" s="59"/>
      <c r="BI47" s="220"/>
      <c r="BJ47" s="542"/>
      <c r="BK47" s="221"/>
      <c r="BL47" s="96"/>
      <c r="BM47" s="59"/>
      <c r="BN47" s="59"/>
      <c r="BO47" s="59"/>
      <c r="BP47" s="59"/>
      <c r="BQ47" s="44"/>
      <c r="BR47" s="59"/>
      <c r="BS47" s="220"/>
      <c r="BT47" s="532"/>
      <c r="BU47" s="221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168">
        <v>11</v>
      </c>
      <c r="B48" s="170"/>
      <c r="C48" s="207">
        <v>1113225</v>
      </c>
      <c r="D48" s="208" t="s">
        <v>474</v>
      </c>
      <c r="E48" s="219" t="s">
        <v>42</v>
      </c>
      <c r="F48" s="169"/>
      <c r="G48" s="183"/>
      <c r="H48" s="184"/>
      <c r="I48" s="217">
        <f t="shared" si="2"/>
        <v>6258</v>
      </c>
      <c r="J48" s="184"/>
      <c r="K48" s="185"/>
      <c r="L48" s="257">
        <v>1507</v>
      </c>
      <c r="M48" s="221"/>
      <c r="N48" s="96"/>
      <c r="O48" s="59"/>
      <c r="P48" s="59"/>
      <c r="Q48" s="59"/>
      <c r="R48" s="59"/>
      <c r="S48" s="44"/>
      <c r="T48" s="59"/>
      <c r="U48" s="59"/>
      <c r="V48" s="226">
        <v>882</v>
      </c>
      <c r="W48" s="221"/>
      <c r="X48" s="96"/>
      <c r="Y48" s="59"/>
      <c r="Z48" s="59"/>
      <c r="AA48" s="59"/>
      <c r="AB48" s="59"/>
      <c r="AC48" s="44"/>
      <c r="AD48" s="59"/>
      <c r="AE48" s="59"/>
      <c r="AF48" s="227">
        <v>944</v>
      </c>
      <c r="AG48" s="221"/>
      <c r="AH48" s="96"/>
      <c r="AI48" s="59"/>
      <c r="AJ48" s="59"/>
      <c r="AK48" s="59"/>
      <c r="AL48" s="59"/>
      <c r="AM48" s="44"/>
      <c r="AN48" s="59"/>
      <c r="AO48" s="59"/>
      <c r="AP48" s="248">
        <v>914</v>
      </c>
      <c r="AQ48" s="221"/>
      <c r="AR48" s="96"/>
      <c r="AS48" s="59"/>
      <c r="AT48" s="59"/>
      <c r="AU48" s="59"/>
      <c r="AV48" s="59"/>
      <c r="AW48" s="44"/>
      <c r="AX48" s="59"/>
      <c r="AY48" s="59"/>
      <c r="AZ48" s="264">
        <v>911</v>
      </c>
      <c r="BA48" s="221"/>
      <c r="BB48" s="96"/>
      <c r="BC48" s="59"/>
      <c r="BD48" s="59"/>
      <c r="BE48" s="59"/>
      <c r="BF48" s="59"/>
      <c r="BG48" s="44"/>
      <c r="BH48" s="59"/>
      <c r="BI48" s="59"/>
      <c r="BJ48" s="247">
        <v>1100</v>
      </c>
      <c r="BK48" s="221"/>
      <c r="BL48" s="96"/>
      <c r="BM48" s="59"/>
      <c r="BN48" s="59"/>
      <c r="BO48" s="59"/>
      <c r="BP48" s="59"/>
      <c r="BQ48" s="44"/>
      <c r="BR48" s="59"/>
      <c r="BS48" s="59"/>
      <c r="BT48" s="205"/>
      <c r="BU48" s="221"/>
      <c r="BV48" s="96"/>
      <c r="BW48" s="59"/>
      <c r="BX48" s="59"/>
      <c r="BY48" s="59"/>
      <c r="BZ48" s="59"/>
      <c r="CA48" s="44"/>
      <c r="CB48" s="59"/>
    </row>
    <row r="49" spans="1:72" ht="24" hidden="1" customHeight="1">
      <c r="A49" s="407">
        <v>8</v>
      </c>
      <c r="B49" s="249"/>
      <c r="C49" s="551">
        <v>20059548</v>
      </c>
      <c r="D49" s="287" t="s">
        <v>432</v>
      </c>
      <c r="E49" s="182" t="s">
        <v>69</v>
      </c>
      <c r="F49" s="287"/>
      <c r="G49" s="287"/>
      <c r="H49" s="552"/>
      <c r="I49" s="259">
        <f t="shared" ref="I49:I51" si="3">SUM(L49,V49,AF49,AP49,AZ49,BJ49,BT49)</f>
        <v>51920</v>
      </c>
      <c r="J49" s="553"/>
      <c r="K49" s="287"/>
      <c r="L49" s="319">
        <v>9660</v>
      </c>
      <c r="V49" s="549">
        <v>8880</v>
      </c>
      <c r="AF49" s="550">
        <v>8860</v>
      </c>
      <c r="AP49" s="322">
        <v>8720</v>
      </c>
      <c r="AZ49" s="554">
        <v>7900</v>
      </c>
      <c r="BJ49" s="555">
        <v>7900</v>
      </c>
      <c r="BT49" s="488"/>
    </row>
    <row r="50" spans="1:72" ht="24" hidden="1" customHeight="1">
      <c r="A50" s="168">
        <v>9</v>
      </c>
      <c r="B50" s="249"/>
      <c r="C50" s="269">
        <v>20060019</v>
      </c>
      <c r="D50" s="188" t="s">
        <v>408</v>
      </c>
      <c r="E50" s="169" t="s">
        <v>69</v>
      </c>
      <c r="F50" s="188"/>
      <c r="G50" s="188"/>
      <c r="H50" s="184"/>
      <c r="I50" s="236">
        <f t="shared" si="3"/>
        <v>17020</v>
      </c>
      <c r="J50" s="236"/>
      <c r="K50" s="188"/>
      <c r="L50" s="237">
        <v>2880</v>
      </c>
      <c r="V50" s="226">
        <v>2160</v>
      </c>
      <c r="AF50" s="227">
        <v>2300</v>
      </c>
      <c r="AP50" s="248">
        <v>2480</v>
      </c>
      <c r="AZ50" s="204">
        <v>3600</v>
      </c>
      <c r="BJ50" s="247">
        <v>3600</v>
      </c>
      <c r="BT50" s="205"/>
    </row>
    <row r="51" spans="1:72" ht="24" hidden="1" customHeight="1">
      <c r="A51" s="168">
        <v>10</v>
      </c>
      <c r="B51" s="233"/>
      <c r="C51" s="169">
        <v>20059087</v>
      </c>
      <c r="D51" s="250" t="s">
        <v>239</v>
      </c>
      <c r="E51" s="169" t="s">
        <v>69</v>
      </c>
      <c r="F51" s="188"/>
      <c r="G51" s="188"/>
      <c r="H51" s="184"/>
      <c r="I51" s="236">
        <f t="shared" si="3"/>
        <v>20940</v>
      </c>
      <c r="J51" s="236"/>
      <c r="K51" s="188"/>
      <c r="L51" s="237">
        <v>3600</v>
      </c>
      <c r="V51" s="226">
        <v>3300</v>
      </c>
      <c r="AF51" s="227">
        <v>3260</v>
      </c>
      <c r="AP51" s="248">
        <v>2600</v>
      </c>
      <c r="AZ51" s="204">
        <v>4080</v>
      </c>
      <c r="BJ51" s="247">
        <v>4100</v>
      </c>
      <c r="BT51" s="205"/>
    </row>
    <row r="52" spans="1:72" ht="24.75" hidden="1" customHeight="1">
      <c r="A52" s="168">
        <v>11</v>
      </c>
      <c r="B52" s="233"/>
      <c r="C52" s="251">
        <v>20060974</v>
      </c>
      <c r="D52" s="250" t="s">
        <v>434</v>
      </c>
      <c r="E52" s="169" t="s">
        <v>69</v>
      </c>
      <c r="F52" s="188"/>
      <c r="G52" s="188"/>
      <c r="H52" s="184"/>
      <c r="I52" s="236">
        <f t="shared" ref="I52:I53" si="4">SUM(L52,V52,AF52,AP52,AZ52,BJ52,BT52)</f>
        <v>7504</v>
      </c>
      <c r="J52" s="236"/>
      <c r="K52" s="188"/>
      <c r="L52" s="237">
        <v>2640</v>
      </c>
      <c r="V52" s="226">
        <v>900</v>
      </c>
      <c r="AF52" s="227">
        <v>900</v>
      </c>
      <c r="AP52" s="248">
        <v>864</v>
      </c>
      <c r="AZ52" s="204">
        <v>1100</v>
      </c>
      <c r="BJ52" s="247">
        <v>1100</v>
      </c>
      <c r="BT52" s="205"/>
    </row>
    <row r="53" spans="1:72" ht="24.75" hidden="1" customHeight="1">
      <c r="A53" s="168">
        <v>12</v>
      </c>
      <c r="B53" s="233"/>
      <c r="C53" s="251">
        <v>20060976</v>
      </c>
      <c r="D53" s="250" t="s">
        <v>435</v>
      </c>
      <c r="E53" s="169" t="s">
        <v>69</v>
      </c>
      <c r="F53" s="188"/>
      <c r="G53" s="188"/>
      <c r="H53" s="184"/>
      <c r="I53" s="236">
        <f t="shared" si="4"/>
        <v>15800</v>
      </c>
      <c r="J53" s="236"/>
      <c r="K53" s="188"/>
      <c r="L53" s="237">
        <v>2640</v>
      </c>
      <c r="V53" s="226">
        <v>2400</v>
      </c>
      <c r="AF53" s="227">
        <v>2400</v>
      </c>
      <c r="AP53" s="248">
        <v>2360</v>
      </c>
      <c r="AZ53" s="204">
        <v>3000</v>
      </c>
      <c r="BJ53" s="247">
        <v>3000</v>
      </c>
      <c r="BT53" s="205"/>
    </row>
    <row r="54" spans="1:72" ht="28.5" hidden="1" customHeight="1">
      <c r="A54" s="168">
        <v>13</v>
      </c>
      <c r="B54" s="233"/>
      <c r="C54" s="251">
        <v>20060973</v>
      </c>
      <c r="D54" s="267" t="s">
        <v>436</v>
      </c>
      <c r="E54" s="169" t="s">
        <v>69</v>
      </c>
      <c r="F54" s="188"/>
      <c r="G54" s="188"/>
      <c r="H54" s="184"/>
      <c r="I54" s="236">
        <f t="shared" ref="I54:I55" si="5">SUM(L54,V54,AF54,AP54,AZ54,BJ54,BT54)</f>
        <v>6128</v>
      </c>
      <c r="J54" s="236"/>
      <c r="K54" s="188"/>
      <c r="L54" s="237">
        <v>816</v>
      </c>
      <c r="V54" s="226">
        <v>828</v>
      </c>
      <c r="AF54" s="227">
        <v>828</v>
      </c>
      <c r="AP54" s="248">
        <v>756</v>
      </c>
      <c r="AZ54" s="204">
        <v>900</v>
      </c>
      <c r="BJ54" s="247">
        <v>1000</v>
      </c>
      <c r="BT54" s="205">
        <v>1000</v>
      </c>
    </row>
    <row r="55" spans="1:72" ht="29.25" hidden="1" customHeight="1">
      <c r="A55" s="168">
        <v>14</v>
      </c>
      <c r="B55" s="170"/>
      <c r="C55" s="288">
        <v>20061982</v>
      </c>
      <c r="D55" s="289" t="s">
        <v>437</v>
      </c>
      <c r="E55" s="169" t="s">
        <v>69</v>
      </c>
      <c r="F55" s="188"/>
      <c r="G55" s="188"/>
      <c r="H55" s="184"/>
      <c r="I55" s="236">
        <f t="shared" si="5"/>
        <v>17040</v>
      </c>
      <c r="J55" s="236"/>
      <c r="K55" s="188"/>
      <c r="L55" s="237">
        <v>2960</v>
      </c>
      <c r="V55" s="226">
        <v>2720</v>
      </c>
      <c r="AF55" s="227">
        <v>2720</v>
      </c>
      <c r="AP55" s="248">
        <v>2640</v>
      </c>
      <c r="AZ55" s="204">
        <v>3200</v>
      </c>
      <c r="BJ55" s="247">
        <v>2800</v>
      </c>
      <c r="BT55" s="205"/>
    </row>
    <row r="56" spans="1:72" ht="30" hidden="1" customHeight="1">
      <c r="A56" s="168">
        <v>15</v>
      </c>
      <c r="B56" s="170"/>
      <c r="C56" s="251">
        <v>20062915</v>
      </c>
      <c r="D56" s="290" t="s">
        <v>438</v>
      </c>
      <c r="E56" s="169" t="s">
        <v>69</v>
      </c>
      <c r="F56" s="384"/>
      <c r="G56" s="384"/>
      <c r="H56" s="184"/>
      <c r="I56" s="236">
        <f t="shared" ref="I56:I61" si="6">SUM(L56,V56,AF56,AP56,AZ56,BJ56,BT56)</f>
        <v>10880</v>
      </c>
      <c r="J56" s="236"/>
      <c r="K56" s="384"/>
      <c r="L56" s="237">
        <v>2040</v>
      </c>
      <c r="V56" s="226">
        <v>1760</v>
      </c>
      <c r="AF56" s="227">
        <v>1800</v>
      </c>
      <c r="AP56" s="248">
        <v>1280</v>
      </c>
      <c r="AZ56" s="282">
        <v>2000</v>
      </c>
      <c r="BJ56" s="247">
        <v>2000</v>
      </c>
      <c r="BT56" s="205"/>
    </row>
    <row r="57" spans="1:72" ht="30" hidden="1" customHeight="1">
      <c r="A57" s="168">
        <v>16</v>
      </c>
      <c r="B57" s="170"/>
      <c r="C57" s="251">
        <v>20063266</v>
      </c>
      <c r="D57" s="290" t="s">
        <v>455</v>
      </c>
      <c r="E57" s="169" t="s">
        <v>69</v>
      </c>
      <c r="F57" s="384"/>
      <c r="G57" s="384"/>
      <c r="H57" s="184"/>
      <c r="I57" s="236">
        <f t="shared" si="6"/>
        <v>13120</v>
      </c>
      <c r="J57" s="236"/>
      <c r="K57" s="384"/>
      <c r="L57" s="237">
        <v>2080</v>
      </c>
      <c r="V57" s="226">
        <v>1960</v>
      </c>
      <c r="AF57" s="227">
        <v>1960</v>
      </c>
      <c r="AP57" s="248">
        <v>2320</v>
      </c>
      <c r="AZ57" s="282">
        <v>2600</v>
      </c>
      <c r="BJ57" s="247">
        <v>2200</v>
      </c>
      <c r="BT57" s="205"/>
    </row>
    <row r="58" spans="1:72" ht="30" hidden="1" customHeight="1">
      <c r="A58" s="168">
        <v>17</v>
      </c>
      <c r="B58" s="170"/>
      <c r="C58" s="251">
        <v>20062916</v>
      </c>
      <c r="D58" s="290" t="s">
        <v>456</v>
      </c>
      <c r="E58" s="169" t="s">
        <v>69</v>
      </c>
      <c r="F58" s="384"/>
      <c r="G58" s="384"/>
      <c r="H58" s="184"/>
      <c r="I58" s="236">
        <f t="shared" si="6"/>
        <v>7524</v>
      </c>
      <c r="J58" s="236"/>
      <c r="K58" s="384"/>
      <c r="L58" s="237">
        <v>1800</v>
      </c>
      <c r="V58" s="226">
        <v>396</v>
      </c>
      <c r="AF58" s="227">
        <v>468</v>
      </c>
      <c r="AP58" s="248">
        <v>1260</v>
      </c>
      <c r="AZ58" s="282">
        <v>1800</v>
      </c>
      <c r="BJ58" s="247">
        <v>1800</v>
      </c>
      <c r="BT58" s="205"/>
    </row>
    <row r="59" spans="1:72" ht="30" hidden="1" customHeight="1">
      <c r="A59" s="168">
        <v>18</v>
      </c>
      <c r="B59" s="170"/>
      <c r="C59" s="251">
        <v>20063380</v>
      </c>
      <c r="D59" s="290" t="s">
        <v>414</v>
      </c>
      <c r="E59" s="169" t="s">
        <v>69</v>
      </c>
      <c r="F59" s="384"/>
      <c r="G59" s="384"/>
      <c r="H59" s="184"/>
      <c r="I59" s="236">
        <f t="shared" si="6"/>
        <v>9640</v>
      </c>
      <c r="J59" s="236"/>
      <c r="K59" s="384"/>
      <c r="L59" s="237">
        <v>1680</v>
      </c>
      <c r="V59" s="226">
        <v>1620</v>
      </c>
      <c r="AF59" s="227">
        <v>1580</v>
      </c>
      <c r="AP59" s="248">
        <v>1160</v>
      </c>
      <c r="AZ59" s="282">
        <v>1800</v>
      </c>
      <c r="BJ59" s="247">
        <v>1800</v>
      </c>
      <c r="BT59" s="205"/>
    </row>
    <row r="60" spans="1:72" ht="30" hidden="1" customHeight="1">
      <c r="A60" s="168">
        <v>19</v>
      </c>
      <c r="B60" s="170"/>
      <c r="C60" s="251">
        <v>20063468</v>
      </c>
      <c r="D60" s="290" t="s">
        <v>417</v>
      </c>
      <c r="E60" s="169" t="s">
        <v>69</v>
      </c>
      <c r="F60" s="188"/>
      <c r="G60" s="188"/>
      <c r="H60" s="184"/>
      <c r="I60" s="236">
        <f t="shared" si="6"/>
        <v>12220</v>
      </c>
      <c r="J60" s="236"/>
      <c r="K60" s="384"/>
      <c r="L60" s="237">
        <v>2000</v>
      </c>
      <c r="V60" s="226">
        <v>1720</v>
      </c>
      <c r="AF60" s="227">
        <v>1840</v>
      </c>
      <c r="AP60" s="248">
        <v>1760</v>
      </c>
      <c r="AZ60" s="282">
        <v>2500</v>
      </c>
      <c r="BJ60" s="247">
        <v>2400</v>
      </c>
      <c r="BT60" s="205"/>
    </row>
    <row r="61" spans="1:72" ht="28.5" hidden="1" customHeight="1">
      <c r="A61" s="168">
        <v>20</v>
      </c>
      <c r="B61" s="170"/>
      <c r="C61" s="292">
        <v>20063720</v>
      </c>
      <c r="D61" s="293" t="s">
        <v>440</v>
      </c>
      <c r="E61" s="169" t="s">
        <v>69</v>
      </c>
      <c r="F61" s="188"/>
      <c r="G61" s="188"/>
      <c r="H61" s="184"/>
      <c r="I61" s="236">
        <f t="shared" si="6"/>
        <v>7160</v>
      </c>
      <c r="J61" s="236"/>
      <c r="K61" s="384"/>
      <c r="L61" s="237">
        <v>960</v>
      </c>
      <c r="V61" s="226">
        <v>840</v>
      </c>
      <c r="AF61" s="227">
        <v>840</v>
      </c>
      <c r="AP61" s="248">
        <v>920</v>
      </c>
      <c r="AZ61" s="282">
        <v>1200</v>
      </c>
      <c r="BJ61" s="247">
        <v>1200</v>
      </c>
      <c r="BT61" s="205">
        <v>1200</v>
      </c>
    </row>
    <row r="62" spans="1:72" ht="28.5" hidden="1" customHeight="1">
      <c r="A62" s="168">
        <v>21</v>
      </c>
      <c r="B62" s="170"/>
      <c r="C62" s="292">
        <v>20063783</v>
      </c>
      <c r="D62" s="293" t="s">
        <v>481</v>
      </c>
      <c r="E62" s="169" t="s">
        <v>69</v>
      </c>
      <c r="F62" s="188"/>
      <c r="G62" s="188"/>
      <c r="H62" s="184"/>
      <c r="I62" s="236">
        <f t="shared" ref="I62" si="7">SUM(L62,V62,AF62,AP62,AZ62,BJ62,BT62)</f>
        <v>4280</v>
      </c>
      <c r="J62" s="236"/>
      <c r="K62" s="384"/>
      <c r="L62" s="237">
        <v>520</v>
      </c>
      <c r="V62" s="226">
        <v>440</v>
      </c>
      <c r="AF62" s="227">
        <v>440</v>
      </c>
      <c r="AP62" s="248">
        <v>480</v>
      </c>
      <c r="AZ62" s="282">
        <v>800</v>
      </c>
      <c r="BJ62" s="247">
        <v>800</v>
      </c>
      <c r="BT62" s="205">
        <v>800</v>
      </c>
    </row>
    <row r="63" spans="1:72" ht="28.5" hidden="1" customHeight="1">
      <c r="A63" s="168">
        <v>22</v>
      </c>
      <c r="B63" s="170"/>
      <c r="C63" s="292">
        <v>20063930</v>
      </c>
      <c r="D63" s="305" t="s">
        <v>454</v>
      </c>
      <c r="E63" s="169" t="s">
        <v>69</v>
      </c>
      <c r="F63" s="188"/>
      <c r="G63" s="188"/>
      <c r="H63" s="184"/>
      <c r="I63" s="236">
        <f t="shared" ref="I63:I66" si="8">SUM(L63,V63,AF63,AP63,AZ63,BJ63,BT63)</f>
        <v>8736</v>
      </c>
      <c r="J63" s="236"/>
      <c r="K63" s="384"/>
      <c r="L63" s="237">
        <v>1176</v>
      </c>
      <c r="V63" s="226">
        <v>1232</v>
      </c>
      <c r="AF63" s="227">
        <v>1176</v>
      </c>
      <c r="AP63" s="248">
        <v>952</v>
      </c>
      <c r="AZ63" s="282">
        <v>1600</v>
      </c>
      <c r="BJ63" s="247">
        <v>1300</v>
      </c>
      <c r="BT63" s="205">
        <v>1300</v>
      </c>
    </row>
    <row r="64" spans="1:72" ht="28.5" hidden="1" customHeight="1">
      <c r="A64" s="168">
        <v>23</v>
      </c>
      <c r="B64" s="170"/>
      <c r="C64" s="292">
        <v>20063929</v>
      </c>
      <c r="D64" s="305" t="s">
        <v>482</v>
      </c>
      <c r="E64" s="169" t="s">
        <v>69</v>
      </c>
      <c r="F64" s="188"/>
      <c r="G64" s="188"/>
      <c r="H64" s="184"/>
      <c r="I64" s="236">
        <f t="shared" si="8"/>
        <v>6192</v>
      </c>
      <c r="J64" s="236"/>
      <c r="K64" s="384"/>
      <c r="L64" s="237">
        <v>784</v>
      </c>
      <c r="V64" s="226">
        <v>952</v>
      </c>
      <c r="AF64" s="227">
        <v>896</v>
      </c>
      <c r="AP64" s="248">
        <v>560</v>
      </c>
      <c r="AZ64" s="282">
        <v>1000</v>
      </c>
      <c r="BJ64" s="247">
        <v>1000</v>
      </c>
      <c r="BT64" s="205">
        <v>1000</v>
      </c>
    </row>
    <row r="65" spans="1:72" ht="28.5" hidden="1" customHeight="1">
      <c r="A65" s="168">
        <v>24</v>
      </c>
      <c r="B65" s="170"/>
      <c r="C65" s="292">
        <v>20064190</v>
      </c>
      <c r="D65" s="318" t="s">
        <v>469</v>
      </c>
      <c r="E65" s="169" t="s">
        <v>69</v>
      </c>
      <c r="F65" s="188"/>
      <c r="G65" s="188"/>
      <c r="H65" s="184"/>
      <c r="I65" s="236">
        <f t="shared" si="8"/>
        <v>3560</v>
      </c>
      <c r="J65" s="236"/>
      <c r="K65" s="384"/>
      <c r="L65" s="237">
        <v>480</v>
      </c>
      <c r="V65" s="226">
        <v>520</v>
      </c>
      <c r="AF65" s="227">
        <v>440</v>
      </c>
      <c r="AP65" s="248">
        <v>420</v>
      </c>
      <c r="AZ65" s="282">
        <v>700</v>
      </c>
      <c r="BJ65" s="247">
        <v>500</v>
      </c>
      <c r="BT65" s="205">
        <v>500</v>
      </c>
    </row>
    <row r="66" spans="1:72" ht="28.5" hidden="1" customHeight="1">
      <c r="A66" s="168">
        <v>25</v>
      </c>
      <c r="B66" s="170"/>
      <c r="C66" s="292">
        <v>20064191</v>
      </c>
      <c r="D66" s="318" t="s">
        <v>473</v>
      </c>
      <c r="E66" s="169" t="s">
        <v>69</v>
      </c>
      <c r="F66" s="188"/>
      <c r="G66" s="188"/>
      <c r="H66" s="184"/>
      <c r="I66" s="236">
        <f t="shared" si="8"/>
        <v>26066</v>
      </c>
      <c r="J66" s="236"/>
      <c r="K66" s="384"/>
      <c r="L66" s="237">
        <v>4698</v>
      </c>
      <c r="V66" s="226">
        <v>5004</v>
      </c>
      <c r="AF66" s="227">
        <v>4968</v>
      </c>
      <c r="AP66" s="248">
        <v>4896</v>
      </c>
      <c r="AZ66" s="282">
        <v>3500</v>
      </c>
      <c r="BJ66" s="247">
        <v>3000</v>
      </c>
      <c r="BT66" s="205"/>
    </row>
    <row r="67" spans="1:72" ht="28.5" hidden="1" customHeight="1">
      <c r="A67" s="168">
        <v>26</v>
      </c>
      <c r="B67" s="170"/>
      <c r="C67" s="80">
        <v>20064271</v>
      </c>
      <c r="D67" s="327" t="s">
        <v>471</v>
      </c>
      <c r="E67" s="169" t="s">
        <v>69</v>
      </c>
      <c r="F67" s="188"/>
      <c r="G67" s="188"/>
      <c r="H67" s="184"/>
      <c r="I67" s="236">
        <f t="shared" ref="I67:I76" si="9">SUM(L67,V67,AF67,AP67,AZ67,BJ67,BT67)</f>
        <v>31040</v>
      </c>
      <c r="J67" s="236"/>
      <c r="K67" s="384"/>
      <c r="L67" s="237">
        <v>5580</v>
      </c>
      <c r="V67" s="226">
        <v>5490</v>
      </c>
      <c r="AF67" s="227">
        <v>5526</v>
      </c>
      <c r="AP67" s="248">
        <v>5544</v>
      </c>
      <c r="AZ67" s="282">
        <v>4000</v>
      </c>
      <c r="BJ67" s="247">
        <v>4900</v>
      </c>
      <c r="BT67" s="205"/>
    </row>
    <row r="68" spans="1:72" ht="28.5" hidden="1" customHeight="1">
      <c r="A68" s="168">
        <v>27</v>
      </c>
      <c r="B68" s="170"/>
      <c r="C68" s="326">
        <v>20064365</v>
      </c>
      <c r="D68" s="327" t="s">
        <v>444</v>
      </c>
      <c r="E68" s="169" t="s">
        <v>69</v>
      </c>
      <c r="F68" s="188"/>
      <c r="G68" s="188"/>
      <c r="H68" s="184"/>
      <c r="I68" s="236">
        <f t="shared" si="9"/>
        <v>9456</v>
      </c>
      <c r="J68" s="236"/>
      <c r="K68" s="384"/>
      <c r="L68" s="237">
        <v>1620</v>
      </c>
      <c r="V68" s="226">
        <v>1152</v>
      </c>
      <c r="AF68" s="227">
        <v>1152</v>
      </c>
      <c r="AP68" s="248">
        <v>1332</v>
      </c>
      <c r="AZ68" s="282">
        <v>1400</v>
      </c>
      <c r="BJ68" s="247">
        <v>1400</v>
      </c>
      <c r="BT68" s="205">
        <v>1400</v>
      </c>
    </row>
    <row r="69" spans="1:72" ht="28.5" hidden="1" customHeight="1">
      <c r="A69" s="286">
        <v>28</v>
      </c>
      <c r="B69" s="485"/>
      <c r="C69" s="513">
        <v>20064366</v>
      </c>
      <c r="D69" s="514" t="s">
        <v>445</v>
      </c>
      <c r="E69" s="230" t="s">
        <v>69</v>
      </c>
      <c r="F69" s="515"/>
      <c r="G69" s="515"/>
      <c r="H69" s="232"/>
      <c r="I69" s="489">
        <f t="shared" si="9"/>
        <v>552</v>
      </c>
      <c r="J69" s="489"/>
      <c r="K69" s="518"/>
      <c r="L69" s="490">
        <v>0</v>
      </c>
      <c r="V69" s="509">
        <v>0</v>
      </c>
      <c r="AF69" s="510">
        <v>0</v>
      </c>
      <c r="AP69" s="511">
        <v>552</v>
      </c>
      <c r="AZ69" s="519">
        <v>0</v>
      </c>
      <c r="BJ69" s="516">
        <v>0</v>
      </c>
      <c r="BT69" s="491">
        <v>0</v>
      </c>
    </row>
    <row r="70" spans="1:72" ht="28.5" hidden="1" customHeight="1">
      <c r="A70" s="334">
        <v>29</v>
      </c>
      <c r="B70" s="170"/>
      <c r="C70" s="517"/>
      <c r="D70" s="352" t="s">
        <v>466</v>
      </c>
      <c r="E70" s="359" t="s">
        <v>69</v>
      </c>
      <c r="F70" s="352"/>
      <c r="G70" s="352"/>
      <c r="H70" s="360"/>
      <c r="I70" s="489">
        <f t="shared" si="9"/>
        <v>0</v>
      </c>
      <c r="J70" s="236"/>
      <c r="K70" s="384"/>
      <c r="L70" s="237"/>
      <c r="V70" s="226"/>
      <c r="AF70" s="227"/>
      <c r="AP70" s="248"/>
      <c r="AZ70" s="282"/>
      <c r="BJ70" s="247"/>
      <c r="BT70" s="205"/>
    </row>
    <row r="71" spans="1:72" ht="28.5" hidden="1" customHeight="1">
      <c r="A71" s="334">
        <v>30</v>
      </c>
      <c r="B71" s="170"/>
      <c r="C71" s="517"/>
      <c r="D71" s="352" t="s">
        <v>467</v>
      </c>
      <c r="E71" s="359" t="s">
        <v>69</v>
      </c>
      <c r="F71" s="352"/>
      <c r="G71" s="352"/>
      <c r="H71" s="360"/>
      <c r="I71" s="489">
        <f t="shared" si="9"/>
        <v>0</v>
      </c>
      <c r="J71" s="236"/>
      <c r="K71" s="384"/>
      <c r="L71" s="237"/>
      <c r="V71" s="226"/>
      <c r="AF71" s="227"/>
      <c r="AP71" s="248"/>
      <c r="AZ71" s="282"/>
      <c r="BJ71" s="247"/>
      <c r="BT71" s="205"/>
    </row>
    <row r="72" spans="1:72" ht="28.5" hidden="1" customHeight="1">
      <c r="A72" s="521">
        <v>31</v>
      </c>
      <c r="B72" s="485"/>
      <c r="C72" s="548"/>
      <c r="D72" s="494" t="s">
        <v>468</v>
      </c>
      <c r="E72" s="493" t="s">
        <v>69</v>
      </c>
      <c r="F72" s="494"/>
      <c r="G72" s="494"/>
      <c r="H72" s="495"/>
      <c r="I72" s="489">
        <f t="shared" si="9"/>
        <v>0</v>
      </c>
      <c r="J72" s="489"/>
      <c r="K72" s="518"/>
      <c r="L72" s="490"/>
      <c r="V72" s="509"/>
      <c r="AF72" s="510"/>
      <c r="AP72" s="511"/>
      <c r="AZ72" s="519"/>
      <c r="BJ72" s="516"/>
      <c r="BT72" s="491"/>
    </row>
    <row r="73" spans="1:72" ht="28.5" hidden="1" customHeight="1">
      <c r="A73" s="334">
        <v>12</v>
      </c>
      <c r="B73" s="170"/>
      <c r="C73" s="504">
        <v>1113237</v>
      </c>
      <c r="D73" s="352" t="s">
        <v>477</v>
      </c>
      <c r="E73" s="219" t="s">
        <v>42</v>
      </c>
      <c r="F73" s="169"/>
      <c r="G73" s="183"/>
      <c r="H73" s="184"/>
      <c r="I73" s="217">
        <f t="shared" si="9"/>
        <v>0</v>
      </c>
      <c r="J73" s="236"/>
      <c r="K73" s="384"/>
      <c r="L73" s="237"/>
      <c r="V73" s="226"/>
      <c r="AF73" s="227"/>
      <c r="AP73" s="248"/>
      <c r="AZ73" s="282"/>
      <c r="BJ73" s="247"/>
      <c r="BT73" s="205"/>
    </row>
    <row r="74" spans="1:72" ht="24.75" hidden="1" customHeight="1">
      <c r="A74" s="334">
        <v>13</v>
      </c>
      <c r="B74" s="170"/>
      <c r="C74" s="504">
        <v>1113238</v>
      </c>
      <c r="D74" s="352" t="s">
        <v>478</v>
      </c>
      <c r="E74" s="219" t="s">
        <v>42</v>
      </c>
      <c r="F74" s="169"/>
      <c r="G74" s="183"/>
      <c r="H74" s="184"/>
      <c r="I74" s="217">
        <f t="shared" si="9"/>
        <v>0</v>
      </c>
      <c r="J74" s="236"/>
      <c r="K74" s="384"/>
      <c r="L74" s="237"/>
      <c r="V74" s="226"/>
      <c r="AF74" s="227"/>
      <c r="AP74" s="248"/>
      <c r="AZ74" s="282"/>
      <c r="BJ74" s="247"/>
      <c r="BT74" s="205"/>
    </row>
    <row r="75" spans="1:72" ht="29.25" hidden="1" customHeight="1">
      <c r="A75" s="334">
        <v>2</v>
      </c>
      <c r="B75" s="170"/>
      <c r="C75" s="169">
        <v>1112048</v>
      </c>
      <c r="D75" s="267" t="s">
        <v>479</v>
      </c>
      <c r="E75" s="169" t="s">
        <v>203</v>
      </c>
      <c r="F75" s="169"/>
      <c r="G75" s="183"/>
      <c r="H75" s="184"/>
      <c r="I75" s="217">
        <f t="shared" si="9"/>
        <v>1361</v>
      </c>
      <c r="J75" s="236"/>
      <c r="K75" s="384"/>
      <c r="L75" s="237"/>
      <c r="M75" s="186"/>
      <c r="N75" s="186"/>
      <c r="O75" s="186"/>
      <c r="P75" s="186"/>
      <c r="Q75" s="186"/>
      <c r="R75" s="186"/>
      <c r="S75" s="186"/>
      <c r="T75" s="186"/>
      <c r="U75" s="562"/>
      <c r="V75" s="226"/>
      <c r="W75" s="186"/>
      <c r="X75" s="186"/>
      <c r="Y75" s="186"/>
      <c r="Z75" s="186"/>
      <c r="AA75" s="186"/>
      <c r="AB75" s="186"/>
      <c r="AC75" s="186"/>
      <c r="AD75" s="186"/>
      <c r="AE75" s="562"/>
      <c r="AF75" s="227">
        <f>260+601</f>
        <v>861</v>
      </c>
      <c r="AG75" s="186"/>
      <c r="AH75" s="186"/>
      <c r="AI75" s="186"/>
      <c r="AJ75" s="186"/>
      <c r="AK75" s="186"/>
      <c r="AL75" s="186"/>
      <c r="AM75" s="186"/>
      <c r="AN75" s="186"/>
      <c r="AO75" s="562"/>
      <c r="AP75" s="248"/>
      <c r="AQ75" s="186"/>
      <c r="AR75" s="186"/>
      <c r="AS75" s="186"/>
      <c r="AT75" s="186"/>
      <c r="AU75" s="186"/>
      <c r="AV75" s="186"/>
      <c r="AW75" s="186"/>
      <c r="AX75" s="186"/>
      <c r="AY75" s="562"/>
      <c r="AZ75" s="282">
        <v>500</v>
      </c>
      <c r="BA75" s="186"/>
      <c r="BB75" s="186"/>
      <c r="BC75" s="186"/>
      <c r="BD75" s="186"/>
      <c r="BE75" s="186"/>
      <c r="BF75" s="186"/>
      <c r="BG75" s="186"/>
      <c r="BH75" s="186"/>
      <c r="BI75" s="562"/>
      <c r="BJ75" s="247"/>
      <c r="BK75" s="186"/>
      <c r="BL75" s="186"/>
      <c r="BM75" s="186"/>
      <c r="BN75" s="186"/>
      <c r="BO75" s="186"/>
      <c r="BP75" s="186"/>
      <c r="BQ75" s="186"/>
      <c r="BR75" s="186"/>
      <c r="BS75" s="562"/>
      <c r="BT75" s="205"/>
    </row>
    <row r="76" spans="1:72" ht="30" hidden="1" customHeight="1">
      <c r="A76" s="334">
        <v>3</v>
      </c>
      <c r="B76" s="170"/>
      <c r="C76" s="169">
        <v>1112049</v>
      </c>
      <c r="D76" s="290" t="s">
        <v>480</v>
      </c>
      <c r="E76" s="169" t="s">
        <v>203</v>
      </c>
      <c r="F76" s="169"/>
      <c r="G76" s="183"/>
      <c r="H76" s="184"/>
      <c r="I76" s="217">
        <f t="shared" si="9"/>
        <v>1182</v>
      </c>
      <c r="J76" s="236"/>
      <c r="K76" s="384"/>
      <c r="L76" s="237"/>
      <c r="M76" s="186"/>
      <c r="N76" s="186"/>
      <c r="O76" s="186"/>
      <c r="P76" s="186"/>
      <c r="Q76" s="186"/>
      <c r="R76" s="186"/>
      <c r="S76" s="186"/>
      <c r="T76" s="186"/>
      <c r="U76" s="562"/>
      <c r="V76" s="226"/>
      <c r="W76" s="186"/>
      <c r="X76" s="186"/>
      <c r="Y76" s="186"/>
      <c r="Z76" s="186"/>
      <c r="AA76" s="186"/>
      <c r="AB76" s="186"/>
      <c r="AC76" s="186"/>
      <c r="AD76" s="186"/>
      <c r="AE76" s="562"/>
      <c r="AF76" s="227">
        <f>160+682</f>
        <v>842</v>
      </c>
      <c r="AG76" s="186"/>
      <c r="AH76" s="186"/>
      <c r="AI76" s="186"/>
      <c r="AJ76" s="186"/>
      <c r="AK76" s="186"/>
      <c r="AL76" s="186"/>
      <c r="AM76" s="186"/>
      <c r="AN76" s="186"/>
      <c r="AO76" s="562"/>
      <c r="AP76" s="248"/>
      <c r="AQ76" s="186"/>
      <c r="AR76" s="186"/>
      <c r="AS76" s="186"/>
      <c r="AT76" s="186"/>
      <c r="AU76" s="186"/>
      <c r="AV76" s="186"/>
      <c r="AW76" s="186"/>
      <c r="AX76" s="186"/>
      <c r="AY76" s="562"/>
      <c r="AZ76" s="282">
        <v>340</v>
      </c>
      <c r="BA76" s="186"/>
      <c r="BB76" s="186"/>
      <c r="BC76" s="186"/>
      <c r="BD76" s="186"/>
      <c r="BE76" s="186"/>
      <c r="BF76" s="186"/>
      <c r="BG76" s="186"/>
      <c r="BH76" s="186"/>
      <c r="BI76" s="562"/>
      <c r="BJ76" s="247"/>
      <c r="BK76" s="186"/>
      <c r="BL76" s="186"/>
      <c r="BM76" s="186"/>
      <c r="BN76" s="186"/>
      <c r="BO76" s="186"/>
      <c r="BP76" s="186"/>
      <c r="BQ76" s="186"/>
      <c r="BR76" s="186"/>
      <c r="BS76" s="562"/>
      <c r="BT76" s="205"/>
    </row>
    <row r="77" spans="1:72" ht="15.75" customHeight="1">
      <c r="L77" s="385"/>
      <c r="V77" s="385"/>
      <c r="AF77" s="385"/>
      <c r="AP77" s="385"/>
      <c r="BJ77" s="385"/>
    </row>
  </sheetData>
  <autoFilter ref="E1:E76" xr:uid="{00000000-0009-0000-0000-000005000000}">
    <filterColumn colId="0">
      <filters>
        <filter val="Makro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455" customFormat="1" ht="15.75" customHeight="1">
      <c r="A1" s="673" t="s">
        <v>14</v>
      </c>
      <c r="B1" s="677"/>
      <c r="C1" s="677"/>
      <c r="D1" s="677"/>
      <c r="E1" s="677"/>
      <c r="F1" s="674"/>
      <c r="G1" s="456"/>
      <c r="H1" s="673" t="s">
        <v>15</v>
      </c>
      <c r="I1" s="674"/>
      <c r="J1" s="674"/>
      <c r="K1" s="674"/>
      <c r="L1" s="674"/>
      <c r="M1" s="674"/>
      <c r="N1" s="456"/>
      <c r="O1" s="673" t="s">
        <v>16</v>
      </c>
      <c r="P1" s="674"/>
      <c r="Q1" s="674"/>
      <c r="R1" s="674"/>
      <c r="S1" s="674"/>
      <c r="T1" s="674"/>
      <c r="U1" s="456"/>
      <c r="V1" s="673" t="s">
        <v>17</v>
      </c>
      <c r="W1" s="674"/>
      <c r="X1" s="674"/>
      <c r="Y1" s="674"/>
      <c r="Z1" s="674"/>
      <c r="AA1" s="674"/>
      <c r="AB1" s="456"/>
      <c r="AC1" s="673" t="s">
        <v>385</v>
      </c>
      <c r="AD1" s="674"/>
      <c r="AE1" s="674"/>
      <c r="AF1" s="674"/>
      <c r="AG1" s="674"/>
      <c r="AH1" s="674"/>
      <c r="AI1" s="456"/>
      <c r="AJ1" s="673" t="s">
        <v>19</v>
      </c>
      <c r="AK1" s="674"/>
      <c r="AL1" s="674"/>
      <c r="AM1" s="674"/>
      <c r="AN1" s="674"/>
      <c r="AO1" s="674"/>
      <c r="AP1" s="456"/>
      <c r="AQ1" s="673" t="s">
        <v>386</v>
      </c>
      <c r="AR1" s="674"/>
      <c r="AS1" s="674"/>
      <c r="AT1" s="674"/>
      <c r="AU1" s="674"/>
      <c r="AV1" s="674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75"/>
      <c r="P69" s="676"/>
      <c r="Q69" s="7"/>
      <c r="R69" s="6"/>
      <c r="S69" s="7"/>
      <c r="T69" s="6"/>
      <c r="U69" s="8"/>
      <c r="V69" s="8"/>
      <c r="W69" s="1"/>
      <c r="X69" s="1"/>
      <c r="Y69" s="675"/>
      <c r="Z69" s="676"/>
      <c r="AA69" s="7"/>
      <c r="AB69" s="6"/>
      <c r="AC69" s="7"/>
      <c r="AD69" s="6"/>
      <c r="AE69" s="8"/>
      <c r="AF69" s="8"/>
      <c r="AG69" s="1"/>
      <c r="AH69" s="1"/>
      <c r="AI69" s="675"/>
      <c r="AJ69" s="676"/>
      <c r="AK69" s="7"/>
      <c r="AL69" s="6"/>
      <c r="AM69" s="7"/>
      <c r="AN69" s="6"/>
      <c r="AO69" s="8"/>
      <c r="AP69" s="8"/>
      <c r="AQ69" s="1"/>
      <c r="AR69" s="1"/>
      <c r="AS69" s="675"/>
      <c r="AT69" s="676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75"/>
      <c r="P70" s="676"/>
      <c r="Q70" s="7"/>
      <c r="R70" s="6"/>
      <c r="S70" s="7"/>
      <c r="T70" s="6"/>
      <c r="U70" s="8"/>
      <c r="V70" s="8"/>
      <c r="W70" s="1"/>
      <c r="X70" s="1"/>
      <c r="Y70" s="675"/>
      <c r="Z70" s="676"/>
      <c r="AA70" s="7"/>
      <c r="AB70" s="6"/>
      <c r="AC70" s="7"/>
      <c r="AD70" s="6"/>
      <c r="AE70" s="8"/>
      <c r="AF70" s="8"/>
      <c r="AG70" s="1"/>
      <c r="AH70" s="1"/>
      <c r="AI70" s="675"/>
      <c r="AJ70" s="676"/>
      <c r="AK70" s="7"/>
      <c r="AL70" s="6"/>
      <c r="AM70" s="7"/>
      <c r="AN70" s="6"/>
      <c r="AO70" s="8"/>
      <c r="AP70" s="8"/>
      <c r="AQ70" s="1"/>
      <c r="AR70" s="1"/>
      <c r="AS70" s="675"/>
      <c r="AT70" s="676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675"/>
      <c r="P71" s="676"/>
      <c r="Q71" s="7"/>
      <c r="R71" s="6"/>
      <c r="S71" s="7"/>
      <c r="T71" s="6"/>
      <c r="U71" s="8"/>
      <c r="V71" s="8"/>
      <c r="W71" s="1"/>
      <c r="X71" s="1"/>
      <c r="Y71" s="675"/>
      <c r="Z71" s="676"/>
      <c r="AA71" s="7"/>
      <c r="AB71" s="6"/>
      <c r="AC71" s="7"/>
      <c r="AD71" s="6"/>
      <c r="AE71" s="8"/>
      <c r="AF71" s="8"/>
      <c r="AG71" s="1"/>
      <c r="AH71" s="1"/>
      <c r="AI71" s="675"/>
      <c r="AJ71" s="676"/>
      <c r="AK71" s="7"/>
      <c r="AL71" s="6"/>
      <c r="AM71" s="7"/>
      <c r="AN71" s="6"/>
      <c r="AO71" s="8"/>
      <c r="AP71" s="8"/>
      <c r="AQ71" s="1"/>
      <c r="AR71" s="1"/>
      <c r="AS71" s="675"/>
      <c r="AT71" s="676"/>
      <c r="AU71" s="7"/>
      <c r="AV71" s="6"/>
    </row>
  </sheetData>
  <mergeCells count="19">
    <mergeCell ref="O71:P71"/>
    <mergeCell ref="Y71:Z71"/>
    <mergeCell ref="AS71:AT71"/>
    <mergeCell ref="AI70:AJ70"/>
    <mergeCell ref="AI71:AJ71"/>
    <mergeCell ref="O70:P70"/>
    <mergeCell ref="Y70:Z70"/>
    <mergeCell ref="AS70:AT70"/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76"/>
  <sheetViews>
    <sheetView zoomScaleNormal="100" workbookViewId="0">
      <selection activeCell="I92" sqref="I92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60.8554687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0.85546875" style="42" customWidth="1"/>
    <col min="13" max="21" width="12.7109375" style="42" hidden="1" customWidth="1"/>
    <col min="22" max="22" width="10.42578125" style="42" customWidth="1"/>
    <col min="23" max="30" width="12.7109375" style="42" hidden="1" customWidth="1"/>
    <col min="31" max="31" width="1" style="42" hidden="1" customWidth="1"/>
    <col min="32" max="32" width="11" style="283" customWidth="1"/>
    <col min="33" max="41" width="12.7109375" style="42" hidden="1" customWidth="1"/>
    <col min="42" max="42" width="10.28515625" style="283" customWidth="1"/>
    <col min="43" max="51" width="12.7109375" style="42" hidden="1" customWidth="1"/>
    <col min="52" max="52" width="10" style="283" customWidth="1"/>
    <col min="53" max="59" width="0" style="42" hidden="1" customWidth="1"/>
    <col min="60" max="60" width="3.7109375" style="42" hidden="1" customWidth="1"/>
    <col min="61" max="61" width="2" style="42" hidden="1" customWidth="1"/>
    <col min="62" max="62" width="10.28515625" style="283" customWidth="1"/>
    <col min="63" max="71" width="0" style="42" hidden="1" customWidth="1"/>
    <col min="72" max="72" width="10.140625" style="283" customWidth="1"/>
    <col min="73" max="80" width="0" style="42" hidden="1" customWidth="1"/>
    <col min="81" max="16384" width="12.7109375" style="42"/>
  </cols>
  <sheetData>
    <row r="1" spans="1:80" ht="37.5" customHeight="1">
      <c r="A1" s="480" t="s">
        <v>0</v>
      </c>
      <c r="B1" s="481" t="s">
        <v>4</v>
      </c>
      <c r="C1" s="482" t="s">
        <v>5</v>
      </c>
      <c r="D1" s="483" t="s">
        <v>6</v>
      </c>
      <c r="E1" s="425" t="s">
        <v>7</v>
      </c>
      <c r="F1" s="635" t="s">
        <v>8</v>
      </c>
      <c r="G1" s="636"/>
      <c r="H1" s="637"/>
      <c r="I1" s="678"/>
      <c r="J1" s="678"/>
      <c r="K1" s="638" t="s">
        <v>424</v>
      </c>
      <c r="L1" s="639"/>
      <c r="M1" s="640"/>
      <c r="N1" s="640"/>
      <c r="O1" s="640"/>
      <c r="P1" s="640"/>
      <c r="Q1" s="640"/>
      <c r="R1" s="640"/>
      <c r="S1" s="640"/>
      <c r="T1" s="640"/>
      <c r="U1" s="640"/>
      <c r="V1" s="639"/>
      <c r="W1" s="640"/>
      <c r="X1" s="640"/>
      <c r="Y1" s="640"/>
      <c r="Z1" s="640"/>
      <c r="AA1" s="640"/>
      <c r="AB1" s="640"/>
      <c r="AC1" s="640"/>
      <c r="AD1" s="640"/>
      <c r="AE1" s="640"/>
      <c r="AF1" s="639"/>
      <c r="AG1" s="640"/>
      <c r="AH1" s="640"/>
      <c r="AI1" s="640"/>
      <c r="AJ1" s="640"/>
      <c r="AK1" s="640"/>
      <c r="AL1" s="640"/>
      <c r="AM1" s="640"/>
      <c r="AN1" s="640"/>
      <c r="AO1" s="640"/>
      <c r="AP1" s="639"/>
      <c r="AQ1" s="640"/>
      <c r="AR1" s="640"/>
      <c r="AS1" s="640"/>
      <c r="AT1" s="640"/>
      <c r="AU1" s="640"/>
      <c r="AV1" s="640"/>
      <c r="AW1" s="640"/>
      <c r="AX1" s="640"/>
      <c r="AY1" s="640"/>
      <c r="AZ1" s="639"/>
      <c r="BA1" s="640"/>
      <c r="BB1" s="640"/>
      <c r="BC1" s="640"/>
      <c r="BD1" s="640"/>
      <c r="BE1" s="640"/>
      <c r="BF1" s="640"/>
      <c r="BG1" s="640"/>
      <c r="BH1" s="640"/>
      <c r="BI1" s="640"/>
      <c r="BJ1" s="639"/>
      <c r="BK1" s="640"/>
      <c r="BL1" s="640"/>
      <c r="BM1" s="640"/>
      <c r="BN1" s="640"/>
      <c r="BO1" s="640"/>
      <c r="BP1" s="640"/>
      <c r="BQ1" s="640"/>
      <c r="BR1" s="640"/>
      <c r="BS1" s="640"/>
      <c r="BT1" s="639"/>
      <c r="BU1" s="640"/>
      <c r="BV1" s="640"/>
      <c r="BW1" s="640"/>
      <c r="BX1" s="640"/>
      <c r="BY1" s="640"/>
      <c r="BZ1" s="640"/>
      <c r="CA1" s="640"/>
      <c r="CB1" s="641"/>
    </row>
    <row r="2" spans="1:80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3" si="0">SUM(L2,V2,AF2,AP2,AZ2,BJ2,BT2)</f>
        <v>0</v>
      </c>
      <c r="J2" s="58">
        <v>0</v>
      </c>
      <c r="K2" s="308"/>
      <c r="L2" s="206"/>
      <c r="M2" s="59"/>
      <c r="N2" s="96"/>
      <c r="O2" s="59"/>
      <c r="P2" s="59"/>
      <c r="Q2" s="59"/>
      <c r="R2" s="59"/>
      <c r="S2" s="44"/>
      <c r="T2" s="59"/>
      <c r="U2" s="59"/>
      <c r="V2" s="191"/>
      <c r="W2" s="59"/>
      <c r="X2" s="96"/>
      <c r="Y2" s="59"/>
      <c r="Z2" s="59"/>
      <c r="AA2" s="59"/>
      <c r="AB2" s="59"/>
      <c r="AC2" s="44"/>
      <c r="AD2" s="59"/>
      <c r="AE2" s="59"/>
      <c r="AF2" s="193"/>
      <c r="AG2" s="59"/>
      <c r="AH2" s="96"/>
      <c r="AI2" s="59"/>
      <c r="AJ2" s="59"/>
      <c r="AK2" s="59"/>
      <c r="AL2" s="59"/>
      <c r="AM2" s="44"/>
      <c r="AN2" s="59"/>
      <c r="AO2" s="59"/>
      <c r="AP2" s="194"/>
      <c r="AQ2" s="59"/>
      <c r="AR2" s="96"/>
      <c r="AS2" s="59"/>
      <c r="AT2" s="59"/>
      <c r="AU2" s="59"/>
      <c r="AV2" s="59"/>
      <c r="AW2" s="44"/>
      <c r="AX2" s="59"/>
      <c r="AY2" s="59"/>
      <c r="AZ2" s="263"/>
      <c r="BA2" s="59"/>
      <c r="BB2" s="96"/>
      <c r="BC2" s="59"/>
      <c r="BD2" s="59"/>
      <c r="BE2" s="59"/>
      <c r="BF2" s="59"/>
      <c r="BG2" s="44"/>
      <c r="BH2" s="59"/>
      <c r="BI2" s="59"/>
      <c r="BJ2" s="187"/>
      <c r="BK2" s="59"/>
      <c r="BL2" s="96"/>
      <c r="BM2" s="59"/>
      <c r="BN2" s="59"/>
      <c r="BO2" s="59"/>
      <c r="BP2" s="59"/>
      <c r="BQ2" s="44"/>
      <c r="BR2" s="59"/>
      <c r="BS2" s="59"/>
      <c r="BT2" s="209"/>
      <c r="BU2" s="59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ht="26.25" hidden="1">
      <c r="A3" s="168">
        <v>1</v>
      </c>
      <c r="B3" s="170"/>
      <c r="C3" s="169">
        <v>1111002</v>
      </c>
      <c r="D3" s="267" t="s">
        <v>30</v>
      </c>
      <c r="E3" s="169" t="s">
        <v>31</v>
      </c>
      <c r="F3" s="169"/>
      <c r="G3" s="183"/>
      <c r="H3" s="260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ht="43.5" hidden="1" customHeight="1">
      <c r="A4" s="168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108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ht="26.25" hidden="1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58">
        <v>0</v>
      </c>
      <c r="I5" s="45">
        <f t="shared" si="0"/>
        <v>0</v>
      </c>
      <c r="J5" s="58">
        <v>0</v>
      </c>
      <c r="K5" s="59"/>
      <c r="L5" s="206"/>
      <c r="M5" s="59"/>
      <c r="N5" s="96"/>
      <c r="O5" s="59"/>
      <c r="P5" s="59"/>
      <c r="Q5" s="59"/>
      <c r="R5" s="59"/>
      <c r="S5" s="44"/>
      <c r="T5" s="59"/>
      <c r="U5" s="59"/>
      <c r="V5" s="191"/>
      <c r="W5" s="59"/>
      <c r="X5" s="96"/>
      <c r="Y5" s="59"/>
      <c r="Z5" s="59"/>
      <c r="AA5" s="59"/>
      <c r="AB5" s="59"/>
      <c r="AC5" s="44"/>
      <c r="AD5" s="59"/>
      <c r="AE5" s="59"/>
      <c r="AF5" s="328"/>
      <c r="AG5" s="59"/>
      <c r="AH5" s="96"/>
      <c r="AI5" s="59"/>
      <c r="AJ5" s="59"/>
      <c r="AK5" s="59"/>
      <c r="AL5" s="59"/>
      <c r="AM5" s="44"/>
      <c r="AN5" s="59"/>
      <c r="AO5" s="59"/>
      <c r="AP5" s="284"/>
      <c r="AQ5" s="59"/>
      <c r="AR5" s="96"/>
      <c r="AS5" s="59"/>
      <c r="AT5" s="59"/>
      <c r="AU5" s="59"/>
      <c r="AV5" s="59"/>
      <c r="AW5" s="44"/>
      <c r="AX5" s="59"/>
      <c r="AY5" s="59"/>
      <c r="AZ5" s="329"/>
      <c r="BA5" s="59"/>
      <c r="BB5" s="96"/>
      <c r="BC5" s="59"/>
      <c r="BD5" s="59"/>
      <c r="BE5" s="59"/>
      <c r="BF5" s="59"/>
      <c r="BG5" s="44"/>
      <c r="BH5" s="59"/>
      <c r="BI5" s="59"/>
      <c r="BJ5" s="187"/>
      <c r="BK5" s="59"/>
      <c r="BL5" s="96"/>
      <c r="BM5" s="59"/>
      <c r="BN5" s="59"/>
      <c r="BO5" s="59"/>
      <c r="BP5" s="59"/>
      <c r="BQ5" s="44"/>
      <c r="BR5" s="59"/>
      <c r="BS5" s="59"/>
      <c r="BT5" s="209"/>
      <c r="BU5" s="59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308"/>
      <c r="L6" s="206"/>
      <c r="M6" s="59"/>
      <c r="N6" s="96"/>
      <c r="O6" s="59"/>
      <c r="P6" s="59"/>
      <c r="Q6" s="59"/>
      <c r="R6" s="59"/>
      <c r="S6" s="44"/>
      <c r="T6" s="59"/>
      <c r="U6" s="59"/>
      <c r="V6" s="191"/>
      <c r="W6" s="59"/>
      <c r="X6" s="96"/>
      <c r="Y6" s="59"/>
      <c r="Z6" s="59"/>
      <c r="AA6" s="59"/>
      <c r="AB6" s="59"/>
      <c r="AC6" s="44"/>
      <c r="AD6" s="59"/>
      <c r="AE6" s="59"/>
      <c r="AF6" s="193"/>
      <c r="AG6" s="59"/>
      <c r="AH6" s="96"/>
      <c r="AI6" s="59"/>
      <c r="AJ6" s="59"/>
      <c r="AK6" s="59"/>
      <c r="AL6" s="59"/>
      <c r="AM6" s="44"/>
      <c r="AN6" s="59"/>
      <c r="AO6" s="59"/>
      <c r="AP6" s="194"/>
      <c r="AQ6" s="59"/>
      <c r="AR6" s="96"/>
      <c r="AS6" s="59"/>
      <c r="AT6" s="59"/>
      <c r="AU6" s="59"/>
      <c r="AV6" s="59"/>
      <c r="AW6" s="44"/>
      <c r="AX6" s="59"/>
      <c r="AY6" s="59"/>
      <c r="AZ6" s="263"/>
      <c r="BA6" s="59"/>
      <c r="BB6" s="96"/>
      <c r="BC6" s="59"/>
      <c r="BD6" s="59"/>
      <c r="BE6" s="59"/>
      <c r="BF6" s="59"/>
      <c r="BG6" s="44"/>
      <c r="BH6" s="59"/>
      <c r="BI6" s="59"/>
      <c r="BJ6" s="187"/>
      <c r="BK6" s="59"/>
      <c r="BL6" s="96"/>
      <c r="BM6" s="59"/>
      <c r="BN6" s="59"/>
      <c r="BO6" s="59"/>
      <c r="BP6" s="59"/>
      <c r="BQ6" s="44"/>
      <c r="BR6" s="59"/>
      <c r="BS6" s="59"/>
      <c r="BT6" s="209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308"/>
      <c r="L7" s="206"/>
      <c r="M7" s="59"/>
      <c r="N7" s="96"/>
      <c r="O7" s="59"/>
      <c r="P7" s="59"/>
      <c r="Q7" s="59"/>
      <c r="R7" s="59"/>
      <c r="S7" s="44"/>
      <c r="T7" s="59"/>
      <c r="U7" s="59"/>
      <c r="V7" s="191"/>
      <c r="W7" s="59"/>
      <c r="X7" s="96"/>
      <c r="Y7" s="59"/>
      <c r="Z7" s="59"/>
      <c r="AA7" s="59"/>
      <c r="AB7" s="59"/>
      <c r="AC7" s="44"/>
      <c r="AD7" s="59"/>
      <c r="AE7" s="59"/>
      <c r="AF7" s="193"/>
      <c r="AG7" s="59"/>
      <c r="AH7" s="96"/>
      <c r="AI7" s="59"/>
      <c r="AJ7" s="59"/>
      <c r="AK7" s="59"/>
      <c r="AL7" s="59"/>
      <c r="AM7" s="44"/>
      <c r="AN7" s="59"/>
      <c r="AO7" s="59"/>
      <c r="AP7" s="194"/>
      <c r="AQ7" s="59"/>
      <c r="AR7" s="96"/>
      <c r="AS7" s="59"/>
      <c r="AT7" s="59"/>
      <c r="AU7" s="59"/>
      <c r="AV7" s="59"/>
      <c r="AW7" s="44"/>
      <c r="AX7" s="59"/>
      <c r="AY7" s="59"/>
      <c r="AZ7" s="263"/>
      <c r="BA7" s="59"/>
      <c r="BB7" s="96"/>
      <c r="BC7" s="59"/>
      <c r="BD7" s="59"/>
      <c r="BE7" s="59"/>
      <c r="BF7" s="59"/>
      <c r="BG7" s="44"/>
      <c r="BH7" s="59"/>
      <c r="BI7" s="59"/>
      <c r="BJ7" s="187"/>
      <c r="BK7" s="59"/>
      <c r="BL7" s="96"/>
      <c r="BM7" s="59"/>
      <c r="BN7" s="59"/>
      <c r="BO7" s="59"/>
      <c r="BP7" s="59"/>
      <c r="BQ7" s="44"/>
      <c r="BR7" s="59"/>
      <c r="BS7" s="59"/>
      <c r="BT7" s="209"/>
      <c r="BU7" s="59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308"/>
      <c r="L8" s="206"/>
      <c r="M8" s="59"/>
      <c r="N8" s="96"/>
      <c r="O8" s="59"/>
      <c r="P8" s="59"/>
      <c r="Q8" s="59"/>
      <c r="R8" s="59"/>
      <c r="S8" s="44"/>
      <c r="T8" s="59"/>
      <c r="U8" s="59"/>
      <c r="V8" s="191"/>
      <c r="W8" s="59"/>
      <c r="X8" s="96"/>
      <c r="Y8" s="59"/>
      <c r="Z8" s="59"/>
      <c r="AA8" s="59"/>
      <c r="AB8" s="59"/>
      <c r="AC8" s="44"/>
      <c r="AD8" s="59"/>
      <c r="AE8" s="59"/>
      <c r="AF8" s="193"/>
      <c r="AG8" s="59"/>
      <c r="AH8" s="96"/>
      <c r="AI8" s="59"/>
      <c r="AJ8" s="59"/>
      <c r="AK8" s="59"/>
      <c r="AL8" s="59"/>
      <c r="AM8" s="44"/>
      <c r="AN8" s="59"/>
      <c r="AO8" s="59"/>
      <c r="AP8" s="194"/>
      <c r="AQ8" s="59"/>
      <c r="AR8" s="96"/>
      <c r="AS8" s="59"/>
      <c r="AT8" s="59"/>
      <c r="AU8" s="59"/>
      <c r="AV8" s="59"/>
      <c r="AW8" s="44"/>
      <c r="AX8" s="59"/>
      <c r="AY8" s="59"/>
      <c r="AZ8" s="263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09"/>
      <c r="BU8" s="5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308"/>
      <c r="L9" s="206"/>
      <c r="M9" s="59"/>
      <c r="N9" s="96"/>
      <c r="O9" s="59"/>
      <c r="P9" s="59"/>
      <c r="Q9" s="59"/>
      <c r="R9" s="59"/>
      <c r="S9" s="44"/>
      <c r="T9" s="59"/>
      <c r="U9" s="59"/>
      <c r="V9" s="191"/>
      <c r="W9" s="59"/>
      <c r="X9" s="96"/>
      <c r="Y9" s="59"/>
      <c r="Z9" s="59"/>
      <c r="AA9" s="59"/>
      <c r="AB9" s="59"/>
      <c r="AC9" s="44"/>
      <c r="AD9" s="59"/>
      <c r="AE9" s="59"/>
      <c r="AF9" s="193"/>
      <c r="AG9" s="59"/>
      <c r="AH9" s="96"/>
      <c r="AI9" s="59"/>
      <c r="AJ9" s="59"/>
      <c r="AK9" s="59"/>
      <c r="AL9" s="59"/>
      <c r="AM9" s="44"/>
      <c r="AN9" s="59"/>
      <c r="AO9" s="59"/>
      <c r="AP9" s="194"/>
      <c r="AQ9" s="59"/>
      <c r="AR9" s="96"/>
      <c r="AS9" s="59"/>
      <c r="AT9" s="59"/>
      <c r="AU9" s="59"/>
      <c r="AV9" s="59"/>
      <c r="AW9" s="44"/>
      <c r="AX9" s="59"/>
      <c r="AY9" s="59"/>
      <c r="AZ9" s="263"/>
      <c r="BA9" s="59"/>
      <c r="BB9" s="96"/>
      <c r="BC9" s="59"/>
      <c r="BD9" s="59"/>
      <c r="BE9" s="59"/>
      <c r="BF9" s="59"/>
      <c r="BG9" s="44"/>
      <c r="BH9" s="59"/>
      <c r="BI9" s="59"/>
      <c r="BJ9" s="187"/>
      <c r="BK9" s="59"/>
      <c r="BL9" s="96"/>
      <c r="BM9" s="59"/>
      <c r="BN9" s="59"/>
      <c r="BO9" s="59"/>
      <c r="BP9" s="59"/>
      <c r="BQ9" s="44"/>
      <c r="BR9" s="59"/>
      <c r="BS9" s="59"/>
      <c r="BT9" s="209"/>
      <c r="BU9" s="5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308"/>
      <c r="L10" s="206"/>
      <c r="M10" s="59"/>
      <c r="N10" s="96"/>
      <c r="O10" s="59"/>
      <c r="P10" s="59"/>
      <c r="Q10" s="59"/>
      <c r="R10" s="59"/>
      <c r="S10" s="44"/>
      <c r="T10" s="59"/>
      <c r="U10" s="59"/>
      <c r="V10" s="191"/>
      <c r="W10" s="59"/>
      <c r="X10" s="96"/>
      <c r="Y10" s="59"/>
      <c r="Z10" s="59"/>
      <c r="AA10" s="59"/>
      <c r="AB10" s="59"/>
      <c r="AC10" s="44"/>
      <c r="AD10" s="59"/>
      <c r="AE10" s="59"/>
      <c r="AF10" s="193"/>
      <c r="AG10" s="59"/>
      <c r="AH10" s="96"/>
      <c r="AI10" s="59"/>
      <c r="AJ10" s="59"/>
      <c r="AK10" s="59"/>
      <c r="AL10" s="59"/>
      <c r="AM10" s="44"/>
      <c r="AN10" s="59"/>
      <c r="AO10" s="59"/>
      <c r="AP10" s="194"/>
      <c r="AQ10" s="59"/>
      <c r="AR10" s="96"/>
      <c r="AS10" s="59"/>
      <c r="AT10" s="59"/>
      <c r="AU10" s="59"/>
      <c r="AV10" s="59"/>
      <c r="AW10" s="44"/>
      <c r="AX10" s="59"/>
      <c r="AY10" s="59"/>
      <c r="AZ10" s="263"/>
      <c r="BA10" s="59"/>
      <c r="BB10" s="96"/>
      <c r="BC10" s="59"/>
      <c r="BD10" s="59"/>
      <c r="BE10" s="59"/>
      <c r="BF10" s="59"/>
      <c r="BG10" s="44"/>
      <c r="BH10" s="59"/>
      <c r="BI10" s="59"/>
      <c r="BJ10" s="187"/>
      <c r="BK10" s="59"/>
      <c r="BL10" s="96"/>
      <c r="BM10" s="59"/>
      <c r="BN10" s="59"/>
      <c r="BO10" s="59"/>
      <c r="BP10" s="59"/>
      <c r="BQ10" s="44"/>
      <c r="BR10" s="59"/>
      <c r="BS10" s="59"/>
      <c r="BT10" s="209"/>
      <c r="BU10" s="5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308"/>
      <c r="L11" s="206"/>
      <c r="M11" s="59"/>
      <c r="N11" s="96"/>
      <c r="O11" s="59"/>
      <c r="P11" s="59"/>
      <c r="Q11" s="59"/>
      <c r="R11" s="59"/>
      <c r="S11" s="44"/>
      <c r="T11" s="59"/>
      <c r="U11" s="59"/>
      <c r="V11" s="191"/>
      <c r="W11" s="59"/>
      <c r="X11" s="96"/>
      <c r="Y11" s="59"/>
      <c r="Z11" s="59"/>
      <c r="AA11" s="59"/>
      <c r="AB11" s="59"/>
      <c r="AC11" s="44"/>
      <c r="AD11" s="59"/>
      <c r="AE11" s="59"/>
      <c r="AF11" s="193"/>
      <c r="AG11" s="59"/>
      <c r="AH11" s="96"/>
      <c r="AI11" s="59"/>
      <c r="AJ11" s="59"/>
      <c r="AK11" s="59"/>
      <c r="AL11" s="59"/>
      <c r="AM11" s="44"/>
      <c r="AN11" s="59"/>
      <c r="AO11" s="59"/>
      <c r="AP11" s="194"/>
      <c r="AQ11" s="59"/>
      <c r="AR11" s="96"/>
      <c r="AS11" s="59"/>
      <c r="AT11" s="59"/>
      <c r="AU11" s="59"/>
      <c r="AV11" s="59"/>
      <c r="AW11" s="44"/>
      <c r="AX11" s="59"/>
      <c r="AY11" s="59"/>
      <c r="AZ11" s="263"/>
      <c r="BA11" s="59"/>
      <c r="BB11" s="96"/>
      <c r="BC11" s="59"/>
      <c r="BD11" s="59"/>
      <c r="BE11" s="59"/>
      <c r="BF11" s="59"/>
      <c r="BG11" s="44"/>
      <c r="BH11" s="59"/>
      <c r="BI11" s="59"/>
      <c r="BJ11" s="187"/>
      <c r="BK11" s="59"/>
      <c r="BL11" s="96"/>
      <c r="BM11" s="59"/>
      <c r="BN11" s="59"/>
      <c r="BO11" s="59"/>
      <c r="BP11" s="59"/>
      <c r="BQ11" s="44"/>
      <c r="BR11" s="59"/>
      <c r="BS11" s="59"/>
      <c r="BT11" s="209"/>
      <c r="BU11" s="5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308"/>
      <c r="L12" s="206"/>
      <c r="M12" s="59"/>
      <c r="N12" s="96"/>
      <c r="O12" s="59"/>
      <c r="P12" s="59"/>
      <c r="Q12" s="59"/>
      <c r="R12" s="59"/>
      <c r="S12" s="44"/>
      <c r="T12" s="59"/>
      <c r="U12" s="59"/>
      <c r="V12" s="191"/>
      <c r="W12" s="59"/>
      <c r="X12" s="96"/>
      <c r="Y12" s="59"/>
      <c r="Z12" s="59"/>
      <c r="AA12" s="59"/>
      <c r="AB12" s="59"/>
      <c r="AC12" s="44"/>
      <c r="AD12" s="59"/>
      <c r="AE12" s="59"/>
      <c r="AF12" s="193"/>
      <c r="AG12" s="59"/>
      <c r="AH12" s="96"/>
      <c r="AI12" s="59"/>
      <c r="AJ12" s="59"/>
      <c r="AK12" s="59"/>
      <c r="AL12" s="59"/>
      <c r="AM12" s="44"/>
      <c r="AN12" s="59"/>
      <c r="AO12" s="59"/>
      <c r="AP12" s="194"/>
      <c r="AQ12" s="59"/>
      <c r="AR12" s="96"/>
      <c r="AS12" s="59"/>
      <c r="AT12" s="59"/>
      <c r="AU12" s="59"/>
      <c r="AV12" s="59"/>
      <c r="AW12" s="44"/>
      <c r="AX12" s="59"/>
      <c r="AY12" s="59"/>
      <c r="AZ12" s="263"/>
      <c r="BA12" s="59"/>
      <c r="BB12" s="96"/>
      <c r="BC12" s="59"/>
      <c r="BD12" s="59"/>
      <c r="BE12" s="59"/>
      <c r="BF12" s="59"/>
      <c r="BG12" s="44"/>
      <c r="BH12" s="59"/>
      <c r="BI12" s="59"/>
      <c r="BJ12" s="187"/>
      <c r="BK12" s="59"/>
      <c r="BL12" s="96"/>
      <c r="BM12" s="59"/>
      <c r="BN12" s="59"/>
      <c r="BO12" s="59"/>
      <c r="BP12" s="59"/>
      <c r="BQ12" s="44"/>
      <c r="BR12" s="59"/>
      <c r="BS12" s="59"/>
      <c r="BT12" s="209"/>
      <c r="BU12" s="5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308"/>
      <c r="L13" s="206"/>
      <c r="M13" s="59"/>
      <c r="N13" s="96"/>
      <c r="O13" s="59"/>
      <c r="P13" s="59"/>
      <c r="Q13" s="59"/>
      <c r="R13" s="59"/>
      <c r="S13" s="44"/>
      <c r="T13" s="59"/>
      <c r="U13" s="59"/>
      <c r="V13" s="191"/>
      <c r="W13" s="59"/>
      <c r="X13" s="96"/>
      <c r="Y13" s="59"/>
      <c r="Z13" s="59"/>
      <c r="AA13" s="59"/>
      <c r="AB13" s="59"/>
      <c r="AC13" s="44"/>
      <c r="AD13" s="59"/>
      <c r="AE13" s="59"/>
      <c r="AF13" s="193"/>
      <c r="AG13" s="59"/>
      <c r="AH13" s="96"/>
      <c r="AI13" s="59"/>
      <c r="AJ13" s="59"/>
      <c r="AK13" s="59"/>
      <c r="AL13" s="59"/>
      <c r="AM13" s="44"/>
      <c r="AN13" s="59"/>
      <c r="AO13" s="59"/>
      <c r="AP13" s="194"/>
      <c r="AQ13" s="59"/>
      <c r="AR13" s="96"/>
      <c r="AS13" s="59"/>
      <c r="AT13" s="59"/>
      <c r="AU13" s="59"/>
      <c r="AV13" s="59"/>
      <c r="AW13" s="44"/>
      <c r="AX13" s="59"/>
      <c r="AY13" s="59"/>
      <c r="AZ13" s="263"/>
      <c r="BA13" s="59"/>
      <c r="BB13" s="96"/>
      <c r="BC13" s="59"/>
      <c r="BD13" s="59"/>
      <c r="BE13" s="59"/>
      <c r="BF13" s="59"/>
      <c r="BG13" s="44"/>
      <c r="BH13" s="59"/>
      <c r="BI13" s="59"/>
      <c r="BJ13" s="187"/>
      <c r="BK13" s="59"/>
      <c r="BL13" s="96"/>
      <c r="BM13" s="59"/>
      <c r="BN13" s="59"/>
      <c r="BO13" s="59"/>
      <c r="BP13" s="59"/>
      <c r="BQ13" s="44"/>
      <c r="BR13" s="59"/>
      <c r="BS13" s="59"/>
      <c r="BT13" s="209"/>
      <c r="BU13" s="5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308"/>
      <c r="L14" s="206"/>
      <c r="M14" s="59"/>
      <c r="N14" s="96"/>
      <c r="O14" s="59"/>
      <c r="P14" s="59"/>
      <c r="Q14" s="59"/>
      <c r="R14" s="59"/>
      <c r="S14" s="44"/>
      <c r="T14" s="59"/>
      <c r="U14" s="59"/>
      <c r="V14" s="191"/>
      <c r="W14" s="59"/>
      <c r="X14" s="96"/>
      <c r="Y14" s="59"/>
      <c r="Z14" s="59"/>
      <c r="AA14" s="59"/>
      <c r="AB14" s="59"/>
      <c r="AC14" s="44"/>
      <c r="AD14" s="59"/>
      <c r="AE14" s="59"/>
      <c r="AF14" s="193"/>
      <c r="AG14" s="59"/>
      <c r="AH14" s="96"/>
      <c r="AI14" s="59"/>
      <c r="AJ14" s="59"/>
      <c r="AK14" s="59"/>
      <c r="AL14" s="59"/>
      <c r="AM14" s="44"/>
      <c r="AN14" s="59"/>
      <c r="AO14" s="59"/>
      <c r="AP14" s="194"/>
      <c r="AQ14" s="59"/>
      <c r="AR14" s="96"/>
      <c r="AS14" s="59"/>
      <c r="AT14" s="59"/>
      <c r="AU14" s="59"/>
      <c r="AV14" s="59"/>
      <c r="AW14" s="44"/>
      <c r="AX14" s="59"/>
      <c r="AY14" s="59"/>
      <c r="AZ14" s="263"/>
      <c r="BA14" s="59"/>
      <c r="BB14" s="96"/>
      <c r="BC14" s="59"/>
      <c r="BD14" s="59"/>
      <c r="BE14" s="59"/>
      <c r="BF14" s="59"/>
      <c r="BG14" s="44"/>
      <c r="BH14" s="59"/>
      <c r="BI14" s="59"/>
      <c r="BJ14" s="187"/>
      <c r="BK14" s="59"/>
      <c r="BL14" s="96"/>
      <c r="BM14" s="59"/>
      <c r="BN14" s="59"/>
      <c r="BO14" s="59"/>
      <c r="BP14" s="59"/>
      <c r="BQ14" s="44"/>
      <c r="BR14" s="59"/>
      <c r="BS14" s="59"/>
      <c r="BT14" s="209"/>
      <c r="BU14" s="5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308"/>
      <c r="L15" s="206"/>
      <c r="M15" s="59"/>
      <c r="N15" s="96"/>
      <c r="O15" s="59"/>
      <c r="P15" s="59"/>
      <c r="Q15" s="59"/>
      <c r="R15" s="59"/>
      <c r="S15" s="44"/>
      <c r="T15" s="59"/>
      <c r="U15" s="59"/>
      <c r="V15" s="191"/>
      <c r="W15" s="59"/>
      <c r="X15" s="96"/>
      <c r="Y15" s="59"/>
      <c r="Z15" s="59"/>
      <c r="AA15" s="59"/>
      <c r="AB15" s="59"/>
      <c r="AC15" s="44"/>
      <c r="AD15" s="59"/>
      <c r="AE15" s="59"/>
      <c r="AF15" s="193"/>
      <c r="AG15" s="59"/>
      <c r="AH15" s="96"/>
      <c r="AI15" s="59"/>
      <c r="AJ15" s="59"/>
      <c r="AK15" s="59"/>
      <c r="AL15" s="59"/>
      <c r="AM15" s="44"/>
      <c r="AN15" s="59"/>
      <c r="AO15" s="59"/>
      <c r="AP15" s="194"/>
      <c r="AQ15" s="59"/>
      <c r="AR15" s="96"/>
      <c r="AS15" s="59"/>
      <c r="AT15" s="59"/>
      <c r="AU15" s="59"/>
      <c r="AV15" s="59"/>
      <c r="AW15" s="44"/>
      <c r="AX15" s="59"/>
      <c r="AY15" s="59"/>
      <c r="AZ15" s="263"/>
      <c r="BA15" s="59"/>
      <c r="BB15" s="96"/>
      <c r="BC15" s="59"/>
      <c r="BD15" s="59"/>
      <c r="BE15" s="59"/>
      <c r="BF15" s="59"/>
      <c r="BG15" s="44"/>
      <c r="BH15" s="59"/>
      <c r="BI15" s="59"/>
      <c r="BJ15" s="187"/>
      <c r="BK15" s="59"/>
      <c r="BL15" s="96"/>
      <c r="BM15" s="59"/>
      <c r="BN15" s="59"/>
      <c r="BO15" s="59"/>
      <c r="BP15" s="59"/>
      <c r="BQ15" s="44"/>
      <c r="BR15" s="59"/>
      <c r="BS15" s="59"/>
      <c r="BT15" s="209"/>
      <c r="BU15" s="5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ht="26.25" hidden="1">
      <c r="A16" s="53">
        <v>2</v>
      </c>
      <c r="B16" s="56"/>
      <c r="C16" s="274">
        <v>1113090</v>
      </c>
      <c r="D16" s="246" t="s">
        <v>406</v>
      </c>
      <c r="E16" s="64" t="s">
        <v>42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196"/>
      <c r="M16" s="59"/>
      <c r="N16" s="96"/>
      <c r="O16" s="59"/>
      <c r="P16" s="59"/>
      <c r="Q16" s="59"/>
      <c r="R16" s="59"/>
      <c r="S16" s="106"/>
      <c r="T16" s="59"/>
      <c r="U16" s="59"/>
      <c r="V16" s="191"/>
      <c r="W16" s="59"/>
      <c r="X16" s="96"/>
      <c r="Y16" s="59"/>
      <c r="Z16" s="59"/>
      <c r="AA16" s="59"/>
      <c r="AB16" s="59"/>
      <c r="AC16" s="44"/>
      <c r="AD16" s="59"/>
      <c r="AE16" s="59"/>
      <c r="AF16" s="330"/>
      <c r="AG16" s="59"/>
      <c r="AH16" s="96"/>
      <c r="AI16" s="59"/>
      <c r="AJ16" s="59"/>
      <c r="AK16" s="59"/>
      <c r="AL16" s="59"/>
      <c r="AM16" s="106"/>
      <c r="AN16" s="59"/>
      <c r="AO16" s="59"/>
      <c r="AP16" s="284"/>
      <c r="AQ16" s="59"/>
      <c r="AR16" s="96"/>
      <c r="AS16" s="59"/>
      <c r="AT16" s="59"/>
      <c r="AU16" s="59"/>
      <c r="AV16" s="59"/>
      <c r="AW16" s="44"/>
      <c r="AX16" s="59"/>
      <c r="AY16" s="59"/>
      <c r="AZ16" s="331"/>
      <c r="BA16" s="59"/>
      <c r="BB16" s="96"/>
      <c r="BC16" s="59"/>
      <c r="BD16" s="59"/>
      <c r="BE16" s="59"/>
      <c r="BF16" s="59"/>
      <c r="BG16" s="106"/>
      <c r="BH16" s="59"/>
      <c r="BI16" s="59"/>
      <c r="BJ16" s="187"/>
      <c r="BK16" s="59"/>
      <c r="BL16" s="96"/>
      <c r="BM16" s="59"/>
      <c r="BN16" s="59"/>
      <c r="BO16" s="59"/>
      <c r="BP16" s="59"/>
      <c r="BQ16" s="44"/>
      <c r="BR16" s="59"/>
      <c r="BS16" s="59"/>
      <c r="BT16" s="209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ht="26.25" hidden="1">
      <c r="A17" s="53">
        <v>1</v>
      </c>
      <c r="B17" s="56"/>
      <c r="C17" s="280">
        <v>1113087</v>
      </c>
      <c r="D17" s="281" t="s">
        <v>169</v>
      </c>
      <c r="E17" s="64" t="s">
        <v>170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196"/>
      <c r="M17" s="59"/>
      <c r="N17" s="96"/>
      <c r="O17" s="59"/>
      <c r="P17" s="59"/>
      <c r="Q17" s="59"/>
      <c r="R17" s="59"/>
      <c r="S17" s="106"/>
      <c r="T17" s="59"/>
      <c r="U17" s="59"/>
      <c r="V17" s="191"/>
      <c r="W17" s="59"/>
      <c r="X17" s="96"/>
      <c r="Y17" s="59"/>
      <c r="Z17" s="59"/>
      <c r="AA17" s="59"/>
      <c r="AB17" s="59"/>
      <c r="AC17" s="44"/>
      <c r="AD17" s="59"/>
      <c r="AE17" s="59"/>
      <c r="AF17" s="330"/>
      <c r="AG17" s="59"/>
      <c r="AH17" s="96"/>
      <c r="AI17" s="59"/>
      <c r="AJ17" s="59"/>
      <c r="AK17" s="59"/>
      <c r="AL17" s="59"/>
      <c r="AM17" s="106"/>
      <c r="AN17" s="59"/>
      <c r="AO17" s="59"/>
      <c r="AP17" s="284"/>
      <c r="AQ17" s="59"/>
      <c r="AR17" s="96"/>
      <c r="AS17" s="59"/>
      <c r="AT17" s="59"/>
      <c r="AU17" s="59"/>
      <c r="AV17" s="59"/>
      <c r="AW17" s="44"/>
      <c r="AX17" s="59"/>
      <c r="AY17" s="59"/>
      <c r="AZ17" s="331"/>
      <c r="BA17" s="59"/>
      <c r="BB17" s="96"/>
      <c r="BC17" s="59"/>
      <c r="BD17" s="59"/>
      <c r="BE17" s="59"/>
      <c r="BF17" s="59"/>
      <c r="BG17" s="106"/>
      <c r="BH17" s="59"/>
      <c r="BI17" s="59"/>
      <c r="BJ17" s="187"/>
      <c r="BK17" s="59"/>
      <c r="BL17" s="96"/>
      <c r="BM17" s="59"/>
      <c r="BN17" s="59"/>
      <c r="BO17" s="59"/>
      <c r="BP17" s="59"/>
      <c r="BQ17" s="44"/>
      <c r="BR17" s="59"/>
      <c r="BS17" s="59"/>
      <c r="BT17" s="209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59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27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306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0</v>
      </c>
      <c r="CB18" s="59">
        <v>0</v>
      </c>
    </row>
    <row r="19" spans="1:80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308"/>
      <c r="L19" s="206"/>
      <c r="M19" s="59"/>
      <c r="N19" s="96"/>
      <c r="O19" s="59"/>
      <c r="P19" s="59"/>
      <c r="Q19" s="59"/>
      <c r="R19" s="59"/>
      <c r="S19" s="44"/>
      <c r="T19" s="59"/>
      <c r="U19" s="59"/>
      <c r="V19" s="191"/>
      <c r="W19" s="59"/>
      <c r="X19" s="96"/>
      <c r="Y19" s="59"/>
      <c r="Z19" s="59"/>
      <c r="AA19" s="59"/>
      <c r="AB19" s="59"/>
      <c r="AC19" s="44"/>
      <c r="AD19" s="59"/>
      <c r="AE19" s="59"/>
      <c r="AF19" s="193"/>
      <c r="AG19" s="59"/>
      <c r="AH19" s="96"/>
      <c r="AI19" s="59"/>
      <c r="AJ19" s="59"/>
      <c r="AK19" s="59"/>
      <c r="AL19" s="59"/>
      <c r="AM19" s="44"/>
      <c r="AN19" s="59"/>
      <c r="AO19" s="59"/>
      <c r="AP19" s="194"/>
      <c r="AQ19" s="59"/>
      <c r="AR19" s="96"/>
      <c r="AS19" s="59"/>
      <c r="AT19" s="59"/>
      <c r="AU19" s="59"/>
      <c r="AV19" s="59"/>
      <c r="AW19" s="44"/>
      <c r="AX19" s="59"/>
      <c r="AY19" s="59"/>
      <c r="AZ19" s="263"/>
      <c r="BA19" s="59"/>
      <c r="BB19" s="96"/>
      <c r="BC19" s="59"/>
      <c r="BD19" s="59"/>
      <c r="BE19" s="59"/>
      <c r="BF19" s="59"/>
      <c r="BG19" s="44"/>
      <c r="BH19" s="59"/>
      <c r="BI19" s="59"/>
      <c r="BJ19" s="187"/>
      <c r="BK19" s="59"/>
      <c r="BL19" s="96"/>
      <c r="BM19" s="59"/>
      <c r="BN19" s="59"/>
      <c r="BO19" s="59"/>
      <c r="BP19" s="59"/>
      <c r="BQ19" s="44"/>
      <c r="BR19" s="59"/>
      <c r="BS19" s="59"/>
      <c r="BT19" s="209"/>
      <c r="BU19" s="5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ht="26.25" hidden="1">
      <c r="A20" s="53">
        <v>13</v>
      </c>
      <c r="B20" s="56"/>
      <c r="C20" s="54">
        <v>1113059</v>
      </c>
      <c r="D20" s="57" t="s">
        <v>182</v>
      </c>
      <c r="E20" s="274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308"/>
      <c r="L20" s="192"/>
      <c r="M20" s="59"/>
      <c r="N20" s="96"/>
      <c r="O20" s="59"/>
      <c r="P20" s="59"/>
      <c r="Q20" s="59"/>
      <c r="R20" s="59"/>
      <c r="S20" s="44"/>
      <c r="T20" s="59"/>
      <c r="U20" s="59"/>
      <c r="V20" s="191"/>
      <c r="W20" s="59"/>
      <c r="X20" s="96"/>
      <c r="Y20" s="59"/>
      <c r="Z20" s="59"/>
      <c r="AA20" s="59"/>
      <c r="AB20" s="59"/>
      <c r="AC20" s="44"/>
      <c r="AD20" s="59"/>
      <c r="AE20" s="59"/>
      <c r="AF20" s="193"/>
      <c r="AG20" s="59"/>
      <c r="AH20" s="96"/>
      <c r="AI20" s="59"/>
      <c r="AJ20" s="59"/>
      <c r="AK20" s="59"/>
      <c r="AL20" s="59"/>
      <c r="AM20" s="44"/>
      <c r="AN20" s="59"/>
      <c r="AO20" s="59"/>
      <c r="AP20" s="194"/>
      <c r="AQ20" s="59"/>
      <c r="AR20" s="96"/>
      <c r="AS20" s="59"/>
      <c r="AT20" s="59"/>
      <c r="AU20" s="59"/>
      <c r="AV20" s="59"/>
      <c r="AW20" s="44"/>
      <c r="AX20" s="59"/>
      <c r="AY20" s="59"/>
      <c r="AZ20" s="181"/>
      <c r="BA20" s="59"/>
      <c r="BB20" s="96"/>
      <c r="BC20" s="59"/>
      <c r="BD20" s="59"/>
      <c r="BE20" s="59"/>
      <c r="BF20" s="59"/>
      <c r="BG20" s="44"/>
      <c r="BH20" s="59"/>
      <c r="BI20" s="59"/>
      <c r="BJ20" s="187"/>
      <c r="BK20" s="59"/>
      <c r="BL20" s="96"/>
      <c r="BM20" s="59"/>
      <c r="BN20" s="59"/>
      <c r="BO20" s="59"/>
      <c r="BP20" s="59"/>
      <c r="BQ20" s="44"/>
      <c r="BR20" s="59"/>
      <c r="BS20" s="59"/>
      <c r="BT20" s="209"/>
      <c r="BU20" s="59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53">
        <v>14</v>
      </c>
      <c r="B21" s="56"/>
      <c r="C21" s="54">
        <v>1005977</v>
      </c>
      <c r="D21" s="57" t="s">
        <v>189</v>
      </c>
      <c r="E21" s="274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308"/>
      <c r="L21" s="206"/>
      <c r="M21" s="59"/>
      <c r="N21" s="96"/>
      <c r="O21" s="59"/>
      <c r="P21" s="59"/>
      <c r="Q21" s="59"/>
      <c r="R21" s="59"/>
      <c r="S21" s="44"/>
      <c r="T21" s="59"/>
      <c r="U21" s="59"/>
      <c r="V21" s="191"/>
      <c r="W21" s="59"/>
      <c r="X21" s="96"/>
      <c r="Y21" s="59"/>
      <c r="Z21" s="59"/>
      <c r="AA21" s="59"/>
      <c r="AB21" s="59"/>
      <c r="AC21" s="44"/>
      <c r="AD21" s="59"/>
      <c r="AE21" s="59"/>
      <c r="AF21" s="193"/>
      <c r="AG21" s="59"/>
      <c r="AH21" s="96"/>
      <c r="AI21" s="59"/>
      <c r="AJ21" s="59"/>
      <c r="AK21" s="59"/>
      <c r="AL21" s="59"/>
      <c r="AM21" s="44"/>
      <c r="AN21" s="59"/>
      <c r="AO21" s="59"/>
      <c r="AP21" s="194"/>
      <c r="AQ21" s="59"/>
      <c r="AR21" s="96"/>
      <c r="AS21" s="59"/>
      <c r="AT21" s="59"/>
      <c r="AU21" s="59"/>
      <c r="AV21" s="59"/>
      <c r="AW21" s="44"/>
      <c r="AX21" s="59"/>
      <c r="AY21" s="59"/>
      <c r="AZ21" s="263"/>
      <c r="BA21" s="59"/>
      <c r="BB21" s="96"/>
      <c r="BC21" s="59"/>
      <c r="BD21" s="59"/>
      <c r="BE21" s="59"/>
      <c r="BF21" s="59"/>
      <c r="BG21" s="44"/>
      <c r="BH21" s="59"/>
      <c r="BI21" s="59"/>
      <c r="BJ21" s="187"/>
      <c r="BK21" s="59"/>
      <c r="BL21" s="96"/>
      <c r="BM21" s="59"/>
      <c r="BN21" s="59"/>
      <c r="BO21" s="59"/>
      <c r="BP21" s="59"/>
      <c r="BQ21" s="44"/>
      <c r="BR21" s="59"/>
      <c r="BS21" s="59"/>
      <c r="BT21" s="209"/>
      <c r="BU21" s="59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ht="26.25" hidden="1">
      <c r="A22" s="53">
        <v>15</v>
      </c>
      <c r="B22" s="56"/>
      <c r="C22" s="274">
        <v>1113088</v>
      </c>
      <c r="D22" s="246" t="s">
        <v>407</v>
      </c>
      <c r="E22" s="27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308"/>
      <c r="L22" s="192"/>
      <c r="M22" s="59"/>
      <c r="N22" s="96"/>
      <c r="O22" s="59"/>
      <c r="P22" s="59"/>
      <c r="Q22" s="59"/>
      <c r="R22" s="59"/>
      <c r="S22" s="44"/>
      <c r="T22" s="59"/>
      <c r="U22" s="59"/>
      <c r="V22" s="191"/>
      <c r="W22" s="59"/>
      <c r="X22" s="96"/>
      <c r="Y22" s="59"/>
      <c r="Z22" s="59"/>
      <c r="AA22" s="59"/>
      <c r="AB22" s="59"/>
      <c r="AC22" s="44"/>
      <c r="AD22" s="59"/>
      <c r="AE22" s="59"/>
      <c r="AF22" s="193"/>
      <c r="AG22" s="59"/>
      <c r="AH22" s="96"/>
      <c r="AI22" s="59"/>
      <c r="AJ22" s="59"/>
      <c r="AK22" s="59"/>
      <c r="AL22" s="59"/>
      <c r="AM22" s="44"/>
      <c r="AN22" s="59"/>
      <c r="AO22" s="59"/>
      <c r="AP22" s="194"/>
      <c r="AQ22" s="59"/>
      <c r="AR22" s="96"/>
      <c r="AS22" s="59"/>
      <c r="AT22" s="59"/>
      <c r="AU22" s="59"/>
      <c r="AV22" s="59"/>
      <c r="AW22" s="44"/>
      <c r="AX22" s="59"/>
      <c r="AY22" s="59"/>
      <c r="AZ22" s="181"/>
      <c r="BA22" s="59"/>
      <c r="BB22" s="96"/>
      <c r="BC22" s="59"/>
      <c r="BD22" s="59"/>
      <c r="BE22" s="59"/>
      <c r="BF22" s="59"/>
      <c r="BG22" s="44"/>
      <c r="BH22" s="59"/>
      <c r="BI22" s="59"/>
      <c r="BJ22" s="187"/>
      <c r="BK22" s="59"/>
      <c r="BL22" s="96"/>
      <c r="BM22" s="59"/>
      <c r="BN22" s="59"/>
      <c r="BO22" s="59"/>
      <c r="BP22" s="59"/>
      <c r="BQ22" s="44"/>
      <c r="BR22" s="59"/>
      <c r="BS22" s="59"/>
      <c r="BT22" s="209"/>
      <c r="BU22" s="5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ht="26.25" hidden="1">
      <c r="A23" s="53">
        <v>4</v>
      </c>
      <c r="B23" s="56"/>
      <c r="C23" s="274">
        <v>1113089</v>
      </c>
      <c r="D23" s="246" t="s">
        <v>195</v>
      </c>
      <c r="E23" s="64" t="s">
        <v>42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6"/>
      <c r="M23" s="59"/>
      <c r="N23" s="96"/>
      <c r="O23" s="59"/>
      <c r="P23" s="59"/>
      <c r="Q23" s="59"/>
      <c r="R23" s="59"/>
      <c r="S23" s="106"/>
      <c r="T23" s="59"/>
      <c r="U23" s="59"/>
      <c r="V23" s="191"/>
      <c r="W23" s="59"/>
      <c r="X23" s="96"/>
      <c r="Y23" s="59"/>
      <c r="Z23" s="59"/>
      <c r="AA23" s="59"/>
      <c r="AB23" s="59"/>
      <c r="AC23" s="44"/>
      <c r="AD23" s="59"/>
      <c r="AE23" s="59"/>
      <c r="AF23" s="330"/>
      <c r="AG23" s="59"/>
      <c r="AH23" s="96"/>
      <c r="AI23" s="59"/>
      <c r="AJ23" s="59"/>
      <c r="AK23" s="59"/>
      <c r="AL23" s="59"/>
      <c r="AM23" s="106"/>
      <c r="AN23" s="59"/>
      <c r="AO23" s="59"/>
      <c r="AP23" s="284"/>
      <c r="AQ23" s="59"/>
      <c r="AR23" s="96"/>
      <c r="AS23" s="59"/>
      <c r="AT23" s="59"/>
      <c r="AU23" s="59"/>
      <c r="AV23" s="59"/>
      <c r="AW23" s="44"/>
      <c r="AX23" s="59"/>
      <c r="AY23" s="59"/>
      <c r="AZ23" s="331"/>
      <c r="BA23" s="59"/>
      <c r="BB23" s="96"/>
      <c r="BC23" s="59"/>
      <c r="BD23" s="59"/>
      <c r="BE23" s="59"/>
      <c r="BF23" s="59"/>
      <c r="BG23" s="106"/>
      <c r="BH23" s="59"/>
      <c r="BI23" s="59"/>
      <c r="BJ23" s="187"/>
      <c r="BK23" s="59"/>
      <c r="BL23" s="96"/>
      <c r="BM23" s="59"/>
      <c r="BN23" s="59"/>
      <c r="BO23" s="59"/>
      <c r="BP23" s="59"/>
      <c r="BQ23" s="44"/>
      <c r="BR23" s="59"/>
      <c r="BS23" s="59"/>
      <c r="BT23" s="209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ht="26.25" hidden="1">
      <c r="A24" s="53">
        <v>16</v>
      </c>
      <c r="B24" s="56"/>
      <c r="C24" s="280">
        <v>1113093</v>
      </c>
      <c r="D24" s="281" t="s">
        <v>196</v>
      </c>
      <c r="E24" s="291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308"/>
      <c r="L24" s="196"/>
      <c r="M24" s="59"/>
      <c r="N24" s="96"/>
      <c r="O24" s="59"/>
      <c r="P24" s="59"/>
      <c r="Q24" s="59"/>
      <c r="R24" s="105"/>
      <c r="S24" s="106"/>
      <c r="T24" s="59"/>
      <c r="U24" s="59"/>
      <c r="V24" s="191"/>
      <c r="W24" s="59"/>
      <c r="X24" s="96"/>
      <c r="Y24" s="59"/>
      <c r="Z24" s="59"/>
      <c r="AA24" s="59"/>
      <c r="AB24" s="105"/>
      <c r="AC24" s="44"/>
      <c r="AD24" s="59"/>
      <c r="AE24" s="59"/>
      <c r="AF24" s="193"/>
      <c r="AG24" s="105"/>
      <c r="AH24" s="96"/>
      <c r="AI24" s="59"/>
      <c r="AJ24" s="59"/>
      <c r="AK24" s="59"/>
      <c r="AL24" s="105"/>
      <c r="AM24" s="44"/>
      <c r="AN24" s="59"/>
      <c r="AO24" s="59"/>
      <c r="AP24" s="194"/>
      <c r="AQ24" s="59"/>
      <c r="AR24" s="96"/>
      <c r="AS24" s="59"/>
      <c r="AT24" s="59"/>
      <c r="AU24" s="59"/>
      <c r="AV24" s="105"/>
      <c r="AW24" s="44"/>
      <c r="AX24" s="59"/>
      <c r="AY24" s="59"/>
      <c r="AZ24" s="263"/>
      <c r="BA24" s="59"/>
      <c r="BB24" s="96"/>
      <c r="BC24" s="59"/>
      <c r="BD24" s="59"/>
      <c r="BE24" s="59"/>
      <c r="BF24" s="105"/>
      <c r="BG24" s="44"/>
      <c r="BH24" s="105"/>
      <c r="BI24" s="59"/>
      <c r="BJ24" s="187"/>
      <c r="BK24" s="59"/>
      <c r="BL24" s="96"/>
      <c r="BM24" s="59"/>
      <c r="BN24" s="59"/>
      <c r="BO24" s="59"/>
      <c r="BP24" s="105"/>
      <c r="BQ24" s="44"/>
      <c r="BR24" s="59"/>
      <c r="BS24" s="59"/>
      <c r="BT24" s="209"/>
      <c r="BU24" s="59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53">
        <v>2</v>
      </c>
      <c r="B25" s="56"/>
      <c r="C25" s="54">
        <v>20039963</v>
      </c>
      <c r="D25" s="57" t="s">
        <v>446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59"/>
      <c r="N25" s="96"/>
      <c r="O25" s="59"/>
      <c r="P25" s="59"/>
      <c r="Q25" s="59"/>
      <c r="R25" s="59"/>
      <c r="S25" s="106"/>
      <c r="T25" s="59"/>
      <c r="U25" s="59"/>
      <c r="V25" s="107"/>
      <c r="W25" s="59"/>
      <c r="X25" s="96"/>
      <c r="Y25" s="59"/>
      <c r="Z25" s="59"/>
      <c r="AA25" s="59"/>
      <c r="AB25" s="59"/>
      <c r="AC25" s="106"/>
      <c r="AD25" s="59"/>
      <c r="AE25" s="59"/>
      <c r="AF25" s="108"/>
      <c r="AG25" s="59"/>
      <c r="AH25" s="96"/>
      <c r="AI25" s="59"/>
      <c r="AJ25" s="59"/>
      <c r="AK25" s="59"/>
      <c r="AL25" s="59"/>
      <c r="AM25" s="106"/>
      <c r="AN25" s="59"/>
      <c r="AO25" s="59"/>
      <c r="AP25" s="127"/>
      <c r="AQ25" s="59"/>
      <c r="AR25" s="96"/>
      <c r="AS25" s="59"/>
      <c r="AT25" s="59"/>
      <c r="AU25" s="59"/>
      <c r="AV25" s="59"/>
      <c r="AW25" s="106"/>
      <c r="AX25" s="59"/>
      <c r="AY25" s="59"/>
      <c r="AZ25" s="109"/>
      <c r="BA25" s="59"/>
      <c r="BB25" s="96"/>
      <c r="BC25" s="59"/>
      <c r="BD25" s="59"/>
      <c r="BE25" s="59"/>
      <c r="BF25" s="59"/>
      <c r="BG25" s="106"/>
      <c r="BH25" s="59"/>
      <c r="BI25" s="59"/>
      <c r="BJ25" s="110"/>
      <c r="BK25" s="59"/>
      <c r="BL25" s="96"/>
      <c r="BM25" s="59"/>
      <c r="BN25" s="59"/>
      <c r="BO25" s="59"/>
      <c r="BP25" s="59"/>
      <c r="BQ25" s="106"/>
      <c r="BR25" s="59"/>
      <c r="BS25" s="59"/>
      <c r="BT25" s="306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ht="26.25" hidden="1">
      <c r="A26" s="53">
        <v>17</v>
      </c>
      <c r="B26" s="56"/>
      <c r="C26" s="274">
        <v>1113087</v>
      </c>
      <c r="D26" s="246" t="s">
        <v>411</v>
      </c>
      <c r="E26" s="291" t="s">
        <v>27</v>
      </c>
      <c r="F26" s="54"/>
      <c r="G26" s="44"/>
      <c r="H26" s="58"/>
      <c r="I26" s="63">
        <f t="shared" si="0"/>
        <v>0</v>
      </c>
      <c r="J26" s="58"/>
      <c r="K26" s="308"/>
      <c r="L26" s="196"/>
      <c r="M26" s="59"/>
      <c r="N26" s="96"/>
      <c r="O26" s="105"/>
      <c r="P26" s="59"/>
      <c r="Q26" s="59"/>
      <c r="R26" s="105"/>
      <c r="S26" s="106"/>
      <c r="T26" s="59"/>
      <c r="U26" s="105"/>
      <c r="V26" s="191"/>
      <c r="W26" s="59"/>
      <c r="X26" s="96"/>
      <c r="Y26" s="105"/>
      <c r="Z26" s="59"/>
      <c r="AA26" s="59"/>
      <c r="AB26" s="105"/>
      <c r="AC26" s="44"/>
      <c r="AD26" s="59"/>
      <c r="AE26" s="59"/>
      <c r="AF26" s="193"/>
      <c r="AG26" s="105"/>
      <c r="AH26" s="96"/>
      <c r="AI26" s="105"/>
      <c r="AJ26" s="59"/>
      <c r="AK26" s="59"/>
      <c r="AL26" s="105"/>
      <c r="AM26" s="44"/>
      <c r="AN26" s="59"/>
      <c r="AO26" s="59"/>
      <c r="AP26" s="261"/>
      <c r="AQ26" s="59"/>
      <c r="AR26" s="96"/>
      <c r="AS26" s="105"/>
      <c r="AT26" s="59"/>
      <c r="AU26" s="59"/>
      <c r="AV26" s="105"/>
      <c r="AW26" s="106"/>
      <c r="AX26" s="59"/>
      <c r="AY26" s="59"/>
      <c r="AZ26" s="263"/>
      <c r="BA26" s="59"/>
      <c r="BB26" s="96"/>
      <c r="BC26" s="105"/>
      <c r="BD26" s="59"/>
      <c r="BE26" s="59"/>
      <c r="BF26" s="105"/>
      <c r="BG26" s="44"/>
      <c r="BH26" s="105"/>
      <c r="BI26" s="59"/>
      <c r="BJ26" s="187"/>
      <c r="BK26" s="105"/>
      <c r="BL26" s="96"/>
      <c r="BM26" s="105"/>
      <c r="BN26" s="59"/>
      <c r="BO26" s="59"/>
      <c r="BP26" s="105"/>
      <c r="BQ26" s="44"/>
      <c r="BR26" s="59"/>
      <c r="BS26" s="59"/>
      <c r="BT26" s="209"/>
      <c r="BU26" s="59"/>
      <c r="BV26" s="96"/>
      <c r="BW26" s="105"/>
      <c r="BX26" s="59"/>
      <c r="BY26" s="59"/>
      <c r="BZ26" s="105"/>
      <c r="CA26" s="44"/>
      <c r="CB26" s="59"/>
    </row>
    <row r="27" spans="1:80" ht="26.25" hidden="1">
      <c r="A27" s="53">
        <v>18</v>
      </c>
      <c r="B27" s="56"/>
      <c r="C27" s="54">
        <v>1005982</v>
      </c>
      <c r="D27" s="57" t="s">
        <v>199</v>
      </c>
      <c r="E27" s="274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308"/>
      <c r="L27" s="206"/>
      <c r="M27" s="59"/>
      <c r="N27" s="96"/>
      <c r="O27" s="59"/>
      <c r="P27" s="59"/>
      <c r="Q27" s="59"/>
      <c r="R27" s="59"/>
      <c r="S27" s="44"/>
      <c r="T27" s="59"/>
      <c r="U27" s="59"/>
      <c r="V27" s="191"/>
      <c r="W27" s="59"/>
      <c r="X27" s="96"/>
      <c r="Y27" s="59"/>
      <c r="Z27" s="59"/>
      <c r="AA27" s="59"/>
      <c r="AB27" s="59"/>
      <c r="AC27" s="44"/>
      <c r="AD27" s="59"/>
      <c r="AE27" s="59"/>
      <c r="AF27" s="193"/>
      <c r="AG27" s="59"/>
      <c r="AH27" s="96"/>
      <c r="AI27" s="59"/>
      <c r="AJ27" s="59"/>
      <c r="AK27" s="59"/>
      <c r="AL27" s="59"/>
      <c r="AM27" s="44"/>
      <c r="AN27" s="59"/>
      <c r="AO27" s="59"/>
      <c r="AP27" s="194"/>
      <c r="AQ27" s="59"/>
      <c r="AR27" s="96"/>
      <c r="AS27" s="59"/>
      <c r="AT27" s="59"/>
      <c r="AU27" s="59"/>
      <c r="AV27" s="59"/>
      <c r="AW27" s="44"/>
      <c r="AX27" s="59"/>
      <c r="AY27" s="59"/>
      <c r="AZ27" s="263"/>
      <c r="BA27" s="59"/>
      <c r="BB27" s="96"/>
      <c r="BC27" s="59"/>
      <c r="BD27" s="59"/>
      <c r="BE27" s="59"/>
      <c r="BF27" s="59"/>
      <c r="BG27" s="44"/>
      <c r="BH27" s="59"/>
      <c r="BI27" s="59"/>
      <c r="BJ27" s="187"/>
      <c r="BK27" s="59"/>
      <c r="BL27" s="96"/>
      <c r="BM27" s="59"/>
      <c r="BN27" s="59"/>
      <c r="BO27" s="59"/>
      <c r="BP27" s="59"/>
      <c r="BQ27" s="44"/>
      <c r="BR27" s="59"/>
      <c r="BS27" s="59"/>
      <c r="BT27" s="209"/>
      <c r="BU27" s="59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ht="26.25" hidden="1">
      <c r="A28" s="53">
        <v>5</v>
      </c>
      <c r="B28" s="56"/>
      <c r="C28" s="274">
        <v>1113086</v>
      </c>
      <c r="D28" s="246" t="s">
        <v>200</v>
      </c>
      <c r="E28" s="64" t="s">
        <v>42</v>
      </c>
      <c r="F28" s="54"/>
      <c r="G28" s="44"/>
      <c r="H28" s="58">
        <v>0</v>
      </c>
      <c r="I28" s="45">
        <f t="shared" si="0"/>
        <v>0</v>
      </c>
      <c r="J28" s="58">
        <v>0</v>
      </c>
      <c r="K28" s="59"/>
      <c r="L28" s="206"/>
      <c r="M28" s="59"/>
      <c r="N28" s="96"/>
      <c r="O28" s="59"/>
      <c r="P28" s="59"/>
      <c r="Q28" s="59"/>
      <c r="R28" s="59"/>
      <c r="S28" s="44"/>
      <c r="T28" s="59"/>
      <c r="U28" s="59"/>
      <c r="V28" s="191"/>
      <c r="W28" s="59"/>
      <c r="X28" s="96"/>
      <c r="Y28" s="59"/>
      <c r="Z28" s="59"/>
      <c r="AA28" s="59"/>
      <c r="AB28" s="59"/>
      <c r="AC28" s="44"/>
      <c r="AD28" s="59"/>
      <c r="AE28" s="59"/>
      <c r="AF28" s="328"/>
      <c r="AG28" s="59"/>
      <c r="AH28" s="96"/>
      <c r="AI28" s="59"/>
      <c r="AJ28" s="59"/>
      <c r="AK28" s="59"/>
      <c r="AL28" s="59"/>
      <c r="AM28" s="44"/>
      <c r="AN28" s="59"/>
      <c r="AO28" s="59"/>
      <c r="AP28" s="284"/>
      <c r="AQ28" s="59"/>
      <c r="AR28" s="96"/>
      <c r="AS28" s="59"/>
      <c r="AT28" s="59"/>
      <c r="AU28" s="59"/>
      <c r="AV28" s="59"/>
      <c r="AW28" s="44"/>
      <c r="AX28" s="59"/>
      <c r="AY28" s="59"/>
      <c r="AZ28" s="329"/>
      <c r="BA28" s="59"/>
      <c r="BB28" s="96"/>
      <c r="BC28" s="59"/>
      <c r="BD28" s="59"/>
      <c r="BE28" s="59"/>
      <c r="BF28" s="59"/>
      <c r="BG28" s="44"/>
      <c r="BH28" s="59"/>
      <c r="BI28" s="59"/>
      <c r="BJ28" s="187"/>
      <c r="BK28" s="59"/>
      <c r="BL28" s="96"/>
      <c r="BM28" s="59"/>
      <c r="BN28" s="59"/>
      <c r="BO28" s="59"/>
      <c r="BP28" s="59"/>
      <c r="BQ28" s="44"/>
      <c r="BR28" s="59"/>
      <c r="BS28" s="59"/>
      <c r="BT28" s="209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ht="26.25">
      <c r="A29" s="168">
        <v>1</v>
      </c>
      <c r="B29" s="170"/>
      <c r="C29" s="169">
        <v>1005985</v>
      </c>
      <c r="D29" s="267" t="s">
        <v>202</v>
      </c>
      <c r="E29" s="169" t="s">
        <v>203</v>
      </c>
      <c r="F29" s="169"/>
      <c r="G29" s="183"/>
      <c r="H29" s="184">
        <v>0</v>
      </c>
      <c r="I29" s="217">
        <f t="shared" si="0"/>
        <v>0</v>
      </c>
      <c r="J29" s="184">
        <v>0</v>
      </c>
      <c r="K29" s="185"/>
      <c r="L29" s="416"/>
      <c r="M29" s="221"/>
      <c r="N29" s="96"/>
      <c r="O29" s="59"/>
      <c r="P29" s="59"/>
      <c r="Q29" s="59"/>
      <c r="R29" s="59"/>
      <c r="S29" s="44"/>
      <c r="T29" s="59"/>
      <c r="U29" s="59"/>
      <c r="V29" s="411"/>
      <c r="W29" s="221"/>
      <c r="X29" s="96"/>
      <c r="Y29" s="59"/>
      <c r="Z29" s="59"/>
      <c r="AA29" s="59"/>
      <c r="AB29" s="59"/>
      <c r="AC29" s="44"/>
      <c r="AD29" s="59"/>
      <c r="AE29" s="59"/>
      <c r="AF29" s="412"/>
      <c r="AG29" s="221"/>
      <c r="AH29" s="96"/>
      <c r="AI29" s="59"/>
      <c r="AJ29" s="59"/>
      <c r="AK29" s="59"/>
      <c r="AL29" s="59"/>
      <c r="AM29" s="44"/>
      <c r="AN29" s="59"/>
      <c r="AO29" s="59"/>
      <c r="AP29" s="413"/>
      <c r="AQ29" s="221"/>
      <c r="AR29" s="96"/>
      <c r="AS29" s="59"/>
      <c r="AT29" s="59"/>
      <c r="AU29" s="59"/>
      <c r="AV29" s="59"/>
      <c r="AW29" s="44"/>
      <c r="AX29" s="59"/>
      <c r="AY29" s="59"/>
      <c r="AZ29" s="414"/>
      <c r="BA29" s="221"/>
      <c r="BB29" s="96"/>
      <c r="BC29" s="59"/>
      <c r="BD29" s="59"/>
      <c r="BE29" s="59"/>
      <c r="BF29" s="59"/>
      <c r="BG29" s="44"/>
      <c r="BH29" s="59"/>
      <c r="BI29" s="59"/>
      <c r="BJ29" s="415"/>
      <c r="BK29" s="221"/>
      <c r="BL29" s="96"/>
      <c r="BM29" s="59"/>
      <c r="BN29" s="59"/>
      <c r="BO29" s="59"/>
      <c r="BP29" s="59"/>
      <c r="BQ29" s="44"/>
      <c r="BR29" s="59"/>
      <c r="BS29" s="59"/>
      <c r="BT29" s="218"/>
      <c r="BU29" s="221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ht="26.25" hidden="1">
      <c r="A30" s="53">
        <v>2</v>
      </c>
      <c r="B30" s="56"/>
      <c r="C30" s="280">
        <v>1113088</v>
      </c>
      <c r="D30" s="281" t="s">
        <v>208</v>
      </c>
      <c r="E30" s="64" t="s">
        <v>170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196"/>
      <c r="M30" s="59"/>
      <c r="N30" s="96"/>
      <c r="O30" s="59"/>
      <c r="P30" s="59"/>
      <c r="Q30" s="59"/>
      <c r="R30" s="59"/>
      <c r="S30" s="106"/>
      <c r="T30" s="59"/>
      <c r="U30" s="59"/>
      <c r="V30" s="225"/>
      <c r="W30" s="59"/>
      <c r="X30" s="96"/>
      <c r="Y30" s="59"/>
      <c r="Z30" s="59"/>
      <c r="AA30" s="59"/>
      <c r="AB30" s="59"/>
      <c r="AC30" s="44"/>
      <c r="AD30" s="59"/>
      <c r="AE30" s="59"/>
      <c r="AF30" s="330"/>
      <c r="AG30" s="59"/>
      <c r="AH30" s="96"/>
      <c r="AI30" s="59"/>
      <c r="AJ30" s="59"/>
      <c r="AK30" s="59"/>
      <c r="AL30" s="59"/>
      <c r="AM30" s="106"/>
      <c r="AN30" s="59"/>
      <c r="AO30" s="59"/>
      <c r="AP30" s="285"/>
      <c r="AQ30" s="59"/>
      <c r="AR30" s="96"/>
      <c r="AS30" s="59"/>
      <c r="AT30" s="59"/>
      <c r="AU30" s="59"/>
      <c r="AV30" s="59"/>
      <c r="AW30" s="44"/>
      <c r="AX30" s="59"/>
      <c r="AY30" s="59"/>
      <c r="AZ30" s="331"/>
      <c r="BA30" s="59"/>
      <c r="BB30" s="96"/>
      <c r="BC30" s="59"/>
      <c r="BD30" s="59"/>
      <c r="BE30" s="59"/>
      <c r="BF30" s="59"/>
      <c r="BG30" s="106"/>
      <c r="BH30" s="59"/>
      <c r="BI30" s="59"/>
      <c r="BJ30" s="187"/>
      <c r="BK30" s="59"/>
      <c r="BL30" s="96"/>
      <c r="BM30" s="59"/>
      <c r="BN30" s="59"/>
      <c r="BO30" s="59"/>
      <c r="BP30" s="59"/>
      <c r="BQ30" s="44"/>
      <c r="BR30" s="59"/>
      <c r="BS30" s="59"/>
      <c r="BT30" s="209"/>
      <c r="BU30" s="59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ht="26.25" hidden="1">
      <c r="A31" s="168">
        <v>2</v>
      </c>
      <c r="B31" s="170"/>
      <c r="C31" s="169">
        <v>1113155</v>
      </c>
      <c r="D31" s="267" t="s">
        <v>214</v>
      </c>
      <c r="E31" s="169" t="s">
        <v>31</v>
      </c>
      <c r="F31" s="169"/>
      <c r="G31" s="183"/>
      <c r="H31" s="260">
        <v>0</v>
      </c>
      <c r="I31" s="63">
        <f t="shared" si="0"/>
        <v>0</v>
      </c>
      <c r="J31" s="58">
        <v>0</v>
      </c>
      <c r="K31" s="59"/>
      <c r="L31" s="111"/>
      <c r="M31" s="59"/>
      <c r="N31" s="96"/>
      <c r="O31" s="105"/>
      <c r="P31" s="59"/>
      <c r="Q31" s="59"/>
      <c r="R31" s="105"/>
      <c r="S31" s="106"/>
      <c r="T31" s="59"/>
      <c r="U31" s="105"/>
      <c r="V31" s="97"/>
      <c r="W31" s="59"/>
      <c r="X31" s="96"/>
      <c r="Y31" s="105"/>
      <c r="Z31" s="59"/>
      <c r="AA31" s="59"/>
      <c r="AB31" s="105"/>
      <c r="AC31" s="44"/>
      <c r="AD31" s="59"/>
      <c r="AE31" s="59"/>
      <c r="AF31" s="98"/>
      <c r="AG31" s="105"/>
      <c r="AH31" s="96"/>
      <c r="AI31" s="105"/>
      <c r="AJ31" s="59"/>
      <c r="AK31" s="59"/>
      <c r="AL31" s="105"/>
      <c r="AM31" s="44"/>
      <c r="AN31" s="59"/>
      <c r="AO31" s="59"/>
      <c r="AP31" s="112"/>
      <c r="AQ31" s="59"/>
      <c r="AR31" s="96"/>
      <c r="AS31" s="105"/>
      <c r="AT31" s="59"/>
      <c r="AU31" s="59"/>
      <c r="AV31" s="105"/>
      <c r="AW31" s="106"/>
      <c r="AX31" s="59"/>
      <c r="AY31" s="59"/>
      <c r="AZ31" s="103"/>
      <c r="BA31" s="59"/>
      <c r="BB31" s="96"/>
      <c r="BC31" s="105"/>
      <c r="BD31" s="59"/>
      <c r="BE31" s="59"/>
      <c r="BF31" s="105"/>
      <c r="BG31" s="44"/>
      <c r="BH31" s="105"/>
      <c r="BI31" s="59"/>
      <c r="BJ31" s="100"/>
      <c r="BK31" s="105"/>
      <c r="BL31" s="96"/>
      <c r="BM31" s="105"/>
      <c r="BN31" s="59"/>
      <c r="BO31" s="59"/>
      <c r="BP31" s="105"/>
      <c r="BQ31" s="44"/>
      <c r="BR31" s="59"/>
      <c r="BS31" s="59"/>
      <c r="BT31" s="101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53">
        <v>3</v>
      </c>
      <c r="B32" s="56"/>
      <c r="C32" s="54">
        <v>20053132</v>
      </c>
      <c r="D32" s="57" t="s">
        <v>447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59"/>
      <c r="N32" s="96"/>
      <c r="O32" s="59"/>
      <c r="P32" s="59"/>
      <c r="Q32" s="59"/>
      <c r="R32" s="59"/>
      <c r="S32" s="106"/>
      <c r="T32" s="59"/>
      <c r="U32" s="59"/>
      <c r="V32" s="107"/>
      <c r="W32" s="59"/>
      <c r="X32" s="96"/>
      <c r="Y32" s="59"/>
      <c r="Z32" s="59"/>
      <c r="AA32" s="59"/>
      <c r="AB32" s="59"/>
      <c r="AC32" s="106"/>
      <c r="AD32" s="59"/>
      <c r="AE32" s="59"/>
      <c r="AF32" s="108"/>
      <c r="AG32" s="59"/>
      <c r="AH32" s="96"/>
      <c r="AI32" s="59"/>
      <c r="AJ32" s="59"/>
      <c r="AK32" s="59"/>
      <c r="AL32" s="59"/>
      <c r="AM32" s="106"/>
      <c r="AN32" s="59"/>
      <c r="AO32" s="59"/>
      <c r="AP32" s="127"/>
      <c r="AQ32" s="59"/>
      <c r="AR32" s="96"/>
      <c r="AS32" s="59"/>
      <c r="AT32" s="59"/>
      <c r="AU32" s="59"/>
      <c r="AV32" s="59"/>
      <c r="AW32" s="106"/>
      <c r="AX32" s="59"/>
      <c r="AY32" s="59"/>
      <c r="AZ32" s="109"/>
      <c r="BA32" s="59"/>
      <c r="BB32" s="96"/>
      <c r="BC32" s="59"/>
      <c r="BD32" s="59"/>
      <c r="BE32" s="59"/>
      <c r="BF32" s="59"/>
      <c r="BG32" s="106"/>
      <c r="BH32" s="59"/>
      <c r="BI32" s="59"/>
      <c r="BJ32" s="110"/>
      <c r="BK32" s="59"/>
      <c r="BL32" s="96"/>
      <c r="BM32" s="59"/>
      <c r="BN32" s="59"/>
      <c r="BO32" s="59"/>
      <c r="BP32" s="59"/>
      <c r="BQ32" s="106"/>
      <c r="BR32" s="59"/>
      <c r="BS32" s="59"/>
      <c r="BT32" s="306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53">
        <v>4</v>
      </c>
      <c r="B33" s="56"/>
      <c r="C33" s="54">
        <v>20049130</v>
      </c>
      <c r="D33" s="57" t="s">
        <v>428</v>
      </c>
      <c r="E33" s="54" t="s">
        <v>69</v>
      </c>
      <c r="F33" s="54"/>
      <c r="G33" s="44"/>
      <c r="H33" s="58">
        <v>0</v>
      </c>
      <c r="I33" s="63">
        <f t="shared" si="0"/>
        <v>0</v>
      </c>
      <c r="J33" s="58">
        <v>0</v>
      </c>
      <c r="K33" s="59"/>
      <c r="L33" s="104"/>
      <c r="M33" s="59"/>
      <c r="N33" s="96"/>
      <c r="O33" s="59"/>
      <c r="P33" s="59"/>
      <c r="Q33" s="59"/>
      <c r="R33" s="59"/>
      <c r="S33" s="106"/>
      <c r="T33" s="59"/>
      <c r="U33" s="59"/>
      <c r="V33" s="107"/>
      <c r="W33" s="59"/>
      <c r="X33" s="96"/>
      <c r="Y33" s="59"/>
      <c r="Z33" s="59"/>
      <c r="AA33" s="59"/>
      <c r="AB33" s="59"/>
      <c r="AC33" s="106"/>
      <c r="AD33" s="59"/>
      <c r="AE33" s="59"/>
      <c r="AF33" s="108"/>
      <c r="AG33" s="59"/>
      <c r="AH33" s="96"/>
      <c r="AI33" s="59"/>
      <c r="AJ33" s="59"/>
      <c r="AK33" s="59"/>
      <c r="AL33" s="59"/>
      <c r="AM33" s="106"/>
      <c r="AN33" s="59"/>
      <c r="AO33" s="59"/>
      <c r="AP33" s="127"/>
      <c r="AQ33" s="59"/>
      <c r="AR33" s="96"/>
      <c r="AS33" s="59"/>
      <c r="AT33" s="59"/>
      <c r="AU33" s="59"/>
      <c r="AV33" s="59"/>
      <c r="AW33" s="106"/>
      <c r="AX33" s="59"/>
      <c r="AY33" s="59"/>
      <c r="AZ33" s="109"/>
      <c r="BA33" s="59"/>
      <c r="BB33" s="96"/>
      <c r="BC33" s="59"/>
      <c r="BD33" s="59"/>
      <c r="BE33" s="59"/>
      <c r="BF33" s="59"/>
      <c r="BG33" s="106"/>
      <c r="BH33" s="59"/>
      <c r="BI33" s="59"/>
      <c r="BJ33" s="110"/>
      <c r="BK33" s="59"/>
      <c r="BL33" s="96"/>
      <c r="BM33" s="59"/>
      <c r="BN33" s="59"/>
      <c r="BO33" s="59"/>
      <c r="BP33" s="59"/>
      <c r="BQ33" s="106"/>
      <c r="BR33" s="59"/>
      <c r="BS33" s="59"/>
      <c r="BT33" s="306"/>
      <c r="BU33" s="59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ht="26.25" hidden="1">
      <c r="A34" s="53">
        <v>5</v>
      </c>
      <c r="B34" s="56"/>
      <c r="C34" s="54">
        <v>20051101</v>
      </c>
      <c r="D34" s="57" t="s">
        <v>429</v>
      </c>
      <c r="E34" s="54" t="s">
        <v>69</v>
      </c>
      <c r="F34" s="54"/>
      <c r="G34" s="44"/>
      <c r="H34" s="58">
        <v>0</v>
      </c>
      <c r="I34" s="63">
        <f t="shared" ref="I34:I69" si="3">SUM(L34,V34,AF34,AP34,AZ34,BJ34,BT34)</f>
        <v>0</v>
      </c>
      <c r="J34" s="58">
        <v>0</v>
      </c>
      <c r="K34" s="59"/>
      <c r="L34" s="104"/>
      <c r="M34" s="59"/>
      <c r="N34" s="96"/>
      <c r="O34" s="105"/>
      <c r="P34" s="59"/>
      <c r="Q34" s="59"/>
      <c r="R34" s="105"/>
      <c r="S34" s="106"/>
      <c r="T34" s="59"/>
      <c r="U34" s="105"/>
      <c r="V34" s="107"/>
      <c r="W34" s="59"/>
      <c r="X34" s="96"/>
      <c r="Y34" s="105"/>
      <c r="Z34" s="59"/>
      <c r="AA34" s="59"/>
      <c r="AB34" s="105"/>
      <c r="AC34" s="106"/>
      <c r="AD34" s="59"/>
      <c r="AE34" s="59"/>
      <c r="AF34" s="108"/>
      <c r="AG34" s="105"/>
      <c r="AH34" s="96"/>
      <c r="AI34" s="105"/>
      <c r="AJ34" s="59"/>
      <c r="AK34" s="59"/>
      <c r="AL34" s="105"/>
      <c r="AM34" s="106"/>
      <c r="AN34" s="59"/>
      <c r="AO34" s="59"/>
      <c r="AP34" s="127"/>
      <c r="AQ34" s="59"/>
      <c r="AR34" s="96"/>
      <c r="AS34" s="105"/>
      <c r="AT34" s="59"/>
      <c r="AU34" s="59"/>
      <c r="AV34" s="105"/>
      <c r="AW34" s="106"/>
      <c r="AX34" s="59"/>
      <c r="AY34" s="59"/>
      <c r="AZ34" s="109"/>
      <c r="BA34" s="59"/>
      <c r="BB34" s="96"/>
      <c r="BC34" s="105"/>
      <c r="BD34" s="59"/>
      <c r="BE34" s="59"/>
      <c r="BF34" s="105"/>
      <c r="BG34" s="106"/>
      <c r="BH34" s="105"/>
      <c r="BI34" s="59"/>
      <c r="BJ34" s="110"/>
      <c r="BK34" s="105"/>
      <c r="BL34" s="96"/>
      <c r="BM34" s="105"/>
      <c r="BN34" s="59"/>
      <c r="BO34" s="59"/>
      <c r="BP34" s="105"/>
      <c r="BQ34" s="106"/>
      <c r="BR34" s="59"/>
      <c r="BS34" s="59"/>
      <c r="BT34" s="306"/>
      <c r="BU34" s="5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 hidden="1">
      <c r="A35" s="53">
        <v>6</v>
      </c>
      <c r="B35" s="56"/>
      <c r="C35" s="54">
        <v>20052721</v>
      </c>
      <c r="D35" s="57" t="s">
        <v>430</v>
      </c>
      <c r="E35" s="54" t="s">
        <v>69</v>
      </c>
      <c r="F35" s="54"/>
      <c r="G35" s="44"/>
      <c r="H35" s="58">
        <v>0</v>
      </c>
      <c r="I35" s="63">
        <f t="shared" si="3"/>
        <v>0</v>
      </c>
      <c r="J35" s="58">
        <v>0</v>
      </c>
      <c r="K35" s="59"/>
      <c r="L35" s="104"/>
      <c r="M35" s="59"/>
      <c r="N35" s="96"/>
      <c r="O35" s="105"/>
      <c r="P35" s="59"/>
      <c r="Q35" s="59"/>
      <c r="R35" s="105"/>
      <c r="S35" s="106"/>
      <c r="T35" s="59"/>
      <c r="U35" s="105"/>
      <c r="V35" s="107"/>
      <c r="W35" s="59"/>
      <c r="X35" s="96"/>
      <c r="Y35" s="105"/>
      <c r="Z35" s="59"/>
      <c r="AA35" s="59"/>
      <c r="AB35" s="105"/>
      <c r="AC35" s="106"/>
      <c r="AD35" s="59"/>
      <c r="AE35" s="59"/>
      <c r="AF35" s="108"/>
      <c r="AG35" s="105"/>
      <c r="AH35" s="96"/>
      <c r="AI35" s="105"/>
      <c r="AJ35" s="59"/>
      <c r="AK35" s="59"/>
      <c r="AL35" s="105"/>
      <c r="AM35" s="106"/>
      <c r="AN35" s="59"/>
      <c r="AO35" s="59"/>
      <c r="AP35" s="127"/>
      <c r="AQ35" s="59"/>
      <c r="AR35" s="96"/>
      <c r="AS35" s="105"/>
      <c r="AT35" s="59"/>
      <c r="AU35" s="59"/>
      <c r="AV35" s="105"/>
      <c r="AW35" s="106"/>
      <c r="AX35" s="59"/>
      <c r="AY35" s="59"/>
      <c r="AZ35" s="109"/>
      <c r="BA35" s="59"/>
      <c r="BB35" s="96"/>
      <c r="BC35" s="105"/>
      <c r="BD35" s="59"/>
      <c r="BE35" s="59"/>
      <c r="BF35" s="105"/>
      <c r="BG35" s="106"/>
      <c r="BH35" s="105"/>
      <c r="BI35" s="59"/>
      <c r="BJ35" s="110"/>
      <c r="BK35" s="105"/>
      <c r="BL35" s="96"/>
      <c r="BM35" s="105"/>
      <c r="BN35" s="59"/>
      <c r="BO35" s="59"/>
      <c r="BP35" s="105"/>
      <c r="BQ35" s="106"/>
      <c r="BR35" s="59"/>
      <c r="BS35" s="59"/>
      <c r="BT35" s="306"/>
      <c r="BU35" s="59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ht="26.25" hidden="1">
      <c r="A36" s="53">
        <v>7</v>
      </c>
      <c r="B36" s="56"/>
      <c r="C36" s="294">
        <v>1113148</v>
      </c>
      <c r="D36" s="295" t="s">
        <v>348</v>
      </c>
      <c r="E36" s="64" t="s">
        <v>42</v>
      </c>
      <c r="F36" s="54"/>
      <c r="G36" s="44"/>
      <c r="H36" s="58">
        <v>0</v>
      </c>
      <c r="I36" s="45">
        <f t="shared" si="3"/>
        <v>0</v>
      </c>
      <c r="J36" s="58">
        <v>0</v>
      </c>
      <c r="K36" s="59"/>
      <c r="L36" s="192"/>
      <c r="M36" s="59"/>
      <c r="N36" s="96"/>
      <c r="O36" s="59"/>
      <c r="P36" s="59"/>
      <c r="Q36" s="59"/>
      <c r="R36" s="59"/>
      <c r="S36" s="44"/>
      <c r="T36" s="59"/>
      <c r="U36" s="59"/>
      <c r="V36" s="191"/>
      <c r="W36" s="59"/>
      <c r="X36" s="96"/>
      <c r="Y36" s="59"/>
      <c r="Z36" s="59"/>
      <c r="AA36" s="59"/>
      <c r="AB36" s="59"/>
      <c r="AC36" s="44"/>
      <c r="AD36" s="59"/>
      <c r="AE36" s="59"/>
      <c r="AF36" s="332"/>
      <c r="AG36" s="59"/>
      <c r="AH36" s="96"/>
      <c r="AI36" s="59"/>
      <c r="AJ36" s="59"/>
      <c r="AK36" s="59"/>
      <c r="AL36" s="59"/>
      <c r="AM36" s="44"/>
      <c r="AN36" s="59"/>
      <c r="AO36" s="59"/>
      <c r="AP36" s="284"/>
      <c r="AQ36" s="59"/>
      <c r="AR36" s="96"/>
      <c r="AS36" s="59"/>
      <c r="AT36" s="59"/>
      <c r="AU36" s="59"/>
      <c r="AV36" s="59"/>
      <c r="AW36" s="44"/>
      <c r="AX36" s="59"/>
      <c r="AY36" s="59"/>
      <c r="AZ36" s="333"/>
      <c r="BA36" s="59"/>
      <c r="BB36" s="96"/>
      <c r="BC36" s="59"/>
      <c r="BD36" s="59"/>
      <c r="BE36" s="59"/>
      <c r="BF36" s="59"/>
      <c r="BG36" s="44"/>
      <c r="BH36" s="59"/>
      <c r="BI36" s="59"/>
      <c r="BJ36" s="187"/>
      <c r="BK36" s="59"/>
      <c r="BL36" s="96"/>
      <c r="BM36" s="59"/>
      <c r="BN36" s="59"/>
      <c r="BO36" s="59"/>
      <c r="BP36" s="59"/>
      <c r="BQ36" s="44"/>
      <c r="BR36" s="59"/>
      <c r="BS36" s="59"/>
      <c r="BT36" s="209"/>
      <c r="BU36" s="59">
        <v>0</v>
      </c>
      <c r="BV36" s="96">
        <f t="shared" ref="BV36:BV46" si="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5">BT36-BX36</f>
        <v>0</v>
      </c>
      <c r="CB36" s="59"/>
    </row>
    <row r="37" spans="1:80" ht="26.25" hidden="1">
      <c r="A37" s="165">
        <v>8</v>
      </c>
      <c r="B37" s="132"/>
      <c r="C37" s="592">
        <v>1113149</v>
      </c>
      <c r="D37" s="593" t="s">
        <v>349</v>
      </c>
      <c r="E37" s="135" t="s">
        <v>42</v>
      </c>
      <c r="F37" s="73"/>
      <c r="G37" s="116"/>
      <c r="H37" s="129">
        <v>0</v>
      </c>
      <c r="I37" s="222">
        <f t="shared" si="3"/>
        <v>0</v>
      </c>
      <c r="J37" s="129">
        <v>0</v>
      </c>
      <c r="K37" s="117"/>
      <c r="L37" s="211"/>
      <c r="M37" s="59"/>
      <c r="N37" s="96"/>
      <c r="O37" s="59"/>
      <c r="P37" s="59"/>
      <c r="Q37" s="59"/>
      <c r="R37" s="59"/>
      <c r="S37" s="44"/>
      <c r="T37" s="59"/>
      <c r="U37" s="59"/>
      <c r="V37" s="212"/>
      <c r="W37" s="59"/>
      <c r="X37" s="96"/>
      <c r="Y37" s="59"/>
      <c r="Z37" s="59"/>
      <c r="AA37" s="59"/>
      <c r="AB37" s="59"/>
      <c r="AC37" s="44"/>
      <c r="AD37" s="59"/>
      <c r="AE37" s="59"/>
      <c r="AF37" s="594"/>
      <c r="AG37" s="59"/>
      <c r="AH37" s="96"/>
      <c r="AI37" s="59"/>
      <c r="AJ37" s="59"/>
      <c r="AK37" s="59"/>
      <c r="AL37" s="59"/>
      <c r="AM37" s="44"/>
      <c r="AN37" s="59"/>
      <c r="AO37" s="59"/>
      <c r="AP37" s="595"/>
      <c r="AQ37" s="59"/>
      <c r="AR37" s="96"/>
      <c r="AS37" s="59"/>
      <c r="AT37" s="59"/>
      <c r="AU37" s="59"/>
      <c r="AV37" s="59"/>
      <c r="AW37" s="44"/>
      <c r="AX37" s="59"/>
      <c r="AY37" s="59"/>
      <c r="AZ37" s="596"/>
      <c r="BA37" s="59"/>
      <c r="BB37" s="96"/>
      <c r="BC37" s="59"/>
      <c r="BD37" s="59"/>
      <c r="BE37" s="59"/>
      <c r="BF37" s="59"/>
      <c r="BG37" s="44"/>
      <c r="BH37" s="59"/>
      <c r="BI37" s="59"/>
      <c r="BJ37" s="216"/>
      <c r="BK37" s="59"/>
      <c r="BL37" s="96"/>
      <c r="BM37" s="59"/>
      <c r="BN37" s="59"/>
      <c r="BO37" s="59"/>
      <c r="BP37" s="59"/>
      <c r="BQ37" s="44"/>
      <c r="BR37" s="59"/>
      <c r="BS37" s="59"/>
      <c r="BT37" s="223"/>
      <c r="BU37" s="59">
        <v>0</v>
      </c>
      <c r="BV37" s="96">
        <f t="shared" si="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5"/>
        <v>0</v>
      </c>
      <c r="CB37" s="59"/>
    </row>
    <row r="38" spans="1:80" ht="26.25" hidden="1">
      <c r="A38" s="168">
        <v>9</v>
      </c>
      <c r="B38" s="170"/>
      <c r="C38" s="169">
        <v>1113192</v>
      </c>
      <c r="D38" s="267" t="s">
        <v>351</v>
      </c>
      <c r="E38" s="219" t="s">
        <v>42</v>
      </c>
      <c r="F38" s="169"/>
      <c r="G38" s="183"/>
      <c r="H38" s="184">
        <v>0</v>
      </c>
      <c r="I38" s="217">
        <f t="shared" si="3"/>
        <v>0</v>
      </c>
      <c r="J38" s="184">
        <v>0</v>
      </c>
      <c r="K38" s="185"/>
      <c r="L38" s="257"/>
      <c r="M38" s="221"/>
      <c r="N38" s="96"/>
      <c r="O38" s="59"/>
      <c r="P38" s="59"/>
      <c r="Q38" s="59"/>
      <c r="R38" s="59"/>
      <c r="S38" s="106"/>
      <c r="T38" s="59"/>
      <c r="U38" s="220"/>
      <c r="V38" s="203"/>
      <c r="W38" s="221"/>
      <c r="X38" s="96"/>
      <c r="Y38" s="59"/>
      <c r="Z38" s="59"/>
      <c r="AA38" s="59"/>
      <c r="AB38" s="59"/>
      <c r="AC38" s="44"/>
      <c r="AD38" s="59"/>
      <c r="AE38" s="220"/>
      <c r="AF38" s="599"/>
      <c r="AG38" s="221"/>
      <c r="AH38" s="96"/>
      <c r="AI38" s="59"/>
      <c r="AJ38" s="59"/>
      <c r="AK38" s="59"/>
      <c r="AL38" s="59"/>
      <c r="AM38" s="106"/>
      <c r="AN38" s="59"/>
      <c r="AO38" s="220"/>
      <c r="AP38" s="600"/>
      <c r="AQ38" s="221"/>
      <c r="AR38" s="96"/>
      <c r="AS38" s="59"/>
      <c r="AT38" s="59"/>
      <c r="AU38" s="59"/>
      <c r="AV38" s="59"/>
      <c r="AW38" s="44"/>
      <c r="AX38" s="59"/>
      <c r="AY38" s="220"/>
      <c r="AZ38" s="601"/>
      <c r="BA38" s="221"/>
      <c r="BB38" s="96"/>
      <c r="BC38" s="59"/>
      <c r="BD38" s="59"/>
      <c r="BE38" s="59"/>
      <c r="BF38" s="59"/>
      <c r="BG38" s="106"/>
      <c r="BH38" s="59"/>
      <c r="BI38" s="220"/>
      <c r="BJ38" s="266"/>
      <c r="BK38" s="221"/>
      <c r="BL38" s="96"/>
      <c r="BM38" s="59"/>
      <c r="BN38" s="59"/>
      <c r="BO38" s="59"/>
      <c r="BP38" s="59"/>
      <c r="BQ38" s="44"/>
      <c r="BR38" s="59"/>
      <c r="BS38" s="220"/>
      <c r="BT38" s="205"/>
      <c r="BU38" s="221">
        <v>0</v>
      </c>
      <c r="BV38" s="96">
        <f t="shared" si="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5"/>
        <v>0</v>
      </c>
      <c r="CB38" s="59"/>
    </row>
    <row r="39" spans="1:80" ht="26.25" hidden="1">
      <c r="A39" s="168">
        <v>10</v>
      </c>
      <c r="B39" s="170"/>
      <c r="C39" s="312">
        <v>1113194</v>
      </c>
      <c r="D39" s="313" t="s">
        <v>353</v>
      </c>
      <c r="E39" s="219" t="s">
        <v>42</v>
      </c>
      <c r="F39" s="169"/>
      <c r="G39" s="183"/>
      <c r="H39" s="184">
        <v>0</v>
      </c>
      <c r="I39" s="217">
        <f t="shared" si="3"/>
        <v>0</v>
      </c>
      <c r="J39" s="184">
        <v>0</v>
      </c>
      <c r="K39" s="185"/>
      <c r="L39" s="257"/>
      <c r="M39" s="221"/>
      <c r="N39" s="96"/>
      <c r="O39" s="59"/>
      <c r="P39" s="59"/>
      <c r="Q39" s="59"/>
      <c r="R39" s="105"/>
      <c r="S39" s="106"/>
      <c r="T39" s="59"/>
      <c r="U39" s="220"/>
      <c r="V39" s="226"/>
      <c r="W39" s="221"/>
      <c r="X39" s="96"/>
      <c r="Y39" s="59"/>
      <c r="Z39" s="59"/>
      <c r="AA39" s="59"/>
      <c r="AB39" s="105"/>
      <c r="AC39" s="44"/>
      <c r="AD39" s="59"/>
      <c r="AE39" s="220"/>
      <c r="AF39" s="599"/>
      <c r="AG39" s="400"/>
      <c r="AH39" s="96"/>
      <c r="AI39" s="59"/>
      <c r="AJ39" s="59"/>
      <c r="AK39" s="59"/>
      <c r="AL39" s="105"/>
      <c r="AM39" s="106"/>
      <c r="AN39" s="59"/>
      <c r="AO39" s="220"/>
      <c r="AP39" s="600"/>
      <c r="AQ39" s="221"/>
      <c r="AR39" s="96"/>
      <c r="AS39" s="59"/>
      <c r="AT39" s="59"/>
      <c r="AU39" s="59"/>
      <c r="AV39" s="105"/>
      <c r="AW39" s="44"/>
      <c r="AX39" s="59"/>
      <c r="AY39" s="220"/>
      <c r="AZ39" s="601"/>
      <c r="BA39" s="221"/>
      <c r="BB39" s="96"/>
      <c r="BC39" s="59"/>
      <c r="BD39" s="59"/>
      <c r="BE39" s="59"/>
      <c r="BF39" s="105"/>
      <c r="BG39" s="106"/>
      <c r="BH39" s="105"/>
      <c r="BI39" s="220"/>
      <c r="BJ39" s="266"/>
      <c r="BK39" s="221"/>
      <c r="BL39" s="96"/>
      <c r="BM39" s="59"/>
      <c r="BN39" s="59"/>
      <c r="BO39" s="59"/>
      <c r="BP39" s="105"/>
      <c r="BQ39" s="44"/>
      <c r="BR39" s="59"/>
      <c r="BS39" s="220"/>
      <c r="BT39" s="205"/>
      <c r="BU39" s="221">
        <v>0</v>
      </c>
      <c r="BV39" s="96">
        <f t="shared" si="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5"/>
        <v>0</v>
      </c>
      <c r="CB39" s="59"/>
    </row>
    <row r="40" spans="1:80" ht="29.25" hidden="1">
      <c r="A40" s="407">
        <v>1</v>
      </c>
      <c r="B40" s="68"/>
      <c r="C40" s="197">
        <v>1001001087</v>
      </c>
      <c r="D40" s="198" t="s">
        <v>376</v>
      </c>
      <c r="E40" s="199" t="s">
        <v>377</v>
      </c>
      <c r="F40" s="199"/>
      <c r="G40" s="200"/>
      <c r="H40" s="479">
        <v>0</v>
      </c>
      <c r="I40" s="63">
        <f t="shared" si="3"/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10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5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>
        <v>0</v>
      </c>
      <c r="BV40" s="96">
        <f t="shared" si="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5"/>
        <v>0</v>
      </c>
      <c r="CB40" s="59"/>
    </row>
    <row r="41" spans="1:80" ht="29.25" hidden="1">
      <c r="A41" s="168">
        <v>2</v>
      </c>
      <c r="B41" s="68"/>
      <c r="C41" s="197">
        <v>1001001088</v>
      </c>
      <c r="D41" s="198" t="s">
        <v>378</v>
      </c>
      <c r="E41" s="199" t="s">
        <v>377</v>
      </c>
      <c r="F41" s="199"/>
      <c r="G41" s="200"/>
      <c r="H41" s="201">
        <v>0</v>
      </c>
      <c r="I41" s="63">
        <f t="shared" si="3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1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5"/>
        <v>0</v>
      </c>
      <c r="CB41" s="59"/>
    </row>
    <row r="42" spans="1:80" ht="29.25" hidden="1">
      <c r="A42" s="168">
        <v>3</v>
      </c>
      <c r="B42" s="68"/>
      <c r="C42" s="197">
        <v>1001001089</v>
      </c>
      <c r="D42" s="198" t="s">
        <v>379</v>
      </c>
      <c r="E42" s="199" t="s">
        <v>377</v>
      </c>
      <c r="F42" s="199"/>
      <c r="G42" s="200"/>
      <c r="H42" s="201">
        <v>0</v>
      </c>
      <c r="I42" s="63">
        <f t="shared" si="3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1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5"/>
        <v>0</v>
      </c>
      <c r="CB42" s="59"/>
    </row>
    <row r="43" spans="1:80" ht="29.25" hidden="1">
      <c r="A43" s="168">
        <v>4</v>
      </c>
      <c r="B43" s="68"/>
      <c r="C43" s="197">
        <v>1001001111</v>
      </c>
      <c r="D43" s="198" t="s">
        <v>381</v>
      </c>
      <c r="E43" s="199" t="s">
        <v>377</v>
      </c>
      <c r="F43" s="199"/>
      <c r="G43" s="200"/>
      <c r="H43" s="201">
        <v>0</v>
      </c>
      <c r="I43" s="63">
        <f t="shared" si="3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1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5"/>
        <v>0</v>
      </c>
      <c r="CB43" s="59"/>
    </row>
    <row r="44" spans="1:80" ht="29.25" hidden="1">
      <c r="A44" s="168">
        <v>5</v>
      </c>
      <c r="B44" s="68"/>
      <c r="C44" s="197">
        <v>1001001112</v>
      </c>
      <c r="D44" s="198" t="s">
        <v>382</v>
      </c>
      <c r="E44" s="199" t="s">
        <v>377</v>
      </c>
      <c r="F44" s="199"/>
      <c r="G44" s="200"/>
      <c r="H44" s="201">
        <v>0</v>
      </c>
      <c r="I44" s="63">
        <f t="shared" si="3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5"/>
        <v>0</v>
      </c>
      <c r="CB44" s="59"/>
    </row>
    <row r="45" spans="1:80" ht="29.25" hidden="1">
      <c r="A45" s="168">
        <v>6</v>
      </c>
      <c r="B45" s="68"/>
      <c r="C45" s="197">
        <v>1001001113</v>
      </c>
      <c r="D45" s="198" t="s">
        <v>383</v>
      </c>
      <c r="E45" s="199" t="s">
        <v>377</v>
      </c>
      <c r="F45" s="199"/>
      <c r="G45" s="200"/>
      <c r="H45" s="201">
        <v>0</v>
      </c>
      <c r="I45" s="63">
        <f t="shared" si="3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1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5"/>
        <v>0</v>
      </c>
      <c r="CB45" s="59"/>
    </row>
    <row r="46" spans="1:80" ht="29.25" hidden="1">
      <c r="A46" s="286">
        <v>7</v>
      </c>
      <c r="B46" s="132"/>
      <c r="C46" s="468">
        <v>1001001114</v>
      </c>
      <c r="D46" s="469" t="s">
        <v>384</v>
      </c>
      <c r="E46" s="470" t="s">
        <v>377</v>
      </c>
      <c r="F46" s="470"/>
      <c r="G46" s="471"/>
      <c r="H46" s="472">
        <v>0</v>
      </c>
      <c r="I46" s="311">
        <f t="shared" si="3"/>
        <v>0</v>
      </c>
      <c r="J46" s="129">
        <v>0</v>
      </c>
      <c r="K46" s="117"/>
      <c r="L46" s="300"/>
      <c r="M46" s="59"/>
      <c r="N46" s="96"/>
      <c r="O46" s="59"/>
      <c r="P46" s="59"/>
      <c r="Q46" s="59"/>
      <c r="R46" s="59"/>
      <c r="S46" s="44"/>
      <c r="T46" s="59"/>
      <c r="U46" s="59"/>
      <c r="V46" s="212"/>
      <c r="W46" s="59"/>
      <c r="X46" s="96"/>
      <c r="Y46" s="59"/>
      <c r="Z46" s="59"/>
      <c r="AA46" s="59"/>
      <c r="AB46" s="59"/>
      <c r="AC46" s="44"/>
      <c r="AD46" s="59"/>
      <c r="AE46" s="59"/>
      <c r="AF46" s="301"/>
      <c r="AG46" s="59"/>
      <c r="AH46" s="96"/>
      <c r="AI46" s="59"/>
      <c r="AJ46" s="59"/>
      <c r="AK46" s="59"/>
      <c r="AL46" s="59"/>
      <c r="AM46" s="44"/>
      <c r="AN46" s="59"/>
      <c r="AO46" s="59"/>
      <c r="AP46" s="139"/>
      <c r="AQ46" s="59"/>
      <c r="AR46" s="96"/>
      <c r="AS46" s="59"/>
      <c r="AT46" s="59"/>
      <c r="AU46" s="59"/>
      <c r="AV46" s="59"/>
      <c r="AW46" s="44"/>
      <c r="AX46" s="59"/>
      <c r="AY46" s="59"/>
      <c r="AZ46" s="302"/>
      <c r="BA46" s="59"/>
      <c r="BB46" s="96"/>
      <c r="BC46" s="59"/>
      <c r="BD46" s="59"/>
      <c r="BE46" s="59"/>
      <c r="BF46" s="59"/>
      <c r="BG46" s="44"/>
      <c r="BH46" s="59"/>
      <c r="BI46" s="59"/>
      <c r="BJ46" s="216"/>
      <c r="BK46" s="59"/>
      <c r="BL46" s="96"/>
      <c r="BM46" s="59"/>
      <c r="BN46" s="59"/>
      <c r="BO46" s="59"/>
      <c r="BP46" s="59"/>
      <c r="BQ46" s="44"/>
      <c r="BR46" s="59"/>
      <c r="BS46" s="59"/>
      <c r="BT46" s="303"/>
      <c r="BU46" s="59">
        <v>0</v>
      </c>
      <c r="BV46" s="96">
        <f t="shared" si="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5"/>
        <v>0</v>
      </c>
      <c r="CB46" s="59"/>
    </row>
    <row r="47" spans="1:80" ht="29.25" hidden="1">
      <c r="A47" s="168">
        <v>11</v>
      </c>
      <c r="B47" s="170"/>
      <c r="C47" s="207">
        <v>1113225</v>
      </c>
      <c r="D47" s="208" t="s">
        <v>474</v>
      </c>
      <c r="E47" s="219" t="s">
        <v>42</v>
      </c>
      <c r="F47" s="169"/>
      <c r="G47" s="183"/>
      <c r="H47" s="184"/>
      <c r="I47" s="217">
        <f t="shared" si="3"/>
        <v>0</v>
      </c>
      <c r="J47" s="184"/>
      <c r="K47" s="185"/>
      <c r="L47" s="257"/>
      <c r="M47" s="221"/>
      <c r="N47" s="96"/>
      <c r="O47" s="59"/>
      <c r="P47" s="59"/>
      <c r="Q47" s="59"/>
      <c r="R47" s="59"/>
      <c r="S47" s="44"/>
      <c r="T47" s="59"/>
      <c r="U47" s="220"/>
      <c r="V47" s="226"/>
      <c r="W47" s="221"/>
      <c r="X47" s="96"/>
      <c r="Y47" s="59"/>
      <c r="Z47" s="59"/>
      <c r="AA47" s="59"/>
      <c r="AB47" s="59"/>
      <c r="AC47" s="44"/>
      <c r="AD47" s="59"/>
      <c r="AE47" s="220"/>
      <c r="AF47" s="599"/>
      <c r="AG47" s="221"/>
      <c r="AH47" s="96"/>
      <c r="AI47" s="59"/>
      <c r="AJ47" s="59"/>
      <c r="AK47" s="59"/>
      <c r="AL47" s="59"/>
      <c r="AM47" s="44"/>
      <c r="AN47" s="59"/>
      <c r="AO47" s="220"/>
      <c r="AP47" s="600"/>
      <c r="AQ47" s="221"/>
      <c r="AR47" s="96"/>
      <c r="AS47" s="59"/>
      <c r="AT47" s="59"/>
      <c r="AU47" s="59"/>
      <c r="AV47" s="59"/>
      <c r="AW47" s="44"/>
      <c r="AX47" s="59"/>
      <c r="AY47" s="220"/>
      <c r="AZ47" s="602"/>
      <c r="BA47" s="221"/>
      <c r="BB47" s="96"/>
      <c r="BC47" s="59"/>
      <c r="BD47" s="59"/>
      <c r="BE47" s="59"/>
      <c r="BF47" s="59"/>
      <c r="BG47" s="44"/>
      <c r="BH47" s="59"/>
      <c r="BI47" s="220"/>
      <c r="BJ47" s="266"/>
      <c r="BK47" s="221"/>
      <c r="BL47" s="96"/>
      <c r="BM47" s="59"/>
      <c r="BN47" s="59"/>
      <c r="BO47" s="59"/>
      <c r="BP47" s="59"/>
      <c r="BQ47" s="44"/>
      <c r="BR47" s="59"/>
      <c r="BS47" s="220"/>
      <c r="BT47" s="205"/>
      <c r="BU47" s="221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407">
        <v>7</v>
      </c>
      <c r="B48" s="249"/>
      <c r="C48" s="551">
        <v>20059547</v>
      </c>
      <c r="D48" s="287" t="s">
        <v>431</v>
      </c>
      <c r="E48" s="182" t="s">
        <v>69</v>
      </c>
      <c r="F48" s="597"/>
      <c r="G48" s="597"/>
      <c r="H48" s="552"/>
      <c r="I48" s="259">
        <f t="shared" si="3"/>
        <v>0</v>
      </c>
      <c r="J48" s="553"/>
      <c r="K48" s="597"/>
      <c r="L48" s="319"/>
      <c r="V48" s="549"/>
      <c r="AF48" s="550"/>
      <c r="AP48" s="598"/>
      <c r="AZ48" s="554"/>
      <c r="BJ48" s="555"/>
      <c r="BT48" s="325"/>
    </row>
    <row r="49" spans="1:72" ht="24" hidden="1" customHeight="1">
      <c r="A49" s="168">
        <v>8</v>
      </c>
      <c r="B49" s="170"/>
      <c r="C49" s="243">
        <v>20059548</v>
      </c>
      <c r="D49" s="188" t="s">
        <v>432</v>
      </c>
      <c r="E49" s="169" t="s">
        <v>69</v>
      </c>
      <c r="F49" s="186"/>
      <c r="G49" s="186"/>
      <c r="H49" s="244"/>
      <c r="I49" s="236">
        <f t="shared" si="3"/>
        <v>0</v>
      </c>
      <c r="J49" s="245"/>
      <c r="K49" s="186"/>
      <c r="L49" s="237"/>
      <c r="V49" s="238"/>
      <c r="AF49" s="239"/>
      <c r="AP49" s="240"/>
      <c r="AZ49" s="241"/>
      <c r="BJ49" s="242"/>
      <c r="BT49" s="307"/>
    </row>
    <row r="50" spans="1:72" ht="24" hidden="1" customHeight="1">
      <c r="A50" s="168">
        <v>9</v>
      </c>
      <c r="B50" s="249"/>
      <c r="C50" s="207">
        <v>20060019</v>
      </c>
      <c r="D50" s="188" t="s">
        <v>408</v>
      </c>
      <c r="E50" s="169" t="s">
        <v>69</v>
      </c>
      <c r="F50" s="186"/>
      <c r="G50" s="186"/>
      <c r="H50" s="184"/>
      <c r="I50" s="236">
        <f t="shared" si="3"/>
        <v>0</v>
      </c>
      <c r="J50" s="236"/>
      <c r="K50" s="186"/>
      <c r="L50" s="237"/>
      <c r="V50" s="226"/>
      <c r="AF50" s="227"/>
      <c r="AP50" s="248"/>
      <c r="AZ50" s="204"/>
      <c r="BJ50" s="247"/>
      <c r="BT50" s="307"/>
    </row>
    <row r="51" spans="1:72" ht="24" hidden="1" customHeight="1">
      <c r="A51" s="168">
        <v>10</v>
      </c>
      <c r="B51" s="233"/>
      <c r="C51" s="169">
        <v>20059087</v>
      </c>
      <c r="D51" s="250" t="s">
        <v>239</v>
      </c>
      <c r="E51" s="169" t="s">
        <v>69</v>
      </c>
      <c r="F51" s="186"/>
      <c r="G51" s="186"/>
      <c r="H51" s="184"/>
      <c r="I51" s="236">
        <f t="shared" si="3"/>
        <v>0</v>
      </c>
      <c r="J51" s="236"/>
      <c r="K51" s="186"/>
      <c r="L51" s="237"/>
      <c r="V51" s="226"/>
      <c r="AF51" s="227"/>
      <c r="AP51" s="248"/>
      <c r="AZ51" s="204"/>
      <c r="BJ51" s="247"/>
      <c r="BT51" s="307"/>
    </row>
    <row r="52" spans="1:72" ht="24.75" hidden="1" customHeight="1">
      <c r="A52" s="168">
        <v>11</v>
      </c>
      <c r="B52" s="233"/>
      <c r="C52" s="251">
        <v>20060974</v>
      </c>
      <c r="D52" s="250" t="s">
        <v>434</v>
      </c>
      <c r="E52" s="169" t="s">
        <v>69</v>
      </c>
      <c r="F52" s="186"/>
      <c r="G52" s="186"/>
      <c r="H52" s="184"/>
      <c r="I52" s="236">
        <f t="shared" si="3"/>
        <v>0</v>
      </c>
      <c r="J52" s="236"/>
      <c r="K52" s="186"/>
      <c r="L52" s="237"/>
      <c r="V52" s="226"/>
      <c r="AF52" s="227"/>
      <c r="AP52" s="248"/>
      <c r="AZ52" s="204"/>
      <c r="BJ52" s="247"/>
      <c r="BT52" s="307"/>
    </row>
    <row r="53" spans="1:72" ht="24.75" hidden="1" customHeight="1">
      <c r="A53" s="168">
        <v>12</v>
      </c>
      <c r="B53" s="233"/>
      <c r="C53" s="251">
        <v>20060976</v>
      </c>
      <c r="D53" s="250" t="s">
        <v>450</v>
      </c>
      <c r="E53" s="169" t="s">
        <v>69</v>
      </c>
      <c r="F53" s="186"/>
      <c r="G53" s="186"/>
      <c r="H53" s="184"/>
      <c r="I53" s="236">
        <f t="shared" si="3"/>
        <v>0</v>
      </c>
      <c r="J53" s="236"/>
      <c r="K53" s="186"/>
      <c r="L53" s="237"/>
      <c r="V53" s="226"/>
      <c r="AF53" s="227"/>
      <c r="AP53" s="248"/>
      <c r="AZ53" s="204"/>
      <c r="BJ53" s="247"/>
      <c r="BT53" s="307"/>
    </row>
    <row r="54" spans="1:72" ht="27.75" hidden="1" customHeight="1">
      <c r="A54" s="168">
        <v>13</v>
      </c>
      <c r="B54" s="233"/>
      <c r="C54" s="251">
        <v>20060973</v>
      </c>
      <c r="D54" s="267" t="s">
        <v>436</v>
      </c>
      <c r="E54" s="169" t="s">
        <v>69</v>
      </c>
      <c r="F54" s="186"/>
      <c r="G54" s="186"/>
      <c r="H54" s="184"/>
      <c r="I54" s="236">
        <f t="shared" si="3"/>
        <v>0</v>
      </c>
      <c r="J54" s="236"/>
      <c r="K54" s="186"/>
      <c r="L54" s="237"/>
      <c r="V54" s="226"/>
      <c r="AF54" s="227"/>
      <c r="AP54" s="248"/>
      <c r="AZ54" s="204"/>
      <c r="BJ54" s="247"/>
      <c r="BT54" s="307"/>
    </row>
    <row r="55" spans="1:72" ht="26.25" hidden="1" customHeight="1">
      <c r="A55" s="168">
        <v>14</v>
      </c>
      <c r="B55" s="233"/>
      <c r="C55" s="251">
        <v>20061982</v>
      </c>
      <c r="D55" s="267" t="s">
        <v>437</v>
      </c>
      <c r="E55" s="169" t="s">
        <v>69</v>
      </c>
      <c r="F55" s="186"/>
      <c r="G55" s="186"/>
      <c r="H55" s="184"/>
      <c r="I55" s="236">
        <f t="shared" si="3"/>
        <v>0</v>
      </c>
      <c r="J55" s="236"/>
      <c r="K55" s="186"/>
      <c r="L55" s="237"/>
      <c r="V55" s="226"/>
      <c r="AF55" s="227"/>
      <c r="AP55" s="248"/>
      <c r="AZ55" s="204"/>
      <c r="BJ55" s="247"/>
      <c r="BT55" s="307"/>
    </row>
    <row r="56" spans="1:72" ht="32.25" hidden="1" customHeight="1">
      <c r="A56" s="168">
        <v>15</v>
      </c>
      <c r="B56" s="170"/>
      <c r="C56" s="251">
        <v>20062915</v>
      </c>
      <c r="D56" s="290" t="s">
        <v>438</v>
      </c>
      <c r="E56" s="169" t="s">
        <v>69</v>
      </c>
      <c r="F56" s="186"/>
      <c r="G56" s="186"/>
      <c r="H56" s="184"/>
      <c r="I56" s="236">
        <f t="shared" si="3"/>
        <v>0</v>
      </c>
      <c r="J56" s="236"/>
      <c r="K56" s="186"/>
      <c r="L56" s="237"/>
      <c r="V56" s="226"/>
      <c r="AF56" s="227"/>
      <c r="AP56" s="248"/>
      <c r="AZ56" s="204"/>
      <c r="BJ56" s="247"/>
      <c r="BT56" s="307"/>
    </row>
    <row r="57" spans="1:72" ht="32.25" hidden="1" customHeight="1">
      <c r="A57" s="168">
        <v>16</v>
      </c>
      <c r="B57" s="170"/>
      <c r="C57" s="251">
        <v>20063266</v>
      </c>
      <c r="D57" s="290" t="s">
        <v>455</v>
      </c>
      <c r="E57" s="169" t="s">
        <v>69</v>
      </c>
      <c r="F57" s="186"/>
      <c r="G57" s="186"/>
      <c r="H57" s="184"/>
      <c r="I57" s="236">
        <f t="shared" si="3"/>
        <v>0</v>
      </c>
      <c r="J57" s="236"/>
      <c r="K57" s="186"/>
      <c r="L57" s="237"/>
      <c r="V57" s="226"/>
      <c r="AF57" s="227"/>
      <c r="AP57" s="248"/>
      <c r="AZ57" s="204"/>
      <c r="BJ57" s="247"/>
      <c r="BT57" s="307"/>
    </row>
    <row r="58" spans="1:72" ht="32.25" hidden="1" customHeight="1">
      <c r="A58" s="168">
        <v>17</v>
      </c>
      <c r="B58" s="170"/>
      <c r="C58" s="251">
        <v>20062916</v>
      </c>
      <c r="D58" s="290" t="s">
        <v>413</v>
      </c>
      <c r="E58" s="169" t="s">
        <v>69</v>
      </c>
      <c r="F58" s="186"/>
      <c r="G58" s="186"/>
      <c r="H58" s="184"/>
      <c r="I58" s="236">
        <f t="shared" si="3"/>
        <v>0</v>
      </c>
      <c r="J58" s="236"/>
      <c r="K58" s="186"/>
      <c r="L58" s="237"/>
      <c r="V58" s="226"/>
      <c r="AF58" s="227"/>
      <c r="AP58" s="248"/>
      <c r="AZ58" s="204"/>
      <c r="BJ58" s="247"/>
      <c r="BT58" s="307"/>
    </row>
    <row r="59" spans="1:72" ht="32.25" hidden="1" customHeight="1">
      <c r="A59" s="168">
        <v>18</v>
      </c>
      <c r="B59" s="170"/>
      <c r="C59" s="251">
        <v>20063380</v>
      </c>
      <c r="D59" s="290" t="s">
        <v>414</v>
      </c>
      <c r="E59" s="169" t="s">
        <v>69</v>
      </c>
      <c r="F59" s="186"/>
      <c r="G59" s="186"/>
      <c r="H59" s="184"/>
      <c r="I59" s="236">
        <f t="shared" si="3"/>
        <v>0</v>
      </c>
      <c r="J59" s="236"/>
      <c r="K59" s="186"/>
      <c r="L59" s="237"/>
      <c r="V59" s="226"/>
      <c r="AF59" s="227"/>
      <c r="AP59" s="248"/>
      <c r="AZ59" s="204"/>
      <c r="BJ59" s="247"/>
      <c r="BT59" s="307"/>
    </row>
    <row r="60" spans="1:72" ht="30" hidden="1" customHeight="1">
      <c r="A60" s="168">
        <v>19</v>
      </c>
      <c r="B60" s="170"/>
      <c r="C60" s="251">
        <v>20063468</v>
      </c>
      <c r="D60" s="290" t="s">
        <v>417</v>
      </c>
      <c r="E60" s="169" t="s">
        <v>69</v>
      </c>
      <c r="F60" s="186"/>
      <c r="G60" s="186"/>
      <c r="H60" s="184"/>
      <c r="I60" s="236">
        <f t="shared" si="3"/>
        <v>0</v>
      </c>
      <c r="J60" s="236"/>
      <c r="K60" s="186"/>
      <c r="L60" s="237"/>
      <c r="V60" s="226"/>
      <c r="AF60" s="227"/>
      <c r="AP60" s="248"/>
      <c r="AZ60" s="204"/>
      <c r="BJ60" s="247"/>
      <c r="BT60" s="307"/>
    </row>
    <row r="61" spans="1:72" ht="30" hidden="1" customHeight="1">
      <c r="A61" s="168">
        <v>20</v>
      </c>
      <c r="B61" s="170"/>
      <c r="C61" s="292">
        <v>20063720</v>
      </c>
      <c r="D61" s="304" t="s">
        <v>452</v>
      </c>
      <c r="E61" s="169" t="s">
        <v>69</v>
      </c>
      <c r="F61" s="188"/>
      <c r="G61" s="188"/>
      <c r="H61" s="184"/>
      <c r="I61" s="236">
        <f t="shared" si="3"/>
        <v>0</v>
      </c>
      <c r="J61" s="236"/>
      <c r="K61" s="186"/>
      <c r="L61" s="237"/>
      <c r="V61" s="226"/>
      <c r="AF61" s="227"/>
      <c r="AP61" s="248"/>
      <c r="AZ61" s="204"/>
      <c r="BJ61" s="247"/>
      <c r="BT61" s="307"/>
    </row>
    <row r="62" spans="1:72" ht="30" hidden="1" customHeight="1">
      <c r="A62" s="168">
        <v>21</v>
      </c>
      <c r="B62" s="170"/>
      <c r="C62" s="292">
        <v>20063783</v>
      </c>
      <c r="D62" s="293" t="s">
        <v>457</v>
      </c>
      <c r="E62" s="169" t="s">
        <v>69</v>
      </c>
      <c r="F62" s="188"/>
      <c r="G62" s="188"/>
      <c r="H62" s="184"/>
      <c r="I62" s="236">
        <f t="shared" si="3"/>
        <v>0</v>
      </c>
      <c r="J62" s="236"/>
      <c r="K62" s="186"/>
      <c r="L62" s="237"/>
      <c r="V62" s="226"/>
      <c r="AF62" s="227"/>
      <c r="AP62" s="248"/>
      <c r="AZ62" s="204"/>
      <c r="BJ62" s="247"/>
      <c r="BT62" s="307"/>
    </row>
    <row r="63" spans="1:72" ht="30" hidden="1" customHeight="1">
      <c r="A63" s="168">
        <v>22</v>
      </c>
      <c r="B63" s="170"/>
      <c r="C63" s="292">
        <v>20063930</v>
      </c>
      <c r="D63" s="305" t="s">
        <v>459</v>
      </c>
      <c r="E63" s="169" t="s">
        <v>69</v>
      </c>
      <c r="F63" s="188"/>
      <c r="G63" s="188"/>
      <c r="H63" s="184"/>
      <c r="I63" s="236">
        <f t="shared" si="3"/>
        <v>0</v>
      </c>
      <c r="J63" s="236"/>
      <c r="K63" s="186"/>
      <c r="L63" s="237"/>
      <c r="V63" s="226"/>
      <c r="AF63" s="227"/>
      <c r="AP63" s="248"/>
      <c r="AZ63" s="204"/>
      <c r="BJ63" s="247"/>
      <c r="BT63" s="307"/>
    </row>
    <row r="64" spans="1:72" ht="30" hidden="1" customHeight="1">
      <c r="A64" s="168">
        <v>23</v>
      </c>
      <c r="B64" s="170"/>
      <c r="C64" s="292">
        <v>20063929</v>
      </c>
      <c r="D64" s="305" t="s">
        <v>458</v>
      </c>
      <c r="E64" s="169" t="s">
        <v>69</v>
      </c>
      <c r="F64" s="188"/>
      <c r="G64" s="188"/>
      <c r="H64" s="184"/>
      <c r="I64" s="236">
        <f t="shared" si="3"/>
        <v>0</v>
      </c>
      <c r="J64" s="236"/>
      <c r="K64" s="186"/>
      <c r="L64" s="237"/>
      <c r="V64" s="226"/>
      <c r="AF64" s="227"/>
      <c r="AP64" s="248"/>
      <c r="AZ64" s="204"/>
      <c r="BJ64" s="247"/>
      <c r="BT64" s="307"/>
    </row>
    <row r="65" spans="1:80" ht="30" hidden="1" customHeight="1">
      <c r="A65" s="168">
        <v>24</v>
      </c>
      <c r="B65" s="170"/>
      <c r="C65" s="292">
        <v>20064190</v>
      </c>
      <c r="D65" s="318" t="s">
        <v>472</v>
      </c>
      <c r="E65" s="169" t="s">
        <v>69</v>
      </c>
      <c r="F65" s="188"/>
      <c r="G65" s="188"/>
      <c r="H65" s="184"/>
      <c r="I65" s="236">
        <f t="shared" si="3"/>
        <v>0</v>
      </c>
      <c r="J65" s="236"/>
      <c r="K65" s="186"/>
      <c r="L65" s="237"/>
      <c r="V65" s="226"/>
      <c r="AF65" s="227"/>
      <c r="AP65" s="248"/>
      <c r="AZ65" s="204"/>
      <c r="BJ65" s="247"/>
      <c r="BT65" s="307"/>
    </row>
    <row r="66" spans="1:80" ht="30" hidden="1" customHeight="1">
      <c r="A66" s="168">
        <v>25</v>
      </c>
      <c r="B66" s="170"/>
      <c r="C66" s="292">
        <v>20064191</v>
      </c>
      <c r="D66" s="318" t="s">
        <v>470</v>
      </c>
      <c r="E66" s="169" t="s">
        <v>69</v>
      </c>
      <c r="F66" s="188"/>
      <c r="G66" s="188"/>
      <c r="H66" s="184"/>
      <c r="I66" s="236">
        <f t="shared" si="3"/>
        <v>0</v>
      </c>
      <c r="J66" s="236"/>
      <c r="K66" s="186"/>
      <c r="L66" s="237"/>
      <c r="V66" s="226"/>
      <c r="AF66" s="227"/>
      <c r="AP66" s="248"/>
      <c r="AZ66" s="204"/>
      <c r="BJ66" s="247"/>
      <c r="BT66" s="307"/>
    </row>
    <row r="67" spans="1:80" ht="30" hidden="1" customHeight="1">
      <c r="A67" s="168">
        <v>26</v>
      </c>
      <c r="B67" s="170"/>
      <c r="C67" s="80">
        <v>20064271</v>
      </c>
      <c r="D67" s="327" t="s">
        <v>471</v>
      </c>
      <c r="E67" s="169" t="s">
        <v>69</v>
      </c>
      <c r="F67" s="188"/>
      <c r="G67" s="188"/>
      <c r="H67" s="184"/>
      <c r="I67" s="236">
        <f t="shared" si="3"/>
        <v>0</v>
      </c>
      <c r="J67" s="236"/>
      <c r="K67" s="186"/>
      <c r="L67" s="237"/>
      <c r="V67" s="226"/>
      <c r="AF67" s="227"/>
      <c r="AP67" s="248"/>
      <c r="AZ67" s="204"/>
      <c r="BJ67" s="247"/>
      <c r="BT67" s="307"/>
    </row>
    <row r="68" spans="1:80" s="164" customFormat="1" ht="30" hidden="1" customHeight="1">
      <c r="A68" s="168">
        <v>27</v>
      </c>
      <c r="B68" s="170"/>
      <c r="C68" s="326">
        <v>20064365</v>
      </c>
      <c r="D68" s="327" t="s">
        <v>460</v>
      </c>
      <c r="E68" s="169" t="s">
        <v>69</v>
      </c>
      <c r="F68" s="287"/>
      <c r="G68" s="287"/>
      <c r="H68" s="234"/>
      <c r="I68" s="236">
        <f t="shared" si="3"/>
        <v>0</v>
      </c>
      <c r="J68" s="259"/>
      <c r="K68" s="287"/>
      <c r="L68" s="319"/>
      <c r="M68" s="42"/>
      <c r="N68" s="42"/>
      <c r="O68" s="42"/>
      <c r="P68" s="42"/>
      <c r="Q68" s="42"/>
      <c r="R68" s="42"/>
      <c r="S68" s="42"/>
      <c r="T68" s="42"/>
      <c r="U68" s="42"/>
      <c r="V68" s="320"/>
      <c r="W68" s="42"/>
      <c r="X68" s="42"/>
      <c r="Y68" s="42"/>
      <c r="Z68" s="42"/>
      <c r="AA68" s="42"/>
      <c r="AB68" s="42"/>
      <c r="AC68" s="42"/>
      <c r="AD68" s="42"/>
      <c r="AE68" s="42"/>
      <c r="AF68" s="321"/>
      <c r="AG68" s="42"/>
      <c r="AH68" s="42"/>
      <c r="AI68" s="42"/>
      <c r="AJ68" s="42"/>
      <c r="AK68" s="42"/>
      <c r="AL68" s="42"/>
      <c r="AM68" s="42"/>
      <c r="AN68" s="42"/>
      <c r="AO68" s="42"/>
      <c r="AP68" s="322"/>
      <c r="AQ68" s="42"/>
      <c r="AR68" s="42"/>
      <c r="AS68" s="42"/>
      <c r="AT68" s="42"/>
      <c r="AU68" s="42"/>
      <c r="AV68" s="42"/>
      <c r="AW68" s="42"/>
      <c r="AX68" s="42"/>
      <c r="AY68" s="42"/>
      <c r="AZ68" s="323"/>
      <c r="BA68" s="42"/>
      <c r="BB68" s="42"/>
      <c r="BC68" s="42"/>
      <c r="BD68" s="42"/>
      <c r="BE68" s="42"/>
      <c r="BF68" s="42"/>
      <c r="BG68" s="42"/>
      <c r="BH68" s="42"/>
      <c r="BI68" s="42"/>
      <c r="BJ68" s="324"/>
      <c r="BK68" s="42"/>
      <c r="BL68" s="42"/>
      <c r="BM68" s="42"/>
      <c r="BN68" s="42"/>
      <c r="BO68" s="42"/>
      <c r="BP68" s="42"/>
      <c r="BQ68" s="42"/>
      <c r="BR68" s="42"/>
      <c r="BS68" s="42"/>
      <c r="BT68" s="325"/>
      <c r="BU68" s="42"/>
      <c r="BV68" s="42"/>
      <c r="BW68" s="42"/>
      <c r="BX68" s="42"/>
      <c r="BY68" s="42"/>
      <c r="BZ68" s="42"/>
      <c r="CA68" s="42"/>
      <c r="CB68" s="42"/>
    </row>
    <row r="69" spans="1:80" s="164" customFormat="1" ht="30" hidden="1" customHeight="1">
      <c r="A69" s="286">
        <v>28</v>
      </c>
      <c r="B69" s="485"/>
      <c r="C69" s="513">
        <v>20064366</v>
      </c>
      <c r="D69" s="514" t="s">
        <v>445</v>
      </c>
      <c r="E69" s="230" t="s">
        <v>69</v>
      </c>
      <c r="F69" s="515"/>
      <c r="G69" s="515"/>
      <c r="H69" s="232"/>
      <c r="I69" s="489">
        <f t="shared" si="3"/>
        <v>0</v>
      </c>
      <c r="J69" s="489"/>
      <c r="K69" s="515"/>
      <c r="L69" s="490"/>
      <c r="M69" s="42"/>
      <c r="N69" s="42"/>
      <c r="O69" s="42"/>
      <c r="P69" s="42"/>
      <c r="Q69" s="42"/>
      <c r="R69" s="42"/>
      <c r="S69" s="42"/>
      <c r="T69" s="42"/>
      <c r="U69" s="42"/>
      <c r="V69" s="509"/>
      <c r="W69" s="42"/>
      <c r="X69" s="42"/>
      <c r="Y69" s="42"/>
      <c r="Z69" s="42"/>
      <c r="AA69" s="42"/>
      <c r="AB69" s="42"/>
      <c r="AC69" s="42"/>
      <c r="AD69" s="42"/>
      <c r="AE69" s="42"/>
      <c r="AF69" s="510"/>
      <c r="AG69" s="42"/>
      <c r="AH69" s="42"/>
      <c r="AI69" s="42"/>
      <c r="AJ69" s="42"/>
      <c r="AK69" s="42"/>
      <c r="AL69" s="42"/>
      <c r="AM69" s="42"/>
      <c r="AN69" s="42"/>
      <c r="AO69" s="42"/>
      <c r="AP69" s="511"/>
      <c r="AQ69" s="42"/>
      <c r="AR69" s="42"/>
      <c r="AS69" s="42"/>
      <c r="AT69" s="42"/>
      <c r="AU69" s="42"/>
      <c r="AV69" s="42"/>
      <c r="AW69" s="42"/>
      <c r="AX69" s="42"/>
      <c r="AY69" s="42"/>
      <c r="AZ69" s="512"/>
      <c r="BA69" s="42"/>
      <c r="BB69" s="42"/>
      <c r="BC69" s="42"/>
      <c r="BD69" s="42"/>
      <c r="BE69" s="42"/>
      <c r="BF69" s="42"/>
      <c r="BG69" s="42"/>
      <c r="BH69" s="42"/>
      <c r="BI69" s="42"/>
      <c r="BJ69" s="516"/>
      <c r="BK69" s="42"/>
      <c r="BL69" s="42"/>
      <c r="BM69" s="42"/>
      <c r="BN69" s="42"/>
      <c r="BO69" s="42"/>
      <c r="BP69" s="42"/>
      <c r="BQ69" s="42"/>
      <c r="BR69" s="42"/>
      <c r="BS69" s="42"/>
      <c r="BT69" s="520"/>
      <c r="BU69" s="42"/>
      <c r="BV69" s="42"/>
      <c r="BW69" s="42"/>
      <c r="BX69" s="42"/>
      <c r="BY69" s="42"/>
      <c r="BZ69" s="42"/>
      <c r="CA69" s="42"/>
      <c r="CB69" s="42"/>
    </row>
    <row r="70" spans="1:80" s="164" customFormat="1" ht="30" hidden="1" customHeight="1">
      <c r="A70" s="168">
        <v>29</v>
      </c>
      <c r="B70" s="170"/>
      <c r="C70" s="517"/>
      <c r="D70" s="352" t="s">
        <v>466</v>
      </c>
      <c r="E70" s="230" t="s">
        <v>69</v>
      </c>
      <c r="F70" s="515"/>
      <c r="G70" s="515"/>
      <c r="H70" s="232"/>
      <c r="I70" s="489">
        <f t="shared" ref="I70:I76" si="6">SUM(L70,V70,AF70,AP70,AZ70,BJ70,BT70)</f>
        <v>0</v>
      </c>
      <c r="J70" s="236"/>
      <c r="K70" s="188"/>
      <c r="L70" s="237"/>
      <c r="M70" s="42"/>
      <c r="N70" s="42"/>
      <c r="O70" s="42"/>
      <c r="P70" s="42"/>
      <c r="Q70" s="42"/>
      <c r="R70" s="42"/>
      <c r="S70" s="42"/>
      <c r="T70" s="42"/>
      <c r="U70" s="42"/>
      <c r="V70" s="226"/>
      <c r="W70" s="42"/>
      <c r="X70" s="42"/>
      <c r="Y70" s="42"/>
      <c r="Z70" s="42"/>
      <c r="AA70" s="42"/>
      <c r="AB70" s="42"/>
      <c r="AC70" s="42"/>
      <c r="AD70" s="42"/>
      <c r="AE70" s="42"/>
      <c r="AF70" s="227"/>
      <c r="AG70" s="42"/>
      <c r="AH70" s="42"/>
      <c r="AI70" s="42"/>
      <c r="AJ70" s="42"/>
      <c r="AK70" s="42"/>
      <c r="AL70" s="42"/>
      <c r="AM70" s="42"/>
      <c r="AN70" s="42"/>
      <c r="AO70" s="42"/>
      <c r="AP70" s="248"/>
      <c r="AQ70" s="42"/>
      <c r="AR70" s="42"/>
      <c r="AS70" s="42"/>
      <c r="AT70" s="42"/>
      <c r="AU70" s="42"/>
      <c r="AV70" s="42"/>
      <c r="AW70" s="42"/>
      <c r="AX70" s="42"/>
      <c r="AY70" s="42"/>
      <c r="AZ70" s="204"/>
      <c r="BA70" s="42"/>
      <c r="BB70" s="42"/>
      <c r="BC70" s="42"/>
      <c r="BD70" s="42"/>
      <c r="BE70" s="42"/>
      <c r="BF70" s="42"/>
      <c r="BG70" s="42"/>
      <c r="BH70" s="42"/>
      <c r="BI70" s="42"/>
      <c r="BJ70" s="247"/>
      <c r="BK70" s="42"/>
      <c r="BL70" s="42"/>
      <c r="BM70" s="42"/>
      <c r="BN70" s="42"/>
      <c r="BO70" s="42"/>
      <c r="BP70" s="42"/>
      <c r="BQ70" s="42"/>
      <c r="BR70" s="42"/>
      <c r="BS70" s="42"/>
      <c r="BT70" s="307"/>
      <c r="BU70" s="42"/>
      <c r="BV70" s="42"/>
      <c r="BW70" s="42"/>
      <c r="BX70" s="42"/>
      <c r="BY70" s="42"/>
      <c r="BZ70" s="42"/>
      <c r="CA70" s="42"/>
      <c r="CB70" s="42"/>
    </row>
    <row r="71" spans="1:80" s="164" customFormat="1" ht="30" hidden="1" customHeight="1">
      <c r="A71" s="168">
        <v>30</v>
      </c>
      <c r="B71" s="170"/>
      <c r="C71" s="517"/>
      <c r="D71" s="352" t="s">
        <v>467</v>
      </c>
      <c r="E71" s="169" t="s">
        <v>69</v>
      </c>
      <c r="F71" s="188"/>
      <c r="G71" s="188"/>
      <c r="H71" s="184"/>
      <c r="I71" s="236">
        <f t="shared" si="6"/>
        <v>0</v>
      </c>
      <c r="J71" s="236"/>
      <c r="K71" s="188"/>
      <c r="L71" s="237"/>
      <c r="M71" s="42"/>
      <c r="N71" s="42"/>
      <c r="O71" s="42"/>
      <c r="P71" s="42"/>
      <c r="Q71" s="42"/>
      <c r="R71" s="42"/>
      <c r="S71" s="42"/>
      <c r="T71" s="42"/>
      <c r="U71" s="42"/>
      <c r="V71" s="226"/>
      <c r="W71" s="42"/>
      <c r="X71" s="42"/>
      <c r="Y71" s="42"/>
      <c r="Z71" s="42"/>
      <c r="AA71" s="42"/>
      <c r="AB71" s="42"/>
      <c r="AC71" s="42"/>
      <c r="AD71" s="42"/>
      <c r="AE71" s="42"/>
      <c r="AF71" s="227"/>
      <c r="AG71" s="42"/>
      <c r="AH71" s="42"/>
      <c r="AI71" s="42"/>
      <c r="AJ71" s="42"/>
      <c r="AK71" s="42"/>
      <c r="AL71" s="42"/>
      <c r="AM71" s="42"/>
      <c r="AN71" s="42"/>
      <c r="AO71" s="42"/>
      <c r="AP71" s="248"/>
      <c r="AQ71" s="42"/>
      <c r="AR71" s="42"/>
      <c r="AS71" s="42"/>
      <c r="AT71" s="42"/>
      <c r="AU71" s="42"/>
      <c r="AV71" s="42"/>
      <c r="AW71" s="42"/>
      <c r="AX71" s="42"/>
      <c r="AY71" s="42"/>
      <c r="AZ71" s="204"/>
      <c r="BA71" s="42"/>
      <c r="BB71" s="42"/>
      <c r="BC71" s="42"/>
      <c r="BD71" s="42"/>
      <c r="BE71" s="42"/>
      <c r="BF71" s="42"/>
      <c r="BG71" s="42"/>
      <c r="BH71" s="42"/>
      <c r="BI71" s="42"/>
      <c r="BJ71" s="247"/>
      <c r="BK71" s="42"/>
      <c r="BL71" s="42"/>
      <c r="BM71" s="42"/>
      <c r="BN71" s="42"/>
      <c r="BO71" s="42"/>
      <c r="BP71" s="42"/>
      <c r="BQ71" s="42"/>
      <c r="BR71" s="42"/>
      <c r="BS71" s="42"/>
      <c r="BT71" s="307"/>
      <c r="BU71" s="42"/>
      <c r="BV71" s="42"/>
      <c r="BW71" s="42"/>
      <c r="BX71" s="42"/>
      <c r="BY71" s="42"/>
      <c r="BZ71" s="42"/>
      <c r="CA71" s="42"/>
      <c r="CB71" s="42"/>
    </row>
    <row r="72" spans="1:80" s="164" customFormat="1" ht="30" hidden="1" customHeight="1">
      <c r="A72" s="286">
        <v>31</v>
      </c>
      <c r="B72" s="485"/>
      <c r="C72" s="548"/>
      <c r="D72" s="494" t="s">
        <v>468</v>
      </c>
      <c r="E72" s="230" t="s">
        <v>69</v>
      </c>
      <c r="F72" s="515"/>
      <c r="G72" s="515"/>
      <c r="H72" s="232"/>
      <c r="I72" s="489">
        <f t="shared" si="6"/>
        <v>0</v>
      </c>
      <c r="J72" s="489"/>
      <c r="K72" s="515"/>
      <c r="L72" s="490"/>
      <c r="M72" s="42"/>
      <c r="N72" s="42"/>
      <c r="O72" s="42"/>
      <c r="P72" s="42"/>
      <c r="Q72" s="42"/>
      <c r="R72" s="42"/>
      <c r="S72" s="42"/>
      <c r="T72" s="42"/>
      <c r="U72" s="42"/>
      <c r="V72" s="509"/>
      <c r="W72" s="42"/>
      <c r="X72" s="42"/>
      <c r="Y72" s="42"/>
      <c r="Z72" s="42"/>
      <c r="AA72" s="42"/>
      <c r="AB72" s="42"/>
      <c r="AC72" s="42"/>
      <c r="AD72" s="42"/>
      <c r="AE72" s="42"/>
      <c r="AF72" s="510"/>
      <c r="AG72" s="42"/>
      <c r="AH72" s="42"/>
      <c r="AI72" s="42"/>
      <c r="AJ72" s="42"/>
      <c r="AK72" s="42"/>
      <c r="AL72" s="42"/>
      <c r="AM72" s="42"/>
      <c r="AN72" s="42"/>
      <c r="AO72" s="42"/>
      <c r="AP72" s="511"/>
      <c r="AQ72" s="42"/>
      <c r="AR72" s="42"/>
      <c r="AS72" s="42"/>
      <c r="AT72" s="42"/>
      <c r="AU72" s="42"/>
      <c r="AV72" s="42"/>
      <c r="AW72" s="42"/>
      <c r="AX72" s="42"/>
      <c r="AY72" s="42"/>
      <c r="AZ72" s="512"/>
      <c r="BA72" s="42"/>
      <c r="BB72" s="42"/>
      <c r="BC72" s="42"/>
      <c r="BD72" s="42"/>
      <c r="BE72" s="42"/>
      <c r="BF72" s="42"/>
      <c r="BG72" s="42"/>
      <c r="BH72" s="42"/>
      <c r="BI72" s="42"/>
      <c r="BJ72" s="516"/>
      <c r="BK72" s="42"/>
      <c r="BL72" s="42"/>
      <c r="BM72" s="42"/>
      <c r="BN72" s="42"/>
      <c r="BO72" s="42"/>
      <c r="BP72" s="42"/>
      <c r="BQ72" s="42"/>
      <c r="BR72" s="42"/>
      <c r="BS72" s="42"/>
      <c r="BT72" s="520"/>
      <c r="BU72" s="42"/>
      <c r="BV72" s="42"/>
      <c r="BW72" s="42"/>
      <c r="BX72" s="42"/>
      <c r="BY72" s="42"/>
      <c r="BZ72" s="42"/>
      <c r="CA72" s="42"/>
      <c r="CB72" s="42"/>
    </row>
    <row r="73" spans="1:80" s="164" customFormat="1" ht="30" hidden="1" customHeight="1">
      <c r="A73" s="168">
        <v>12</v>
      </c>
      <c r="B73" s="170"/>
      <c r="C73" s="504">
        <v>1113237</v>
      </c>
      <c r="D73" s="352" t="s">
        <v>477</v>
      </c>
      <c r="E73" s="219" t="s">
        <v>42</v>
      </c>
      <c r="F73" s="169"/>
      <c r="G73" s="183"/>
      <c r="H73" s="184"/>
      <c r="I73" s="217">
        <f t="shared" si="6"/>
        <v>0</v>
      </c>
      <c r="J73" s="236"/>
      <c r="K73" s="188"/>
      <c r="L73" s="237"/>
      <c r="M73" s="42"/>
      <c r="N73" s="42"/>
      <c r="O73" s="42"/>
      <c r="P73" s="42"/>
      <c r="Q73" s="42"/>
      <c r="R73" s="42"/>
      <c r="S73" s="42"/>
      <c r="T73" s="42"/>
      <c r="U73" s="42"/>
      <c r="V73" s="226"/>
      <c r="W73" s="42"/>
      <c r="X73" s="42"/>
      <c r="Y73" s="42"/>
      <c r="Z73" s="42"/>
      <c r="AA73" s="42"/>
      <c r="AB73" s="42"/>
      <c r="AC73" s="42"/>
      <c r="AD73" s="42"/>
      <c r="AE73" s="42"/>
      <c r="AF73" s="227"/>
      <c r="AG73" s="42"/>
      <c r="AH73" s="42"/>
      <c r="AI73" s="42"/>
      <c r="AJ73" s="42"/>
      <c r="AK73" s="42"/>
      <c r="AL73" s="42"/>
      <c r="AM73" s="42"/>
      <c r="AN73" s="42"/>
      <c r="AO73" s="42"/>
      <c r="AP73" s="248"/>
      <c r="AQ73" s="42"/>
      <c r="AR73" s="42"/>
      <c r="AS73" s="42"/>
      <c r="AT73" s="42"/>
      <c r="AU73" s="42"/>
      <c r="AV73" s="42"/>
      <c r="AW73" s="42"/>
      <c r="AX73" s="42"/>
      <c r="AY73" s="42"/>
      <c r="AZ73" s="204"/>
      <c r="BA73" s="42"/>
      <c r="BB73" s="42"/>
      <c r="BC73" s="42"/>
      <c r="BD73" s="42"/>
      <c r="BE73" s="42"/>
      <c r="BF73" s="42"/>
      <c r="BG73" s="42"/>
      <c r="BH73" s="42"/>
      <c r="BI73" s="42"/>
      <c r="BJ73" s="247"/>
      <c r="BK73" s="42"/>
      <c r="BL73" s="42"/>
      <c r="BM73" s="42"/>
      <c r="BN73" s="42"/>
      <c r="BO73" s="42"/>
      <c r="BP73" s="42"/>
      <c r="BQ73" s="42"/>
      <c r="BR73" s="42"/>
      <c r="BS73" s="42"/>
      <c r="BT73" s="307"/>
      <c r="BU73" s="42"/>
      <c r="BV73" s="42"/>
      <c r="BW73" s="42"/>
      <c r="BX73" s="42"/>
      <c r="BY73" s="42"/>
      <c r="BZ73" s="42"/>
      <c r="CA73" s="42"/>
      <c r="CB73" s="42"/>
    </row>
    <row r="74" spans="1:80" s="164" customFormat="1" ht="30" hidden="1" customHeight="1">
      <c r="A74" s="168">
        <v>13</v>
      </c>
      <c r="B74" s="170"/>
      <c r="C74" s="504">
        <v>1113238</v>
      </c>
      <c r="D74" s="352" t="s">
        <v>478</v>
      </c>
      <c r="E74" s="219" t="s">
        <v>42</v>
      </c>
      <c r="F74" s="169"/>
      <c r="G74" s="183"/>
      <c r="H74" s="184"/>
      <c r="I74" s="217">
        <f t="shared" si="6"/>
        <v>0</v>
      </c>
      <c r="J74" s="236"/>
      <c r="K74" s="188"/>
      <c r="L74" s="237"/>
      <c r="M74" s="42"/>
      <c r="N74" s="42"/>
      <c r="O74" s="42"/>
      <c r="P74" s="42"/>
      <c r="Q74" s="42"/>
      <c r="R74" s="42"/>
      <c r="S74" s="42"/>
      <c r="T74" s="42"/>
      <c r="U74" s="42"/>
      <c r="V74" s="226"/>
      <c r="W74" s="42"/>
      <c r="X74" s="42"/>
      <c r="Y74" s="42"/>
      <c r="Z74" s="42"/>
      <c r="AA74" s="42"/>
      <c r="AB74" s="42"/>
      <c r="AC74" s="42"/>
      <c r="AD74" s="42"/>
      <c r="AE74" s="42"/>
      <c r="AF74" s="227"/>
      <c r="AG74" s="42"/>
      <c r="AH74" s="42"/>
      <c r="AI74" s="42"/>
      <c r="AJ74" s="42"/>
      <c r="AK74" s="42"/>
      <c r="AL74" s="42"/>
      <c r="AM74" s="42"/>
      <c r="AN74" s="42"/>
      <c r="AO74" s="42"/>
      <c r="AP74" s="248"/>
      <c r="AQ74" s="42"/>
      <c r="AR74" s="42"/>
      <c r="AS74" s="42"/>
      <c r="AT74" s="42"/>
      <c r="AU74" s="42"/>
      <c r="AV74" s="42"/>
      <c r="AW74" s="42"/>
      <c r="AX74" s="42"/>
      <c r="AY74" s="42"/>
      <c r="AZ74" s="204"/>
      <c r="BA74" s="42"/>
      <c r="BB74" s="42"/>
      <c r="BC74" s="42"/>
      <c r="BD74" s="42"/>
      <c r="BE74" s="42"/>
      <c r="BF74" s="42"/>
      <c r="BG74" s="42"/>
      <c r="BH74" s="42"/>
      <c r="BI74" s="42"/>
      <c r="BJ74" s="247"/>
      <c r="BK74" s="42"/>
      <c r="BL74" s="42"/>
      <c r="BM74" s="42"/>
      <c r="BN74" s="42"/>
      <c r="BO74" s="42"/>
      <c r="BP74" s="42"/>
      <c r="BQ74" s="42"/>
      <c r="BR74" s="42"/>
      <c r="BS74" s="42"/>
      <c r="BT74" s="307"/>
      <c r="BU74" s="42"/>
      <c r="BV74" s="42"/>
      <c r="BW74" s="42"/>
      <c r="BX74" s="42"/>
      <c r="BY74" s="42"/>
      <c r="BZ74" s="42"/>
      <c r="CA74" s="42"/>
      <c r="CB74" s="42"/>
    </row>
    <row r="75" spans="1:80" s="164" customFormat="1" ht="30" customHeight="1">
      <c r="A75" s="407">
        <v>2</v>
      </c>
      <c r="B75" s="249"/>
      <c r="C75" s="583">
        <v>1112048</v>
      </c>
      <c r="D75" s="354" t="s">
        <v>464</v>
      </c>
      <c r="E75" s="182" t="s">
        <v>203</v>
      </c>
      <c r="F75" s="182"/>
      <c r="G75" s="408"/>
      <c r="H75" s="234"/>
      <c r="I75" s="409">
        <f t="shared" si="6"/>
        <v>0</v>
      </c>
      <c r="J75" s="259"/>
      <c r="K75" s="287"/>
      <c r="L75" s="319"/>
      <c r="M75" s="42"/>
      <c r="N75" s="42"/>
      <c r="O75" s="42"/>
      <c r="P75" s="42"/>
      <c r="Q75" s="42"/>
      <c r="R75" s="42"/>
      <c r="S75" s="42"/>
      <c r="T75" s="42"/>
      <c r="U75" s="42"/>
      <c r="V75" s="320"/>
      <c r="W75" s="42"/>
      <c r="X75" s="42"/>
      <c r="Y75" s="42"/>
      <c r="Z75" s="42"/>
      <c r="AA75" s="42"/>
      <c r="AB75" s="42"/>
      <c r="AC75" s="42"/>
      <c r="AD75" s="42"/>
      <c r="AE75" s="42"/>
      <c r="AF75" s="321"/>
      <c r="AG75" s="42"/>
      <c r="AH75" s="42"/>
      <c r="AI75" s="42"/>
      <c r="AJ75" s="42"/>
      <c r="AK75" s="42"/>
      <c r="AL75" s="42"/>
      <c r="AM75" s="42"/>
      <c r="AN75" s="42"/>
      <c r="AO75" s="42"/>
      <c r="AP75" s="322"/>
      <c r="AQ75" s="42"/>
      <c r="AR75" s="42"/>
      <c r="AS75" s="42"/>
      <c r="AT75" s="42"/>
      <c r="AU75" s="42"/>
      <c r="AV75" s="42"/>
      <c r="AW75" s="42"/>
      <c r="AX75" s="42"/>
      <c r="AY75" s="42"/>
      <c r="AZ75" s="323"/>
      <c r="BA75" s="42"/>
      <c r="BB75" s="42"/>
      <c r="BC75" s="42"/>
      <c r="BD75" s="42"/>
      <c r="BE75" s="42"/>
      <c r="BF75" s="42"/>
      <c r="BG75" s="42"/>
      <c r="BH75" s="42"/>
      <c r="BI75" s="42"/>
      <c r="BJ75" s="324"/>
      <c r="BK75" s="42"/>
      <c r="BL75" s="42"/>
      <c r="BM75" s="42"/>
      <c r="BN75" s="42"/>
      <c r="BO75" s="42"/>
      <c r="BP75" s="42"/>
      <c r="BQ75" s="42"/>
      <c r="BR75" s="42"/>
      <c r="BS75" s="42"/>
      <c r="BT75" s="325"/>
      <c r="BU75" s="42"/>
      <c r="BV75" s="42"/>
      <c r="BW75" s="42"/>
      <c r="BX75" s="42"/>
      <c r="BY75" s="42"/>
      <c r="BZ75" s="42"/>
      <c r="CA75" s="42"/>
      <c r="CB75" s="42"/>
    </row>
    <row r="76" spans="1:80" s="164" customFormat="1" ht="30" customHeight="1">
      <c r="A76" s="168">
        <v>3</v>
      </c>
      <c r="B76" s="170"/>
      <c r="C76" s="504">
        <v>1112049</v>
      </c>
      <c r="D76" s="352" t="s">
        <v>465</v>
      </c>
      <c r="E76" s="169" t="s">
        <v>203</v>
      </c>
      <c r="F76" s="169"/>
      <c r="G76" s="183"/>
      <c r="H76" s="184"/>
      <c r="I76" s="217">
        <f t="shared" si="6"/>
        <v>0</v>
      </c>
      <c r="J76" s="236"/>
      <c r="K76" s="188"/>
      <c r="L76" s="237"/>
      <c r="M76" s="42"/>
      <c r="N76" s="42"/>
      <c r="O76" s="42"/>
      <c r="P76" s="42"/>
      <c r="Q76" s="42"/>
      <c r="R76" s="42"/>
      <c r="S76" s="42"/>
      <c r="T76" s="42"/>
      <c r="U76" s="42"/>
      <c r="V76" s="226"/>
      <c r="W76" s="42"/>
      <c r="X76" s="42"/>
      <c r="Y76" s="42"/>
      <c r="Z76" s="42"/>
      <c r="AA76" s="42"/>
      <c r="AB76" s="42"/>
      <c r="AC76" s="42"/>
      <c r="AD76" s="42"/>
      <c r="AE76" s="42"/>
      <c r="AF76" s="227"/>
      <c r="AG76" s="42"/>
      <c r="AH76" s="42"/>
      <c r="AI76" s="42"/>
      <c r="AJ76" s="42"/>
      <c r="AK76" s="42"/>
      <c r="AL76" s="42"/>
      <c r="AM76" s="42"/>
      <c r="AN76" s="42"/>
      <c r="AO76" s="42"/>
      <c r="AP76" s="248"/>
      <c r="AQ76" s="42"/>
      <c r="AR76" s="42"/>
      <c r="AS76" s="42"/>
      <c r="AT76" s="42"/>
      <c r="AU76" s="42"/>
      <c r="AV76" s="42"/>
      <c r="AW76" s="42"/>
      <c r="AX76" s="42"/>
      <c r="AY76" s="42"/>
      <c r="AZ76" s="204"/>
      <c r="BA76" s="42"/>
      <c r="BB76" s="42"/>
      <c r="BC76" s="42"/>
      <c r="BD76" s="42"/>
      <c r="BE76" s="42"/>
      <c r="BF76" s="42"/>
      <c r="BG76" s="42"/>
      <c r="BH76" s="42"/>
      <c r="BI76" s="42"/>
      <c r="BJ76" s="247"/>
      <c r="BK76" s="42"/>
      <c r="BL76" s="42"/>
      <c r="BM76" s="42"/>
      <c r="BN76" s="42"/>
      <c r="BO76" s="42"/>
      <c r="BP76" s="42"/>
      <c r="BQ76" s="42"/>
      <c r="BR76" s="42"/>
      <c r="BS76" s="42"/>
      <c r="BT76" s="307"/>
      <c r="BU76" s="42"/>
      <c r="BV76" s="42"/>
      <c r="BW76" s="42"/>
      <c r="BX76" s="42"/>
      <c r="BY76" s="42"/>
      <c r="BZ76" s="42"/>
      <c r="CA76" s="42"/>
      <c r="CB76" s="42"/>
    </row>
  </sheetData>
  <autoFilter ref="E1:E76" xr:uid="{00000000-0001-0000-0700-000000000000}">
    <filterColumn colId="0">
      <filters>
        <filter val="Tops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455" customFormat="1" ht="15.75" customHeight="1">
      <c r="A1" s="673" t="s">
        <v>14</v>
      </c>
      <c r="B1" s="677"/>
      <c r="C1" s="677"/>
      <c r="D1" s="677"/>
      <c r="E1" s="677"/>
      <c r="F1" s="674"/>
      <c r="G1" s="456"/>
      <c r="H1" s="673" t="s">
        <v>15</v>
      </c>
      <c r="I1" s="674"/>
      <c r="J1" s="674"/>
      <c r="K1" s="674"/>
      <c r="L1" s="674"/>
      <c r="M1" s="674"/>
      <c r="N1" s="456"/>
      <c r="O1" s="673" t="s">
        <v>16</v>
      </c>
      <c r="P1" s="674"/>
      <c r="Q1" s="674"/>
      <c r="R1" s="674"/>
      <c r="S1" s="674"/>
      <c r="T1" s="674"/>
      <c r="U1" s="456"/>
      <c r="V1" s="673" t="s">
        <v>17</v>
      </c>
      <c r="W1" s="674"/>
      <c r="X1" s="674"/>
      <c r="Y1" s="674"/>
      <c r="Z1" s="674"/>
      <c r="AA1" s="674"/>
      <c r="AB1" s="456"/>
      <c r="AC1" s="673" t="s">
        <v>385</v>
      </c>
      <c r="AD1" s="674"/>
      <c r="AE1" s="674"/>
      <c r="AF1" s="674"/>
      <c r="AG1" s="674"/>
      <c r="AH1" s="674"/>
      <c r="AI1" s="456"/>
      <c r="AJ1" s="673" t="s">
        <v>19</v>
      </c>
      <c r="AK1" s="674"/>
      <c r="AL1" s="674"/>
      <c r="AM1" s="674"/>
      <c r="AN1" s="674"/>
      <c r="AO1" s="674"/>
      <c r="AP1" s="456"/>
      <c r="AQ1" s="673" t="s">
        <v>386</v>
      </c>
      <c r="AR1" s="674"/>
      <c r="AS1" s="674"/>
      <c r="AT1" s="674"/>
      <c r="AU1" s="674"/>
      <c r="AV1" s="674"/>
      <c r="AW1" s="457"/>
      <c r="AX1" s="457"/>
      <c r="AY1" s="457"/>
      <c r="AZ1" s="457"/>
      <c r="BA1" s="457"/>
      <c r="BB1" s="457"/>
      <c r="BC1" s="457"/>
      <c r="BD1" s="457"/>
      <c r="BE1" s="457"/>
      <c r="BF1" s="457"/>
      <c r="BG1" s="457"/>
      <c r="BH1" s="457"/>
      <c r="BI1" s="457"/>
      <c r="BJ1" s="457"/>
      <c r="BK1" s="457"/>
      <c r="BL1" s="457"/>
      <c r="BM1" s="457"/>
      <c r="BN1" s="457"/>
      <c r="BO1" s="457"/>
      <c r="BP1" s="457"/>
      <c r="BQ1" s="457"/>
      <c r="BR1" s="457"/>
      <c r="BS1" s="457"/>
      <c r="BT1" s="457"/>
      <c r="BU1" s="457"/>
      <c r="BV1" s="457"/>
      <c r="BW1" s="458"/>
      <c r="BX1" s="458"/>
      <c r="BY1" s="457" t="s">
        <v>9</v>
      </c>
      <c r="BZ1" s="457"/>
      <c r="CA1" s="457"/>
      <c r="CB1" s="457"/>
      <c r="CC1" s="457"/>
      <c r="CD1" s="457"/>
      <c r="CE1" s="457"/>
      <c r="CF1" s="457"/>
      <c r="CG1" s="457"/>
      <c r="CH1" s="457"/>
      <c r="CI1" s="457"/>
      <c r="CJ1" s="457"/>
      <c r="CK1" s="457"/>
      <c r="CL1" s="457"/>
      <c r="CM1" s="457"/>
      <c r="CN1" s="457"/>
      <c r="CO1" s="457"/>
      <c r="CP1" s="457"/>
      <c r="CQ1" s="457"/>
      <c r="CR1" s="457"/>
      <c r="CS1" s="458"/>
      <c r="CT1" s="679" t="s">
        <v>10</v>
      </c>
      <c r="CU1" s="674"/>
      <c r="CV1" s="674"/>
      <c r="CW1" s="674"/>
      <c r="CX1" s="674"/>
      <c r="CY1" s="674"/>
      <c r="CZ1" s="674"/>
      <c r="DA1" s="674"/>
      <c r="DB1" s="674"/>
      <c r="DC1" s="674"/>
      <c r="DD1" s="674"/>
      <c r="DE1" s="674"/>
      <c r="DF1" s="674"/>
      <c r="DG1" s="674"/>
      <c r="DH1" s="674"/>
      <c r="DI1" s="674"/>
      <c r="DJ1" s="674"/>
      <c r="DK1" s="674"/>
      <c r="DL1" s="674"/>
      <c r="DM1" s="674"/>
      <c r="DN1" s="674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79"/>
  <sheetViews>
    <sheetView zoomScale="90" zoomScaleNormal="90" workbookViewId="0">
      <selection activeCell="I95" sqref="I95"/>
    </sheetView>
  </sheetViews>
  <sheetFormatPr defaultColWidth="12.7109375" defaultRowHeight="15.75" customHeight="1"/>
  <cols>
    <col min="1" max="1" width="12.7109375" style="335"/>
    <col min="2" max="2" width="4" style="335" customWidth="1"/>
    <col min="3" max="3" width="14.28515625" style="335" bestFit="1" customWidth="1"/>
    <col min="4" max="4" width="69.85546875" style="335" customWidth="1"/>
    <col min="5" max="5" width="16.42578125" style="335" customWidth="1"/>
    <col min="6" max="6" width="6.140625" style="335" customWidth="1"/>
    <col min="7" max="7" width="5.85546875" style="335" customWidth="1"/>
    <col min="8" max="10" width="9.42578125" style="335" customWidth="1"/>
    <col min="11" max="11" width="12.7109375" style="335"/>
    <col min="12" max="12" width="14.140625" style="335" bestFit="1" customWidth="1"/>
    <col min="13" max="21" width="0" style="42" hidden="1" customWidth="1"/>
    <col min="22" max="22" width="12.7109375" style="335"/>
    <col min="23" max="31" width="0" style="42" hidden="1" customWidth="1"/>
    <col min="32" max="32" width="12.7109375" style="335"/>
    <col min="33" max="41" width="0" style="42" hidden="1" customWidth="1"/>
    <col min="42" max="42" width="12.7109375" style="335"/>
    <col min="43" max="51" width="0" style="42" hidden="1" customWidth="1"/>
    <col min="52" max="52" width="12.7109375" style="335"/>
    <col min="53" max="61" width="0" style="42" hidden="1" customWidth="1"/>
    <col min="62" max="62" width="12.7109375" style="335"/>
    <col min="63" max="71" width="0" style="42" hidden="1" customWidth="1"/>
    <col min="72" max="72" width="12.7109375" style="335"/>
    <col min="73" max="80" width="0" style="42" hidden="1" customWidth="1"/>
    <col min="81" max="16384" width="12.7109375" style="335"/>
  </cols>
  <sheetData>
    <row r="1" spans="1:80" ht="40.5">
      <c r="A1" s="657" t="s">
        <v>0</v>
      </c>
      <c r="B1" s="658" t="s">
        <v>4</v>
      </c>
      <c r="C1" s="659" t="s">
        <v>5</v>
      </c>
      <c r="D1" s="660" t="s">
        <v>6</v>
      </c>
      <c r="E1" s="424" t="s">
        <v>7</v>
      </c>
      <c r="F1" s="660" t="s">
        <v>8</v>
      </c>
      <c r="G1" s="662"/>
      <c r="H1" s="659"/>
      <c r="I1" s="662"/>
      <c r="J1" s="662"/>
      <c r="K1" s="663" t="s">
        <v>418</v>
      </c>
      <c r="L1" s="664"/>
      <c r="M1" s="640"/>
      <c r="N1" s="640"/>
      <c r="O1" s="640"/>
      <c r="P1" s="640"/>
      <c r="Q1" s="640"/>
      <c r="R1" s="640"/>
      <c r="S1" s="640"/>
      <c r="T1" s="640"/>
      <c r="U1" s="640"/>
      <c r="V1" s="664"/>
      <c r="W1" s="640"/>
      <c r="X1" s="640"/>
      <c r="Y1" s="640"/>
      <c r="Z1" s="640"/>
      <c r="AA1" s="640"/>
      <c r="AB1" s="640"/>
      <c r="AC1" s="640"/>
      <c r="AD1" s="640"/>
      <c r="AE1" s="640"/>
      <c r="AF1" s="664"/>
      <c r="AG1" s="640"/>
      <c r="AH1" s="640"/>
      <c r="AI1" s="640"/>
      <c r="AJ1" s="640"/>
      <c r="AK1" s="640"/>
      <c r="AL1" s="640"/>
      <c r="AM1" s="640"/>
      <c r="AN1" s="640"/>
      <c r="AO1" s="640"/>
      <c r="AP1" s="664"/>
      <c r="AQ1" s="640"/>
      <c r="AR1" s="640"/>
      <c r="AS1" s="640"/>
      <c r="AT1" s="640"/>
      <c r="AU1" s="640"/>
      <c r="AV1" s="640"/>
      <c r="AW1" s="640"/>
      <c r="AX1" s="640"/>
      <c r="AY1" s="640"/>
      <c r="AZ1" s="664"/>
      <c r="BA1" s="640"/>
      <c r="BB1" s="640"/>
      <c r="BC1" s="640"/>
      <c r="BD1" s="640"/>
      <c r="BE1" s="640"/>
      <c r="BF1" s="640"/>
      <c r="BG1" s="640"/>
      <c r="BH1" s="640"/>
      <c r="BI1" s="640"/>
      <c r="BJ1" s="664"/>
      <c r="BK1" s="640"/>
      <c r="BL1" s="640"/>
      <c r="BM1" s="640"/>
      <c r="BN1" s="640"/>
      <c r="BO1" s="640"/>
      <c r="BP1" s="640"/>
      <c r="BQ1" s="640"/>
      <c r="BR1" s="640"/>
      <c r="BS1" s="640"/>
      <c r="BT1" s="664"/>
      <c r="BU1" s="640"/>
      <c r="BV1" s="640"/>
      <c r="BW1" s="640"/>
      <c r="BX1" s="640"/>
      <c r="BY1" s="640"/>
      <c r="BZ1" s="640"/>
      <c r="CA1" s="640"/>
      <c r="CB1" s="641"/>
    </row>
    <row r="2" spans="1:80" s="42" customFormat="1" ht="26.25" hidden="1">
      <c r="A2" s="651"/>
      <c r="B2" s="651"/>
      <c r="C2" s="651"/>
      <c r="D2" s="651"/>
      <c r="E2" s="125"/>
      <c r="F2" s="665" t="s">
        <v>11</v>
      </c>
      <c r="G2" s="665" t="s">
        <v>12</v>
      </c>
      <c r="H2" s="666" t="s">
        <v>13</v>
      </c>
      <c r="I2" s="661"/>
      <c r="J2" s="667"/>
      <c r="K2" s="672" t="s">
        <v>14</v>
      </c>
      <c r="L2" s="661"/>
      <c r="M2" s="640"/>
      <c r="N2" s="641"/>
      <c r="O2" s="668" t="s">
        <v>368</v>
      </c>
      <c r="P2" s="669"/>
      <c r="Q2" s="669"/>
      <c r="R2" s="669"/>
      <c r="S2" s="669"/>
      <c r="T2" s="670"/>
      <c r="U2" s="642" t="s">
        <v>15</v>
      </c>
      <c r="V2" s="661"/>
      <c r="W2" s="640"/>
      <c r="X2" s="641"/>
      <c r="Y2" s="668" t="s">
        <v>368</v>
      </c>
      <c r="Z2" s="669"/>
      <c r="AA2" s="669"/>
      <c r="AB2" s="669"/>
      <c r="AC2" s="669"/>
      <c r="AD2" s="670"/>
      <c r="AE2" s="642" t="s">
        <v>16</v>
      </c>
      <c r="AF2" s="661"/>
      <c r="AG2" s="640"/>
      <c r="AH2" s="641"/>
      <c r="AI2" s="668" t="s">
        <v>368</v>
      </c>
      <c r="AJ2" s="669"/>
      <c r="AK2" s="669"/>
      <c r="AL2" s="669"/>
      <c r="AM2" s="669"/>
      <c r="AN2" s="670"/>
      <c r="AO2" s="642" t="s">
        <v>17</v>
      </c>
      <c r="AP2" s="661"/>
      <c r="AQ2" s="640"/>
      <c r="AR2" s="641"/>
      <c r="AS2" s="668" t="s">
        <v>368</v>
      </c>
      <c r="AT2" s="669"/>
      <c r="AU2" s="669"/>
      <c r="AV2" s="669"/>
      <c r="AW2" s="669"/>
      <c r="AX2" s="670"/>
      <c r="AY2" s="642" t="s">
        <v>18</v>
      </c>
      <c r="AZ2" s="661"/>
      <c r="BA2" s="640"/>
      <c r="BB2" s="641"/>
      <c r="BC2" s="668" t="s">
        <v>368</v>
      </c>
      <c r="BD2" s="669"/>
      <c r="BE2" s="669"/>
      <c r="BF2" s="669"/>
      <c r="BG2" s="669"/>
      <c r="BH2" s="670"/>
      <c r="BI2" s="642" t="s">
        <v>19</v>
      </c>
      <c r="BJ2" s="661"/>
      <c r="BK2" s="640"/>
      <c r="BL2" s="641"/>
      <c r="BM2" s="668" t="s">
        <v>368</v>
      </c>
      <c r="BN2" s="669"/>
      <c r="BO2" s="669"/>
      <c r="BP2" s="669"/>
      <c r="BQ2" s="669"/>
      <c r="BR2" s="670"/>
      <c r="BS2" s="642" t="s">
        <v>20</v>
      </c>
      <c r="BT2" s="661"/>
      <c r="BU2" s="640"/>
      <c r="BV2" s="641"/>
      <c r="BW2" s="668" t="s">
        <v>368</v>
      </c>
      <c r="BX2" s="669"/>
      <c r="BY2" s="669"/>
      <c r="BZ2" s="669"/>
      <c r="CA2" s="669"/>
      <c r="CB2" s="670"/>
    </row>
    <row r="3" spans="1:80" s="42" customFormat="1" ht="26.25" hidden="1">
      <c r="A3" s="651"/>
      <c r="B3" s="651"/>
      <c r="C3" s="651"/>
      <c r="D3" s="651"/>
      <c r="E3" s="125"/>
      <c r="F3" s="651"/>
      <c r="G3" s="651"/>
      <c r="H3" s="649" t="s">
        <v>21</v>
      </c>
      <c r="I3" s="640"/>
      <c r="J3" s="641"/>
      <c r="K3" s="642"/>
      <c r="L3" s="640"/>
      <c r="M3" s="640"/>
      <c r="N3" s="641"/>
      <c r="O3" s="671"/>
      <c r="P3" s="661"/>
      <c r="Q3" s="661"/>
      <c r="R3" s="661"/>
      <c r="S3" s="661"/>
      <c r="T3" s="667"/>
      <c r="U3" s="642"/>
      <c r="V3" s="640"/>
      <c r="W3" s="640"/>
      <c r="X3" s="641"/>
      <c r="Y3" s="671"/>
      <c r="Z3" s="661"/>
      <c r="AA3" s="661"/>
      <c r="AB3" s="661"/>
      <c r="AC3" s="661"/>
      <c r="AD3" s="667"/>
      <c r="AE3" s="642"/>
      <c r="AF3" s="640"/>
      <c r="AG3" s="640"/>
      <c r="AH3" s="641"/>
      <c r="AI3" s="671"/>
      <c r="AJ3" s="661"/>
      <c r="AK3" s="661"/>
      <c r="AL3" s="661"/>
      <c r="AM3" s="661"/>
      <c r="AN3" s="667"/>
      <c r="AO3" s="642"/>
      <c r="AP3" s="640"/>
      <c r="AQ3" s="640"/>
      <c r="AR3" s="641"/>
      <c r="AS3" s="671"/>
      <c r="AT3" s="661"/>
      <c r="AU3" s="661"/>
      <c r="AV3" s="661"/>
      <c r="AW3" s="661"/>
      <c r="AX3" s="667"/>
      <c r="AY3" s="642"/>
      <c r="AZ3" s="640"/>
      <c r="BA3" s="640"/>
      <c r="BB3" s="641"/>
      <c r="BC3" s="671"/>
      <c r="BD3" s="661"/>
      <c r="BE3" s="661"/>
      <c r="BF3" s="661"/>
      <c r="BG3" s="661"/>
      <c r="BH3" s="667"/>
      <c r="BI3" s="642"/>
      <c r="BJ3" s="640"/>
      <c r="BK3" s="640"/>
      <c r="BL3" s="641"/>
      <c r="BM3" s="671"/>
      <c r="BN3" s="661"/>
      <c r="BO3" s="661"/>
      <c r="BP3" s="661"/>
      <c r="BQ3" s="661"/>
      <c r="BR3" s="667"/>
      <c r="BS3" s="642"/>
      <c r="BT3" s="640"/>
      <c r="BU3" s="640"/>
      <c r="BV3" s="641"/>
      <c r="BW3" s="671"/>
      <c r="BX3" s="661"/>
      <c r="BY3" s="661"/>
      <c r="BZ3" s="661"/>
      <c r="CA3" s="661"/>
      <c r="CB3" s="667"/>
    </row>
    <row r="4" spans="1:80" s="42" customFormat="1" ht="56.25" hidden="1" customHeight="1">
      <c r="A4" s="652"/>
      <c r="B4" s="652"/>
      <c r="C4" s="652"/>
      <c r="D4" s="652"/>
      <c r="E4" s="126"/>
      <c r="F4" s="652"/>
      <c r="G4" s="652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26</v>
      </c>
      <c r="E5" s="54" t="s">
        <v>27</v>
      </c>
      <c r="F5" s="54"/>
      <c r="G5" s="44"/>
      <c r="H5" s="58">
        <v>0</v>
      </c>
      <c r="I5" s="45">
        <f t="shared" ref="I5:I37" si="0">SUM(L5,V5,AF5,AP5,AZ5,BJ5,BT5)</f>
        <v>0</v>
      </c>
      <c r="J5" s="58">
        <v>0</v>
      </c>
      <c r="K5" s="59"/>
      <c r="L5" s="88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>
        <f t="shared" ref="BV5:BV37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7" si="2">BT5-BX5</f>
        <v>0</v>
      </c>
      <c r="CB5" s="59">
        <v>0</v>
      </c>
    </row>
    <row r="6" spans="1:80" s="42" customFormat="1" ht="26.25" hidden="1">
      <c r="A6" s="53">
        <v>1</v>
      </c>
      <c r="B6" s="56"/>
      <c r="C6" s="54">
        <v>1111002</v>
      </c>
      <c r="D6" s="57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53">
        <v>2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 hidden="1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308"/>
      <c r="L8" s="206"/>
      <c r="M8" s="59"/>
      <c r="N8" s="96"/>
      <c r="O8" s="59"/>
      <c r="P8" s="59"/>
      <c r="Q8" s="59"/>
      <c r="R8" s="59"/>
      <c r="S8" s="44"/>
      <c r="T8" s="59"/>
      <c r="U8" s="59"/>
      <c r="V8" s="191"/>
      <c r="W8" s="59"/>
      <c r="X8" s="96"/>
      <c r="Y8" s="59"/>
      <c r="Z8" s="59"/>
      <c r="AA8" s="59"/>
      <c r="AB8" s="59"/>
      <c r="AC8" s="44"/>
      <c r="AD8" s="59"/>
      <c r="AE8" s="59"/>
      <c r="AF8" s="254"/>
      <c r="AG8" s="59"/>
      <c r="AH8" s="96"/>
      <c r="AI8" s="59"/>
      <c r="AJ8" s="59"/>
      <c r="AK8" s="59"/>
      <c r="AL8" s="59"/>
      <c r="AM8" s="44"/>
      <c r="AN8" s="59"/>
      <c r="AO8" s="59"/>
      <c r="AP8" s="194"/>
      <c r="AQ8" s="59"/>
      <c r="AR8" s="96"/>
      <c r="AS8" s="59"/>
      <c r="AT8" s="59"/>
      <c r="AU8" s="59"/>
      <c r="AV8" s="59"/>
      <c r="AW8" s="44"/>
      <c r="AX8" s="59"/>
      <c r="AY8" s="59"/>
      <c r="AZ8" s="263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09"/>
      <c r="BU8" s="5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53">
        <v>3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53">
        <v>4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53">
        <v>5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53">
        <v>6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53">
        <v>7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53">
        <v>8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53">
        <v>9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88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53">
        <v>10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88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53">
        <v>11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88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53">
        <v>12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88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 hidden="1">
      <c r="A19" s="165">
        <v>2</v>
      </c>
      <c r="B19" s="166"/>
      <c r="C19" s="73">
        <v>1113090</v>
      </c>
      <c r="D19" s="75" t="s">
        <v>406</v>
      </c>
      <c r="E19" s="135" t="s">
        <v>42</v>
      </c>
      <c r="F19" s="73"/>
      <c r="G19" s="116"/>
      <c r="H19" s="129">
        <v>0</v>
      </c>
      <c r="I19" s="222">
        <f t="shared" ref="I19" si="3">SUM(L19,V19,AF19,AP19,AZ19,BJ19,BT19)</f>
        <v>0</v>
      </c>
      <c r="J19" s="129">
        <v>0</v>
      </c>
      <c r="K19" s="309"/>
      <c r="L19" s="404"/>
      <c r="M19" s="59"/>
      <c r="N19" s="96"/>
      <c r="O19" s="59"/>
      <c r="P19" s="59"/>
      <c r="Q19" s="59"/>
      <c r="R19" s="59"/>
      <c r="S19" s="106"/>
      <c r="T19" s="59"/>
      <c r="U19" s="59"/>
      <c r="V19" s="212"/>
      <c r="W19" s="59"/>
      <c r="X19" s="96"/>
      <c r="Y19" s="59"/>
      <c r="Z19" s="59"/>
      <c r="AA19" s="59"/>
      <c r="AB19" s="59"/>
      <c r="AC19" s="44"/>
      <c r="AD19" s="59"/>
      <c r="AE19" s="59"/>
      <c r="AF19" s="405"/>
      <c r="AG19" s="59"/>
      <c r="AH19" s="96"/>
      <c r="AI19" s="59"/>
      <c r="AJ19" s="59"/>
      <c r="AK19" s="59"/>
      <c r="AL19" s="59"/>
      <c r="AM19" s="106"/>
      <c r="AN19" s="59"/>
      <c r="AO19" s="59"/>
      <c r="AP19" s="214"/>
      <c r="AQ19" s="59"/>
      <c r="AR19" s="96"/>
      <c r="AS19" s="59"/>
      <c r="AT19" s="59"/>
      <c r="AU19" s="59"/>
      <c r="AV19" s="59"/>
      <c r="AW19" s="44"/>
      <c r="AX19" s="59"/>
      <c r="AY19" s="59"/>
      <c r="AZ19" s="406"/>
      <c r="BA19" s="59"/>
      <c r="BB19" s="96"/>
      <c r="BC19" s="59"/>
      <c r="BD19" s="59"/>
      <c r="BE19" s="59"/>
      <c r="BF19" s="59"/>
      <c r="BG19" s="106"/>
      <c r="BH19" s="59"/>
      <c r="BI19" s="59"/>
      <c r="BJ19" s="216"/>
      <c r="BK19" s="59"/>
      <c r="BL19" s="96"/>
      <c r="BM19" s="59"/>
      <c r="BN19" s="59"/>
      <c r="BO19" s="59"/>
      <c r="BP19" s="59"/>
      <c r="BQ19" s="44"/>
      <c r="BR19" s="59"/>
      <c r="BS19" s="59"/>
      <c r="BT19" s="223"/>
      <c r="BU19" s="5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hidden="1" customHeight="1">
      <c r="A20" s="168">
        <v>1</v>
      </c>
      <c r="B20" s="170"/>
      <c r="C20" s="418">
        <v>1113087</v>
      </c>
      <c r="D20" s="419" t="s">
        <v>169</v>
      </c>
      <c r="E20" s="219" t="s">
        <v>170</v>
      </c>
      <c r="F20" s="169"/>
      <c r="G20" s="183"/>
      <c r="H20" s="184">
        <v>0</v>
      </c>
      <c r="I20" s="217">
        <f t="shared" ref="I20" si="4">SUM(L20,V20,AF20,AP20,AZ20,BJ20,BT20)</f>
        <v>0</v>
      </c>
      <c r="J20" s="184">
        <v>0</v>
      </c>
      <c r="K20" s="310"/>
      <c r="L20" s="257"/>
      <c r="M20" s="221"/>
      <c r="N20" s="96"/>
      <c r="O20" s="59"/>
      <c r="P20" s="59"/>
      <c r="Q20" s="59"/>
      <c r="R20" s="59"/>
      <c r="S20" s="106"/>
      <c r="T20" s="59"/>
      <c r="U20" s="220"/>
      <c r="V20" s="203"/>
      <c r="W20" s="221"/>
      <c r="X20" s="96"/>
      <c r="Y20" s="59"/>
      <c r="Z20" s="59"/>
      <c r="AA20" s="59"/>
      <c r="AB20" s="59"/>
      <c r="AC20" s="44"/>
      <c r="AD20" s="59"/>
      <c r="AE20" s="220"/>
      <c r="AF20" s="227"/>
      <c r="AG20" s="221"/>
      <c r="AH20" s="96"/>
      <c r="AI20" s="59"/>
      <c r="AJ20" s="59"/>
      <c r="AK20" s="59"/>
      <c r="AL20" s="59"/>
      <c r="AM20" s="106"/>
      <c r="AN20" s="59"/>
      <c r="AO20" s="220"/>
      <c r="AP20" s="262"/>
      <c r="AQ20" s="221"/>
      <c r="AR20" s="96"/>
      <c r="AS20" s="59"/>
      <c r="AT20" s="59"/>
      <c r="AU20" s="59"/>
      <c r="AV20" s="59"/>
      <c r="AW20" s="44"/>
      <c r="AX20" s="59"/>
      <c r="AY20" s="220"/>
      <c r="AZ20" s="204"/>
      <c r="BA20" s="221"/>
      <c r="BB20" s="96"/>
      <c r="BC20" s="59"/>
      <c r="BD20" s="59"/>
      <c r="BE20" s="59"/>
      <c r="BF20" s="59"/>
      <c r="BG20" s="106"/>
      <c r="BH20" s="59"/>
      <c r="BI20" s="220"/>
      <c r="BJ20" s="266"/>
      <c r="BK20" s="221"/>
      <c r="BL20" s="96"/>
      <c r="BM20" s="59"/>
      <c r="BN20" s="59"/>
      <c r="BO20" s="59"/>
      <c r="BP20" s="59"/>
      <c r="BQ20" s="44"/>
      <c r="BR20" s="59"/>
      <c r="BS20" s="220"/>
      <c r="BT20" s="205"/>
      <c r="BU20" s="221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336">
        <v>1</v>
      </c>
      <c r="B21" s="337"/>
      <c r="C21" s="338">
        <v>20039044</v>
      </c>
      <c r="D21" s="339" t="s">
        <v>425</v>
      </c>
      <c r="E21" s="338" t="s">
        <v>69</v>
      </c>
      <c r="F21" s="338"/>
      <c r="G21" s="340"/>
      <c r="H21" s="450">
        <v>0</v>
      </c>
      <c r="I21" s="342">
        <f t="shared" si="0"/>
        <v>0</v>
      </c>
      <c r="J21" s="450">
        <v>0</v>
      </c>
      <c r="K21" s="451"/>
      <c r="L21" s="386"/>
      <c r="M21" s="59"/>
      <c r="N21" s="96"/>
      <c r="O21" s="59"/>
      <c r="P21" s="59"/>
      <c r="Q21" s="59"/>
      <c r="R21" s="105"/>
      <c r="S21" s="106"/>
      <c r="T21" s="59"/>
      <c r="U21" s="59"/>
      <c r="V21" s="387"/>
      <c r="W21" s="59"/>
      <c r="X21" s="96"/>
      <c r="Y21" s="59"/>
      <c r="Z21" s="59"/>
      <c r="AA21" s="59"/>
      <c r="AB21" s="105"/>
      <c r="AC21" s="106"/>
      <c r="AD21" s="59"/>
      <c r="AE21" s="59"/>
      <c r="AF21" s="388"/>
      <c r="AG21" s="105"/>
      <c r="AH21" s="96"/>
      <c r="AI21" s="59"/>
      <c r="AJ21" s="59"/>
      <c r="AK21" s="59"/>
      <c r="AL21" s="105"/>
      <c r="AM21" s="106"/>
      <c r="AN21" s="59"/>
      <c r="AO21" s="59"/>
      <c r="AP21" s="389"/>
      <c r="AQ21" s="59"/>
      <c r="AR21" s="96"/>
      <c r="AS21" s="59"/>
      <c r="AT21" s="59"/>
      <c r="AU21" s="59"/>
      <c r="AV21" s="105"/>
      <c r="AW21" s="106"/>
      <c r="AX21" s="59"/>
      <c r="AY21" s="59"/>
      <c r="AZ21" s="348"/>
      <c r="BA21" s="59"/>
      <c r="BB21" s="96"/>
      <c r="BC21" s="59"/>
      <c r="BD21" s="59"/>
      <c r="BE21" s="59"/>
      <c r="BF21" s="105"/>
      <c r="BG21" s="106"/>
      <c r="BH21" s="105"/>
      <c r="BI21" s="59"/>
      <c r="BJ21" s="349"/>
      <c r="BK21" s="59"/>
      <c r="BL21" s="96"/>
      <c r="BM21" s="59"/>
      <c r="BN21" s="59"/>
      <c r="BO21" s="59"/>
      <c r="BP21" s="105"/>
      <c r="BQ21" s="106"/>
      <c r="BR21" s="59"/>
      <c r="BS21" s="59"/>
      <c r="BT21" s="452"/>
      <c r="BU21" s="59"/>
      <c r="BV21" s="96">
        <f t="shared" si="1"/>
        <v>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0</v>
      </c>
      <c r="CB21" s="59">
        <v>0</v>
      </c>
    </row>
    <row r="22" spans="1:80" s="42" customFormat="1" ht="26.25" hidden="1">
      <c r="A22" s="53">
        <v>13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88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53">
        <v>14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0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03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53">
        <v>15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88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5">
        <v>16</v>
      </c>
      <c r="B25" s="166"/>
      <c r="C25" s="426">
        <v>1113088</v>
      </c>
      <c r="D25" s="427" t="s">
        <v>407</v>
      </c>
      <c r="E25" s="426" t="s">
        <v>27</v>
      </c>
      <c r="F25" s="426"/>
      <c r="G25" s="428"/>
      <c r="H25" s="129">
        <v>0</v>
      </c>
      <c r="I25" s="222">
        <f t="shared" si="0"/>
        <v>0</v>
      </c>
      <c r="J25" s="129">
        <v>0</v>
      </c>
      <c r="K25" s="117"/>
      <c r="L25" s="211"/>
      <c r="M25" s="59"/>
      <c r="N25" s="96"/>
      <c r="O25" s="59"/>
      <c r="P25" s="59"/>
      <c r="Q25" s="59"/>
      <c r="R25" s="59"/>
      <c r="S25" s="44"/>
      <c r="T25" s="59"/>
      <c r="U25" s="59"/>
      <c r="V25" s="212"/>
      <c r="W25" s="59"/>
      <c r="X25" s="96"/>
      <c r="Y25" s="59"/>
      <c r="Z25" s="59"/>
      <c r="AA25" s="59"/>
      <c r="AB25" s="59"/>
      <c r="AC25" s="44"/>
      <c r="AD25" s="59"/>
      <c r="AE25" s="59"/>
      <c r="AF25" s="213"/>
      <c r="AG25" s="59"/>
      <c r="AH25" s="96"/>
      <c r="AI25" s="59"/>
      <c r="AJ25" s="59"/>
      <c r="AK25" s="59"/>
      <c r="AL25" s="59"/>
      <c r="AM25" s="44"/>
      <c r="AN25" s="59"/>
      <c r="AO25" s="59"/>
      <c r="AP25" s="214"/>
      <c r="AQ25" s="59"/>
      <c r="AR25" s="96"/>
      <c r="AS25" s="59"/>
      <c r="AT25" s="59"/>
      <c r="AU25" s="59"/>
      <c r="AV25" s="59"/>
      <c r="AW25" s="44"/>
      <c r="AX25" s="59"/>
      <c r="AY25" s="59"/>
      <c r="AZ25" s="215"/>
      <c r="BA25" s="59"/>
      <c r="BB25" s="96"/>
      <c r="BC25" s="59"/>
      <c r="BD25" s="59"/>
      <c r="BE25" s="59"/>
      <c r="BF25" s="59"/>
      <c r="BG25" s="44"/>
      <c r="BH25" s="59"/>
      <c r="BI25" s="59"/>
      <c r="BJ25" s="141"/>
      <c r="BK25" s="59"/>
      <c r="BL25" s="96"/>
      <c r="BM25" s="59"/>
      <c r="BN25" s="59"/>
      <c r="BO25" s="59"/>
      <c r="BP25" s="59"/>
      <c r="BQ25" s="44"/>
      <c r="BR25" s="59"/>
      <c r="BS25" s="59"/>
      <c r="BT25" s="303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 hidden="1">
      <c r="A26" s="168">
        <v>4</v>
      </c>
      <c r="B26" s="170"/>
      <c r="C26" s="312">
        <v>1113089</v>
      </c>
      <c r="D26" s="313" t="s">
        <v>195</v>
      </c>
      <c r="E26" s="219" t="s">
        <v>42</v>
      </c>
      <c r="F26" s="169"/>
      <c r="G26" s="183"/>
      <c r="H26" s="184">
        <v>0</v>
      </c>
      <c r="I26" s="217">
        <f t="shared" ref="I26" si="5">SUM(L26,V26,AF26,AP26,AZ26,BJ26,BT26)</f>
        <v>0</v>
      </c>
      <c r="J26" s="184">
        <v>0</v>
      </c>
      <c r="K26" s="310"/>
      <c r="L26" s="257"/>
      <c r="M26" s="221"/>
      <c r="N26" s="96"/>
      <c r="O26" s="59"/>
      <c r="P26" s="59"/>
      <c r="Q26" s="59"/>
      <c r="R26" s="59"/>
      <c r="S26" s="106"/>
      <c r="T26" s="59"/>
      <c r="U26" s="220"/>
      <c r="V26" s="203"/>
      <c r="W26" s="221"/>
      <c r="X26" s="96"/>
      <c r="Y26" s="59"/>
      <c r="Z26" s="59"/>
      <c r="AA26" s="59"/>
      <c r="AB26" s="59"/>
      <c r="AC26" s="44"/>
      <c r="AD26" s="59"/>
      <c r="AE26" s="220"/>
      <c r="AF26" s="227"/>
      <c r="AG26" s="221"/>
      <c r="AH26" s="96"/>
      <c r="AI26" s="59"/>
      <c r="AJ26" s="59"/>
      <c r="AK26" s="59"/>
      <c r="AL26" s="59"/>
      <c r="AM26" s="106"/>
      <c r="AN26" s="59"/>
      <c r="AO26" s="220"/>
      <c r="AP26" s="262"/>
      <c r="AQ26" s="221"/>
      <c r="AR26" s="96"/>
      <c r="AS26" s="59"/>
      <c r="AT26" s="59"/>
      <c r="AU26" s="59"/>
      <c r="AV26" s="59"/>
      <c r="AW26" s="44"/>
      <c r="AX26" s="59"/>
      <c r="AY26" s="220"/>
      <c r="AZ26" s="204"/>
      <c r="BA26" s="221"/>
      <c r="BB26" s="96"/>
      <c r="BC26" s="59"/>
      <c r="BD26" s="59"/>
      <c r="BE26" s="59"/>
      <c r="BF26" s="59"/>
      <c r="BG26" s="106"/>
      <c r="BH26" s="59"/>
      <c r="BI26" s="220"/>
      <c r="BJ26" s="266"/>
      <c r="BK26" s="221"/>
      <c r="BL26" s="96"/>
      <c r="BM26" s="59"/>
      <c r="BN26" s="59"/>
      <c r="BO26" s="59"/>
      <c r="BP26" s="59"/>
      <c r="BQ26" s="44"/>
      <c r="BR26" s="59"/>
      <c r="BS26" s="220"/>
      <c r="BT26" s="205"/>
      <c r="BU26" s="221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>
      <c r="A27" s="53">
        <v>17</v>
      </c>
      <c r="B27" s="56"/>
      <c r="C27" s="280">
        <v>1113093</v>
      </c>
      <c r="D27" s="281" t="s">
        <v>196</v>
      </c>
      <c r="E27" s="291" t="s">
        <v>27</v>
      </c>
      <c r="F27" s="274"/>
      <c r="G27" s="423"/>
      <c r="H27" s="146">
        <v>0</v>
      </c>
      <c r="I27" s="63">
        <f t="shared" si="0"/>
        <v>0</v>
      </c>
      <c r="J27" s="146">
        <v>0</v>
      </c>
      <c r="K27" s="147"/>
      <c r="L27" s="104"/>
      <c r="M27" s="59"/>
      <c r="N27" s="96"/>
      <c r="O27" s="59"/>
      <c r="P27" s="59"/>
      <c r="Q27" s="59"/>
      <c r="R27" s="105"/>
      <c r="S27" s="106"/>
      <c r="T27" s="59"/>
      <c r="U27" s="59"/>
      <c r="V27" s="149"/>
      <c r="W27" s="59"/>
      <c r="X27" s="96"/>
      <c r="Y27" s="59"/>
      <c r="Z27" s="59"/>
      <c r="AA27" s="59"/>
      <c r="AB27" s="105"/>
      <c r="AC27" s="44"/>
      <c r="AD27" s="59"/>
      <c r="AE27" s="59"/>
      <c r="AF27" s="150"/>
      <c r="AG27" s="105"/>
      <c r="AH27" s="96"/>
      <c r="AI27" s="59"/>
      <c r="AJ27" s="59"/>
      <c r="AK27" s="59"/>
      <c r="AL27" s="105"/>
      <c r="AM27" s="44"/>
      <c r="AN27" s="59"/>
      <c r="AO27" s="59"/>
      <c r="AP27" s="151"/>
      <c r="AQ27" s="59"/>
      <c r="AR27" s="96"/>
      <c r="AS27" s="59"/>
      <c r="AT27" s="59"/>
      <c r="AU27" s="59"/>
      <c r="AV27" s="105"/>
      <c r="AW27" s="44"/>
      <c r="AX27" s="59"/>
      <c r="AY27" s="59"/>
      <c r="AZ27" s="93"/>
      <c r="BA27" s="59"/>
      <c r="BB27" s="96"/>
      <c r="BC27" s="59"/>
      <c r="BD27" s="59"/>
      <c r="BE27" s="59"/>
      <c r="BF27" s="105"/>
      <c r="BG27" s="44"/>
      <c r="BH27" s="105"/>
      <c r="BI27" s="59"/>
      <c r="BJ27" s="153"/>
      <c r="BK27" s="59"/>
      <c r="BL27" s="96"/>
      <c r="BM27" s="59"/>
      <c r="BN27" s="59"/>
      <c r="BO27" s="59"/>
      <c r="BP27" s="105"/>
      <c r="BQ27" s="44"/>
      <c r="BR27" s="59"/>
      <c r="BS27" s="59"/>
      <c r="BT27" s="154"/>
      <c r="BU27" s="59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6.25" hidden="1">
      <c r="A28" s="336">
        <v>2</v>
      </c>
      <c r="B28" s="337"/>
      <c r="C28" s="338">
        <v>20039963</v>
      </c>
      <c r="D28" s="339" t="s">
        <v>446</v>
      </c>
      <c r="E28" s="338" t="s">
        <v>69</v>
      </c>
      <c r="F28" s="338"/>
      <c r="G28" s="340"/>
      <c r="H28" s="341">
        <v>0</v>
      </c>
      <c r="I28" s="342">
        <f t="shared" si="0"/>
        <v>0</v>
      </c>
      <c r="J28" s="341">
        <v>0</v>
      </c>
      <c r="K28" s="343"/>
      <c r="L28" s="386"/>
      <c r="M28" s="59"/>
      <c r="N28" s="96"/>
      <c r="O28" s="59"/>
      <c r="P28" s="59"/>
      <c r="Q28" s="59"/>
      <c r="R28" s="59"/>
      <c r="S28" s="106"/>
      <c r="T28" s="59"/>
      <c r="U28" s="59"/>
      <c r="V28" s="387"/>
      <c r="W28" s="59"/>
      <c r="X28" s="96"/>
      <c r="Y28" s="59"/>
      <c r="Z28" s="59"/>
      <c r="AA28" s="59"/>
      <c r="AB28" s="59"/>
      <c r="AC28" s="106"/>
      <c r="AD28" s="59"/>
      <c r="AE28" s="59"/>
      <c r="AF28" s="388"/>
      <c r="AG28" s="59"/>
      <c r="AH28" s="96"/>
      <c r="AI28" s="59"/>
      <c r="AJ28" s="59"/>
      <c r="AK28" s="59"/>
      <c r="AL28" s="59"/>
      <c r="AM28" s="106"/>
      <c r="AN28" s="59"/>
      <c r="AO28" s="59"/>
      <c r="AP28" s="389"/>
      <c r="AQ28" s="59"/>
      <c r="AR28" s="96"/>
      <c r="AS28" s="59"/>
      <c r="AT28" s="59"/>
      <c r="AU28" s="59"/>
      <c r="AV28" s="59"/>
      <c r="AW28" s="106"/>
      <c r="AX28" s="59"/>
      <c r="AY28" s="59"/>
      <c r="AZ28" s="348"/>
      <c r="BA28" s="59"/>
      <c r="BB28" s="96"/>
      <c r="BC28" s="59"/>
      <c r="BD28" s="59"/>
      <c r="BE28" s="59"/>
      <c r="BF28" s="59"/>
      <c r="BG28" s="106"/>
      <c r="BH28" s="59"/>
      <c r="BI28" s="59"/>
      <c r="BJ28" s="349"/>
      <c r="BK28" s="59"/>
      <c r="BL28" s="96"/>
      <c r="BM28" s="59"/>
      <c r="BN28" s="59"/>
      <c r="BO28" s="59"/>
      <c r="BP28" s="59"/>
      <c r="BQ28" s="106"/>
      <c r="BR28" s="59"/>
      <c r="BS28" s="59"/>
      <c r="BT28" s="390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5">
        <v>18</v>
      </c>
      <c r="B29" s="166"/>
      <c r="C29" s="426">
        <v>1005982</v>
      </c>
      <c r="D29" s="427" t="s">
        <v>199</v>
      </c>
      <c r="E29" s="426" t="s">
        <v>27</v>
      </c>
      <c r="F29" s="426"/>
      <c r="G29" s="428"/>
      <c r="H29" s="129">
        <v>0</v>
      </c>
      <c r="I29" s="222">
        <f t="shared" si="0"/>
        <v>0</v>
      </c>
      <c r="J29" s="129">
        <v>0</v>
      </c>
      <c r="K29" s="117"/>
      <c r="L29" s="401"/>
      <c r="M29" s="59"/>
      <c r="N29" s="96"/>
      <c r="O29" s="59"/>
      <c r="P29" s="59"/>
      <c r="Q29" s="59"/>
      <c r="R29" s="59"/>
      <c r="S29" s="44"/>
      <c r="T29" s="59"/>
      <c r="U29" s="59"/>
      <c r="V29" s="137"/>
      <c r="W29" s="59"/>
      <c r="X29" s="96"/>
      <c r="Y29" s="59"/>
      <c r="Z29" s="59"/>
      <c r="AA29" s="59"/>
      <c r="AB29" s="59"/>
      <c r="AC29" s="44"/>
      <c r="AD29" s="59"/>
      <c r="AE29" s="59"/>
      <c r="AF29" s="301"/>
      <c r="AG29" s="59"/>
      <c r="AH29" s="96"/>
      <c r="AI29" s="59"/>
      <c r="AJ29" s="59"/>
      <c r="AK29" s="59"/>
      <c r="AL29" s="59"/>
      <c r="AM29" s="44"/>
      <c r="AN29" s="59"/>
      <c r="AO29" s="59"/>
      <c r="AP29" s="139"/>
      <c r="AQ29" s="59"/>
      <c r="AR29" s="96"/>
      <c r="AS29" s="59"/>
      <c r="AT29" s="59"/>
      <c r="AU29" s="59"/>
      <c r="AV29" s="59"/>
      <c r="AW29" s="44"/>
      <c r="AX29" s="59"/>
      <c r="AY29" s="59"/>
      <c r="AZ29" s="402"/>
      <c r="BA29" s="59"/>
      <c r="BB29" s="96"/>
      <c r="BC29" s="59"/>
      <c r="BD29" s="59"/>
      <c r="BE29" s="59"/>
      <c r="BF29" s="59"/>
      <c r="BG29" s="44"/>
      <c r="BH29" s="59"/>
      <c r="BI29" s="59"/>
      <c r="BJ29" s="141"/>
      <c r="BK29" s="59"/>
      <c r="BL29" s="96"/>
      <c r="BM29" s="59"/>
      <c r="BN29" s="59"/>
      <c r="BO29" s="59"/>
      <c r="BP29" s="59"/>
      <c r="BQ29" s="44"/>
      <c r="BR29" s="59"/>
      <c r="BS29" s="59"/>
      <c r="BT29" s="303"/>
      <c r="BU29" s="59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 hidden="1">
      <c r="A30" s="168">
        <v>5</v>
      </c>
      <c r="B30" s="170"/>
      <c r="C30" s="312">
        <v>1113086</v>
      </c>
      <c r="D30" s="313" t="s">
        <v>200</v>
      </c>
      <c r="E30" s="219" t="s">
        <v>42</v>
      </c>
      <c r="F30" s="169"/>
      <c r="G30" s="183"/>
      <c r="H30" s="184">
        <v>0</v>
      </c>
      <c r="I30" s="217">
        <f t="shared" ref="I30" si="6">SUM(L30,V30,AF30,AP30,AZ30,BJ30,BT30)</f>
        <v>0</v>
      </c>
      <c r="J30" s="184">
        <v>0</v>
      </c>
      <c r="K30" s="310"/>
      <c r="L30" s="202"/>
      <c r="M30" s="221"/>
      <c r="N30" s="96"/>
      <c r="O30" s="59"/>
      <c r="P30" s="59"/>
      <c r="Q30" s="59"/>
      <c r="R30" s="59"/>
      <c r="S30" s="44"/>
      <c r="T30" s="59"/>
      <c r="U30" s="220"/>
      <c r="V30" s="203"/>
      <c r="W30" s="221"/>
      <c r="X30" s="96"/>
      <c r="Y30" s="59"/>
      <c r="Z30" s="59"/>
      <c r="AA30" s="59"/>
      <c r="AB30" s="59"/>
      <c r="AC30" s="44"/>
      <c r="AD30" s="59"/>
      <c r="AE30" s="220"/>
      <c r="AF30" s="253"/>
      <c r="AG30" s="221"/>
      <c r="AH30" s="96"/>
      <c r="AI30" s="59"/>
      <c r="AJ30" s="59"/>
      <c r="AK30" s="59"/>
      <c r="AL30" s="59"/>
      <c r="AM30" s="44"/>
      <c r="AN30" s="59"/>
      <c r="AO30" s="220"/>
      <c r="AP30" s="262"/>
      <c r="AQ30" s="221"/>
      <c r="AR30" s="96"/>
      <c r="AS30" s="59"/>
      <c r="AT30" s="59"/>
      <c r="AU30" s="59"/>
      <c r="AV30" s="59"/>
      <c r="AW30" s="44"/>
      <c r="AX30" s="59"/>
      <c r="AY30" s="220"/>
      <c r="AZ30" s="264"/>
      <c r="BA30" s="221"/>
      <c r="BB30" s="96"/>
      <c r="BC30" s="59"/>
      <c r="BD30" s="59"/>
      <c r="BE30" s="59"/>
      <c r="BF30" s="59"/>
      <c r="BG30" s="44"/>
      <c r="BH30" s="59"/>
      <c r="BI30" s="220"/>
      <c r="BJ30" s="266"/>
      <c r="BK30" s="221"/>
      <c r="BL30" s="96"/>
      <c r="BM30" s="59"/>
      <c r="BN30" s="59"/>
      <c r="BO30" s="59"/>
      <c r="BP30" s="59"/>
      <c r="BQ30" s="44"/>
      <c r="BR30" s="59"/>
      <c r="BS30" s="220"/>
      <c r="BT30" s="205"/>
      <c r="BU30" s="221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9.25" customHeight="1">
      <c r="A31" s="334">
        <v>1</v>
      </c>
      <c r="B31" s="351"/>
      <c r="C31" s="359">
        <v>1005985</v>
      </c>
      <c r="D31" s="366" t="s">
        <v>202</v>
      </c>
      <c r="E31" s="359" t="s">
        <v>203</v>
      </c>
      <c r="F31" s="359"/>
      <c r="G31" s="564"/>
      <c r="H31" s="360">
        <v>0</v>
      </c>
      <c r="I31" s="546">
        <f t="shared" si="0"/>
        <v>0</v>
      </c>
      <c r="J31" s="360">
        <v>0</v>
      </c>
      <c r="K31" s="565"/>
      <c r="L31" s="566"/>
      <c r="M31" s="221"/>
      <c r="N31" s="96"/>
      <c r="O31" s="59"/>
      <c r="P31" s="59"/>
      <c r="Q31" s="59"/>
      <c r="R31" s="59"/>
      <c r="S31" s="44"/>
      <c r="T31" s="59"/>
      <c r="U31" s="220"/>
      <c r="V31" s="567"/>
      <c r="W31" s="221"/>
      <c r="X31" s="96"/>
      <c r="Y31" s="59"/>
      <c r="Z31" s="59"/>
      <c r="AA31" s="59"/>
      <c r="AB31" s="59"/>
      <c r="AC31" s="44"/>
      <c r="AD31" s="59"/>
      <c r="AE31" s="220"/>
      <c r="AF31" s="568"/>
      <c r="AG31" s="221"/>
      <c r="AH31" s="96"/>
      <c r="AI31" s="59"/>
      <c r="AJ31" s="59"/>
      <c r="AK31" s="59"/>
      <c r="AL31" s="59"/>
      <c r="AM31" s="44"/>
      <c r="AN31" s="59"/>
      <c r="AO31" s="220"/>
      <c r="AP31" s="569"/>
      <c r="AQ31" s="221"/>
      <c r="AR31" s="96"/>
      <c r="AS31" s="59"/>
      <c r="AT31" s="59"/>
      <c r="AU31" s="59"/>
      <c r="AV31" s="59"/>
      <c r="AW31" s="44"/>
      <c r="AX31" s="59"/>
      <c r="AY31" s="220"/>
      <c r="AZ31" s="570"/>
      <c r="BA31" s="221"/>
      <c r="BB31" s="96"/>
      <c r="BC31" s="59"/>
      <c r="BD31" s="59"/>
      <c r="BE31" s="59"/>
      <c r="BF31" s="59"/>
      <c r="BG31" s="44"/>
      <c r="BH31" s="59"/>
      <c r="BI31" s="220"/>
      <c r="BJ31" s="571"/>
      <c r="BK31" s="221"/>
      <c r="BL31" s="96"/>
      <c r="BM31" s="59"/>
      <c r="BN31" s="59"/>
      <c r="BO31" s="59"/>
      <c r="BP31" s="59"/>
      <c r="BQ31" s="44"/>
      <c r="BR31" s="59"/>
      <c r="BS31" s="220"/>
      <c r="BT31" s="397"/>
      <c r="BU31" s="221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31.5" hidden="1" customHeight="1">
      <c r="A32" s="168">
        <v>2</v>
      </c>
      <c r="B32" s="170"/>
      <c r="C32" s="418">
        <v>1113088</v>
      </c>
      <c r="D32" s="419" t="s">
        <v>208</v>
      </c>
      <c r="E32" s="219" t="s">
        <v>170</v>
      </c>
      <c r="F32" s="169"/>
      <c r="G32" s="183"/>
      <c r="H32" s="184">
        <v>0</v>
      </c>
      <c r="I32" s="217">
        <f t="shared" ref="I32" si="7">SUM(L32,V32,AF32,AP32,AZ32,BJ32,BT32)</f>
        <v>0</v>
      </c>
      <c r="J32" s="184">
        <v>0</v>
      </c>
      <c r="K32" s="310"/>
      <c r="L32" s="257"/>
      <c r="M32" s="221"/>
      <c r="N32" s="96"/>
      <c r="O32" s="59"/>
      <c r="P32" s="59"/>
      <c r="Q32" s="59"/>
      <c r="R32" s="59"/>
      <c r="S32" s="106"/>
      <c r="T32" s="59"/>
      <c r="U32" s="220"/>
      <c r="V32" s="226"/>
      <c r="W32" s="221"/>
      <c r="X32" s="96"/>
      <c r="Y32" s="59"/>
      <c r="Z32" s="59"/>
      <c r="AA32" s="59"/>
      <c r="AB32" s="59"/>
      <c r="AC32" s="44"/>
      <c r="AD32" s="59"/>
      <c r="AE32" s="220"/>
      <c r="AF32" s="227"/>
      <c r="AG32" s="221"/>
      <c r="AH32" s="96"/>
      <c r="AI32" s="59"/>
      <c r="AJ32" s="59"/>
      <c r="AK32" s="59"/>
      <c r="AL32" s="59"/>
      <c r="AM32" s="106"/>
      <c r="AN32" s="59"/>
      <c r="AO32" s="220"/>
      <c r="AP32" s="248"/>
      <c r="AQ32" s="221"/>
      <c r="AR32" s="96"/>
      <c r="AS32" s="59"/>
      <c r="AT32" s="59"/>
      <c r="AU32" s="59"/>
      <c r="AV32" s="59"/>
      <c r="AW32" s="44"/>
      <c r="AX32" s="59"/>
      <c r="AY32" s="220"/>
      <c r="AZ32" s="204"/>
      <c r="BA32" s="221"/>
      <c r="BB32" s="96"/>
      <c r="BC32" s="59"/>
      <c r="BD32" s="59"/>
      <c r="BE32" s="59"/>
      <c r="BF32" s="59"/>
      <c r="BG32" s="106"/>
      <c r="BH32" s="59"/>
      <c r="BI32" s="220"/>
      <c r="BJ32" s="266"/>
      <c r="BK32" s="221"/>
      <c r="BL32" s="96"/>
      <c r="BM32" s="59"/>
      <c r="BN32" s="59"/>
      <c r="BO32" s="59"/>
      <c r="BP32" s="59"/>
      <c r="BQ32" s="44"/>
      <c r="BR32" s="59"/>
      <c r="BS32" s="220"/>
      <c r="BT32" s="205"/>
      <c r="BU32" s="221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26.25" hidden="1">
      <c r="A33" s="53">
        <v>2</v>
      </c>
      <c r="B33" s="56"/>
      <c r="C33" s="54">
        <v>1113155</v>
      </c>
      <c r="D33" s="57" t="s">
        <v>214</v>
      </c>
      <c r="E33" s="54" t="s">
        <v>31</v>
      </c>
      <c r="F33" s="54"/>
      <c r="G33" s="44"/>
      <c r="H33" s="146">
        <v>0</v>
      </c>
      <c r="I33" s="63">
        <f t="shared" si="0"/>
        <v>0</v>
      </c>
      <c r="J33" s="146">
        <v>0</v>
      </c>
      <c r="K33" s="147"/>
      <c r="L33" s="453"/>
      <c r="M33" s="59"/>
      <c r="N33" s="96"/>
      <c r="O33" s="105"/>
      <c r="P33" s="59"/>
      <c r="Q33" s="59"/>
      <c r="R33" s="105"/>
      <c r="S33" s="106"/>
      <c r="T33" s="59"/>
      <c r="U33" s="105"/>
      <c r="V33" s="149"/>
      <c r="W33" s="59"/>
      <c r="X33" s="96"/>
      <c r="Y33" s="105"/>
      <c r="Z33" s="59"/>
      <c r="AA33" s="59"/>
      <c r="AB33" s="105"/>
      <c r="AC33" s="44"/>
      <c r="AD33" s="59"/>
      <c r="AE33" s="59"/>
      <c r="AF33" s="150"/>
      <c r="AG33" s="105"/>
      <c r="AH33" s="96"/>
      <c r="AI33" s="105"/>
      <c r="AJ33" s="59"/>
      <c r="AK33" s="59"/>
      <c r="AL33" s="105"/>
      <c r="AM33" s="44"/>
      <c r="AN33" s="59"/>
      <c r="AO33" s="59"/>
      <c r="AP33" s="454"/>
      <c r="AQ33" s="59"/>
      <c r="AR33" s="96"/>
      <c r="AS33" s="105"/>
      <c r="AT33" s="59"/>
      <c r="AU33" s="59"/>
      <c r="AV33" s="105"/>
      <c r="AW33" s="106"/>
      <c r="AX33" s="59"/>
      <c r="AY33" s="59"/>
      <c r="AZ33" s="152"/>
      <c r="BA33" s="59"/>
      <c r="BB33" s="96"/>
      <c r="BC33" s="105"/>
      <c r="BD33" s="59"/>
      <c r="BE33" s="59"/>
      <c r="BF33" s="105"/>
      <c r="BG33" s="44"/>
      <c r="BH33" s="105"/>
      <c r="BI33" s="59"/>
      <c r="BJ33" s="153"/>
      <c r="BK33" s="105"/>
      <c r="BL33" s="96"/>
      <c r="BM33" s="105"/>
      <c r="BN33" s="59"/>
      <c r="BO33" s="59"/>
      <c r="BP33" s="105"/>
      <c r="BQ33" s="44"/>
      <c r="BR33" s="59"/>
      <c r="BS33" s="59"/>
      <c r="BT33" s="154"/>
      <c r="BU33" s="59"/>
      <c r="BV33" s="96">
        <f t="shared" si="1"/>
        <v>0</v>
      </c>
      <c r="BW33" s="105">
        <v>0</v>
      </c>
      <c r="BX33" s="59">
        <v>0</v>
      </c>
      <c r="BY33" s="59">
        <v>0</v>
      </c>
      <c r="BZ33" s="105">
        <v>0</v>
      </c>
      <c r="CA33" s="44">
        <f t="shared" si="2"/>
        <v>0</v>
      </c>
      <c r="CB33" s="59">
        <v>0</v>
      </c>
    </row>
    <row r="34" spans="1:80" ht="26.25" hidden="1">
      <c r="A34" s="336">
        <v>3</v>
      </c>
      <c r="B34" s="337"/>
      <c r="C34" s="338">
        <v>20053132</v>
      </c>
      <c r="D34" s="339" t="s">
        <v>447</v>
      </c>
      <c r="E34" s="338" t="s">
        <v>69</v>
      </c>
      <c r="F34" s="338"/>
      <c r="G34" s="340"/>
      <c r="H34" s="341">
        <v>0</v>
      </c>
      <c r="I34" s="342">
        <f t="shared" si="0"/>
        <v>0</v>
      </c>
      <c r="J34" s="341">
        <v>0</v>
      </c>
      <c r="K34" s="343"/>
      <c r="L34" s="386"/>
      <c r="M34" s="59"/>
      <c r="N34" s="96"/>
      <c r="O34" s="59"/>
      <c r="P34" s="59"/>
      <c r="Q34" s="59"/>
      <c r="R34" s="59"/>
      <c r="S34" s="106"/>
      <c r="T34" s="59"/>
      <c r="U34" s="59"/>
      <c r="V34" s="387"/>
      <c r="W34" s="59"/>
      <c r="X34" s="96"/>
      <c r="Y34" s="59"/>
      <c r="Z34" s="59"/>
      <c r="AA34" s="59"/>
      <c r="AB34" s="59"/>
      <c r="AC34" s="106"/>
      <c r="AD34" s="59"/>
      <c r="AE34" s="59"/>
      <c r="AF34" s="388"/>
      <c r="AG34" s="59"/>
      <c r="AH34" s="96"/>
      <c r="AI34" s="59"/>
      <c r="AJ34" s="59"/>
      <c r="AK34" s="59"/>
      <c r="AL34" s="59"/>
      <c r="AM34" s="106"/>
      <c r="AN34" s="59"/>
      <c r="AO34" s="59"/>
      <c r="AP34" s="389"/>
      <c r="AQ34" s="59"/>
      <c r="AR34" s="96"/>
      <c r="AS34" s="59"/>
      <c r="AT34" s="59"/>
      <c r="AU34" s="59"/>
      <c r="AV34" s="59"/>
      <c r="AW34" s="106"/>
      <c r="AX34" s="59"/>
      <c r="AY34" s="59"/>
      <c r="AZ34" s="348"/>
      <c r="BA34" s="59"/>
      <c r="BB34" s="96"/>
      <c r="BC34" s="59"/>
      <c r="BD34" s="59"/>
      <c r="BE34" s="59"/>
      <c r="BF34" s="59"/>
      <c r="BG34" s="106"/>
      <c r="BH34" s="59"/>
      <c r="BI34" s="59"/>
      <c r="BJ34" s="349"/>
      <c r="BK34" s="59"/>
      <c r="BL34" s="96"/>
      <c r="BM34" s="59"/>
      <c r="BN34" s="59"/>
      <c r="BO34" s="59"/>
      <c r="BP34" s="59"/>
      <c r="BQ34" s="106"/>
      <c r="BR34" s="59"/>
      <c r="BS34" s="59"/>
      <c r="BT34" s="390"/>
      <c r="BU34" s="59"/>
      <c r="BV34" s="96">
        <f t="shared" si="1"/>
        <v>0</v>
      </c>
      <c r="BW34" s="59">
        <v>0</v>
      </c>
      <c r="BX34" s="59">
        <v>0</v>
      </c>
      <c r="BY34" s="59">
        <v>0</v>
      </c>
      <c r="BZ34" s="59">
        <v>0</v>
      </c>
      <c r="CA34" s="44">
        <f t="shared" si="2"/>
        <v>0</v>
      </c>
      <c r="CB34" s="59">
        <v>0</v>
      </c>
    </row>
    <row r="35" spans="1:80" ht="26.25" hidden="1">
      <c r="A35" s="336">
        <v>4</v>
      </c>
      <c r="B35" s="337"/>
      <c r="C35" s="338">
        <v>20049130</v>
      </c>
      <c r="D35" s="339" t="s">
        <v>428</v>
      </c>
      <c r="E35" s="338" t="s">
        <v>69</v>
      </c>
      <c r="F35" s="338"/>
      <c r="G35" s="340"/>
      <c r="H35" s="341">
        <v>0</v>
      </c>
      <c r="I35" s="342">
        <f t="shared" si="0"/>
        <v>0</v>
      </c>
      <c r="J35" s="341">
        <v>0</v>
      </c>
      <c r="K35" s="343"/>
      <c r="L35" s="386"/>
      <c r="M35" s="59"/>
      <c r="N35" s="96"/>
      <c r="O35" s="59"/>
      <c r="P35" s="59"/>
      <c r="Q35" s="59"/>
      <c r="R35" s="59"/>
      <c r="S35" s="106"/>
      <c r="T35" s="59"/>
      <c r="U35" s="59"/>
      <c r="V35" s="387"/>
      <c r="W35" s="59"/>
      <c r="X35" s="96"/>
      <c r="Y35" s="59"/>
      <c r="Z35" s="59"/>
      <c r="AA35" s="59"/>
      <c r="AB35" s="59"/>
      <c r="AC35" s="106"/>
      <c r="AD35" s="59"/>
      <c r="AE35" s="59"/>
      <c r="AF35" s="388"/>
      <c r="AG35" s="59"/>
      <c r="AH35" s="96"/>
      <c r="AI35" s="59"/>
      <c r="AJ35" s="59"/>
      <c r="AK35" s="59"/>
      <c r="AL35" s="59"/>
      <c r="AM35" s="106"/>
      <c r="AN35" s="59"/>
      <c r="AO35" s="59"/>
      <c r="AP35" s="389"/>
      <c r="AQ35" s="59"/>
      <c r="AR35" s="96"/>
      <c r="AS35" s="59"/>
      <c r="AT35" s="59"/>
      <c r="AU35" s="59"/>
      <c r="AV35" s="59"/>
      <c r="AW35" s="106"/>
      <c r="AX35" s="59"/>
      <c r="AY35" s="59"/>
      <c r="AZ35" s="348"/>
      <c r="BA35" s="59"/>
      <c r="BB35" s="96"/>
      <c r="BC35" s="59"/>
      <c r="BD35" s="59"/>
      <c r="BE35" s="59"/>
      <c r="BF35" s="59"/>
      <c r="BG35" s="106"/>
      <c r="BH35" s="59"/>
      <c r="BI35" s="59"/>
      <c r="BJ35" s="349"/>
      <c r="BK35" s="59"/>
      <c r="BL35" s="96"/>
      <c r="BM35" s="59"/>
      <c r="BN35" s="59"/>
      <c r="BO35" s="59"/>
      <c r="BP35" s="59"/>
      <c r="BQ35" s="106"/>
      <c r="BR35" s="59"/>
      <c r="BS35" s="59"/>
      <c r="BT35" s="390"/>
      <c r="BU35" s="59"/>
      <c r="BV35" s="96">
        <f t="shared" si="1"/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0</v>
      </c>
      <c r="CB35" s="59">
        <v>0</v>
      </c>
    </row>
    <row r="36" spans="1:80" ht="26.25" hidden="1">
      <c r="A36" s="336">
        <v>5</v>
      </c>
      <c r="B36" s="337"/>
      <c r="C36" s="338">
        <v>20051101</v>
      </c>
      <c r="D36" s="339" t="s">
        <v>429</v>
      </c>
      <c r="E36" s="338" t="s">
        <v>69</v>
      </c>
      <c r="F36" s="338"/>
      <c r="G36" s="340"/>
      <c r="H36" s="341">
        <v>0</v>
      </c>
      <c r="I36" s="342">
        <f t="shared" si="0"/>
        <v>0</v>
      </c>
      <c r="J36" s="341">
        <v>0</v>
      </c>
      <c r="K36" s="343"/>
      <c r="L36" s="386"/>
      <c r="M36" s="59"/>
      <c r="N36" s="96"/>
      <c r="O36" s="105"/>
      <c r="P36" s="59"/>
      <c r="Q36" s="59"/>
      <c r="R36" s="105"/>
      <c r="S36" s="106"/>
      <c r="T36" s="59"/>
      <c r="U36" s="105"/>
      <c r="V36" s="387"/>
      <c r="W36" s="59"/>
      <c r="X36" s="96"/>
      <c r="Y36" s="105"/>
      <c r="Z36" s="59"/>
      <c r="AA36" s="59"/>
      <c r="AB36" s="105"/>
      <c r="AC36" s="106"/>
      <c r="AD36" s="59"/>
      <c r="AE36" s="59"/>
      <c r="AF36" s="388"/>
      <c r="AG36" s="105"/>
      <c r="AH36" s="96"/>
      <c r="AI36" s="105"/>
      <c r="AJ36" s="59"/>
      <c r="AK36" s="59"/>
      <c r="AL36" s="105"/>
      <c r="AM36" s="106"/>
      <c r="AN36" s="59"/>
      <c r="AO36" s="59"/>
      <c r="AP36" s="389"/>
      <c r="AQ36" s="59"/>
      <c r="AR36" s="96"/>
      <c r="AS36" s="105"/>
      <c r="AT36" s="59"/>
      <c r="AU36" s="59"/>
      <c r="AV36" s="105"/>
      <c r="AW36" s="106"/>
      <c r="AX36" s="59"/>
      <c r="AY36" s="59"/>
      <c r="AZ36" s="348"/>
      <c r="BA36" s="59"/>
      <c r="BB36" s="96"/>
      <c r="BC36" s="105"/>
      <c r="BD36" s="59"/>
      <c r="BE36" s="59"/>
      <c r="BF36" s="105"/>
      <c r="BG36" s="106"/>
      <c r="BH36" s="105"/>
      <c r="BI36" s="59"/>
      <c r="BJ36" s="349"/>
      <c r="BK36" s="105"/>
      <c r="BL36" s="96"/>
      <c r="BM36" s="105"/>
      <c r="BN36" s="59"/>
      <c r="BO36" s="59"/>
      <c r="BP36" s="105"/>
      <c r="BQ36" s="106"/>
      <c r="BR36" s="59"/>
      <c r="BS36" s="59"/>
      <c r="BT36" s="390"/>
      <c r="BU36" s="59"/>
      <c r="BV36" s="96">
        <f t="shared" si="1"/>
        <v>0</v>
      </c>
      <c r="BW36" s="105">
        <v>0</v>
      </c>
      <c r="BX36" s="59">
        <v>0</v>
      </c>
      <c r="BY36" s="59">
        <v>0</v>
      </c>
      <c r="BZ36" s="105">
        <v>0</v>
      </c>
      <c r="CA36" s="44">
        <f t="shared" si="2"/>
        <v>0</v>
      </c>
      <c r="CB36" s="59">
        <v>0</v>
      </c>
    </row>
    <row r="37" spans="1:80" ht="26.25" hidden="1">
      <c r="A37" s="435">
        <v>6</v>
      </c>
      <c r="B37" s="436"/>
      <c r="C37" s="437">
        <v>20052721</v>
      </c>
      <c r="D37" s="438" t="s">
        <v>430</v>
      </c>
      <c r="E37" s="437" t="s">
        <v>69</v>
      </c>
      <c r="F37" s="437"/>
      <c r="G37" s="439"/>
      <c r="H37" s="440">
        <v>0</v>
      </c>
      <c r="I37" s="441">
        <f t="shared" si="0"/>
        <v>0</v>
      </c>
      <c r="J37" s="440">
        <v>0</v>
      </c>
      <c r="K37" s="442"/>
      <c r="L37" s="443"/>
      <c r="M37" s="59"/>
      <c r="N37" s="96"/>
      <c r="O37" s="105"/>
      <c r="P37" s="59"/>
      <c r="Q37" s="59"/>
      <c r="R37" s="105"/>
      <c r="S37" s="106"/>
      <c r="T37" s="59"/>
      <c r="U37" s="105"/>
      <c r="V37" s="444"/>
      <c r="W37" s="59"/>
      <c r="X37" s="96"/>
      <c r="Y37" s="105"/>
      <c r="Z37" s="59"/>
      <c r="AA37" s="59"/>
      <c r="AB37" s="105"/>
      <c r="AC37" s="106"/>
      <c r="AD37" s="59"/>
      <c r="AE37" s="59"/>
      <c r="AF37" s="445"/>
      <c r="AG37" s="105"/>
      <c r="AH37" s="96"/>
      <c r="AI37" s="105"/>
      <c r="AJ37" s="59"/>
      <c r="AK37" s="59"/>
      <c r="AL37" s="105"/>
      <c r="AM37" s="106"/>
      <c r="AN37" s="59"/>
      <c r="AO37" s="59"/>
      <c r="AP37" s="446"/>
      <c r="AQ37" s="59"/>
      <c r="AR37" s="96"/>
      <c r="AS37" s="105"/>
      <c r="AT37" s="59"/>
      <c r="AU37" s="59"/>
      <c r="AV37" s="105"/>
      <c r="AW37" s="106"/>
      <c r="AX37" s="59"/>
      <c r="AY37" s="59"/>
      <c r="AZ37" s="447"/>
      <c r="BA37" s="59"/>
      <c r="BB37" s="96"/>
      <c r="BC37" s="105"/>
      <c r="BD37" s="59"/>
      <c r="BE37" s="59"/>
      <c r="BF37" s="105"/>
      <c r="BG37" s="106"/>
      <c r="BH37" s="105"/>
      <c r="BI37" s="59"/>
      <c r="BJ37" s="448"/>
      <c r="BK37" s="105"/>
      <c r="BL37" s="96"/>
      <c r="BM37" s="105"/>
      <c r="BN37" s="59"/>
      <c r="BO37" s="59"/>
      <c r="BP37" s="105"/>
      <c r="BQ37" s="106"/>
      <c r="BR37" s="59"/>
      <c r="BS37" s="59"/>
      <c r="BT37" s="449"/>
      <c r="BU37" s="59"/>
      <c r="BV37" s="96">
        <f t="shared" si="1"/>
        <v>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0</v>
      </c>
      <c r="CB37" s="59">
        <v>0</v>
      </c>
    </row>
    <row r="38" spans="1:80" s="42" customFormat="1" ht="26.25" hidden="1">
      <c r="A38" s="168">
        <v>7</v>
      </c>
      <c r="B38" s="170"/>
      <c r="C38" s="316">
        <v>1113148</v>
      </c>
      <c r="D38" s="317" t="s">
        <v>348</v>
      </c>
      <c r="E38" s="219" t="s">
        <v>42</v>
      </c>
      <c r="F38" s="169"/>
      <c r="G38" s="183"/>
      <c r="H38" s="184">
        <v>0</v>
      </c>
      <c r="I38" s="217">
        <f t="shared" ref="I38:I41" si="8">SUM(L38,V38,AF38,AP38,AZ38,BJ38,BT38)</f>
        <v>0</v>
      </c>
      <c r="J38" s="184">
        <v>0</v>
      </c>
      <c r="K38" s="310"/>
      <c r="L38" s="202"/>
      <c r="M38" s="221"/>
      <c r="N38" s="96"/>
      <c r="O38" s="59"/>
      <c r="P38" s="59"/>
      <c r="Q38" s="59"/>
      <c r="R38" s="59"/>
      <c r="S38" s="44"/>
      <c r="T38" s="59"/>
      <c r="U38" s="220"/>
      <c r="V38" s="203"/>
      <c r="W38" s="221"/>
      <c r="X38" s="96"/>
      <c r="Y38" s="59"/>
      <c r="Z38" s="59"/>
      <c r="AA38" s="59"/>
      <c r="AB38" s="59"/>
      <c r="AC38" s="44"/>
      <c r="AD38" s="59"/>
      <c r="AE38" s="220"/>
      <c r="AF38" s="253"/>
      <c r="AG38" s="221"/>
      <c r="AH38" s="96"/>
      <c r="AI38" s="59"/>
      <c r="AJ38" s="59"/>
      <c r="AK38" s="59"/>
      <c r="AL38" s="59"/>
      <c r="AM38" s="44"/>
      <c r="AN38" s="59"/>
      <c r="AO38" s="220"/>
      <c r="AP38" s="262"/>
      <c r="AQ38" s="221"/>
      <c r="AR38" s="96"/>
      <c r="AS38" s="59"/>
      <c r="AT38" s="59"/>
      <c r="AU38" s="59"/>
      <c r="AV38" s="59"/>
      <c r="AW38" s="44"/>
      <c r="AX38" s="59"/>
      <c r="AY38" s="220"/>
      <c r="AZ38" s="264"/>
      <c r="BA38" s="221"/>
      <c r="BB38" s="96"/>
      <c r="BC38" s="59"/>
      <c r="BD38" s="59"/>
      <c r="BE38" s="59"/>
      <c r="BF38" s="59"/>
      <c r="BG38" s="44"/>
      <c r="BH38" s="59"/>
      <c r="BI38" s="220"/>
      <c r="BJ38" s="266"/>
      <c r="BK38" s="221"/>
      <c r="BL38" s="96"/>
      <c r="BM38" s="59"/>
      <c r="BN38" s="59"/>
      <c r="BO38" s="59"/>
      <c r="BP38" s="59"/>
      <c r="BQ38" s="44"/>
      <c r="BR38" s="59"/>
      <c r="BS38" s="220"/>
      <c r="BT38" s="205"/>
      <c r="BU38" s="221">
        <v>0</v>
      </c>
      <c r="BV38" s="96">
        <f t="shared" ref="BV38:BV48" si="9">SUM(BS38:BU38)</f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ref="CA38:CA48" si="10">BT38-BX38</f>
        <v>0</v>
      </c>
      <c r="CB38" s="59"/>
    </row>
    <row r="39" spans="1:80" s="42" customFormat="1" ht="26.25" hidden="1">
      <c r="A39" s="168">
        <v>8</v>
      </c>
      <c r="B39" s="170"/>
      <c r="C39" s="316">
        <v>1113149</v>
      </c>
      <c r="D39" s="317" t="s">
        <v>349</v>
      </c>
      <c r="E39" s="219" t="s">
        <v>42</v>
      </c>
      <c r="F39" s="169"/>
      <c r="G39" s="183"/>
      <c r="H39" s="184">
        <v>0</v>
      </c>
      <c r="I39" s="217">
        <f t="shared" si="8"/>
        <v>0</v>
      </c>
      <c r="J39" s="184">
        <v>0</v>
      </c>
      <c r="K39" s="310"/>
      <c r="L39" s="202"/>
      <c r="M39" s="221"/>
      <c r="N39" s="96"/>
      <c r="O39" s="59"/>
      <c r="P39" s="59"/>
      <c r="Q39" s="59"/>
      <c r="R39" s="59"/>
      <c r="S39" s="44"/>
      <c r="T39" s="59"/>
      <c r="U39" s="220"/>
      <c r="V39" s="203"/>
      <c r="W39" s="221"/>
      <c r="X39" s="96"/>
      <c r="Y39" s="59"/>
      <c r="Z39" s="59"/>
      <c r="AA39" s="59"/>
      <c r="AB39" s="59"/>
      <c r="AC39" s="44"/>
      <c r="AD39" s="59"/>
      <c r="AE39" s="220"/>
      <c r="AF39" s="253"/>
      <c r="AG39" s="221"/>
      <c r="AH39" s="96"/>
      <c r="AI39" s="59"/>
      <c r="AJ39" s="59"/>
      <c r="AK39" s="59"/>
      <c r="AL39" s="59"/>
      <c r="AM39" s="44"/>
      <c r="AN39" s="59"/>
      <c r="AO39" s="220"/>
      <c r="AP39" s="262"/>
      <c r="AQ39" s="221"/>
      <c r="AR39" s="96"/>
      <c r="AS39" s="59"/>
      <c r="AT39" s="59"/>
      <c r="AU39" s="59"/>
      <c r="AV39" s="59"/>
      <c r="AW39" s="44"/>
      <c r="AX39" s="59"/>
      <c r="AY39" s="220"/>
      <c r="AZ39" s="264"/>
      <c r="BA39" s="221"/>
      <c r="BB39" s="96"/>
      <c r="BC39" s="59"/>
      <c r="BD39" s="59"/>
      <c r="BE39" s="59"/>
      <c r="BF39" s="59"/>
      <c r="BG39" s="44"/>
      <c r="BH39" s="59"/>
      <c r="BI39" s="220"/>
      <c r="BJ39" s="266"/>
      <c r="BK39" s="221"/>
      <c r="BL39" s="96"/>
      <c r="BM39" s="59"/>
      <c r="BN39" s="59"/>
      <c r="BO39" s="59"/>
      <c r="BP39" s="59"/>
      <c r="BQ39" s="44"/>
      <c r="BR39" s="59"/>
      <c r="BS39" s="220"/>
      <c r="BT39" s="205"/>
      <c r="BU39" s="221">
        <v>0</v>
      </c>
      <c r="BV39" s="96">
        <f t="shared" si="9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10"/>
        <v>0</v>
      </c>
      <c r="CB39" s="59"/>
    </row>
    <row r="40" spans="1:80" s="42" customFormat="1" ht="26.25" hidden="1">
      <c r="A40" s="165">
        <v>9</v>
      </c>
      <c r="B40" s="166"/>
      <c r="C40" s="73">
        <v>1113192</v>
      </c>
      <c r="D40" s="75" t="s">
        <v>351</v>
      </c>
      <c r="E40" s="135" t="s">
        <v>42</v>
      </c>
      <c r="F40" s="73"/>
      <c r="G40" s="116"/>
      <c r="H40" s="543">
        <v>0</v>
      </c>
      <c r="I40" s="222">
        <f t="shared" si="8"/>
        <v>0</v>
      </c>
      <c r="J40" s="543">
        <v>0</v>
      </c>
      <c r="K40" s="572"/>
      <c r="L40" s="404"/>
      <c r="M40" s="59"/>
      <c r="N40" s="96"/>
      <c r="O40" s="59"/>
      <c r="P40" s="59"/>
      <c r="Q40" s="59"/>
      <c r="R40" s="59"/>
      <c r="S40" s="106"/>
      <c r="T40" s="59"/>
      <c r="U40" s="59"/>
      <c r="V40" s="573"/>
      <c r="W40" s="59"/>
      <c r="X40" s="96"/>
      <c r="Y40" s="59"/>
      <c r="Z40" s="59"/>
      <c r="AA40" s="59"/>
      <c r="AB40" s="59"/>
      <c r="AC40" s="44"/>
      <c r="AD40" s="59"/>
      <c r="AE40" s="59"/>
      <c r="AF40" s="405"/>
      <c r="AG40" s="59"/>
      <c r="AH40" s="96"/>
      <c r="AI40" s="59"/>
      <c r="AJ40" s="59"/>
      <c r="AK40" s="59"/>
      <c r="AL40" s="59"/>
      <c r="AM40" s="106"/>
      <c r="AN40" s="59"/>
      <c r="AO40" s="59"/>
      <c r="AP40" s="574"/>
      <c r="AQ40" s="59"/>
      <c r="AR40" s="96"/>
      <c r="AS40" s="59"/>
      <c r="AT40" s="59"/>
      <c r="AU40" s="59"/>
      <c r="AV40" s="59"/>
      <c r="AW40" s="44"/>
      <c r="AX40" s="59"/>
      <c r="AY40" s="59"/>
      <c r="AZ40" s="406"/>
      <c r="BA40" s="59"/>
      <c r="BB40" s="96"/>
      <c r="BC40" s="59"/>
      <c r="BD40" s="59"/>
      <c r="BE40" s="59"/>
      <c r="BF40" s="59"/>
      <c r="BG40" s="106"/>
      <c r="BH40" s="59"/>
      <c r="BI40" s="59"/>
      <c r="BJ40" s="575"/>
      <c r="BK40" s="59"/>
      <c r="BL40" s="96"/>
      <c r="BM40" s="59"/>
      <c r="BN40" s="59"/>
      <c r="BO40" s="59"/>
      <c r="BP40" s="59"/>
      <c r="BQ40" s="44"/>
      <c r="BR40" s="59"/>
      <c r="BS40" s="59"/>
      <c r="BT40" s="545"/>
      <c r="BU40" s="59">
        <v>0</v>
      </c>
      <c r="BV40" s="96">
        <f t="shared" si="9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0"/>
        <v>0</v>
      </c>
      <c r="CB40" s="59"/>
    </row>
    <row r="41" spans="1:80" s="42" customFormat="1" ht="26.25" hidden="1">
      <c r="A41" s="168">
        <v>10</v>
      </c>
      <c r="B41" s="170"/>
      <c r="C41" s="169">
        <v>1113194</v>
      </c>
      <c r="D41" s="267" t="s">
        <v>353</v>
      </c>
      <c r="E41" s="219" t="s">
        <v>42</v>
      </c>
      <c r="F41" s="169"/>
      <c r="G41" s="183"/>
      <c r="H41" s="184">
        <v>0</v>
      </c>
      <c r="I41" s="217">
        <f t="shared" si="8"/>
        <v>0</v>
      </c>
      <c r="J41" s="184">
        <v>0</v>
      </c>
      <c r="K41" s="310"/>
      <c r="L41" s="257"/>
      <c r="M41" s="221"/>
      <c r="N41" s="96"/>
      <c r="O41" s="59"/>
      <c r="P41" s="59"/>
      <c r="Q41" s="59"/>
      <c r="R41" s="105"/>
      <c r="S41" s="106"/>
      <c r="T41" s="59"/>
      <c r="U41" s="220"/>
      <c r="V41" s="226"/>
      <c r="W41" s="221"/>
      <c r="X41" s="96"/>
      <c r="Y41" s="59"/>
      <c r="Z41" s="59"/>
      <c r="AA41" s="59"/>
      <c r="AB41" s="105"/>
      <c r="AC41" s="44"/>
      <c r="AD41" s="59"/>
      <c r="AE41" s="220"/>
      <c r="AF41" s="227"/>
      <c r="AG41" s="400"/>
      <c r="AH41" s="96"/>
      <c r="AI41" s="59"/>
      <c r="AJ41" s="59"/>
      <c r="AK41" s="59"/>
      <c r="AL41" s="105"/>
      <c r="AM41" s="106"/>
      <c r="AN41" s="59"/>
      <c r="AO41" s="220"/>
      <c r="AP41" s="262"/>
      <c r="AQ41" s="221"/>
      <c r="AR41" s="96"/>
      <c r="AS41" s="59"/>
      <c r="AT41" s="59"/>
      <c r="AU41" s="59"/>
      <c r="AV41" s="105"/>
      <c r="AW41" s="44"/>
      <c r="AX41" s="59"/>
      <c r="AY41" s="220"/>
      <c r="AZ41" s="204"/>
      <c r="BA41" s="221"/>
      <c r="BB41" s="96"/>
      <c r="BC41" s="59"/>
      <c r="BD41" s="59"/>
      <c r="BE41" s="59"/>
      <c r="BF41" s="105"/>
      <c r="BG41" s="106"/>
      <c r="BH41" s="105"/>
      <c r="BI41" s="220"/>
      <c r="BJ41" s="266"/>
      <c r="BK41" s="221"/>
      <c r="BL41" s="96"/>
      <c r="BM41" s="59"/>
      <c r="BN41" s="59"/>
      <c r="BO41" s="59"/>
      <c r="BP41" s="105"/>
      <c r="BQ41" s="44"/>
      <c r="BR41" s="59"/>
      <c r="BS41" s="220"/>
      <c r="BT41" s="205"/>
      <c r="BU41" s="221">
        <v>0</v>
      </c>
      <c r="BV41" s="96">
        <f t="shared" si="9"/>
        <v>0</v>
      </c>
      <c r="BW41" s="59">
        <v>0</v>
      </c>
      <c r="BX41" s="59">
        <v>0</v>
      </c>
      <c r="BY41" s="59">
        <v>0</v>
      </c>
      <c r="BZ41" s="105">
        <v>0</v>
      </c>
      <c r="CA41" s="44">
        <f t="shared" si="10"/>
        <v>0</v>
      </c>
      <c r="CB41" s="59"/>
    </row>
    <row r="42" spans="1:80" s="42" customFormat="1" ht="29.25" hidden="1">
      <c r="A42" s="53">
        <v>1</v>
      </c>
      <c r="B42" s="68"/>
      <c r="C42" s="197">
        <v>1001001087</v>
      </c>
      <c r="D42" s="198" t="s">
        <v>376</v>
      </c>
      <c r="E42" s="199" t="s">
        <v>377</v>
      </c>
      <c r="F42" s="199"/>
      <c r="G42" s="200"/>
      <c r="H42" s="479">
        <v>0</v>
      </c>
      <c r="I42" s="63">
        <f t="shared" ref="I42:I48" si="11">SUM(L42,V42,AF42,AP42,AZ42,BJ42,BT42)</f>
        <v>0</v>
      </c>
      <c r="J42" s="146">
        <v>0</v>
      </c>
      <c r="K42" s="147"/>
      <c r="L42" s="148"/>
      <c r="M42" s="59"/>
      <c r="N42" s="96"/>
      <c r="O42" s="59"/>
      <c r="P42" s="59"/>
      <c r="Q42" s="59"/>
      <c r="R42" s="59"/>
      <c r="S42" s="44"/>
      <c r="T42" s="59"/>
      <c r="U42" s="59"/>
      <c r="V42" s="210"/>
      <c r="W42" s="59"/>
      <c r="X42" s="96"/>
      <c r="Y42" s="59"/>
      <c r="Z42" s="59"/>
      <c r="AA42" s="59"/>
      <c r="AB42" s="59"/>
      <c r="AC42" s="44"/>
      <c r="AD42" s="59"/>
      <c r="AE42" s="59"/>
      <c r="AF42" s="150"/>
      <c r="AG42" s="105"/>
      <c r="AH42" s="96"/>
      <c r="AI42" s="59"/>
      <c r="AJ42" s="59"/>
      <c r="AK42" s="59"/>
      <c r="AL42" s="59"/>
      <c r="AM42" s="44"/>
      <c r="AN42" s="59"/>
      <c r="AO42" s="59"/>
      <c r="AP42" s="151"/>
      <c r="AQ42" s="59"/>
      <c r="AR42" s="96"/>
      <c r="AS42" s="59"/>
      <c r="AT42" s="59"/>
      <c r="AU42" s="59"/>
      <c r="AV42" s="59"/>
      <c r="AW42" s="44"/>
      <c r="AX42" s="59"/>
      <c r="AY42" s="59"/>
      <c r="AZ42" s="152"/>
      <c r="BA42" s="59"/>
      <c r="BB42" s="96"/>
      <c r="BC42" s="59"/>
      <c r="BD42" s="59"/>
      <c r="BE42" s="59"/>
      <c r="BF42" s="59"/>
      <c r="BG42" s="44"/>
      <c r="BH42" s="59"/>
      <c r="BI42" s="59"/>
      <c r="BJ42" s="265"/>
      <c r="BK42" s="59"/>
      <c r="BL42" s="96"/>
      <c r="BM42" s="59"/>
      <c r="BN42" s="59"/>
      <c r="BO42" s="59"/>
      <c r="BP42" s="59"/>
      <c r="BQ42" s="44"/>
      <c r="BR42" s="59"/>
      <c r="BS42" s="59"/>
      <c r="BT42" s="154"/>
      <c r="BU42" s="59">
        <v>0</v>
      </c>
      <c r="BV42" s="96">
        <f t="shared" si="9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0"/>
        <v>0</v>
      </c>
      <c r="CB42" s="59"/>
    </row>
    <row r="43" spans="1:80" s="42" customFormat="1" ht="29.25" hidden="1">
      <c r="A43" s="53">
        <v>2</v>
      </c>
      <c r="B43" s="68"/>
      <c r="C43" s="197">
        <v>1001001088</v>
      </c>
      <c r="D43" s="198" t="s">
        <v>378</v>
      </c>
      <c r="E43" s="199" t="s">
        <v>377</v>
      </c>
      <c r="F43" s="199"/>
      <c r="G43" s="200"/>
      <c r="H43" s="201">
        <v>0</v>
      </c>
      <c r="I43" s="63">
        <f t="shared" si="11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1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9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0"/>
        <v>0</v>
      </c>
      <c r="CB43" s="59"/>
    </row>
    <row r="44" spans="1:80" s="42" customFormat="1" ht="29.25" hidden="1">
      <c r="A44" s="53">
        <v>3</v>
      </c>
      <c r="B44" s="68"/>
      <c r="C44" s="197">
        <v>1001001089</v>
      </c>
      <c r="D44" s="198" t="s">
        <v>379</v>
      </c>
      <c r="E44" s="199" t="s">
        <v>377</v>
      </c>
      <c r="F44" s="199"/>
      <c r="G44" s="200"/>
      <c r="H44" s="201">
        <v>0</v>
      </c>
      <c r="I44" s="63">
        <f t="shared" si="1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1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>
        <v>0</v>
      </c>
      <c r="BV44" s="96">
        <f t="shared" si="9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0"/>
        <v>0</v>
      </c>
      <c r="CB44" s="59"/>
    </row>
    <row r="45" spans="1:80" s="42" customFormat="1" ht="29.25" hidden="1">
      <c r="A45" s="53">
        <v>4</v>
      </c>
      <c r="B45" s="68"/>
      <c r="C45" s="197">
        <v>1001001111</v>
      </c>
      <c r="D45" s="198" t="s">
        <v>381</v>
      </c>
      <c r="E45" s="199" t="s">
        <v>377</v>
      </c>
      <c r="F45" s="199"/>
      <c r="G45" s="200"/>
      <c r="H45" s="201">
        <v>0</v>
      </c>
      <c r="I45" s="63">
        <f t="shared" si="11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1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9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0"/>
        <v>0</v>
      </c>
      <c r="CB45" s="59"/>
    </row>
    <row r="46" spans="1:80" s="42" customFormat="1" ht="29.25" hidden="1">
      <c r="A46" s="53">
        <v>5</v>
      </c>
      <c r="B46" s="68"/>
      <c r="C46" s="197">
        <v>1001001112</v>
      </c>
      <c r="D46" s="198" t="s">
        <v>382</v>
      </c>
      <c r="E46" s="199" t="s">
        <v>377</v>
      </c>
      <c r="F46" s="199"/>
      <c r="G46" s="200"/>
      <c r="H46" s="201">
        <v>0</v>
      </c>
      <c r="I46" s="63">
        <f t="shared" si="1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1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9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0"/>
        <v>0</v>
      </c>
      <c r="CB46" s="59"/>
    </row>
    <row r="47" spans="1:80" s="42" customFormat="1" ht="29.25" hidden="1">
      <c r="A47" s="53">
        <v>6</v>
      </c>
      <c r="B47" s="68"/>
      <c r="C47" s="197">
        <v>1001001113</v>
      </c>
      <c r="D47" s="198" t="s">
        <v>383</v>
      </c>
      <c r="E47" s="199" t="s">
        <v>377</v>
      </c>
      <c r="F47" s="199"/>
      <c r="G47" s="200"/>
      <c r="H47" s="201">
        <v>0</v>
      </c>
      <c r="I47" s="63">
        <f t="shared" si="11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1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9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10"/>
        <v>0</v>
      </c>
      <c r="CB47" s="59"/>
    </row>
    <row r="48" spans="1:80" s="42" customFormat="1" ht="29.25" hidden="1">
      <c r="A48" s="165">
        <v>7</v>
      </c>
      <c r="B48" s="132"/>
      <c r="C48" s="468">
        <v>1001001114</v>
      </c>
      <c r="D48" s="469" t="s">
        <v>384</v>
      </c>
      <c r="E48" s="470" t="s">
        <v>377</v>
      </c>
      <c r="F48" s="470"/>
      <c r="G48" s="471"/>
      <c r="H48" s="472">
        <v>0</v>
      </c>
      <c r="I48" s="311">
        <f t="shared" si="11"/>
        <v>0</v>
      </c>
      <c r="J48" s="129">
        <v>0</v>
      </c>
      <c r="K48" s="117"/>
      <c r="L48" s="300"/>
      <c r="M48" s="59"/>
      <c r="N48" s="96"/>
      <c r="O48" s="59"/>
      <c r="P48" s="59"/>
      <c r="Q48" s="59"/>
      <c r="R48" s="59"/>
      <c r="S48" s="44"/>
      <c r="T48" s="59"/>
      <c r="U48" s="59"/>
      <c r="V48" s="212"/>
      <c r="W48" s="59"/>
      <c r="X48" s="96"/>
      <c r="Y48" s="59"/>
      <c r="Z48" s="59"/>
      <c r="AA48" s="59"/>
      <c r="AB48" s="59"/>
      <c r="AC48" s="44"/>
      <c r="AD48" s="59"/>
      <c r="AE48" s="59"/>
      <c r="AF48" s="301"/>
      <c r="AG48" s="59"/>
      <c r="AH48" s="96"/>
      <c r="AI48" s="59"/>
      <c r="AJ48" s="59"/>
      <c r="AK48" s="59"/>
      <c r="AL48" s="59"/>
      <c r="AM48" s="44"/>
      <c r="AN48" s="59"/>
      <c r="AO48" s="59"/>
      <c r="AP48" s="139"/>
      <c r="AQ48" s="59"/>
      <c r="AR48" s="96"/>
      <c r="AS48" s="59"/>
      <c r="AT48" s="59"/>
      <c r="AU48" s="59"/>
      <c r="AV48" s="59"/>
      <c r="AW48" s="44"/>
      <c r="AX48" s="59"/>
      <c r="AY48" s="59"/>
      <c r="AZ48" s="302"/>
      <c r="BA48" s="59"/>
      <c r="BB48" s="96"/>
      <c r="BC48" s="59"/>
      <c r="BD48" s="59"/>
      <c r="BE48" s="59"/>
      <c r="BF48" s="59"/>
      <c r="BG48" s="44"/>
      <c r="BH48" s="59"/>
      <c r="BI48" s="59"/>
      <c r="BJ48" s="216"/>
      <c r="BK48" s="59"/>
      <c r="BL48" s="96"/>
      <c r="BM48" s="59"/>
      <c r="BN48" s="59"/>
      <c r="BO48" s="59"/>
      <c r="BP48" s="59"/>
      <c r="BQ48" s="44"/>
      <c r="BR48" s="59"/>
      <c r="BS48" s="59"/>
      <c r="BT48" s="303"/>
      <c r="BU48" s="59">
        <v>0</v>
      </c>
      <c r="BV48" s="96">
        <f t="shared" si="9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10"/>
        <v>0</v>
      </c>
      <c r="CB48" s="59"/>
    </row>
    <row r="49" spans="1:80" s="42" customFormat="1" ht="29.25" hidden="1">
      <c r="A49" s="168">
        <v>11</v>
      </c>
      <c r="B49" s="170"/>
      <c r="C49" s="207">
        <v>1113225</v>
      </c>
      <c r="D49" s="208" t="s">
        <v>474</v>
      </c>
      <c r="E49" s="219" t="s">
        <v>42</v>
      </c>
      <c r="F49" s="169"/>
      <c r="G49" s="183"/>
      <c r="H49" s="184"/>
      <c r="I49" s="217">
        <f t="shared" ref="I49" si="12">SUM(L49,V49,AF49,AP49,AZ49,BJ49,BT49)</f>
        <v>0</v>
      </c>
      <c r="J49" s="184"/>
      <c r="K49" s="310"/>
      <c r="L49" s="257"/>
      <c r="M49" s="221"/>
      <c r="N49" s="96"/>
      <c r="O49" s="59"/>
      <c r="P49" s="59"/>
      <c r="Q49" s="59"/>
      <c r="R49" s="59"/>
      <c r="S49" s="44"/>
      <c r="T49" s="59"/>
      <c r="U49" s="220"/>
      <c r="V49" s="226"/>
      <c r="W49" s="221"/>
      <c r="X49" s="96"/>
      <c r="Y49" s="59"/>
      <c r="Z49" s="59"/>
      <c r="AA49" s="59"/>
      <c r="AB49" s="59"/>
      <c r="AC49" s="44"/>
      <c r="AD49" s="59"/>
      <c r="AE49" s="220"/>
      <c r="AF49" s="227"/>
      <c r="AG49" s="221"/>
      <c r="AH49" s="96"/>
      <c r="AI49" s="59"/>
      <c r="AJ49" s="59"/>
      <c r="AK49" s="59"/>
      <c r="AL49" s="59"/>
      <c r="AM49" s="44"/>
      <c r="AN49" s="59"/>
      <c r="AO49" s="220"/>
      <c r="AP49" s="262"/>
      <c r="AQ49" s="221"/>
      <c r="AR49" s="96"/>
      <c r="AS49" s="59"/>
      <c r="AT49" s="59"/>
      <c r="AU49" s="59"/>
      <c r="AV49" s="59"/>
      <c r="AW49" s="44"/>
      <c r="AX49" s="59"/>
      <c r="AY49" s="220"/>
      <c r="AZ49" s="264"/>
      <c r="BA49" s="221"/>
      <c r="BB49" s="96"/>
      <c r="BC49" s="59"/>
      <c r="BD49" s="59"/>
      <c r="BE49" s="59"/>
      <c r="BF49" s="59"/>
      <c r="BG49" s="44"/>
      <c r="BH49" s="59"/>
      <c r="BI49" s="220"/>
      <c r="BJ49" s="266"/>
      <c r="BK49" s="221"/>
      <c r="BL49" s="96"/>
      <c r="BM49" s="59"/>
      <c r="BN49" s="59"/>
      <c r="BO49" s="59"/>
      <c r="BP49" s="59"/>
      <c r="BQ49" s="44"/>
      <c r="BR49" s="59"/>
      <c r="BS49" s="220"/>
      <c r="BT49" s="205"/>
      <c r="BU49" s="221"/>
      <c r="BV49" s="96"/>
      <c r="BW49" s="59"/>
      <c r="BX49" s="59"/>
      <c r="BY49" s="59"/>
      <c r="BZ49" s="59"/>
      <c r="CA49" s="44"/>
      <c r="CB49" s="59"/>
    </row>
    <row r="50" spans="1:80" ht="24" hidden="1" customHeight="1">
      <c r="A50" s="556">
        <v>7</v>
      </c>
      <c r="B50" s="362"/>
      <c r="C50" s="551">
        <v>20059547</v>
      </c>
      <c r="D50" s="354" t="s">
        <v>431</v>
      </c>
      <c r="E50" s="353" t="s">
        <v>69</v>
      </c>
      <c r="F50" s="354"/>
      <c r="G50" s="354"/>
      <c r="H50" s="355"/>
      <c r="I50" s="356">
        <f t="shared" ref="I50:I55" si="13">SUM(L50,V50,AF50,AP50,AZ50,BJ50,BT50)</f>
        <v>0</v>
      </c>
      <c r="J50" s="357"/>
      <c r="K50" s="354"/>
      <c r="L50" s="576"/>
      <c r="V50" s="577"/>
      <c r="AF50" s="578"/>
      <c r="AP50" s="579"/>
      <c r="AZ50" s="580"/>
      <c r="BJ50" s="581"/>
      <c r="BT50" s="582"/>
    </row>
    <row r="51" spans="1:80" ht="24" hidden="1" customHeight="1">
      <c r="A51" s="334">
        <v>8</v>
      </c>
      <c r="B51" s="351"/>
      <c r="C51" s="243">
        <v>20059548</v>
      </c>
      <c r="D51" s="352" t="s">
        <v>432</v>
      </c>
      <c r="E51" s="359" t="s">
        <v>69</v>
      </c>
      <c r="F51" s="352"/>
      <c r="G51" s="352"/>
      <c r="H51" s="391"/>
      <c r="I51" s="361">
        <f t="shared" si="13"/>
        <v>0</v>
      </c>
      <c r="J51" s="392"/>
      <c r="K51" s="352"/>
      <c r="L51" s="393"/>
      <c r="V51" s="394"/>
      <c r="AF51" s="395"/>
      <c r="AP51" s="396"/>
      <c r="AZ51" s="372"/>
      <c r="BJ51" s="374"/>
      <c r="BT51" s="397"/>
    </row>
    <row r="52" spans="1:80" ht="24" hidden="1" customHeight="1">
      <c r="A52" s="334">
        <v>9</v>
      </c>
      <c r="B52" s="362"/>
      <c r="C52" s="363">
        <v>20060019</v>
      </c>
      <c r="D52" s="352" t="s">
        <v>408</v>
      </c>
      <c r="E52" s="359" t="s">
        <v>69</v>
      </c>
      <c r="F52" s="352"/>
      <c r="G52" s="352"/>
      <c r="H52" s="360"/>
      <c r="I52" s="361">
        <f t="shared" si="13"/>
        <v>0</v>
      </c>
      <c r="J52" s="361"/>
      <c r="K52" s="352"/>
      <c r="L52" s="393"/>
      <c r="V52" s="369"/>
      <c r="AF52" s="370"/>
      <c r="AP52" s="371"/>
      <c r="AZ52" s="373"/>
      <c r="BJ52" s="375"/>
      <c r="BT52" s="397"/>
    </row>
    <row r="53" spans="1:80" ht="24" hidden="1" customHeight="1">
      <c r="A53" s="334">
        <v>10</v>
      </c>
      <c r="B53" s="364"/>
      <c r="C53" s="359">
        <v>20059087</v>
      </c>
      <c r="D53" s="365" t="s">
        <v>239</v>
      </c>
      <c r="E53" s="359" t="s">
        <v>69</v>
      </c>
      <c r="F53" s="352"/>
      <c r="G53" s="352"/>
      <c r="H53" s="360"/>
      <c r="I53" s="361">
        <f t="shared" si="13"/>
        <v>0</v>
      </c>
      <c r="J53" s="361"/>
      <c r="K53" s="352"/>
      <c r="L53" s="393"/>
      <c r="V53" s="369"/>
      <c r="AF53" s="370"/>
      <c r="AP53" s="371"/>
      <c r="AZ53" s="373"/>
      <c r="BJ53" s="375"/>
      <c r="BT53" s="397"/>
    </row>
    <row r="54" spans="1:80" ht="24.75" hidden="1" customHeight="1">
      <c r="A54" s="334">
        <v>11</v>
      </c>
      <c r="B54" s="364"/>
      <c r="C54" s="243">
        <v>20060974</v>
      </c>
      <c r="D54" s="365" t="s">
        <v>434</v>
      </c>
      <c r="E54" s="359" t="s">
        <v>69</v>
      </c>
      <c r="F54" s="352"/>
      <c r="G54" s="352"/>
      <c r="H54" s="360"/>
      <c r="I54" s="361">
        <f t="shared" si="13"/>
        <v>0</v>
      </c>
      <c r="J54" s="361"/>
      <c r="K54" s="352"/>
      <c r="L54" s="393"/>
      <c r="V54" s="369"/>
      <c r="AF54" s="370"/>
      <c r="AP54" s="371"/>
      <c r="AZ54" s="373"/>
      <c r="BJ54" s="375"/>
      <c r="BT54" s="397"/>
    </row>
    <row r="55" spans="1:80" ht="24.75" hidden="1" customHeight="1">
      <c r="A55" s="334">
        <v>12</v>
      </c>
      <c r="B55" s="364"/>
      <c r="C55" s="243">
        <v>20060976</v>
      </c>
      <c r="D55" s="365" t="s">
        <v>450</v>
      </c>
      <c r="E55" s="359" t="s">
        <v>69</v>
      </c>
      <c r="F55" s="352"/>
      <c r="G55" s="352"/>
      <c r="H55" s="360"/>
      <c r="I55" s="361">
        <f t="shared" si="13"/>
        <v>0</v>
      </c>
      <c r="J55" s="361"/>
      <c r="K55" s="352"/>
      <c r="L55" s="393"/>
      <c r="V55" s="369"/>
      <c r="AF55" s="370"/>
      <c r="AP55" s="371"/>
      <c r="AZ55" s="373"/>
      <c r="BJ55" s="375"/>
      <c r="BT55" s="397"/>
    </row>
    <row r="56" spans="1:80" ht="27.75" hidden="1" customHeight="1">
      <c r="A56" s="334">
        <v>13</v>
      </c>
      <c r="B56" s="364"/>
      <c r="C56" s="243">
        <v>20060973</v>
      </c>
      <c r="D56" s="366" t="s">
        <v>436</v>
      </c>
      <c r="E56" s="359" t="s">
        <v>69</v>
      </c>
      <c r="F56" s="352"/>
      <c r="G56" s="352"/>
      <c r="H56" s="360"/>
      <c r="I56" s="361">
        <f t="shared" ref="I56" si="14">SUM(L56,V56,AF56,AP56,AZ56,BJ56,BT56)</f>
        <v>0</v>
      </c>
      <c r="J56" s="361"/>
      <c r="K56" s="352"/>
      <c r="L56" s="393"/>
      <c r="V56" s="369"/>
      <c r="AF56" s="370"/>
      <c r="AP56" s="371"/>
      <c r="AZ56" s="373"/>
      <c r="BJ56" s="375"/>
      <c r="BT56" s="397"/>
    </row>
    <row r="57" spans="1:80" ht="33.75" hidden="1" customHeight="1">
      <c r="A57" s="334">
        <v>14</v>
      </c>
      <c r="B57" s="364"/>
      <c r="C57" s="243">
        <f>'Week 1'!C58</f>
        <v>20061982</v>
      </c>
      <c r="D57" s="366" t="str">
        <f>'Week 1'!D58</f>
        <v>มินิบันช็อกโกแลตเฮเซลนัท70g</v>
      </c>
      <c r="E57" s="359" t="str">
        <f>'Week 1'!E58</f>
        <v>CJ</v>
      </c>
      <c r="F57" s="352"/>
      <c r="G57" s="352"/>
      <c r="H57" s="360"/>
      <c r="I57" s="361">
        <f t="shared" ref="I57:I63" si="15">SUM(L57,V57,AF57,AP57,AZ57,BJ57,BT57)</f>
        <v>0</v>
      </c>
      <c r="J57" s="361"/>
      <c r="K57" s="352"/>
      <c r="L57" s="393"/>
      <c r="V57" s="369"/>
      <c r="AF57" s="370"/>
      <c r="AP57" s="371"/>
      <c r="AZ57" s="373"/>
      <c r="BJ57" s="375"/>
      <c r="BT57" s="397"/>
    </row>
    <row r="58" spans="1:80" ht="35.25" hidden="1" customHeight="1">
      <c r="A58" s="334">
        <v>15</v>
      </c>
      <c r="B58" s="351"/>
      <c r="C58" s="243">
        <v>20062915</v>
      </c>
      <c r="D58" s="377" t="s">
        <v>438</v>
      </c>
      <c r="E58" s="359" t="str">
        <f>'Week 1'!E59</f>
        <v>CJ</v>
      </c>
      <c r="F58" s="352"/>
      <c r="G58" s="352"/>
      <c r="H58" s="360"/>
      <c r="I58" s="361">
        <f t="shared" si="15"/>
        <v>0</v>
      </c>
      <c r="J58" s="361"/>
      <c r="K58" s="352"/>
      <c r="L58" s="393"/>
      <c r="V58" s="369"/>
      <c r="AF58" s="370"/>
      <c r="AP58" s="371"/>
      <c r="AZ58" s="373"/>
      <c r="BJ58" s="375"/>
      <c r="BT58" s="397"/>
    </row>
    <row r="59" spans="1:80" ht="35.25" hidden="1" customHeight="1">
      <c r="A59" s="334">
        <v>16</v>
      </c>
      <c r="B59" s="351"/>
      <c r="C59" s="243">
        <v>20063266</v>
      </c>
      <c r="D59" s="377" t="s">
        <v>455</v>
      </c>
      <c r="E59" s="359" t="str">
        <f>'Week 1'!E60</f>
        <v>CJ</v>
      </c>
      <c r="F59" s="352"/>
      <c r="G59" s="352"/>
      <c r="H59" s="360"/>
      <c r="I59" s="361">
        <f t="shared" si="15"/>
        <v>0</v>
      </c>
      <c r="J59" s="361"/>
      <c r="K59" s="352"/>
      <c r="L59" s="393"/>
      <c r="V59" s="369"/>
      <c r="AF59" s="370"/>
      <c r="AP59" s="371"/>
      <c r="AZ59" s="373"/>
      <c r="BJ59" s="375"/>
      <c r="BT59" s="397"/>
    </row>
    <row r="60" spans="1:80" ht="35.25" hidden="1" customHeight="1">
      <c r="A60" s="334">
        <v>17</v>
      </c>
      <c r="B60" s="351"/>
      <c r="C60" s="243">
        <v>20062916</v>
      </c>
      <c r="D60" s="377" t="s">
        <v>415</v>
      </c>
      <c r="E60" s="359" t="s">
        <v>69</v>
      </c>
      <c r="F60" s="352"/>
      <c r="G60" s="352"/>
      <c r="H60" s="360"/>
      <c r="I60" s="361">
        <f t="shared" si="15"/>
        <v>0</v>
      </c>
      <c r="J60" s="361"/>
      <c r="K60" s="352"/>
      <c r="L60" s="393"/>
      <c r="V60" s="369"/>
      <c r="AF60" s="370"/>
      <c r="AP60" s="371"/>
      <c r="AZ60" s="373"/>
      <c r="BJ60" s="375"/>
      <c r="BT60" s="397"/>
    </row>
    <row r="61" spans="1:80" ht="35.25" hidden="1" customHeight="1">
      <c r="A61" s="334">
        <v>18</v>
      </c>
      <c r="B61" s="351"/>
      <c r="C61" s="243">
        <v>20063380</v>
      </c>
      <c r="D61" s="377" t="s">
        <v>414</v>
      </c>
      <c r="E61" s="359" t="s">
        <v>69</v>
      </c>
      <c r="F61" s="352"/>
      <c r="G61" s="352"/>
      <c r="H61" s="360"/>
      <c r="I61" s="361">
        <f t="shared" si="15"/>
        <v>0</v>
      </c>
      <c r="J61" s="361"/>
      <c r="K61" s="352"/>
      <c r="L61" s="393"/>
      <c r="V61" s="369"/>
      <c r="AF61" s="370"/>
      <c r="AP61" s="371"/>
      <c r="AZ61" s="373"/>
      <c r="BJ61" s="375"/>
      <c r="BT61" s="397"/>
    </row>
    <row r="62" spans="1:80" ht="35.25" hidden="1" customHeight="1">
      <c r="A62" s="334">
        <v>19</v>
      </c>
      <c r="B62" s="351"/>
      <c r="C62" s="243">
        <v>20063468</v>
      </c>
      <c r="D62" s="377" t="s">
        <v>417</v>
      </c>
      <c r="E62" s="359" t="s">
        <v>69</v>
      </c>
      <c r="F62" s="352"/>
      <c r="G62" s="352"/>
      <c r="H62" s="360"/>
      <c r="I62" s="361">
        <f t="shared" si="15"/>
        <v>0</v>
      </c>
      <c r="J62" s="361"/>
      <c r="K62" s="352"/>
      <c r="L62" s="393"/>
      <c r="V62" s="369"/>
      <c r="AF62" s="370"/>
      <c r="AP62" s="371"/>
      <c r="AZ62" s="373"/>
      <c r="BJ62" s="375"/>
      <c r="BT62" s="397"/>
    </row>
    <row r="63" spans="1:80" ht="31.5" hidden="1" customHeight="1">
      <c r="A63" s="334">
        <v>20</v>
      </c>
      <c r="B63" s="351"/>
      <c r="C63" s="367">
        <v>20063720</v>
      </c>
      <c r="D63" s="368" t="s">
        <v>461</v>
      </c>
      <c r="E63" s="359" t="s">
        <v>69</v>
      </c>
      <c r="F63" s="352"/>
      <c r="G63" s="352"/>
      <c r="H63" s="360"/>
      <c r="I63" s="361">
        <f t="shared" si="15"/>
        <v>0</v>
      </c>
      <c r="J63" s="361"/>
      <c r="K63" s="352"/>
      <c r="L63" s="393"/>
      <c r="V63" s="369"/>
      <c r="AF63" s="370"/>
      <c r="AP63" s="371"/>
      <c r="AZ63" s="373"/>
      <c r="BJ63" s="375"/>
      <c r="BT63" s="397"/>
    </row>
    <row r="64" spans="1:80" ht="31.5" hidden="1" customHeight="1">
      <c r="A64" s="334">
        <v>21</v>
      </c>
      <c r="B64" s="351"/>
      <c r="C64" s="367">
        <v>20063783</v>
      </c>
      <c r="D64" s="368" t="s">
        <v>453</v>
      </c>
      <c r="E64" s="359" t="s">
        <v>69</v>
      </c>
      <c r="F64" s="352"/>
      <c r="G64" s="352"/>
      <c r="H64" s="360"/>
      <c r="I64" s="361">
        <f t="shared" ref="I64" si="16">SUM(L64,V64,AF64,AP64,AZ64,BJ64,BT64)</f>
        <v>0</v>
      </c>
      <c r="J64" s="361"/>
      <c r="K64" s="352"/>
      <c r="L64" s="393"/>
      <c r="V64" s="369"/>
      <c r="AF64" s="370"/>
      <c r="AP64" s="371"/>
      <c r="AZ64" s="373"/>
      <c r="BJ64" s="375"/>
      <c r="BT64" s="397"/>
    </row>
    <row r="65" spans="1:72" ht="31.5" hidden="1" customHeight="1">
      <c r="A65" s="334">
        <v>22</v>
      </c>
      <c r="B65" s="351"/>
      <c r="C65" s="367">
        <v>20063930</v>
      </c>
      <c r="D65" s="379" t="s">
        <v>462</v>
      </c>
      <c r="E65" s="359" t="s">
        <v>69</v>
      </c>
      <c r="F65" s="352"/>
      <c r="G65" s="352"/>
      <c r="H65" s="360"/>
      <c r="I65" s="361">
        <f t="shared" ref="I65:I66" si="17">SUM(L65,V65,AF65,AP65,AZ65,BJ65,BT65)</f>
        <v>0</v>
      </c>
      <c r="J65" s="361"/>
      <c r="K65" s="352"/>
      <c r="L65" s="393"/>
      <c r="V65" s="369"/>
      <c r="AF65" s="370"/>
      <c r="AP65" s="371"/>
      <c r="AZ65" s="373"/>
      <c r="BJ65" s="375"/>
      <c r="BT65" s="397"/>
    </row>
    <row r="66" spans="1:72" ht="31.5" hidden="1" customHeight="1">
      <c r="A66" s="334">
        <v>23</v>
      </c>
      <c r="B66" s="351"/>
      <c r="C66" s="367">
        <v>20063929</v>
      </c>
      <c r="D66" s="379" t="s">
        <v>463</v>
      </c>
      <c r="E66" s="359" t="s">
        <v>69</v>
      </c>
      <c r="F66" s="352"/>
      <c r="G66" s="352"/>
      <c r="H66" s="360"/>
      <c r="I66" s="361">
        <f t="shared" si="17"/>
        <v>0</v>
      </c>
      <c r="J66" s="361"/>
      <c r="K66" s="352"/>
      <c r="L66" s="393"/>
      <c r="V66" s="369"/>
      <c r="AF66" s="370"/>
      <c r="AP66" s="371"/>
      <c r="AZ66" s="373"/>
      <c r="BJ66" s="375"/>
      <c r="BT66" s="397"/>
    </row>
    <row r="67" spans="1:72" ht="31.5" hidden="1" customHeight="1">
      <c r="A67" s="334">
        <v>24</v>
      </c>
      <c r="B67" s="351"/>
      <c r="C67" s="367">
        <v>20064190</v>
      </c>
      <c r="D67" s="380" t="s">
        <v>469</v>
      </c>
      <c r="E67" s="359" t="s">
        <v>69</v>
      </c>
      <c r="F67" s="352"/>
      <c r="G67" s="352"/>
      <c r="H67" s="360"/>
      <c r="I67" s="361">
        <f t="shared" ref="I67:I78" si="18">SUM(L67,V67,AF67,AP67,AZ67,BJ67,BT67)</f>
        <v>0</v>
      </c>
      <c r="J67" s="361"/>
      <c r="K67" s="352"/>
      <c r="L67" s="393"/>
      <c r="V67" s="369"/>
      <c r="AF67" s="370"/>
      <c r="AP67" s="371"/>
      <c r="AZ67" s="373"/>
      <c r="BJ67" s="375"/>
      <c r="BT67" s="397"/>
    </row>
    <row r="68" spans="1:72" ht="31.5" hidden="1" customHeight="1">
      <c r="A68" s="334">
        <v>25</v>
      </c>
      <c r="B68" s="351"/>
      <c r="C68" s="367">
        <v>20064191</v>
      </c>
      <c r="D68" s="380" t="s">
        <v>470</v>
      </c>
      <c r="E68" s="359" t="s">
        <v>69</v>
      </c>
      <c r="F68" s="352"/>
      <c r="G68" s="352"/>
      <c r="H68" s="360"/>
      <c r="I68" s="361">
        <f t="shared" si="18"/>
        <v>0</v>
      </c>
      <c r="J68" s="361"/>
      <c r="K68" s="352"/>
      <c r="L68" s="393"/>
      <c r="V68" s="369"/>
      <c r="AF68" s="370"/>
      <c r="AP68" s="371"/>
      <c r="AZ68" s="373"/>
      <c r="BJ68" s="375"/>
      <c r="BT68" s="397"/>
    </row>
    <row r="69" spans="1:72" ht="31.5" hidden="1" customHeight="1">
      <c r="A69" s="334">
        <v>26</v>
      </c>
      <c r="B69" s="351"/>
      <c r="C69" s="381">
        <v>20064271</v>
      </c>
      <c r="D69" s="382" t="s">
        <v>471</v>
      </c>
      <c r="E69" s="359" t="s">
        <v>69</v>
      </c>
      <c r="F69" s="352"/>
      <c r="G69" s="352"/>
      <c r="H69" s="360"/>
      <c r="I69" s="361">
        <f t="shared" si="18"/>
        <v>0</v>
      </c>
      <c r="J69" s="361"/>
      <c r="K69" s="352"/>
      <c r="L69" s="393"/>
      <c r="V69" s="369"/>
      <c r="AF69" s="370"/>
      <c r="AP69" s="371"/>
      <c r="AZ69" s="373"/>
      <c r="BJ69" s="375"/>
      <c r="BT69" s="397"/>
    </row>
    <row r="70" spans="1:72" ht="31.5" hidden="1" customHeight="1">
      <c r="A70" s="334">
        <v>27</v>
      </c>
      <c r="B70" s="351"/>
      <c r="C70" s="383">
        <v>20064365</v>
      </c>
      <c r="D70" s="382" t="s">
        <v>444</v>
      </c>
      <c r="E70" s="359" t="s">
        <v>69</v>
      </c>
      <c r="F70" s="352"/>
      <c r="G70" s="352"/>
      <c r="H70" s="360"/>
      <c r="I70" s="361">
        <f t="shared" si="18"/>
        <v>0</v>
      </c>
      <c r="J70" s="361"/>
      <c r="K70" s="352"/>
      <c r="L70" s="393"/>
      <c r="V70" s="369"/>
      <c r="AF70" s="370"/>
      <c r="AP70" s="371"/>
      <c r="AZ70" s="373"/>
      <c r="BJ70" s="375"/>
      <c r="BT70" s="397"/>
    </row>
    <row r="71" spans="1:72" ht="30" hidden="1" customHeight="1">
      <c r="A71" s="521">
        <v>28</v>
      </c>
      <c r="B71" s="492"/>
      <c r="C71" s="522">
        <v>20064366</v>
      </c>
      <c r="D71" s="523" t="s">
        <v>445</v>
      </c>
      <c r="E71" s="493" t="s">
        <v>69</v>
      </c>
      <c r="F71" s="494"/>
      <c r="G71" s="494"/>
      <c r="H71" s="495"/>
      <c r="I71" s="496">
        <f t="shared" si="18"/>
        <v>0</v>
      </c>
      <c r="J71" s="496"/>
      <c r="K71" s="494"/>
      <c r="L71" s="524"/>
      <c r="V71" s="498"/>
      <c r="AF71" s="499"/>
      <c r="AP71" s="500"/>
      <c r="AZ71" s="501"/>
      <c r="BJ71" s="502"/>
      <c r="BT71" s="525"/>
    </row>
    <row r="72" spans="1:72" ht="30" hidden="1" customHeight="1">
      <c r="A72" s="334">
        <v>29</v>
      </c>
      <c r="B72" s="351"/>
      <c r="C72" s="504"/>
      <c r="D72" s="352" t="s">
        <v>466</v>
      </c>
      <c r="E72" s="359" t="s">
        <v>69</v>
      </c>
      <c r="F72" s="352"/>
      <c r="G72" s="352"/>
      <c r="H72" s="360"/>
      <c r="I72" s="361">
        <f t="shared" si="18"/>
        <v>0</v>
      </c>
      <c r="J72" s="361"/>
      <c r="K72" s="352"/>
      <c r="L72" s="393"/>
      <c r="V72" s="369"/>
      <c r="AF72" s="370"/>
      <c r="AP72" s="371"/>
      <c r="AZ72" s="373"/>
      <c r="BJ72" s="375"/>
      <c r="BT72" s="397"/>
    </row>
    <row r="73" spans="1:72" ht="30" hidden="1" customHeight="1">
      <c r="A73" s="334">
        <v>30</v>
      </c>
      <c r="B73" s="351"/>
      <c r="C73" s="504"/>
      <c r="D73" s="352" t="s">
        <v>467</v>
      </c>
      <c r="E73" s="359" t="s">
        <v>69</v>
      </c>
      <c r="F73" s="352"/>
      <c r="G73" s="352"/>
      <c r="H73" s="360"/>
      <c r="I73" s="361">
        <f t="shared" si="18"/>
        <v>0</v>
      </c>
      <c r="J73" s="361"/>
      <c r="K73" s="352"/>
      <c r="L73" s="393"/>
      <c r="V73" s="369"/>
      <c r="AF73" s="370"/>
      <c r="AP73" s="371"/>
      <c r="AZ73" s="373"/>
      <c r="BJ73" s="375"/>
      <c r="BT73" s="397"/>
    </row>
    <row r="74" spans="1:72" ht="30" hidden="1" customHeight="1">
      <c r="A74" s="521">
        <v>31</v>
      </c>
      <c r="B74" s="492"/>
      <c r="C74" s="547"/>
      <c r="D74" s="494" t="s">
        <v>468</v>
      </c>
      <c r="E74" s="493" t="s">
        <v>69</v>
      </c>
      <c r="F74" s="494"/>
      <c r="G74" s="494"/>
      <c r="H74" s="495"/>
      <c r="I74" s="496">
        <f t="shared" si="18"/>
        <v>0</v>
      </c>
      <c r="J74" s="496"/>
      <c r="K74" s="494"/>
      <c r="L74" s="524"/>
      <c r="V74" s="498"/>
      <c r="AF74" s="499"/>
      <c r="AP74" s="500"/>
      <c r="AZ74" s="501"/>
      <c r="BJ74" s="502"/>
      <c r="BT74" s="525"/>
    </row>
    <row r="75" spans="1:72" ht="30" hidden="1" customHeight="1">
      <c r="A75" s="334">
        <v>12</v>
      </c>
      <c r="B75" s="351"/>
      <c r="C75" s="504">
        <v>1113237</v>
      </c>
      <c r="D75" s="352" t="s">
        <v>477</v>
      </c>
      <c r="E75" s="219" t="s">
        <v>42</v>
      </c>
      <c r="F75" s="169"/>
      <c r="G75" s="183"/>
      <c r="H75" s="184"/>
      <c r="I75" s="217">
        <f t="shared" si="18"/>
        <v>0</v>
      </c>
      <c r="J75" s="361"/>
      <c r="K75" s="352"/>
      <c r="L75" s="393"/>
      <c r="V75" s="369"/>
      <c r="AF75" s="370"/>
      <c r="AP75" s="371"/>
      <c r="AZ75" s="373"/>
      <c r="BJ75" s="375"/>
      <c r="BT75" s="397"/>
    </row>
    <row r="76" spans="1:72" ht="31.5" hidden="1" customHeight="1">
      <c r="A76" s="334">
        <v>13</v>
      </c>
      <c r="B76" s="351"/>
      <c r="C76" s="504">
        <v>1113238</v>
      </c>
      <c r="D76" s="352" t="s">
        <v>478</v>
      </c>
      <c r="E76" s="219" t="s">
        <v>42</v>
      </c>
      <c r="F76" s="169"/>
      <c r="G76" s="183"/>
      <c r="H76" s="184"/>
      <c r="I76" s="217">
        <f t="shared" si="18"/>
        <v>0</v>
      </c>
      <c r="J76" s="361"/>
      <c r="K76" s="352"/>
      <c r="L76" s="393"/>
      <c r="V76" s="369"/>
      <c r="AF76" s="370"/>
      <c r="AP76" s="371"/>
      <c r="AZ76" s="373"/>
      <c r="BJ76" s="375"/>
      <c r="BT76" s="397"/>
    </row>
    <row r="77" spans="1:72" ht="35.25" customHeight="1">
      <c r="A77" s="556">
        <v>2</v>
      </c>
      <c r="B77" s="362"/>
      <c r="C77" s="583">
        <v>1112048</v>
      </c>
      <c r="D77" s="354" t="s">
        <v>464</v>
      </c>
      <c r="E77" s="353" t="s">
        <v>203</v>
      </c>
      <c r="F77" s="353"/>
      <c r="G77" s="584"/>
      <c r="H77" s="585"/>
      <c r="I77" s="586">
        <f t="shared" si="18"/>
        <v>0</v>
      </c>
      <c r="J77" s="356"/>
      <c r="K77" s="354"/>
      <c r="L77" s="576"/>
      <c r="V77" s="587"/>
      <c r="AF77" s="588"/>
      <c r="AP77" s="589"/>
      <c r="AZ77" s="590"/>
      <c r="BJ77" s="591"/>
      <c r="BT77" s="582"/>
    </row>
    <row r="78" spans="1:72" ht="36.75" customHeight="1">
      <c r="A78" s="334">
        <v>3</v>
      </c>
      <c r="B78" s="351"/>
      <c r="C78" s="504">
        <v>1112049</v>
      </c>
      <c r="D78" s="352" t="s">
        <v>465</v>
      </c>
      <c r="E78" s="359" t="s">
        <v>203</v>
      </c>
      <c r="F78" s="359"/>
      <c r="G78" s="564"/>
      <c r="H78" s="360"/>
      <c r="I78" s="546">
        <f t="shared" si="18"/>
        <v>0</v>
      </c>
      <c r="J78" s="361"/>
      <c r="K78" s="352"/>
      <c r="L78" s="393"/>
      <c r="V78" s="369"/>
      <c r="AF78" s="370"/>
      <c r="AP78" s="371"/>
      <c r="AZ78" s="373"/>
      <c r="BJ78" s="375"/>
      <c r="BT78" s="397"/>
    </row>
    <row r="79" spans="1:72" ht="15.75" customHeight="1">
      <c r="K79" s="398"/>
      <c r="L79" s="398"/>
      <c r="V79" s="398"/>
      <c r="AF79" s="398"/>
      <c r="AP79" s="398"/>
      <c r="AZ79" s="398"/>
      <c r="BJ79" s="398"/>
      <c r="BT79" s="398"/>
    </row>
  </sheetData>
  <autoFilter ref="A1:CB78" xr:uid="{00000000-0001-0000-0900-000000000000}">
    <filterColumn colId="4">
      <filters>
        <filter val="Tops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455" customFormat="1" ht="15.75" customHeight="1">
      <c r="A1" s="673" t="s">
        <v>14</v>
      </c>
      <c r="B1" s="677"/>
      <c r="C1" s="677"/>
      <c r="D1" s="677"/>
      <c r="E1" s="677"/>
      <c r="F1" s="674"/>
      <c r="G1" s="456"/>
      <c r="H1" s="673" t="s">
        <v>15</v>
      </c>
      <c r="I1" s="674"/>
      <c r="J1" s="674"/>
      <c r="K1" s="674"/>
      <c r="L1" s="674"/>
      <c r="M1" s="674"/>
      <c r="N1" s="456"/>
      <c r="O1" s="673" t="s">
        <v>16</v>
      </c>
      <c r="P1" s="674"/>
      <c r="Q1" s="674"/>
      <c r="R1" s="674"/>
      <c r="S1" s="674"/>
      <c r="T1" s="674"/>
      <c r="U1" s="456"/>
      <c r="V1" s="673" t="s">
        <v>17</v>
      </c>
      <c r="W1" s="674"/>
      <c r="X1" s="674"/>
      <c r="Y1" s="674"/>
      <c r="Z1" s="674"/>
      <c r="AA1" s="674"/>
      <c r="AB1" s="456"/>
      <c r="AC1" s="673" t="s">
        <v>385</v>
      </c>
      <c r="AD1" s="674"/>
      <c r="AE1" s="674"/>
      <c r="AF1" s="674"/>
      <c r="AG1" s="674"/>
      <c r="AH1" s="674"/>
      <c r="AI1" s="456"/>
      <c r="AJ1" s="673" t="s">
        <v>19</v>
      </c>
      <c r="AK1" s="674"/>
      <c r="AL1" s="674"/>
      <c r="AM1" s="674"/>
      <c r="AN1" s="674"/>
      <c r="AO1" s="674"/>
      <c r="AP1" s="456"/>
      <c r="AQ1" s="673" t="s">
        <v>386</v>
      </c>
      <c r="AR1" s="674"/>
      <c r="AS1" s="674"/>
      <c r="AT1" s="674"/>
      <c r="AU1" s="674"/>
      <c r="AV1" s="674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75"/>
      <c r="P68" s="676"/>
      <c r="Q68" s="7"/>
      <c r="R68" s="6"/>
      <c r="S68" s="7"/>
      <c r="T68" s="6"/>
      <c r="U68" s="8"/>
      <c r="V68" s="8"/>
      <c r="W68" s="1"/>
      <c r="X68" s="1"/>
      <c r="Y68" s="675"/>
      <c r="Z68" s="676"/>
      <c r="AA68" s="7"/>
      <c r="AB68" s="6"/>
      <c r="AC68" s="7"/>
      <c r="AD68" s="6"/>
      <c r="AE68" s="8"/>
      <c r="AF68" s="8"/>
      <c r="AG68" s="1"/>
      <c r="AH68" s="1"/>
      <c r="AI68" s="675"/>
      <c r="AJ68" s="676"/>
      <c r="AK68" s="7"/>
      <c r="AL68" s="6"/>
      <c r="AM68" s="7"/>
      <c r="AN68" s="6"/>
      <c r="AO68" s="8"/>
      <c r="AP68" s="8"/>
      <c r="AQ68" s="1"/>
      <c r="AR68" s="1"/>
      <c r="AS68" s="675"/>
      <c r="AT68" s="676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75"/>
      <c r="P69" s="676"/>
      <c r="Q69" s="7"/>
      <c r="R69" s="6"/>
      <c r="S69" s="7"/>
      <c r="T69" s="6"/>
      <c r="U69" s="8"/>
      <c r="V69" s="8"/>
      <c r="W69" s="1"/>
      <c r="X69" s="1"/>
      <c r="Y69" s="675"/>
      <c r="Z69" s="676"/>
      <c r="AA69" s="7"/>
      <c r="AB69" s="6"/>
      <c r="AC69" s="7"/>
      <c r="AD69" s="6"/>
      <c r="AE69" s="8"/>
      <c r="AF69" s="8"/>
      <c r="AG69" s="1"/>
      <c r="AH69" s="1"/>
      <c r="AI69" s="675"/>
      <c r="AJ69" s="676"/>
      <c r="AK69" s="7"/>
      <c r="AL69" s="6"/>
      <c r="AM69" s="7"/>
      <c r="AN69" s="6"/>
      <c r="AO69" s="8"/>
      <c r="AP69" s="8"/>
      <c r="AQ69" s="1"/>
      <c r="AR69" s="1"/>
      <c r="AS69" s="675"/>
      <c r="AT69" s="676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75"/>
      <c r="P70" s="676"/>
      <c r="Q70" s="7"/>
      <c r="R70" s="6"/>
      <c r="S70" s="7"/>
      <c r="T70" s="6"/>
      <c r="U70" s="8"/>
      <c r="V70" s="8"/>
      <c r="W70" s="1"/>
      <c r="X70" s="1"/>
      <c r="Y70" s="675"/>
      <c r="Z70" s="676"/>
      <c r="AA70" s="7"/>
      <c r="AB70" s="6"/>
      <c r="AC70" s="7"/>
      <c r="AD70" s="6"/>
      <c r="AE70" s="8"/>
      <c r="AF70" s="8"/>
      <c r="AG70" s="1"/>
      <c r="AH70" s="1"/>
      <c r="AI70" s="675"/>
      <c r="AJ70" s="676"/>
      <c r="AK70" s="7"/>
      <c r="AL70" s="6"/>
      <c r="AM70" s="7"/>
      <c r="AN70" s="6"/>
      <c r="AO70" s="8"/>
      <c r="AP70" s="8"/>
      <c r="AQ70" s="1"/>
      <c r="AR70" s="1"/>
      <c r="AS70" s="675"/>
      <c r="AT70" s="676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2026-06-16T06:35:27Z</dcterms:modified>
</cp:coreProperties>
</file>