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 สัปดาห์\2569\มิถุนายน\"/>
    </mc:Choice>
  </mc:AlternateContent>
  <xr:revisionPtr revIDLastSave="0" documentId="13_ncr:1_{16A7CCA7-3901-456E-B65E-4E2829200984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1'!$E$1:$E$75</definedName>
    <definedName name="_xlnm._FilterDatabase" localSheetId="3" hidden="1">'Week 2'!$E$1:$E$70</definedName>
    <definedName name="_xlnm._FilterDatabase" localSheetId="5" hidden="1">'Week 3'!$E$1:$E$70</definedName>
    <definedName name="_xlnm._FilterDatabase" localSheetId="7" hidden="1">'Week 4'!$E$1:$E$70</definedName>
    <definedName name="_xlnm._FilterDatabase" localSheetId="9" hidden="1">'Week 5'!$A$1:$CB$72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5" i="2" l="1"/>
  <c r="I74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68" i="6"/>
  <c r="I69" i="6"/>
  <c r="I70" i="6"/>
  <c r="I68" i="8"/>
  <c r="I69" i="8"/>
  <c r="I70" i="8"/>
  <c r="I70" i="10"/>
  <c r="I71" i="10"/>
  <c r="I72" i="10"/>
  <c r="I69" i="2"/>
  <c r="I70" i="2"/>
  <c r="I71" i="2"/>
  <c r="I72" i="2"/>
  <c r="I73" i="2"/>
  <c r="I47" i="8"/>
  <c r="I39" i="8"/>
  <c r="I38" i="8"/>
  <c r="I37" i="8"/>
  <c r="I36" i="8"/>
  <c r="I30" i="8"/>
  <c r="I28" i="8"/>
  <c r="I23" i="8"/>
  <c r="I17" i="8"/>
  <c r="I16" i="8"/>
  <c r="I48" i="6"/>
  <c r="I39" i="6"/>
  <c r="I38" i="6"/>
  <c r="I37" i="6"/>
  <c r="I36" i="6"/>
  <c r="I30" i="6"/>
  <c r="I28" i="6"/>
  <c r="I23" i="6"/>
  <c r="I17" i="6"/>
  <c r="I16" i="6"/>
  <c r="I5" i="6"/>
  <c r="I68" i="10"/>
  <c r="I69" i="10"/>
  <c r="I66" i="8"/>
  <c r="I67" i="8"/>
  <c r="I66" i="6"/>
  <c r="I67" i="6"/>
  <c r="I17" i="4"/>
  <c r="I16" i="4"/>
  <c r="I50" i="2"/>
  <c r="I42" i="2"/>
  <c r="I41" i="2"/>
  <c r="I40" i="2"/>
  <c r="I39" i="2"/>
  <c r="I33" i="2"/>
  <c r="I31" i="2"/>
  <c r="I26" i="2"/>
  <c r="I20" i="2"/>
  <c r="I19" i="2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7" i="10"/>
  <c r="I66" i="10"/>
  <c r="I65" i="8"/>
  <c r="I64" i="8"/>
  <c r="I65" i="6"/>
  <c r="I64" i="6"/>
  <c r="I68" i="2"/>
  <c r="I67" i="2"/>
  <c r="I65" i="10"/>
  <c r="I63" i="8"/>
  <c r="I63" i="6"/>
  <c r="I66" i="2"/>
  <c r="I64" i="10"/>
  <c r="I62" i="8"/>
  <c r="I62" i="6"/>
  <c r="I65" i="2"/>
  <c r="I63" i="2"/>
  <c r="I62" i="2"/>
  <c r="I61" i="2"/>
  <c r="I64" i="2"/>
  <c r="I61" i="6"/>
  <c r="I63" i="10"/>
  <c r="I61" i="8"/>
  <c r="I58" i="10"/>
  <c r="I59" i="10"/>
  <c r="I60" i="10"/>
  <c r="I61" i="10"/>
  <c r="I62" i="10"/>
  <c r="E58" i="10"/>
  <c r="E59" i="10"/>
  <c r="I56" i="8"/>
  <c r="I57" i="8"/>
  <c r="I58" i="8"/>
  <c r="I59" i="8"/>
  <c r="I60" i="8"/>
  <c r="I56" i="6"/>
  <c r="I57" i="6"/>
  <c r="I58" i="6"/>
  <c r="I59" i="6"/>
  <c r="I60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CA46" i="8"/>
  <c r="BV46" i="8"/>
  <c r="CA45" i="8"/>
  <c r="BV45" i="8"/>
  <c r="CA44" i="8"/>
  <c r="BV44" i="8"/>
  <c r="CA43" i="8"/>
  <c r="BV43" i="8"/>
  <c r="CA42" i="8"/>
  <c r="BV42" i="8"/>
  <c r="CA41" i="8"/>
  <c r="BV41" i="8"/>
  <c r="CA40" i="8"/>
  <c r="BV40" i="8"/>
  <c r="CA39" i="8"/>
  <c r="BV39" i="8"/>
  <c r="CA38" i="8"/>
  <c r="BV38" i="8"/>
  <c r="CA37" i="8"/>
  <c r="BV37" i="8"/>
  <c r="CA36" i="8"/>
  <c r="BV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CA29" i="8"/>
  <c r="BV29" i="8"/>
  <c r="I29" i="8"/>
  <c r="CA28" i="8"/>
  <c r="BV28" i="8"/>
  <c r="CA27" i="8"/>
  <c r="BV27" i="8"/>
  <c r="I27" i="8"/>
  <c r="CA25" i="8"/>
  <c r="BV25" i="8"/>
  <c r="I25" i="8"/>
  <c r="CA24" i="8"/>
  <c r="BV24" i="8"/>
  <c r="I24" i="8"/>
  <c r="CA23" i="8"/>
  <c r="BV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CA16" i="8"/>
  <c r="BV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CA4" i="8"/>
  <c r="BV4" i="8"/>
  <c r="I4" i="8"/>
  <c r="CA3" i="8"/>
  <c r="BV3" i="8"/>
  <c r="I3" i="8"/>
  <c r="CA2" i="8"/>
  <c r="BV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<sst xmlns="http://schemas.openxmlformats.org/spreadsheetml/2006/main" count="1584" uniqueCount="472">
  <si>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</si>
  <si>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</si>
  <si>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</si>
  <si>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</si>
  <si>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</si>
  <si>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</si>
  <si>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</si>
  <si>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</si>
  <si>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</si>
  <si>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</si>
  <si>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</si>
  <si>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</si>
  <si>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</si>
  <si>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</si>
  <si>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</si>
  <si>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</si>
  <si>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</si>
  <si>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</si>
  <si>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</si>
  <si>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</si>
  <si>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</si>
  <si>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</si>
  <si>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</si>
  <si>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</si>
  <si>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</si>
  <si>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</si>
  <si>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</si>
  <si>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</si>
  <si>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</si>
  <si>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</si>
  <si>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</si>
  <si>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</si>
  <si>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</si>
  <si>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</si>
  <si>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</si>
  <si>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</si>
  <si>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</si>
  <si>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</si>
  <si>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</si>
  <si>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</si>
  <si>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</si>
  <si>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</si>
  <si>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</si>
  <si>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</si>
  <si>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</si>
  <si>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</si>
  <si>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</si>
  <si>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</si>
  <si>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</si>
  <si>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</si>
  <si>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</si>
  <si>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</si>
  <si>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</si>
  <si>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</si>
  <si>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</si>
  <si>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</si>
  <si>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</si>
  <si>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</si>
  <si>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</si>
  <si>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</si>
  <si>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</si>
  <si>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</si>
  <si>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</si>
  <si>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</si>
  <si>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</si>
  <si>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</si>
  <si>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</si>
  <si>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</si>
  <si>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</si>
  <si>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</si>
  <si>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</si>
  <si>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</si>
  <si>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</si>
  <si>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</si>
  <si>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</si>
  <si>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</si>
  <si>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</si>
  <si>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</si>
  <si>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</si>
  <si>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</si>
  <si>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</si>
  <si>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</si>
  <si>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</si>
  <si>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</si>
  <si>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</si>
  <si>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</si>
  <si>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</si>
  <si>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</si>
  <si>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</si>
  <si>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</si>
  <si>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</si>
  <si>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</si>
  <si>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</si>
  <si>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</si>
  <si>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</si>
  <si>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</si>
  <si>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</si>
  <si>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</si>
  <si>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</si>
  <si>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</si>
  <si>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</si>
  <si>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</si>
  <si>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</si>
  <si>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</si>
  <si>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</si>
  <si>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</si>
  <si>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</si>
  <si>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</si>
  <si>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</si>
  <si>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</si>
  <si>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</si>
  <si>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</si>
  <si>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</si>
  <si>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</si>
  <si>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</si>
  <si>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</si>
  <si>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</si>
  <si>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</si>
  <si>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</si>
  <si>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</si>
  <si>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</si>
  <si>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</si>
  <si>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</si>
  <si>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</si>
  <si>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</si>
  <si>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</si>
  <si>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</si>
  <si>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</si>
  <si>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</si>
  <si>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</si>
  <si>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</si>
  <si>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</si>
  <si>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</si>
  <si>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</si>
  <si>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</si>
  <si>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</si>
  <si>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</si>
  <si>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</si>
  <si>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</si>
  <si>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</si>
  <si>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</si>
  <si>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</si>
  <si>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</si>
  <si>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</si>
  <si>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</si>
  <si>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</si>
  <si>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</si>
  <si>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</si>
  <si>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</si>
  <si>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</si>
  <si>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</si>
  <si>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</si>
  <si>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</si>
  <si>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</si>
  <si>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</si>
  <si>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</si>
  <si>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</si>
  <si>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</si>
  <si>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</si>
  <si>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</si>
  <si>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</si>
  <si>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</si>
  <si>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</si>
  <si>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</si>
  <si>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</si>
  <si>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</si>
  <si>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</si>
  <si>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</si>
  <si>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</si>
  <si>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</si>
  <si>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</si>
  <si>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</si>
  <si>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</si>
  <si>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</si>
  <si>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</si>
  <si>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</si>
  <si>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</si>
  <si>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</si>
  <si>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</si>
  <si>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</si>
  <si>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</si>
  <si>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</si>
  <si>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</si>
  <si>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</si>
  <si>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</si>
  <si>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</si>
  <si>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</si>
  <si>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</si>
  <si>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</si>
  <si>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</si>
  <si>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</si>
  <si>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</si>
  <si>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</si>
  <si>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</si>
  <si>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</si>
  <si>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</si>
  <si>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</si>
  <si>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</si>
  <si>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</si>
  <si>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</si>
  <si>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</si>
  <si>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</si>
  <si>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</si>
  <si>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</si>
  <si>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</si>
  <si>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</si>
  <si>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</si>
  <si>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</si>
  <si>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</si>
  <si>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</si>
  <si>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</si>
  <si>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</si>
  <si>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</si>
  <si>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</si>
  <si>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</si>
  <si>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</si>
  <si>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</si>
  <si>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</si>
  <si>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</si>
  <si>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</si>
  <si>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</si>
  <si>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</si>
  <si>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</si>
  <si>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</si>
  <si>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</si>
  <si>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</si>
  <si>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</si>
  <si>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</si>
  <si>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</si>
  <si>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</si>
  <si>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</si>
  <si>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</si>
  <si>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</si>
  <si>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</si>
  <si>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</si>
  <si>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</si>
  <si>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</si>
  <si>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</si>
  <si>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</si>
  <si>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</si>
  <si>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</si>
  <si>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</si>
  <si>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</si>
  <si>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</si>
  <si>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</si>
  <si>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</si>
  <si>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</si>
  <si>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</si>
  <si>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</si>
  <si>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</si>
  <si>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</si>
  <si>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</si>
  <si>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</si>
  <si>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</si>
  <si>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</si>
  <si>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</si>
  <si>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</si>
  <si>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</si>
  <si>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</si>
  <si>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</si>
  <si>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</si>
  <si>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</si>
  <si>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</si>
  <si>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</si>
  <si>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</si>
  <si>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</si>
  <si>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</si>
  <si>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</si>
  <si>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</si>
  <si>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</si>
  <si>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</si>
  <si>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</si>
  <si>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</si>
  <si>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</si>
  <si>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</si>
  <si>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</si>
  <si>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</si>
  <si>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</si>
  <si>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</si>
  <si>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</si>
  <si>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</si>
  <si>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</si>
  <si>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</si>
  <si>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</si>
  <si>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</si>
  <si>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</si>
  <si>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</si>
  <si>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</si>
  <si>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</si>
  <si>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</si>
  <si>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</si>
  <si>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</si>
  <si>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</si>
  <si>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</si>
  <si>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</si>
  <si>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</si>
  <si>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</si>
  <si>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</si>
  <si>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</si>
  <si>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</si>
  <si>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</si>
  <si>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</si>
  <si>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</si>
  <si>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</si>
  <si>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</si>
  <si>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</si>
  <si>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</si>
  <si>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</si>
  <si>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</si>
  <si>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</si>
  <si>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</si>
  <si>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</si>
  <si>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</si>
  <si>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</si>
  <si>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</si>
  <si>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</si>
  <si>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</si>
  <si>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</si>
  <si>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</si>
  <si>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</si>
  <si>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</si>
  <si>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</si>
  <si>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</si>
  <si>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</si>
  <si>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</si>
  <si>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</si>
  <si>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</si>
  <si>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</si>
  <si>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</si>
  <si>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</si>
  <si>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</si>
  <si>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</si>
  <si>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</si>
  <si>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</si>
  <si>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</si>
  <si>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</si>
  <si>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</si>
  <si>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</si>
  <si>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</si>
  <si>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</si>
  <si>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</si>
  <si>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</si>
  <si>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</si>
  <si>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</si>
  <si>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</si>
  <si>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</si>
  <si>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</si>
  <si>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</si>
  <si>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</si>
  <si>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</si>
  <si>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</si>
  <si>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</si>
  <si>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</si>
  <si>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</si>
  <si>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</si>
  <si>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</si>
  <si>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</si>
  <si>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</si>
  <si>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</si>
  <si>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</si>
  <si>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</si>
  <si>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</si>
  <si>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</si>
  <si>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</si>
  <si>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</si>
  <si>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</si>
  <si>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</si>
  <si>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</si>
  <si>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</si>
  <si>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</si>
  <si>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</si>
  <si>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</si>
  <si>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</si>
  <si>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</si>
  <si>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</si>
  <si>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</si>
  <si>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</si>
  <si>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</si>
  <si>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</si>
  <si>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</si>
  <si>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</si>
  <si>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</si>
  <si>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</si>
  <si>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</si>
  <si>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</si>
  <si>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</si>
  <si>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</si>
  <si>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</si>
  <si>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</si>
  <si>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</si>
  <si>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</si>
  <si>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</si>
  <si>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</si>
  <si>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</si>
  <si>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</si>
  <si>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</si>
  <si>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</si>
  <si>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</si>
  <si>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</si>
  <si>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</si>
  <si>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</si>
  <si>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</si>
  <si>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</si>
  <si>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</si>
  <si>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</si>
  <si>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</si>
  <si>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</si>
  <si>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ไดฟูกุช็อกโกแลตดูไบ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</si>
  <si>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</si>
  <si>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</si>
  <si>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</si>
  <si>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</si>
  <si>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</si>
  <si>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</si>
  <si>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</si>
  <si>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</si>
  <si>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</si>
  <si>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</si>
  <si>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</si>
  <si>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</si>
  <si>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</si>
  <si>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</si>
  <si>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</si>
  <si>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</si>
  <si>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</si>
  <si>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</si>
  <si>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</si>
  <si>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</si>
  <si>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</si>
  <si>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</si>
  <si>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</si>
  <si>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</si>
  <si>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</si>
  <si>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</si>
  <si>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</si>
  <si>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</si>
  <si>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</si>
  <si>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</si>
  <si>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</si>
  <si>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</si>
  <si>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</si>
  <si>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</si>
  <si>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</si>
  <si>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</si>
  <si>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</si>
  <si>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</si>
  <si>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</si>
  <si>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</si>
  <si>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ขนมปังบันสังขยาใบเตย 100 กรัม </t>
    </r>
    <r>
      <rPr>
        <b/>
        <sz val="18"/>
        <color rgb="FF00B0F0"/>
        <rFont val="Angsana New"/>
        <family val="1"/>
      </rPr>
      <t>(เข้าขาย 22/5)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</si>
  <si>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</si>
  <si>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</si>
  <si>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ขนมปังไก่หยองพริกเผาสาหร่าย85g. </t>
    </r>
    <r>
      <rPr>
        <b/>
        <sz val="18"/>
        <color rgb="FFFF0000"/>
        <rFont val="Angsana New"/>
        <family val="1"/>
      </rPr>
      <t>(ยกเลิก30/5)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</si>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</sst>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F0"/>
      <name val="Angsana New"/>
      <family val="1"/>
    </font>
    <font>
      <b/>
      <sz val="18"/>
      <color rgb="FFFF000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3" fontId="21" fillId="23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3" fontId="21" fillId="20" borderId="3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25" fillId="21" borderId="8" xfId="0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3" fontId="21" fillId="23" borderId="8" xfId="0" applyNumberFormat="1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3" fontId="21" fillId="22" borderId="8" xfId="0" applyNumberFormat="1" applyFont="1" applyFill="1" applyBorder="1" applyAlignment="1">
      <alignment horizontal="center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43" borderId="8" xfId="0" applyFont="1" applyFill="1" applyBorder="1" applyAlignment="1">
      <alignment horizontal="center"/>
    </xf>
    <xf numFmtId="0" fontId="11" fillId="0" borderId="8" xfId="0" applyFont="1" applyBorder="1"/>
    <xf numFmtId="0" fontId="25" fillId="20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0" borderId="6" xfId="0" applyNumberFormat="1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3" fontId="25" fillId="20" borderId="3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5" fillId="22" borderId="3" xfId="0" applyNumberFormat="1" applyFont="1" applyFill="1" applyBorder="1" applyAlignment="1">
      <alignment horizontal="center"/>
    </xf>
    <xf numFmtId="3" fontId="25" fillId="20" borderId="8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43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13" borderId="28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/>
    </xf>
    <xf numFmtId="0" fontId="16" fillId="0" borderId="28" xfId="0" applyFont="1" applyBorder="1" applyAlignment="1">
      <alignment horizontal="center"/>
    </xf>
    <xf numFmtId="0" fontId="16" fillId="16" borderId="28" xfId="0" applyFont="1" applyFill="1" applyBorder="1" applyAlignment="1">
      <alignment horizontal="center"/>
    </xf>
    <xf numFmtId="0" fontId="16" fillId="12" borderId="28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21" borderId="28" xfId="0" applyFont="1" applyFill="1" applyBorder="1" applyAlignment="1">
      <alignment horizontal="center"/>
    </xf>
    <xf numFmtId="0" fontId="12" fillId="22" borderId="28" xfId="0" applyFont="1" applyFill="1" applyBorder="1" applyAlignment="1">
      <alignment horizontal="center"/>
    </xf>
    <xf numFmtId="0" fontId="16" fillId="23" borderId="28" xfId="0" applyFont="1" applyFill="1" applyBorder="1" applyAlignment="1">
      <alignment horizontal="center"/>
    </xf>
    <xf numFmtId="0" fontId="16" fillId="24" borderId="28" xfId="0" applyFont="1" applyFill="1" applyBorder="1" applyAlignment="1">
      <alignment horizont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11" fillId="45" borderId="21" xfId="0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1" fillId="44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3" fontId="12" fillId="21" borderId="18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29" xfId="0" applyFont="1" applyBorder="1" applyAlignment="1">
      <alignment horizontal="center" textRotation="90"/>
    </xf>
    <xf numFmtId="0" fontId="12" fillId="3" borderId="29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3" fontId="21" fillId="23" borderId="1" xfId="0" applyNumberFormat="1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1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2" fillId="3" borderId="2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7" xfId="0" applyFont="1" applyBorder="1"/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21" fillId="0" borderId="3" xfId="0" applyFont="1" applyBorder="1"/>
    <xf numFmtId="0" fontId="21" fillId="0" borderId="2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0" fillId="0" borderId="16" xfId="0" applyBorder="1"/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90" t="s">
        <v>0</v>
      </c>
      <c r="B1" s="591" t="s">
        <v>1</v>
      </c>
      <c r="C1" s="591" t="s">
        <v>2</v>
      </c>
      <c r="D1" s="591" t="s">
        <v>3</v>
      </c>
      <c r="E1" s="591" t="s">
        <v>4</v>
      </c>
      <c r="F1" s="592" t="s">
        <v>5</v>
      </c>
      <c r="G1" s="593" t="s">
        <v>6</v>
      </c>
      <c r="H1" s="41" t="s">
        <v>7</v>
      </c>
      <c r="I1" s="594" t="s">
        <v>8</v>
      </c>
      <c r="J1" s="595"/>
      <c r="K1" s="577"/>
      <c r="L1" s="596"/>
      <c r="M1" s="595"/>
      <c r="N1" s="597" t="s">
        <v>401</v>
      </c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6"/>
      <c r="AA1" s="596"/>
      <c r="AB1" s="596"/>
      <c r="AC1" s="596"/>
      <c r="AD1" s="596"/>
      <c r="AE1" s="596"/>
      <c r="AF1" s="596"/>
      <c r="AG1" s="596"/>
      <c r="AH1" s="595"/>
      <c r="AI1" s="597" t="s">
        <v>402</v>
      </c>
      <c r="AJ1" s="596"/>
      <c r="AK1" s="596"/>
      <c r="AL1" s="596"/>
      <c r="AM1" s="596"/>
      <c r="AN1" s="596"/>
      <c r="AO1" s="596"/>
      <c r="AP1" s="596"/>
      <c r="AQ1" s="596"/>
      <c r="AR1" s="596"/>
      <c r="AS1" s="596"/>
      <c r="AT1" s="596"/>
      <c r="AU1" s="596"/>
      <c r="AV1" s="596"/>
      <c r="AW1" s="596"/>
      <c r="AX1" s="596"/>
      <c r="AY1" s="596"/>
      <c r="AZ1" s="596"/>
      <c r="BA1" s="596"/>
      <c r="BB1" s="596"/>
      <c r="BC1" s="595"/>
      <c r="BD1" s="597" t="s">
        <v>403</v>
      </c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6"/>
      <c r="BP1" s="596"/>
      <c r="BQ1" s="596"/>
      <c r="BR1" s="596"/>
      <c r="BS1" s="596"/>
      <c r="BT1" s="596"/>
      <c r="BU1" s="596"/>
      <c r="BV1" s="596"/>
      <c r="BW1" s="596"/>
      <c r="BX1" s="595"/>
      <c r="BY1" s="597" t="s">
        <v>404</v>
      </c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6"/>
      <c r="CL1" s="596"/>
      <c r="CM1" s="596"/>
      <c r="CN1" s="596"/>
      <c r="CO1" s="596"/>
      <c r="CP1" s="596"/>
      <c r="CQ1" s="596"/>
      <c r="CR1" s="596"/>
      <c r="CS1" s="595"/>
      <c r="CT1" s="597" t="s">
        <v>405</v>
      </c>
      <c r="CU1" s="596"/>
      <c r="CV1" s="596"/>
      <c r="CW1" s="596"/>
      <c r="CX1" s="596"/>
      <c r="CY1" s="596"/>
      <c r="CZ1" s="596"/>
      <c r="DA1" s="596"/>
      <c r="DB1" s="596"/>
      <c r="DC1" s="596"/>
      <c r="DD1" s="596"/>
      <c r="DE1" s="596"/>
      <c r="DF1" s="596"/>
      <c r="DG1" s="596"/>
      <c r="DH1" s="596"/>
      <c r="DI1" s="596"/>
      <c r="DJ1" s="596"/>
      <c r="DK1" s="596"/>
      <c r="DL1" s="596"/>
      <c r="DM1" s="596"/>
      <c r="DN1" s="595"/>
    </row>
    <row r="2" spans="1:118" ht="26.25">
      <c r="A2" s="579"/>
      <c r="B2" s="579"/>
      <c r="C2" s="579"/>
      <c r="D2" s="579"/>
      <c r="E2" s="579"/>
      <c r="F2" s="579"/>
      <c r="G2" s="579"/>
      <c r="H2" s="125"/>
      <c r="I2" s="598" t="s">
        <v>11</v>
      </c>
      <c r="J2" s="598" t="s">
        <v>12</v>
      </c>
      <c r="K2" s="577" t="s">
        <v>13</v>
      </c>
      <c r="L2" s="596"/>
      <c r="M2" s="595"/>
      <c r="N2" s="574" t="s">
        <v>14</v>
      </c>
      <c r="O2" s="596"/>
      <c r="P2" s="595"/>
      <c r="Q2" s="574" t="s">
        <v>15</v>
      </c>
      <c r="R2" s="596"/>
      <c r="S2" s="595"/>
      <c r="T2" s="574" t="s">
        <v>16</v>
      </c>
      <c r="U2" s="596"/>
      <c r="V2" s="595"/>
      <c r="W2" s="574" t="s">
        <v>17</v>
      </c>
      <c r="X2" s="596"/>
      <c r="Y2" s="595"/>
      <c r="Z2" s="574" t="s">
        <v>18</v>
      </c>
      <c r="AA2" s="596"/>
      <c r="AB2" s="595"/>
      <c r="AC2" s="574" t="s">
        <v>19</v>
      </c>
      <c r="AD2" s="596"/>
      <c r="AE2" s="595"/>
      <c r="AF2" s="574" t="s">
        <v>20</v>
      </c>
      <c r="AG2" s="596"/>
      <c r="AH2" s="595"/>
      <c r="AI2" s="574" t="s">
        <v>14</v>
      </c>
      <c r="AJ2" s="596"/>
      <c r="AK2" s="595"/>
      <c r="AL2" s="574" t="s">
        <v>15</v>
      </c>
      <c r="AM2" s="596"/>
      <c r="AN2" s="595"/>
      <c r="AO2" s="574" t="s">
        <v>16</v>
      </c>
      <c r="AP2" s="596"/>
      <c r="AQ2" s="595"/>
      <c r="AR2" s="574" t="s">
        <v>17</v>
      </c>
      <c r="AS2" s="596"/>
      <c r="AT2" s="595"/>
      <c r="AU2" s="574" t="s">
        <v>18</v>
      </c>
      <c r="AV2" s="596"/>
      <c r="AW2" s="595"/>
      <c r="AX2" s="574" t="s">
        <v>19</v>
      </c>
      <c r="AY2" s="596"/>
      <c r="AZ2" s="595"/>
      <c r="BA2" s="574" t="s">
        <v>20</v>
      </c>
      <c r="BB2" s="596"/>
      <c r="BC2" s="595"/>
      <c r="BD2" s="574" t="s">
        <v>14</v>
      </c>
      <c r="BE2" s="596"/>
      <c r="BF2" s="595"/>
      <c r="BG2" s="574" t="s">
        <v>15</v>
      </c>
      <c r="BH2" s="596"/>
      <c r="BI2" s="595"/>
      <c r="BJ2" s="574" t="s">
        <v>16</v>
      </c>
      <c r="BK2" s="596"/>
      <c r="BL2" s="595"/>
      <c r="BM2" s="574" t="s">
        <v>17</v>
      </c>
      <c r="BN2" s="596"/>
      <c r="BO2" s="595"/>
      <c r="BP2" s="574" t="s">
        <v>18</v>
      </c>
      <c r="BQ2" s="596"/>
      <c r="BR2" s="595"/>
      <c r="BS2" s="574" t="s">
        <v>19</v>
      </c>
      <c r="BT2" s="596"/>
      <c r="BU2" s="595"/>
      <c r="BV2" s="574" t="s">
        <v>20</v>
      </c>
      <c r="BW2" s="596"/>
      <c r="BX2" s="595"/>
      <c r="BY2" s="574" t="s">
        <v>14</v>
      </c>
      <c r="BZ2" s="596"/>
      <c r="CA2" s="595"/>
      <c r="CB2" s="574" t="s">
        <v>15</v>
      </c>
      <c r="CC2" s="596"/>
      <c r="CD2" s="595"/>
      <c r="CE2" s="574" t="s">
        <v>16</v>
      </c>
      <c r="CF2" s="596"/>
      <c r="CG2" s="595"/>
      <c r="CH2" s="574" t="s">
        <v>17</v>
      </c>
      <c r="CI2" s="596"/>
      <c r="CJ2" s="595"/>
      <c r="CK2" s="574" t="s">
        <v>18</v>
      </c>
      <c r="CL2" s="596"/>
      <c r="CM2" s="595"/>
      <c r="CN2" s="574" t="s">
        <v>19</v>
      </c>
      <c r="CO2" s="596"/>
      <c r="CP2" s="595"/>
      <c r="CQ2" s="574" t="s">
        <v>20</v>
      </c>
      <c r="CR2" s="596"/>
      <c r="CS2" s="595"/>
      <c r="CT2" s="574" t="s">
        <v>14</v>
      </c>
      <c r="CU2" s="596"/>
      <c r="CV2" s="595"/>
      <c r="CW2" s="574" t="s">
        <v>15</v>
      </c>
      <c r="CX2" s="596"/>
      <c r="CY2" s="595"/>
      <c r="CZ2" s="574" t="s">
        <v>16</v>
      </c>
      <c r="DA2" s="596"/>
      <c r="DB2" s="595"/>
      <c r="DC2" s="574" t="s">
        <v>17</v>
      </c>
      <c r="DD2" s="596"/>
      <c r="DE2" s="595"/>
      <c r="DF2" s="574" t="s">
        <v>18</v>
      </c>
      <c r="DG2" s="596"/>
      <c r="DH2" s="595"/>
      <c r="DI2" s="574" t="s">
        <v>19</v>
      </c>
      <c r="DJ2" s="596"/>
      <c r="DK2" s="595"/>
      <c r="DL2" s="574" t="s">
        <v>20</v>
      </c>
      <c r="DM2" s="596"/>
      <c r="DN2" s="595"/>
    </row>
    <row r="3" spans="1:118" ht="26.25">
      <c r="A3" s="579"/>
      <c r="B3" s="579"/>
      <c r="C3" s="579"/>
      <c r="D3" s="579"/>
      <c r="E3" s="579"/>
      <c r="F3" s="579"/>
      <c r="G3" s="579"/>
      <c r="H3" s="125"/>
      <c r="I3" s="599"/>
      <c r="J3" s="599"/>
      <c r="K3" s="577" t="s">
        <v>21</v>
      </c>
      <c r="L3" s="596"/>
      <c r="M3" s="595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74">
        <v>30</v>
      </c>
      <c r="DG3" s="596"/>
      <c r="DH3" s="595"/>
      <c r="DI3" s="574">
        <v>31</v>
      </c>
      <c r="DJ3" s="596"/>
      <c r="DK3" s="595"/>
      <c r="DL3" s="574">
        <v>1</v>
      </c>
      <c r="DM3" s="596"/>
      <c r="DN3" s="595"/>
    </row>
    <row r="4" spans="1:118" ht="60.75" customHeight="1">
      <c r="A4" s="580"/>
      <c r="B4" s="580"/>
      <c r="C4" s="580"/>
      <c r="D4" s="580"/>
      <c r="E4" s="580"/>
      <c r="F4" s="580"/>
      <c r="G4" s="580"/>
      <c r="H4" s="126"/>
      <c r="I4" s="600"/>
      <c r="J4" s="600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6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6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6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6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6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6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76"/>
  <sheetViews>
    <sheetView tabSelected="1" zoomScale="90" zoomScaleNormal="90" workbookViewId="0">
      <selection activeCell="AZ85" sqref="AZ85"/>
    </sheetView>
  </sheetViews>
  <sheetFormatPr defaultColWidth="12.7109375" defaultRowHeight="15.75" customHeight="1"/>
  <cols>
    <col min="1" max="1" width="12.7109375" style="348"/>
    <col min="2" max="2" width="4" style="348" customWidth="1"/>
    <col min="3" max="3" width="14.28515625" style="348" bestFit="1" customWidth="1"/>
    <col min="4" max="4" width="61.140625" style="348" customWidth="1"/>
    <col min="5" max="5" width="16.42578125" style="348" customWidth="1"/>
    <col min="6" max="6" width="6.140625" style="348" customWidth="1"/>
    <col min="7" max="7" width="5.85546875" style="348" customWidth="1"/>
    <col min="8" max="10" width="9.42578125" style="348" customWidth="1"/>
    <col min="11" max="11" width="11.7109375" style="348" customWidth="1"/>
    <col min="12" max="12" width="14.140625" style="348" bestFit="1" customWidth="1"/>
    <col min="13" max="21" width="0" style="42" hidden="1" customWidth="1"/>
    <col min="22" max="22" width="12.7109375" style="348"/>
    <col min="23" max="31" width="0" style="42" hidden="1" customWidth="1"/>
    <col min="32" max="32" width="12.7109375" style="348"/>
    <col min="33" max="41" width="0" style="42" hidden="1" customWidth="1"/>
    <col min="42" max="42" width="12.7109375" style="348"/>
    <col min="43" max="51" width="0" style="42" hidden="1" customWidth="1"/>
    <col min="52" max="52" width="12.7109375" style="348"/>
    <col min="53" max="61" width="0" style="42" hidden="1" customWidth="1"/>
    <col min="62" max="62" width="12.7109375" style="348"/>
    <col min="63" max="71" width="0" style="42" hidden="1" customWidth="1"/>
    <col min="72" max="72" width="12.7109375" style="348"/>
    <col min="73" max="80" width="0" style="42" hidden="1" customWidth="1"/>
    <col min="81" max="16384" width="12.7109375" style="348"/>
  </cols>
  <sheetData>
    <row r="1" spans="1:80" ht="40.5">
      <c r="A1" s="578" t="s">
        <v>0</v>
      </c>
      <c r="B1" s="581" t="s">
        <v>4</v>
      </c>
      <c r="C1" s="582" t="s">
        <v>5</v>
      </c>
      <c r="D1" s="583" t="s">
        <v>6</v>
      </c>
      <c r="E1" s="445" t="s">
        <v>7</v>
      </c>
      <c r="F1" s="583" t="s">
        <v>8</v>
      </c>
      <c r="G1" s="584"/>
      <c r="H1" s="582"/>
      <c r="I1" s="584"/>
      <c r="J1" s="584"/>
      <c r="K1" s="585" t="s">
        <v>423</v>
      </c>
      <c r="L1" s="586"/>
      <c r="M1" s="575"/>
      <c r="N1" s="575"/>
      <c r="O1" s="575"/>
      <c r="P1" s="575"/>
      <c r="Q1" s="575"/>
      <c r="R1" s="575"/>
      <c r="S1" s="575"/>
      <c r="T1" s="575"/>
      <c r="U1" s="575"/>
      <c r="V1" s="586"/>
      <c r="W1" s="575"/>
      <c r="X1" s="575"/>
      <c r="Y1" s="575"/>
      <c r="Z1" s="575"/>
      <c r="AA1" s="575"/>
      <c r="AB1" s="575"/>
      <c r="AC1" s="575"/>
      <c r="AD1" s="575"/>
      <c r="AE1" s="575"/>
      <c r="AF1" s="586"/>
      <c r="AG1" s="575"/>
      <c r="AH1" s="575"/>
      <c r="AI1" s="575"/>
      <c r="AJ1" s="575"/>
      <c r="AK1" s="575"/>
      <c r="AL1" s="575"/>
      <c r="AM1" s="575"/>
      <c r="AN1" s="575"/>
      <c r="AO1" s="575"/>
      <c r="AP1" s="586"/>
      <c r="AQ1" s="575"/>
      <c r="AR1" s="575"/>
      <c r="AS1" s="575"/>
      <c r="AT1" s="575"/>
      <c r="AU1" s="575"/>
      <c r="AV1" s="575"/>
      <c r="AW1" s="575"/>
      <c r="AX1" s="575"/>
      <c r="AY1" s="575"/>
      <c r="AZ1" s="586"/>
      <c r="BA1" s="575"/>
      <c r="BB1" s="575"/>
      <c r="BC1" s="575"/>
      <c r="BD1" s="575"/>
      <c r="BE1" s="575"/>
      <c r="BF1" s="575"/>
      <c r="BG1" s="575"/>
      <c r="BH1" s="575"/>
      <c r="BI1" s="575"/>
      <c r="BJ1" s="586"/>
      <c r="BK1" s="575"/>
      <c r="BL1" s="575"/>
      <c r="BM1" s="575"/>
      <c r="BN1" s="575"/>
      <c r="BO1" s="575"/>
      <c r="BP1" s="575"/>
      <c r="BQ1" s="575"/>
      <c r="BR1" s="575"/>
      <c r="BS1" s="575"/>
      <c r="BT1" s="586"/>
      <c r="BU1" s="575"/>
      <c r="BV1" s="575"/>
      <c r="BW1" s="575"/>
      <c r="BX1" s="575"/>
      <c r="BY1" s="575"/>
      <c r="BZ1" s="575"/>
      <c r="CA1" s="575"/>
      <c r="CB1" s="576"/>
    </row>
    <row r="2" spans="1:80" s="42" customFormat="1" ht="26.25" hidden="1">
      <c r="A2" s="579"/>
      <c r="B2" s="579"/>
      <c r="C2" s="579"/>
      <c r="D2" s="579"/>
      <c r="E2" s="125"/>
      <c r="F2" s="587" t="s">
        <v>11</v>
      </c>
      <c r="G2" s="587" t="s">
        <v>12</v>
      </c>
      <c r="H2" s="588" t="s">
        <v>13</v>
      </c>
      <c r="I2" s="572"/>
      <c r="J2" s="573"/>
      <c r="K2" s="589" t="s">
        <v>14</v>
      </c>
      <c r="L2" s="572"/>
      <c r="M2" s="575"/>
      <c r="N2" s="576"/>
      <c r="O2" s="568" t="s">
        <v>368</v>
      </c>
      <c r="P2" s="569"/>
      <c r="Q2" s="569"/>
      <c r="R2" s="569"/>
      <c r="S2" s="569"/>
      <c r="T2" s="570"/>
      <c r="U2" s="574" t="s">
        <v>15</v>
      </c>
      <c r="V2" s="572"/>
      <c r="W2" s="575"/>
      <c r="X2" s="576"/>
      <c r="Y2" s="568" t="s">
        <v>368</v>
      </c>
      <c r="Z2" s="569"/>
      <c r="AA2" s="569"/>
      <c r="AB2" s="569"/>
      <c r="AC2" s="569"/>
      <c r="AD2" s="570"/>
      <c r="AE2" s="574" t="s">
        <v>16</v>
      </c>
      <c r="AF2" s="572"/>
      <c r="AG2" s="575"/>
      <c r="AH2" s="576"/>
      <c r="AI2" s="568" t="s">
        <v>368</v>
      </c>
      <c r="AJ2" s="569"/>
      <c r="AK2" s="569"/>
      <c r="AL2" s="569"/>
      <c r="AM2" s="569"/>
      <c r="AN2" s="570"/>
      <c r="AO2" s="574" t="s">
        <v>17</v>
      </c>
      <c r="AP2" s="572"/>
      <c r="AQ2" s="575"/>
      <c r="AR2" s="576"/>
      <c r="AS2" s="568" t="s">
        <v>368</v>
      </c>
      <c r="AT2" s="569"/>
      <c r="AU2" s="569"/>
      <c r="AV2" s="569"/>
      <c r="AW2" s="569"/>
      <c r="AX2" s="570"/>
      <c r="AY2" s="574" t="s">
        <v>18</v>
      </c>
      <c r="AZ2" s="572"/>
      <c r="BA2" s="575"/>
      <c r="BB2" s="576"/>
      <c r="BC2" s="568" t="s">
        <v>368</v>
      </c>
      <c r="BD2" s="569"/>
      <c r="BE2" s="569"/>
      <c r="BF2" s="569"/>
      <c r="BG2" s="569"/>
      <c r="BH2" s="570"/>
      <c r="BI2" s="574" t="s">
        <v>19</v>
      </c>
      <c r="BJ2" s="572"/>
      <c r="BK2" s="575"/>
      <c r="BL2" s="576"/>
      <c r="BM2" s="568" t="s">
        <v>368</v>
      </c>
      <c r="BN2" s="569"/>
      <c r="BO2" s="569"/>
      <c r="BP2" s="569"/>
      <c r="BQ2" s="569"/>
      <c r="BR2" s="570"/>
      <c r="BS2" s="574" t="s">
        <v>20</v>
      </c>
      <c r="BT2" s="572"/>
      <c r="BU2" s="575"/>
      <c r="BV2" s="576"/>
      <c r="BW2" s="568" t="s">
        <v>368</v>
      </c>
      <c r="BX2" s="569"/>
      <c r="BY2" s="569"/>
      <c r="BZ2" s="569"/>
      <c r="CA2" s="569"/>
      <c r="CB2" s="570"/>
    </row>
    <row r="3" spans="1:80" s="42" customFormat="1" ht="26.25" hidden="1">
      <c r="A3" s="579"/>
      <c r="B3" s="579"/>
      <c r="C3" s="579"/>
      <c r="D3" s="579"/>
      <c r="E3" s="125"/>
      <c r="F3" s="579"/>
      <c r="G3" s="579"/>
      <c r="H3" s="577" t="s">
        <v>21</v>
      </c>
      <c r="I3" s="575"/>
      <c r="J3" s="576"/>
      <c r="K3" s="574"/>
      <c r="L3" s="575"/>
      <c r="M3" s="575"/>
      <c r="N3" s="576"/>
      <c r="O3" s="571"/>
      <c r="P3" s="572"/>
      <c r="Q3" s="572"/>
      <c r="R3" s="572"/>
      <c r="S3" s="572"/>
      <c r="T3" s="573"/>
      <c r="U3" s="574"/>
      <c r="V3" s="575"/>
      <c r="W3" s="575"/>
      <c r="X3" s="576"/>
      <c r="Y3" s="571"/>
      <c r="Z3" s="572"/>
      <c r="AA3" s="572"/>
      <c r="AB3" s="572"/>
      <c r="AC3" s="572"/>
      <c r="AD3" s="573"/>
      <c r="AE3" s="574"/>
      <c r="AF3" s="575"/>
      <c r="AG3" s="575"/>
      <c r="AH3" s="576"/>
      <c r="AI3" s="571"/>
      <c r="AJ3" s="572"/>
      <c r="AK3" s="572"/>
      <c r="AL3" s="572"/>
      <c r="AM3" s="572"/>
      <c r="AN3" s="573"/>
      <c r="AO3" s="574"/>
      <c r="AP3" s="575"/>
      <c r="AQ3" s="575"/>
      <c r="AR3" s="576"/>
      <c r="AS3" s="571"/>
      <c r="AT3" s="572"/>
      <c r="AU3" s="572"/>
      <c r="AV3" s="572"/>
      <c r="AW3" s="572"/>
      <c r="AX3" s="573"/>
      <c r="AY3" s="574"/>
      <c r="AZ3" s="575"/>
      <c r="BA3" s="575"/>
      <c r="BB3" s="576"/>
      <c r="BC3" s="571"/>
      <c r="BD3" s="572"/>
      <c r="BE3" s="572"/>
      <c r="BF3" s="572"/>
      <c r="BG3" s="572"/>
      <c r="BH3" s="573"/>
      <c r="BI3" s="574"/>
      <c r="BJ3" s="575"/>
      <c r="BK3" s="575"/>
      <c r="BL3" s="576"/>
      <c r="BM3" s="571"/>
      <c r="BN3" s="572"/>
      <c r="BO3" s="572"/>
      <c r="BP3" s="572"/>
      <c r="BQ3" s="572"/>
      <c r="BR3" s="573"/>
      <c r="BS3" s="574"/>
      <c r="BT3" s="575"/>
      <c r="BU3" s="575"/>
      <c r="BV3" s="576"/>
      <c r="BW3" s="571"/>
      <c r="BX3" s="572"/>
      <c r="BY3" s="572"/>
      <c r="BZ3" s="572"/>
      <c r="CA3" s="572"/>
      <c r="CB3" s="573"/>
    </row>
    <row r="4" spans="1:80" s="42" customFormat="1" ht="56.25" hidden="1" customHeight="1">
      <c r="A4" s="580"/>
      <c r="B4" s="580"/>
      <c r="C4" s="580"/>
      <c r="D4" s="580"/>
      <c r="E4" s="126"/>
      <c r="F4" s="580"/>
      <c r="G4" s="580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410</v>
      </c>
      <c r="E5" s="54" t="s">
        <v>27</v>
      </c>
      <c r="F5" s="54"/>
      <c r="G5" s="44"/>
      <c r="H5" s="58">
        <v>0</v>
      </c>
      <c r="I5" s="45">
        <f t="shared" ref="I5:I38" si="0">SUM(L5,V5,AF5,AP5,AZ5,BJ5,BT5)</f>
        <v>20</v>
      </c>
      <c r="J5" s="58">
        <v>0</v>
      </c>
      <c r="K5" s="59"/>
      <c r="L5" s="207">
        <v>10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71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1250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500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900</v>
      </c>
      <c r="J8" s="58">
        <v>0</v>
      </c>
      <c r="K8" s="59"/>
      <c r="L8" s="207"/>
      <c r="M8" s="59"/>
      <c r="N8" s="96"/>
      <c r="O8" s="59"/>
      <c r="P8" s="59"/>
      <c r="Q8" s="59"/>
      <c r="R8" s="59"/>
      <c r="S8" s="44"/>
      <c r="T8" s="59"/>
      <c r="U8" s="59"/>
      <c r="V8" s="192">
        <v>150</v>
      </c>
      <c r="W8" s="59"/>
      <c r="X8" s="96"/>
      <c r="Y8" s="59"/>
      <c r="Z8" s="59"/>
      <c r="AA8" s="59"/>
      <c r="AB8" s="59"/>
      <c r="AC8" s="44"/>
      <c r="AD8" s="59"/>
      <c r="AE8" s="59"/>
      <c r="AF8" s="255"/>
      <c r="AG8" s="59"/>
      <c r="AH8" s="96"/>
      <c r="AI8" s="59"/>
      <c r="AJ8" s="59"/>
      <c r="AK8" s="59"/>
      <c r="AL8" s="59"/>
      <c r="AM8" s="44"/>
      <c r="AN8" s="59"/>
      <c r="AO8" s="59"/>
      <c r="AP8" s="195">
        <v>550</v>
      </c>
      <c r="AQ8" s="59"/>
      <c r="AR8" s="96"/>
      <c r="AS8" s="59"/>
      <c r="AT8" s="59"/>
      <c r="AU8" s="59"/>
      <c r="AV8" s="59"/>
      <c r="AW8" s="44"/>
      <c r="AX8" s="59"/>
      <c r="AY8" s="59"/>
      <c r="AZ8" s="266"/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8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30</v>
      </c>
      <c r="J9" s="58">
        <v>0</v>
      </c>
      <c r="K9" s="59"/>
      <c r="L9" s="207">
        <v>15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12</v>
      </c>
      <c r="J11" s="58">
        <v>0</v>
      </c>
      <c r="K11" s="59"/>
      <c r="L11" s="207">
        <v>7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55</v>
      </c>
      <c r="J12" s="58">
        <v>0</v>
      </c>
      <c r="K12" s="59"/>
      <c r="L12" s="207">
        <v>30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40</v>
      </c>
      <c r="J13" s="58">
        <v>0</v>
      </c>
      <c r="K13" s="59"/>
      <c r="L13" s="207">
        <v>20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35</v>
      </c>
      <c r="J14" s="58">
        <v>0</v>
      </c>
      <c r="K14" s="59"/>
      <c r="L14" s="207">
        <v>15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20</v>
      </c>
      <c r="J15" s="58">
        <v>0</v>
      </c>
      <c r="K15" s="59"/>
      <c r="L15" s="207">
        <v>10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18</v>
      </c>
      <c r="J16" s="58">
        <v>0</v>
      </c>
      <c r="K16" s="59"/>
      <c r="L16" s="207">
        <v>8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7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30</v>
      </c>
      <c r="J18" s="58">
        <v>0</v>
      </c>
      <c r="K18" s="59"/>
      <c r="L18" s="207">
        <v>15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8">
        <v>1113090</v>
      </c>
      <c r="D19" s="247" t="s">
        <v>406</v>
      </c>
      <c r="E19" s="64" t="s">
        <v>42</v>
      </c>
      <c r="F19" s="54"/>
      <c r="G19" s="44"/>
      <c r="H19" s="58">
        <v>0</v>
      </c>
      <c r="I19" s="45">
        <f t="shared" ref="I19" si="1">SUM(L19,V19,AF19,AP19,AZ19,BJ19,BT19)</f>
        <v>6180</v>
      </c>
      <c r="J19" s="58">
        <v>0</v>
      </c>
      <c r="K19" s="59"/>
      <c r="L19" s="197">
        <v>1200</v>
      </c>
      <c r="M19" s="59"/>
      <c r="N19" s="96"/>
      <c r="O19" s="59"/>
      <c r="P19" s="59"/>
      <c r="Q19" s="59"/>
      <c r="R19" s="59"/>
      <c r="S19" s="106"/>
      <c r="T19" s="59"/>
      <c r="U19" s="59"/>
      <c r="V19" s="226">
        <v>1040</v>
      </c>
      <c r="W19" s="59"/>
      <c r="X19" s="96"/>
      <c r="Y19" s="59"/>
      <c r="Z19" s="59"/>
      <c r="AA19" s="59"/>
      <c r="AB19" s="59"/>
      <c r="AC19" s="44"/>
      <c r="AD19" s="59"/>
      <c r="AE19" s="59"/>
      <c r="AF19" s="256">
        <v>920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3">
        <v>950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870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8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613">
        <v>1113087</v>
      </c>
      <c r="D20" s="614" t="s">
        <v>169</v>
      </c>
      <c r="E20" s="64" t="s">
        <v>170</v>
      </c>
      <c r="F20" s="54"/>
      <c r="G20" s="44"/>
      <c r="H20" s="58">
        <v>0</v>
      </c>
      <c r="I20" s="45">
        <f t="shared" ref="I20" si="2">SUM(L20,V20,AF20,AP20,AZ20,BJ20,BT20)</f>
        <v>5300</v>
      </c>
      <c r="J20" s="58">
        <v>0</v>
      </c>
      <c r="K20" s="59"/>
      <c r="L20" s="197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6">
        <v>1300</v>
      </c>
      <c r="W20" s="59"/>
      <c r="X20" s="96"/>
      <c r="Y20" s="59"/>
      <c r="Z20" s="59"/>
      <c r="AA20" s="59"/>
      <c r="AB20" s="59"/>
      <c r="AC20" s="44"/>
      <c r="AD20" s="59"/>
      <c r="AE20" s="59"/>
      <c r="AF20" s="256">
        <v>800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3">
        <v>700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600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8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49">
        <v>1</v>
      </c>
      <c r="B21" s="350"/>
      <c r="C21" s="351">
        <v>20039044</v>
      </c>
      <c r="D21" s="352" t="s">
        <v>427</v>
      </c>
      <c r="E21" s="351" t="s">
        <v>69</v>
      </c>
      <c r="F21" s="351"/>
      <c r="G21" s="353"/>
      <c r="H21" s="354">
        <v>0</v>
      </c>
      <c r="I21" s="355">
        <f t="shared" si="0"/>
        <v>11400</v>
      </c>
      <c r="J21" s="354">
        <v>0</v>
      </c>
      <c r="K21" s="356"/>
      <c r="L21" s="357">
        <v>1600</v>
      </c>
      <c r="M21" s="59"/>
      <c r="N21" s="96"/>
      <c r="O21" s="59"/>
      <c r="P21" s="59"/>
      <c r="Q21" s="59"/>
      <c r="R21" s="105"/>
      <c r="S21" s="106"/>
      <c r="T21" s="59"/>
      <c r="U21" s="59"/>
      <c r="V21" s="358">
        <v>1600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59">
        <v>1600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60">
        <v>1700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61">
        <v>1700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62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63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7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3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7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408</v>
      </c>
      <c r="E25" s="54" t="s">
        <v>27</v>
      </c>
      <c r="F25" s="54"/>
      <c r="G25" s="44"/>
      <c r="H25" s="58">
        <v>0</v>
      </c>
      <c r="I25" s="45">
        <f t="shared" si="0"/>
        <v>40</v>
      </c>
      <c r="J25" s="58">
        <v>0</v>
      </c>
      <c r="K25" s="59"/>
      <c r="L25" s="193">
        <v>20</v>
      </c>
      <c r="M25" s="59"/>
      <c r="N25" s="96"/>
      <c r="O25" s="59"/>
      <c r="P25" s="59"/>
      <c r="Q25" s="59"/>
      <c r="R25" s="59"/>
      <c r="S25" s="44"/>
      <c r="T25" s="59"/>
      <c r="U25" s="59"/>
      <c r="V25" s="192"/>
      <c r="W25" s="59"/>
      <c r="X25" s="96"/>
      <c r="Y25" s="59"/>
      <c r="Z25" s="59"/>
      <c r="AA25" s="59"/>
      <c r="AB25" s="59"/>
      <c r="AC25" s="44"/>
      <c r="AD25" s="59"/>
      <c r="AE25" s="59"/>
      <c r="AF25" s="194"/>
      <c r="AG25" s="59"/>
      <c r="AH25" s="96"/>
      <c r="AI25" s="59"/>
      <c r="AJ25" s="59"/>
      <c r="AK25" s="59"/>
      <c r="AL25" s="59"/>
      <c r="AM25" s="44"/>
      <c r="AN25" s="59"/>
      <c r="AO25" s="59"/>
      <c r="AP25" s="195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4">
        <v>1113089</v>
      </c>
      <c r="D26" s="275" t="s">
        <v>195</v>
      </c>
      <c r="E26" s="64" t="s">
        <v>42</v>
      </c>
      <c r="F26" s="54"/>
      <c r="G26" s="44"/>
      <c r="H26" s="58">
        <v>0</v>
      </c>
      <c r="I26" s="45">
        <f t="shared" ref="I26" si="3">SUM(L26,V26,AF26,AP26,AZ26,BJ26,BT26)</f>
        <v>5320</v>
      </c>
      <c r="J26" s="58">
        <v>0</v>
      </c>
      <c r="K26" s="59"/>
      <c r="L26" s="197">
        <v>1080</v>
      </c>
      <c r="M26" s="59"/>
      <c r="N26" s="96"/>
      <c r="O26" s="59"/>
      <c r="P26" s="59"/>
      <c r="Q26" s="59"/>
      <c r="R26" s="59"/>
      <c r="S26" s="106"/>
      <c r="T26" s="59"/>
      <c r="U26" s="59"/>
      <c r="V26" s="226">
        <v>950</v>
      </c>
      <c r="W26" s="59"/>
      <c r="X26" s="96"/>
      <c r="Y26" s="59"/>
      <c r="Z26" s="59"/>
      <c r="AA26" s="59"/>
      <c r="AB26" s="59"/>
      <c r="AC26" s="44"/>
      <c r="AD26" s="59"/>
      <c r="AE26" s="59"/>
      <c r="AF26" s="256">
        <v>590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3">
        <v>900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900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8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4">
        <v>1113093</v>
      </c>
      <c r="D27" s="285" t="s">
        <v>196</v>
      </c>
      <c r="E27" s="296" t="s">
        <v>27</v>
      </c>
      <c r="F27" s="278"/>
      <c r="G27" s="44"/>
      <c r="H27" s="58">
        <v>0</v>
      </c>
      <c r="I27" s="63">
        <f t="shared" si="0"/>
        <v>30</v>
      </c>
      <c r="J27" s="58">
        <v>0</v>
      </c>
      <c r="K27" s="59"/>
      <c r="L27" s="197">
        <v>15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49">
        <v>2</v>
      </c>
      <c r="B28" s="350"/>
      <c r="C28" s="351">
        <v>20039963</v>
      </c>
      <c r="D28" s="352" t="s">
        <v>452</v>
      </c>
      <c r="E28" s="351" t="s">
        <v>69</v>
      </c>
      <c r="F28" s="351"/>
      <c r="G28" s="353"/>
      <c r="H28" s="354">
        <v>0</v>
      </c>
      <c r="I28" s="355">
        <f t="shared" si="0"/>
        <v>13200</v>
      </c>
      <c r="J28" s="354">
        <v>0</v>
      </c>
      <c r="K28" s="356"/>
      <c r="L28" s="357">
        <v>1900</v>
      </c>
      <c r="M28" s="59"/>
      <c r="N28" s="96"/>
      <c r="O28" s="59"/>
      <c r="P28" s="59"/>
      <c r="Q28" s="59"/>
      <c r="R28" s="59"/>
      <c r="S28" s="106"/>
      <c r="T28" s="59"/>
      <c r="U28" s="59"/>
      <c r="V28" s="358">
        <v>1800</v>
      </c>
      <c r="W28" s="59"/>
      <c r="X28" s="96"/>
      <c r="Y28" s="59"/>
      <c r="Z28" s="59"/>
      <c r="AA28" s="59"/>
      <c r="AB28" s="59"/>
      <c r="AC28" s="106"/>
      <c r="AD28" s="59"/>
      <c r="AE28" s="59"/>
      <c r="AF28" s="359">
        <v>1800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60">
        <v>2100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61">
        <v>2000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62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63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8">
        <v>1113087</v>
      </c>
      <c r="D29" s="247" t="s">
        <v>411</v>
      </c>
      <c r="E29" s="296" t="s">
        <v>27</v>
      </c>
      <c r="F29" s="278"/>
      <c r="G29" s="44"/>
      <c r="H29" s="58"/>
      <c r="I29" s="63">
        <f t="shared" si="0"/>
        <v>20</v>
      </c>
      <c r="J29" s="58"/>
      <c r="K29" s="59"/>
      <c r="L29" s="104">
        <v>10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40</v>
      </c>
      <c r="J30" s="58">
        <v>0</v>
      </c>
      <c r="K30" s="59"/>
      <c r="L30" s="207">
        <v>20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ref="I31" si="4">SUM(L31,V31,AF31,AP31,AZ31,BJ31,BT31)</f>
        <v>760</v>
      </c>
      <c r="J31" s="58">
        <v>0</v>
      </c>
      <c r="K31" s="59"/>
      <c r="L31" s="207">
        <v>40</v>
      </c>
      <c r="M31" s="59"/>
      <c r="N31" s="96"/>
      <c r="O31" s="59"/>
      <c r="P31" s="59"/>
      <c r="Q31" s="59"/>
      <c r="R31" s="59"/>
      <c r="S31" s="44"/>
      <c r="T31" s="59"/>
      <c r="U31" s="59"/>
      <c r="V31" s="192">
        <v>200</v>
      </c>
      <c r="W31" s="59"/>
      <c r="X31" s="96"/>
      <c r="Y31" s="59"/>
      <c r="Z31" s="59"/>
      <c r="AA31" s="59"/>
      <c r="AB31" s="59"/>
      <c r="AC31" s="44"/>
      <c r="AD31" s="59"/>
      <c r="AE31" s="59"/>
      <c r="AF31" s="255">
        <v>20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5">
        <v>250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6">
        <v>50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8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71" t="s">
        <v>202</v>
      </c>
      <c r="E32" s="169" t="s">
        <v>203</v>
      </c>
      <c r="F32" s="169"/>
      <c r="G32" s="183"/>
      <c r="H32" s="184">
        <v>0</v>
      </c>
      <c r="I32" s="218">
        <f t="shared" si="0"/>
        <v>350</v>
      </c>
      <c r="J32" s="184">
        <v>0</v>
      </c>
      <c r="K32" s="185"/>
      <c r="L32" s="437"/>
      <c r="M32" s="222"/>
      <c r="N32" s="96"/>
      <c r="O32" s="59"/>
      <c r="P32" s="59"/>
      <c r="Q32" s="59"/>
      <c r="R32" s="59"/>
      <c r="S32" s="44"/>
      <c r="T32" s="59"/>
      <c r="U32" s="59"/>
      <c r="V32" s="432"/>
      <c r="W32" s="222"/>
      <c r="X32" s="96"/>
      <c r="Y32" s="59"/>
      <c r="Z32" s="59"/>
      <c r="AA32" s="59"/>
      <c r="AB32" s="59"/>
      <c r="AC32" s="44"/>
      <c r="AD32" s="59"/>
      <c r="AE32" s="59"/>
      <c r="AF32" s="433"/>
      <c r="AG32" s="222"/>
      <c r="AH32" s="96"/>
      <c r="AI32" s="59"/>
      <c r="AJ32" s="59"/>
      <c r="AK32" s="59"/>
      <c r="AL32" s="59"/>
      <c r="AM32" s="44"/>
      <c r="AN32" s="59"/>
      <c r="AO32" s="59"/>
      <c r="AP32" s="434"/>
      <c r="AQ32" s="222"/>
      <c r="AR32" s="96"/>
      <c r="AS32" s="59"/>
      <c r="AT32" s="59"/>
      <c r="AU32" s="59"/>
      <c r="AV32" s="59"/>
      <c r="AW32" s="44"/>
      <c r="AX32" s="59"/>
      <c r="AY32" s="59"/>
      <c r="AZ32" s="435">
        <v>350</v>
      </c>
      <c r="BA32" s="222"/>
      <c r="BB32" s="96"/>
      <c r="BC32" s="59"/>
      <c r="BD32" s="59"/>
      <c r="BE32" s="59"/>
      <c r="BF32" s="59"/>
      <c r="BG32" s="44"/>
      <c r="BH32" s="59"/>
      <c r="BI32" s="59"/>
      <c r="BJ32" s="436"/>
      <c r="BK32" s="222"/>
      <c r="BL32" s="96"/>
      <c r="BM32" s="59"/>
      <c r="BN32" s="59"/>
      <c r="BO32" s="59"/>
      <c r="BP32" s="59"/>
      <c r="BQ32" s="44"/>
      <c r="BR32" s="59"/>
      <c r="BS32" s="59"/>
      <c r="BT32" s="219"/>
      <c r="BU32" s="222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6">
        <v>1113088</v>
      </c>
      <c r="D33" s="277" t="s">
        <v>208</v>
      </c>
      <c r="E33" s="64" t="s">
        <v>170</v>
      </c>
      <c r="F33" s="54"/>
      <c r="G33" s="44"/>
      <c r="H33" s="58">
        <v>0</v>
      </c>
      <c r="I33" s="45">
        <f t="shared" ref="I33" si="5">SUM(L33,V33,AF33,AP33,AZ33,BJ33,BT33)</f>
        <v>5490</v>
      </c>
      <c r="J33" s="58">
        <v>0</v>
      </c>
      <c r="K33" s="59"/>
      <c r="L33" s="197">
        <v>1130</v>
      </c>
      <c r="M33" s="59"/>
      <c r="N33" s="96"/>
      <c r="O33" s="59"/>
      <c r="P33" s="59"/>
      <c r="Q33" s="59"/>
      <c r="R33" s="59"/>
      <c r="S33" s="106"/>
      <c r="T33" s="59"/>
      <c r="U33" s="59"/>
      <c r="V33" s="226">
        <v>970</v>
      </c>
      <c r="W33" s="59"/>
      <c r="X33" s="96"/>
      <c r="Y33" s="59"/>
      <c r="Z33" s="59"/>
      <c r="AA33" s="59"/>
      <c r="AB33" s="59"/>
      <c r="AC33" s="44"/>
      <c r="AD33" s="59"/>
      <c r="AE33" s="59"/>
      <c r="AF33" s="256">
        <v>570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3">
        <v>1020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900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8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71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49">
        <v>3</v>
      </c>
      <c r="B35" s="350"/>
      <c r="C35" s="351">
        <v>20053132</v>
      </c>
      <c r="D35" s="352" t="s">
        <v>429</v>
      </c>
      <c r="E35" s="351" t="s">
        <v>69</v>
      </c>
      <c r="F35" s="351"/>
      <c r="G35" s="353"/>
      <c r="H35" s="354">
        <v>0</v>
      </c>
      <c r="I35" s="355">
        <f t="shared" si="0"/>
        <v>10500</v>
      </c>
      <c r="J35" s="354">
        <v>0</v>
      </c>
      <c r="K35" s="356"/>
      <c r="L35" s="357">
        <v>1700</v>
      </c>
      <c r="M35" s="59"/>
      <c r="N35" s="96"/>
      <c r="O35" s="59"/>
      <c r="P35" s="59"/>
      <c r="Q35" s="59"/>
      <c r="R35" s="59"/>
      <c r="S35" s="106"/>
      <c r="T35" s="59"/>
      <c r="U35" s="59"/>
      <c r="V35" s="358">
        <v>1500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59">
        <v>1600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60">
        <v>2300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61">
        <v>1700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62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63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49">
        <v>4</v>
      </c>
      <c r="B36" s="350"/>
      <c r="C36" s="351">
        <v>20063379</v>
      </c>
      <c r="D36" s="352" t="s">
        <v>430</v>
      </c>
      <c r="E36" s="351" t="s">
        <v>69</v>
      </c>
      <c r="F36" s="351"/>
      <c r="G36" s="353"/>
      <c r="H36" s="354">
        <v>0</v>
      </c>
      <c r="I36" s="355">
        <f t="shared" si="0"/>
        <v>23500</v>
      </c>
      <c r="J36" s="354">
        <v>0</v>
      </c>
      <c r="K36" s="356"/>
      <c r="L36" s="357">
        <v>3500</v>
      </c>
      <c r="M36" s="59"/>
      <c r="N36" s="96"/>
      <c r="O36" s="59"/>
      <c r="P36" s="59"/>
      <c r="Q36" s="59"/>
      <c r="R36" s="59"/>
      <c r="S36" s="106"/>
      <c r="T36" s="59"/>
      <c r="U36" s="59"/>
      <c r="V36" s="358">
        <v>3200</v>
      </c>
      <c r="W36" s="59"/>
      <c r="X36" s="96"/>
      <c r="Y36" s="59"/>
      <c r="Z36" s="59"/>
      <c r="AA36" s="59"/>
      <c r="AB36" s="59"/>
      <c r="AC36" s="106"/>
      <c r="AD36" s="59"/>
      <c r="AE36" s="59"/>
      <c r="AF36" s="359">
        <v>3400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60">
        <v>3500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61">
        <v>3500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62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63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49">
        <v>5</v>
      </c>
      <c r="B37" s="350"/>
      <c r="C37" s="351">
        <v>20060015</v>
      </c>
      <c r="D37" s="352" t="s">
        <v>431</v>
      </c>
      <c r="E37" s="351" t="s">
        <v>69</v>
      </c>
      <c r="F37" s="351"/>
      <c r="G37" s="353"/>
      <c r="H37" s="354">
        <v>0</v>
      </c>
      <c r="I37" s="355">
        <f t="shared" si="0"/>
        <v>16100</v>
      </c>
      <c r="J37" s="354">
        <v>0</v>
      </c>
      <c r="K37" s="356"/>
      <c r="L37" s="357">
        <v>2300</v>
      </c>
      <c r="M37" s="59"/>
      <c r="N37" s="96"/>
      <c r="O37" s="105"/>
      <c r="P37" s="59"/>
      <c r="Q37" s="59"/>
      <c r="R37" s="105"/>
      <c r="S37" s="106"/>
      <c r="T37" s="59"/>
      <c r="U37" s="105"/>
      <c r="V37" s="358">
        <v>2100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59">
        <v>2200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60">
        <v>2500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61">
        <v>2500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62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63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49">
        <v>6</v>
      </c>
      <c r="B38" s="350"/>
      <c r="C38" s="351">
        <v>20063378</v>
      </c>
      <c r="D38" s="352" t="s">
        <v>432</v>
      </c>
      <c r="E38" s="351" t="s">
        <v>69</v>
      </c>
      <c r="F38" s="351"/>
      <c r="G38" s="353"/>
      <c r="H38" s="354">
        <v>0</v>
      </c>
      <c r="I38" s="355">
        <f t="shared" si="0"/>
        <v>21400</v>
      </c>
      <c r="J38" s="354">
        <v>0</v>
      </c>
      <c r="K38" s="356"/>
      <c r="L38" s="357">
        <v>3800</v>
      </c>
      <c r="M38" s="59"/>
      <c r="N38" s="96"/>
      <c r="O38" s="105"/>
      <c r="P38" s="59"/>
      <c r="Q38" s="59"/>
      <c r="R38" s="105"/>
      <c r="S38" s="106"/>
      <c r="T38" s="59"/>
      <c r="U38" s="105"/>
      <c r="V38" s="358">
        <v>3200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59">
        <v>3500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60">
        <v>3700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61">
        <v>3500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62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63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9">
        <v>1113148</v>
      </c>
      <c r="D39" s="300" t="s">
        <v>348</v>
      </c>
      <c r="E39" s="64" t="s">
        <v>42</v>
      </c>
      <c r="F39" s="54"/>
      <c r="G39" s="44"/>
      <c r="H39" s="58">
        <v>0</v>
      </c>
      <c r="I39" s="45">
        <f t="shared" ref="I39:I42" si="6">SUM(L39,V39,AF39,AP39,AZ39,BJ39,BT39)</f>
        <v>0</v>
      </c>
      <c r="J39" s="58">
        <v>0</v>
      </c>
      <c r="K39" s="59"/>
      <c r="L39" s="193"/>
      <c r="M39" s="59"/>
      <c r="N39" s="96"/>
      <c r="O39" s="59"/>
      <c r="P39" s="59"/>
      <c r="Q39" s="59"/>
      <c r="R39" s="59"/>
      <c r="S39" s="44"/>
      <c r="T39" s="59"/>
      <c r="U39" s="59"/>
      <c r="V39" s="192"/>
      <c r="W39" s="59"/>
      <c r="X39" s="96"/>
      <c r="Y39" s="59"/>
      <c r="Z39" s="59"/>
      <c r="AA39" s="59"/>
      <c r="AB39" s="59"/>
      <c r="AC39" s="44"/>
      <c r="AD39" s="59"/>
      <c r="AE39" s="59"/>
      <c r="AF39" s="194"/>
      <c r="AG39" s="59"/>
      <c r="AH39" s="96"/>
      <c r="AI39" s="59"/>
      <c r="AJ39" s="59"/>
      <c r="AK39" s="59"/>
      <c r="AL39" s="59"/>
      <c r="AM39" s="44"/>
      <c r="AN39" s="59"/>
      <c r="AO39" s="59"/>
      <c r="AP39" s="195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8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301">
        <v>1113149</v>
      </c>
      <c r="D40" s="302" t="s">
        <v>349</v>
      </c>
      <c r="E40" s="64" t="s">
        <v>42</v>
      </c>
      <c r="F40" s="54"/>
      <c r="G40" s="44"/>
      <c r="H40" s="58">
        <v>0</v>
      </c>
      <c r="I40" s="45">
        <f t="shared" si="6"/>
        <v>0</v>
      </c>
      <c r="J40" s="58">
        <v>0</v>
      </c>
      <c r="K40" s="59"/>
      <c r="L40" s="193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194"/>
      <c r="AG40" s="59"/>
      <c r="AH40" s="96"/>
      <c r="AI40" s="59"/>
      <c r="AJ40" s="59"/>
      <c r="AK40" s="59"/>
      <c r="AL40" s="59"/>
      <c r="AM40" s="44"/>
      <c r="AN40" s="59"/>
      <c r="AO40" s="59"/>
      <c r="AP40" s="195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8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81">
        <v>1113192</v>
      </c>
      <c r="D41" s="282" t="s">
        <v>351</v>
      </c>
      <c r="E41" s="142" t="s">
        <v>42</v>
      </c>
      <c r="F41" s="76"/>
      <c r="G41" s="118"/>
      <c r="H41" s="58">
        <v>0</v>
      </c>
      <c r="I41" s="45">
        <f t="shared" si="6"/>
        <v>5320</v>
      </c>
      <c r="J41" s="58">
        <v>0</v>
      </c>
      <c r="K41" s="59"/>
      <c r="L41" s="196">
        <v>1140</v>
      </c>
      <c r="M41" s="59"/>
      <c r="N41" s="96"/>
      <c r="O41" s="59"/>
      <c r="P41" s="59"/>
      <c r="Q41" s="59"/>
      <c r="R41" s="59"/>
      <c r="S41" s="106"/>
      <c r="T41" s="59"/>
      <c r="U41" s="59"/>
      <c r="V41" s="192">
        <v>830</v>
      </c>
      <c r="W41" s="59"/>
      <c r="X41" s="96"/>
      <c r="Y41" s="59"/>
      <c r="Z41" s="59"/>
      <c r="AA41" s="59"/>
      <c r="AB41" s="59"/>
      <c r="AC41" s="44"/>
      <c r="AD41" s="59"/>
      <c r="AE41" s="59"/>
      <c r="AF41" s="257">
        <v>610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3">
        <v>900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267">
        <v>940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8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4">
        <v>1113194</v>
      </c>
      <c r="D42" s="275" t="s">
        <v>353</v>
      </c>
      <c r="E42" s="64" t="s">
        <v>42</v>
      </c>
      <c r="F42" s="54"/>
      <c r="G42" s="44"/>
      <c r="H42" s="58">
        <v>0</v>
      </c>
      <c r="I42" s="45">
        <f t="shared" si="6"/>
        <v>5140</v>
      </c>
      <c r="J42" s="58">
        <v>0</v>
      </c>
      <c r="K42" s="59"/>
      <c r="L42" s="197">
        <v>1010</v>
      </c>
      <c r="M42" s="59"/>
      <c r="N42" s="96"/>
      <c r="O42" s="59"/>
      <c r="P42" s="59"/>
      <c r="Q42" s="59"/>
      <c r="R42" s="105"/>
      <c r="S42" s="106"/>
      <c r="T42" s="59"/>
      <c r="U42" s="59"/>
      <c r="V42" s="226">
        <v>900</v>
      </c>
      <c r="W42" s="59"/>
      <c r="X42" s="96"/>
      <c r="Y42" s="59"/>
      <c r="Z42" s="59"/>
      <c r="AA42" s="59"/>
      <c r="AB42" s="105"/>
      <c r="AC42" s="44"/>
      <c r="AD42" s="59"/>
      <c r="AE42" s="59"/>
      <c r="AF42" s="256">
        <v>540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3">
        <v>940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850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8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8">
        <v>1001001087</v>
      </c>
      <c r="D43" s="199" t="s">
        <v>376</v>
      </c>
      <c r="E43" s="200" t="s">
        <v>377</v>
      </c>
      <c r="F43" s="200"/>
      <c r="G43" s="201"/>
      <c r="H43" s="202">
        <v>0</v>
      </c>
      <c r="I43" s="63">
        <f t="shared" ref="I43:I49" si="7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8">
        <v>1001001088</v>
      </c>
      <c r="D44" s="199" t="s">
        <v>378</v>
      </c>
      <c r="E44" s="200" t="s">
        <v>377</v>
      </c>
      <c r="F44" s="200"/>
      <c r="G44" s="201"/>
      <c r="H44" s="202">
        <v>0</v>
      </c>
      <c r="I44" s="63">
        <f t="shared" si="7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8">
        <v>1001001089</v>
      </c>
      <c r="D45" s="199" t="s">
        <v>379</v>
      </c>
      <c r="E45" s="200" t="s">
        <v>377</v>
      </c>
      <c r="F45" s="200"/>
      <c r="G45" s="201"/>
      <c r="H45" s="202">
        <v>0</v>
      </c>
      <c r="I45" s="63">
        <f t="shared" si="7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8">
        <v>1001001111</v>
      </c>
      <c r="D46" s="199" t="s">
        <v>381</v>
      </c>
      <c r="E46" s="200" t="s">
        <v>377</v>
      </c>
      <c r="F46" s="200"/>
      <c r="G46" s="201"/>
      <c r="H46" s="202">
        <v>0</v>
      </c>
      <c r="I46" s="63">
        <f t="shared" si="7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2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8">
        <v>1001001112</v>
      </c>
      <c r="D47" s="199" t="s">
        <v>382</v>
      </c>
      <c r="E47" s="200" t="s">
        <v>377</v>
      </c>
      <c r="F47" s="200"/>
      <c r="G47" s="201"/>
      <c r="H47" s="202">
        <v>0</v>
      </c>
      <c r="I47" s="63">
        <f t="shared" si="7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8">
        <v>1001001113</v>
      </c>
      <c r="D48" s="199" t="s">
        <v>383</v>
      </c>
      <c r="E48" s="200" t="s">
        <v>377</v>
      </c>
      <c r="F48" s="200"/>
      <c r="G48" s="201"/>
      <c r="H48" s="202">
        <v>0</v>
      </c>
      <c r="I48" s="63">
        <f t="shared" si="7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8">
        <v>1001001114</v>
      </c>
      <c r="D49" s="199" t="s">
        <v>384</v>
      </c>
      <c r="E49" s="200" t="s">
        <v>377</v>
      </c>
      <c r="F49" s="200"/>
      <c r="G49" s="201"/>
      <c r="H49" s="202">
        <v>0</v>
      </c>
      <c r="I49" s="63">
        <f t="shared" si="7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2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5">
        <v>11</v>
      </c>
      <c r="B50" s="170"/>
      <c r="C50" s="208">
        <v>1113225</v>
      </c>
      <c r="D50" s="209" t="s">
        <v>407</v>
      </c>
      <c r="E50" s="220" t="s">
        <v>42</v>
      </c>
      <c r="F50" s="169"/>
      <c r="G50" s="183"/>
      <c r="H50" s="184"/>
      <c r="I50" s="45">
        <f t="shared" ref="I50" si="8">SUM(L50,V50,AF50,AP50,AZ50,BJ50,BT50)</f>
        <v>6590</v>
      </c>
      <c r="J50" s="58"/>
      <c r="K50" s="59"/>
      <c r="L50" s="229">
        <v>1340</v>
      </c>
      <c r="M50" s="59"/>
      <c r="N50" s="96"/>
      <c r="O50" s="59"/>
      <c r="P50" s="59"/>
      <c r="Q50" s="59"/>
      <c r="R50" s="59"/>
      <c r="S50" s="44"/>
      <c r="T50" s="59"/>
      <c r="U50" s="59"/>
      <c r="V50" s="226">
        <v>820</v>
      </c>
      <c r="W50" s="59"/>
      <c r="X50" s="96"/>
      <c r="Y50" s="59"/>
      <c r="Z50" s="59"/>
      <c r="AA50" s="59"/>
      <c r="AB50" s="59"/>
      <c r="AC50" s="44"/>
      <c r="AD50" s="59"/>
      <c r="AE50" s="59"/>
      <c r="AF50" s="253">
        <v>680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3">
        <v>1320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310">
        <v>1330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8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49">
        <v>7</v>
      </c>
      <c r="B51" s="364"/>
      <c r="C51" s="244">
        <v>20059547</v>
      </c>
      <c r="D51" s="365" t="s">
        <v>433</v>
      </c>
      <c r="E51" s="366" t="s">
        <v>69</v>
      </c>
      <c r="F51" s="367"/>
      <c r="G51" s="367"/>
      <c r="H51" s="368"/>
      <c r="I51" s="369">
        <f t="shared" ref="I51:I56" si="9">SUM(L51,V51,AF51,AP51,AZ51,BJ51,BT51)</f>
        <v>18500</v>
      </c>
      <c r="J51" s="370"/>
      <c r="K51" s="367"/>
      <c r="L51" s="371">
        <v>3100</v>
      </c>
      <c r="V51" s="382">
        <v>2700</v>
      </c>
      <c r="AF51" s="383">
        <v>2700</v>
      </c>
      <c r="AP51" s="384">
        <v>3600</v>
      </c>
      <c r="AZ51" s="385">
        <v>3200</v>
      </c>
      <c r="BJ51" s="387">
        <v>3200</v>
      </c>
      <c r="BT51" s="389"/>
    </row>
    <row r="52" spans="1:80" ht="24" hidden="1" customHeight="1">
      <c r="A52" s="349">
        <v>8</v>
      </c>
      <c r="B52" s="364"/>
      <c r="C52" s="244">
        <v>20059548</v>
      </c>
      <c r="D52" s="365" t="s">
        <v>434</v>
      </c>
      <c r="E52" s="372" t="s">
        <v>69</v>
      </c>
      <c r="F52" s="365"/>
      <c r="G52" s="365"/>
      <c r="H52" s="373"/>
      <c r="I52" s="374">
        <f t="shared" si="9"/>
        <v>58100</v>
      </c>
      <c r="J52" s="374"/>
      <c r="K52" s="365"/>
      <c r="L52" s="371">
        <v>11000</v>
      </c>
      <c r="V52" s="382">
        <v>9500</v>
      </c>
      <c r="AF52" s="383">
        <v>8500</v>
      </c>
      <c r="AP52" s="384">
        <v>9500</v>
      </c>
      <c r="AZ52" s="385">
        <v>9800</v>
      </c>
      <c r="BJ52" s="387">
        <v>9800</v>
      </c>
      <c r="BT52" s="389"/>
    </row>
    <row r="53" spans="1:80" ht="24" hidden="1" customHeight="1">
      <c r="A53" s="349">
        <v>9</v>
      </c>
      <c r="B53" s="375"/>
      <c r="C53" s="376">
        <v>20060019</v>
      </c>
      <c r="D53" s="365" t="s">
        <v>409</v>
      </c>
      <c r="E53" s="372" t="s">
        <v>69</v>
      </c>
      <c r="F53" s="365"/>
      <c r="G53" s="365"/>
      <c r="H53" s="373"/>
      <c r="I53" s="374">
        <f t="shared" si="9"/>
        <v>17200</v>
      </c>
      <c r="J53" s="374"/>
      <c r="K53" s="365"/>
      <c r="L53" s="371">
        <v>2900</v>
      </c>
      <c r="V53" s="382">
        <v>2500</v>
      </c>
      <c r="AF53" s="383">
        <v>2500</v>
      </c>
      <c r="AP53" s="384">
        <v>3100</v>
      </c>
      <c r="AZ53" s="386">
        <v>3100</v>
      </c>
      <c r="BJ53" s="388">
        <v>3100</v>
      </c>
      <c r="BT53" s="389"/>
    </row>
    <row r="54" spans="1:80" ht="24" hidden="1" customHeight="1">
      <c r="A54" s="349">
        <v>10</v>
      </c>
      <c r="B54" s="377"/>
      <c r="C54" s="372">
        <v>20059087</v>
      </c>
      <c r="D54" s="378" t="s">
        <v>435</v>
      </c>
      <c r="E54" s="372" t="s">
        <v>69</v>
      </c>
      <c r="F54" s="365"/>
      <c r="G54" s="365"/>
      <c r="H54" s="373"/>
      <c r="I54" s="374">
        <f t="shared" si="9"/>
        <v>18300</v>
      </c>
      <c r="J54" s="374"/>
      <c r="K54" s="365"/>
      <c r="L54" s="371">
        <v>2900</v>
      </c>
      <c r="V54" s="382">
        <v>2500</v>
      </c>
      <c r="AF54" s="383">
        <v>2600</v>
      </c>
      <c r="AP54" s="384">
        <v>3300</v>
      </c>
      <c r="AZ54" s="386">
        <v>3500</v>
      </c>
      <c r="BJ54" s="388">
        <v>3500</v>
      </c>
      <c r="BT54" s="389"/>
    </row>
    <row r="55" spans="1:80" ht="24.75" hidden="1" customHeight="1">
      <c r="A55" s="349">
        <v>11</v>
      </c>
      <c r="B55" s="377"/>
      <c r="C55" s="244">
        <v>20060974</v>
      </c>
      <c r="D55" s="378" t="s">
        <v>436</v>
      </c>
      <c r="E55" s="372" t="s">
        <v>69</v>
      </c>
      <c r="F55" s="365"/>
      <c r="G55" s="365"/>
      <c r="H55" s="373"/>
      <c r="I55" s="374">
        <f t="shared" si="9"/>
        <v>7300</v>
      </c>
      <c r="J55" s="374"/>
      <c r="K55" s="365"/>
      <c r="L55" s="371">
        <v>1300</v>
      </c>
      <c r="V55" s="382">
        <v>1000</v>
      </c>
      <c r="AF55" s="383">
        <v>1000</v>
      </c>
      <c r="AP55" s="384">
        <v>1400</v>
      </c>
      <c r="AZ55" s="386">
        <v>1300</v>
      </c>
      <c r="BJ55" s="388">
        <v>1300</v>
      </c>
      <c r="BT55" s="389"/>
    </row>
    <row r="56" spans="1:80" ht="24.75" hidden="1" customHeight="1">
      <c r="A56" s="349">
        <v>12</v>
      </c>
      <c r="B56" s="377"/>
      <c r="C56" s="244">
        <v>20060976</v>
      </c>
      <c r="D56" s="378" t="s">
        <v>437</v>
      </c>
      <c r="E56" s="372" t="s">
        <v>69</v>
      </c>
      <c r="F56" s="365"/>
      <c r="G56" s="365"/>
      <c r="H56" s="373"/>
      <c r="I56" s="374">
        <f t="shared" si="9"/>
        <v>16300</v>
      </c>
      <c r="J56" s="374"/>
      <c r="K56" s="365"/>
      <c r="L56" s="371">
        <v>2600</v>
      </c>
      <c r="V56" s="382">
        <v>2300</v>
      </c>
      <c r="AF56" s="383">
        <v>2400</v>
      </c>
      <c r="AP56" s="384">
        <v>3000</v>
      </c>
      <c r="AZ56" s="386">
        <v>3000</v>
      </c>
      <c r="BJ56" s="388">
        <v>3000</v>
      </c>
      <c r="BT56" s="389"/>
    </row>
    <row r="57" spans="1:80" ht="27.75" hidden="1" customHeight="1">
      <c r="A57" s="349">
        <v>13</v>
      </c>
      <c r="B57" s="377"/>
      <c r="C57" s="244">
        <v>20060973</v>
      </c>
      <c r="D57" s="379" t="s">
        <v>438</v>
      </c>
      <c r="E57" s="372" t="s">
        <v>69</v>
      </c>
      <c r="F57" s="365"/>
      <c r="G57" s="365"/>
      <c r="H57" s="373"/>
      <c r="I57" s="374">
        <f t="shared" ref="I57:I58" si="10">SUM(L57,V57,AF57,AP57,AZ57,BJ57,BT57)</f>
        <v>5400</v>
      </c>
      <c r="J57" s="374"/>
      <c r="K57" s="365"/>
      <c r="L57" s="371">
        <v>800</v>
      </c>
      <c r="V57" s="382">
        <v>700</v>
      </c>
      <c r="AF57" s="383">
        <v>700</v>
      </c>
      <c r="AP57" s="384">
        <v>800</v>
      </c>
      <c r="AZ57" s="386">
        <v>800</v>
      </c>
      <c r="BJ57" s="388">
        <v>800</v>
      </c>
      <c r="BT57" s="389">
        <v>800</v>
      </c>
    </row>
    <row r="58" spans="1:80" ht="26.25" hidden="1" customHeight="1">
      <c r="A58" s="349">
        <v>14</v>
      </c>
      <c r="B58" s="364"/>
      <c r="C58" s="244">
        <v>20061982</v>
      </c>
      <c r="D58" s="379" t="s">
        <v>439</v>
      </c>
      <c r="E58" s="372" t="s">
        <v>69</v>
      </c>
      <c r="F58" s="365"/>
      <c r="G58" s="365"/>
      <c r="H58" s="373"/>
      <c r="I58" s="374">
        <f t="shared" si="10"/>
        <v>15500</v>
      </c>
      <c r="J58" s="374"/>
      <c r="K58" s="365"/>
      <c r="L58" s="371">
        <v>2700</v>
      </c>
      <c r="M58" s="280"/>
      <c r="N58" s="272"/>
      <c r="O58" s="272"/>
      <c r="P58" s="272"/>
      <c r="Q58" s="272"/>
      <c r="R58" s="272"/>
      <c r="S58" s="272"/>
      <c r="T58" s="272"/>
      <c r="U58" s="279"/>
      <c r="V58" s="382">
        <v>2400</v>
      </c>
      <c r="W58" s="280"/>
      <c r="X58" s="272"/>
      <c r="Y58" s="272"/>
      <c r="Z58" s="272"/>
      <c r="AA58" s="272"/>
      <c r="AB58" s="272"/>
      <c r="AC58" s="272"/>
      <c r="AD58" s="272"/>
      <c r="AE58" s="279"/>
      <c r="AF58" s="383">
        <v>2500</v>
      </c>
      <c r="AG58" s="280"/>
      <c r="AH58" s="272"/>
      <c r="AI58" s="272"/>
      <c r="AJ58" s="272"/>
      <c r="AK58" s="272"/>
      <c r="AL58" s="272"/>
      <c r="AM58" s="272"/>
      <c r="AN58" s="272"/>
      <c r="AO58" s="279"/>
      <c r="AP58" s="384">
        <v>2600</v>
      </c>
      <c r="AQ58" s="280"/>
      <c r="AR58" s="272"/>
      <c r="AS58" s="272"/>
      <c r="AT58" s="272"/>
      <c r="AU58" s="272"/>
      <c r="AV58" s="272"/>
      <c r="AW58" s="272"/>
      <c r="AX58" s="272"/>
      <c r="AY58" s="279"/>
      <c r="AZ58" s="386">
        <v>2600</v>
      </c>
      <c r="BA58" s="280"/>
      <c r="BB58" s="272"/>
      <c r="BC58" s="272"/>
      <c r="BD58" s="272"/>
      <c r="BE58" s="272"/>
      <c r="BF58" s="272"/>
      <c r="BG58" s="272"/>
      <c r="BH58" s="272"/>
      <c r="BI58" s="279"/>
      <c r="BJ58" s="388">
        <v>2700</v>
      </c>
      <c r="BK58" s="280"/>
      <c r="BL58" s="272"/>
      <c r="BM58" s="272"/>
      <c r="BN58" s="272"/>
      <c r="BO58" s="272"/>
      <c r="BP58" s="272"/>
      <c r="BQ58" s="272"/>
      <c r="BR58" s="272"/>
      <c r="BS58" s="279"/>
      <c r="BT58" s="389"/>
    </row>
    <row r="59" spans="1:80" ht="31.5" hidden="1" customHeight="1">
      <c r="A59" s="349">
        <v>15</v>
      </c>
      <c r="B59" s="364"/>
      <c r="C59" s="244">
        <v>20062915</v>
      </c>
      <c r="D59" s="379" t="s">
        <v>440</v>
      </c>
      <c r="E59" s="372" t="s">
        <v>69</v>
      </c>
      <c r="F59" s="365"/>
      <c r="G59" s="365"/>
      <c r="H59" s="373"/>
      <c r="I59" s="374">
        <f t="shared" ref="I59:I60" si="11">SUM(L59,V59,AF59,AP59,AZ59,BJ59,BT59)</f>
        <v>14700</v>
      </c>
      <c r="J59" s="374"/>
      <c r="K59" s="365"/>
      <c r="L59" s="371">
        <v>2600</v>
      </c>
      <c r="V59" s="382">
        <v>2200</v>
      </c>
      <c r="AF59" s="383">
        <v>2200</v>
      </c>
      <c r="AP59" s="384">
        <v>2200</v>
      </c>
      <c r="AZ59" s="386">
        <v>2000</v>
      </c>
      <c r="BJ59" s="388">
        <v>2000</v>
      </c>
      <c r="BT59" s="389">
        <v>1500</v>
      </c>
    </row>
    <row r="60" spans="1:80" ht="31.5" hidden="1" customHeight="1">
      <c r="A60" s="349">
        <v>16</v>
      </c>
      <c r="B60" s="364"/>
      <c r="C60" s="380">
        <v>20063266</v>
      </c>
      <c r="D60" s="381" t="s">
        <v>441</v>
      </c>
      <c r="E60" s="372" t="s">
        <v>69</v>
      </c>
      <c r="F60" s="365"/>
      <c r="G60" s="365"/>
      <c r="H60" s="373"/>
      <c r="I60" s="374">
        <f t="shared" si="11"/>
        <v>13100</v>
      </c>
      <c r="J60" s="374"/>
      <c r="K60" s="365"/>
      <c r="L60" s="371">
        <v>2600</v>
      </c>
      <c r="V60" s="382">
        <v>1900</v>
      </c>
      <c r="AF60" s="383">
        <v>2000</v>
      </c>
      <c r="AP60" s="384">
        <v>2800</v>
      </c>
      <c r="AZ60" s="386">
        <v>1900</v>
      </c>
      <c r="BJ60" s="388">
        <v>1900</v>
      </c>
      <c r="BT60" s="389"/>
    </row>
    <row r="61" spans="1:80" ht="31.5" hidden="1" customHeight="1">
      <c r="A61" s="349">
        <v>17</v>
      </c>
      <c r="B61" s="364"/>
      <c r="C61" s="244">
        <v>20062916</v>
      </c>
      <c r="D61" s="390" t="s">
        <v>414</v>
      </c>
      <c r="E61" s="391" t="s">
        <v>69</v>
      </c>
      <c r="F61" s="365"/>
      <c r="G61" s="365"/>
      <c r="H61" s="373"/>
      <c r="I61" s="374">
        <f t="shared" ref="I61:I63" si="12">SUM(L61,V61,AF61,AP61,AZ61,BJ61,BT61)</f>
        <v>11000</v>
      </c>
      <c r="J61" s="374"/>
      <c r="K61" s="365"/>
      <c r="L61" s="371">
        <v>1800</v>
      </c>
      <c r="V61" s="382">
        <v>1500</v>
      </c>
      <c r="AF61" s="383">
        <v>1500</v>
      </c>
      <c r="AP61" s="384">
        <v>1500</v>
      </c>
      <c r="AZ61" s="386">
        <v>1600</v>
      </c>
      <c r="BJ61" s="388">
        <v>1600</v>
      </c>
      <c r="BT61" s="389">
        <v>1500</v>
      </c>
    </row>
    <row r="62" spans="1:80" ht="31.5" hidden="1" customHeight="1">
      <c r="A62" s="349">
        <v>18</v>
      </c>
      <c r="B62" s="364"/>
      <c r="C62" s="244">
        <v>20063380</v>
      </c>
      <c r="D62" s="390" t="s">
        <v>418</v>
      </c>
      <c r="E62" s="391" t="s">
        <v>69</v>
      </c>
      <c r="F62" s="365"/>
      <c r="G62" s="365"/>
      <c r="H62" s="373"/>
      <c r="I62" s="374">
        <f t="shared" si="12"/>
        <v>11000</v>
      </c>
      <c r="J62" s="374"/>
      <c r="K62" s="365"/>
      <c r="L62" s="371">
        <v>1600</v>
      </c>
      <c r="V62" s="382">
        <v>1500</v>
      </c>
      <c r="AF62" s="383">
        <v>1600</v>
      </c>
      <c r="AP62" s="384">
        <v>1600</v>
      </c>
      <c r="AZ62" s="386">
        <v>1600</v>
      </c>
      <c r="BJ62" s="388">
        <v>1600</v>
      </c>
      <c r="BT62" s="389">
        <v>1500</v>
      </c>
    </row>
    <row r="63" spans="1:80" ht="31.5" hidden="1" customHeight="1">
      <c r="A63" s="349">
        <v>19</v>
      </c>
      <c r="B63" s="364"/>
      <c r="C63" s="244">
        <v>20063381</v>
      </c>
      <c r="D63" s="390" t="s">
        <v>451</v>
      </c>
      <c r="E63" s="391" t="s">
        <v>69</v>
      </c>
      <c r="F63" s="365"/>
      <c r="G63" s="365"/>
      <c r="H63" s="373"/>
      <c r="I63" s="374">
        <f t="shared" si="12"/>
        <v>0</v>
      </c>
      <c r="J63" s="374"/>
      <c r="K63" s="365"/>
      <c r="L63" s="371"/>
      <c r="V63" s="382"/>
      <c r="AF63" s="383"/>
      <c r="AP63" s="384"/>
      <c r="AZ63" s="386"/>
      <c r="BJ63" s="388"/>
      <c r="BT63" s="389"/>
    </row>
    <row r="64" spans="1:80" ht="29.25" hidden="1" customHeight="1">
      <c r="A64" s="349">
        <v>20</v>
      </c>
      <c r="B64" s="364"/>
      <c r="C64" s="244">
        <v>20063468</v>
      </c>
      <c r="D64" s="390" t="s">
        <v>419</v>
      </c>
      <c r="E64" s="372" t="s">
        <v>69</v>
      </c>
      <c r="F64" s="365"/>
      <c r="G64" s="365"/>
      <c r="H64" s="373"/>
      <c r="I64" s="374">
        <f t="shared" ref="I64:I66" si="13">SUM(L64,V64,AF64,AP64,AZ64,BJ64,BT64)</f>
        <v>13200</v>
      </c>
      <c r="J64" s="374"/>
      <c r="K64" s="365"/>
      <c r="L64" s="371">
        <v>2400</v>
      </c>
      <c r="V64" s="382">
        <v>2000</v>
      </c>
      <c r="AF64" s="383">
        <v>2100</v>
      </c>
      <c r="AP64" s="384">
        <v>2200</v>
      </c>
      <c r="AZ64" s="386">
        <v>2300</v>
      </c>
      <c r="BJ64" s="388">
        <v>2200</v>
      </c>
      <c r="BT64" s="389"/>
    </row>
    <row r="65" spans="1:72" ht="29.25" hidden="1" customHeight="1">
      <c r="A65" s="349">
        <v>21</v>
      </c>
      <c r="B65" s="364"/>
      <c r="C65" s="380">
        <v>20063720</v>
      </c>
      <c r="D65" s="381" t="s">
        <v>442</v>
      </c>
      <c r="E65" s="372" t="s">
        <v>69</v>
      </c>
      <c r="F65" s="365"/>
      <c r="G65" s="365"/>
      <c r="H65" s="373"/>
      <c r="I65" s="374">
        <f t="shared" si="13"/>
        <v>5900</v>
      </c>
      <c r="J65" s="374"/>
      <c r="K65" s="365"/>
      <c r="L65" s="371">
        <v>900</v>
      </c>
      <c r="V65" s="382">
        <v>900</v>
      </c>
      <c r="AF65" s="383">
        <v>800</v>
      </c>
      <c r="AP65" s="384">
        <v>900</v>
      </c>
      <c r="AZ65" s="386">
        <v>800</v>
      </c>
      <c r="BJ65" s="388">
        <v>800</v>
      </c>
      <c r="BT65" s="389">
        <v>800</v>
      </c>
    </row>
    <row r="66" spans="1:72" ht="29.25" hidden="1" customHeight="1">
      <c r="A66" s="349">
        <v>22</v>
      </c>
      <c r="B66" s="364"/>
      <c r="C66" s="380">
        <v>20063783</v>
      </c>
      <c r="D66" s="381" t="s">
        <v>443</v>
      </c>
      <c r="E66" s="372" t="s">
        <v>69</v>
      </c>
      <c r="F66" s="365"/>
      <c r="G66" s="365"/>
      <c r="H66" s="373"/>
      <c r="I66" s="374">
        <f t="shared" si="13"/>
        <v>6100</v>
      </c>
      <c r="J66" s="374"/>
      <c r="K66" s="365"/>
      <c r="L66" s="371">
        <v>1000</v>
      </c>
      <c r="V66" s="382">
        <v>900</v>
      </c>
      <c r="AF66" s="383">
        <v>900</v>
      </c>
      <c r="AP66" s="384">
        <v>900</v>
      </c>
      <c r="AZ66" s="386">
        <v>800</v>
      </c>
      <c r="BJ66" s="388">
        <v>800</v>
      </c>
      <c r="BT66" s="389">
        <v>800</v>
      </c>
    </row>
    <row r="67" spans="1:72" ht="29.25" hidden="1" customHeight="1">
      <c r="A67" s="349">
        <v>23</v>
      </c>
      <c r="B67" s="364"/>
      <c r="C67" s="380">
        <v>20063930</v>
      </c>
      <c r="D67" s="392" t="s">
        <v>444</v>
      </c>
      <c r="E67" s="372" t="s">
        <v>69</v>
      </c>
      <c r="F67" s="365"/>
      <c r="G67" s="365"/>
      <c r="H67" s="373"/>
      <c r="I67" s="374">
        <f t="shared" ref="I67:I75" si="14">SUM(L67,V67,AF67,AP67,AZ67,BJ67,BT67)</f>
        <v>5600</v>
      </c>
      <c r="J67" s="374"/>
      <c r="K67" s="365"/>
      <c r="L67" s="371">
        <v>800</v>
      </c>
      <c r="V67" s="382">
        <v>800</v>
      </c>
      <c r="AF67" s="383">
        <v>800</v>
      </c>
      <c r="AP67" s="384">
        <v>800</v>
      </c>
      <c r="AZ67" s="386">
        <v>800</v>
      </c>
      <c r="BJ67" s="388">
        <v>800</v>
      </c>
      <c r="BT67" s="389">
        <v>800</v>
      </c>
    </row>
    <row r="68" spans="1:72" ht="29.25" hidden="1" customHeight="1">
      <c r="A68" s="349">
        <v>24</v>
      </c>
      <c r="B68" s="364"/>
      <c r="C68" s="380">
        <v>20063929</v>
      </c>
      <c r="D68" s="392" t="s">
        <v>445</v>
      </c>
      <c r="E68" s="372" t="s">
        <v>69</v>
      </c>
      <c r="F68" s="365"/>
      <c r="G68" s="365"/>
      <c r="H68" s="373"/>
      <c r="I68" s="374">
        <f t="shared" si="14"/>
        <v>3400</v>
      </c>
      <c r="J68" s="374"/>
      <c r="K68" s="365"/>
      <c r="L68" s="371">
        <v>500</v>
      </c>
      <c r="V68" s="382">
        <v>500</v>
      </c>
      <c r="AF68" s="383">
        <v>400</v>
      </c>
      <c r="AP68" s="384">
        <v>500</v>
      </c>
      <c r="AZ68" s="386">
        <v>500</v>
      </c>
      <c r="BJ68" s="388">
        <v>500</v>
      </c>
      <c r="BT68" s="389">
        <v>500</v>
      </c>
    </row>
    <row r="69" spans="1:72" ht="29.25" hidden="1" customHeight="1">
      <c r="A69" s="349">
        <v>25</v>
      </c>
      <c r="B69" s="364"/>
      <c r="C69" s="380">
        <v>20064190</v>
      </c>
      <c r="D69" s="393" t="s">
        <v>446</v>
      </c>
      <c r="E69" s="372" t="s">
        <v>69</v>
      </c>
      <c r="F69" s="365"/>
      <c r="G69" s="365"/>
      <c r="H69" s="373"/>
      <c r="I69" s="374">
        <f t="shared" si="14"/>
        <v>3600</v>
      </c>
      <c r="J69" s="374"/>
      <c r="K69" s="365"/>
      <c r="L69" s="371">
        <v>500</v>
      </c>
      <c r="V69" s="382">
        <v>300</v>
      </c>
      <c r="AF69" s="383">
        <v>300</v>
      </c>
      <c r="AP69" s="384">
        <v>500</v>
      </c>
      <c r="AZ69" s="386">
        <v>600</v>
      </c>
      <c r="BJ69" s="388">
        <v>600</v>
      </c>
      <c r="BT69" s="389">
        <v>800</v>
      </c>
    </row>
    <row r="70" spans="1:72" ht="29.25" hidden="1" customHeight="1">
      <c r="A70" s="349">
        <v>26</v>
      </c>
      <c r="B70" s="364"/>
      <c r="C70" s="380">
        <v>20064191</v>
      </c>
      <c r="D70" s="393" t="s">
        <v>447</v>
      </c>
      <c r="E70" s="372" t="s">
        <v>69</v>
      </c>
      <c r="F70" s="365"/>
      <c r="G70" s="365"/>
      <c r="H70" s="373"/>
      <c r="I70" s="374">
        <f t="shared" si="14"/>
        <v>22500</v>
      </c>
      <c r="J70" s="374"/>
      <c r="K70" s="365"/>
      <c r="L70" s="371">
        <v>3750</v>
      </c>
      <c r="V70" s="382">
        <v>3750</v>
      </c>
      <c r="AF70" s="383">
        <v>3750</v>
      </c>
      <c r="AP70" s="384">
        <v>3750</v>
      </c>
      <c r="AZ70" s="386">
        <v>3750</v>
      </c>
      <c r="BJ70" s="388">
        <v>3750</v>
      </c>
      <c r="BT70" s="389"/>
    </row>
    <row r="71" spans="1:72" ht="29.25" hidden="1" customHeight="1">
      <c r="A71" s="462">
        <v>27</v>
      </c>
      <c r="B71" s="553"/>
      <c r="C71" s="566">
        <v>20064271</v>
      </c>
      <c r="D71" s="567" t="s">
        <v>448</v>
      </c>
      <c r="E71" s="554" t="s">
        <v>69</v>
      </c>
      <c r="F71" s="555"/>
      <c r="G71" s="555"/>
      <c r="H71" s="556"/>
      <c r="I71" s="557">
        <f t="shared" si="14"/>
        <v>22500</v>
      </c>
      <c r="J71" s="557"/>
      <c r="K71" s="555"/>
      <c r="L71" s="558">
        <v>3750</v>
      </c>
      <c r="V71" s="559">
        <v>3750</v>
      </c>
      <c r="AF71" s="560">
        <v>3750</v>
      </c>
      <c r="AP71" s="561">
        <v>3750</v>
      </c>
      <c r="AZ71" s="562">
        <v>3750</v>
      </c>
      <c r="BJ71" s="563">
        <v>3750</v>
      </c>
      <c r="BT71" s="564"/>
    </row>
    <row r="72" spans="1:72" ht="29.25" hidden="1" customHeight="1">
      <c r="A72" s="347">
        <v>28</v>
      </c>
      <c r="B72" s="364"/>
      <c r="C72" s="565">
        <v>20064365</v>
      </c>
      <c r="D72" s="365" t="s">
        <v>449</v>
      </c>
      <c r="E72" s="372" t="s">
        <v>69</v>
      </c>
      <c r="F72" s="365"/>
      <c r="G72" s="365"/>
      <c r="H72" s="373"/>
      <c r="I72" s="374">
        <f t="shared" si="14"/>
        <v>23000</v>
      </c>
      <c r="J72" s="374"/>
      <c r="K72" s="365"/>
      <c r="L72" s="371">
        <v>3000</v>
      </c>
      <c r="V72" s="382">
        <v>3000</v>
      </c>
      <c r="AF72" s="383">
        <v>3000</v>
      </c>
      <c r="AP72" s="384">
        <v>3500</v>
      </c>
      <c r="AZ72" s="386">
        <v>3500</v>
      </c>
      <c r="BJ72" s="388">
        <v>3500</v>
      </c>
      <c r="BT72" s="389">
        <v>3500</v>
      </c>
    </row>
    <row r="73" spans="1:72" ht="29.25" hidden="1" customHeight="1">
      <c r="A73" s="347">
        <v>29</v>
      </c>
      <c r="B73" s="364"/>
      <c r="C73" s="565">
        <v>20064366</v>
      </c>
      <c r="D73" s="365" t="s">
        <v>450</v>
      </c>
      <c r="E73" s="372" t="s">
        <v>69</v>
      </c>
      <c r="F73" s="365"/>
      <c r="G73" s="365"/>
      <c r="H73" s="373"/>
      <c r="I73" s="374">
        <f t="shared" si="14"/>
        <v>8200</v>
      </c>
      <c r="J73" s="374"/>
      <c r="K73" s="365"/>
      <c r="L73" s="371">
        <v>1000</v>
      </c>
      <c r="V73" s="382">
        <v>1000</v>
      </c>
      <c r="AF73" s="383">
        <v>1000</v>
      </c>
      <c r="AP73" s="384">
        <v>1300</v>
      </c>
      <c r="AZ73" s="386">
        <v>1300</v>
      </c>
      <c r="BJ73" s="388">
        <v>1300</v>
      </c>
      <c r="BT73" s="389">
        <v>1300</v>
      </c>
    </row>
    <row r="74" spans="1:72" ht="29.25" hidden="1" customHeight="1">
      <c r="A74" s="347">
        <v>2</v>
      </c>
      <c r="B74" s="364"/>
      <c r="C74" s="565">
        <v>1112048</v>
      </c>
      <c r="D74" s="365" t="s">
        <v>470</v>
      </c>
      <c r="E74" s="169" t="s">
        <v>203</v>
      </c>
      <c r="F74" s="365"/>
      <c r="G74" s="365"/>
      <c r="H74" s="373"/>
      <c r="I74" s="218">
        <f t="shared" si="14"/>
        <v>1540</v>
      </c>
      <c r="J74" s="374"/>
      <c r="K74" s="365"/>
      <c r="L74" s="371"/>
      <c r="V74" s="382">
        <v>770</v>
      </c>
      <c r="AF74" s="383">
        <v>385</v>
      </c>
      <c r="AP74" s="384"/>
      <c r="AZ74" s="386">
        <v>385</v>
      </c>
      <c r="BJ74" s="388"/>
      <c r="BT74" s="389"/>
    </row>
    <row r="75" spans="1:72" ht="29.25" hidden="1" customHeight="1">
      <c r="A75" s="347">
        <v>3</v>
      </c>
      <c r="B75" s="364"/>
      <c r="C75" s="565">
        <v>1112049</v>
      </c>
      <c r="D75" s="365" t="s">
        <v>471</v>
      </c>
      <c r="E75" s="169" t="s">
        <v>203</v>
      </c>
      <c r="F75" s="365"/>
      <c r="G75" s="365"/>
      <c r="H75" s="373"/>
      <c r="I75" s="218">
        <f t="shared" si="14"/>
        <v>1760</v>
      </c>
      <c r="J75" s="374"/>
      <c r="K75" s="365"/>
      <c r="L75" s="371"/>
      <c r="V75" s="382">
        <v>880</v>
      </c>
      <c r="AF75" s="383">
        <v>440</v>
      </c>
      <c r="AP75" s="384"/>
      <c r="AZ75" s="386">
        <v>440</v>
      </c>
      <c r="BJ75" s="388"/>
      <c r="BT75" s="389"/>
    </row>
    <row r="76" spans="1:72" ht="18.75" customHeight="1"/>
  </sheetData>
  <autoFilter ref="E1:E75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92" customFormat="1" ht="15.75" customHeight="1">
      <c r="A1" s="603" t="s">
        <v>14</v>
      </c>
      <c r="B1" s="605"/>
      <c r="C1" s="605"/>
      <c r="D1" s="605"/>
      <c r="E1" s="605"/>
      <c r="F1" s="604"/>
      <c r="G1" s="493"/>
      <c r="H1" s="603" t="s">
        <v>15</v>
      </c>
      <c r="I1" s="604"/>
      <c r="J1" s="604"/>
      <c r="K1" s="604"/>
      <c r="L1" s="604"/>
      <c r="M1" s="604"/>
      <c r="N1" s="493"/>
      <c r="O1" s="603" t="s">
        <v>16</v>
      </c>
      <c r="P1" s="604"/>
      <c r="Q1" s="604"/>
      <c r="R1" s="604"/>
      <c r="S1" s="604"/>
      <c r="T1" s="604"/>
      <c r="U1" s="493"/>
      <c r="V1" s="603" t="s">
        <v>17</v>
      </c>
      <c r="W1" s="604"/>
      <c r="X1" s="604"/>
      <c r="Y1" s="604"/>
      <c r="Z1" s="604"/>
      <c r="AA1" s="604"/>
      <c r="AB1" s="493"/>
      <c r="AC1" s="603" t="s">
        <v>385</v>
      </c>
      <c r="AD1" s="604"/>
      <c r="AE1" s="604"/>
      <c r="AF1" s="604"/>
      <c r="AG1" s="604"/>
      <c r="AH1" s="604"/>
      <c r="AI1" s="493"/>
      <c r="AJ1" s="603" t="s">
        <v>19</v>
      </c>
      <c r="AK1" s="604"/>
      <c r="AL1" s="604"/>
      <c r="AM1" s="604"/>
      <c r="AN1" s="604"/>
      <c r="AO1" s="604"/>
      <c r="AP1" s="493"/>
      <c r="AQ1" s="603" t="s">
        <v>386</v>
      </c>
      <c r="AR1" s="604"/>
      <c r="AS1" s="604"/>
      <c r="AT1" s="604"/>
      <c r="AU1" s="604"/>
      <c r="AV1" s="60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01"/>
      <c r="P68" s="602"/>
      <c r="Q68" s="7"/>
      <c r="R68" s="6"/>
      <c r="S68" s="7"/>
      <c r="T68" s="6"/>
      <c r="U68" s="8"/>
      <c r="V68" s="8"/>
      <c r="W68" s="1"/>
      <c r="X68" s="1"/>
      <c r="Y68" s="601"/>
      <c r="Z68" s="602"/>
      <c r="AA68" s="7"/>
      <c r="AB68" s="6"/>
      <c r="AC68" s="7"/>
      <c r="AD68" s="6"/>
      <c r="AE68" s="8"/>
      <c r="AF68" s="8"/>
      <c r="AG68" s="1"/>
      <c r="AH68" s="1"/>
      <c r="AI68" s="601"/>
      <c r="AJ68" s="602"/>
      <c r="AK68" s="7"/>
      <c r="AL68" s="6"/>
      <c r="AM68" s="7"/>
      <c r="AN68" s="6"/>
      <c r="AO68" s="8"/>
      <c r="AP68" s="8"/>
      <c r="AQ68" s="1"/>
      <c r="AR68" s="1"/>
      <c r="AS68" s="601"/>
      <c r="AT68" s="602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1"/>
      <c r="P69" s="602"/>
      <c r="Q69" s="7"/>
      <c r="R69" s="6"/>
      <c r="S69" s="7"/>
      <c r="T69" s="6"/>
      <c r="U69" s="8"/>
      <c r="V69" s="8"/>
      <c r="W69" s="1"/>
      <c r="X69" s="1"/>
      <c r="Y69" s="601"/>
      <c r="Z69" s="602"/>
      <c r="AA69" s="7"/>
      <c r="AB69" s="6"/>
      <c r="AC69" s="7"/>
      <c r="AD69" s="6"/>
      <c r="AE69" s="8"/>
      <c r="AF69" s="8"/>
      <c r="AG69" s="1"/>
      <c r="AH69" s="1"/>
      <c r="AI69" s="601"/>
      <c r="AJ69" s="602"/>
      <c r="AK69" s="7"/>
      <c r="AL69" s="6"/>
      <c r="AM69" s="7"/>
      <c r="AN69" s="6"/>
      <c r="AO69" s="8"/>
      <c r="AP69" s="8"/>
      <c r="AQ69" s="1"/>
      <c r="AR69" s="1"/>
      <c r="AS69" s="601"/>
      <c r="AT69" s="602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1"/>
      <c r="P70" s="602"/>
      <c r="Q70" s="7"/>
      <c r="R70" s="6"/>
      <c r="S70" s="7"/>
      <c r="T70" s="6"/>
      <c r="U70" s="8"/>
      <c r="V70" s="8"/>
      <c r="W70" s="1"/>
      <c r="X70" s="1"/>
      <c r="Y70" s="601"/>
      <c r="Z70" s="602"/>
      <c r="AA70" s="7"/>
      <c r="AB70" s="6"/>
      <c r="AC70" s="7"/>
      <c r="AD70" s="6"/>
      <c r="AE70" s="8"/>
      <c r="AF70" s="8"/>
      <c r="AG70" s="1"/>
      <c r="AH70" s="1"/>
      <c r="AI70" s="601"/>
      <c r="AJ70" s="602"/>
      <c r="AK70" s="7"/>
      <c r="AL70" s="6"/>
      <c r="AM70" s="7"/>
      <c r="AN70" s="6"/>
      <c r="AO70" s="8"/>
      <c r="AP70" s="8"/>
      <c r="AQ70" s="1"/>
      <c r="AR70" s="1"/>
      <c r="AS70" s="601"/>
      <c r="AT70" s="602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3"/>
  <sheetViews>
    <sheetView zoomScale="90" zoomScaleNormal="90" workbookViewId="0">
      <selection activeCell="D72" sqref="D72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70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3.42578125" style="164" customWidth="1"/>
    <col min="12" max="12" width="14.140625" style="164" bestFit="1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96" t="s">
        <v>4</v>
      </c>
      <c r="C1" s="218" t="s">
        <v>5</v>
      </c>
      <c r="D1" s="446" t="s">
        <v>6</v>
      </c>
      <c r="E1" s="446" t="s">
        <v>7</v>
      </c>
      <c r="F1" s="606" t="s">
        <v>8</v>
      </c>
      <c r="G1" s="607"/>
      <c r="H1" s="608"/>
      <c r="I1" s="607"/>
      <c r="J1" s="607"/>
      <c r="K1" s="609" t="s">
        <v>424</v>
      </c>
      <c r="L1" s="610"/>
      <c r="M1" s="575"/>
      <c r="N1" s="575"/>
      <c r="O1" s="575"/>
      <c r="P1" s="575"/>
      <c r="Q1" s="575"/>
      <c r="R1" s="575"/>
      <c r="S1" s="575"/>
      <c r="T1" s="575"/>
      <c r="U1" s="575"/>
      <c r="V1" s="610"/>
      <c r="W1" s="575"/>
      <c r="X1" s="575"/>
      <c r="Y1" s="575"/>
      <c r="Z1" s="575"/>
      <c r="AA1" s="575"/>
      <c r="AB1" s="575"/>
      <c r="AC1" s="575"/>
      <c r="AD1" s="575"/>
      <c r="AE1" s="575"/>
      <c r="AF1" s="610"/>
      <c r="AG1" s="575"/>
      <c r="AH1" s="575"/>
      <c r="AI1" s="575"/>
      <c r="AJ1" s="575"/>
      <c r="AK1" s="575"/>
      <c r="AL1" s="575"/>
      <c r="AM1" s="575"/>
      <c r="AN1" s="575"/>
      <c r="AO1" s="575"/>
      <c r="AP1" s="610"/>
      <c r="AQ1" s="575"/>
      <c r="AR1" s="575"/>
      <c r="AS1" s="575"/>
      <c r="AT1" s="575"/>
      <c r="AU1" s="575"/>
      <c r="AV1" s="575"/>
      <c r="AW1" s="575"/>
      <c r="AX1" s="575"/>
      <c r="AY1" s="575"/>
      <c r="AZ1" s="610"/>
      <c r="BA1" s="575"/>
      <c r="BB1" s="575"/>
      <c r="BC1" s="575"/>
      <c r="BD1" s="575"/>
      <c r="BE1" s="575"/>
      <c r="BF1" s="575"/>
      <c r="BG1" s="575"/>
      <c r="BH1" s="575"/>
      <c r="BI1" s="575"/>
      <c r="BJ1" s="610"/>
      <c r="BK1" s="575"/>
      <c r="BL1" s="575"/>
      <c r="BM1" s="575"/>
      <c r="BN1" s="575"/>
      <c r="BO1" s="575"/>
      <c r="BP1" s="575"/>
      <c r="BQ1" s="575"/>
      <c r="BR1" s="575"/>
      <c r="BS1" s="575"/>
      <c r="BT1" s="610"/>
      <c r="BU1" s="575"/>
      <c r="BV1" s="575"/>
      <c r="BW1" s="575"/>
      <c r="BX1" s="575"/>
      <c r="BY1" s="575"/>
      <c r="BZ1" s="575"/>
      <c r="CA1" s="575"/>
      <c r="CB1" s="576"/>
    </row>
    <row r="2" spans="1:80" s="42" customFormat="1" ht="26.25" hidden="1">
      <c r="A2" s="168">
        <v>1</v>
      </c>
      <c r="B2" s="442"/>
      <c r="C2" s="169">
        <v>1113036</v>
      </c>
      <c r="D2" s="271" t="s">
        <v>26</v>
      </c>
      <c r="E2" s="169" t="s">
        <v>27</v>
      </c>
      <c r="F2" s="169"/>
      <c r="G2" s="183"/>
      <c r="H2" s="184">
        <v>0</v>
      </c>
      <c r="I2" s="218">
        <f t="shared" ref="I2:I35" si="0">SUM(L2,V2,AF2,AP2,AZ2,BJ2,BT2)</f>
        <v>0</v>
      </c>
      <c r="J2" s="184">
        <v>0</v>
      </c>
      <c r="K2" s="185"/>
      <c r="L2" s="431"/>
      <c r="M2" s="222"/>
      <c r="N2" s="96"/>
      <c r="O2" s="59"/>
      <c r="P2" s="59"/>
      <c r="Q2" s="59"/>
      <c r="R2" s="59"/>
      <c r="S2" s="44"/>
      <c r="T2" s="59"/>
      <c r="U2" s="221"/>
      <c r="V2" s="432"/>
      <c r="W2" s="222"/>
      <c r="X2" s="96"/>
      <c r="Y2" s="59"/>
      <c r="Z2" s="59"/>
      <c r="AA2" s="59"/>
      <c r="AB2" s="59"/>
      <c r="AC2" s="44"/>
      <c r="AD2" s="59"/>
      <c r="AE2" s="221"/>
      <c r="AF2" s="433"/>
      <c r="AG2" s="222"/>
      <c r="AH2" s="96"/>
      <c r="AI2" s="59"/>
      <c r="AJ2" s="59"/>
      <c r="AK2" s="59"/>
      <c r="AL2" s="59"/>
      <c r="AM2" s="44"/>
      <c r="AN2" s="59"/>
      <c r="AO2" s="221"/>
      <c r="AP2" s="434"/>
      <c r="AQ2" s="222"/>
      <c r="AR2" s="96"/>
      <c r="AS2" s="59"/>
      <c r="AT2" s="59"/>
      <c r="AU2" s="59"/>
      <c r="AV2" s="59"/>
      <c r="AW2" s="44"/>
      <c r="AX2" s="59"/>
      <c r="AY2" s="221"/>
      <c r="AZ2" s="435"/>
      <c r="BA2" s="222"/>
      <c r="BB2" s="96"/>
      <c r="BC2" s="59"/>
      <c r="BD2" s="59"/>
      <c r="BE2" s="59"/>
      <c r="BF2" s="59"/>
      <c r="BG2" s="44"/>
      <c r="BH2" s="59"/>
      <c r="BI2" s="221"/>
      <c r="BJ2" s="436"/>
      <c r="BK2" s="222"/>
      <c r="BL2" s="96"/>
      <c r="BM2" s="59"/>
      <c r="BN2" s="59"/>
      <c r="BO2" s="59"/>
      <c r="BP2" s="59"/>
      <c r="BQ2" s="44"/>
      <c r="BR2" s="59"/>
      <c r="BS2" s="221"/>
      <c r="BT2" s="219"/>
      <c r="BU2" s="222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170"/>
      <c r="C5" s="169">
        <v>1113091</v>
      </c>
      <c r="D5" s="271" t="s">
        <v>41</v>
      </c>
      <c r="E5" s="220" t="s">
        <v>42</v>
      </c>
      <c r="F5" s="169"/>
      <c r="G5" s="183"/>
      <c r="H5" s="184">
        <v>0</v>
      </c>
      <c r="I5" s="218">
        <f t="shared" si="0"/>
        <v>0</v>
      </c>
      <c r="J5" s="262">
        <v>0</v>
      </c>
      <c r="K5" s="59"/>
      <c r="L5" s="207"/>
      <c r="M5" s="59"/>
      <c r="N5" s="96"/>
      <c r="O5" s="59"/>
      <c r="P5" s="59"/>
      <c r="Q5" s="59"/>
      <c r="R5" s="59"/>
      <c r="S5" s="44"/>
      <c r="T5" s="59"/>
      <c r="U5" s="59"/>
      <c r="V5" s="192"/>
      <c r="W5" s="59"/>
      <c r="X5" s="96"/>
      <c r="Y5" s="59"/>
      <c r="Z5" s="59"/>
      <c r="AA5" s="59"/>
      <c r="AB5" s="59"/>
      <c r="AC5" s="44"/>
      <c r="AD5" s="59"/>
      <c r="AE5" s="59"/>
      <c r="AF5" s="255"/>
      <c r="AG5" s="59"/>
      <c r="AH5" s="96"/>
      <c r="AI5" s="59"/>
      <c r="AJ5" s="59"/>
      <c r="AK5" s="59"/>
      <c r="AL5" s="59"/>
      <c r="AM5" s="44"/>
      <c r="AN5" s="59"/>
      <c r="AO5" s="59"/>
      <c r="AP5" s="195"/>
      <c r="AQ5" s="59"/>
      <c r="AR5" s="96"/>
      <c r="AS5" s="59"/>
      <c r="AT5" s="59"/>
      <c r="AU5" s="59"/>
      <c r="AV5" s="59"/>
      <c r="AW5" s="44"/>
      <c r="AX5" s="59"/>
      <c r="AY5" s="59"/>
      <c r="AZ5" s="266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42"/>
      <c r="C6" s="169">
        <v>1004061</v>
      </c>
      <c r="D6" s="271" t="s">
        <v>57</v>
      </c>
      <c r="E6" s="169" t="s">
        <v>27</v>
      </c>
      <c r="F6" s="169"/>
      <c r="G6" s="183"/>
      <c r="H6" s="184">
        <v>0</v>
      </c>
      <c r="I6" s="218">
        <f t="shared" si="0"/>
        <v>0</v>
      </c>
      <c r="J6" s="184">
        <v>0</v>
      </c>
      <c r="K6" s="185"/>
      <c r="L6" s="431"/>
      <c r="M6" s="222"/>
      <c r="N6" s="96"/>
      <c r="O6" s="59"/>
      <c r="P6" s="59"/>
      <c r="Q6" s="59"/>
      <c r="R6" s="59"/>
      <c r="S6" s="44"/>
      <c r="T6" s="59"/>
      <c r="U6" s="221"/>
      <c r="V6" s="432"/>
      <c r="W6" s="222"/>
      <c r="X6" s="96"/>
      <c r="Y6" s="59"/>
      <c r="Z6" s="59"/>
      <c r="AA6" s="59"/>
      <c r="AB6" s="59"/>
      <c r="AC6" s="44"/>
      <c r="AD6" s="59"/>
      <c r="AE6" s="221"/>
      <c r="AF6" s="433"/>
      <c r="AG6" s="222"/>
      <c r="AH6" s="96"/>
      <c r="AI6" s="59"/>
      <c r="AJ6" s="59"/>
      <c r="AK6" s="59"/>
      <c r="AL6" s="59"/>
      <c r="AM6" s="44"/>
      <c r="AN6" s="59"/>
      <c r="AO6" s="221"/>
      <c r="AP6" s="434"/>
      <c r="AQ6" s="222"/>
      <c r="AR6" s="96"/>
      <c r="AS6" s="59"/>
      <c r="AT6" s="59"/>
      <c r="AU6" s="59"/>
      <c r="AV6" s="59"/>
      <c r="AW6" s="44"/>
      <c r="AX6" s="59"/>
      <c r="AY6" s="221"/>
      <c r="AZ6" s="435"/>
      <c r="BA6" s="222"/>
      <c r="BB6" s="96"/>
      <c r="BC6" s="59"/>
      <c r="BD6" s="59"/>
      <c r="BE6" s="59"/>
      <c r="BF6" s="59"/>
      <c r="BG6" s="44"/>
      <c r="BH6" s="59"/>
      <c r="BI6" s="221"/>
      <c r="BJ6" s="436"/>
      <c r="BK6" s="222"/>
      <c r="BL6" s="96"/>
      <c r="BM6" s="59"/>
      <c r="BN6" s="59"/>
      <c r="BO6" s="59"/>
      <c r="BP6" s="59"/>
      <c r="BQ6" s="44"/>
      <c r="BR6" s="59"/>
      <c r="BS6" s="221"/>
      <c r="BT6" s="219"/>
      <c r="BU6" s="222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42"/>
      <c r="C7" s="169">
        <v>1004071</v>
      </c>
      <c r="D7" s="271" t="s">
        <v>122</v>
      </c>
      <c r="E7" s="169" t="s">
        <v>27</v>
      </c>
      <c r="F7" s="169"/>
      <c r="G7" s="183"/>
      <c r="H7" s="184">
        <v>0</v>
      </c>
      <c r="I7" s="218">
        <f t="shared" si="0"/>
        <v>0</v>
      </c>
      <c r="J7" s="184">
        <v>0</v>
      </c>
      <c r="K7" s="185"/>
      <c r="L7" s="431"/>
      <c r="M7" s="222"/>
      <c r="N7" s="96"/>
      <c r="O7" s="59"/>
      <c r="P7" s="59"/>
      <c r="Q7" s="59"/>
      <c r="R7" s="59"/>
      <c r="S7" s="44"/>
      <c r="T7" s="59"/>
      <c r="U7" s="221"/>
      <c r="V7" s="432"/>
      <c r="W7" s="222"/>
      <c r="X7" s="96"/>
      <c r="Y7" s="59"/>
      <c r="Z7" s="59"/>
      <c r="AA7" s="59"/>
      <c r="AB7" s="59"/>
      <c r="AC7" s="44"/>
      <c r="AD7" s="59"/>
      <c r="AE7" s="221"/>
      <c r="AF7" s="433"/>
      <c r="AG7" s="222"/>
      <c r="AH7" s="96"/>
      <c r="AI7" s="59"/>
      <c r="AJ7" s="59"/>
      <c r="AK7" s="59"/>
      <c r="AL7" s="59"/>
      <c r="AM7" s="44"/>
      <c r="AN7" s="59"/>
      <c r="AO7" s="221"/>
      <c r="AP7" s="434"/>
      <c r="AQ7" s="222"/>
      <c r="AR7" s="96"/>
      <c r="AS7" s="59"/>
      <c r="AT7" s="59"/>
      <c r="AU7" s="59"/>
      <c r="AV7" s="59"/>
      <c r="AW7" s="44"/>
      <c r="AX7" s="59"/>
      <c r="AY7" s="221"/>
      <c r="AZ7" s="435"/>
      <c r="BA7" s="222"/>
      <c r="BB7" s="96"/>
      <c r="BC7" s="59"/>
      <c r="BD7" s="59"/>
      <c r="BE7" s="59"/>
      <c r="BF7" s="59"/>
      <c r="BG7" s="44"/>
      <c r="BH7" s="59"/>
      <c r="BI7" s="221"/>
      <c r="BJ7" s="436"/>
      <c r="BK7" s="222"/>
      <c r="BL7" s="96"/>
      <c r="BM7" s="59"/>
      <c r="BN7" s="59"/>
      <c r="BO7" s="59"/>
      <c r="BP7" s="59"/>
      <c r="BQ7" s="44"/>
      <c r="BR7" s="59"/>
      <c r="BS7" s="221"/>
      <c r="BT7" s="219"/>
      <c r="BU7" s="222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42"/>
      <c r="C8" s="169">
        <v>1004070</v>
      </c>
      <c r="D8" s="271" t="s">
        <v>123</v>
      </c>
      <c r="E8" s="169" t="s">
        <v>27</v>
      </c>
      <c r="F8" s="169"/>
      <c r="G8" s="183"/>
      <c r="H8" s="184">
        <v>0</v>
      </c>
      <c r="I8" s="218">
        <f t="shared" si="0"/>
        <v>0</v>
      </c>
      <c r="J8" s="184">
        <v>0</v>
      </c>
      <c r="K8" s="185"/>
      <c r="L8" s="431"/>
      <c r="M8" s="222"/>
      <c r="N8" s="96"/>
      <c r="O8" s="59"/>
      <c r="P8" s="59"/>
      <c r="Q8" s="59"/>
      <c r="R8" s="59"/>
      <c r="S8" s="44"/>
      <c r="T8" s="59"/>
      <c r="U8" s="221"/>
      <c r="V8" s="432"/>
      <c r="W8" s="222"/>
      <c r="X8" s="96"/>
      <c r="Y8" s="59"/>
      <c r="Z8" s="59"/>
      <c r="AA8" s="59"/>
      <c r="AB8" s="59"/>
      <c r="AC8" s="44"/>
      <c r="AD8" s="59"/>
      <c r="AE8" s="221"/>
      <c r="AF8" s="433"/>
      <c r="AG8" s="222"/>
      <c r="AH8" s="96"/>
      <c r="AI8" s="59"/>
      <c r="AJ8" s="59"/>
      <c r="AK8" s="59"/>
      <c r="AL8" s="59"/>
      <c r="AM8" s="44"/>
      <c r="AN8" s="59"/>
      <c r="AO8" s="221"/>
      <c r="AP8" s="434"/>
      <c r="AQ8" s="222"/>
      <c r="AR8" s="96"/>
      <c r="AS8" s="59"/>
      <c r="AT8" s="59"/>
      <c r="AU8" s="59"/>
      <c r="AV8" s="59"/>
      <c r="AW8" s="44"/>
      <c r="AX8" s="59"/>
      <c r="AY8" s="221"/>
      <c r="AZ8" s="435"/>
      <c r="BA8" s="222"/>
      <c r="BB8" s="96"/>
      <c r="BC8" s="59"/>
      <c r="BD8" s="59"/>
      <c r="BE8" s="59"/>
      <c r="BF8" s="59"/>
      <c r="BG8" s="44"/>
      <c r="BH8" s="59"/>
      <c r="BI8" s="221"/>
      <c r="BJ8" s="436"/>
      <c r="BK8" s="222"/>
      <c r="BL8" s="96"/>
      <c r="BM8" s="59"/>
      <c r="BN8" s="59"/>
      <c r="BO8" s="59"/>
      <c r="BP8" s="59"/>
      <c r="BQ8" s="44"/>
      <c r="BR8" s="59"/>
      <c r="BS8" s="221"/>
      <c r="BT8" s="219"/>
      <c r="BU8" s="222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42"/>
      <c r="C9" s="169">
        <v>1004063</v>
      </c>
      <c r="D9" s="271" t="s">
        <v>124</v>
      </c>
      <c r="E9" s="169" t="s">
        <v>27</v>
      </c>
      <c r="F9" s="169"/>
      <c r="G9" s="183"/>
      <c r="H9" s="184">
        <v>0</v>
      </c>
      <c r="I9" s="218">
        <f t="shared" si="0"/>
        <v>0</v>
      </c>
      <c r="J9" s="184">
        <v>0</v>
      </c>
      <c r="K9" s="185"/>
      <c r="L9" s="431"/>
      <c r="M9" s="222"/>
      <c r="N9" s="96"/>
      <c r="O9" s="59"/>
      <c r="P9" s="59"/>
      <c r="Q9" s="59"/>
      <c r="R9" s="59"/>
      <c r="S9" s="44"/>
      <c r="T9" s="59"/>
      <c r="U9" s="221"/>
      <c r="V9" s="432"/>
      <c r="W9" s="222"/>
      <c r="X9" s="96"/>
      <c r="Y9" s="59"/>
      <c r="Z9" s="59"/>
      <c r="AA9" s="59"/>
      <c r="AB9" s="59"/>
      <c r="AC9" s="44"/>
      <c r="AD9" s="59"/>
      <c r="AE9" s="221"/>
      <c r="AF9" s="433"/>
      <c r="AG9" s="222"/>
      <c r="AH9" s="96"/>
      <c r="AI9" s="59"/>
      <c r="AJ9" s="59"/>
      <c r="AK9" s="59"/>
      <c r="AL9" s="59"/>
      <c r="AM9" s="44"/>
      <c r="AN9" s="59"/>
      <c r="AO9" s="221"/>
      <c r="AP9" s="434"/>
      <c r="AQ9" s="222"/>
      <c r="AR9" s="96"/>
      <c r="AS9" s="59"/>
      <c r="AT9" s="59"/>
      <c r="AU9" s="59"/>
      <c r="AV9" s="59"/>
      <c r="AW9" s="44"/>
      <c r="AX9" s="59"/>
      <c r="AY9" s="221"/>
      <c r="AZ9" s="435"/>
      <c r="BA9" s="222"/>
      <c r="BB9" s="96"/>
      <c r="BC9" s="59"/>
      <c r="BD9" s="59"/>
      <c r="BE9" s="59"/>
      <c r="BF9" s="59"/>
      <c r="BG9" s="44"/>
      <c r="BH9" s="59"/>
      <c r="BI9" s="221"/>
      <c r="BJ9" s="436"/>
      <c r="BK9" s="222"/>
      <c r="BL9" s="96"/>
      <c r="BM9" s="59"/>
      <c r="BN9" s="59"/>
      <c r="BO9" s="59"/>
      <c r="BP9" s="59"/>
      <c r="BQ9" s="44"/>
      <c r="BR9" s="59"/>
      <c r="BS9" s="221"/>
      <c r="BT9" s="219"/>
      <c r="BU9" s="222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42"/>
      <c r="C10" s="169">
        <v>1004065</v>
      </c>
      <c r="D10" s="271" t="s">
        <v>125</v>
      </c>
      <c r="E10" s="169" t="s">
        <v>27</v>
      </c>
      <c r="F10" s="169"/>
      <c r="G10" s="183"/>
      <c r="H10" s="184">
        <v>0</v>
      </c>
      <c r="I10" s="218">
        <f t="shared" si="0"/>
        <v>0</v>
      </c>
      <c r="J10" s="184">
        <v>0</v>
      </c>
      <c r="K10" s="185"/>
      <c r="L10" s="431"/>
      <c r="M10" s="222"/>
      <c r="N10" s="96"/>
      <c r="O10" s="59"/>
      <c r="P10" s="59"/>
      <c r="Q10" s="59"/>
      <c r="R10" s="59"/>
      <c r="S10" s="44"/>
      <c r="T10" s="59"/>
      <c r="U10" s="221"/>
      <c r="V10" s="432"/>
      <c r="W10" s="222"/>
      <c r="X10" s="96"/>
      <c r="Y10" s="59"/>
      <c r="Z10" s="59"/>
      <c r="AA10" s="59"/>
      <c r="AB10" s="59"/>
      <c r="AC10" s="44"/>
      <c r="AD10" s="59"/>
      <c r="AE10" s="221"/>
      <c r="AF10" s="433"/>
      <c r="AG10" s="222"/>
      <c r="AH10" s="96"/>
      <c r="AI10" s="59"/>
      <c r="AJ10" s="59"/>
      <c r="AK10" s="59"/>
      <c r="AL10" s="59"/>
      <c r="AM10" s="44"/>
      <c r="AN10" s="59"/>
      <c r="AO10" s="221"/>
      <c r="AP10" s="434"/>
      <c r="AQ10" s="222"/>
      <c r="AR10" s="96"/>
      <c r="AS10" s="59"/>
      <c r="AT10" s="59"/>
      <c r="AU10" s="59"/>
      <c r="AV10" s="59"/>
      <c r="AW10" s="44"/>
      <c r="AX10" s="59"/>
      <c r="AY10" s="221"/>
      <c r="AZ10" s="435"/>
      <c r="BA10" s="222"/>
      <c r="BB10" s="96"/>
      <c r="BC10" s="59"/>
      <c r="BD10" s="59"/>
      <c r="BE10" s="59"/>
      <c r="BF10" s="59"/>
      <c r="BG10" s="44"/>
      <c r="BH10" s="59"/>
      <c r="BI10" s="221"/>
      <c r="BJ10" s="436"/>
      <c r="BK10" s="222"/>
      <c r="BL10" s="96"/>
      <c r="BM10" s="59"/>
      <c r="BN10" s="59"/>
      <c r="BO10" s="59"/>
      <c r="BP10" s="59"/>
      <c r="BQ10" s="44"/>
      <c r="BR10" s="59"/>
      <c r="BS10" s="221"/>
      <c r="BT10" s="219"/>
      <c r="BU10" s="222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42"/>
      <c r="C11" s="169">
        <v>1004074</v>
      </c>
      <c r="D11" s="271" t="s">
        <v>128</v>
      </c>
      <c r="E11" s="169" t="s">
        <v>27</v>
      </c>
      <c r="F11" s="169"/>
      <c r="G11" s="183"/>
      <c r="H11" s="184">
        <v>0</v>
      </c>
      <c r="I11" s="218">
        <f t="shared" si="0"/>
        <v>0</v>
      </c>
      <c r="J11" s="184">
        <v>0</v>
      </c>
      <c r="K11" s="185"/>
      <c r="L11" s="431"/>
      <c r="M11" s="222"/>
      <c r="N11" s="96"/>
      <c r="O11" s="59"/>
      <c r="P11" s="59"/>
      <c r="Q11" s="59"/>
      <c r="R11" s="59"/>
      <c r="S11" s="44"/>
      <c r="T11" s="59"/>
      <c r="U11" s="221"/>
      <c r="V11" s="432"/>
      <c r="W11" s="222"/>
      <c r="X11" s="96"/>
      <c r="Y11" s="59"/>
      <c r="Z11" s="59"/>
      <c r="AA11" s="59"/>
      <c r="AB11" s="59"/>
      <c r="AC11" s="44"/>
      <c r="AD11" s="59"/>
      <c r="AE11" s="221"/>
      <c r="AF11" s="433"/>
      <c r="AG11" s="222"/>
      <c r="AH11" s="96"/>
      <c r="AI11" s="59"/>
      <c r="AJ11" s="59"/>
      <c r="AK11" s="59"/>
      <c r="AL11" s="59"/>
      <c r="AM11" s="44"/>
      <c r="AN11" s="59"/>
      <c r="AO11" s="221"/>
      <c r="AP11" s="434"/>
      <c r="AQ11" s="222"/>
      <c r="AR11" s="96"/>
      <c r="AS11" s="59"/>
      <c r="AT11" s="59"/>
      <c r="AU11" s="59"/>
      <c r="AV11" s="59"/>
      <c r="AW11" s="44"/>
      <c r="AX11" s="59"/>
      <c r="AY11" s="221"/>
      <c r="AZ11" s="435"/>
      <c r="BA11" s="222"/>
      <c r="BB11" s="96"/>
      <c r="BC11" s="59"/>
      <c r="BD11" s="59"/>
      <c r="BE11" s="59"/>
      <c r="BF11" s="59"/>
      <c r="BG11" s="44"/>
      <c r="BH11" s="59"/>
      <c r="BI11" s="221"/>
      <c r="BJ11" s="436"/>
      <c r="BK11" s="222"/>
      <c r="BL11" s="96"/>
      <c r="BM11" s="59"/>
      <c r="BN11" s="59"/>
      <c r="BO11" s="59"/>
      <c r="BP11" s="59"/>
      <c r="BQ11" s="44"/>
      <c r="BR11" s="59"/>
      <c r="BS11" s="221"/>
      <c r="BT11" s="219"/>
      <c r="BU11" s="222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42"/>
      <c r="C12" s="169">
        <v>1004064</v>
      </c>
      <c r="D12" s="271" t="s">
        <v>131</v>
      </c>
      <c r="E12" s="169" t="s">
        <v>27</v>
      </c>
      <c r="F12" s="169"/>
      <c r="G12" s="183"/>
      <c r="H12" s="184">
        <v>0</v>
      </c>
      <c r="I12" s="218">
        <f t="shared" si="0"/>
        <v>0</v>
      </c>
      <c r="J12" s="184">
        <v>0</v>
      </c>
      <c r="K12" s="185"/>
      <c r="L12" s="431"/>
      <c r="M12" s="222"/>
      <c r="N12" s="96"/>
      <c r="O12" s="59"/>
      <c r="P12" s="59"/>
      <c r="Q12" s="59"/>
      <c r="R12" s="59"/>
      <c r="S12" s="44"/>
      <c r="T12" s="59"/>
      <c r="U12" s="221"/>
      <c r="V12" s="432"/>
      <c r="W12" s="222"/>
      <c r="X12" s="96"/>
      <c r="Y12" s="59"/>
      <c r="Z12" s="59"/>
      <c r="AA12" s="59"/>
      <c r="AB12" s="59"/>
      <c r="AC12" s="44"/>
      <c r="AD12" s="59"/>
      <c r="AE12" s="221"/>
      <c r="AF12" s="433"/>
      <c r="AG12" s="222"/>
      <c r="AH12" s="96"/>
      <c r="AI12" s="59"/>
      <c r="AJ12" s="59"/>
      <c r="AK12" s="59"/>
      <c r="AL12" s="59"/>
      <c r="AM12" s="44"/>
      <c r="AN12" s="59"/>
      <c r="AO12" s="221"/>
      <c r="AP12" s="434"/>
      <c r="AQ12" s="222"/>
      <c r="AR12" s="96"/>
      <c r="AS12" s="59"/>
      <c r="AT12" s="59"/>
      <c r="AU12" s="59"/>
      <c r="AV12" s="59"/>
      <c r="AW12" s="44"/>
      <c r="AX12" s="59"/>
      <c r="AY12" s="221"/>
      <c r="AZ12" s="435"/>
      <c r="BA12" s="222"/>
      <c r="BB12" s="96"/>
      <c r="BC12" s="59"/>
      <c r="BD12" s="59"/>
      <c r="BE12" s="59"/>
      <c r="BF12" s="59"/>
      <c r="BG12" s="44"/>
      <c r="BH12" s="59"/>
      <c r="BI12" s="221"/>
      <c r="BJ12" s="436"/>
      <c r="BK12" s="222"/>
      <c r="BL12" s="96"/>
      <c r="BM12" s="59"/>
      <c r="BN12" s="59"/>
      <c r="BO12" s="59"/>
      <c r="BP12" s="59"/>
      <c r="BQ12" s="44"/>
      <c r="BR12" s="59"/>
      <c r="BS12" s="221"/>
      <c r="BT12" s="219"/>
      <c r="BU12" s="222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42"/>
      <c r="C13" s="169">
        <v>1004072</v>
      </c>
      <c r="D13" s="271" t="s">
        <v>133</v>
      </c>
      <c r="E13" s="169" t="s">
        <v>27</v>
      </c>
      <c r="F13" s="169"/>
      <c r="G13" s="183"/>
      <c r="H13" s="184">
        <v>0</v>
      </c>
      <c r="I13" s="218">
        <f t="shared" si="0"/>
        <v>0</v>
      </c>
      <c r="J13" s="184">
        <v>0</v>
      </c>
      <c r="K13" s="185"/>
      <c r="L13" s="431"/>
      <c r="M13" s="222"/>
      <c r="N13" s="96"/>
      <c r="O13" s="59"/>
      <c r="P13" s="59"/>
      <c r="Q13" s="59"/>
      <c r="R13" s="59"/>
      <c r="S13" s="44"/>
      <c r="T13" s="59"/>
      <c r="U13" s="221"/>
      <c r="V13" s="432"/>
      <c r="W13" s="222"/>
      <c r="X13" s="96"/>
      <c r="Y13" s="59"/>
      <c r="Z13" s="59"/>
      <c r="AA13" s="59"/>
      <c r="AB13" s="59"/>
      <c r="AC13" s="44"/>
      <c r="AD13" s="59"/>
      <c r="AE13" s="221"/>
      <c r="AF13" s="433"/>
      <c r="AG13" s="222"/>
      <c r="AH13" s="96"/>
      <c r="AI13" s="59"/>
      <c r="AJ13" s="59"/>
      <c r="AK13" s="59"/>
      <c r="AL13" s="59"/>
      <c r="AM13" s="44"/>
      <c r="AN13" s="59"/>
      <c r="AO13" s="221"/>
      <c r="AP13" s="434"/>
      <c r="AQ13" s="222"/>
      <c r="AR13" s="96"/>
      <c r="AS13" s="59"/>
      <c r="AT13" s="59"/>
      <c r="AU13" s="59"/>
      <c r="AV13" s="59"/>
      <c r="AW13" s="44"/>
      <c r="AX13" s="59"/>
      <c r="AY13" s="221"/>
      <c r="AZ13" s="435"/>
      <c r="BA13" s="222"/>
      <c r="BB13" s="96"/>
      <c r="BC13" s="59"/>
      <c r="BD13" s="59"/>
      <c r="BE13" s="59"/>
      <c r="BF13" s="59"/>
      <c r="BG13" s="44"/>
      <c r="BH13" s="59"/>
      <c r="BI13" s="221"/>
      <c r="BJ13" s="436"/>
      <c r="BK13" s="222"/>
      <c r="BL13" s="96"/>
      <c r="BM13" s="59"/>
      <c r="BN13" s="59"/>
      <c r="BO13" s="59"/>
      <c r="BP13" s="59"/>
      <c r="BQ13" s="44"/>
      <c r="BR13" s="59"/>
      <c r="BS13" s="221"/>
      <c r="BT13" s="219"/>
      <c r="BU13" s="222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42"/>
      <c r="C14" s="169">
        <v>1113008</v>
      </c>
      <c r="D14" s="271" t="s">
        <v>137</v>
      </c>
      <c r="E14" s="169" t="s">
        <v>27</v>
      </c>
      <c r="F14" s="169"/>
      <c r="G14" s="183"/>
      <c r="H14" s="184">
        <v>0</v>
      </c>
      <c r="I14" s="218">
        <f t="shared" ref="I14" si="3">SUM(L14,V14,AF14,AP14,AZ14,BJ14,BT14)</f>
        <v>0</v>
      </c>
      <c r="J14" s="184">
        <v>0</v>
      </c>
      <c r="K14" s="185"/>
      <c r="L14" s="431"/>
      <c r="M14" s="222"/>
      <c r="N14" s="96"/>
      <c r="O14" s="59"/>
      <c r="P14" s="59"/>
      <c r="Q14" s="59"/>
      <c r="R14" s="59"/>
      <c r="S14" s="44"/>
      <c r="T14" s="59"/>
      <c r="U14" s="221"/>
      <c r="V14" s="432"/>
      <c r="W14" s="222"/>
      <c r="X14" s="96"/>
      <c r="Y14" s="59"/>
      <c r="Z14" s="59"/>
      <c r="AA14" s="59"/>
      <c r="AB14" s="59"/>
      <c r="AC14" s="44"/>
      <c r="AD14" s="59"/>
      <c r="AE14" s="221"/>
      <c r="AF14" s="433"/>
      <c r="AG14" s="222"/>
      <c r="AH14" s="96"/>
      <c r="AI14" s="59"/>
      <c r="AJ14" s="59"/>
      <c r="AK14" s="59"/>
      <c r="AL14" s="59"/>
      <c r="AM14" s="44"/>
      <c r="AN14" s="59"/>
      <c r="AO14" s="221"/>
      <c r="AP14" s="434"/>
      <c r="AQ14" s="222"/>
      <c r="AR14" s="96"/>
      <c r="AS14" s="59"/>
      <c r="AT14" s="59"/>
      <c r="AU14" s="59"/>
      <c r="AV14" s="59"/>
      <c r="AW14" s="44"/>
      <c r="AX14" s="59"/>
      <c r="AY14" s="221"/>
      <c r="AZ14" s="435"/>
      <c r="BA14" s="222"/>
      <c r="BB14" s="96"/>
      <c r="BC14" s="59"/>
      <c r="BD14" s="59"/>
      <c r="BE14" s="59"/>
      <c r="BF14" s="59"/>
      <c r="BG14" s="44"/>
      <c r="BH14" s="59"/>
      <c r="BI14" s="221"/>
      <c r="BJ14" s="436"/>
      <c r="BK14" s="222"/>
      <c r="BL14" s="96"/>
      <c r="BM14" s="59"/>
      <c r="BN14" s="59"/>
      <c r="BO14" s="59"/>
      <c r="BP14" s="59"/>
      <c r="BQ14" s="44"/>
      <c r="BR14" s="59"/>
      <c r="BS14" s="221"/>
      <c r="BT14" s="219"/>
      <c r="BU14" s="222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90">
        <v>11</v>
      </c>
      <c r="B15" s="497"/>
      <c r="C15" s="231">
        <v>1113106</v>
      </c>
      <c r="D15" s="456" t="s">
        <v>152</v>
      </c>
      <c r="E15" s="231" t="s">
        <v>27</v>
      </c>
      <c r="F15" s="231"/>
      <c r="G15" s="232"/>
      <c r="H15" s="233">
        <v>0</v>
      </c>
      <c r="I15" s="418">
        <f t="shared" ref="I15" si="4">SUM(L15,V15,AF15,AP15,AZ15,BJ15,BT15)</f>
        <v>0</v>
      </c>
      <c r="J15" s="233">
        <v>0</v>
      </c>
      <c r="K15" s="260"/>
      <c r="L15" s="498"/>
      <c r="M15" s="222"/>
      <c r="N15" s="96"/>
      <c r="O15" s="59"/>
      <c r="P15" s="59"/>
      <c r="Q15" s="59"/>
      <c r="R15" s="59"/>
      <c r="S15" s="44"/>
      <c r="T15" s="59"/>
      <c r="U15" s="221"/>
      <c r="V15" s="457"/>
      <c r="W15" s="222"/>
      <c r="X15" s="96"/>
      <c r="Y15" s="59"/>
      <c r="Z15" s="59"/>
      <c r="AA15" s="59"/>
      <c r="AB15" s="59"/>
      <c r="AC15" s="44"/>
      <c r="AD15" s="59"/>
      <c r="AE15" s="221"/>
      <c r="AF15" s="458"/>
      <c r="AG15" s="222"/>
      <c r="AH15" s="96"/>
      <c r="AI15" s="59"/>
      <c r="AJ15" s="59"/>
      <c r="AK15" s="59"/>
      <c r="AL15" s="59"/>
      <c r="AM15" s="44"/>
      <c r="AN15" s="59"/>
      <c r="AO15" s="221"/>
      <c r="AP15" s="459"/>
      <c r="AQ15" s="222"/>
      <c r="AR15" s="96"/>
      <c r="AS15" s="59"/>
      <c r="AT15" s="59"/>
      <c r="AU15" s="59"/>
      <c r="AV15" s="59"/>
      <c r="AW15" s="44"/>
      <c r="AX15" s="59"/>
      <c r="AY15" s="221"/>
      <c r="AZ15" s="460"/>
      <c r="BA15" s="222"/>
      <c r="BB15" s="96"/>
      <c r="BC15" s="59"/>
      <c r="BD15" s="59"/>
      <c r="BE15" s="59"/>
      <c r="BF15" s="59"/>
      <c r="BG15" s="44"/>
      <c r="BH15" s="59"/>
      <c r="BI15" s="221"/>
      <c r="BJ15" s="461"/>
      <c r="BK15" s="222"/>
      <c r="BL15" s="96"/>
      <c r="BM15" s="59"/>
      <c r="BN15" s="59"/>
      <c r="BO15" s="59"/>
      <c r="BP15" s="59"/>
      <c r="BQ15" s="44"/>
      <c r="BR15" s="59"/>
      <c r="BS15" s="221"/>
      <c r="BT15" s="219"/>
      <c r="BU15" s="222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170"/>
      <c r="C16" s="318">
        <v>1113090</v>
      </c>
      <c r="D16" s="319" t="s">
        <v>406</v>
      </c>
      <c r="E16" s="220" t="s">
        <v>42</v>
      </c>
      <c r="F16" s="169"/>
      <c r="G16" s="183"/>
      <c r="H16" s="184">
        <v>0</v>
      </c>
      <c r="I16" s="218">
        <f t="shared" ref="I16" si="5">SUM(L16,V16,AF16,AP16,AZ16,BJ16,BT16)</f>
        <v>0</v>
      </c>
      <c r="J16" s="184">
        <v>0</v>
      </c>
      <c r="K16" s="185"/>
      <c r="L16" s="259"/>
      <c r="M16" s="222"/>
      <c r="N16" s="96"/>
      <c r="O16" s="59"/>
      <c r="P16" s="59"/>
      <c r="Q16" s="59"/>
      <c r="R16" s="59"/>
      <c r="S16" s="106"/>
      <c r="T16" s="59"/>
      <c r="U16" s="221"/>
      <c r="V16" s="204"/>
      <c r="W16" s="222"/>
      <c r="X16" s="96"/>
      <c r="Y16" s="59"/>
      <c r="Z16" s="59"/>
      <c r="AA16" s="59"/>
      <c r="AB16" s="59"/>
      <c r="AC16" s="44"/>
      <c r="AD16" s="59"/>
      <c r="AE16" s="221"/>
      <c r="AF16" s="228"/>
      <c r="AG16" s="222"/>
      <c r="AH16" s="96"/>
      <c r="AI16" s="59"/>
      <c r="AJ16" s="59"/>
      <c r="AK16" s="59"/>
      <c r="AL16" s="59"/>
      <c r="AM16" s="106"/>
      <c r="AN16" s="59"/>
      <c r="AO16" s="221"/>
      <c r="AP16" s="249"/>
      <c r="AQ16" s="222"/>
      <c r="AR16" s="96"/>
      <c r="AS16" s="59"/>
      <c r="AT16" s="59"/>
      <c r="AU16" s="59"/>
      <c r="AV16" s="59"/>
      <c r="AW16" s="44"/>
      <c r="AX16" s="59"/>
      <c r="AY16" s="221"/>
      <c r="AZ16" s="205"/>
      <c r="BA16" s="222"/>
      <c r="BB16" s="96"/>
      <c r="BC16" s="59"/>
      <c r="BD16" s="59"/>
      <c r="BE16" s="59"/>
      <c r="BF16" s="59"/>
      <c r="BG16" s="106"/>
      <c r="BH16" s="59"/>
      <c r="BI16" s="221"/>
      <c r="BJ16" s="270"/>
      <c r="BK16" s="222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170"/>
      <c r="C17" s="320">
        <v>1113087</v>
      </c>
      <c r="D17" s="321" t="s">
        <v>169</v>
      </c>
      <c r="E17" s="220" t="s">
        <v>170</v>
      </c>
      <c r="F17" s="169"/>
      <c r="G17" s="183"/>
      <c r="H17" s="184">
        <v>0</v>
      </c>
      <c r="I17" s="218">
        <f t="shared" ref="I17" si="6">SUM(L17,V17,AF17,AP17,AZ17,BJ17,BT17)</f>
        <v>0</v>
      </c>
      <c r="J17" s="184">
        <v>0</v>
      </c>
      <c r="K17" s="185"/>
      <c r="L17" s="259"/>
      <c r="M17" s="222"/>
      <c r="N17" s="96"/>
      <c r="O17" s="59"/>
      <c r="P17" s="59"/>
      <c r="Q17" s="59"/>
      <c r="R17" s="59"/>
      <c r="S17" s="106"/>
      <c r="T17" s="59"/>
      <c r="U17" s="221"/>
      <c r="V17" s="204"/>
      <c r="W17" s="222"/>
      <c r="X17" s="96"/>
      <c r="Y17" s="59"/>
      <c r="Z17" s="59"/>
      <c r="AA17" s="59"/>
      <c r="AB17" s="59"/>
      <c r="AC17" s="44"/>
      <c r="AD17" s="59"/>
      <c r="AE17" s="221"/>
      <c r="AF17" s="228"/>
      <c r="AG17" s="222"/>
      <c r="AH17" s="96"/>
      <c r="AI17" s="59"/>
      <c r="AJ17" s="59"/>
      <c r="AK17" s="59"/>
      <c r="AL17" s="59"/>
      <c r="AM17" s="106"/>
      <c r="AN17" s="59"/>
      <c r="AO17" s="221"/>
      <c r="AP17" s="249"/>
      <c r="AQ17" s="222"/>
      <c r="AR17" s="96"/>
      <c r="AS17" s="59"/>
      <c r="AT17" s="59"/>
      <c r="AU17" s="59"/>
      <c r="AV17" s="59"/>
      <c r="AW17" s="44"/>
      <c r="AX17" s="59"/>
      <c r="AY17" s="221"/>
      <c r="AZ17" s="205"/>
      <c r="BA17" s="222"/>
      <c r="BB17" s="96"/>
      <c r="BC17" s="59"/>
      <c r="BD17" s="59"/>
      <c r="BE17" s="59"/>
      <c r="BF17" s="59"/>
      <c r="BG17" s="106"/>
      <c r="BH17" s="59"/>
      <c r="BI17" s="221"/>
      <c r="BJ17" s="270"/>
      <c r="BK17" s="222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427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10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12</v>
      </c>
      <c r="B19" s="442"/>
      <c r="C19" s="169">
        <v>1113056</v>
      </c>
      <c r="D19" s="271" t="s">
        <v>181</v>
      </c>
      <c r="E19" s="169" t="s">
        <v>27</v>
      </c>
      <c r="F19" s="169"/>
      <c r="G19" s="183"/>
      <c r="H19" s="184">
        <v>0</v>
      </c>
      <c r="I19" s="218">
        <f t="shared" ref="I19:I20" si="7">SUM(L19,V19,AF19,AP19,AZ19,BJ19,BT19)</f>
        <v>0</v>
      </c>
      <c r="J19" s="184">
        <v>0</v>
      </c>
      <c r="K19" s="185"/>
      <c r="L19" s="431"/>
      <c r="M19" s="222"/>
      <c r="N19" s="96"/>
      <c r="O19" s="59"/>
      <c r="P19" s="59"/>
      <c r="Q19" s="59"/>
      <c r="R19" s="59"/>
      <c r="S19" s="44"/>
      <c r="T19" s="59"/>
      <c r="U19" s="221"/>
      <c r="V19" s="432"/>
      <c r="W19" s="222"/>
      <c r="X19" s="96"/>
      <c r="Y19" s="59"/>
      <c r="Z19" s="59"/>
      <c r="AA19" s="59"/>
      <c r="AB19" s="59"/>
      <c r="AC19" s="44"/>
      <c r="AD19" s="59"/>
      <c r="AE19" s="221"/>
      <c r="AF19" s="433"/>
      <c r="AG19" s="222"/>
      <c r="AH19" s="96"/>
      <c r="AI19" s="59"/>
      <c r="AJ19" s="59"/>
      <c r="AK19" s="59"/>
      <c r="AL19" s="59"/>
      <c r="AM19" s="44"/>
      <c r="AN19" s="59"/>
      <c r="AO19" s="221"/>
      <c r="AP19" s="434"/>
      <c r="AQ19" s="222"/>
      <c r="AR19" s="96"/>
      <c r="AS19" s="59"/>
      <c r="AT19" s="59"/>
      <c r="AU19" s="59"/>
      <c r="AV19" s="59"/>
      <c r="AW19" s="44"/>
      <c r="AX19" s="59"/>
      <c r="AY19" s="221"/>
      <c r="AZ19" s="435"/>
      <c r="BA19" s="222"/>
      <c r="BB19" s="96"/>
      <c r="BC19" s="59"/>
      <c r="BD19" s="59"/>
      <c r="BE19" s="59"/>
      <c r="BF19" s="59"/>
      <c r="BG19" s="44"/>
      <c r="BH19" s="59"/>
      <c r="BI19" s="221"/>
      <c r="BJ19" s="436"/>
      <c r="BK19" s="222"/>
      <c r="BL19" s="96"/>
      <c r="BM19" s="59"/>
      <c r="BN19" s="59"/>
      <c r="BO19" s="59"/>
      <c r="BP19" s="59"/>
      <c r="BQ19" s="44"/>
      <c r="BR19" s="59"/>
      <c r="BS19" s="221"/>
      <c r="BT19" s="219"/>
      <c r="BU19" s="222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43"/>
      <c r="C20" s="169">
        <v>1113059</v>
      </c>
      <c r="D20" s="271" t="s">
        <v>182</v>
      </c>
      <c r="E20" s="169" t="s">
        <v>27</v>
      </c>
      <c r="F20" s="169"/>
      <c r="G20" s="183"/>
      <c r="H20" s="184">
        <v>0</v>
      </c>
      <c r="I20" s="218">
        <f t="shared" si="7"/>
        <v>0</v>
      </c>
      <c r="J20" s="184">
        <v>0</v>
      </c>
      <c r="K20" s="185"/>
      <c r="L20" s="437"/>
      <c r="M20" s="222"/>
      <c r="N20" s="96"/>
      <c r="O20" s="59"/>
      <c r="P20" s="59"/>
      <c r="Q20" s="59"/>
      <c r="R20" s="59"/>
      <c r="S20" s="44"/>
      <c r="T20" s="59"/>
      <c r="U20" s="221"/>
      <c r="V20" s="432"/>
      <c r="W20" s="222"/>
      <c r="X20" s="96"/>
      <c r="Y20" s="59"/>
      <c r="Z20" s="59"/>
      <c r="AA20" s="59"/>
      <c r="AB20" s="59"/>
      <c r="AC20" s="44"/>
      <c r="AD20" s="59"/>
      <c r="AE20" s="221"/>
      <c r="AF20" s="433"/>
      <c r="AG20" s="222"/>
      <c r="AH20" s="96"/>
      <c r="AI20" s="59"/>
      <c r="AJ20" s="59"/>
      <c r="AK20" s="59"/>
      <c r="AL20" s="59"/>
      <c r="AM20" s="44"/>
      <c r="AN20" s="59"/>
      <c r="AO20" s="221"/>
      <c r="AP20" s="434"/>
      <c r="AQ20" s="222"/>
      <c r="AR20" s="96"/>
      <c r="AS20" s="59"/>
      <c r="AT20" s="59"/>
      <c r="AU20" s="59"/>
      <c r="AV20" s="59"/>
      <c r="AW20" s="44"/>
      <c r="AX20" s="59"/>
      <c r="AY20" s="221"/>
      <c r="AZ20" s="438"/>
      <c r="BA20" s="222"/>
      <c r="BB20" s="96"/>
      <c r="BC20" s="59"/>
      <c r="BD20" s="59"/>
      <c r="BE20" s="59"/>
      <c r="BF20" s="59"/>
      <c r="BG20" s="44"/>
      <c r="BH20" s="59"/>
      <c r="BI20" s="221"/>
      <c r="BJ20" s="436"/>
      <c r="BK20" s="222"/>
      <c r="BL20" s="96"/>
      <c r="BM20" s="59"/>
      <c r="BN20" s="59"/>
      <c r="BO20" s="59"/>
      <c r="BP20" s="59"/>
      <c r="BQ20" s="44"/>
      <c r="BR20" s="59"/>
      <c r="BS20" s="221"/>
      <c r="BT20" s="219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42"/>
      <c r="C21" s="169">
        <v>1005977</v>
      </c>
      <c r="D21" s="271" t="s">
        <v>189</v>
      </c>
      <c r="E21" s="169" t="s">
        <v>27</v>
      </c>
      <c r="F21" s="169"/>
      <c r="G21" s="183"/>
      <c r="H21" s="184">
        <v>0</v>
      </c>
      <c r="I21" s="218">
        <f t="shared" ref="I21:I22" si="8">SUM(L21,V21,AF21,AP21,AZ21,BJ21,BT21)</f>
        <v>0</v>
      </c>
      <c r="J21" s="184">
        <v>0</v>
      </c>
      <c r="K21" s="185"/>
      <c r="L21" s="431"/>
      <c r="M21" s="222"/>
      <c r="N21" s="96"/>
      <c r="O21" s="59"/>
      <c r="P21" s="59"/>
      <c r="Q21" s="59"/>
      <c r="R21" s="59"/>
      <c r="S21" s="44"/>
      <c r="T21" s="59"/>
      <c r="U21" s="221"/>
      <c r="V21" s="432"/>
      <c r="W21" s="222"/>
      <c r="X21" s="96"/>
      <c r="Y21" s="59"/>
      <c r="Z21" s="59"/>
      <c r="AA21" s="59"/>
      <c r="AB21" s="59"/>
      <c r="AC21" s="44"/>
      <c r="AD21" s="59"/>
      <c r="AE21" s="221"/>
      <c r="AF21" s="433"/>
      <c r="AG21" s="222"/>
      <c r="AH21" s="96"/>
      <c r="AI21" s="59"/>
      <c r="AJ21" s="59"/>
      <c r="AK21" s="59"/>
      <c r="AL21" s="59"/>
      <c r="AM21" s="44"/>
      <c r="AN21" s="59"/>
      <c r="AO21" s="221"/>
      <c r="AP21" s="434"/>
      <c r="AQ21" s="222"/>
      <c r="AR21" s="96"/>
      <c r="AS21" s="59"/>
      <c r="AT21" s="59"/>
      <c r="AU21" s="59"/>
      <c r="AV21" s="59"/>
      <c r="AW21" s="44"/>
      <c r="AX21" s="59"/>
      <c r="AY21" s="221"/>
      <c r="AZ21" s="435"/>
      <c r="BA21" s="222"/>
      <c r="BB21" s="96"/>
      <c r="BC21" s="59"/>
      <c r="BD21" s="59"/>
      <c r="BE21" s="59"/>
      <c r="BF21" s="59"/>
      <c r="BG21" s="44"/>
      <c r="BH21" s="59"/>
      <c r="BI21" s="221"/>
      <c r="BJ21" s="436"/>
      <c r="BK21" s="222"/>
      <c r="BL21" s="96"/>
      <c r="BM21" s="59"/>
      <c r="BN21" s="59"/>
      <c r="BO21" s="59"/>
      <c r="BP21" s="59"/>
      <c r="BQ21" s="44"/>
      <c r="BR21" s="59"/>
      <c r="BS21" s="221"/>
      <c r="BT21" s="219"/>
      <c r="BU21" s="222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290">
        <v>15</v>
      </c>
      <c r="B22" s="499"/>
      <c r="C22" s="231">
        <v>1113088</v>
      </c>
      <c r="D22" s="456" t="s">
        <v>408</v>
      </c>
      <c r="E22" s="231" t="s">
        <v>27</v>
      </c>
      <c r="F22" s="231"/>
      <c r="G22" s="232"/>
      <c r="H22" s="233">
        <v>0</v>
      </c>
      <c r="I22" s="418">
        <f t="shared" si="8"/>
        <v>0</v>
      </c>
      <c r="J22" s="233">
        <v>0</v>
      </c>
      <c r="K22" s="260"/>
      <c r="L22" s="500"/>
      <c r="M22" s="222"/>
      <c r="N22" s="96"/>
      <c r="O22" s="59"/>
      <c r="P22" s="59"/>
      <c r="Q22" s="59"/>
      <c r="R22" s="59"/>
      <c r="S22" s="44"/>
      <c r="T22" s="59"/>
      <c r="U22" s="221"/>
      <c r="V22" s="501"/>
      <c r="W22" s="222"/>
      <c r="X22" s="96"/>
      <c r="Y22" s="59"/>
      <c r="Z22" s="59"/>
      <c r="AA22" s="59"/>
      <c r="AB22" s="59"/>
      <c r="AC22" s="44"/>
      <c r="AD22" s="59"/>
      <c r="AE22" s="221"/>
      <c r="AF22" s="502"/>
      <c r="AG22" s="222"/>
      <c r="AH22" s="96"/>
      <c r="AI22" s="59"/>
      <c r="AJ22" s="59"/>
      <c r="AK22" s="59"/>
      <c r="AL22" s="59"/>
      <c r="AM22" s="44"/>
      <c r="AN22" s="59"/>
      <c r="AO22" s="221"/>
      <c r="AP22" s="503"/>
      <c r="AQ22" s="222"/>
      <c r="AR22" s="96"/>
      <c r="AS22" s="59"/>
      <c r="AT22" s="59"/>
      <c r="AU22" s="59"/>
      <c r="AV22" s="59"/>
      <c r="AW22" s="44"/>
      <c r="AX22" s="59"/>
      <c r="AY22" s="221"/>
      <c r="AZ22" s="504"/>
      <c r="BA22" s="222"/>
      <c r="BB22" s="96"/>
      <c r="BC22" s="59"/>
      <c r="BD22" s="59"/>
      <c r="BE22" s="59"/>
      <c r="BF22" s="59"/>
      <c r="BG22" s="44"/>
      <c r="BH22" s="59"/>
      <c r="BI22" s="221"/>
      <c r="BJ22" s="461"/>
      <c r="BK22" s="222"/>
      <c r="BL22" s="96"/>
      <c r="BM22" s="59"/>
      <c r="BN22" s="59"/>
      <c r="BO22" s="59"/>
      <c r="BP22" s="59"/>
      <c r="BQ22" s="44"/>
      <c r="BR22" s="59"/>
      <c r="BS22" s="221"/>
      <c r="BT22" s="219"/>
      <c r="BU22" s="222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168">
        <v>4</v>
      </c>
      <c r="B23" s="170"/>
      <c r="C23" s="318">
        <v>1113089</v>
      </c>
      <c r="D23" s="319" t="s">
        <v>195</v>
      </c>
      <c r="E23" s="220" t="s">
        <v>42</v>
      </c>
      <c r="F23" s="169"/>
      <c r="G23" s="183"/>
      <c r="H23" s="184">
        <v>0</v>
      </c>
      <c r="I23" s="218">
        <f t="shared" ref="I23" si="9">SUM(L23,V23,AF23,AP23,AZ23,BJ23,BT23)</f>
        <v>0</v>
      </c>
      <c r="J23" s="184">
        <v>0</v>
      </c>
      <c r="K23" s="185"/>
      <c r="L23" s="259"/>
      <c r="M23" s="222"/>
      <c r="N23" s="96"/>
      <c r="O23" s="59"/>
      <c r="P23" s="59"/>
      <c r="Q23" s="59"/>
      <c r="R23" s="59"/>
      <c r="S23" s="106"/>
      <c r="T23" s="59"/>
      <c r="U23" s="221"/>
      <c r="V23" s="204"/>
      <c r="W23" s="222"/>
      <c r="X23" s="96"/>
      <c r="Y23" s="59"/>
      <c r="Z23" s="59"/>
      <c r="AA23" s="59"/>
      <c r="AB23" s="59"/>
      <c r="AC23" s="44"/>
      <c r="AD23" s="59"/>
      <c r="AE23" s="221"/>
      <c r="AF23" s="228"/>
      <c r="AG23" s="222"/>
      <c r="AH23" s="96"/>
      <c r="AI23" s="59"/>
      <c r="AJ23" s="59"/>
      <c r="AK23" s="59"/>
      <c r="AL23" s="59"/>
      <c r="AM23" s="106"/>
      <c r="AN23" s="59"/>
      <c r="AO23" s="221"/>
      <c r="AP23" s="249"/>
      <c r="AQ23" s="222"/>
      <c r="AR23" s="96"/>
      <c r="AS23" s="59"/>
      <c r="AT23" s="59"/>
      <c r="AU23" s="59"/>
      <c r="AV23" s="59"/>
      <c r="AW23" s="44"/>
      <c r="AX23" s="59"/>
      <c r="AY23" s="221"/>
      <c r="AZ23" s="205"/>
      <c r="BA23" s="222"/>
      <c r="BB23" s="96"/>
      <c r="BC23" s="59"/>
      <c r="BD23" s="59"/>
      <c r="BE23" s="59"/>
      <c r="BF23" s="59"/>
      <c r="BG23" s="106"/>
      <c r="BH23" s="59"/>
      <c r="BI23" s="221"/>
      <c r="BJ23" s="270"/>
      <c r="BK23" s="222"/>
      <c r="BL23" s="96"/>
      <c r="BM23" s="59"/>
      <c r="BN23" s="59"/>
      <c r="BO23" s="59"/>
      <c r="BP23" s="59"/>
      <c r="BQ23" s="44"/>
      <c r="BR23" s="59"/>
      <c r="BS23" s="59"/>
      <c r="BT23" s="224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428">
        <v>16</v>
      </c>
      <c r="B24" s="516"/>
      <c r="C24" s="517">
        <v>1113093</v>
      </c>
      <c r="D24" s="518" t="s">
        <v>196</v>
      </c>
      <c r="E24" s="182" t="s">
        <v>27</v>
      </c>
      <c r="F24" s="182"/>
      <c r="G24" s="429"/>
      <c r="H24" s="235">
        <v>0</v>
      </c>
      <c r="I24" s="430">
        <f t="shared" ref="I24" si="10">SUM(L24,V24,AF24,AP24,AZ24,BJ24,BT24)</f>
        <v>0</v>
      </c>
      <c r="J24" s="235">
        <v>0</v>
      </c>
      <c r="K24" s="519"/>
      <c r="L24" s="327"/>
      <c r="M24" s="222"/>
      <c r="N24" s="96"/>
      <c r="O24" s="59"/>
      <c r="P24" s="59"/>
      <c r="Q24" s="59"/>
      <c r="R24" s="105"/>
      <c r="S24" s="106"/>
      <c r="T24" s="59"/>
      <c r="U24" s="221"/>
      <c r="V24" s="520"/>
      <c r="W24" s="222"/>
      <c r="X24" s="96"/>
      <c r="Y24" s="59"/>
      <c r="Z24" s="59"/>
      <c r="AA24" s="59"/>
      <c r="AB24" s="105"/>
      <c r="AC24" s="44"/>
      <c r="AD24" s="59"/>
      <c r="AE24" s="221"/>
      <c r="AF24" s="521"/>
      <c r="AG24" s="415"/>
      <c r="AH24" s="96"/>
      <c r="AI24" s="59"/>
      <c r="AJ24" s="59"/>
      <c r="AK24" s="59"/>
      <c r="AL24" s="105"/>
      <c r="AM24" s="44"/>
      <c r="AN24" s="59"/>
      <c r="AO24" s="221"/>
      <c r="AP24" s="522"/>
      <c r="AQ24" s="222"/>
      <c r="AR24" s="96"/>
      <c r="AS24" s="59"/>
      <c r="AT24" s="59"/>
      <c r="AU24" s="59"/>
      <c r="AV24" s="105"/>
      <c r="AW24" s="44"/>
      <c r="AX24" s="59"/>
      <c r="AY24" s="221"/>
      <c r="AZ24" s="523"/>
      <c r="BA24" s="222"/>
      <c r="BB24" s="96"/>
      <c r="BC24" s="59"/>
      <c r="BD24" s="59"/>
      <c r="BE24" s="59"/>
      <c r="BF24" s="105"/>
      <c r="BG24" s="44"/>
      <c r="BH24" s="105"/>
      <c r="BI24" s="221"/>
      <c r="BJ24" s="524"/>
      <c r="BK24" s="222"/>
      <c r="BL24" s="96"/>
      <c r="BM24" s="59"/>
      <c r="BN24" s="59"/>
      <c r="BO24" s="59"/>
      <c r="BP24" s="105"/>
      <c r="BQ24" s="44"/>
      <c r="BR24" s="59"/>
      <c r="BS24" s="221"/>
      <c r="BT24" s="219"/>
      <c r="BU24" s="222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452</v>
      </c>
      <c r="E25" s="54" t="s">
        <v>69</v>
      </c>
      <c r="F25" s="54"/>
      <c r="G25" s="44"/>
      <c r="H25" s="146">
        <v>0</v>
      </c>
      <c r="I25" s="63">
        <f t="shared" si="0"/>
        <v>0</v>
      </c>
      <c r="J25" s="146">
        <v>0</v>
      </c>
      <c r="K25" s="147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230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17</v>
      </c>
      <c r="B26" s="443"/>
      <c r="C26" s="169">
        <v>1113087</v>
      </c>
      <c r="D26" s="271" t="s">
        <v>411</v>
      </c>
      <c r="E26" s="169" t="s">
        <v>27</v>
      </c>
      <c r="F26" s="169"/>
      <c r="G26" s="183"/>
      <c r="H26" s="184"/>
      <c r="I26" s="218">
        <f t="shared" ref="I26:I28" si="11">SUM(L26,V26,AF26,AP26,AZ26,BJ26,BT26)</f>
        <v>0</v>
      </c>
      <c r="J26" s="184"/>
      <c r="K26" s="185"/>
      <c r="L26" s="238"/>
      <c r="M26" s="222"/>
      <c r="N26" s="96"/>
      <c r="O26" s="105"/>
      <c r="P26" s="59"/>
      <c r="Q26" s="59"/>
      <c r="R26" s="105"/>
      <c r="S26" s="106"/>
      <c r="T26" s="59"/>
      <c r="U26" s="414"/>
      <c r="V26" s="432"/>
      <c r="W26" s="222"/>
      <c r="X26" s="96"/>
      <c r="Y26" s="105"/>
      <c r="Z26" s="59"/>
      <c r="AA26" s="59"/>
      <c r="AB26" s="105"/>
      <c r="AC26" s="44"/>
      <c r="AD26" s="59"/>
      <c r="AE26" s="221"/>
      <c r="AF26" s="433"/>
      <c r="AG26" s="415"/>
      <c r="AH26" s="96"/>
      <c r="AI26" s="105"/>
      <c r="AJ26" s="59"/>
      <c r="AK26" s="59"/>
      <c r="AL26" s="105"/>
      <c r="AM26" s="44"/>
      <c r="AN26" s="59"/>
      <c r="AO26" s="221"/>
      <c r="AP26" s="441"/>
      <c r="AQ26" s="222"/>
      <c r="AR26" s="96"/>
      <c r="AS26" s="105"/>
      <c r="AT26" s="59"/>
      <c r="AU26" s="59"/>
      <c r="AV26" s="105"/>
      <c r="AW26" s="106"/>
      <c r="AX26" s="59"/>
      <c r="AY26" s="221"/>
      <c r="AZ26" s="435"/>
      <c r="BA26" s="222"/>
      <c r="BB26" s="96"/>
      <c r="BC26" s="105"/>
      <c r="BD26" s="59"/>
      <c r="BE26" s="59"/>
      <c r="BF26" s="105"/>
      <c r="BG26" s="44"/>
      <c r="BH26" s="105"/>
      <c r="BI26" s="221"/>
      <c r="BJ26" s="436"/>
      <c r="BK26" s="415"/>
      <c r="BL26" s="96"/>
      <c r="BM26" s="105"/>
      <c r="BN26" s="59"/>
      <c r="BO26" s="59"/>
      <c r="BP26" s="105"/>
      <c r="BQ26" s="44"/>
      <c r="BR26" s="59"/>
      <c r="BS26" s="221"/>
      <c r="BT26" s="219"/>
      <c r="BU26" s="222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90">
        <v>18</v>
      </c>
      <c r="B27" s="497"/>
      <c r="C27" s="231">
        <v>1005982</v>
      </c>
      <c r="D27" s="456" t="s">
        <v>199</v>
      </c>
      <c r="E27" s="231" t="s">
        <v>27</v>
      </c>
      <c r="F27" s="231"/>
      <c r="G27" s="232"/>
      <c r="H27" s="233">
        <v>0</v>
      </c>
      <c r="I27" s="418">
        <f t="shared" si="11"/>
        <v>0</v>
      </c>
      <c r="J27" s="233">
        <v>0</v>
      </c>
      <c r="K27" s="260"/>
      <c r="L27" s="498"/>
      <c r="M27" s="222"/>
      <c r="N27" s="96"/>
      <c r="O27" s="59"/>
      <c r="P27" s="59"/>
      <c r="Q27" s="59"/>
      <c r="R27" s="59"/>
      <c r="S27" s="44"/>
      <c r="T27" s="59"/>
      <c r="U27" s="221"/>
      <c r="V27" s="457"/>
      <c r="W27" s="222"/>
      <c r="X27" s="96"/>
      <c r="Y27" s="59"/>
      <c r="Z27" s="59"/>
      <c r="AA27" s="59"/>
      <c r="AB27" s="59"/>
      <c r="AC27" s="44"/>
      <c r="AD27" s="59"/>
      <c r="AE27" s="221"/>
      <c r="AF27" s="458"/>
      <c r="AG27" s="222"/>
      <c r="AH27" s="96"/>
      <c r="AI27" s="59"/>
      <c r="AJ27" s="59"/>
      <c r="AK27" s="59"/>
      <c r="AL27" s="59"/>
      <c r="AM27" s="44"/>
      <c r="AN27" s="59"/>
      <c r="AO27" s="221"/>
      <c r="AP27" s="459"/>
      <c r="AQ27" s="222"/>
      <c r="AR27" s="96"/>
      <c r="AS27" s="59"/>
      <c r="AT27" s="59"/>
      <c r="AU27" s="59"/>
      <c r="AV27" s="59"/>
      <c r="AW27" s="44"/>
      <c r="AX27" s="59"/>
      <c r="AY27" s="221"/>
      <c r="AZ27" s="460"/>
      <c r="BA27" s="222"/>
      <c r="BB27" s="96"/>
      <c r="BC27" s="59"/>
      <c r="BD27" s="59"/>
      <c r="BE27" s="59"/>
      <c r="BF27" s="59"/>
      <c r="BG27" s="44"/>
      <c r="BH27" s="59"/>
      <c r="BI27" s="221"/>
      <c r="BJ27" s="461"/>
      <c r="BK27" s="222"/>
      <c r="BL27" s="96"/>
      <c r="BM27" s="59"/>
      <c r="BN27" s="59"/>
      <c r="BO27" s="59"/>
      <c r="BP27" s="59"/>
      <c r="BQ27" s="44"/>
      <c r="BR27" s="59"/>
      <c r="BS27" s="221"/>
      <c r="BT27" s="219"/>
      <c r="BU27" s="222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170"/>
      <c r="C28" s="322">
        <v>1113086</v>
      </c>
      <c r="D28" s="323" t="s">
        <v>200</v>
      </c>
      <c r="E28" s="220" t="s">
        <v>42</v>
      </c>
      <c r="F28" s="169"/>
      <c r="G28" s="183"/>
      <c r="H28" s="184">
        <v>0</v>
      </c>
      <c r="I28" s="218">
        <f t="shared" si="11"/>
        <v>0</v>
      </c>
      <c r="J28" s="184">
        <v>0</v>
      </c>
      <c r="K28" s="185"/>
      <c r="L28" s="203"/>
      <c r="M28" s="222"/>
      <c r="N28" s="96"/>
      <c r="O28" s="59"/>
      <c r="P28" s="59"/>
      <c r="Q28" s="59"/>
      <c r="R28" s="59"/>
      <c r="S28" s="44"/>
      <c r="T28" s="59"/>
      <c r="U28" s="221"/>
      <c r="V28" s="204"/>
      <c r="W28" s="222"/>
      <c r="X28" s="96"/>
      <c r="Y28" s="59"/>
      <c r="Z28" s="59"/>
      <c r="AA28" s="59"/>
      <c r="AB28" s="59"/>
      <c r="AC28" s="44"/>
      <c r="AD28" s="59"/>
      <c r="AE28" s="221"/>
      <c r="AF28" s="254"/>
      <c r="AG28" s="222"/>
      <c r="AH28" s="96"/>
      <c r="AI28" s="59"/>
      <c r="AJ28" s="59"/>
      <c r="AK28" s="59"/>
      <c r="AL28" s="59"/>
      <c r="AM28" s="44"/>
      <c r="AN28" s="59"/>
      <c r="AO28" s="221"/>
      <c r="AP28" s="265"/>
      <c r="AQ28" s="222"/>
      <c r="AR28" s="96"/>
      <c r="AS28" s="59"/>
      <c r="AT28" s="59"/>
      <c r="AU28" s="59"/>
      <c r="AV28" s="59"/>
      <c r="AW28" s="44"/>
      <c r="AX28" s="59"/>
      <c r="AY28" s="221"/>
      <c r="AZ28" s="268"/>
      <c r="BA28" s="222"/>
      <c r="BB28" s="96"/>
      <c r="BC28" s="59"/>
      <c r="BD28" s="59"/>
      <c r="BE28" s="59"/>
      <c r="BF28" s="59"/>
      <c r="BG28" s="44"/>
      <c r="BH28" s="59"/>
      <c r="BI28" s="221"/>
      <c r="BJ28" s="270"/>
      <c r="BK28" s="222"/>
      <c r="BL28" s="96"/>
      <c r="BM28" s="59"/>
      <c r="BN28" s="59"/>
      <c r="BO28" s="59"/>
      <c r="BP28" s="59"/>
      <c r="BQ28" s="44"/>
      <c r="BR28" s="59"/>
      <c r="BS28" s="59"/>
      <c r="BT28" s="23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447">
        <v>1</v>
      </c>
      <c r="B29" s="448"/>
      <c r="C29" s="449">
        <v>1005985</v>
      </c>
      <c r="D29" s="480" t="s">
        <v>202</v>
      </c>
      <c r="E29" s="449" t="s">
        <v>203</v>
      </c>
      <c r="F29" s="449"/>
      <c r="G29" s="450"/>
      <c r="H29" s="451">
        <v>0</v>
      </c>
      <c r="I29" s="452">
        <f t="shared" si="0"/>
        <v>0</v>
      </c>
      <c r="J29" s="451">
        <v>0</v>
      </c>
      <c r="K29" s="525"/>
      <c r="L29" s="423"/>
      <c r="M29" s="59"/>
      <c r="N29" s="96"/>
      <c r="O29" s="59"/>
      <c r="P29" s="59"/>
      <c r="Q29" s="59"/>
      <c r="R29" s="59"/>
      <c r="S29" s="44"/>
      <c r="T29" s="59"/>
      <c r="U29" s="59"/>
      <c r="V29" s="424"/>
      <c r="W29" s="59"/>
      <c r="X29" s="96"/>
      <c r="Y29" s="59"/>
      <c r="Z29" s="59"/>
      <c r="AA29" s="59"/>
      <c r="AB29" s="59"/>
      <c r="AC29" s="44"/>
      <c r="AD29" s="59"/>
      <c r="AE29" s="59"/>
      <c r="AF29" s="425"/>
      <c r="AG29" s="59"/>
      <c r="AH29" s="96"/>
      <c r="AI29" s="59"/>
      <c r="AJ29" s="59"/>
      <c r="AK29" s="59"/>
      <c r="AL29" s="59"/>
      <c r="AM29" s="44"/>
      <c r="AN29" s="59"/>
      <c r="AO29" s="59"/>
      <c r="AP29" s="426"/>
      <c r="AQ29" s="59"/>
      <c r="AR29" s="96"/>
      <c r="AS29" s="59"/>
      <c r="AT29" s="59"/>
      <c r="AU29" s="59"/>
      <c r="AV29" s="59"/>
      <c r="AW29" s="44"/>
      <c r="AX29" s="59"/>
      <c r="AY29" s="59"/>
      <c r="AZ29" s="417"/>
      <c r="BA29" s="59"/>
      <c r="BB29" s="96"/>
      <c r="BC29" s="59"/>
      <c r="BD29" s="59"/>
      <c r="BE29" s="59"/>
      <c r="BF29" s="59"/>
      <c r="BG29" s="44"/>
      <c r="BH29" s="59"/>
      <c r="BI29" s="59"/>
      <c r="BJ29" s="427"/>
      <c r="BK29" s="59"/>
      <c r="BL29" s="96"/>
      <c r="BM29" s="59"/>
      <c r="BN29" s="59"/>
      <c r="BO29" s="59"/>
      <c r="BP29" s="59"/>
      <c r="BQ29" s="44"/>
      <c r="BR29" s="59"/>
      <c r="BS29" s="59"/>
      <c r="BT29" s="308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170"/>
      <c r="C30" s="320">
        <v>1113088</v>
      </c>
      <c r="D30" s="321" t="s">
        <v>208</v>
      </c>
      <c r="E30" s="220" t="s">
        <v>170</v>
      </c>
      <c r="F30" s="169"/>
      <c r="G30" s="183"/>
      <c r="H30" s="184">
        <v>0</v>
      </c>
      <c r="I30" s="218">
        <f t="shared" ref="I30" si="12">SUM(L30,V30,AF30,AP30,AZ30,BJ30,BT30)</f>
        <v>0</v>
      </c>
      <c r="J30" s="184">
        <v>0</v>
      </c>
      <c r="K30" s="185"/>
      <c r="L30" s="259"/>
      <c r="M30" s="222"/>
      <c r="N30" s="96"/>
      <c r="O30" s="59"/>
      <c r="P30" s="59"/>
      <c r="Q30" s="59"/>
      <c r="R30" s="59"/>
      <c r="S30" s="106"/>
      <c r="T30" s="59"/>
      <c r="U30" s="221"/>
      <c r="V30" s="227"/>
      <c r="W30" s="222"/>
      <c r="X30" s="96"/>
      <c r="Y30" s="59"/>
      <c r="Z30" s="59"/>
      <c r="AA30" s="59"/>
      <c r="AB30" s="59"/>
      <c r="AC30" s="44"/>
      <c r="AD30" s="59"/>
      <c r="AE30" s="221"/>
      <c r="AF30" s="228"/>
      <c r="AG30" s="222"/>
      <c r="AH30" s="96"/>
      <c r="AI30" s="59"/>
      <c r="AJ30" s="59"/>
      <c r="AK30" s="59"/>
      <c r="AL30" s="59"/>
      <c r="AM30" s="106"/>
      <c r="AN30" s="59"/>
      <c r="AO30" s="221"/>
      <c r="AP30" s="249"/>
      <c r="AQ30" s="222"/>
      <c r="AR30" s="96"/>
      <c r="AS30" s="59"/>
      <c r="AT30" s="59"/>
      <c r="AU30" s="59"/>
      <c r="AV30" s="59"/>
      <c r="AW30" s="44"/>
      <c r="AX30" s="59"/>
      <c r="AY30" s="221"/>
      <c r="AZ30" s="205"/>
      <c r="BA30" s="222"/>
      <c r="BB30" s="96"/>
      <c r="BC30" s="59"/>
      <c r="BD30" s="59"/>
      <c r="BE30" s="59"/>
      <c r="BF30" s="59"/>
      <c r="BG30" s="106"/>
      <c r="BH30" s="59"/>
      <c r="BI30" s="221"/>
      <c r="BJ30" s="270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89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90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453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210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430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210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165">
        <v>5</v>
      </c>
      <c r="B34" s="166"/>
      <c r="C34" s="73">
        <v>20051101</v>
      </c>
      <c r="D34" s="75" t="s">
        <v>431</v>
      </c>
      <c r="E34" s="73" t="s">
        <v>69</v>
      </c>
      <c r="F34" s="73"/>
      <c r="G34" s="116"/>
      <c r="H34" s="129">
        <v>0</v>
      </c>
      <c r="I34" s="317">
        <f t="shared" si="0"/>
        <v>0</v>
      </c>
      <c r="J34" s="129">
        <v>0</v>
      </c>
      <c r="K34" s="117"/>
      <c r="L34" s="505"/>
      <c r="M34" s="59"/>
      <c r="N34" s="96"/>
      <c r="O34" s="105"/>
      <c r="P34" s="59"/>
      <c r="Q34" s="59"/>
      <c r="R34" s="105"/>
      <c r="S34" s="106"/>
      <c r="T34" s="59"/>
      <c r="U34" s="105"/>
      <c r="V34" s="506"/>
      <c r="W34" s="59"/>
      <c r="X34" s="96"/>
      <c r="Y34" s="105"/>
      <c r="Z34" s="59"/>
      <c r="AA34" s="59"/>
      <c r="AB34" s="105"/>
      <c r="AC34" s="106"/>
      <c r="AD34" s="59"/>
      <c r="AE34" s="59"/>
      <c r="AF34" s="507"/>
      <c r="AG34" s="105"/>
      <c r="AH34" s="96"/>
      <c r="AI34" s="105"/>
      <c r="AJ34" s="59"/>
      <c r="AK34" s="59"/>
      <c r="AL34" s="105"/>
      <c r="AM34" s="106"/>
      <c r="AN34" s="59"/>
      <c r="AO34" s="59"/>
      <c r="AP34" s="508"/>
      <c r="AQ34" s="59"/>
      <c r="AR34" s="96"/>
      <c r="AS34" s="105"/>
      <c r="AT34" s="59"/>
      <c r="AU34" s="59"/>
      <c r="AV34" s="105"/>
      <c r="AW34" s="106"/>
      <c r="AX34" s="59"/>
      <c r="AY34" s="59"/>
      <c r="AZ34" s="509"/>
      <c r="BA34" s="59"/>
      <c r="BB34" s="96"/>
      <c r="BC34" s="105"/>
      <c r="BD34" s="59"/>
      <c r="BE34" s="59"/>
      <c r="BF34" s="105"/>
      <c r="BG34" s="106"/>
      <c r="BH34" s="105"/>
      <c r="BI34" s="59"/>
      <c r="BJ34" s="510"/>
      <c r="BK34" s="105"/>
      <c r="BL34" s="96"/>
      <c r="BM34" s="105"/>
      <c r="BN34" s="59"/>
      <c r="BO34" s="59"/>
      <c r="BP34" s="105"/>
      <c r="BQ34" s="106"/>
      <c r="BR34" s="59"/>
      <c r="BS34" s="59"/>
      <c r="BT34" s="224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290">
        <v>6</v>
      </c>
      <c r="B35" s="541"/>
      <c r="C35" s="231">
        <v>20052721</v>
      </c>
      <c r="D35" s="456" t="s">
        <v>432</v>
      </c>
      <c r="E35" s="231" t="s">
        <v>69</v>
      </c>
      <c r="F35" s="231"/>
      <c r="G35" s="232"/>
      <c r="H35" s="233">
        <v>0</v>
      </c>
      <c r="I35" s="545">
        <f t="shared" si="0"/>
        <v>0</v>
      </c>
      <c r="J35" s="233">
        <v>0</v>
      </c>
      <c r="K35" s="260">
        <v>1800</v>
      </c>
      <c r="L35" s="546"/>
      <c r="M35" s="222"/>
      <c r="N35" s="96"/>
      <c r="O35" s="105"/>
      <c r="P35" s="59"/>
      <c r="Q35" s="59"/>
      <c r="R35" s="105"/>
      <c r="S35" s="106"/>
      <c r="T35" s="59"/>
      <c r="U35" s="414"/>
      <c r="V35" s="547"/>
      <c r="W35" s="222"/>
      <c r="X35" s="96"/>
      <c r="Y35" s="105"/>
      <c r="Z35" s="59"/>
      <c r="AA35" s="59"/>
      <c r="AB35" s="105"/>
      <c r="AC35" s="106"/>
      <c r="AD35" s="59"/>
      <c r="AE35" s="221"/>
      <c r="AF35" s="548"/>
      <c r="AG35" s="415"/>
      <c r="AH35" s="96"/>
      <c r="AI35" s="105"/>
      <c r="AJ35" s="59"/>
      <c r="AK35" s="59"/>
      <c r="AL35" s="105"/>
      <c r="AM35" s="106"/>
      <c r="AN35" s="59"/>
      <c r="AO35" s="221"/>
      <c r="AP35" s="549"/>
      <c r="AQ35" s="222"/>
      <c r="AR35" s="96"/>
      <c r="AS35" s="105"/>
      <c r="AT35" s="59"/>
      <c r="AU35" s="59"/>
      <c r="AV35" s="105"/>
      <c r="AW35" s="106"/>
      <c r="AX35" s="59"/>
      <c r="AY35" s="221"/>
      <c r="AZ35" s="550"/>
      <c r="BA35" s="222"/>
      <c r="BB35" s="96"/>
      <c r="BC35" s="105"/>
      <c r="BD35" s="59"/>
      <c r="BE35" s="59"/>
      <c r="BF35" s="105"/>
      <c r="BG35" s="106"/>
      <c r="BH35" s="105"/>
      <c r="BI35" s="221"/>
      <c r="BJ35" s="551"/>
      <c r="BK35" s="415"/>
      <c r="BL35" s="96"/>
      <c r="BM35" s="105"/>
      <c r="BN35" s="59"/>
      <c r="BO35" s="59"/>
      <c r="BP35" s="105"/>
      <c r="BQ35" s="106"/>
      <c r="BR35" s="59"/>
      <c r="BS35" s="221"/>
      <c r="BT35" s="552"/>
      <c r="BU35" s="222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170"/>
      <c r="C36" s="324">
        <v>1113148</v>
      </c>
      <c r="D36" s="325" t="s">
        <v>348</v>
      </c>
      <c r="E36" s="220" t="s">
        <v>42</v>
      </c>
      <c r="F36" s="169"/>
      <c r="G36" s="183"/>
      <c r="H36" s="184">
        <v>0</v>
      </c>
      <c r="I36" s="218">
        <f t="shared" ref="I36:I39" si="13">SUM(L36,V36,AF36,AP36,AZ36,BJ36,BT36)</f>
        <v>0</v>
      </c>
      <c r="J36" s="184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5"/>
      <c r="AQ36" s="222"/>
      <c r="AR36" s="96"/>
      <c r="AS36" s="59"/>
      <c r="AT36" s="59"/>
      <c r="AU36" s="59"/>
      <c r="AV36" s="59"/>
      <c r="AW36" s="44"/>
      <c r="AX36" s="59"/>
      <c r="AY36" s="221"/>
      <c r="AZ36" s="268"/>
      <c r="BA36" s="222"/>
      <c r="BB36" s="96"/>
      <c r="BC36" s="59"/>
      <c r="BD36" s="59"/>
      <c r="BE36" s="59"/>
      <c r="BF36" s="59"/>
      <c r="BG36" s="44"/>
      <c r="BH36" s="59"/>
      <c r="BI36" s="221"/>
      <c r="BJ36" s="270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170"/>
      <c r="C37" s="324">
        <v>1113149</v>
      </c>
      <c r="D37" s="325" t="s">
        <v>349</v>
      </c>
      <c r="E37" s="220" t="s">
        <v>42</v>
      </c>
      <c r="F37" s="169"/>
      <c r="G37" s="183"/>
      <c r="H37" s="184">
        <v>0</v>
      </c>
      <c r="I37" s="218">
        <f t="shared" si="13"/>
        <v>0</v>
      </c>
      <c r="J37" s="184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5"/>
      <c r="AQ37" s="222"/>
      <c r="AR37" s="96"/>
      <c r="AS37" s="59"/>
      <c r="AT37" s="59"/>
      <c r="AU37" s="59"/>
      <c r="AV37" s="59"/>
      <c r="AW37" s="44"/>
      <c r="AX37" s="59"/>
      <c r="AY37" s="221"/>
      <c r="AZ37" s="268"/>
      <c r="BA37" s="222"/>
      <c r="BB37" s="96"/>
      <c r="BC37" s="59"/>
      <c r="BD37" s="59"/>
      <c r="BE37" s="59"/>
      <c r="BF37" s="59"/>
      <c r="BG37" s="44"/>
      <c r="BH37" s="59"/>
      <c r="BI37" s="221"/>
      <c r="BJ37" s="270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170"/>
      <c r="C38" s="169">
        <v>1113192</v>
      </c>
      <c r="D38" s="271" t="s">
        <v>351</v>
      </c>
      <c r="E38" s="220" t="s">
        <v>42</v>
      </c>
      <c r="F38" s="169"/>
      <c r="G38" s="183"/>
      <c r="H38" s="184">
        <v>0</v>
      </c>
      <c r="I38" s="218">
        <f t="shared" si="13"/>
        <v>0</v>
      </c>
      <c r="J38" s="184">
        <v>0</v>
      </c>
      <c r="K38" s="185"/>
      <c r="L38" s="259"/>
      <c r="M38" s="222"/>
      <c r="N38" s="96"/>
      <c r="O38" s="59"/>
      <c r="P38" s="59"/>
      <c r="Q38" s="59"/>
      <c r="R38" s="59"/>
      <c r="S38" s="106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28"/>
      <c r="AG38" s="222"/>
      <c r="AH38" s="96"/>
      <c r="AI38" s="59"/>
      <c r="AJ38" s="59"/>
      <c r="AK38" s="59"/>
      <c r="AL38" s="59"/>
      <c r="AM38" s="106"/>
      <c r="AN38" s="59"/>
      <c r="AO38" s="221"/>
      <c r="AP38" s="249"/>
      <c r="AQ38" s="222"/>
      <c r="AR38" s="96"/>
      <c r="AS38" s="59"/>
      <c r="AT38" s="59"/>
      <c r="AU38" s="59"/>
      <c r="AV38" s="59"/>
      <c r="AW38" s="44"/>
      <c r="AX38" s="59"/>
      <c r="AY38" s="221"/>
      <c r="AZ38" s="205"/>
      <c r="BA38" s="222"/>
      <c r="BB38" s="96"/>
      <c r="BC38" s="59"/>
      <c r="BD38" s="59"/>
      <c r="BE38" s="59"/>
      <c r="BF38" s="59"/>
      <c r="BG38" s="106"/>
      <c r="BH38" s="59"/>
      <c r="BI38" s="221"/>
      <c r="BJ38" s="270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170"/>
      <c r="C39" s="318">
        <v>1113194</v>
      </c>
      <c r="D39" s="319" t="s">
        <v>353</v>
      </c>
      <c r="E39" s="220" t="s">
        <v>42</v>
      </c>
      <c r="F39" s="169"/>
      <c r="G39" s="183"/>
      <c r="H39" s="184">
        <v>0</v>
      </c>
      <c r="I39" s="218">
        <f t="shared" si="13"/>
        <v>0</v>
      </c>
      <c r="J39" s="184">
        <v>0</v>
      </c>
      <c r="K39" s="185"/>
      <c r="L39" s="259"/>
      <c r="M39" s="222"/>
      <c r="N39" s="96"/>
      <c r="O39" s="59"/>
      <c r="P39" s="59"/>
      <c r="Q39" s="59"/>
      <c r="R39" s="105"/>
      <c r="S39" s="106"/>
      <c r="T39" s="59"/>
      <c r="U39" s="221"/>
      <c r="V39" s="227"/>
      <c r="W39" s="222"/>
      <c r="X39" s="96"/>
      <c r="Y39" s="59"/>
      <c r="Z39" s="59"/>
      <c r="AA39" s="59"/>
      <c r="AB39" s="105"/>
      <c r="AC39" s="44"/>
      <c r="AD39" s="59"/>
      <c r="AE39" s="221"/>
      <c r="AF39" s="228"/>
      <c r="AG39" s="415"/>
      <c r="AH39" s="96"/>
      <c r="AI39" s="59"/>
      <c r="AJ39" s="59"/>
      <c r="AK39" s="59"/>
      <c r="AL39" s="105"/>
      <c r="AM39" s="106"/>
      <c r="AN39" s="59"/>
      <c r="AO39" s="221"/>
      <c r="AP39" s="249"/>
      <c r="AQ39" s="222"/>
      <c r="AR39" s="96"/>
      <c r="AS39" s="59"/>
      <c r="AT39" s="59"/>
      <c r="AU39" s="59"/>
      <c r="AV39" s="105"/>
      <c r="AW39" s="44"/>
      <c r="AX39" s="59"/>
      <c r="AY39" s="221"/>
      <c r="AZ39" s="205"/>
      <c r="BA39" s="222"/>
      <c r="BB39" s="96"/>
      <c r="BC39" s="59"/>
      <c r="BD39" s="59"/>
      <c r="BE39" s="59"/>
      <c r="BF39" s="105"/>
      <c r="BG39" s="106"/>
      <c r="BH39" s="105"/>
      <c r="BI39" s="221"/>
      <c r="BJ39" s="270"/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526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9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511">
        <v>1001001114</v>
      </c>
      <c r="D46" s="512" t="s">
        <v>413</v>
      </c>
      <c r="E46" s="513" t="s">
        <v>377</v>
      </c>
      <c r="F46" s="513"/>
      <c r="G46" s="514"/>
      <c r="H46" s="515">
        <v>0</v>
      </c>
      <c r="I46" s="317">
        <f t="shared" si="16"/>
        <v>0</v>
      </c>
      <c r="J46" s="129">
        <v>0</v>
      </c>
      <c r="K46" s="117"/>
      <c r="L46" s="305"/>
      <c r="M46" s="59"/>
      <c r="N46" s="96"/>
      <c r="O46" s="59"/>
      <c r="P46" s="59"/>
      <c r="Q46" s="59"/>
      <c r="R46" s="59"/>
      <c r="S46" s="44"/>
      <c r="T46" s="59"/>
      <c r="U46" s="59"/>
      <c r="V46" s="213"/>
      <c r="W46" s="59"/>
      <c r="X46" s="96"/>
      <c r="Y46" s="59"/>
      <c r="Z46" s="59"/>
      <c r="AA46" s="59"/>
      <c r="AB46" s="59"/>
      <c r="AC46" s="44"/>
      <c r="AD46" s="59"/>
      <c r="AE46" s="59"/>
      <c r="AF46" s="306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7"/>
      <c r="BA46" s="59"/>
      <c r="BB46" s="96"/>
      <c r="BC46" s="59"/>
      <c r="BD46" s="59"/>
      <c r="BE46" s="59"/>
      <c r="BF46" s="59"/>
      <c r="BG46" s="44"/>
      <c r="BH46" s="59"/>
      <c r="BI46" s="59"/>
      <c r="BJ46" s="217"/>
      <c r="BK46" s="59"/>
      <c r="BL46" s="96"/>
      <c r="BM46" s="59"/>
      <c r="BN46" s="59"/>
      <c r="BO46" s="59"/>
      <c r="BP46" s="59"/>
      <c r="BQ46" s="44"/>
      <c r="BR46" s="59"/>
      <c r="BS46" s="59"/>
      <c r="BT46" s="308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170"/>
      <c r="C47" s="208">
        <v>1113225</v>
      </c>
      <c r="D47" s="209" t="s">
        <v>407</v>
      </c>
      <c r="E47" s="220" t="s">
        <v>42</v>
      </c>
      <c r="F47" s="169"/>
      <c r="G47" s="183"/>
      <c r="H47" s="184"/>
      <c r="I47" s="218">
        <f t="shared" ref="I47" si="17">SUM(L47,V47,AF47,AP47,AZ47,BJ47,BT47)</f>
        <v>0</v>
      </c>
      <c r="J47" s="184"/>
      <c r="K47" s="185"/>
      <c r="L47" s="259"/>
      <c r="M47" s="222"/>
      <c r="N47" s="96"/>
      <c r="O47" s="59"/>
      <c r="P47" s="59"/>
      <c r="Q47" s="59"/>
      <c r="R47" s="59"/>
      <c r="S47" s="44"/>
      <c r="T47" s="59"/>
      <c r="U47" s="221"/>
      <c r="V47" s="227"/>
      <c r="W47" s="222"/>
      <c r="X47" s="96"/>
      <c r="Y47" s="59"/>
      <c r="Z47" s="59"/>
      <c r="AA47" s="59"/>
      <c r="AB47" s="59"/>
      <c r="AC47" s="44"/>
      <c r="AD47" s="59"/>
      <c r="AE47" s="221"/>
      <c r="AF47" s="228"/>
      <c r="AG47" s="222"/>
      <c r="AH47" s="96"/>
      <c r="AI47" s="59"/>
      <c r="AJ47" s="59"/>
      <c r="AK47" s="59"/>
      <c r="AL47" s="59"/>
      <c r="AM47" s="44"/>
      <c r="AN47" s="59"/>
      <c r="AO47" s="221"/>
      <c r="AP47" s="249"/>
      <c r="AQ47" s="222"/>
      <c r="AR47" s="96"/>
      <c r="AS47" s="59"/>
      <c r="AT47" s="59"/>
      <c r="AU47" s="59"/>
      <c r="AV47" s="59"/>
      <c r="AW47" s="44"/>
      <c r="AX47" s="59"/>
      <c r="AY47" s="221"/>
      <c r="AZ47" s="205"/>
      <c r="BA47" s="222"/>
      <c r="BB47" s="96"/>
      <c r="BC47" s="59"/>
      <c r="BD47" s="59"/>
      <c r="BE47" s="59"/>
      <c r="BF47" s="59"/>
      <c r="BG47" s="44"/>
      <c r="BH47" s="59"/>
      <c r="BI47" s="221"/>
      <c r="BJ47" s="270"/>
      <c r="BK47" s="222"/>
      <c r="BL47" s="96"/>
      <c r="BM47" s="59"/>
      <c r="BN47" s="59"/>
      <c r="BO47" s="59"/>
      <c r="BP47" s="59"/>
      <c r="BQ47" s="44"/>
      <c r="BR47" s="59"/>
      <c r="BS47" s="221"/>
      <c r="BT47" s="206"/>
      <c r="BU47" s="222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428">
        <v>7</v>
      </c>
      <c r="B48" s="250"/>
      <c r="C48" s="527">
        <v>20059547</v>
      </c>
      <c r="D48" s="292" t="s">
        <v>433</v>
      </c>
      <c r="E48" s="182" t="s">
        <v>69</v>
      </c>
      <c r="F48" s="292"/>
      <c r="G48" s="292"/>
      <c r="H48" s="235"/>
      <c r="I48" s="261">
        <f t="shared" ref="I48:I55" si="18">SUM(L48,V48,AF48,AP48,AZ48,BJ48,BT48)</f>
        <v>0</v>
      </c>
      <c r="J48" s="261"/>
      <c r="K48" s="292"/>
      <c r="L48" s="327"/>
      <c r="V48" s="528"/>
      <c r="AF48" s="529"/>
      <c r="AP48" s="530"/>
      <c r="AZ48" s="531"/>
      <c r="BJ48" s="532"/>
      <c r="BT48" s="544"/>
    </row>
    <row r="49" spans="1:72" ht="24" hidden="1" customHeight="1">
      <c r="A49" s="168">
        <v>8</v>
      </c>
      <c r="B49" s="170"/>
      <c r="C49" s="244">
        <v>20059548</v>
      </c>
      <c r="D49" s="188" t="s">
        <v>434</v>
      </c>
      <c r="E49" s="169" t="s">
        <v>69</v>
      </c>
      <c r="F49" s="188"/>
      <c r="G49" s="188"/>
      <c r="H49" s="184"/>
      <c r="I49" s="237">
        <f t="shared" si="18"/>
        <v>0</v>
      </c>
      <c r="J49" s="237"/>
      <c r="K49" s="188"/>
      <c r="L49" s="238"/>
      <c r="V49" s="239"/>
      <c r="AF49" s="240"/>
      <c r="AP49" s="241"/>
      <c r="AZ49" s="242"/>
      <c r="BJ49" s="243"/>
      <c r="BT49" s="206"/>
    </row>
    <row r="50" spans="1:72" ht="24" hidden="1" customHeight="1">
      <c r="A50" s="168">
        <v>9</v>
      </c>
      <c r="B50" s="170"/>
      <c r="C50" s="273">
        <v>20060019</v>
      </c>
      <c r="D50" s="188" t="s">
        <v>454</v>
      </c>
      <c r="E50" s="169" t="s">
        <v>69</v>
      </c>
      <c r="F50" s="188"/>
      <c r="G50" s="188"/>
      <c r="H50" s="184"/>
      <c r="I50" s="237">
        <f t="shared" si="18"/>
        <v>0</v>
      </c>
      <c r="J50" s="237"/>
      <c r="K50" s="188"/>
      <c r="L50" s="238"/>
      <c r="V50" s="227"/>
      <c r="AF50" s="228"/>
      <c r="AP50" s="249"/>
      <c r="AZ50" s="205"/>
      <c r="BJ50" s="248"/>
      <c r="BT50" s="206"/>
    </row>
    <row r="51" spans="1:72" ht="24" hidden="1" customHeight="1">
      <c r="A51" s="168">
        <v>10</v>
      </c>
      <c r="B51" s="170"/>
      <c r="C51" s="169">
        <v>20059087</v>
      </c>
      <c r="D51" s="271" t="s">
        <v>455</v>
      </c>
      <c r="E51" s="169" t="s">
        <v>69</v>
      </c>
      <c r="F51" s="188"/>
      <c r="G51" s="188"/>
      <c r="H51" s="184"/>
      <c r="I51" s="237">
        <f t="shared" si="18"/>
        <v>0</v>
      </c>
      <c r="J51" s="237"/>
      <c r="K51" s="188"/>
      <c r="L51" s="238"/>
      <c r="V51" s="227"/>
      <c r="AF51" s="228"/>
      <c r="AP51" s="249"/>
      <c r="AZ51" s="205"/>
      <c r="BJ51" s="248"/>
      <c r="BT51" s="206"/>
    </row>
    <row r="52" spans="1:72" ht="24.75" hidden="1" customHeight="1">
      <c r="A52" s="168">
        <v>11</v>
      </c>
      <c r="B52" s="170"/>
      <c r="C52" s="252">
        <v>20060974</v>
      </c>
      <c r="D52" s="271" t="s">
        <v>436</v>
      </c>
      <c r="E52" s="169" t="s">
        <v>69</v>
      </c>
      <c r="F52" s="188"/>
      <c r="G52" s="188"/>
      <c r="H52" s="184"/>
      <c r="I52" s="237">
        <f t="shared" si="18"/>
        <v>0</v>
      </c>
      <c r="J52" s="237"/>
      <c r="K52" s="188"/>
      <c r="L52" s="238"/>
      <c r="V52" s="227"/>
      <c r="AF52" s="228"/>
      <c r="AP52" s="249"/>
      <c r="AZ52" s="205"/>
      <c r="BJ52" s="248"/>
      <c r="BT52" s="206"/>
    </row>
    <row r="53" spans="1:72" ht="24.75" hidden="1" customHeight="1">
      <c r="A53" s="168">
        <v>12</v>
      </c>
      <c r="B53" s="170"/>
      <c r="C53" s="252">
        <v>20060976</v>
      </c>
      <c r="D53" s="271" t="s">
        <v>456</v>
      </c>
      <c r="E53" s="169" t="s">
        <v>69</v>
      </c>
      <c r="F53" s="188"/>
      <c r="G53" s="188"/>
      <c r="H53" s="184"/>
      <c r="I53" s="237">
        <f t="shared" si="18"/>
        <v>0</v>
      </c>
      <c r="J53" s="237"/>
      <c r="K53" s="188"/>
      <c r="L53" s="238"/>
      <c r="V53" s="227"/>
      <c r="AF53" s="228"/>
      <c r="AP53" s="249"/>
      <c r="AZ53" s="205"/>
      <c r="BJ53" s="248"/>
      <c r="BT53" s="206"/>
    </row>
    <row r="54" spans="1:72" ht="27.75" hidden="1" customHeight="1">
      <c r="A54" s="428">
        <v>13</v>
      </c>
      <c r="B54" s="250"/>
      <c r="C54" s="542">
        <v>20060973</v>
      </c>
      <c r="D54" s="543" t="s">
        <v>438</v>
      </c>
      <c r="E54" s="182" t="s">
        <v>69</v>
      </c>
      <c r="F54" s="292"/>
      <c r="G54" s="292"/>
      <c r="H54" s="235"/>
      <c r="I54" s="261">
        <f t="shared" si="18"/>
        <v>0</v>
      </c>
      <c r="J54" s="261"/>
      <c r="K54" s="292"/>
      <c r="L54" s="327"/>
      <c r="V54" s="328"/>
      <c r="AF54" s="329"/>
      <c r="AP54" s="330"/>
      <c r="AZ54" s="331"/>
      <c r="BJ54" s="332"/>
      <c r="BT54" s="544"/>
    </row>
    <row r="55" spans="1:72" ht="27.75" hidden="1" customHeight="1">
      <c r="A55" s="168">
        <v>14</v>
      </c>
      <c r="B55" s="234"/>
      <c r="C55" s="293">
        <v>20061982</v>
      </c>
      <c r="D55" s="294" t="s">
        <v>439</v>
      </c>
      <c r="E55" s="283" t="s">
        <v>69</v>
      </c>
      <c r="F55" s="188"/>
      <c r="G55" s="188"/>
      <c r="H55" s="184"/>
      <c r="I55" s="237">
        <f t="shared" si="18"/>
        <v>0</v>
      </c>
      <c r="J55" s="237"/>
      <c r="K55" s="188"/>
      <c r="L55" s="238"/>
      <c r="V55" s="227"/>
      <c r="AF55" s="228"/>
      <c r="AP55" s="249"/>
      <c r="AZ55" s="205"/>
      <c r="BJ55" s="248"/>
      <c r="BT55" s="206"/>
    </row>
    <row r="56" spans="1:72" ht="30.75" hidden="1" customHeight="1">
      <c r="A56" s="168">
        <v>15</v>
      </c>
      <c r="B56" s="170"/>
      <c r="C56" s="252">
        <v>20062915</v>
      </c>
      <c r="D56" s="295" t="s">
        <v>440</v>
      </c>
      <c r="E56" s="283" t="s">
        <v>69</v>
      </c>
      <c r="F56" s="188"/>
      <c r="G56" s="188"/>
      <c r="H56" s="184"/>
      <c r="I56" s="237">
        <f t="shared" ref="I56:I63" si="19">SUM(L56,V56,AF56,AP56,AZ56,BJ56,BT56)</f>
        <v>0</v>
      </c>
      <c r="J56" s="237"/>
      <c r="K56" s="188"/>
      <c r="L56" s="238"/>
      <c r="V56" s="227"/>
      <c r="AF56" s="228"/>
      <c r="AP56" s="249"/>
      <c r="AZ56" s="205"/>
      <c r="BJ56" s="248"/>
      <c r="BT56" s="206"/>
    </row>
    <row r="57" spans="1:72" ht="30.75" hidden="1" customHeight="1">
      <c r="A57" s="168">
        <v>16</v>
      </c>
      <c r="B57" s="170"/>
      <c r="C57" s="252">
        <v>20063266</v>
      </c>
      <c r="D57" s="295" t="s">
        <v>441</v>
      </c>
      <c r="E57" s="283" t="s">
        <v>69</v>
      </c>
      <c r="F57" s="188"/>
      <c r="G57" s="188"/>
      <c r="H57" s="184"/>
      <c r="I57" s="237">
        <f t="shared" si="19"/>
        <v>0</v>
      </c>
      <c r="J57" s="237"/>
      <c r="K57" s="188"/>
      <c r="L57" s="238"/>
      <c r="V57" s="227"/>
      <c r="AF57" s="228"/>
      <c r="AP57" s="249"/>
      <c r="AZ57" s="205"/>
      <c r="BJ57" s="248"/>
      <c r="BT57" s="206"/>
    </row>
    <row r="58" spans="1:72" ht="30.75" hidden="1" customHeight="1">
      <c r="A58" s="168">
        <v>17</v>
      </c>
      <c r="B58" s="170"/>
      <c r="C58" s="252">
        <v>20062916</v>
      </c>
      <c r="D58" s="295" t="s">
        <v>414</v>
      </c>
      <c r="E58" s="283" t="s">
        <v>69</v>
      </c>
      <c r="F58" s="188"/>
      <c r="G58" s="188"/>
      <c r="H58" s="184"/>
      <c r="I58" s="237">
        <f t="shared" si="19"/>
        <v>0</v>
      </c>
      <c r="J58" s="237"/>
      <c r="K58" s="188"/>
      <c r="L58" s="238"/>
      <c r="V58" s="227"/>
      <c r="AF58" s="228"/>
      <c r="AP58" s="249"/>
      <c r="AZ58" s="205"/>
      <c r="BJ58" s="248"/>
      <c r="BT58" s="206"/>
    </row>
    <row r="59" spans="1:72" ht="30.75" hidden="1" customHeight="1">
      <c r="A59" s="168">
        <v>18</v>
      </c>
      <c r="B59" s="170"/>
      <c r="C59" s="252">
        <v>20063380</v>
      </c>
      <c r="D59" s="295" t="s">
        <v>457</v>
      </c>
      <c r="E59" s="283" t="s">
        <v>69</v>
      </c>
      <c r="F59" s="188"/>
      <c r="G59" s="188"/>
      <c r="H59" s="184"/>
      <c r="I59" s="237">
        <f t="shared" si="19"/>
        <v>0</v>
      </c>
      <c r="J59" s="237"/>
      <c r="K59" s="188"/>
      <c r="L59" s="238"/>
      <c r="V59" s="227"/>
      <c r="AF59" s="228"/>
      <c r="AP59" s="249"/>
      <c r="AZ59" s="205"/>
      <c r="BJ59" s="248"/>
      <c r="BT59" s="206"/>
    </row>
    <row r="60" spans="1:72" ht="30.75" hidden="1" customHeight="1">
      <c r="A60" s="168">
        <v>19</v>
      </c>
      <c r="B60" s="170"/>
      <c r="C60" s="252">
        <v>20063381</v>
      </c>
      <c r="D60" s="390" t="s">
        <v>451</v>
      </c>
      <c r="E60" s="283" t="s">
        <v>69</v>
      </c>
      <c r="F60" s="188"/>
      <c r="G60" s="188"/>
      <c r="H60" s="184"/>
      <c r="I60" s="237">
        <f t="shared" si="19"/>
        <v>0</v>
      </c>
      <c r="J60" s="237"/>
      <c r="K60" s="188"/>
      <c r="L60" s="238"/>
      <c r="V60" s="227"/>
      <c r="AF60" s="228"/>
      <c r="AP60" s="249"/>
      <c r="AZ60" s="205"/>
      <c r="BJ60" s="248"/>
      <c r="BT60" s="206"/>
    </row>
    <row r="61" spans="1:72" ht="30.75" hidden="1" customHeight="1">
      <c r="A61" s="168">
        <v>20</v>
      </c>
      <c r="B61" s="170"/>
      <c r="C61" s="303">
        <v>20063468</v>
      </c>
      <c r="D61" s="304" t="s">
        <v>421</v>
      </c>
      <c r="E61" s="169" t="s">
        <v>69</v>
      </c>
      <c r="F61" s="186"/>
      <c r="G61" s="186"/>
      <c r="H61" s="184"/>
      <c r="I61" s="237">
        <f t="shared" si="19"/>
        <v>0</v>
      </c>
      <c r="J61" s="237"/>
      <c r="K61" s="188"/>
      <c r="L61" s="238"/>
      <c r="V61" s="227"/>
      <c r="AF61" s="228"/>
      <c r="AP61" s="249"/>
      <c r="AZ61" s="205"/>
      <c r="BJ61" s="248"/>
      <c r="BT61" s="206"/>
    </row>
    <row r="62" spans="1:72" ht="30.75" hidden="1" customHeight="1">
      <c r="A62" s="168">
        <v>21</v>
      </c>
      <c r="B62" s="170"/>
      <c r="C62" s="297">
        <v>20063720</v>
      </c>
      <c r="D62" s="298" t="s">
        <v>458</v>
      </c>
      <c r="E62" s="169" t="s">
        <v>69</v>
      </c>
      <c r="F62" s="188"/>
      <c r="G62" s="188"/>
      <c r="H62" s="184"/>
      <c r="I62" s="237">
        <f t="shared" si="19"/>
        <v>0</v>
      </c>
      <c r="J62" s="237"/>
      <c r="K62" s="188"/>
      <c r="L62" s="238"/>
      <c r="V62" s="227"/>
      <c r="AF62" s="228"/>
      <c r="AP62" s="249"/>
      <c r="AZ62" s="205"/>
      <c r="BJ62" s="248"/>
      <c r="BT62" s="206"/>
    </row>
    <row r="63" spans="1:72" ht="30.75" hidden="1" customHeight="1">
      <c r="A63" s="168">
        <v>22</v>
      </c>
      <c r="B63" s="170"/>
      <c r="C63" s="297">
        <v>20063783</v>
      </c>
      <c r="D63" s="298" t="s">
        <v>459</v>
      </c>
      <c r="E63" s="169" t="s">
        <v>69</v>
      </c>
      <c r="F63" s="188"/>
      <c r="G63" s="188"/>
      <c r="H63" s="184"/>
      <c r="I63" s="237">
        <f t="shared" si="19"/>
        <v>0</v>
      </c>
      <c r="J63" s="237"/>
      <c r="K63" s="188"/>
      <c r="L63" s="238"/>
      <c r="V63" s="227"/>
      <c r="AF63" s="228"/>
      <c r="AP63" s="249"/>
      <c r="AZ63" s="205"/>
      <c r="BJ63" s="248"/>
      <c r="BT63" s="206"/>
    </row>
    <row r="64" spans="1:72" ht="30.75" hidden="1" customHeight="1">
      <c r="A64" s="168">
        <v>23</v>
      </c>
      <c r="B64" s="170"/>
      <c r="C64" s="297">
        <v>20063930</v>
      </c>
      <c r="D64" s="311" t="s">
        <v>460</v>
      </c>
      <c r="E64" s="169" t="s">
        <v>69</v>
      </c>
      <c r="F64" s="188"/>
      <c r="G64" s="188"/>
      <c r="H64" s="184"/>
      <c r="I64" s="237">
        <f t="shared" ref="I64:I70" si="20">SUM(L64,V64,AF64,AP64,AZ64,BJ64,BT64)</f>
        <v>0</v>
      </c>
      <c r="J64" s="237"/>
      <c r="K64" s="188"/>
      <c r="L64" s="238"/>
      <c r="V64" s="227"/>
      <c r="AF64" s="228"/>
      <c r="AP64" s="249"/>
      <c r="AZ64" s="205"/>
      <c r="BJ64" s="248"/>
      <c r="BT64" s="206"/>
    </row>
    <row r="65" spans="1:72" ht="29.25" hidden="1" customHeight="1">
      <c r="A65" s="168">
        <v>24</v>
      </c>
      <c r="B65" s="170"/>
      <c r="C65" s="297">
        <v>20063929</v>
      </c>
      <c r="D65" s="311" t="s">
        <v>422</v>
      </c>
      <c r="E65" s="169" t="s">
        <v>69</v>
      </c>
      <c r="F65" s="188"/>
      <c r="G65" s="188"/>
      <c r="H65" s="184"/>
      <c r="I65" s="237">
        <f t="shared" si="20"/>
        <v>0</v>
      </c>
      <c r="J65" s="237"/>
      <c r="K65" s="188"/>
      <c r="L65" s="238"/>
      <c r="V65" s="227"/>
      <c r="AF65" s="228"/>
      <c r="AP65" s="249"/>
      <c r="AZ65" s="205"/>
      <c r="BJ65" s="248"/>
      <c r="BT65" s="206"/>
    </row>
    <row r="66" spans="1:72" ht="29.25" hidden="1" customHeight="1">
      <c r="A66" s="168">
        <v>25</v>
      </c>
      <c r="B66" s="170"/>
      <c r="C66" s="297">
        <v>20064190</v>
      </c>
      <c r="D66" s="326" t="s">
        <v>446</v>
      </c>
      <c r="E66" s="169" t="s">
        <v>69</v>
      </c>
      <c r="F66" s="188"/>
      <c r="G66" s="188"/>
      <c r="H66" s="184"/>
      <c r="I66" s="237">
        <f t="shared" si="20"/>
        <v>0</v>
      </c>
      <c r="J66" s="237"/>
      <c r="K66" s="188"/>
      <c r="L66" s="238"/>
      <c r="V66" s="227"/>
      <c r="AF66" s="228"/>
      <c r="AP66" s="249"/>
      <c r="AZ66" s="205"/>
      <c r="BJ66" s="248"/>
      <c r="BT66" s="206"/>
    </row>
    <row r="67" spans="1:72" ht="29.25" hidden="1" customHeight="1">
      <c r="A67" s="168">
        <v>26</v>
      </c>
      <c r="B67" s="170"/>
      <c r="C67" s="297">
        <v>20064191</v>
      </c>
      <c r="D67" s="326" t="s">
        <v>447</v>
      </c>
      <c r="E67" s="169" t="s">
        <v>69</v>
      </c>
      <c r="F67" s="188"/>
      <c r="G67" s="188"/>
      <c r="H67" s="184"/>
      <c r="I67" s="237">
        <f t="shared" si="20"/>
        <v>0</v>
      </c>
      <c r="J67" s="237"/>
      <c r="K67" s="188"/>
      <c r="L67" s="238"/>
      <c r="V67" s="227"/>
      <c r="AF67" s="228"/>
      <c r="AP67" s="249"/>
      <c r="AZ67" s="205"/>
      <c r="BJ67" s="248"/>
      <c r="BT67" s="206"/>
    </row>
    <row r="68" spans="1:72" ht="29.25" hidden="1" customHeight="1">
      <c r="A68" s="168">
        <v>27</v>
      </c>
      <c r="B68" s="170"/>
      <c r="C68" s="80">
        <v>20064271</v>
      </c>
      <c r="D68" s="335" t="s">
        <v>448</v>
      </c>
      <c r="E68" s="169" t="s">
        <v>69</v>
      </c>
      <c r="F68" s="188"/>
      <c r="G68" s="188"/>
      <c r="H68" s="184"/>
      <c r="I68" s="237">
        <f t="shared" si="20"/>
        <v>0</v>
      </c>
      <c r="J68" s="237"/>
      <c r="K68" s="188"/>
      <c r="L68" s="238"/>
      <c r="V68" s="227"/>
      <c r="AF68" s="228"/>
      <c r="AP68" s="249"/>
      <c r="AZ68" s="205"/>
      <c r="BJ68" s="248"/>
      <c r="BT68" s="206"/>
    </row>
    <row r="69" spans="1:72" ht="29.25" hidden="1" customHeight="1">
      <c r="A69" s="168">
        <v>28</v>
      </c>
      <c r="B69" s="170"/>
      <c r="C69" s="334">
        <v>20064365</v>
      </c>
      <c r="D69" s="335" t="s">
        <v>449</v>
      </c>
      <c r="E69" s="169" t="s">
        <v>69</v>
      </c>
      <c r="F69" s="188"/>
      <c r="G69" s="188"/>
      <c r="H69" s="184"/>
      <c r="I69" s="237">
        <f t="shared" si="20"/>
        <v>0</v>
      </c>
      <c r="J69" s="237"/>
      <c r="K69" s="188"/>
      <c r="L69" s="238"/>
      <c r="V69" s="227"/>
      <c r="AF69" s="228"/>
      <c r="AP69" s="249"/>
      <c r="AZ69" s="205"/>
      <c r="BJ69" s="248"/>
      <c r="BT69" s="206"/>
    </row>
    <row r="70" spans="1:72" ht="29.25" hidden="1" customHeight="1">
      <c r="A70" s="168">
        <v>29</v>
      </c>
      <c r="B70" s="170"/>
      <c r="C70" s="336">
        <v>20064366</v>
      </c>
      <c r="D70" s="337" t="s">
        <v>450</v>
      </c>
      <c r="E70" s="169" t="s">
        <v>69</v>
      </c>
      <c r="F70" s="188"/>
      <c r="G70" s="188"/>
      <c r="H70" s="184"/>
      <c r="I70" s="237">
        <f t="shared" si="20"/>
        <v>0</v>
      </c>
      <c r="J70" s="237"/>
      <c r="K70" s="188"/>
      <c r="L70" s="238"/>
      <c r="V70" s="227"/>
      <c r="AF70" s="228"/>
      <c r="AP70" s="249"/>
      <c r="AZ70" s="205"/>
      <c r="BJ70" s="248"/>
      <c r="BT70" s="206"/>
    </row>
    <row r="71" spans="1:72" ht="18.75" customHeight="1"/>
    <row r="72" spans="1:72" ht="22.5" customHeight="1"/>
    <row r="73" spans="1:72" ht="23.25" customHeight="1"/>
  </sheetData>
  <autoFilter ref="E1:E70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92" customFormat="1" ht="15.75" customHeight="1">
      <c r="A1" s="603" t="s">
        <v>14</v>
      </c>
      <c r="B1" s="605"/>
      <c r="C1" s="605"/>
      <c r="D1" s="605"/>
      <c r="E1" s="605"/>
      <c r="F1" s="604"/>
      <c r="G1" s="493"/>
      <c r="H1" s="603" t="s">
        <v>15</v>
      </c>
      <c r="I1" s="604"/>
      <c r="J1" s="604"/>
      <c r="K1" s="604"/>
      <c r="L1" s="604"/>
      <c r="M1" s="604"/>
      <c r="N1" s="493"/>
      <c r="O1" s="603" t="s">
        <v>16</v>
      </c>
      <c r="P1" s="604"/>
      <c r="Q1" s="604"/>
      <c r="R1" s="604"/>
      <c r="S1" s="604"/>
      <c r="T1" s="604"/>
      <c r="U1" s="493"/>
      <c r="V1" s="603" t="s">
        <v>17</v>
      </c>
      <c r="W1" s="604"/>
      <c r="X1" s="604"/>
      <c r="Y1" s="604"/>
      <c r="Z1" s="604"/>
      <c r="AA1" s="604"/>
      <c r="AB1" s="493"/>
      <c r="AC1" s="603" t="s">
        <v>385</v>
      </c>
      <c r="AD1" s="604"/>
      <c r="AE1" s="604"/>
      <c r="AF1" s="604"/>
      <c r="AG1" s="604"/>
      <c r="AH1" s="604"/>
      <c r="AI1" s="493"/>
      <c r="AJ1" s="603" t="s">
        <v>19</v>
      </c>
      <c r="AK1" s="604"/>
      <c r="AL1" s="604"/>
      <c r="AM1" s="604"/>
      <c r="AN1" s="604"/>
      <c r="AO1" s="604"/>
      <c r="AP1" s="493"/>
      <c r="AQ1" s="603" t="s">
        <v>386</v>
      </c>
      <c r="AR1" s="604"/>
      <c r="AS1" s="604"/>
      <c r="AT1" s="604"/>
      <c r="AU1" s="604"/>
      <c r="AV1" s="60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01"/>
      <c r="P68" s="602"/>
      <c r="Q68" s="7"/>
      <c r="R68" s="6"/>
      <c r="S68" s="7"/>
      <c r="T68" s="6"/>
      <c r="U68" s="8"/>
      <c r="V68" s="8"/>
      <c r="W68" s="1"/>
      <c r="X68" s="1"/>
      <c r="Y68" s="601"/>
      <c r="Z68" s="602"/>
      <c r="AA68" s="7"/>
      <c r="AB68" s="6"/>
      <c r="AC68" s="7"/>
      <c r="AD68" s="6"/>
      <c r="AE68" s="8"/>
      <c r="AF68" s="8"/>
      <c r="AG68" s="1"/>
      <c r="AH68" s="1"/>
      <c r="AI68" s="601"/>
      <c r="AJ68" s="602"/>
      <c r="AK68" s="7"/>
      <c r="AL68" s="6"/>
      <c r="AM68" s="7"/>
      <c r="AN68" s="6"/>
      <c r="AO68" s="8"/>
      <c r="AP68" s="8"/>
      <c r="AQ68" s="1"/>
      <c r="AR68" s="1"/>
      <c r="AS68" s="601"/>
      <c r="AT68" s="602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1"/>
      <c r="P69" s="602"/>
      <c r="Q69" s="7"/>
      <c r="R69" s="6"/>
      <c r="S69" s="7"/>
      <c r="T69" s="6"/>
      <c r="U69" s="8"/>
      <c r="V69" s="8"/>
      <c r="W69" s="1"/>
      <c r="X69" s="1"/>
      <c r="Y69" s="601"/>
      <c r="Z69" s="602"/>
      <c r="AA69" s="7"/>
      <c r="AB69" s="6"/>
      <c r="AC69" s="7"/>
      <c r="AD69" s="6"/>
      <c r="AE69" s="8"/>
      <c r="AF69" s="8"/>
      <c r="AG69" s="1"/>
      <c r="AH69" s="1"/>
      <c r="AI69" s="601"/>
      <c r="AJ69" s="602"/>
      <c r="AK69" s="7"/>
      <c r="AL69" s="6"/>
      <c r="AM69" s="7"/>
      <c r="AN69" s="6"/>
      <c r="AO69" s="8"/>
      <c r="AP69" s="8"/>
      <c r="AQ69" s="1"/>
      <c r="AR69" s="1"/>
      <c r="AS69" s="601"/>
      <c r="AT69" s="602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1"/>
      <c r="P70" s="602"/>
      <c r="Q70" s="7"/>
      <c r="R70" s="6"/>
      <c r="S70" s="7"/>
      <c r="T70" s="6"/>
      <c r="U70" s="8"/>
      <c r="V70" s="8"/>
      <c r="W70" s="1"/>
      <c r="X70" s="1"/>
      <c r="Y70" s="601"/>
      <c r="Z70" s="602"/>
      <c r="AA70" s="7"/>
      <c r="AB70" s="6"/>
      <c r="AC70" s="7"/>
      <c r="AD70" s="6"/>
      <c r="AE70" s="8"/>
      <c r="AF70" s="8"/>
      <c r="AG70" s="1"/>
      <c r="AH70" s="1"/>
      <c r="AI70" s="601"/>
      <c r="AJ70" s="602"/>
      <c r="AK70" s="7"/>
      <c r="AL70" s="6"/>
      <c r="AM70" s="7"/>
      <c r="AN70" s="6"/>
      <c r="AO70" s="8"/>
      <c r="AP70" s="8"/>
      <c r="AQ70" s="1"/>
      <c r="AR70" s="1"/>
      <c r="AS70" s="601"/>
      <c r="AT70" s="602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1"/>
  <sheetViews>
    <sheetView zoomScale="90" zoomScaleNormal="90" workbookViewId="0">
      <selection activeCell="V81" sqref="V81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61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9.42578125" style="164" customWidth="1"/>
    <col min="13" max="21" width="0" style="42" hidden="1" customWidth="1"/>
    <col min="22" max="22" width="9.7109375" style="164" customWidth="1"/>
    <col min="23" max="31" width="0" style="42" hidden="1" customWidth="1"/>
    <col min="32" max="32" width="10" style="164" customWidth="1"/>
    <col min="33" max="41" width="0" style="42" hidden="1" customWidth="1"/>
    <col min="42" max="42" width="10.28515625" style="164" customWidth="1"/>
    <col min="43" max="51" width="0" style="42" hidden="1" customWidth="1"/>
    <col min="52" max="52" width="10.140625" style="400" customWidth="1"/>
    <col min="53" max="61" width="0" style="42" hidden="1" customWidth="1"/>
    <col min="62" max="62" width="9.7109375" style="164" customWidth="1"/>
    <col min="63" max="71" width="0" style="42" hidden="1" customWidth="1"/>
    <col min="72" max="72" width="8.85546875" style="400" customWidth="1"/>
    <col min="73" max="80" width="0" style="42" hidden="1" customWidth="1"/>
    <col min="81" max="16384" width="12.7109375" style="164"/>
  </cols>
  <sheetData>
    <row r="1" spans="1:80" ht="43.5" customHeight="1">
      <c r="A1" s="168" t="s">
        <v>0</v>
      </c>
      <c r="B1" s="496" t="s">
        <v>4</v>
      </c>
      <c r="C1" s="218" t="s">
        <v>5</v>
      </c>
      <c r="D1" s="446" t="s">
        <v>6</v>
      </c>
      <c r="E1" s="446" t="s">
        <v>7</v>
      </c>
      <c r="F1" s="606" t="s">
        <v>8</v>
      </c>
      <c r="G1" s="607"/>
      <c r="H1" s="608"/>
      <c r="I1" s="607"/>
      <c r="J1" s="607"/>
      <c r="K1" s="609" t="s">
        <v>425</v>
      </c>
      <c r="L1" s="610"/>
      <c r="M1" s="575"/>
      <c r="N1" s="575"/>
      <c r="O1" s="575"/>
      <c r="P1" s="575"/>
      <c r="Q1" s="575"/>
      <c r="R1" s="575"/>
      <c r="S1" s="575"/>
      <c r="T1" s="575"/>
      <c r="U1" s="575"/>
      <c r="V1" s="610"/>
      <c r="W1" s="575"/>
      <c r="X1" s="575"/>
      <c r="Y1" s="575"/>
      <c r="Z1" s="575"/>
      <c r="AA1" s="575"/>
      <c r="AB1" s="575"/>
      <c r="AC1" s="575"/>
      <c r="AD1" s="575"/>
      <c r="AE1" s="575"/>
      <c r="AF1" s="610"/>
      <c r="AG1" s="575"/>
      <c r="AH1" s="575"/>
      <c r="AI1" s="575"/>
      <c r="AJ1" s="575"/>
      <c r="AK1" s="575"/>
      <c r="AL1" s="575"/>
      <c r="AM1" s="575"/>
      <c r="AN1" s="575"/>
      <c r="AO1" s="575"/>
      <c r="AP1" s="610"/>
      <c r="AQ1" s="575"/>
      <c r="AR1" s="575"/>
      <c r="AS1" s="575"/>
      <c r="AT1" s="575"/>
      <c r="AU1" s="575"/>
      <c r="AV1" s="575"/>
      <c r="AW1" s="575"/>
      <c r="AX1" s="575"/>
      <c r="AY1" s="575"/>
      <c r="AZ1" s="610"/>
      <c r="BA1" s="575"/>
      <c r="BB1" s="575"/>
      <c r="BC1" s="575"/>
      <c r="BD1" s="575"/>
      <c r="BE1" s="575"/>
      <c r="BF1" s="575"/>
      <c r="BG1" s="575"/>
      <c r="BH1" s="575"/>
      <c r="BI1" s="575"/>
      <c r="BJ1" s="610"/>
      <c r="BK1" s="575"/>
      <c r="BL1" s="575"/>
      <c r="BM1" s="575"/>
      <c r="BN1" s="575"/>
      <c r="BO1" s="575"/>
      <c r="BP1" s="575"/>
      <c r="BQ1" s="575"/>
      <c r="BR1" s="575"/>
      <c r="BS1" s="575"/>
      <c r="BT1" s="610"/>
      <c r="BU1" s="575"/>
      <c r="BV1" s="575"/>
      <c r="BW1" s="575"/>
      <c r="BX1" s="575"/>
      <c r="BY1" s="575"/>
      <c r="BZ1" s="575"/>
      <c r="CA1" s="575"/>
      <c r="CB1" s="576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5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71" t="s">
        <v>41</v>
      </c>
      <c r="E5" s="220" t="s">
        <v>42</v>
      </c>
      <c r="F5" s="169"/>
      <c r="G5" s="183"/>
      <c r="H5" s="184">
        <v>0</v>
      </c>
      <c r="I5" s="218">
        <f t="shared" si="0"/>
        <v>0</v>
      </c>
      <c r="J5" s="184">
        <v>0</v>
      </c>
      <c r="K5" s="185"/>
      <c r="L5" s="203"/>
      <c r="M5" s="222"/>
      <c r="N5" s="96"/>
      <c r="O5" s="59"/>
      <c r="P5" s="59"/>
      <c r="Q5" s="59"/>
      <c r="R5" s="59"/>
      <c r="S5" s="44"/>
      <c r="T5" s="59"/>
      <c r="U5" s="221"/>
      <c r="V5" s="204"/>
      <c r="W5" s="222"/>
      <c r="X5" s="96"/>
      <c r="Y5" s="59"/>
      <c r="Z5" s="59"/>
      <c r="AA5" s="59"/>
      <c r="AB5" s="59"/>
      <c r="AC5" s="44"/>
      <c r="AD5" s="59"/>
      <c r="AE5" s="221"/>
      <c r="AF5" s="254"/>
      <c r="AG5" s="222"/>
      <c r="AH5" s="96"/>
      <c r="AI5" s="59"/>
      <c r="AJ5" s="59"/>
      <c r="AK5" s="59"/>
      <c r="AL5" s="59"/>
      <c r="AM5" s="44"/>
      <c r="AN5" s="59"/>
      <c r="AO5" s="221"/>
      <c r="AP5" s="265"/>
      <c r="AQ5" s="222"/>
      <c r="AR5" s="96"/>
      <c r="AS5" s="59"/>
      <c r="AT5" s="59"/>
      <c r="AU5" s="59"/>
      <c r="AV5" s="59"/>
      <c r="AW5" s="44"/>
      <c r="AX5" s="59"/>
      <c r="AY5" s="221"/>
      <c r="AZ5" s="268"/>
      <c r="BA5" s="222"/>
      <c r="BB5" s="96"/>
      <c r="BC5" s="59"/>
      <c r="BD5" s="59"/>
      <c r="BE5" s="59"/>
      <c r="BF5" s="59"/>
      <c r="BG5" s="44"/>
      <c r="BH5" s="59"/>
      <c r="BI5" s="221"/>
      <c r="BJ5" s="270"/>
      <c r="BK5" s="222"/>
      <c r="BL5" s="96"/>
      <c r="BM5" s="59"/>
      <c r="BN5" s="59"/>
      <c r="BO5" s="59"/>
      <c r="BP5" s="59"/>
      <c r="BQ5" s="44"/>
      <c r="BR5" s="59"/>
      <c r="BS5" s="221"/>
      <c r="BT5" s="206"/>
      <c r="BU5" s="222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53">
        <v>2</v>
      </c>
      <c r="B16" s="56"/>
      <c r="C16" s="278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218">
        <f t="shared" ref="I16" si="1">SUM(L16,V16,AF16,AP16,AZ16,BJ16,BT16)</f>
        <v>0</v>
      </c>
      <c r="J16" s="58">
        <v>0</v>
      </c>
      <c r="K16" s="117"/>
      <c r="L16" s="419"/>
      <c r="M16" s="59"/>
      <c r="N16" s="96"/>
      <c r="O16" s="59"/>
      <c r="P16" s="59"/>
      <c r="Q16" s="59"/>
      <c r="R16" s="59"/>
      <c r="S16" s="106"/>
      <c r="T16" s="59"/>
      <c r="U16" s="59"/>
      <c r="V16" s="213"/>
      <c r="W16" s="59"/>
      <c r="X16" s="96"/>
      <c r="Y16" s="59"/>
      <c r="Z16" s="59"/>
      <c r="AA16" s="59"/>
      <c r="AB16" s="59"/>
      <c r="AC16" s="44"/>
      <c r="AD16" s="59"/>
      <c r="AE16" s="59"/>
      <c r="AF16" s="420"/>
      <c r="AG16" s="59"/>
      <c r="AH16" s="96"/>
      <c r="AI16" s="59"/>
      <c r="AJ16" s="59"/>
      <c r="AK16" s="59"/>
      <c r="AL16" s="59"/>
      <c r="AM16" s="106"/>
      <c r="AN16" s="59"/>
      <c r="AO16" s="59"/>
      <c r="AP16" s="421"/>
      <c r="AQ16" s="59"/>
      <c r="AR16" s="96"/>
      <c r="AS16" s="59"/>
      <c r="AT16" s="59"/>
      <c r="AU16" s="59"/>
      <c r="AV16" s="59"/>
      <c r="AW16" s="44"/>
      <c r="AX16" s="59"/>
      <c r="AY16" s="59"/>
      <c r="AZ16" s="422"/>
      <c r="BA16" s="59"/>
      <c r="BB16" s="96"/>
      <c r="BC16" s="59"/>
      <c r="BD16" s="59"/>
      <c r="BE16" s="59"/>
      <c r="BF16" s="59"/>
      <c r="BG16" s="106"/>
      <c r="BH16" s="59"/>
      <c r="BI16" s="59"/>
      <c r="BJ16" s="539"/>
      <c r="BK16" s="59"/>
      <c r="BL16" s="96"/>
      <c r="BM16" s="59"/>
      <c r="BN16" s="59"/>
      <c r="BO16" s="59"/>
      <c r="BP16" s="59"/>
      <c r="BQ16" s="44"/>
      <c r="BR16" s="59"/>
      <c r="BS16" s="59"/>
      <c r="BT16" s="224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53">
        <v>1</v>
      </c>
      <c r="B17" s="56"/>
      <c r="C17" s="284">
        <v>1113087</v>
      </c>
      <c r="D17" s="285" t="s">
        <v>169</v>
      </c>
      <c r="E17" s="64" t="s">
        <v>170</v>
      </c>
      <c r="F17" s="54"/>
      <c r="G17" s="44"/>
      <c r="H17" s="58">
        <v>0</v>
      </c>
      <c r="I17" s="218">
        <f t="shared" ref="I17" si="2">SUM(L17,V17,AF17,AP17,AZ17,BJ17,BT17)</f>
        <v>0</v>
      </c>
      <c r="J17" s="537">
        <v>0</v>
      </c>
      <c r="K17" s="185"/>
      <c r="L17" s="259"/>
      <c r="M17" s="222"/>
      <c r="N17" s="96"/>
      <c r="O17" s="59"/>
      <c r="P17" s="59"/>
      <c r="Q17" s="59"/>
      <c r="R17" s="59"/>
      <c r="S17" s="106"/>
      <c r="T17" s="59"/>
      <c r="U17" s="221"/>
      <c r="V17" s="204"/>
      <c r="W17" s="222"/>
      <c r="X17" s="96"/>
      <c r="Y17" s="59"/>
      <c r="Z17" s="59"/>
      <c r="AA17" s="59"/>
      <c r="AB17" s="59"/>
      <c r="AC17" s="44"/>
      <c r="AD17" s="59"/>
      <c r="AE17" s="221"/>
      <c r="AF17" s="228"/>
      <c r="AG17" s="222"/>
      <c r="AH17" s="96"/>
      <c r="AI17" s="59"/>
      <c r="AJ17" s="59"/>
      <c r="AK17" s="59"/>
      <c r="AL17" s="59"/>
      <c r="AM17" s="106"/>
      <c r="AN17" s="59"/>
      <c r="AO17" s="221"/>
      <c r="AP17" s="249"/>
      <c r="AQ17" s="222"/>
      <c r="AR17" s="96"/>
      <c r="AS17" s="59"/>
      <c r="AT17" s="59"/>
      <c r="AU17" s="59"/>
      <c r="AV17" s="59"/>
      <c r="AW17" s="44"/>
      <c r="AX17" s="59"/>
      <c r="AY17" s="221"/>
      <c r="AZ17" s="205"/>
      <c r="BA17" s="222"/>
      <c r="BB17" s="96"/>
      <c r="BC17" s="59"/>
      <c r="BD17" s="59"/>
      <c r="BE17" s="59"/>
      <c r="BF17" s="59"/>
      <c r="BG17" s="106"/>
      <c r="BH17" s="59"/>
      <c r="BI17" s="221"/>
      <c r="BJ17" s="248"/>
      <c r="BK17" s="222"/>
      <c r="BL17" s="96"/>
      <c r="BM17" s="59"/>
      <c r="BN17" s="59"/>
      <c r="BO17" s="59"/>
      <c r="BP17" s="59"/>
      <c r="BQ17" s="44"/>
      <c r="BR17" s="59"/>
      <c r="BS17" s="221"/>
      <c r="BT17" s="206"/>
      <c r="BU17" s="222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427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30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88"/>
      <c r="M19" s="59"/>
      <c r="N19" s="96"/>
      <c r="O19" s="59"/>
      <c r="P19" s="59"/>
      <c r="Q19" s="59"/>
      <c r="R19" s="59"/>
      <c r="S19" s="44"/>
      <c r="T19" s="59"/>
      <c r="U19" s="59"/>
      <c r="V19" s="97"/>
      <c r="W19" s="59"/>
      <c r="X19" s="96"/>
      <c r="Y19" s="59"/>
      <c r="Z19" s="59"/>
      <c r="AA19" s="59"/>
      <c r="AB19" s="59"/>
      <c r="AC19" s="44"/>
      <c r="AD19" s="59"/>
      <c r="AE19" s="59"/>
      <c r="AF19" s="98"/>
      <c r="AG19" s="59"/>
      <c r="AH19" s="96"/>
      <c r="AI19" s="59"/>
      <c r="AJ19" s="59"/>
      <c r="AK19" s="59"/>
      <c r="AL19" s="59"/>
      <c r="AM19" s="44"/>
      <c r="AN19" s="59"/>
      <c r="AO19" s="59"/>
      <c r="AP19" s="99"/>
      <c r="AQ19" s="59"/>
      <c r="AR19" s="96"/>
      <c r="AS19" s="59"/>
      <c r="AT19" s="59"/>
      <c r="AU19" s="59"/>
      <c r="AV19" s="59"/>
      <c r="AW19" s="44"/>
      <c r="AX19" s="59"/>
      <c r="AY19" s="59"/>
      <c r="AZ19" s="93"/>
      <c r="BA19" s="59"/>
      <c r="BB19" s="96"/>
      <c r="BC19" s="59"/>
      <c r="BD19" s="59"/>
      <c r="BE19" s="59"/>
      <c r="BF19" s="59"/>
      <c r="BG19" s="44"/>
      <c r="BH19" s="59"/>
      <c r="BI19" s="59"/>
      <c r="BJ19" s="100"/>
      <c r="BK19" s="59"/>
      <c r="BL19" s="96"/>
      <c r="BM19" s="59"/>
      <c r="BN19" s="59"/>
      <c r="BO19" s="59"/>
      <c r="BP19" s="59"/>
      <c r="BQ19" s="44"/>
      <c r="BR19" s="59"/>
      <c r="BS19" s="59"/>
      <c r="BT19" s="10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53">
        <v>13</v>
      </c>
      <c r="B20" s="56"/>
      <c r="C20" s="54">
        <v>1113059</v>
      </c>
      <c r="D20" s="57" t="s">
        <v>182</v>
      </c>
      <c r="E20" s="5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02"/>
      <c r="M20" s="59"/>
      <c r="N20" s="96"/>
      <c r="O20" s="59"/>
      <c r="P20" s="59"/>
      <c r="Q20" s="59"/>
      <c r="R20" s="59"/>
      <c r="S20" s="44"/>
      <c r="T20" s="59"/>
      <c r="U20" s="59"/>
      <c r="V20" s="97"/>
      <c r="W20" s="59"/>
      <c r="X20" s="96"/>
      <c r="Y20" s="59"/>
      <c r="Z20" s="59"/>
      <c r="AA20" s="59"/>
      <c r="AB20" s="59"/>
      <c r="AC20" s="44"/>
      <c r="AD20" s="59"/>
      <c r="AE20" s="59"/>
      <c r="AF20" s="98"/>
      <c r="AG20" s="59"/>
      <c r="AH20" s="96"/>
      <c r="AI20" s="59"/>
      <c r="AJ20" s="59"/>
      <c r="AK20" s="59"/>
      <c r="AL20" s="59"/>
      <c r="AM20" s="44"/>
      <c r="AN20" s="59"/>
      <c r="AO20" s="59"/>
      <c r="AP20" s="99"/>
      <c r="AQ20" s="59"/>
      <c r="AR20" s="96"/>
      <c r="AS20" s="59"/>
      <c r="AT20" s="59"/>
      <c r="AU20" s="59"/>
      <c r="AV20" s="59"/>
      <c r="AW20" s="44"/>
      <c r="AX20" s="59"/>
      <c r="AY20" s="59"/>
      <c r="AZ20" s="103"/>
      <c r="BA20" s="59"/>
      <c r="BB20" s="96"/>
      <c r="BC20" s="59"/>
      <c r="BD20" s="59"/>
      <c r="BE20" s="59"/>
      <c r="BF20" s="59"/>
      <c r="BG20" s="44"/>
      <c r="BH20" s="59"/>
      <c r="BI20" s="59"/>
      <c r="BJ20" s="100"/>
      <c r="BK20" s="59"/>
      <c r="BL20" s="96"/>
      <c r="BM20" s="59"/>
      <c r="BN20" s="59"/>
      <c r="BO20" s="59"/>
      <c r="BP20" s="59"/>
      <c r="BQ20" s="44"/>
      <c r="BR20" s="59"/>
      <c r="BS20" s="59"/>
      <c r="BT20" s="101"/>
      <c r="BU20" s="5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53">
        <v>14</v>
      </c>
      <c r="B21" s="56"/>
      <c r="C21" s="54">
        <v>1005977</v>
      </c>
      <c r="D21" s="57" t="s">
        <v>189</v>
      </c>
      <c r="E21" s="5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59"/>
      <c r="L21" s="88"/>
      <c r="M21" s="59"/>
      <c r="N21" s="96"/>
      <c r="O21" s="59"/>
      <c r="P21" s="59"/>
      <c r="Q21" s="59"/>
      <c r="R21" s="59"/>
      <c r="S21" s="44"/>
      <c r="T21" s="59"/>
      <c r="U21" s="59"/>
      <c r="V21" s="97"/>
      <c r="W21" s="59"/>
      <c r="X21" s="96"/>
      <c r="Y21" s="59"/>
      <c r="Z21" s="59"/>
      <c r="AA21" s="59"/>
      <c r="AB21" s="59"/>
      <c r="AC21" s="44"/>
      <c r="AD21" s="59"/>
      <c r="AE21" s="59"/>
      <c r="AF21" s="98"/>
      <c r="AG21" s="59"/>
      <c r="AH21" s="96"/>
      <c r="AI21" s="59"/>
      <c r="AJ21" s="59"/>
      <c r="AK21" s="59"/>
      <c r="AL21" s="59"/>
      <c r="AM21" s="44"/>
      <c r="AN21" s="59"/>
      <c r="AO21" s="59"/>
      <c r="AP21" s="99"/>
      <c r="AQ21" s="59"/>
      <c r="AR21" s="96"/>
      <c r="AS21" s="59"/>
      <c r="AT21" s="59"/>
      <c r="AU21" s="59"/>
      <c r="AV21" s="59"/>
      <c r="AW21" s="44"/>
      <c r="AX21" s="59"/>
      <c r="AY21" s="59"/>
      <c r="AZ21" s="93"/>
      <c r="BA21" s="59"/>
      <c r="BB21" s="96"/>
      <c r="BC21" s="59"/>
      <c r="BD21" s="59"/>
      <c r="BE21" s="59"/>
      <c r="BF21" s="59"/>
      <c r="BG21" s="44"/>
      <c r="BH21" s="59"/>
      <c r="BI21" s="59"/>
      <c r="BJ21" s="100"/>
      <c r="BK21" s="59"/>
      <c r="BL21" s="96"/>
      <c r="BM21" s="59"/>
      <c r="BN21" s="59"/>
      <c r="BO21" s="59"/>
      <c r="BP21" s="59"/>
      <c r="BQ21" s="44"/>
      <c r="BR21" s="59"/>
      <c r="BS21" s="59"/>
      <c r="BT21" s="101"/>
      <c r="BU21" s="5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53">
        <v>15</v>
      </c>
      <c r="B22" s="56"/>
      <c r="C22" s="278">
        <v>1113088</v>
      </c>
      <c r="D22" s="247" t="s">
        <v>408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117"/>
      <c r="L22" s="212"/>
      <c r="M22" s="59"/>
      <c r="N22" s="96"/>
      <c r="O22" s="59"/>
      <c r="P22" s="59"/>
      <c r="Q22" s="59"/>
      <c r="R22" s="59"/>
      <c r="S22" s="44"/>
      <c r="T22" s="59"/>
      <c r="U22" s="59"/>
      <c r="V22" s="213"/>
      <c r="W22" s="59"/>
      <c r="X22" s="96"/>
      <c r="Y22" s="59"/>
      <c r="Z22" s="59"/>
      <c r="AA22" s="59"/>
      <c r="AB22" s="59"/>
      <c r="AC22" s="44"/>
      <c r="AD22" s="59"/>
      <c r="AE22" s="59"/>
      <c r="AF22" s="214"/>
      <c r="AG22" s="59"/>
      <c r="AH22" s="96"/>
      <c r="AI22" s="59"/>
      <c r="AJ22" s="59"/>
      <c r="AK22" s="59"/>
      <c r="AL22" s="59"/>
      <c r="AM22" s="44"/>
      <c r="AN22" s="59"/>
      <c r="AO22" s="59"/>
      <c r="AP22" s="215"/>
      <c r="AQ22" s="59"/>
      <c r="AR22" s="96"/>
      <c r="AS22" s="59"/>
      <c r="AT22" s="59"/>
      <c r="AU22" s="59"/>
      <c r="AV22" s="59"/>
      <c r="AW22" s="44"/>
      <c r="AX22" s="59"/>
      <c r="AY22" s="59"/>
      <c r="AZ22" s="216"/>
      <c r="BA22" s="59"/>
      <c r="BB22" s="96"/>
      <c r="BC22" s="59"/>
      <c r="BD22" s="59"/>
      <c r="BE22" s="59"/>
      <c r="BF22" s="59"/>
      <c r="BG22" s="44"/>
      <c r="BH22" s="59"/>
      <c r="BI22" s="59"/>
      <c r="BJ22" s="141"/>
      <c r="BK22" s="59"/>
      <c r="BL22" s="96"/>
      <c r="BM22" s="59"/>
      <c r="BN22" s="59"/>
      <c r="BO22" s="59"/>
      <c r="BP22" s="59"/>
      <c r="BQ22" s="44"/>
      <c r="BR22" s="59"/>
      <c r="BS22" s="59"/>
      <c r="BT22" s="308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53">
        <v>4</v>
      </c>
      <c r="B23" s="56"/>
      <c r="C23" s="278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218">
        <f t="shared" ref="I23" si="3">SUM(L23,V23,AF23,AP23,AZ23,BJ23,BT23)</f>
        <v>0</v>
      </c>
      <c r="J23" s="537">
        <v>0</v>
      </c>
      <c r="K23" s="185"/>
      <c r="L23" s="259"/>
      <c r="M23" s="222"/>
      <c r="N23" s="96"/>
      <c r="O23" s="59"/>
      <c r="P23" s="59"/>
      <c r="Q23" s="59"/>
      <c r="R23" s="59"/>
      <c r="S23" s="106"/>
      <c r="T23" s="59"/>
      <c r="U23" s="221"/>
      <c r="V23" s="204"/>
      <c r="W23" s="222"/>
      <c r="X23" s="96"/>
      <c r="Y23" s="59"/>
      <c r="Z23" s="59"/>
      <c r="AA23" s="59"/>
      <c r="AB23" s="59"/>
      <c r="AC23" s="44"/>
      <c r="AD23" s="59"/>
      <c r="AE23" s="221"/>
      <c r="AF23" s="228"/>
      <c r="AG23" s="222"/>
      <c r="AH23" s="96"/>
      <c r="AI23" s="59"/>
      <c r="AJ23" s="59"/>
      <c r="AK23" s="59"/>
      <c r="AL23" s="59"/>
      <c r="AM23" s="106"/>
      <c r="AN23" s="59"/>
      <c r="AO23" s="221"/>
      <c r="AP23" s="249"/>
      <c r="AQ23" s="222"/>
      <c r="AR23" s="96"/>
      <c r="AS23" s="59"/>
      <c r="AT23" s="59"/>
      <c r="AU23" s="59"/>
      <c r="AV23" s="59"/>
      <c r="AW23" s="44"/>
      <c r="AX23" s="59"/>
      <c r="AY23" s="221"/>
      <c r="AZ23" s="205"/>
      <c r="BA23" s="222"/>
      <c r="BB23" s="96"/>
      <c r="BC23" s="59"/>
      <c r="BD23" s="59"/>
      <c r="BE23" s="59"/>
      <c r="BF23" s="59"/>
      <c r="BG23" s="106"/>
      <c r="BH23" s="59"/>
      <c r="BI23" s="221"/>
      <c r="BJ23" s="248"/>
      <c r="BK23" s="222"/>
      <c r="BL23" s="96"/>
      <c r="BM23" s="59"/>
      <c r="BN23" s="59"/>
      <c r="BO23" s="59"/>
      <c r="BP23" s="59"/>
      <c r="BQ23" s="44"/>
      <c r="BR23" s="59"/>
      <c r="BS23" s="221"/>
      <c r="BT23" s="206"/>
      <c r="BU23" s="222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16</v>
      </c>
      <c r="B24" s="56"/>
      <c r="C24" s="284">
        <v>1113093</v>
      </c>
      <c r="D24" s="285" t="s">
        <v>196</v>
      </c>
      <c r="E24" s="296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147"/>
      <c r="L24" s="104"/>
      <c r="M24" s="59"/>
      <c r="N24" s="96"/>
      <c r="O24" s="59"/>
      <c r="P24" s="59"/>
      <c r="Q24" s="59"/>
      <c r="R24" s="105"/>
      <c r="S24" s="106"/>
      <c r="T24" s="59"/>
      <c r="U24" s="59"/>
      <c r="V24" s="149"/>
      <c r="W24" s="59"/>
      <c r="X24" s="96"/>
      <c r="Y24" s="59"/>
      <c r="Z24" s="59"/>
      <c r="AA24" s="59"/>
      <c r="AB24" s="105"/>
      <c r="AC24" s="44"/>
      <c r="AD24" s="59"/>
      <c r="AE24" s="59"/>
      <c r="AF24" s="150"/>
      <c r="AG24" s="105"/>
      <c r="AH24" s="96"/>
      <c r="AI24" s="59"/>
      <c r="AJ24" s="59"/>
      <c r="AK24" s="59"/>
      <c r="AL24" s="105"/>
      <c r="AM24" s="44"/>
      <c r="AN24" s="59"/>
      <c r="AO24" s="59"/>
      <c r="AP24" s="151"/>
      <c r="AQ24" s="59"/>
      <c r="AR24" s="96"/>
      <c r="AS24" s="59"/>
      <c r="AT24" s="59"/>
      <c r="AU24" s="59"/>
      <c r="AV24" s="105"/>
      <c r="AW24" s="44"/>
      <c r="AX24" s="59"/>
      <c r="AY24" s="59"/>
      <c r="AZ24" s="93"/>
      <c r="BA24" s="59"/>
      <c r="BB24" s="96"/>
      <c r="BC24" s="59"/>
      <c r="BD24" s="59"/>
      <c r="BE24" s="59"/>
      <c r="BF24" s="105"/>
      <c r="BG24" s="44"/>
      <c r="BH24" s="105"/>
      <c r="BI24" s="59"/>
      <c r="BJ24" s="153"/>
      <c r="BK24" s="59"/>
      <c r="BL24" s="96"/>
      <c r="BM24" s="59"/>
      <c r="BN24" s="59"/>
      <c r="BO24" s="59"/>
      <c r="BP24" s="105"/>
      <c r="BQ24" s="44"/>
      <c r="BR24" s="59"/>
      <c r="BS24" s="59"/>
      <c r="BT24" s="154"/>
      <c r="BU24" s="59"/>
      <c r="BV24" s="96"/>
      <c r="BW24" s="59"/>
      <c r="BX24" s="59"/>
      <c r="BY24" s="59"/>
      <c r="BZ24" s="105"/>
      <c r="CA24" s="44"/>
      <c r="CB24" s="59"/>
    </row>
    <row r="25" spans="1:80" ht="26.25" hidden="1">
      <c r="A25" s="53">
        <v>2</v>
      </c>
      <c r="B25" s="56"/>
      <c r="C25" s="54">
        <v>20039963</v>
      </c>
      <c r="D25" s="57" t="s">
        <v>428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89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210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17</v>
      </c>
      <c r="B26" s="56"/>
      <c r="C26" s="278">
        <v>1113087</v>
      </c>
      <c r="D26" s="247" t="s">
        <v>411</v>
      </c>
      <c r="E26" s="54" t="s">
        <v>27</v>
      </c>
      <c r="F26" s="54"/>
      <c r="G26" s="44"/>
      <c r="H26" s="58"/>
      <c r="I26" s="63">
        <f t="shared" si="0"/>
        <v>0</v>
      </c>
      <c r="J26" s="58"/>
      <c r="K26" s="59"/>
      <c r="L26" s="104"/>
      <c r="M26" s="59"/>
      <c r="N26" s="96"/>
      <c r="O26" s="105"/>
      <c r="P26" s="59"/>
      <c r="Q26" s="59"/>
      <c r="R26" s="105"/>
      <c r="S26" s="106"/>
      <c r="T26" s="59"/>
      <c r="U26" s="105"/>
      <c r="V26" s="97"/>
      <c r="W26" s="59"/>
      <c r="X26" s="96"/>
      <c r="Y26" s="105"/>
      <c r="Z26" s="59"/>
      <c r="AA26" s="59"/>
      <c r="AB26" s="105"/>
      <c r="AC26" s="44"/>
      <c r="AD26" s="59"/>
      <c r="AE26" s="59"/>
      <c r="AF26" s="98"/>
      <c r="AG26" s="105"/>
      <c r="AH26" s="96"/>
      <c r="AI26" s="105"/>
      <c r="AJ26" s="59"/>
      <c r="AK26" s="59"/>
      <c r="AL26" s="105"/>
      <c r="AM26" s="44"/>
      <c r="AN26" s="59"/>
      <c r="AO26" s="59"/>
      <c r="AP26" s="112"/>
      <c r="AQ26" s="59"/>
      <c r="AR26" s="96"/>
      <c r="AS26" s="105"/>
      <c r="AT26" s="59"/>
      <c r="AU26" s="59"/>
      <c r="AV26" s="105"/>
      <c r="AW26" s="106"/>
      <c r="AX26" s="59"/>
      <c r="AY26" s="59"/>
      <c r="AZ26" s="93"/>
      <c r="BA26" s="59"/>
      <c r="BB26" s="96"/>
      <c r="BC26" s="105"/>
      <c r="BD26" s="59"/>
      <c r="BE26" s="59"/>
      <c r="BF26" s="105"/>
      <c r="BG26" s="44"/>
      <c r="BH26" s="105"/>
      <c r="BI26" s="59"/>
      <c r="BJ26" s="100"/>
      <c r="BK26" s="105"/>
      <c r="BL26" s="96"/>
      <c r="BM26" s="105"/>
      <c r="BN26" s="59"/>
      <c r="BO26" s="59"/>
      <c r="BP26" s="105"/>
      <c r="BQ26" s="44"/>
      <c r="BR26" s="59"/>
      <c r="BS26" s="59"/>
      <c r="BT26" s="101"/>
      <c r="BU26" s="5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53">
        <v>18</v>
      </c>
      <c r="B27" s="56"/>
      <c r="C27" s="278">
        <v>1005982</v>
      </c>
      <c r="D27" s="247" t="s">
        <v>199</v>
      </c>
      <c r="E27" s="54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117"/>
      <c r="L27" s="416"/>
      <c r="M27" s="59"/>
      <c r="N27" s="96"/>
      <c r="O27" s="59"/>
      <c r="P27" s="59"/>
      <c r="Q27" s="59"/>
      <c r="R27" s="59"/>
      <c r="S27" s="44"/>
      <c r="T27" s="59"/>
      <c r="U27" s="59"/>
      <c r="V27" s="137"/>
      <c r="W27" s="59"/>
      <c r="X27" s="96"/>
      <c r="Y27" s="59"/>
      <c r="Z27" s="59"/>
      <c r="AA27" s="59"/>
      <c r="AB27" s="59"/>
      <c r="AC27" s="44"/>
      <c r="AD27" s="59"/>
      <c r="AE27" s="59"/>
      <c r="AF27" s="306"/>
      <c r="AG27" s="59"/>
      <c r="AH27" s="96"/>
      <c r="AI27" s="59"/>
      <c r="AJ27" s="59"/>
      <c r="AK27" s="59"/>
      <c r="AL27" s="59"/>
      <c r="AM27" s="44"/>
      <c r="AN27" s="59"/>
      <c r="AO27" s="59"/>
      <c r="AP27" s="139"/>
      <c r="AQ27" s="59"/>
      <c r="AR27" s="96"/>
      <c r="AS27" s="59"/>
      <c r="AT27" s="59"/>
      <c r="AU27" s="59"/>
      <c r="AV27" s="59"/>
      <c r="AW27" s="44"/>
      <c r="AX27" s="59"/>
      <c r="AY27" s="59"/>
      <c r="AZ27" s="417"/>
      <c r="BA27" s="59"/>
      <c r="BB27" s="96"/>
      <c r="BC27" s="59"/>
      <c r="BD27" s="59"/>
      <c r="BE27" s="59"/>
      <c r="BF27" s="59"/>
      <c r="BG27" s="44"/>
      <c r="BH27" s="59"/>
      <c r="BI27" s="59"/>
      <c r="BJ27" s="141"/>
      <c r="BK27" s="59"/>
      <c r="BL27" s="96"/>
      <c r="BM27" s="59"/>
      <c r="BN27" s="59"/>
      <c r="BO27" s="59"/>
      <c r="BP27" s="59"/>
      <c r="BQ27" s="44"/>
      <c r="BR27" s="59"/>
      <c r="BS27" s="59"/>
      <c r="BT27" s="308"/>
      <c r="BU27" s="5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5">
        <v>5</v>
      </c>
      <c r="B28" s="166"/>
      <c r="C28" s="73">
        <v>1113086</v>
      </c>
      <c r="D28" s="75" t="s">
        <v>200</v>
      </c>
      <c r="E28" s="135" t="s">
        <v>42</v>
      </c>
      <c r="F28" s="73"/>
      <c r="G28" s="116"/>
      <c r="H28" s="129">
        <v>0</v>
      </c>
      <c r="I28" s="418">
        <f t="shared" ref="I28" si="4">SUM(L28,V28,AF28,AP28,AZ28,BJ28,BT28)</f>
        <v>0</v>
      </c>
      <c r="J28" s="538">
        <v>0</v>
      </c>
      <c r="K28" s="185"/>
      <c r="L28" s="203"/>
      <c r="M28" s="222"/>
      <c r="N28" s="96"/>
      <c r="O28" s="59"/>
      <c r="P28" s="59"/>
      <c r="Q28" s="59"/>
      <c r="R28" s="59"/>
      <c r="S28" s="44"/>
      <c r="T28" s="59"/>
      <c r="U28" s="221"/>
      <c r="V28" s="204"/>
      <c r="W28" s="222"/>
      <c r="X28" s="96"/>
      <c r="Y28" s="59"/>
      <c r="Z28" s="59"/>
      <c r="AA28" s="59"/>
      <c r="AB28" s="59"/>
      <c r="AC28" s="44"/>
      <c r="AD28" s="59"/>
      <c r="AE28" s="221"/>
      <c r="AF28" s="254"/>
      <c r="AG28" s="222"/>
      <c r="AH28" s="96"/>
      <c r="AI28" s="59"/>
      <c r="AJ28" s="59"/>
      <c r="AK28" s="59"/>
      <c r="AL28" s="59"/>
      <c r="AM28" s="44"/>
      <c r="AN28" s="59"/>
      <c r="AO28" s="221"/>
      <c r="AP28" s="265"/>
      <c r="AQ28" s="222"/>
      <c r="AR28" s="96"/>
      <c r="AS28" s="59"/>
      <c r="AT28" s="59"/>
      <c r="AU28" s="59"/>
      <c r="AV28" s="59"/>
      <c r="AW28" s="44"/>
      <c r="AX28" s="59"/>
      <c r="AY28" s="221"/>
      <c r="AZ28" s="268"/>
      <c r="BA28" s="222"/>
      <c r="BB28" s="96"/>
      <c r="BC28" s="59"/>
      <c r="BD28" s="59"/>
      <c r="BE28" s="59"/>
      <c r="BF28" s="59"/>
      <c r="BG28" s="44"/>
      <c r="BH28" s="59"/>
      <c r="BI28" s="221"/>
      <c r="BJ28" s="270"/>
      <c r="BK28" s="222"/>
      <c r="BL28" s="96"/>
      <c r="BM28" s="59"/>
      <c r="BN28" s="59"/>
      <c r="BO28" s="59"/>
      <c r="BP28" s="59"/>
      <c r="BQ28" s="44"/>
      <c r="BR28" s="59"/>
      <c r="BS28" s="221"/>
      <c r="BT28" s="206"/>
      <c r="BU28" s="222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168">
        <v>1</v>
      </c>
      <c r="B29" s="170"/>
      <c r="C29" s="169">
        <v>1005985</v>
      </c>
      <c r="D29" s="271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481"/>
      <c r="L29" s="482"/>
      <c r="M29" s="222"/>
      <c r="N29" s="96"/>
      <c r="O29" s="59"/>
      <c r="P29" s="59"/>
      <c r="Q29" s="59"/>
      <c r="R29" s="59"/>
      <c r="S29" s="44"/>
      <c r="T29" s="59"/>
      <c r="U29" s="59"/>
      <c r="V29" s="483"/>
      <c r="W29" s="222"/>
      <c r="X29" s="96"/>
      <c r="Y29" s="59"/>
      <c r="Z29" s="59"/>
      <c r="AA29" s="59"/>
      <c r="AB29" s="59"/>
      <c r="AC29" s="44"/>
      <c r="AD29" s="59"/>
      <c r="AE29" s="59"/>
      <c r="AF29" s="484"/>
      <c r="AG29" s="222"/>
      <c r="AH29" s="96"/>
      <c r="AI29" s="59"/>
      <c r="AJ29" s="59"/>
      <c r="AK29" s="59"/>
      <c r="AL29" s="59"/>
      <c r="AM29" s="44"/>
      <c r="AN29" s="59"/>
      <c r="AO29" s="59"/>
      <c r="AP29" s="485"/>
      <c r="AQ29" s="222"/>
      <c r="AR29" s="96"/>
      <c r="AS29" s="59"/>
      <c r="AT29" s="59"/>
      <c r="AU29" s="59"/>
      <c r="AV29" s="59"/>
      <c r="AW29" s="44"/>
      <c r="AX29" s="59"/>
      <c r="AY29" s="59"/>
      <c r="AZ29" s="486"/>
      <c r="BA29" s="222"/>
      <c r="BB29" s="96"/>
      <c r="BC29" s="59"/>
      <c r="BD29" s="59"/>
      <c r="BE29" s="59"/>
      <c r="BF29" s="59"/>
      <c r="BG29" s="44"/>
      <c r="BH29" s="59"/>
      <c r="BI29" s="59"/>
      <c r="BJ29" s="487"/>
      <c r="BK29" s="222"/>
      <c r="BL29" s="96"/>
      <c r="BM29" s="59"/>
      <c r="BN29" s="59"/>
      <c r="BO29" s="59"/>
      <c r="BP29" s="59"/>
      <c r="BQ29" s="44"/>
      <c r="BR29" s="59"/>
      <c r="BS29" s="59"/>
      <c r="BT29" s="488"/>
      <c r="BU29" s="222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53">
        <v>2</v>
      </c>
      <c r="B30" s="56"/>
      <c r="C30" s="276">
        <v>1113088</v>
      </c>
      <c r="D30" s="277" t="s">
        <v>208</v>
      </c>
      <c r="E30" s="64" t="s">
        <v>170</v>
      </c>
      <c r="F30" s="54"/>
      <c r="G30" s="44"/>
      <c r="H30" s="58">
        <v>0</v>
      </c>
      <c r="I30" s="218">
        <f t="shared" ref="I30" si="5">SUM(L30,V30,AF30,AP30,AZ30,BJ30,BT30)</f>
        <v>0</v>
      </c>
      <c r="J30" s="537">
        <v>0</v>
      </c>
      <c r="K30" s="185"/>
      <c r="L30" s="259"/>
      <c r="M30" s="222"/>
      <c r="N30" s="96"/>
      <c r="O30" s="59"/>
      <c r="P30" s="59"/>
      <c r="Q30" s="59"/>
      <c r="R30" s="59"/>
      <c r="S30" s="106"/>
      <c r="T30" s="59"/>
      <c r="U30" s="221"/>
      <c r="V30" s="227"/>
      <c r="W30" s="222"/>
      <c r="X30" s="96"/>
      <c r="Y30" s="59"/>
      <c r="Z30" s="59"/>
      <c r="AA30" s="59"/>
      <c r="AB30" s="59"/>
      <c r="AC30" s="44"/>
      <c r="AD30" s="59"/>
      <c r="AE30" s="221"/>
      <c r="AF30" s="228"/>
      <c r="AG30" s="222"/>
      <c r="AH30" s="96"/>
      <c r="AI30" s="59"/>
      <c r="AJ30" s="59"/>
      <c r="AK30" s="59"/>
      <c r="AL30" s="59"/>
      <c r="AM30" s="106"/>
      <c r="AN30" s="59"/>
      <c r="AO30" s="221"/>
      <c r="AP30" s="249"/>
      <c r="AQ30" s="222"/>
      <c r="AR30" s="96"/>
      <c r="AS30" s="59"/>
      <c r="AT30" s="59"/>
      <c r="AU30" s="59"/>
      <c r="AV30" s="59"/>
      <c r="AW30" s="44"/>
      <c r="AX30" s="59"/>
      <c r="AY30" s="221"/>
      <c r="AZ30" s="205"/>
      <c r="BA30" s="222"/>
      <c r="BB30" s="96"/>
      <c r="BC30" s="59"/>
      <c r="BD30" s="59"/>
      <c r="BE30" s="59"/>
      <c r="BF30" s="59"/>
      <c r="BG30" s="106"/>
      <c r="BH30" s="59"/>
      <c r="BI30" s="221"/>
      <c r="BJ30" s="24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58">
        <v>0</v>
      </c>
      <c r="I31" s="63">
        <f t="shared" si="0"/>
        <v>0</v>
      </c>
      <c r="J31" s="58">
        <v>0</v>
      </c>
      <c r="K31" s="147"/>
      <c r="L31" s="489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90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53">
        <v>3</v>
      </c>
      <c r="B32" s="56"/>
      <c r="C32" s="54">
        <v>20053132</v>
      </c>
      <c r="D32" s="57" t="s">
        <v>453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89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210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53">
        <v>4</v>
      </c>
      <c r="B33" s="56"/>
      <c r="C33" s="54">
        <v>20063379</v>
      </c>
      <c r="D33" s="57" t="s">
        <v>430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89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210"/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53">
        <v>5</v>
      </c>
      <c r="B34" s="56"/>
      <c r="C34" s="54">
        <v>20060015</v>
      </c>
      <c r="D34" s="57" t="s">
        <v>431</v>
      </c>
      <c r="E34" s="54" t="s">
        <v>69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89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210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53">
        <v>6</v>
      </c>
      <c r="B35" s="56"/>
      <c r="C35" s="54">
        <v>20063378</v>
      </c>
      <c r="D35" s="57" t="s">
        <v>432</v>
      </c>
      <c r="E35" s="54" t="s">
        <v>69</v>
      </c>
      <c r="F35" s="54"/>
      <c r="G35" s="44"/>
      <c r="H35" s="58">
        <v>0</v>
      </c>
      <c r="I35" s="63">
        <f t="shared" si="0"/>
        <v>0</v>
      </c>
      <c r="J35" s="58">
        <v>0</v>
      </c>
      <c r="K35" s="117"/>
      <c r="L35" s="505"/>
      <c r="M35" s="59"/>
      <c r="N35" s="96"/>
      <c r="O35" s="105"/>
      <c r="P35" s="59"/>
      <c r="Q35" s="59"/>
      <c r="R35" s="105"/>
      <c r="S35" s="106"/>
      <c r="T35" s="59"/>
      <c r="U35" s="105"/>
      <c r="V35" s="506"/>
      <c r="W35" s="59"/>
      <c r="X35" s="96"/>
      <c r="Y35" s="105"/>
      <c r="Z35" s="59"/>
      <c r="AA35" s="59"/>
      <c r="AB35" s="105"/>
      <c r="AC35" s="106"/>
      <c r="AD35" s="59"/>
      <c r="AE35" s="59"/>
      <c r="AF35" s="507"/>
      <c r="AG35" s="105"/>
      <c r="AH35" s="96"/>
      <c r="AI35" s="105"/>
      <c r="AJ35" s="59"/>
      <c r="AK35" s="59"/>
      <c r="AL35" s="105"/>
      <c r="AM35" s="106"/>
      <c r="AN35" s="59"/>
      <c r="AO35" s="59"/>
      <c r="AP35" s="540"/>
      <c r="AQ35" s="59"/>
      <c r="AR35" s="96"/>
      <c r="AS35" s="105"/>
      <c r="AT35" s="59"/>
      <c r="AU35" s="59"/>
      <c r="AV35" s="105"/>
      <c r="AW35" s="106"/>
      <c r="AX35" s="59"/>
      <c r="AY35" s="59"/>
      <c r="AZ35" s="509"/>
      <c r="BA35" s="59"/>
      <c r="BB35" s="96"/>
      <c r="BC35" s="105"/>
      <c r="BD35" s="59"/>
      <c r="BE35" s="59"/>
      <c r="BF35" s="105"/>
      <c r="BG35" s="106"/>
      <c r="BH35" s="105"/>
      <c r="BI35" s="59"/>
      <c r="BJ35" s="510"/>
      <c r="BK35" s="105"/>
      <c r="BL35" s="96"/>
      <c r="BM35" s="105"/>
      <c r="BN35" s="59"/>
      <c r="BO35" s="59"/>
      <c r="BP35" s="105"/>
      <c r="BQ35" s="106"/>
      <c r="BR35" s="59"/>
      <c r="BS35" s="59"/>
      <c r="BT35" s="224"/>
      <c r="BU35" s="59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53">
        <v>7</v>
      </c>
      <c r="B36" s="56"/>
      <c r="C36" s="299">
        <v>1113148</v>
      </c>
      <c r="D36" s="300" t="s">
        <v>348</v>
      </c>
      <c r="E36" s="64" t="s">
        <v>42</v>
      </c>
      <c r="F36" s="54"/>
      <c r="G36" s="44"/>
      <c r="H36" s="58">
        <v>0</v>
      </c>
      <c r="I36" s="218">
        <f t="shared" ref="I36:I40" si="6">SUM(L36,V36,AF36,AP36,AZ36,BJ36,BT36)</f>
        <v>0</v>
      </c>
      <c r="J36" s="537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5"/>
      <c r="AQ36" s="222"/>
      <c r="AR36" s="96"/>
      <c r="AS36" s="59"/>
      <c r="AT36" s="59"/>
      <c r="AU36" s="59"/>
      <c r="AV36" s="59"/>
      <c r="AW36" s="44"/>
      <c r="AX36" s="59"/>
      <c r="AY36" s="221"/>
      <c r="AZ36" s="268"/>
      <c r="BA36" s="222"/>
      <c r="BB36" s="96"/>
      <c r="BC36" s="59"/>
      <c r="BD36" s="59"/>
      <c r="BE36" s="59"/>
      <c r="BF36" s="59"/>
      <c r="BG36" s="44"/>
      <c r="BH36" s="59"/>
      <c r="BI36" s="221"/>
      <c r="BJ36" s="270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53">
        <v>8</v>
      </c>
      <c r="B37" s="68"/>
      <c r="C37" s="301">
        <v>1113149</v>
      </c>
      <c r="D37" s="302" t="s">
        <v>349</v>
      </c>
      <c r="E37" s="64" t="s">
        <v>42</v>
      </c>
      <c r="F37" s="54"/>
      <c r="G37" s="44"/>
      <c r="H37" s="58">
        <v>0</v>
      </c>
      <c r="I37" s="218">
        <f t="shared" si="6"/>
        <v>0</v>
      </c>
      <c r="J37" s="537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5"/>
      <c r="AQ37" s="222"/>
      <c r="AR37" s="96"/>
      <c r="AS37" s="59"/>
      <c r="AT37" s="59"/>
      <c r="AU37" s="59"/>
      <c r="AV37" s="59"/>
      <c r="AW37" s="44"/>
      <c r="AX37" s="59"/>
      <c r="AY37" s="221"/>
      <c r="AZ37" s="268"/>
      <c r="BA37" s="222"/>
      <c r="BB37" s="96"/>
      <c r="BC37" s="59"/>
      <c r="BD37" s="59"/>
      <c r="BE37" s="59"/>
      <c r="BF37" s="59"/>
      <c r="BG37" s="44"/>
      <c r="BH37" s="59"/>
      <c r="BI37" s="221"/>
      <c r="BJ37" s="270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218">
        <f t="shared" si="6"/>
        <v>0</v>
      </c>
      <c r="J38" s="537">
        <v>0</v>
      </c>
      <c r="K38" s="185"/>
      <c r="L38" s="259"/>
      <c r="M38" s="222"/>
      <c r="N38" s="96"/>
      <c r="O38" s="59"/>
      <c r="P38" s="59"/>
      <c r="Q38" s="59"/>
      <c r="R38" s="59"/>
      <c r="S38" s="106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28"/>
      <c r="AG38" s="222"/>
      <c r="AH38" s="96"/>
      <c r="AI38" s="59"/>
      <c r="AJ38" s="59"/>
      <c r="AK38" s="59"/>
      <c r="AL38" s="59"/>
      <c r="AM38" s="106"/>
      <c r="AN38" s="59"/>
      <c r="AO38" s="221"/>
      <c r="AP38" s="249"/>
      <c r="AQ38" s="222"/>
      <c r="AR38" s="96"/>
      <c r="AS38" s="59"/>
      <c r="AT38" s="59"/>
      <c r="AU38" s="59"/>
      <c r="AV38" s="59"/>
      <c r="AW38" s="44"/>
      <c r="AX38" s="59"/>
      <c r="AY38" s="221"/>
      <c r="AZ38" s="205"/>
      <c r="BA38" s="222"/>
      <c r="BB38" s="96"/>
      <c r="BC38" s="59"/>
      <c r="BD38" s="59"/>
      <c r="BE38" s="59"/>
      <c r="BF38" s="59"/>
      <c r="BG38" s="106"/>
      <c r="BH38" s="59"/>
      <c r="BI38" s="221"/>
      <c r="BJ38" s="24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53">
        <v>10</v>
      </c>
      <c r="B39" s="56"/>
      <c r="C39" s="274">
        <v>1113194</v>
      </c>
      <c r="D39" s="275" t="s">
        <v>353</v>
      </c>
      <c r="E39" s="64" t="s">
        <v>42</v>
      </c>
      <c r="F39" s="54"/>
      <c r="G39" s="44"/>
      <c r="H39" s="58">
        <v>0</v>
      </c>
      <c r="I39" s="218">
        <f t="shared" si="6"/>
        <v>0</v>
      </c>
      <c r="J39" s="537">
        <v>0</v>
      </c>
      <c r="K39" s="185"/>
      <c r="L39" s="259"/>
      <c r="M39" s="222"/>
      <c r="N39" s="96"/>
      <c r="O39" s="59"/>
      <c r="P39" s="59"/>
      <c r="Q39" s="59"/>
      <c r="R39" s="105"/>
      <c r="S39" s="106"/>
      <c r="T39" s="59"/>
      <c r="U39" s="221"/>
      <c r="V39" s="227"/>
      <c r="W39" s="222"/>
      <c r="X39" s="96"/>
      <c r="Y39" s="59"/>
      <c r="Z39" s="59"/>
      <c r="AA39" s="59"/>
      <c r="AB39" s="105"/>
      <c r="AC39" s="44"/>
      <c r="AD39" s="59"/>
      <c r="AE39" s="221"/>
      <c r="AF39" s="228"/>
      <c r="AG39" s="415"/>
      <c r="AH39" s="96"/>
      <c r="AI39" s="59"/>
      <c r="AJ39" s="59"/>
      <c r="AK39" s="59"/>
      <c r="AL39" s="105"/>
      <c r="AM39" s="106"/>
      <c r="AN39" s="59"/>
      <c r="AO39" s="221"/>
      <c r="AP39" s="249"/>
      <c r="AQ39" s="222"/>
      <c r="AR39" s="96"/>
      <c r="AS39" s="59"/>
      <c r="AT39" s="59"/>
      <c r="AU39" s="59"/>
      <c r="AV39" s="105"/>
      <c r="AW39" s="44"/>
      <c r="AX39" s="59"/>
      <c r="AY39" s="221"/>
      <c r="AZ39" s="205"/>
      <c r="BA39" s="222"/>
      <c r="BB39" s="96"/>
      <c r="BC39" s="59"/>
      <c r="BD39" s="59"/>
      <c r="BE39" s="59"/>
      <c r="BF39" s="105"/>
      <c r="BG39" s="106"/>
      <c r="BH39" s="105"/>
      <c r="BI39" s="221"/>
      <c r="BJ39" s="248"/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53">
        <v>7</v>
      </c>
      <c r="B40" s="68"/>
      <c r="C40" s="244">
        <v>20059547</v>
      </c>
      <c r="D40" s="188" t="s">
        <v>433</v>
      </c>
      <c r="E40" s="54" t="s">
        <v>69</v>
      </c>
      <c r="F40" s="54"/>
      <c r="G40" s="44"/>
      <c r="H40" s="58">
        <v>0</v>
      </c>
      <c r="I40" s="63">
        <f t="shared" si="6"/>
        <v>0</v>
      </c>
      <c r="J40" s="58">
        <v>0</v>
      </c>
      <c r="K40" s="147"/>
      <c r="L40" s="104"/>
      <c r="M40" s="59"/>
      <c r="N40" s="96"/>
      <c r="O40" s="59"/>
      <c r="P40" s="59"/>
      <c r="Q40" s="59"/>
      <c r="R40" s="105"/>
      <c r="S40" s="106"/>
      <c r="T40" s="59"/>
      <c r="U40" s="59"/>
      <c r="V40" s="107"/>
      <c r="W40" s="59"/>
      <c r="X40" s="96"/>
      <c r="Y40" s="59"/>
      <c r="Z40" s="59"/>
      <c r="AA40" s="59"/>
      <c r="AB40" s="105"/>
      <c r="AC40" s="44"/>
      <c r="AD40" s="59"/>
      <c r="AE40" s="59"/>
      <c r="AF40" s="108"/>
      <c r="AG40" s="105"/>
      <c r="AH40" s="96"/>
      <c r="AI40" s="59"/>
      <c r="AJ40" s="59"/>
      <c r="AK40" s="59"/>
      <c r="AL40" s="105"/>
      <c r="AM40" s="106"/>
      <c r="AN40" s="59"/>
      <c r="AO40" s="59"/>
      <c r="AP40" s="189"/>
      <c r="AQ40" s="59"/>
      <c r="AR40" s="96"/>
      <c r="AS40" s="59"/>
      <c r="AT40" s="59"/>
      <c r="AU40" s="59"/>
      <c r="AV40" s="105"/>
      <c r="AW40" s="44"/>
      <c r="AX40" s="59"/>
      <c r="AY40" s="59"/>
      <c r="AZ40" s="190"/>
      <c r="BA40" s="59"/>
      <c r="BB40" s="96"/>
      <c r="BC40" s="59"/>
      <c r="BD40" s="59"/>
      <c r="BE40" s="59"/>
      <c r="BF40" s="105"/>
      <c r="BG40" s="106"/>
      <c r="BH40" s="105"/>
      <c r="BI40" s="59"/>
      <c r="BJ40" s="191"/>
      <c r="BK40" s="59"/>
      <c r="BL40" s="96"/>
      <c r="BM40" s="59"/>
      <c r="BN40" s="59"/>
      <c r="BO40" s="59"/>
      <c r="BP40" s="105"/>
      <c r="BQ40" s="44"/>
      <c r="BR40" s="59"/>
      <c r="BS40" s="59"/>
      <c r="BT40" s="230"/>
      <c r="BU40" s="59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8">
        <v>1001001087</v>
      </c>
      <c r="D41" s="199" t="s">
        <v>376</v>
      </c>
      <c r="E41" s="200" t="s">
        <v>377</v>
      </c>
      <c r="F41" s="200"/>
      <c r="G41" s="201"/>
      <c r="H41" s="202">
        <v>0</v>
      </c>
      <c r="I41" s="63">
        <f t="shared" ref="I41:I47" si="7">SUM(L41,V41,AF41,AP41,AZ41,BJ41,BT41)</f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105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8">
        <v>1001001088</v>
      </c>
      <c r="D42" s="199" t="s">
        <v>378</v>
      </c>
      <c r="E42" s="200" t="s">
        <v>377</v>
      </c>
      <c r="F42" s="200"/>
      <c r="G42" s="201"/>
      <c r="H42" s="202">
        <v>0</v>
      </c>
      <c r="I42" s="63">
        <f t="shared" si="7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3</v>
      </c>
      <c r="B43" s="68"/>
      <c r="C43" s="198">
        <v>1001001089</v>
      </c>
      <c r="D43" s="199" t="s">
        <v>379</v>
      </c>
      <c r="E43" s="200" t="s">
        <v>377</v>
      </c>
      <c r="F43" s="200"/>
      <c r="G43" s="201"/>
      <c r="H43" s="202">
        <v>0</v>
      </c>
      <c r="I43" s="63">
        <f t="shared" si="7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105"/>
      <c r="S43" s="44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4</v>
      </c>
      <c r="B44" s="68"/>
      <c r="C44" s="198">
        <v>1001001111</v>
      </c>
      <c r="D44" s="199" t="s">
        <v>381</v>
      </c>
      <c r="E44" s="200" t="s">
        <v>377</v>
      </c>
      <c r="F44" s="200"/>
      <c r="G44" s="201"/>
      <c r="H44" s="202">
        <v>0</v>
      </c>
      <c r="I44" s="63">
        <f t="shared" si="7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105"/>
      <c r="S44" s="106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5</v>
      </c>
      <c r="B45" s="68"/>
      <c r="C45" s="198">
        <v>1001001112</v>
      </c>
      <c r="D45" s="199" t="s">
        <v>382</v>
      </c>
      <c r="E45" s="200" t="s">
        <v>377</v>
      </c>
      <c r="F45" s="200"/>
      <c r="G45" s="201"/>
      <c r="H45" s="202">
        <v>0</v>
      </c>
      <c r="I45" s="63">
        <f t="shared" si="7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59"/>
      <c r="S45" s="106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6</v>
      </c>
      <c r="B46" s="68"/>
      <c r="C46" s="198">
        <v>1001001113</v>
      </c>
      <c r="D46" s="199" t="s">
        <v>383</v>
      </c>
      <c r="E46" s="200" t="s">
        <v>377</v>
      </c>
      <c r="F46" s="200"/>
      <c r="G46" s="201"/>
      <c r="H46" s="202">
        <v>0</v>
      </c>
      <c r="I46" s="63">
        <f t="shared" si="7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7</v>
      </c>
      <c r="B47" s="68"/>
      <c r="C47" s="198">
        <v>1001001114</v>
      </c>
      <c r="D47" s="199" t="s">
        <v>384</v>
      </c>
      <c r="E47" s="200" t="s">
        <v>377</v>
      </c>
      <c r="F47" s="200"/>
      <c r="G47" s="201"/>
      <c r="H47" s="202">
        <v>0</v>
      </c>
      <c r="I47" s="63">
        <f t="shared" si="7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225">
        <v>11</v>
      </c>
      <c r="B48" s="170"/>
      <c r="C48" s="208">
        <v>1113225</v>
      </c>
      <c r="D48" s="209" t="s">
        <v>407</v>
      </c>
      <c r="E48" s="220" t="s">
        <v>42</v>
      </c>
      <c r="F48" s="169"/>
      <c r="G48" s="183"/>
      <c r="H48" s="184"/>
      <c r="I48" s="218">
        <f t="shared" ref="I48" si="8">SUM(L48,V48,AF48,AP48,AZ48,BJ48,BT48)</f>
        <v>0</v>
      </c>
      <c r="J48" s="58"/>
      <c r="K48" s="59"/>
      <c r="L48" s="229"/>
      <c r="M48" s="59"/>
      <c r="N48" s="96"/>
      <c r="O48" s="59"/>
      <c r="P48" s="59"/>
      <c r="Q48" s="59"/>
      <c r="R48" s="59"/>
      <c r="S48" s="44"/>
      <c r="T48" s="59"/>
      <c r="U48" s="59"/>
      <c r="V48" s="226"/>
      <c r="W48" s="59"/>
      <c r="X48" s="96"/>
      <c r="Y48" s="59"/>
      <c r="Z48" s="59"/>
      <c r="AA48" s="59"/>
      <c r="AB48" s="59"/>
      <c r="AC48" s="44"/>
      <c r="AD48" s="59"/>
      <c r="AE48" s="59"/>
      <c r="AF48" s="253"/>
      <c r="AG48" s="59"/>
      <c r="AH48" s="96"/>
      <c r="AI48" s="59"/>
      <c r="AJ48" s="59"/>
      <c r="AK48" s="59"/>
      <c r="AL48" s="59"/>
      <c r="AM48" s="44"/>
      <c r="AN48" s="59"/>
      <c r="AO48" s="59"/>
      <c r="AP48" s="263"/>
      <c r="AQ48" s="59"/>
      <c r="AR48" s="96"/>
      <c r="AS48" s="59"/>
      <c r="AT48" s="59"/>
      <c r="AU48" s="59"/>
      <c r="AV48" s="59"/>
      <c r="AW48" s="44"/>
      <c r="AX48" s="59"/>
      <c r="AY48" s="59"/>
      <c r="AZ48" s="181"/>
      <c r="BA48" s="59"/>
      <c r="BB48" s="96"/>
      <c r="BC48" s="59"/>
      <c r="BD48" s="59"/>
      <c r="BE48" s="59"/>
      <c r="BF48" s="59"/>
      <c r="BG48" s="44"/>
      <c r="BH48" s="59"/>
      <c r="BI48" s="59"/>
      <c r="BJ48" s="291"/>
      <c r="BK48" s="59"/>
      <c r="BL48" s="96"/>
      <c r="BM48" s="59"/>
      <c r="BN48" s="59"/>
      <c r="BO48" s="59"/>
      <c r="BP48" s="59"/>
      <c r="BQ48" s="44"/>
      <c r="BR48" s="59"/>
      <c r="BS48" s="59"/>
      <c r="BT48" s="210"/>
      <c r="BU48" s="59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168">
        <v>8</v>
      </c>
      <c r="B49" s="170"/>
      <c r="C49" s="244">
        <v>20059548</v>
      </c>
      <c r="D49" s="188" t="s">
        <v>434</v>
      </c>
      <c r="E49" s="169" t="s">
        <v>69</v>
      </c>
      <c r="F49" s="188"/>
      <c r="G49" s="188"/>
      <c r="H49" s="245"/>
      <c r="I49" s="237">
        <f t="shared" ref="I49:I51" si="9">SUM(L49,V49,AF49,AP49,AZ49,BJ49,BT49)</f>
        <v>0</v>
      </c>
      <c r="J49" s="246"/>
      <c r="K49" s="188"/>
      <c r="L49" s="238"/>
      <c r="V49" s="239"/>
      <c r="AF49" s="240"/>
      <c r="AP49" s="249"/>
      <c r="AZ49" s="242"/>
      <c r="BJ49" s="243"/>
      <c r="BT49" s="206"/>
    </row>
    <row r="50" spans="1:72" ht="24" hidden="1" customHeight="1">
      <c r="A50" s="168">
        <v>9</v>
      </c>
      <c r="B50" s="250"/>
      <c r="C50" s="273">
        <v>20060019</v>
      </c>
      <c r="D50" s="188" t="s">
        <v>409</v>
      </c>
      <c r="E50" s="169" t="s">
        <v>69</v>
      </c>
      <c r="F50" s="188"/>
      <c r="G50" s="188"/>
      <c r="H50" s="184"/>
      <c r="I50" s="237">
        <f t="shared" si="9"/>
        <v>0</v>
      </c>
      <c r="J50" s="237"/>
      <c r="K50" s="188"/>
      <c r="L50" s="238"/>
      <c r="V50" s="227"/>
      <c r="AF50" s="228"/>
      <c r="AP50" s="249"/>
      <c r="AZ50" s="205"/>
      <c r="BJ50" s="248"/>
      <c r="BT50" s="206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8"/>
      <c r="G51" s="188"/>
      <c r="H51" s="184"/>
      <c r="I51" s="237">
        <f t="shared" si="9"/>
        <v>0</v>
      </c>
      <c r="J51" s="237"/>
      <c r="K51" s="188"/>
      <c r="L51" s="238"/>
      <c r="V51" s="227"/>
      <c r="AF51" s="228"/>
      <c r="AP51" s="249"/>
      <c r="AZ51" s="205"/>
      <c r="BJ51" s="248"/>
      <c r="BT51" s="206"/>
    </row>
    <row r="52" spans="1:72" ht="24.75" hidden="1" customHeight="1">
      <c r="A52" s="168">
        <v>11</v>
      </c>
      <c r="B52" s="234"/>
      <c r="C52" s="252">
        <v>20060974</v>
      </c>
      <c r="D52" s="251" t="s">
        <v>436</v>
      </c>
      <c r="E52" s="169" t="s">
        <v>69</v>
      </c>
      <c r="F52" s="188"/>
      <c r="G52" s="188"/>
      <c r="H52" s="184"/>
      <c r="I52" s="237">
        <f t="shared" ref="I52:I53" si="10">SUM(L52,V52,AF52,AP52,AZ52,BJ52,BT52)</f>
        <v>0</v>
      </c>
      <c r="J52" s="237"/>
      <c r="K52" s="188"/>
      <c r="L52" s="238"/>
      <c r="V52" s="227"/>
      <c r="AF52" s="228"/>
      <c r="AP52" s="249"/>
      <c r="AZ52" s="205"/>
      <c r="BJ52" s="248"/>
      <c r="BT52" s="206"/>
    </row>
    <row r="53" spans="1:72" ht="24.75" hidden="1" customHeight="1">
      <c r="A53" s="168">
        <v>12</v>
      </c>
      <c r="B53" s="234"/>
      <c r="C53" s="252">
        <v>20060976</v>
      </c>
      <c r="D53" s="251" t="s">
        <v>437</v>
      </c>
      <c r="E53" s="169" t="s">
        <v>69</v>
      </c>
      <c r="F53" s="188"/>
      <c r="G53" s="188"/>
      <c r="H53" s="184"/>
      <c r="I53" s="237">
        <f t="shared" si="10"/>
        <v>0</v>
      </c>
      <c r="J53" s="237"/>
      <c r="K53" s="188"/>
      <c r="L53" s="238"/>
      <c r="V53" s="227"/>
      <c r="AF53" s="228"/>
      <c r="AP53" s="249"/>
      <c r="AZ53" s="205"/>
      <c r="BJ53" s="248"/>
      <c r="BT53" s="206"/>
    </row>
    <row r="54" spans="1:72" ht="28.5" hidden="1" customHeight="1">
      <c r="A54" s="168">
        <v>13</v>
      </c>
      <c r="B54" s="234"/>
      <c r="C54" s="252">
        <v>20060973</v>
      </c>
      <c r="D54" s="271" t="s">
        <v>438</v>
      </c>
      <c r="E54" s="169" t="s">
        <v>69</v>
      </c>
      <c r="F54" s="188"/>
      <c r="G54" s="188"/>
      <c r="H54" s="184"/>
      <c r="I54" s="237">
        <f t="shared" ref="I54:I55" si="11">SUM(L54,V54,AF54,AP54,AZ54,BJ54,BT54)</f>
        <v>0</v>
      </c>
      <c r="J54" s="237"/>
      <c r="K54" s="188"/>
      <c r="L54" s="238"/>
      <c r="V54" s="227"/>
      <c r="AF54" s="228"/>
      <c r="AP54" s="249"/>
      <c r="AZ54" s="205"/>
      <c r="BJ54" s="248"/>
      <c r="BT54" s="206"/>
    </row>
    <row r="55" spans="1:72" ht="29.25" hidden="1" customHeight="1">
      <c r="A55" s="168">
        <v>14</v>
      </c>
      <c r="B55" s="170"/>
      <c r="C55" s="293">
        <v>20061982</v>
      </c>
      <c r="D55" s="294" t="s">
        <v>439</v>
      </c>
      <c r="E55" s="169" t="s">
        <v>69</v>
      </c>
      <c r="F55" s="188"/>
      <c r="G55" s="188"/>
      <c r="H55" s="184"/>
      <c r="I55" s="237">
        <f t="shared" si="11"/>
        <v>0</v>
      </c>
      <c r="J55" s="237"/>
      <c r="K55" s="188"/>
      <c r="L55" s="238"/>
      <c r="V55" s="227"/>
      <c r="AF55" s="228"/>
      <c r="AP55" s="249"/>
      <c r="AZ55" s="205"/>
      <c r="BJ55" s="248"/>
      <c r="BT55" s="206"/>
    </row>
    <row r="56" spans="1:72" ht="30" hidden="1" customHeight="1">
      <c r="A56" s="168">
        <v>15</v>
      </c>
      <c r="B56" s="170"/>
      <c r="C56" s="252">
        <v>20062915</v>
      </c>
      <c r="D56" s="295" t="s">
        <v>440</v>
      </c>
      <c r="E56" s="169" t="s">
        <v>69</v>
      </c>
      <c r="F56" s="399"/>
      <c r="G56" s="399"/>
      <c r="H56" s="184"/>
      <c r="I56" s="237">
        <f t="shared" ref="I56:I62" si="12">SUM(L56,V56,AF56,AP56,AZ56,BJ56,BT56)</f>
        <v>0</v>
      </c>
      <c r="J56" s="237"/>
      <c r="K56" s="399"/>
      <c r="L56" s="238"/>
      <c r="V56" s="227"/>
      <c r="AF56" s="228"/>
      <c r="AP56" s="249"/>
      <c r="AZ56" s="286"/>
      <c r="BJ56" s="248"/>
      <c r="BT56" s="206"/>
    </row>
    <row r="57" spans="1:72" ht="30" hidden="1" customHeight="1">
      <c r="A57" s="168">
        <v>16</v>
      </c>
      <c r="B57" s="170"/>
      <c r="C57" s="252">
        <v>20063266</v>
      </c>
      <c r="D57" s="295" t="s">
        <v>461</v>
      </c>
      <c r="E57" s="169" t="s">
        <v>69</v>
      </c>
      <c r="F57" s="399"/>
      <c r="G57" s="399"/>
      <c r="H57" s="184"/>
      <c r="I57" s="237">
        <f t="shared" si="12"/>
        <v>0</v>
      </c>
      <c r="J57" s="237"/>
      <c r="K57" s="399"/>
      <c r="L57" s="238"/>
      <c r="V57" s="227"/>
      <c r="AF57" s="228"/>
      <c r="AP57" s="249"/>
      <c r="AZ57" s="286"/>
      <c r="BJ57" s="248"/>
      <c r="BT57" s="206"/>
    </row>
    <row r="58" spans="1:72" ht="30" hidden="1" customHeight="1">
      <c r="A58" s="168">
        <v>17</v>
      </c>
      <c r="B58" s="170"/>
      <c r="C58" s="252">
        <v>20062916</v>
      </c>
      <c r="D58" s="295" t="s">
        <v>462</v>
      </c>
      <c r="E58" s="169" t="s">
        <v>69</v>
      </c>
      <c r="F58" s="399"/>
      <c r="G58" s="399"/>
      <c r="H58" s="184"/>
      <c r="I58" s="237">
        <f t="shared" si="12"/>
        <v>0</v>
      </c>
      <c r="J58" s="237"/>
      <c r="K58" s="399"/>
      <c r="L58" s="238"/>
      <c r="V58" s="227"/>
      <c r="AF58" s="228"/>
      <c r="AP58" s="249"/>
      <c r="AZ58" s="286"/>
      <c r="BJ58" s="248"/>
      <c r="BT58" s="206"/>
    </row>
    <row r="59" spans="1:72" ht="30" hidden="1" customHeight="1">
      <c r="A59" s="168">
        <v>18</v>
      </c>
      <c r="B59" s="170"/>
      <c r="C59" s="252">
        <v>20063380</v>
      </c>
      <c r="D59" s="295" t="s">
        <v>415</v>
      </c>
      <c r="E59" s="169" t="s">
        <v>69</v>
      </c>
      <c r="F59" s="399"/>
      <c r="G59" s="399"/>
      <c r="H59" s="184"/>
      <c r="I59" s="237">
        <f t="shared" si="12"/>
        <v>0</v>
      </c>
      <c r="J59" s="237"/>
      <c r="K59" s="399"/>
      <c r="L59" s="238"/>
      <c r="V59" s="227"/>
      <c r="AF59" s="228"/>
      <c r="AP59" s="249"/>
      <c r="AZ59" s="286"/>
      <c r="BJ59" s="248"/>
      <c r="BT59" s="206"/>
    </row>
    <row r="60" spans="1:72" ht="30" hidden="1" customHeight="1">
      <c r="A60" s="168">
        <v>19</v>
      </c>
      <c r="B60" s="170"/>
      <c r="C60" s="252">
        <v>20063381</v>
      </c>
      <c r="D60" s="390" t="s">
        <v>451</v>
      </c>
      <c r="E60" s="169" t="s">
        <v>69</v>
      </c>
      <c r="F60" s="399"/>
      <c r="G60" s="399"/>
      <c r="H60" s="184"/>
      <c r="I60" s="237">
        <f t="shared" si="12"/>
        <v>0</v>
      </c>
      <c r="J60" s="237"/>
      <c r="K60" s="399"/>
      <c r="L60" s="238"/>
      <c r="V60" s="227"/>
      <c r="AF60" s="228"/>
      <c r="AP60" s="249"/>
      <c r="AZ60" s="286"/>
      <c r="BJ60" s="248"/>
      <c r="BT60" s="206"/>
    </row>
    <row r="61" spans="1:72" ht="30" hidden="1" customHeight="1">
      <c r="A61" s="168">
        <v>20</v>
      </c>
      <c r="B61" s="170"/>
      <c r="C61" s="252">
        <v>20063468</v>
      </c>
      <c r="D61" s="295" t="s">
        <v>419</v>
      </c>
      <c r="E61" s="169" t="s">
        <v>69</v>
      </c>
      <c r="F61" s="188"/>
      <c r="G61" s="188"/>
      <c r="H61" s="184"/>
      <c r="I61" s="237">
        <f t="shared" si="12"/>
        <v>0</v>
      </c>
      <c r="J61" s="237"/>
      <c r="K61" s="399"/>
      <c r="L61" s="238"/>
      <c r="V61" s="227"/>
      <c r="AF61" s="228"/>
      <c r="AP61" s="249"/>
      <c r="AZ61" s="286"/>
      <c r="BJ61" s="248"/>
      <c r="BT61" s="206"/>
    </row>
    <row r="62" spans="1:72" ht="28.5" hidden="1" customHeight="1">
      <c r="A62" s="168">
        <v>21</v>
      </c>
      <c r="B62" s="170"/>
      <c r="C62" s="297">
        <v>20063720</v>
      </c>
      <c r="D62" s="298" t="s">
        <v>442</v>
      </c>
      <c r="E62" s="169" t="s">
        <v>69</v>
      </c>
      <c r="F62" s="188"/>
      <c r="G62" s="188"/>
      <c r="H62" s="184"/>
      <c r="I62" s="237">
        <f t="shared" si="12"/>
        <v>0</v>
      </c>
      <c r="J62" s="237"/>
      <c r="K62" s="399"/>
      <c r="L62" s="238"/>
      <c r="V62" s="227"/>
      <c r="AF62" s="228"/>
      <c r="AP62" s="249"/>
      <c r="AZ62" s="286"/>
      <c r="BJ62" s="248"/>
      <c r="BT62" s="206"/>
    </row>
    <row r="63" spans="1:72" ht="28.5" hidden="1" customHeight="1">
      <c r="A63" s="168">
        <v>22</v>
      </c>
      <c r="B63" s="170"/>
      <c r="C63" s="297">
        <v>20063783</v>
      </c>
      <c r="D63" s="298" t="s">
        <v>463</v>
      </c>
      <c r="E63" s="169" t="s">
        <v>69</v>
      </c>
      <c r="F63" s="188"/>
      <c r="G63" s="188"/>
      <c r="H63" s="184"/>
      <c r="I63" s="237">
        <f t="shared" ref="I63" si="13">SUM(L63,V63,AF63,AP63,AZ63,BJ63,BT63)</f>
        <v>0</v>
      </c>
      <c r="J63" s="237"/>
      <c r="K63" s="399"/>
      <c r="L63" s="238"/>
      <c r="V63" s="227"/>
      <c r="AF63" s="228"/>
      <c r="AP63" s="249"/>
      <c r="AZ63" s="286"/>
      <c r="BJ63" s="248"/>
      <c r="BT63" s="206"/>
    </row>
    <row r="64" spans="1:72" ht="28.5" hidden="1" customHeight="1">
      <c r="A64" s="168">
        <v>23</v>
      </c>
      <c r="B64" s="170"/>
      <c r="C64" s="297">
        <v>20063930</v>
      </c>
      <c r="D64" s="311" t="s">
        <v>460</v>
      </c>
      <c r="E64" s="169" t="s">
        <v>69</v>
      </c>
      <c r="F64" s="188"/>
      <c r="G64" s="188"/>
      <c r="H64" s="184"/>
      <c r="I64" s="237">
        <f t="shared" ref="I64:I67" si="14">SUM(L64,V64,AF64,AP64,AZ64,BJ64,BT64)</f>
        <v>0</v>
      </c>
      <c r="J64" s="237"/>
      <c r="K64" s="399"/>
      <c r="L64" s="238"/>
      <c r="V64" s="227"/>
      <c r="AF64" s="228"/>
      <c r="AP64" s="249"/>
      <c r="AZ64" s="286"/>
      <c r="BJ64" s="248"/>
      <c r="BT64" s="206"/>
    </row>
    <row r="65" spans="1:72" ht="28.5" hidden="1" customHeight="1">
      <c r="A65" s="168">
        <v>24</v>
      </c>
      <c r="B65" s="170"/>
      <c r="C65" s="297">
        <v>20063929</v>
      </c>
      <c r="D65" s="311" t="s">
        <v>464</v>
      </c>
      <c r="E65" s="169" t="s">
        <v>69</v>
      </c>
      <c r="F65" s="188"/>
      <c r="G65" s="188"/>
      <c r="H65" s="184"/>
      <c r="I65" s="237">
        <f t="shared" si="14"/>
        <v>0</v>
      </c>
      <c r="J65" s="237"/>
      <c r="K65" s="399"/>
      <c r="L65" s="238"/>
      <c r="V65" s="227"/>
      <c r="AF65" s="228"/>
      <c r="AP65" s="249"/>
      <c r="AZ65" s="286"/>
      <c r="BJ65" s="248"/>
      <c r="BT65" s="206"/>
    </row>
    <row r="66" spans="1:72" ht="28.5" hidden="1" customHeight="1">
      <c r="A66" s="168">
        <v>25</v>
      </c>
      <c r="B66" s="170"/>
      <c r="C66" s="297">
        <v>20064190</v>
      </c>
      <c r="D66" s="326" t="s">
        <v>446</v>
      </c>
      <c r="E66" s="169" t="s">
        <v>69</v>
      </c>
      <c r="F66" s="188"/>
      <c r="G66" s="188"/>
      <c r="H66" s="184"/>
      <c r="I66" s="237">
        <f t="shared" si="14"/>
        <v>0</v>
      </c>
      <c r="J66" s="237"/>
      <c r="K66" s="399"/>
      <c r="L66" s="238"/>
      <c r="V66" s="227"/>
      <c r="AF66" s="228"/>
      <c r="AP66" s="249"/>
      <c r="AZ66" s="286"/>
      <c r="BJ66" s="248"/>
      <c r="BT66" s="206"/>
    </row>
    <row r="67" spans="1:72" ht="28.5" hidden="1" customHeight="1">
      <c r="A67" s="168">
        <v>26</v>
      </c>
      <c r="B67" s="170"/>
      <c r="C67" s="297">
        <v>20064191</v>
      </c>
      <c r="D67" s="326" t="s">
        <v>447</v>
      </c>
      <c r="E67" s="169" t="s">
        <v>69</v>
      </c>
      <c r="F67" s="188"/>
      <c r="G67" s="188"/>
      <c r="H67" s="184"/>
      <c r="I67" s="237">
        <f t="shared" si="14"/>
        <v>0</v>
      </c>
      <c r="J67" s="237"/>
      <c r="K67" s="399"/>
      <c r="L67" s="238"/>
      <c r="V67" s="227"/>
      <c r="AF67" s="228"/>
      <c r="AP67" s="249"/>
      <c r="AZ67" s="286"/>
      <c r="BJ67" s="248"/>
      <c r="BT67" s="206"/>
    </row>
    <row r="68" spans="1:72" ht="28.5" hidden="1" customHeight="1">
      <c r="A68" s="168">
        <v>27</v>
      </c>
      <c r="B68" s="170"/>
      <c r="C68" s="80">
        <v>20064271</v>
      </c>
      <c r="D68" s="335" t="s">
        <v>448</v>
      </c>
      <c r="E68" s="169" t="s">
        <v>69</v>
      </c>
      <c r="F68" s="188"/>
      <c r="G68" s="188"/>
      <c r="H68" s="184"/>
      <c r="I68" s="237">
        <f t="shared" ref="I68:I70" si="15">SUM(L68,V68,AF68,AP68,AZ68,BJ68,BT68)</f>
        <v>0</v>
      </c>
      <c r="J68" s="237"/>
      <c r="K68" s="399"/>
      <c r="L68" s="238"/>
      <c r="V68" s="227"/>
      <c r="AF68" s="228"/>
      <c r="AP68" s="249"/>
      <c r="AZ68" s="286"/>
      <c r="BJ68" s="248"/>
      <c r="BT68" s="206"/>
    </row>
    <row r="69" spans="1:72" ht="28.5" hidden="1" customHeight="1">
      <c r="A69" s="168">
        <v>28</v>
      </c>
      <c r="B69" s="170"/>
      <c r="C69" s="334">
        <v>20064365</v>
      </c>
      <c r="D69" s="335" t="s">
        <v>449</v>
      </c>
      <c r="E69" s="169" t="s">
        <v>69</v>
      </c>
      <c r="F69" s="188"/>
      <c r="G69" s="188"/>
      <c r="H69" s="184"/>
      <c r="I69" s="237">
        <f t="shared" si="15"/>
        <v>0</v>
      </c>
      <c r="J69" s="237"/>
      <c r="K69" s="399"/>
      <c r="L69" s="238"/>
      <c r="V69" s="227"/>
      <c r="AF69" s="228"/>
      <c r="AP69" s="249"/>
      <c r="AZ69" s="286"/>
      <c r="BJ69" s="248"/>
      <c r="BT69" s="206"/>
    </row>
    <row r="70" spans="1:72" ht="28.5" hidden="1" customHeight="1">
      <c r="A70" s="168">
        <v>29</v>
      </c>
      <c r="B70" s="170"/>
      <c r="C70" s="336">
        <v>20064366</v>
      </c>
      <c r="D70" s="337" t="s">
        <v>450</v>
      </c>
      <c r="E70" s="169" t="s">
        <v>69</v>
      </c>
      <c r="F70" s="188"/>
      <c r="G70" s="188"/>
      <c r="H70" s="184"/>
      <c r="I70" s="237">
        <f t="shared" si="15"/>
        <v>0</v>
      </c>
      <c r="J70" s="237"/>
      <c r="K70" s="399"/>
      <c r="L70" s="238"/>
      <c r="V70" s="227"/>
      <c r="AF70" s="228"/>
      <c r="AP70" s="249"/>
      <c r="AZ70" s="286"/>
      <c r="BJ70" s="248"/>
      <c r="BT70" s="206"/>
    </row>
    <row r="71" spans="1:72" ht="15.75" customHeight="1">
      <c r="L71" s="400"/>
      <c r="V71" s="400"/>
      <c r="AF71" s="400"/>
      <c r="AP71" s="400"/>
      <c r="BJ71" s="400"/>
    </row>
  </sheetData>
  <autoFilter ref="E1:E70" xr:uid="{00000000-0009-0000-0000-000005000000}">
    <filterColumn colId="0">
      <filters blank="1"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92" customFormat="1" ht="15.75" customHeight="1">
      <c r="A1" s="603" t="s">
        <v>14</v>
      </c>
      <c r="B1" s="605"/>
      <c r="C1" s="605"/>
      <c r="D1" s="605"/>
      <c r="E1" s="605"/>
      <c r="F1" s="604"/>
      <c r="G1" s="493"/>
      <c r="H1" s="603" t="s">
        <v>15</v>
      </c>
      <c r="I1" s="604"/>
      <c r="J1" s="604"/>
      <c r="K1" s="604"/>
      <c r="L1" s="604"/>
      <c r="M1" s="604"/>
      <c r="N1" s="493"/>
      <c r="O1" s="603" t="s">
        <v>16</v>
      </c>
      <c r="P1" s="604"/>
      <c r="Q1" s="604"/>
      <c r="R1" s="604"/>
      <c r="S1" s="604"/>
      <c r="T1" s="604"/>
      <c r="U1" s="493"/>
      <c r="V1" s="603" t="s">
        <v>17</v>
      </c>
      <c r="W1" s="604"/>
      <c r="X1" s="604"/>
      <c r="Y1" s="604"/>
      <c r="Z1" s="604"/>
      <c r="AA1" s="604"/>
      <c r="AB1" s="493"/>
      <c r="AC1" s="603" t="s">
        <v>385</v>
      </c>
      <c r="AD1" s="604"/>
      <c r="AE1" s="604"/>
      <c r="AF1" s="604"/>
      <c r="AG1" s="604"/>
      <c r="AH1" s="604"/>
      <c r="AI1" s="493"/>
      <c r="AJ1" s="603" t="s">
        <v>19</v>
      </c>
      <c r="AK1" s="604"/>
      <c r="AL1" s="604"/>
      <c r="AM1" s="604"/>
      <c r="AN1" s="604"/>
      <c r="AO1" s="604"/>
      <c r="AP1" s="493"/>
      <c r="AQ1" s="603" t="s">
        <v>386</v>
      </c>
      <c r="AR1" s="604"/>
      <c r="AS1" s="604"/>
      <c r="AT1" s="604"/>
      <c r="AU1" s="604"/>
      <c r="AV1" s="60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1"/>
      <c r="P69" s="602"/>
      <c r="Q69" s="7"/>
      <c r="R69" s="6"/>
      <c r="S69" s="7"/>
      <c r="T69" s="6"/>
      <c r="U69" s="8"/>
      <c r="V69" s="8"/>
      <c r="W69" s="1"/>
      <c r="X69" s="1"/>
      <c r="Y69" s="601"/>
      <c r="Z69" s="602"/>
      <c r="AA69" s="7"/>
      <c r="AB69" s="6"/>
      <c r="AC69" s="7"/>
      <c r="AD69" s="6"/>
      <c r="AE69" s="8"/>
      <c r="AF69" s="8"/>
      <c r="AG69" s="1"/>
      <c r="AH69" s="1"/>
      <c r="AI69" s="601"/>
      <c r="AJ69" s="602"/>
      <c r="AK69" s="7"/>
      <c r="AL69" s="6"/>
      <c r="AM69" s="7"/>
      <c r="AN69" s="6"/>
      <c r="AO69" s="8"/>
      <c r="AP69" s="8"/>
      <c r="AQ69" s="1"/>
      <c r="AR69" s="1"/>
      <c r="AS69" s="601"/>
      <c r="AT69" s="602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1"/>
      <c r="P70" s="602"/>
      <c r="Q70" s="7"/>
      <c r="R70" s="6"/>
      <c r="S70" s="7"/>
      <c r="T70" s="6"/>
      <c r="U70" s="8"/>
      <c r="V70" s="8"/>
      <c r="W70" s="1"/>
      <c r="X70" s="1"/>
      <c r="Y70" s="601"/>
      <c r="Z70" s="602"/>
      <c r="AA70" s="7"/>
      <c r="AB70" s="6"/>
      <c r="AC70" s="7"/>
      <c r="AD70" s="6"/>
      <c r="AE70" s="8"/>
      <c r="AF70" s="8"/>
      <c r="AG70" s="1"/>
      <c r="AH70" s="1"/>
      <c r="AI70" s="601"/>
      <c r="AJ70" s="602"/>
      <c r="AK70" s="7"/>
      <c r="AL70" s="6"/>
      <c r="AM70" s="7"/>
      <c r="AN70" s="6"/>
      <c r="AO70" s="8"/>
      <c r="AP70" s="8"/>
      <c r="AQ70" s="1"/>
      <c r="AR70" s="1"/>
      <c r="AS70" s="601"/>
      <c r="AT70" s="602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01"/>
      <c r="P71" s="602"/>
      <c r="Q71" s="7"/>
      <c r="R71" s="6"/>
      <c r="S71" s="7"/>
      <c r="T71" s="6"/>
      <c r="U71" s="8"/>
      <c r="V71" s="8"/>
      <c r="W71" s="1"/>
      <c r="X71" s="1"/>
      <c r="Y71" s="601"/>
      <c r="Z71" s="602"/>
      <c r="AA71" s="7"/>
      <c r="AB71" s="6"/>
      <c r="AC71" s="7"/>
      <c r="AD71" s="6"/>
      <c r="AE71" s="8"/>
      <c r="AF71" s="8"/>
      <c r="AG71" s="1"/>
      <c r="AH71" s="1"/>
      <c r="AI71" s="601"/>
      <c r="AJ71" s="602"/>
      <c r="AK71" s="7"/>
      <c r="AL71" s="6"/>
      <c r="AM71" s="7"/>
      <c r="AN71" s="6"/>
      <c r="AO71" s="8"/>
      <c r="AP71" s="8"/>
      <c r="AQ71" s="1"/>
      <c r="AR71" s="1"/>
      <c r="AS71" s="601"/>
      <c r="AT71" s="602"/>
      <c r="AU71" s="7"/>
      <c r="AV71" s="6"/>
    </row>
  </sheetData>
  <mergeCells count="19"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  <mergeCell ref="O71:P71"/>
    <mergeCell ref="Y71:Z71"/>
    <mergeCell ref="AS71:AT71"/>
    <mergeCell ref="AI70:AJ70"/>
    <mergeCell ref="AI71:AJ71"/>
    <mergeCell ref="O70:P70"/>
    <mergeCell ref="Y70:Z70"/>
    <mergeCell ref="AS70:AT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70"/>
  <sheetViews>
    <sheetView zoomScaleNormal="100" workbookViewId="0">
      <selection activeCell="AP76" sqref="AP76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60.8554687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21" width="12.7109375" style="42" hidden="1" customWidth="1"/>
    <col min="22" max="22" width="10.42578125" style="42" customWidth="1"/>
    <col min="23" max="30" width="12.7109375" style="42" hidden="1" customWidth="1"/>
    <col min="31" max="31" width="1" style="42" hidden="1" customWidth="1"/>
    <col min="32" max="32" width="11" style="287" customWidth="1"/>
    <col min="33" max="41" width="12.7109375" style="42" hidden="1" customWidth="1"/>
    <col min="42" max="42" width="10.28515625" style="287" customWidth="1"/>
    <col min="43" max="51" width="12.7109375" style="42" hidden="1" customWidth="1"/>
    <col min="52" max="52" width="10" style="287" customWidth="1"/>
    <col min="53" max="59" width="0" style="42" hidden="1" customWidth="1"/>
    <col min="60" max="60" width="3.7109375" style="42" hidden="1" customWidth="1"/>
    <col min="61" max="61" width="2" style="42" hidden="1" customWidth="1"/>
    <col min="62" max="62" width="10.28515625" style="287" customWidth="1"/>
    <col min="63" max="71" width="0" style="42" hidden="1" customWidth="1"/>
    <col min="72" max="72" width="10.140625" style="287" customWidth="1"/>
    <col min="73" max="80" width="0" style="42" hidden="1" customWidth="1"/>
    <col min="81" max="16384" width="12.7109375" style="42"/>
  </cols>
  <sheetData>
    <row r="1" spans="1:80" ht="37.5" customHeight="1">
      <c r="A1" s="533" t="s">
        <v>0</v>
      </c>
      <c r="B1" s="534" t="s">
        <v>4</v>
      </c>
      <c r="C1" s="535" t="s">
        <v>5</v>
      </c>
      <c r="D1" s="536" t="s">
        <v>6</v>
      </c>
      <c r="E1" s="446" t="s">
        <v>7</v>
      </c>
      <c r="F1" s="606" t="s">
        <v>8</v>
      </c>
      <c r="G1" s="607"/>
      <c r="H1" s="608"/>
      <c r="I1" s="611"/>
      <c r="J1" s="611"/>
      <c r="K1" s="609" t="s">
        <v>426</v>
      </c>
      <c r="L1" s="610"/>
      <c r="M1" s="575"/>
      <c r="N1" s="575"/>
      <c r="O1" s="575"/>
      <c r="P1" s="575"/>
      <c r="Q1" s="575"/>
      <c r="R1" s="575"/>
      <c r="S1" s="575"/>
      <c r="T1" s="575"/>
      <c r="U1" s="575"/>
      <c r="V1" s="610"/>
      <c r="W1" s="575"/>
      <c r="X1" s="575"/>
      <c r="Y1" s="575"/>
      <c r="Z1" s="575"/>
      <c r="AA1" s="575"/>
      <c r="AB1" s="575"/>
      <c r="AC1" s="575"/>
      <c r="AD1" s="575"/>
      <c r="AE1" s="575"/>
      <c r="AF1" s="610"/>
      <c r="AG1" s="575"/>
      <c r="AH1" s="575"/>
      <c r="AI1" s="575"/>
      <c r="AJ1" s="575"/>
      <c r="AK1" s="575"/>
      <c r="AL1" s="575"/>
      <c r="AM1" s="575"/>
      <c r="AN1" s="575"/>
      <c r="AO1" s="575"/>
      <c r="AP1" s="610"/>
      <c r="AQ1" s="575"/>
      <c r="AR1" s="575"/>
      <c r="AS1" s="575"/>
      <c r="AT1" s="575"/>
      <c r="AU1" s="575"/>
      <c r="AV1" s="575"/>
      <c r="AW1" s="575"/>
      <c r="AX1" s="575"/>
      <c r="AY1" s="575"/>
      <c r="AZ1" s="610"/>
      <c r="BA1" s="575"/>
      <c r="BB1" s="575"/>
      <c r="BC1" s="575"/>
      <c r="BD1" s="575"/>
      <c r="BE1" s="575"/>
      <c r="BF1" s="575"/>
      <c r="BG1" s="575"/>
      <c r="BH1" s="575"/>
      <c r="BI1" s="575"/>
      <c r="BJ1" s="610"/>
      <c r="BK1" s="575"/>
      <c r="BL1" s="575"/>
      <c r="BM1" s="575"/>
      <c r="BN1" s="575"/>
      <c r="BO1" s="575"/>
      <c r="BP1" s="575"/>
      <c r="BQ1" s="575"/>
      <c r="BR1" s="575"/>
      <c r="BS1" s="575"/>
      <c r="BT1" s="610"/>
      <c r="BU1" s="575"/>
      <c r="BV1" s="575"/>
      <c r="BW1" s="575"/>
      <c r="BX1" s="575"/>
      <c r="BY1" s="575"/>
      <c r="BZ1" s="575"/>
      <c r="CA1" s="575"/>
      <c r="CB1" s="576"/>
    </row>
    <row r="2" spans="1:80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3" si="0">SUM(L2,V2,AF2,AP2,AZ2,BJ2,BT2)</f>
        <v>0</v>
      </c>
      <c r="J2" s="58">
        <v>0</v>
      </c>
      <c r="K2" s="314"/>
      <c r="L2" s="207"/>
      <c r="M2" s="59"/>
      <c r="N2" s="96"/>
      <c r="O2" s="59"/>
      <c r="P2" s="59"/>
      <c r="Q2" s="59"/>
      <c r="R2" s="59"/>
      <c r="S2" s="44"/>
      <c r="T2" s="59"/>
      <c r="U2" s="59"/>
      <c r="V2" s="192"/>
      <c r="W2" s="59"/>
      <c r="X2" s="96"/>
      <c r="Y2" s="59"/>
      <c r="Z2" s="59"/>
      <c r="AA2" s="59"/>
      <c r="AB2" s="59"/>
      <c r="AC2" s="44"/>
      <c r="AD2" s="59"/>
      <c r="AE2" s="59"/>
      <c r="AF2" s="194"/>
      <c r="AG2" s="59"/>
      <c r="AH2" s="96"/>
      <c r="AI2" s="59"/>
      <c r="AJ2" s="59"/>
      <c r="AK2" s="59"/>
      <c r="AL2" s="59"/>
      <c r="AM2" s="44"/>
      <c r="AN2" s="59"/>
      <c r="AO2" s="59"/>
      <c r="AP2" s="195"/>
      <c r="AQ2" s="59"/>
      <c r="AR2" s="96"/>
      <c r="AS2" s="59"/>
      <c r="AT2" s="59"/>
      <c r="AU2" s="59"/>
      <c r="AV2" s="59"/>
      <c r="AW2" s="44"/>
      <c r="AX2" s="59"/>
      <c r="AY2" s="59"/>
      <c r="AZ2" s="266"/>
      <c r="BA2" s="59"/>
      <c r="BB2" s="96"/>
      <c r="BC2" s="59"/>
      <c r="BD2" s="59"/>
      <c r="BE2" s="59"/>
      <c r="BF2" s="59"/>
      <c r="BG2" s="44"/>
      <c r="BH2" s="59"/>
      <c r="BI2" s="59"/>
      <c r="BJ2" s="187"/>
      <c r="BK2" s="59"/>
      <c r="BL2" s="96"/>
      <c r="BM2" s="59"/>
      <c r="BN2" s="59"/>
      <c r="BO2" s="59"/>
      <c r="BP2" s="59"/>
      <c r="BQ2" s="44"/>
      <c r="BR2" s="59"/>
      <c r="BS2" s="59"/>
      <c r="BT2" s="210"/>
      <c r="BU2" s="59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ht="26.25" hidden="1">
      <c r="A3" s="168">
        <v>1</v>
      </c>
      <c r="B3" s="170"/>
      <c r="C3" s="169">
        <v>1111002</v>
      </c>
      <c r="D3" s="271" t="s">
        <v>30</v>
      </c>
      <c r="E3" s="169" t="s">
        <v>31</v>
      </c>
      <c r="F3" s="169"/>
      <c r="G3" s="183"/>
      <c r="H3" s="262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ht="43.5" hidden="1" customHeight="1">
      <c r="A4" s="168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108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58">
        <v>0</v>
      </c>
      <c r="I5" s="45">
        <f t="shared" si="0"/>
        <v>0</v>
      </c>
      <c r="J5" s="58">
        <v>0</v>
      </c>
      <c r="K5" s="59"/>
      <c r="L5" s="207"/>
      <c r="M5" s="59"/>
      <c r="N5" s="96"/>
      <c r="O5" s="59"/>
      <c r="P5" s="59"/>
      <c r="Q5" s="59"/>
      <c r="R5" s="59"/>
      <c r="S5" s="44"/>
      <c r="T5" s="59"/>
      <c r="U5" s="59"/>
      <c r="V5" s="192"/>
      <c r="W5" s="59"/>
      <c r="X5" s="96"/>
      <c r="Y5" s="59"/>
      <c r="Z5" s="59"/>
      <c r="AA5" s="59"/>
      <c r="AB5" s="59"/>
      <c r="AC5" s="44"/>
      <c r="AD5" s="59"/>
      <c r="AE5" s="59"/>
      <c r="AF5" s="338"/>
      <c r="AG5" s="59"/>
      <c r="AH5" s="96"/>
      <c r="AI5" s="59"/>
      <c r="AJ5" s="59"/>
      <c r="AK5" s="59"/>
      <c r="AL5" s="59"/>
      <c r="AM5" s="44"/>
      <c r="AN5" s="59"/>
      <c r="AO5" s="59"/>
      <c r="AP5" s="288"/>
      <c r="AQ5" s="59"/>
      <c r="AR5" s="96"/>
      <c r="AS5" s="59"/>
      <c r="AT5" s="59"/>
      <c r="AU5" s="59"/>
      <c r="AV5" s="59"/>
      <c r="AW5" s="44"/>
      <c r="AX5" s="59"/>
      <c r="AY5" s="59"/>
      <c r="AZ5" s="339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14"/>
      <c r="L6" s="207"/>
      <c r="M6" s="59"/>
      <c r="N6" s="96"/>
      <c r="O6" s="59"/>
      <c r="P6" s="59"/>
      <c r="Q6" s="59"/>
      <c r="R6" s="59"/>
      <c r="S6" s="44"/>
      <c r="T6" s="59"/>
      <c r="U6" s="59"/>
      <c r="V6" s="192"/>
      <c r="W6" s="59"/>
      <c r="X6" s="96"/>
      <c r="Y6" s="59"/>
      <c r="Z6" s="59"/>
      <c r="AA6" s="59"/>
      <c r="AB6" s="59"/>
      <c r="AC6" s="44"/>
      <c r="AD6" s="59"/>
      <c r="AE6" s="59"/>
      <c r="AF6" s="194"/>
      <c r="AG6" s="59"/>
      <c r="AH6" s="96"/>
      <c r="AI6" s="59"/>
      <c r="AJ6" s="59"/>
      <c r="AK6" s="59"/>
      <c r="AL6" s="59"/>
      <c r="AM6" s="44"/>
      <c r="AN6" s="59"/>
      <c r="AO6" s="59"/>
      <c r="AP6" s="195"/>
      <c r="AQ6" s="59"/>
      <c r="AR6" s="96"/>
      <c r="AS6" s="59"/>
      <c r="AT6" s="59"/>
      <c r="AU6" s="59"/>
      <c r="AV6" s="59"/>
      <c r="AW6" s="44"/>
      <c r="AX6" s="59"/>
      <c r="AY6" s="59"/>
      <c r="AZ6" s="266"/>
      <c r="BA6" s="59"/>
      <c r="BB6" s="96"/>
      <c r="BC6" s="59"/>
      <c r="BD6" s="59"/>
      <c r="BE6" s="59"/>
      <c r="BF6" s="59"/>
      <c r="BG6" s="44"/>
      <c r="BH6" s="59"/>
      <c r="BI6" s="59"/>
      <c r="BJ6" s="187"/>
      <c r="BK6" s="59"/>
      <c r="BL6" s="96"/>
      <c r="BM6" s="59"/>
      <c r="BN6" s="59"/>
      <c r="BO6" s="59"/>
      <c r="BP6" s="59"/>
      <c r="BQ6" s="44"/>
      <c r="BR6" s="59"/>
      <c r="BS6" s="59"/>
      <c r="BT6" s="210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14"/>
      <c r="L7" s="207"/>
      <c r="M7" s="59"/>
      <c r="N7" s="96"/>
      <c r="O7" s="59"/>
      <c r="P7" s="59"/>
      <c r="Q7" s="59"/>
      <c r="R7" s="59"/>
      <c r="S7" s="44"/>
      <c r="T7" s="59"/>
      <c r="U7" s="59"/>
      <c r="V7" s="192"/>
      <c r="W7" s="59"/>
      <c r="X7" s="96"/>
      <c r="Y7" s="59"/>
      <c r="Z7" s="59"/>
      <c r="AA7" s="59"/>
      <c r="AB7" s="59"/>
      <c r="AC7" s="44"/>
      <c r="AD7" s="59"/>
      <c r="AE7" s="59"/>
      <c r="AF7" s="194"/>
      <c r="AG7" s="59"/>
      <c r="AH7" s="96"/>
      <c r="AI7" s="59"/>
      <c r="AJ7" s="59"/>
      <c r="AK7" s="59"/>
      <c r="AL7" s="59"/>
      <c r="AM7" s="44"/>
      <c r="AN7" s="59"/>
      <c r="AO7" s="59"/>
      <c r="AP7" s="195"/>
      <c r="AQ7" s="59"/>
      <c r="AR7" s="96"/>
      <c r="AS7" s="59"/>
      <c r="AT7" s="59"/>
      <c r="AU7" s="59"/>
      <c r="AV7" s="59"/>
      <c r="AW7" s="44"/>
      <c r="AX7" s="59"/>
      <c r="AY7" s="59"/>
      <c r="AZ7" s="266"/>
      <c r="BA7" s="59"/>
      <c r="BB7" s="96"/>
      <c r="BC7" s="59"/>
      <c r="BD7" s="59"/>
      <c r="BE7" s="59"/>
      <c r="BF7" s="59"/>
      <c r="BG7" s="44"/>
      <c r="BH7" s="59"/>
      <c r="BI7" s="59"/>
      <c r="BJ7" s="187"/>
      <c r="BK7" s="59"/>
      <c r="BL7" s="96"/>
      <c r="BM7" s="59"/>
      <c r="BN7" s="59"/>
      <c r="BO7" s="59"/>
      <c r="BP7" s="59"/>
      <c r="BQ7" s="44"/>
      <c r="BR7" s="59"/>
      <c r="BS7" s="59"/>
      <c r="BT7" s="210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14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194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6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14"/>
      <c r="L9" s="207"/>
      <c r="M9" s="59"/>
      <c r="N9" s="96"/>
      <c r="O9" s="59"/>
      <c r="P9" s="59"/>
      <c r="Q9" s="59"/>
      <c r="R9" s="59"/>
      <c r="S9" s="44"/>
      <c r="T9" s="59"/>
      <c r="U9" s="59"/>
      <c r="V9" s="192"/>
      <c r="W9" s="59"/>
      <c r="X9" s="96"/>
      <c r="Y9" s="59"/>
      <c r="Z9" s="59"/>
      <c r="AA9" s="59"/>
      <c r="AB9" s="59"/>
      <c r="AC9" s="44"/>
      <c r="AD9" s="59"/>
      <c r="AE9" s="59"/>
      <c r="AF9" s="194"/>
      <c r="AG9" s="59"/>
      <c r="AH9" s="96"/>
      <c r="AI9" s="59"/>
      <c r="AJ9" s="59"/>
      <c r="AK9" s="59"/>
      <c r="AL9" s="59"/>
      <c r="AM9" s="44"/>
      <c r="AN9" s="59"/>
      <c r="AO9" s="59"/>
      <c r="AP9" s="195"/>
      <c r="AQ9" s="59"/>
      <c r="AR9" s="96"/>
      <c r="AS9" s="59"/>
      <c r="AT9" s="59"/>
      <c r="AU9" s="59"/>
      <c r="AV9" s="59"/>
      <c r="AW9" s="44"/>
      <c r="AX9" s="59"/>
      <c r="AY9" s="59"/>
      <c r="AZ9" s="266"/>
      <c r="BA9" s="59"/>
      <c r="BB9" s="96"/>
      <c r="BC9" s="59"/>
      <c r="BD9" s="59"/>
      <c r="BE9" s="59"/>
      <c r="BF9" s="59"/>
      <c r="BG9" s="44"/>
      <c r="BH9" s="59"/>
      <c r="BI9" s="59"/>
      <c r="BJ9" s="187"/>
      <c r="BK9" s="59"/>
      <c r="BL9" s="96"/>
      <c r="BM9" s="59"/>
      <c r="BN9" s="59"/>
      <c r="BO9" s="59"/>
      <c r="BP9" s="59"/>
      <c r="BQ9" s="44"/>
      <c r="BR9" s="59"/>
      <c r="BS9" s="59"/>
      <c r="BT9" s="210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14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192"/>
      <c r="W10" s="59"/>
      <c r="X10" s="96"/>
      <c r="Y10" s="59"/>
      <c r="Z10" s="59"/>
      <c r="AA10" s="59"/>
      <c r="AB10" s="59"/>
      <c r="AC10" s="44"/>
      <c r="AD10" s="59"/>
      <c r="AE10" s="59"/>
      <c r="AF10" s="194"/>
      <c r="AG10" s="59"/>
      <c r="AH10" s="96"/>
      <c r="AI10" s="59"/>
      <c r="AJ10" s="59"/>
      <c r="AK10" s="59"/>
      <c r="AL10" s="59"/>
      <c r="AM10" s="44"/>
      <c r="AN10" s="59"/>
      <c r="AO10" s="59"/>
      <c r="AP10" s="195"/>
      <c r="AQ10" s="59"/>
      <c r="AR10" s="96"/>
      <c r="AS10" s="59"/>
      <c r="AT10" s="59"/>
      <c r="AU10" s="59"/>
      <c r="AV10" s="59"/>
      <c r="AW10" s="44"/>
      <c r="AX10" s="59"/>
      <c r="AY10" s="59"/>
      <c r="AZ10" s="266"/>
      <c r="BA10" s="59"/>
      <c r="BB10" s="96"/>
      <c r="BC10" s="59"/>
      <c r="BD10" s="59"/>
      <c r="BE10" s="59"/>
      <c r="BF10" s="59"/>
      <c r="BG10" s="44"/>
      <c r="BH10" s="59"/>
      <c r="BI10" s="59"/>
      <c r="BJ10" s="187"/>
      <c r="BK10" s="59"/>
      <c r="BL10" s="96"/>
      <c r="BM10" s="59"/>
      <c r="BN10" s="59"/>
      <c r="BO10" s="59"/>
      <c r="BP10" s="59"/>
      <c r="BQ10" s="44"/>
      <c r="BR10" s="59"/>
      <c r="BS10" s="59"/>
      <c r="BT10" s="210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14"/>
      <c r="L11" s="207"/>
      <c r="M11" s="59"/>
      <c r="N11" s="96"/>
      <c r="O11" s="59"/>
      <c r="P11" s="59"/>
      <c r="Q11" s="59"/>
      <c r="R11" s="59"/>
      <c r="S11" s="44"/>
      <c r="T11" s="59"/>
      <c r="U11" s="59"/>
      <c r="V11" s="192"/>
      <c r="W11" s="59"/>
      <c r="X11" s="96"/>
      <c r="Y11" s="59"/>
      <c r="Z11" s="59"/>
      <c r="AA11" s="59"/>
      <c r="AB11" s="59"/>
      <c r="AC11" s="44"/>
      <c r="AD11" s="59"/>
      <c r="AE11" s="59"/>
      <c r="AF11" s="194"/>
      <c r="AG11" s="59"/>
      <c r="AH11" s="96"/>
      <c r="AI11" s="59"/>
      <c r="AJ11" s="59"/>
      <c r="AK11" s="59"/>
      <c r="AL11" s="59"/>
      <c r="AM11" s="44"/>
      <c r="AN11" s="59"/>
      <c r="AO11" s="59"/>
      <c r="AP11" s="195"/>
      <c r="AQ11" s="59"/>
      <c r="AR11" s="96"/>
      <c r="AS11" s="59"/>
      <c r="AT11" s="59"/>
      <c r="AU11" s="59"/>
      <c r="AV11" s="59"/>
      <c r="AW11" s="44"/>
      <c r="AX11" s="59"/>
      <c r="AY11" s="59"/>
      <c r="AZ11" s="266"/>
      <c r="BA11" s="59"/>
      <c r="BB11" s="96"/>
      <c r="BC11" s="59"/>
      <c r="BD11" s="59"/>
      <c r="BE11" s="59"/>
      <c r="BF11" s="59"/>
      <c r="BG11" s="44"/>
      <c r="BH11" s="59"/>
      <c r="BI11" s="59"/>
      <c r="BJ11" s="187"/>
      <c r="BK11" s="59"/>
      <c r="BL11" s="96"/>
      <c r="BM11" s="59"/>
      <c r="BN11" s="59"/>
      <c r="BO11" s="59"/>
      <c r="BP11" s="59"/>
      <c r="BQ11" s="44"/>
      <c r="BR11" s="59"/>
      <c r="BS11" s="59"/>
      <c r="BT11" s="210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14"/>
      <c r="L12" s="207"/>
      <c r="M12" s="59"/>
      <c r="N12" s="96"/>
      <c r="O12" s="59"/>
      <c r="P12" s="59"/>
      <c r="Q12" s="59"/>
      <c r="R12" s="59"/>
      <c r="S12" s="44"/>
      <c r="T12" s="59"/>
      <c r="U12" s="59"/>
      <c r="V12" s="192"/>
      <c r="W12" s="59"/>
      <c r="X12" s="96"/>
      <c r="Y12" s="59"/>
      <c r="Z12" s="59"/>
      <c r="AA12" s="59"/>
      <c r="AB12" s="59"/>
      <c r="AC12" s="44"/>
      <c r="AD12" s="59"/>
      <c r="AE12" s="59"/>
      <c r="AF12" s="194"/>
      <c r="AG12" s="59"/>
      <c r="AH12" s="96"/>
      <c r="AI12" s="59"/>
      <c r="AJ12" s="59"/>
      <c r="AK12" s="59"/>
      <c r="AL12" s="59"/>
      <c r="AM12" s="44"/>
      <c r="AN12" s="59"/>
      <c r="AO12" s="59"/>
      <c r="AP12" s="195"/>
      <c r="AQ12" s="59"/>
      <c r="AR12" s="96"/>
      <c r="AS12" s="59"/>
      <c r="AT12" s="59"/>
      <c r="AU12" s="59"/>
      <c r="AV12" s="59"/>
      <c r="AW12" s="44"/>
      <c r="AX12" s="59"/>
      <c r="AY12" s="59"/>
      <c r="AZ12" s="266"/>
      <c r="BA12" s="59"/>
      <c r="BB12" s="96"/>
      <c r="BC12" s="59"/>
      <c r="BD12" s="59"/>
      <c r="BE12" s="59"/>
      <c r="BF12" s="59"/>
      <c r="BG12" s="44"/>
      <c r="BH12" s="59"/>
      <c r="BI12" s="59"/>
      <c r="BJ12" s="187"/>
      <c r="BK12" s="59"/>
      <c r="BL12" s="96"/>
      <c r="BM12" s="59"/>
      <c r="BN12" s="59"/>
      <c r="BO12" s="59"/>
      <c r="BP12" s="59"/>
      <c r="BQ12" s="44"/>
      <c r="BR12" s="59"/>
      <c r="BS12" s="59"/>
      <c r="BT12" s="210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14"/>
      <c r="L13" s="207"/>
      <c r="M13" s="59"/>
      <c r="N13" s="96"/>
      <c r="O13" s="59"/>
      <c r="P13" s="59"/>
      <c r="Q13" s="59"/>
      <c r="R13" s="59"/>
      <c r="S13" s="44"/>
      <c r="T13" s="59"/>
      <c r="U13" s="59"/>
      <c r="V13" s="192"/>
      <c r="W13" s="59"/>
      <c r="X13" s="96"/>
      <c r="Y13" s="59"/>
      <c r="Z13" s="59"/>
      <c r="AA13" s="59"/>
      <c r="AB13" s="59"/>
      <c r="AC13" s="44"/>
      <c r="AD13" s="59"/>
      <c r="AE13" s="59"/>
      <c r="AF13" s="194"/>
      <c r="AG13" s="59"/>
      <c r="AH13" s="96"/>
      <c r="AI13" s="59"/>
      <c r="AJ13" s="59"/>
      <c r="AK13" s="59"/>
      <c r="AL13" s="59"/>
      <c r="AM13" s="44"/>
      <c r="AN13" s="59"/>
      <c r="AO13" s="59"/>
      <c r="AP13" s="195"/>
      <c r="AQ13" s="59"/>
      <c r="AR13" s="96"/>
      <c r="AS13" s="59"/>
      <c r="AT13" s="59"/>
      <c r="AU13" s="59"/>
      <c r="AV13" s="59"/>
      <c r="AW13" s="44"/>
      <c r="AX13" s="59"/>
      <c r="AY13" s="59"/>
      <c r="AZ13" s="266"/>
      <c r="BA13" s="59"/>
      <c r="BB13" s="96"/>
      <c r="BC13" s="59"/>
      <c r="BD13" s="59"/>
      <c r="BE13" s="59"/>
      <c r="BF13" s="59"/>
      <c r="BG13" s="44"/>
      <c r="BH13" s="59"/>
      <c r="BI13" s="59"/>
      <c r="BJ13" s="187"/>
      <c r="BK13" s="59"/>
      <c r="BL13" s="96"/>
      <c r="BM13" s="59"/>
      <c r="BN13" s="59"/>
      <c r="BO13" s="59"/>
      <c r="BP13" s="59"/>
      <c r="BQ13" s="44"/>
      <c r="BR13" s="59"/>
      <c r="BS13" s="59"/>
      <c r="BT13" s="210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14"/>
      <c r="L14" s="207"/>
      <c r="M14" s="59"/>
      <c r="N14" s="96"/>
      <c r="O14" s="59"/>
      <c r="P14" s="59"/>
      <c r="Q14" s="59"/>
      <c r="R14" s="59"/>
      <c r="S14" s="44"/>
      <c r="T14" s="59"/>
      <c r="U14" s="59"/>
      <c r="V14" s="192"/>
      <c r="W14" s="59"/>
      <c r="X14" s="96"/>
      <c r="Y14" s="59"/>
      <c r="Z14" s="59"/>
      <c r="AA14" s="59"/>
      <c r="AB14" s="59"/>
      <c r="AC14" s="44"/>
      <c r="AD14" s="59"/>
      <c r="AE14" s="59"/>
      <c r="AF14" s="194"/>
      <c r="AG14" s="59"/>
      <c r="AH14" s="96"/>
      <c r="AI14" s="59"/>
      <c r="AJ14" s="59"/>
      <c r="AK14" s="59"/>
      <c r="AL14" s="59"/>
      <c r="AM14" s="44"/>
      <c r="AN14" s="59"/>
      <c r="AO14" s="59"/>
      <c r="AP14" s="195"/>
      <c r="AQ14" s="59"/>
      <c r="AR14" s="96"/>
      <c r="AS14" s="59"/>
      <c r="AT14" s="59"/>
      <c r="AU14" s="59"/>
      <c r="AV14" s="59"/>
      <c r="AW14" s="44"/>
      <c r="AX14" s="59"/>
      <c r="AY14" s="59"/>
      <c r="AZ14" s="266"/>
      <c r="BA14" s="59"/>
      <c r="BB14" s="96"/>
      <c r="BC14" s="59"/>
      <c r="BD14" s="59"/>
      <c r="BE14" s="59"/>
      <c r="BF14" s="59"/>
      <c r="BG14" s="44"/>
      <c r="BH14" s="59"/>
      <c r="BI14" s="59"/>
      <c r="BJ14" s="187"/>
      <c r="BK14" s="59"/>
      <c r="BL14" s="96"/>
      <c r="BM14" s="59"/>
      <c r="BN14" s="59"/>
      <c r="BO14" s="59"/>
      <c r="BP14" s="59"/>
      <c r="BQ14" s="44"/>
      <c r="BR14" s="59"/>
      <c r="BS14" s="59"/>
      <c r="BT14" s="210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14"/>
      <c r="L15" s="207"/>
      <c r="M15" s="59"/>
      <c r="N15" s="96"/>
      <c r="O15" s="59"/>
      <c r="P15" s="59"/>
      <c r="Q15" s="59"/>
      <c r="R15" s="59"/>
      <c r="S15" s="44"/>
      <c r="T15" s="59"/>
      <c r="U15" s="59"/>
      <c r="V15" s="192"/>
      <c r="W15" s="59"/>
      <c r="X15" s="96"/>
      <c r="Y15" s="59"/>
      <c r="Z15" s="59"/>
      <c r="AA15" s="59"/>
      <c r="AB15" s="59"/>
      <c r="AC15" s="44"/>
      <c r="AD15" s="59"/>
      <c r="AE15" s="59"/>
      <c r="AF15" s="194"/>
      <c r="AG15" s="59"/>
      <c r="AH15" s="96"/>
      <c r="AI15" s="59"/>
      <c r="AJ15" s="59"/>
      <c r="AK15" s="59"/>
      <c r="AL15" s="59"/>
      <c r="AM15" s="44"/>
      <c r="AN15" s="59"/>
      <c r="AO15" s="59"/>
      <c r="AP15" s="195"/>
      <c r="AQ15" s="59"/>
      <c r="AR15" s="96"/>
      <c r="AS15" s="59"/>
      <c r="AT15" s="59"/>
      <c r="AU15" s="59"/>
      <c r="AV15" s="59"/>
      <c r="AW15" s="44"/>
      <c r="AX15" s="59"/>
      <c r="AY15" s="59"/>
      <c r="AZ15" s="266"/>
      <c r="BA15" s="59"/>
      <c r="BB15" s="96"/>
      <c r="BC15" s="59"/>
      <c r="BD15" s="59"/>
      <c r="BE15" s="59"/>
      <c r="BF15" s="59"/>
      <c r="BG15" s="44"/>
      <c r="BH15" s="59"/>
      <c r="BI15" s="59"/>
      <c r="BJ15" s="187"/>
      <c r="BK15" s="59"/>
      <c r="BL15" s="96"/>
      <c r="BM15" s="59"/>
      <c r="BN15" s="59"/>
      <c r="BO15" s="59"/>
      <c r="BP15" s="59"/>
      <c r="BQ15" s="44"/>
      <c r="BR15" s="59"/>
      <c r="BS15" s="59"/>
      <c r="BT15" s="210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ht="26.25">
      <c r="A16" s="53">
        <v>2</v>
      </c>
      <c r="B16" s="56"/>
      <c r="C16" s="278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7"/>
      <c r="M16" s="59"/>
      <c r="N16" s="96"/>
      <c r="O16" s="59"/>
      <c r="P16" s="59"/>
      <c r="Q16" s="59"/>
      <c r="R16" s="59"/>
      <c r="S16" s="106"/>
      <c r="T16" s="59"/>
      <c r="U16" s="59"/>
      <c r="V16" s="192"/>
      <c r="W16" s="59"/>
      <c r="X16" s="96"/>
      <c r="Y16" s="59"/>
      <c r="Z16" s="59"/>
      <c r="AA16" s="59"/>
      <c r="AB16" s="59"/>
      <c r="AC16" s="44"/>
      <c r="AD16" s="59"/>
      <c r="AE16" s="59"/>
      <c r="AF16" s="340"/>
      <c r="AG16" s="59"/>
      <c r="AH16" s="96"/>
      <c r="AI16" s="59"/>
      <c r="AJ16" s="59"/>
      <c r="AK16" s="59"/>
      <c r="AL16" s="59"/>
      <c r="AM16" s="106"/>
      <c r="AN16" s="59"/>
      <c r="AO16" s="59"/>
      <c r="AP16" s="288"/>
      <c r="AQ16" s="59"/>
      <c r="AR16" s="96"/>
      <c r="AS16" s="59"/>
      <c r="AT16" s="59"/>
      <c r="AU16" s="59"/>
      <c r="AV16" s="59"/>
      <c r="AW16" s="44"/>
      <c r="AX16" s="59"/>
      <c r="AY16" s="59"/>
      <c r="AZ16" s="341"/>
      <c r="BA16" s="59"/>
      <c r="BB16" s="96"/>
      <c r="BC16" s="59"/>
      <c r="BD16" s="59"/>
      <c r="BE16" s="59"/>
      <c r="BF16" s="59"/>
      <c r="BG16" s="106"/>
      <c r="BH16" s="59"/>
      <c r="BI16" s="59"/>
      <c r="BJ16" s="187"/>
      <c r="BK16" s="59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ht="26.25">
      <c r="A17" s="53">
        <v>1</v>
      </c>
      <c r="B17" s="56"/>
      <c r="C17" s="284">
        <v>1113087</v>
      </c>
      <c r="D17" s="285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7"/>
      <c r="M17" s="59"/>
      <c r="N17" s="96"/>
      <c r="O17" s="59"/>
      <c r="P17" s="59"/>
      <c r="Q17" s="59"/>
      <c r="R17" s="59"/>
      <c r="S17" s="106"/>
      <c r="T17" s="59"/>
      <c r="U17" s="59"/>
      <c r="V17" s="192"/>
      <c r="W17" s="59"/>
      <c r="X17" s="96"/>
      <c r="Y17" s="59"/>
      <c r="Z17" s="59"/>
      <c r="AA17" s="59"/>
      <c r="AB17" s="59"/>
      <c r="AC17" s="44"/>
      <c r="AD17" s="59"/>
      <c r="AE17" s="59"/>
      <c r="AF17" s="340"/>
      <c r="AG17" s="59"/>
      <c r="AH17" s="96"/>
      <c r="AI17" s="59"/>
      <c r="AJ17" s="59"/>
      <c r="AK17" s="59"/>
      <c r="AL17" s="59"/>
      <c r="AM17" s="106"/>
      <c r="AN17" s="59"/>
      <c r="AO17" s="59"/>
      <c r="AP17" s="288"/>
      <c r="AQ17" s="59"/>
      <c r="AR17" s="96"/>
      <c r="AS17" s="59"/>
      <c r="AT17" s="59"/>
      <c r="AU17" s="59"/>
      <c r="AV17" s="59"/>
      <c r="AW17" s="44"/>
      <c r="AX17" s="59"/>
      <c r="AY17" s="59"/>
      <c r="AZ17" s="341"/>
      <c r="BA17" s="59"/>
      <c r="BB17" s="96"/>
      <c r="BC17" s="59"/>
      <c r="BD17" s="59"/>
      <c r="BE17" s="59"/>
      <c r="BF17" s="59"/>
      <c r="BG17" s="106"/>
      <c r="BH17" s="59"/>
      <c r="BI17" s="59"/>
      <c r="BJ17" s="187"/>
      <c r="BK17" s="59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427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312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14"/>
      <c r="L19" s="207"/>
      <c r="M19" s="59"/>
      <c r="N19" s="96"/>
      <c r="O19" s="59"/>
      <c r="P19" s="59"/>
      <c r="Q19" s="59"/>
      <c r="R19" s="59"/>
      <c r="S19" s="44"/>
      <c r="T19" s="59"/>
      <c r="U19" s="59"/>
      <c r="V19" s="192"/>
      <c r="W19" s="59"/>
      <c r="X19" s="96"/>
      <c r="Y19" s="59"/>
      <c r="Z19" s="59"/>
      <c r="AA19" s="59"/>
      <c r="AB19" s="59"/>
      <c r="AC19" s="44"/>
      <c r="AD19" s="59"/>
      <c r="AE19" s="59"/>
      <c r="AF19" s="194"/>
      <c r="AG19" s="59"/>
      <c r="AH19" s="96"/>
      <c r="AI19" s="59"/>
      <c r="AJ19" s="59"/>
      <c r="AK19" s="59"/>
      <c r="AL19" s="59"/>
      <c r="AM19" s="44"/>
      <c r="AN19" s="59"/>
      <c r="AO19" s="59"/>
      <c r="AP19" s="195"/>
      <c r="AQ19" s="59"/>
      <c r="AR19" s="96"/>
      <c r="AS19" s="59"/>
      <c r="AT19" s="59"/>
      <c r="AU19" s="59"/>
      <c r="AV19" s="59"/>
      <c r="AW19" s="44"/>
      <c r="AX19" s="59"/>
      <c r="AY19" s="59"/>
      <c r="AZ19" s="266"/>
      <c r="BA19" s="59"/>
      <c r="BB19" s="96"/>
      <c r="BC19" s="59"/>
      <c r="BD19" s="59"/>
      <c r="BE19" s="59"/>
      <c r="BF19" s="59"/>
      <c r="BG19" s="44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10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ht="26.25" hidden="1">
      <c r="A20" s="53">
        <v>13</v>
      </c>
      <c r="B20" s="56"/>
      <c r="C20" s="54">
        <v>1113059</v>
      </c>
      <c r="D20" s="57" t="s">
        <v>182</v>
      </c>
      <c r="E20" s="278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14"/>
      <c r="L20" s="193"/>
      <c r="M20" s="59"/>
      <c r="N20" s="96"/>
      <c r="O20" s="59"/>
      <c r="P20" s="59"/>
      <c r="Q20" s="59"/>
      <c r="R20" s="59"/>
      <c r="S20" s="44"/>
      <c r="T20" s="59"/>
      <c r="U20" s="59"/>
      <c r="V20" s="192"/>
      <c r="W20" s="59"/>
      <c r="X20" s="96"/>
      <c r="Y20" s="59"/>
      <c r="Z20" s="59"/>
      <c r="AA20" s="59"/>
      <c r="AB20" s="59"/>
      <c r="AC20" s="44"/>
      <c r="AD20" s="59"/>
      <c r="AE20" s="59"/>
      <c r="AF20" s="194"/>
      <c r="AG20" s="59"/>
      <c r="AH20" s="96"/>
      <c r="AI20" s="59"/>
      <c r="AJ20" s="59"/>
      <c r="AK20" s="59"/>
      <c r="AL20" s="59"/>
      <c r="AM20" s="44"/>
      <c r="AN20" s="59"/>
      <c r="AO20" s="59"/>
      <c r="AP20" s="195"/>
      <c r="AQ20" s="59"/>
      <c r="AR20" s="96"/>
      <c r="AS20" s="59"/>
      <c r="AT20" s="59"/>
      <c r="AU20" s="59"/>
      <c r="AV20" s="59"/>
      <c r="AW20" s="44"/>
      <c r="AX20" s="59"/>
      <c r="AY20" s="59"/>
      <c r="AZ20" s="181"/>
      <c r="BA20" s="59"/>
      <c r="BB20" s="96"/>
      <c r="BC20" s="59"/>
      <c r="BD20" s="59"/>
      <c r="BE20" s="59"/>
      <c r="BF20" s="59"/>
      <c r="BG20" s="44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10"/>
      <c r="BU20" s="5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53">
        <v>14</v>
      </c>
      <c r="B21" s="56"/>
      <c r="C21" s="54">
        <v>1005977</v>
      </c>
      <c r="D21" s="57" t="s">
        <v>189</v>
      </c>
      <c r="E21" s="278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14"/>
      <c r="L21" s="207"/>
      <c r="M21" s="59"/>
      <c r="N21" s="96"/>
      <c r="O21" s="59"/>
      <c r="P21" s="59"/>
      <c r="Q21" s="59"/>
      <c r="R21" s="59"/>
      <c r="S21" s="44"/>
      <c r="T21" s="59"/>
      <c r="U21" s="59"/>
      <c r="V21" s="192"/>
      <c r="W21" s="59"/>
      <c r="X21" s="96"/>
      <c r="Y21" s="59"/>
      <c r="Z21" s="59"/>
      <c r="AA21" s="59"/>
      <c r="AB21" s="59"/>
      <c r="AC21" s="44"/>
      <c r="AD21" s="59"/>
      <c r="AE21" s="59"/>
      <c r="AF21" s="194"/>
      <c r="AG21" s="59"/>
      <c r="AH21" s="96"/>
      <c r="AI21" s="59"/>
      <c r="AJ21" s="59"/>
      <c r="AK21" s="59"/>
      <c r="AL21" s="59"/>
      <c r="AM21" s="44"/>
      <c r="AN21" s="59"/>
      <c r="AO21" s="59"/>
      <c r="AP21" s="195"/>
      <c r="AQ21" s="59"/>
      <c r="AR21" s="96"/>
      <c r="AS21" s="59"/>
      <c r="AT21" s="59"/>
      <c r="AU21" s="59"/>
      <c r="AV21" s="59"/>
      <c r="AW21" s="44"/>
      <c r="AX21" s="59"/>
      <c r="AY21" s="59"/>
      <c r="AZ21" s="266"/>
      <c r="BA21" s="59"/>
      <c r="BB21" s="96"/>
      <c r="BC21" s="59"/>
      <c r="BD21" s="59"/>
      <c r="BE21" s="59"/>
      <c r="BF21" s="59"/>
      <c r="BG21" s="44"/>
      <c r="BH21" s="59"/>
      <c r="BI21" s="59"/>
      <c r="BJ21" s="187"/>
      <c r="BK21" s="59"/>
      <c r="BL21" s="96"/>
      <c r="BM21" s="59"/>
      <c r="BN21" s="59"/>
      <c r="BO21" s="59"/>
      <c r="BP21" s="59"/>
      <c r="BQ21" s="44"/>
      <c r="BR21" s="59"/>
      <c r="BS21" s="59"/>
      <c r="BT21" s="210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ht="26.25" hidden="1">
      <c r="A22" s="53">
        <v>15</v>
      </c>
      <c r="B22" s="56"/>
      <c r="C22" s="278">
        <v>1113088</v>
      </c>
      <c r="D22" s="247" t="s">
        <v>408</v>
      </c>
      <c r="E22" s="278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14"/>
      <c r="L22" s="193"/>
      <c r="M22" s="59"/>
      <c r="N22" s="96"/>
      <c r="O22" s="59"/>
      <c r="P22" s="59"/>
      <c r="Q22" s="59"/>
      <c r="R22" s="59"/>
      <c r="S22" s="44"/>
      <c r="T22" s="59"/>
      <c r="U22" s="59"/>
      <c r="V22" s="192"/>
      <c r="W22" s="59"/>
      <c r="X22" s="96"/>
      <c r="Y22" s="59"/>
      <c r="Z22" s="59"/>
      <c r="AA22" s="59"/>
      <c r="AB22" s="59"/>
      <c r="AC22" s="44"/>
      <c r="AD22" s="59"/>
      <c r="AE22" s="59"/>
      <c r="AF22" s="194"/>
      <c r="AG22" s="59"/>
      <c r="AH22" s="96"/>
      <c r="AI22" s="59"/>
      <c r="AJ22" s="59"/>
      <c r="AK22" s="59"/>
      <c r="AL22" s="59"/>
      <c r="AM22" s="44"/>
      <c r="AN22" s="59"/>
      <c r="AO22" s="59"/>
      <c r="AP22" s="195"/>
      <c r="AQ22" s="59"/>
      <c r="AR22" s="96"/>
      <c r="AS22" s="59"/>
      <c r="AT22" s="59"/>
      <c r="AU22" s="59"/>
      <c r="AV22" s="59"/>
      <c r="AW22" s="44"/>
      <c r="AX22" s="59"/>
      <c r="AY22" s="59"/>
      <c r="AZ22" s="181"/>
      <c r="BA22" s="59"/>
      <c r="BB22" s="96"/>
      <c r="BC22" s="59"/>
      <c r="BD22" s="59"/>
      <c r="BE22" s="59"/>
      <c r="BF22" s="59"/>
      <c r="BG22" s="44"/>
      <c r="BH22" s="59"/>
      <c r="BI22" s="59"/>
      <c r="BJ22" s="187"/>
      <c r="BK22" s="59"/>
      <c r="BL22" s="96"/>
      <c r="BM22" s="59"/>
      <c r="BN22" s="59"/>
      <c r="BO22" s="59"/>
      <c r="BP22" s="59"/>
      <c r="BQ22" s="44"/>
      <c r="BR22" s="59"/>
      <c r="BS22" s="59"/>
      <c r="BT22" s="210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ht="26.25">
      <c r="A23" s="53">
        <v>4</v>
      </c>
      <c r="B23" s="56"/>
      <c r="C23" s="278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7"/>
      <c r="M23" s="59"/>
      <c r="N23" s="96"/>
      <c r="O23" s="59"/>
      <c r="P23" s="59"/>
      <c r="Q23" s="59"/>
      <c r="R23" s="59"/>
      <c r="S23" s="106"/>
      <c r="T23" s="59"/>
      <c r="U23" s="59"/>
      <c r="V23" s="192"/>
      <c r="W23" s="59"/>
      <c r="X23" s="96"/>
      <c r="Y23" s="59"/>
      <c r="Z23" s="59"/>
      <c r="AA23" s="59"/>
      <c r="AB23" s="59"/>
      <c r="AC23" s="44"/>
      <c r="AD23" s="59"/>
      <c r="AE23" s="59"/>
      <c r="AF23" s="340"/>
      <c r="AG23" s="59"/>
      <c r="AH23" s="96"/>
      <c r="AI23" s="59"/>
      <c r="AJ23" s="59"/>
      <c r="AK23" s="59"/>
      <c r="AL23" s="59"/>
      <c r="AM23" s="106"/>
      <c r="AN23" s="59"/>
      <c r="AO23" s="59"/>
      <c r="AP23" s="288"/>
      <c r="AQ23" s="59"/>
      <c r="AR23" s="96"/>
      <c r="AS23" s="59"/>
      <c r="AT23" s="59"/>
      <c r="AU23" s="59"/>
      <c r="AV23" s="59"/>
      <c r="AW23" s="44"/>
      <c r="AX23" s="59"/>
      <c r="AY23" s="59"/>
      <c r="AZ23" s="341"/>
      <c r="BA23" s="59"/>
      <c r="BB23" s="96"/>
      <c r="BC23" s="59"/>
      <c r="BD23" s="59"/>
      <c r="BE23" s="59"/>
      <c r="BF23" s="59"/>
      <c r="BG23" s="106"/>
      <c r="BH23" s="59"/>
      <c r="BI23" s="59"/>
      <c r="BJ23" s="187"/>
      <c r="BK23" s="59"/>
      <c r="BL23" s="96"/>
      <c r="BM23" s="59"/>
      <c r="BN23" s="59"/>
      <c r="BO23" s="59"/>
      <c r="BP23" s="59"/>
      <c r="BQ23" s="44"/>
      <c r="BR23" s="59"/>
      <c r="BS23" s="59"/>
      <c r="BT23" s="210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ht="26.25" hidden="1">
      <c r="A24" s="53">
        <v>16</v>
      </c>
      <c r="B24" s="56"/>
      <c r="C24" s="284">
        <v>1113093</v>
      </c>
      <c r="D24" s="285" t="s">
        <v>196</v>
      </c>
      <c r="E24" s="296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14"/>
      <c r="L24" s="197"/>
      <c r="M24" s="59"/>
      <c r="N24" s="96"/>
      <c r="O24" s="59"/>
      <c r="P24" s="59"/>
      <c r="Q24" s="59"/>
      <c r="R24" s="105"/>
      <c r="S24" s="106"/>
      <c r="T24" s="59"/>
      <c r="U24" s="59"/>
      <c r="V24" s="192"/>
      <c r="W24" s="59"/>
      <c r="X24" s="96"/>
      <c r="Y24" s="59"/>
      <c r="Z24" s="59"/>
      <c r="AA24" s="59"/>
      <c r="AB24" s="105"/>
      <c r="AC24" s="44"/>
      <c r="AD24" s="59"/>
      <c r="AE24" s="59"/>
      <c r="AF24" s="194"/>
      <c r="AG24" s="105"/>
      <c r="AH24" s="96"/>
      <c r="AI24" s="59"/>
      <c r="AJ24" s="59"/>
      <c r="AK24" s="59"/>
      <c r="AL24" s="105"/>
      <c r="AM24" s="44"/>
      <c r="AN24" s="59"/>
      <c r="AO24" s="59"/>
      <c r="AP24" s="195"/>
      <c r="AQ24" s="59"/>
      <c r="AR24" s="96"/>
      <c r="AS24" s="59"/>
      <c r="AT24" s="59"/>
      <c r="AU24" s="59"/>
      <c r="AV24" s="105"/>
      <c r="AW24" s="44"/>
      <c r="AX24" s="59"/>
      <c r="AY24" s="59"/>
      <c r="AZ24" s="266"/>
      <c r="BA24" s="59"/>
      <c r="BB24" s="96"/>
      <c r="BC24" s="59"/>
      <c r="BD24" s="59"/>
      <c r="BE24" s="59"/>
      <c r="BF24" s="105"/>
      <c r="BG24" s="44"/>
      <c r="BH24" s="105"/>
      <c r="BI24" s="59"/>
      <c r="BJ24" s="187"/>
      <c r="BK24" s="59"/>
      <c r="BL24" s="96"/>
      <c r="BM24" s="59"/>
      <c r="BN24" s="59"/>
      <c r="BO24" s="59"/>
      <c r="BP24" s="105"/>
      <c r="BQ24" s="44"/>
      <c r="BR24" s="59"/>
      <c r="BS24" s="59"/>
      <c r="BT24" s="210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452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312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ht="26.25" hidden="1">
      <c r="A26" s="53">
        <v>17</v>
      </c>
      <c r="B26" s="56"/>
      <c r="C26" s="278">
        <v>1113087</v>
      </c>
      <c r="D26" s="247" t="s">
        <v>412</v>
      </c>
      <c r="E26" s="296" t="s">
        <v>27</v>
      </c>
      <c r="F26" s="54"/>
      <c r="G26" s="44"/>
      <c r="H26" s="58"/>
      <c r="I26" s="63">
        <f t="shared" si="0"/>
        <v>0</v>
      </c>
      <c r="J26" s="58"/>
      <c r="K26" s="314"/>
      <c r="L26" s="197"/>
      <c r="M26" s="59"/>
      <c r="N26" s="96"/>
      <c r="O26" s="105"/>
      <c r="P26" s="59"/>
      <c r="Q26" s="59"/>
      <c r="R26" s="105"/>
      <c r="S26" s="106"/>
      <c r="T26" s="59"/>
      <c r="U26" s="105"/>
      <c r="V26" s="192"/>
      <c r="W26" s="59"/>
      <c r="X26" s="96"/>
      <c r="Y26" s="105"/>
      <c r="Z26" s="59"/>
      <c r="AA26" s="59"/>
      <c r="AB26" s="105"/>
      <c r="AC26" s="44"/>
      <c r="AD26" s="59"/>
      <c r="AE26" s="59"/>
      <c r="AF26" s="194"/>
      <c r="AG26" s="105"/>
      <c r="AH26" s="96"/>
      <c r="AI26" s="105"/>
      <c r="AJ26" s="59"/>
      <c r="AK26" s="59"/>
      <c r="AL26" s="105"/>
      <c r="AM26" s="44"/>
      <c r="AN26" s="59"/>
      <c r="AO26" s="59"/>
      <c r="AP26" s="263"/>
      <c r="AQ26" s="59"/>
      <c r="AR26" s="96"/>
      <c r="AS26" s="105"/>
      <c r="AT26" s="59"/>
      <c r="AU26" s="59"/>
      <c r="AV26" s="105"/>
      <c r="AW26" s="106"/>
      <c r="AX26" s="59"/>
      <c r="AY26" s="59"/>
      <c r="AZ26" s="266"/>
      <c r="BA26" s="59"/>
      <c r="BB26" s="96"/>
      <c r="BC26" s="105"/>
      <c r="BD26" s="59"/>
      <c r="BE26" s="59"/>
      <c r="BF26" s="105"/>
      <c r="BG26" s="44"/>
      <c r="BH26" s="105"/>
      <c r="BI26" s="59"/>
      <c r="BJ26" s="187"/>
      <c r="BK26" s="105"/>
      <c r="BL26" s="96"/>
      <c r="BM26" s="105"/>
      <c r="BN26" s="59"/>
      <c r="BO26" s="59"/>
      <c r="BP26" s="105"/>
      <c r="BQ26" s="44"/>
      <c r="BR26" s="59"/>
      <c r="BS26" s="59"/>
      <c r="BT26" s="210"/>
      <c r="BU26" s="59"/>
      <c r="BV26" s="96"/>
      <c r="BW26" s="105"/>
      <c r="BX26" s="59"/>
      <c r="BY26" s="59"/>
      <c r="BZ26" s="105"/>
      <c r="CA26" s="44"/>
      <c r="CB26" s="59"/>
    </row>
    <row r="27" spans="1:80" ht="26.25" hidden="1">
      <c r="A27" s="53">
        <v>18</v>
      </c>
      <c r="B27" s="56"/>
      <c r="C27" s="54">
        <v>1005982</v>
      </c>
      <c r="D27" s="57" t="s">
        <v>199</v>
      </c>
      <c r="E27" s="278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14"/>
      <c r="L27" s="207"/>
      <c r="M27" s="59"/>
      <c r="N27" s="96"/>
      <c r="O27" s="59"/>
      <c r="P27" s="59"/>
      <c r="Q27" s="59"/>
      <c r="R27" s="59"/>
      <c r="S27" s="44"/>
      <c r="T27" s="59"/>
      <c r="U27" s="59"/>
      <c r="V27" s="192"/>
      <c r="W27" s="59"/>
      <c r="X27" s="96"/>
      <c r="Y27" s="59"/>
      <c r="Z27" s="59"/>
      <c r="AA27" s="59"/>
      <c r="AB27" s="59"/>
      <c r="AC27" s="44"/>
      <c r="AD27" s="59"/>
      <c r="AE27" s="59"/>
      <c r="AF27" s="194"/>
      <c r="AG27" s="59"/>
      <c r="AH27" s="96"/>
      <c r="AI27" s="59"/>
      <c r="AJ27" s="59"/>
      <c r="AK27" s="59"/>
      <c r="AL27" s="59"/>
      <c r="AM27" s="44"/>
      <c r="AN27" s="59"/>
      <c r="AO27" s="59"/>
      <c r="AP27" s="195"/>
      <c r="AQ27" s="59"/>
      <c r="AR27" s="96"/>
      <c r="AS27" s="59"/>
      <c r="AT27" s="59"/>
      <c r="AU27" s="59"/>
      <c r="AV27" s="59"/>
      <c r="AW27" s="44"/>
      <c r="AX27" s="59"/>
      <c r="AY27" s="59"/>
      <c r="AZ27" s="266"/>
      <c r="BA27" s="59"/>
      <c r="BB27" s="96"/>
      <c r="BC27" s="59"/>
      <c r="BD27" s="59"/>
      <c r="BE27" s="59"/>
      <c r="BF27" s="59"/>
      <c r="BG27" s="44"/>
      <c r="BH27" s="59"/>
      <c r="BI27" s="59"/>
      <c r="BJ27" s="187"/>
      <c r="BK27" s="59"/>
      <c r="BL27" s="96"/>
      <c r="BM27" s="59"/>
      <c r="BN27" s="59"/>
      <c r="BO27" s="59"/>
      <c r="BP27" s="59"/>
      <c r="BQ27" s="44"/>
      <c r="BR27" s="59"/>
      <c r="BS27" s="59"/>
      <c r="BT27" s="210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ht="26.25">
      <c r="A28" s="53">
        <v>5</v>
      </c>
      <c r="B28" s="56"/>
      <c r="C28" s="278">
        <v>1113086</v>
      </c>
      <c r="D28" s="247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7"/>
      <c r="M28" s="59"/>
      <c r="N28" s="96"/>
      <c r="O28" s="59"/>
      <c r="P28" s="59"/>
      <c r="Q28" s="59"/>
      <c r="R28" s="59"/>
      <c r="S28" s="44"/>
      <c r="T28" s="59"/>
      <c r="U28" s="59"/>
      <c r="V28" s="192"/>
      <c r="W28" s="59"/>
      <c r="X28" s="96"/>
      <c r="Y28" s="59"/>
      <c r="Z28" s="59"/>
      <c r="AA28" s="59"/>
      <c r="AB28" s="59"/>
      <c r="AC28" s="44"/>
      <c r="AD28" s="59"/>
      <c r="AE28" s="59"/>
      <c r="AF28" s="338"/>
      <c r="AG28" s="59"/>
      <c r="AH28" s="96"/>
      <c r="AI28" s="59"/>
      <c r="AJ28" s="59"/>
      <c r="AK28" s="59"/>
      <c r="AL28" s="59"/>
      <c r="AM28" s="44"/>
      <c r="AN28" s="59"/>
      <c r="AO28" s="59"/>
      <c r="AP28" s="288"/>
      <c r="AQ28" s="59"/>
      <c r="AR28" s="96"/>
      <c r="AS28" s="59"/>
      <c r="AT28" s="59"/>
      <c r="AU28" s="59"/>
      <c r="AV28" s="59"/>
      <c r="AW28" s="44"/>
      <c r="AX28" s="59"/>
      <c r="AY28" s="59"/>
      <c r="AZ28" s="339"/>
      <c r="BA28" s="59"/>
      <c r="BB28" s="96"/>
      <c r="BC28" s="59"/>
      <c r="BD28" s="59"/>
      <c r="BE28" s="59"/>
      <c r="BF28" s="59"/>
      <c r="BG28" s="44"/>
      <c r="BH28" s="59"/>
      <c r="BI28" s="59"/>
      <c r="BJ28" s="187"/>
      <c r="BK28" s="59"/>
      <c r="BL28" s="96"/>
      <c r="BM28" s="59"/>
      <c r="BN28" s="59"/>
      <c r="BO28" s="59"/>
      <c r="BP28" s="59"/>
      <c r="BQ28" s="44"/>
      <c r="BR28" s="59"/>
      <c r="BS28" s="59"/>
      <c r="BT28" s="21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ht="26.25" hidden="1">
      <c r="A29" s="168">
        <v>1</v>
      </c>
      <c r="B29" s="170"/>
      <c r="C29" s="169">
        <v>1005985</v>
      </c>
      <c r="D29" s="271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185"/>
      <c r="L29" s="437"/>
      <c r="M29" s="222"/>
      <c r="N29" s="96"/>
      <c r="O29" s="59"/>
      <c r="P29" s="59"/>
      <c r="Q29" s="59"/>
      <c r="R29" s="59"/>
      <c r="S29" s="44"/>
      <c r="T29" s="59"/>
      <c r="U29" s="59"/>
      <c r="V29" s="432"/>
      <c r="W29" s="222"/>
      <c r="X29" s="96"/>
      <c r="Y29" s="59"/>
      <c r="Z29" s="59"/>
      <c r="AA29" s="59"/>
      <c r="AB29" s="59"/>
      <c r="AC29" s="44"/>
      <c r="AD29" s="59"/>
      <c r="AE29" s="59"/>
      <c r="AF29" s="433"/>
      <c r="AG29" s="222"/>
      <c r="AH29" s="96"/>
      <c r="AI29" s="59"/>
      <c r="AJ29" s="59"/>
      <c r="AK29" s="59"/>
      <c r="AL29" s="59"/>
      <c r="AM29" s="44"/>
      <c r="AN29" s="59"/>
      <c r="AO29" s="59"/>
      <c r="AP29" s="434"/>
      <c r="AQ29" s="222"/>
      <c r="AR29" s="96"/>
      <c r="AS29" s="59"/>
      <c r="AT29" s="59"/>
      <c r="AU29" s="59"/>
      <c r="AV29" s="59"/>
      <c r="AW29" s="44"/>
      <c r="AX29" s="59"/>
      <c r="AY29" s="59"/>
      <c r="AZ29" s="435"/>
      <c r="BA29" s="222"/>
      <c r="BB29" s="96"/>
      <c r="BC29" s="59"/>
      <c r="BD29" s="59"/>
      <c r="BE29" s="59"/>
      <c r="BF29" s="59"/>
      <c r="BG29" s="44"/>
      <c r="BH29" s="59"/>
      <c r="BI29" s="59"/>
      <c r="BJ29" s="436"/>
      <c r="BK29" s="222"/>
      <c r="BL29" s="96"/>
      <c r="BM29" s="59"/>
      <c r="BN29" s="59"/>
      <c r="BO29" s="59"/>
      <c r="BP29" s="59"/>
      <c r="BQ29" s="44"/>
      <c r="BR29" s="59"/>
      <c r="BS29" s="59"/>
      <c r="BT29" s="219"/>
      <c r="BU29" s="222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ht="26.25">
      <c r="A30" s="53">
        <v>2</v>
      </c>
      <c r="B30" s="56"/>
      <c r="C30" s="284">
        <v>1113088</v>
      </c>
      <c r="D30" s="285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7"/>
      <c r="M30" s="59"/>
      <c r="N30" s="96"/>
      <c r="O30" s="59"/>
      <c r="P30" s="59"/>
      <c r="Q30" s="59"/>
      <c r="R30" s="59"/>
      <c r="S30" s="106"/>
      <c r="T30" s="59"/>
      <c r="U30" s="59"/>
      <c r="V30" s="226"/>
      <c r="W30" s="59"/>
      <c r="X30" s="96"/>
      <c r="Y30" s="59"/>
      <c r="Z30" s="59"/>
      <c r="AA30" s="59"/>
      <c r="AB30" s="59"/>
      <c r="AC30" s="44"/>
      <c r="AD30" s="59"/>
      <c r="AE30" s="59"/>
      <c r="AF30" s="340"/>
      <c r="AG30" s="59"/>
      <c r="AH30" s="96"/>
      <c r="AI30" s="59"/>
      <c r="AJ30" s="59"/>
      <c r="AK30" s="59"/>
      <c r="AL30" s="59"/>
      <c r="AM30" s="106"/>
      <c r="AN30" s="59"/>
      <c r="AO30" s="59"/>
      <c r="AP30" s="289"/>
      <c r="AQ30" s="59"/>
      <c r="AR30" s="96"/>
      <c r="AS30" s="59"/>
      <c r="AT30" s="59"/>
      <c r="AU30" s="59"/>
      <c r="AV30" s="59"/>
      <c r="AW30" s="44"/>
      <c r="AX30" s="59"/>
      <c r="AY30" s="59"/>
      <c r="AZ30" s="341"/>
      <c r="BA30" s="59"/>
      <c r="BB30" s="96"/>
      <c r="BC30" s="59"/>
      <c r="BD30" s="59"/>
      <c r="BE30" s="59"/>
      <c r="BF30" s="59"/>
      <c r="BG30" s="106"/>
      <c r="BH30" s="59"/>
      <c r="BI30" s="59"/>
      <c r="BJ30" s="187"/>
      <c r="BK30" s="59"/>
      <c r="BL30" s="96"/>
      <c r="BM30" s="59"/>
      <c r="BN30" s="59"/>
      <c r="BO30" s="59"/>
      <c r="BP30" s="59"/>
      <c r="BQ30" s="44"/>
      <c r="BR30" s="59"/>
      <c r="BS30" s="59"/>
      <c r="BT30" s="210"/>
      <c r="BU30" s="5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ht="26.25" hidden="1">
      <c r="A31" s="168">
        <v>2</v>
      </c>
      <c r="B31" s="170"/>
      <c r="C31" s="169">
        <v>1113155</v>
      </c>
      <c r="D31" s="271" t="s">
        <v>214</v>
      </c>
      <c r="E31" s="169" t="s">
        <v>31</v>
      </c>
      <c r="F31" s="169"/>
      <c r="G31" s="183"/>
      <c r="H31" s="262">
        <v>0</v>
      </c>
      <c r="I31" s="63">
        <f t="shared" si="0"/>
        <v>0</v>
      </c>
      <c r="J31" s="58">
        <v>0</v>
      </c>
      <c r="K31" s="59"/>
      <c r="L31" s="111"/>
      <c r="M31" s="59"/>
      <c r="N31" s="96"/>
      <c r="O31" s="105"/>
      <c r="P31" s="59"/>
      <c r="Q31" s="59"/>
      <c r="R31" s="105"/>
      <c r="S31" s="106"/>
      <c r="T31" s="59"/>
      <c r="U31" s="105"/>
      <c r="V31" s="97"/>
      <c r="W31" s="59"/>
      <c r="X31" s="96"/>
      <c r="Y31" s="105"/>
      <c r="Z31" s="59"/>
      <c r="AA31" s="59"/>
      <c r="AB31" s="105"/>
      <c r="AC31" s="44"/>
      <c r="AD31" s="59"/>
      <c r="AE31" s="59"/>
      <c r="AF31" s="98"/>
      <c r="AG31" s="105"/>
      <c r="AH31" s="96"/>
      <c r="AI31" s="105"/>
      <c r="AJ31" s="59"/>
      <c r="AK31" s="59"/>
      <c r="AL31" s="105"/>
      <c r="AM31" s="44"/>
      <c r="AN31" s="59"/>
      <c r="AO31" s="59"/>
      <c r="AP31" s="112"/>
      <c r="AQ31" s="59"/>
      <c r="AR31" s="96"/>
      <c r="AS31" s="105"/>
      <c r="AT31" s="59"/>
      <c r="AU31" s="59"/>
      <c r="AV31" s="105"/>
      <c r="AW31" s="106"/>
      <c r="AX31" s="59"/>
      <c r="AY31" s="59"/>
      <c r="AZ31" s="103"/>
      <c r="BA31" s="59"/>
      <c r="BB31" s="96"/>
      <c r="BC31" s="105"/>
      <c r="BD31" s="59"/>
      <c r="BE31" s="59"/>
      <c r="BF31" s="105"/>
      <c r="BG31" s="44"/>
      <c r="BH31" s="105"/>
      <c r="BI31" s="59"/>
      <c r="BJ31" s="100"/>
      <c r="BK31" s="105"/>
      <c r="BL31" s="96"/>
      <c r="BM31" s="105"/>
      <c r="BN31" s="59"/>
      <c r="BO31" s="59"/>
      <c r="BP31" s="105"/>
      <c r="BQ31" s="44"/>
      <c r="BR31" s="59"/>
      <c r="BS31" s="59"/>
      <c r="BT31" s="101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453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312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430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312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53">
        <v>5</v>
      </c>
      <c r="B34" s="56"/>
      <c r="C34" s="54">
        <v>20051101</v>
      </c>
      <c r="D34" s="57" t="s">
        <v>431</v>
      </c>
      <c r="E34" s="54" t="s">
        <v>69</v>
      </c>
      <c r="F34" s="54"/>
      <c r="G34" s="44"/>
      <c r="H34" s="58">
        <v>0</v>
      </c>
      <c r="I34" s="63">
        <f t="shared" ref="I34:I70" si="3">SUM(L34,V34,AF34,AP34,AZ34,BJ34,BT34)</f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27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312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53">
        <v>6</v>
      </c>
      <c r="B35" s="56"/>
      <c r="C35" s="54">
        <v>20052721</v>
      </c>
      <c r="D35" s="57" t="s">
        <v>432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59"/>
      <c r="N35" s="96"/>
      <c r="O35" s="105"/>
      <c r="P35" s="59"/>
      <c r="Q35" s="59"/>
      <c r="R35" s="105"/>
      <c r="S35" s="106"/>
      <c r="T35" s="59"/>
      <c r="U35" s="105"/>
      <c r="V35" s="107"/>
      <c r="W35" s="59"/>
      <c r="X35" s="96"/>
      <c r="Y35" s="105"/>
      <c r="Z35" s="59"/>
      <c r="AA35" s="59"/>
      <c r="AB35" s="105"/>
      <c r="AC35" s="106"/>
      <c r="AD35" s="59"/>
      <c r="AE35" s="59"/>
      <c r="AF35" s="108"/>
      <c r="AG35" s="105"/>
      <c r="AH35" s="96"/>
      <c r="AI35" s="105"/>
      <c r="AJ35" s="59"/>
      <c r="AK35" s="59"/>
      <c r="AL35" s="105"/>
      <c r="AM35" s="106"/>
      <c r="AN35" s="59"/>
      <c r="AO35" s="59"/>
      <c r="AP35" s="127"/>
      <c r="AQ35" s="59"/>
      <c r="AR35" s="96"/>
      <c r="AS35" s="105"/>
      <c r="AT35" s="59"/>
      <c r="AU35" s="59"/>
      <c r="AV35" s="105"/>
      <c r="AW35" s="106"/>
      <c r="AX35" s="59"/>
      <c r="AY35" s="59"/>
      <c r="AZ35" s="109"/>
      <c r="BA35" s="59"/>
      <c r="BB35" s="96"/>
      <c r="BC35" s="105"/>
      <c r="BD35" s="59"/>
      <c r="BE35" s="59"/>
      <c r="BF35" s="105"/>
      <c r="BG35" s="106"/>
      <c r="BH35" s="105"/>
      <c r="BI35" s="59"/>
      <c r="BJ35" s="110"/>
      <c r="BK35" s="105"/>
      <c r="BL35" s="96"/>
      <c r="BM35" s="105"/>
      <c r="BN35" s="59"/>
      <c r="BO35" s="59"/>
      <c r="BP35" s="105"/>
      <c r="BQ35" s="106"/>
      <c r="BR35" s="59"/>
      <c r="BS35" s="59"/>
      <c r="BT35" s="312"/>
      <c r="BU35" s="59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ht="26.25">
      <c r="A36" s="53">
        <v>7</v>
      </c>
      <c r="B36" s="56"/>
      <c r="C36" s="299">
        <v>1113148</v>
      </c>
      <c r="D36" s="300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3"/>
      <c r="M36" s="59"/>
      <c r="N36" s="96"/>
      <c r="O36" s="59"/>
      <c r="P36" s="59"/>
      <c r="Q36" s="59"/>
      <c r="R36" s="59"/>
      <c r="S36" s="44"/>
      <c r="T36" s="59"/>
      <c r="U36" s="59"/>
      <c r="V36" s="192"/>
      <c r="W36" s="59"/>
      <c r="X36" s="96"/>
      <c r="Y36" s="59"/>
      <c r="Z36" s="59"/>
      <c r="AA36" s="59"/>
      <c r="AB36" s="59"/>
      <c r="AC36" s="44"/>
      <c r="AD36" s="59"/>
      <c r="AE36" s="59"/>
      <c r="AF36" s="342"/>
      <c r="AG36" s="59"/>
      <c r="AH36" s="96"/>
      <c r="AI36" s="59"/>
      <c r="AJ36" s="59"/>
      <c r="AK36" s="59"/>
      <c r="AL36" s="59"/>
      <c r="AM36" s="44"/>
      <c r="AN36" s="59"/>
      <c r="AO36" s="59"/>
      <c r="AP36" s="288"/>
      <c r="AQ36" s="59"/>
      <c r="AR36" s="96"/>
      <c r="AS36" s="59"/>
      <c r="AT36" s="59"/>
      <c r="AU36" s="59"/>
      <c r="AV36" s="59"/>
      <c r="AW36" s="44"/>
      <c r="AX36" s="59"/>
      <c r="AY36" s="59"/>
      <c r="AZ36" s="344"/>
      <c r="BA36" s="59"/>
      <c r="BB36" s="96"/>
      <c r="BC36" s="59"/>
      <c r="BD36" s="59"/>
      <c r="BE36" s="59"/>
      <c r="BF36" s="59"/>
      <c r="BG36" s="44"/>
      <c r="BH36" s="59"/>
      <c r="BI36" s="59"/>
      <c r="BJ36" s="187"/>
      <c r="BK36" s="59"/>
      <c r="BL36" s="96"/>
      <c r="BM36" s="59"/>
      <c r="BN36" s="59"/>
      <c r="BO36" s="59"/>
      <c r="BP36" s="59"/>
      <c r="BQ36" s="44"/>
      <c r="BR36" s="59"/>
      <c r="BS36" s="59"/>
      <c r="BT36" s="210"/>
      <c r="BU36" s="59">
        <v>0</v>
      </c>
      <c r="BV36" s="96">
        <f t="shared" ref="BV36:BV46" si="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5">BT36-BX36</f>
        <v>0</v>
      </c>
      <c r="CB36" s="59"/>
    </row>
    <row r="37" spans="1:80" ht="26.25">
      <c r="A37" s="53">
        <v>8</v>
      </c>
      <c r="B37" s="68"/>
      <c r="C37" s="301">
        <v>1113149</v>
      </c>
      <c r="D37" s="302" t="s">
        <v>349</v>
      </c>
      <c r="E37" s="64" t="s">
        <v>42</v>
      </c>
      <c r="F37" s="54"/>
      <c r="G37" s="44"/>
      <c r="H37" s="58">
        <v>0</v>
      </c>
      <c r="I37" s="45">
        <f t="shared" si="3"/>
        <v>0</v>
      </c>
      <c r="J37" s="58">
        <v>0</v>
      </c>
      <c r="K37" s="59"/>
      <c r="L37" s="193"/>
      <c r="M37" s="59"/>
      <c r="N37" s="96"/>
      <c r="O37" s="59"/>
      <c r="P37" s="59"/>
      <c r="Q37" s="59"/>
      <c r="R37" s="59"/>
      <c r="S37" s="44"/>
      <c r="T37" s="59"/>
      <c r="U37" s="59"/>
      <c r="V37" s="192"/>
      <c r="W37" s="59"/>
      <c r="X37" s="96"/>
      <c r="Y37" s="59"/>
      <c r="Z37" s="59"/>
      <c r="AA37" s="59"/>
      <c r="AB37" s="59"/>
      <c r="AC37" s="44"/>
      <c r="AD37" s="59"/>
      <c r="AE37" s="59"/>
      <c r="AF37" s="342"/>
      <c r="AG37" s="59"/>
      <c r="AH37" s="96"/>
      <c r="AI37" s="59"/>
      <c r="AJ37" s="59"/>
      <c r="AK37" s="59"/>
      <c r="AL37" s="59"/>
      <c r="AM37" s="44"/>
      <c r="AN37" s="59"/>
      <c r="AO37" s="59"/>
      <c r="AP37" s="288"/>
      <c r="AQ37" s="59"/>
      <c r="AR37" s="96"/>
      <c r="AS37" s="59"/>
      <c r="AT37" s="59"/>
      <c r="AU37" s="59"/>
      <c r="AV37" s="59"/>
      <c r="AW37" s="44"/>
      <c r="AX37" s="59"/>
      <c r="AY37" s="59"/>
      <c r="AZ37" s="344"/>
      <c r="BA37" s="59"/>
      <c r="BB37" s="96"/>
      <c r="BC37" s="59"/>
      <c r="BD37" s="59"/>
      <c r="BE37" s="59"/>
      <c r="BF37" s="59"/>
      <c r="BG37" s="44"/>
      <c r="BH37" s="59"/>
      <c r="BI37" s="59"/>
      <c r="BJ37" s="187"/>
      <c r="BK37" s="59"/>
      <c r="BL37" s="96"/>
      <c r="BM37" s="59"/>
      <c r="BN37" s="59"/>
      <c r="BO37" s="59"/>
      <c r="BP37" s="59"/>
      <c r="BQ37" s="44"/>
      <c r="BR37" s="59"/>
      <c r="BS37" s="59"/>
      <c r="BT37" s="210"/>
      <c r="BU37" s="59">
        <v>0</v>
      </c>
      <c r="BV37" s="96">
        <f t="shared" si="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5"/>
        <v>0</v>
      </c>
      <c r="CB37" s="59"/>
    </row>
    <row r="38" spans="1:80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45">
        <f t="shared" si="3"/>
        <v>0</v>
      </c>
      <c r="J38" s="58">
        <v>0</v>
      </c>
      <c r="K38" s="59"/>
      <c r="L38" s="196"/>
      <c r="M38" s="59"/>
      <c r="N38" s="96"/>
      <c r="O38" s="59"/>
      <c r="P38" s="59"/>
      <c r="Q38" s="59"/>
      <c r="R38" s="59"/>
      <c r="S38" s="106"/>
      <c r="T38" s="59"/>
      <c r="U38" s="59"/>
      <c r="V38" s="192"/>
      <c r="W38" s="59"/>
      <c r="X38" s="96"/>
      <c r="Y38" s="59"/>
      <c r="Z38" s="59"/>
      <c r="AA38" s="59"/>
      <c r="AB38" s="59"/>
      <c r="AC38" s="44"/>
      <c r="AD38" s="59"/>
      <c r="AE38" s="59"/>
      <c r="AF38" s="343"/>
      <c r="AG38" s="59"/>
      <c r="AH38" s="96"/>
      <c r="AI38" s="59"/>
      <c r="AJ38" s="59"/>
      <c r="AK38" s="59"/>
      <c r="AL38" s="59"/>
      <c r="AM38" s="106"/>
      <c r="AN38" s="59"/>
      <c r="AO38" s="59"/>
      <c r="AP38" s="288"/>
      <c r="AQ38" s="59"/>
      <c r="AR38" s="96"/>
      <c r="AS38" s="59"/>
      <c r="AT38" s="59"/>
      <c r="AU38" s="59"/>
      <c r="AV38" s="59"/>
      <c r="AW38" s="44"/>
      <c r="AX38" s="59"/>
      <c r="AY38" s="59"/>
      <c r="AZ38" s="345"/>
      <c r="BA38" s="59"/>
      <c r="BB38" s="96"/>
      <c r="BC38" s="59"/>
      <c r="BD38" s="59"/>
      <c r="BE38" s="59"/>
      <c r="BF38" s="59"/>
      <c r="BG38" s="106"/>
      <c r="BH38" s="59"/>
      <c r="BI38" s="59"/>
      <c r="BJ38" s="187"/>
      <c r="BK38" s="59"/>
      <c r="BL38" s="96"/>
      <c r="BM38" s="59"/>
      <c r="BN38" s="59"/>
      <c r="BO38" s="59"/>
      <c r="BP38" s="59"/>
      <c r="BQ38" s="44"/>
      <c r="BR38" s="59"/>
      <c r="BS38" s="59"/>
      <c r="BT38" s="210"/>
      <c r="BU38" s="59">
        <v>0</v>
      </c>
      <c r="BV38" s="96">
        <f t="shared" si="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5"/>
        <v>0</v>
      </c>
      <c r="CB38" s="59"/>
    </row>
    <row r="39" spans="1:80" ht="26.25">
      <c r="A39" s="53">
        <v>10</v>
      </c>
      <c r="B39" s="56"/>
      <c r="C39" s="278">
        <v>1113194</v>
      </c>
      <c r="D39" s="247" t="s">
        <v>353</v>
      </c>
      <c r="E39" s="64" t="s">
        <v>42</v>
      </c>
      <c r="F39" s="54"/>
      <c r="G39" s="44"/>
      <c r="H39" s="58">
        <v>0</v>
      </c>
      <c r="I39" s="45">
        <f t="shared" si="3"/>
        <v>0</v>
      </c>
      <c r="J39" s="58">
        <v>0</v>
      </c>
      <c r="K39" s="59"/>
      <c r="L39" s="197"/>
      <c r="M39" s="59"/>
      <c r="N39" s="96"/>
      <c r="O39" s="59"/>
      <c r="P39" s="59"/>
      <c r="Q39" s="59"/>
      <c r="R39" s="105"/>
      <c r="S39" s="106"/>
      <c r="T39" s="59"/>
      <c r="U39" s="59"/>
      <c r="V39" s="226"/>
      <c r="W39" s="59"/>
      <c r="X39" s="96"/>
      <c r="Y39" s="59"/>
      <c r="Z39" s="59"/>
      <c r="AA39" s="59"/>
      <c r="AB39" s="105"/>
      <c r="AC39" s="44"/>
      <c r="AD39" s="59"/>
      <c r="AE39" s="59"/>
      <c r="AF39" s="340"/>
      <c r="AG39" s="105"/>
      <c r="AH39" s="96"/>
      <c r="AI39" s="59"/>
      <c r="AJ39" s="59"/>
      <c r="AK39" s="59"/>
      <c r="AL39" s="105"/>
      <c r="AM39" s="106"/>
      <c r="AN39" s="59"/>
      <c r="AO39" s="59"/>
      <c r="AP39" s="288"/>
      <c r="AQ39" s="59"/>
      <c r="AR39" s="96"/>
      <c r="AS39" s="59"/>
      <c r="AT39" s="59"/>
      <c r="AU39" s="59"/>
      <c r="AV39" s="105"/>
      <c r="AW39" s="44"/>
      <c r="AX39" s="59"/>
      <c r="AY39" s="59"/>
      <c r="AZ39" s="341"/>
      <c r="BA39" s="59"/>
      <c r="BB39" s="96"/>
      <c r="BC39" s="59"/>
      <c r="BD39" s="59"/>
      <c r="BE39" s="59"/>
      <c r="BF39" s="105"/>
      <c r="BG39" s="106"/>
      <c r="BH39" s="105"/>
      <c r="BI39" s="59"/>
      <c r="BJ39" s="187"/>
      <c r="BK39" s="59"/>
      <c r="BL39" s="96"/>
      <c r="BM39" s="59"/>
      <c r="BN39" s="59"/>
      <c r="BO39" s="59"/>
      <c r="BP39" s="105"/>
      <c r="BQ39" s="44"/>
      <c r="BR39" s="59"/>
      <c r="BS39" s="59"/>
      <c r="BT39" s="210"/>
      <c r="BU39" s="59">
        <v>0</v>
      </c>
      <c r="BV39" s="96">
        <f t="shared" si="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5"/>
        <v>0</v>
      </c>
      <c r="CB39" s="59"/>
    </row>
    <row r="40" spans="1:80" ht="29.25" hidden="1">
      <c r="A40" s="168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202">
        <v>0</v>
      </c>
      <c r="I40" s="63">
        <f t="shared" si="3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105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5"/>
        <v>0</v>
      </c>
      <c r="CB40" s="59"/>
    </row>
    <row r="41" spans="1:80" ht="29.25" hidden="1">
      <c r="A41" s="168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3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5"/>
        <v>0</v>
      </c>
      <c r="CB41" s="59"/>
    </row>
    <row r="42" spans="1:80" ht="29.25" hidden="1">
      <c r="A42" s="168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3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5"/>
        <v>0</v>
      </c>
      <c r="CB42" s="59"/>
    </row>
    <row r="43" spans="1:80" ht="29.25" hidden="1">
      <c r="A43" s="168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3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5"/>
        <v>0</v>
      </c>
      <c r="CB43" s="59"/>
    </row>
    <row r="44" spans="1:80" ht="29.25" hidden="1">
      <c r="A44" s="168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3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5"/>
        <v>0</v>
      </c>
      <c r="CB44" s="59"/>
    </row>
    <row r="45" spans="1:80" ht="29.25" hidden="1">
      <c r="A45" s="168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3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5"/>
        <v>0</v>
      </c>
      <c r="CB45" s="59"/>
    </row>
    <row r="46" spans="1:80" ht="29.25" hidden="1">
      <c r="A46" s="168">
        <v>7</v>
      </c>
      <c r="B46" s="68"/>
      <c r="C46" s="198">
        <v>1001001114</v>
      </c>
      <c r="D46" s="199" t="s">
        <v>384</v>
      </c>
      <c r="E46" s="200" t="s">
        <v>377</v>
      </c>
      <c r="F46" s="200"/>
      <c r="G46" s="201"/>
      <c r="H46" s="202">
        <v>0</v>
      </c>
      <c r="I46" s="63">
        <f t="shared" si="3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5"/>
        <v>0</v>
      </c>
      <c r="CB46" s="59"/>
    </row>
    <row r="47" spans="1:80" ht="29.25">
      <c r="A47" s="225">
        <v>11</v>
      </c>
      <c r="B47" s="170"/>
      <c r="C47" s="208">
        <v>1113225</v>
      </c>
      <c r="D47" s="209" t="s">
        <v>407</v>
      </c>
      <c r="E47" s="220" t="s">
        <v>42</v>
      </c>
      <c r="F47" s="169"/>
      <c r="G47" s="183"/>
      <c r="H47" s="184"/>
      <c r="I47" s="45">
        <f t="shared" si="3"/>
        <v>0</v>
      </c>
      <c r="J47" s="58"/>
      <c r="K47" s="59"/>
      <c r="L47" s="229"/>
      <c r="M47" s="59"/>
      <c r="N47" s="96"/>
      <c r="O47" s="59"/>
      <c r="P47" s="59"/>
      <c r="Q47" s="59"/>
      <c r="R47" s="59"/>
      <c r="S47" s="44"/>
      <c r="T47" s="59"/>
      <c r="U47" s="59"/>
      <c r="V47" s="226"/>
      <c r="W47" s="59"/>
      <c r="X47" s="96"/>
      <c r="Y47" s="59"/>
      <c r="Z47" s="59"/>
      <c r="AA47" s="59"/>
      <c r="AB47" s="59"/>
      <c r="AC47" s="44"/>
      <c r="AD47" s="59"/>
      <c r="AE47" s="59"/>
      <c r="AF47" s="346"/>
      <c r="AG47" s="59"/>
      <c r="AH47" s="96"/>
      <c r="AI47" s="59"/>
      <c r="AJ47" s="59"/>
      <c r="AK47" s="59"/>
      <c r="AL47" s="59"/>
      <c r="AM47" s="44"/>
      <c r="AN47" s="59"/>
      <c r="AO47" s="59"/>
      <c r="AP47" s="288"/>
      <c r="AQ47" s="59"/>
      <c r="AR47" s="96"/>
      <c r="AS47" s="59"/>
      <c r="AT47" s="59"/>
      <c r="AU47" s="59"/>
      <c r="AV47" s="59"/>
      <c r="AW47" s="44"/>
      <c r="AX47" s="59"/>
      <c r="AY47" s="59"/>
      <c r="AZ47" s="344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210"/>
      <c r="BU47" s="5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4">
        <v>20059547</v>
      </c>
      <c r="D48" s="188" t="s">
        <v>433</v>
      </c>
      <c r="E48" s="169" t="s">
        <v>69</v>
      </c>
      <c r="F48" s="186"/>
      <c r="G48" s="186"/>
      <c r="H48" s="245"/>
      <c r="I48" s="237">
        <f t="shared" si="3"/>
        <v>0</v>
      </c>
      <c r="J48" s="246"/>
      <c r="K48" s="186"/>
      <c r="L48" s="238"/>
      <c r="V48" s="239"/>
      <c r="AF48" s="240"/>
      <c r="AP48" s="241"/>
      <c r="AZ48" s="242"/>
      <c r="BJ48" s="243"/>
      <c r="BT48" s="313"/>
    </row>
    <row r="49" spans="1:72" ht="24" hidden="1" customHeight="1">
      <c r="A49" s="168">
        <v>8</v>
      </c>
      <c r="B49" s="170"/>
      <c r="C49" s="244">
        <v>20059548</v>
      </c>
      <c r="D49" s="188" t="s">
        <v>434</v>
      </c>
      <c r="E49" s="169" t="s">
        <v>69</v>
      </c>
      <c r="F49" s="186"/>
      <c r="G49" s="186"/>
      <c r="H49" s="245"/>
      <c r="I49" s="237">
        <f t="shared" si="3"/>
        <v>0</v>
      </c>
      <c r="J49" s="246"/>
      <c r="K49" s="186"/>
      <c r="L49" s="238"/>
      <c r="V49" s="239"/>
      <c r="AF49" s="240"/>
      <c r="AP49" s="241"/>
      <c r="AZ49" s="242"/>
      <c r="BJ49" s="243"/>
      <c r="BT49" s="313"/>
    </row>
    <row r="50" spans="1:72" ht="24" hidden="1" customHeight="1">
      <c r="A50" s="168">
        <v>9</v>
      </c>
      <c r="B50" s="250"/>
      <c r="C50" s="208">
        <v>20060019</v>
      </c>
      <c r="D50" s="188" t="s">
        <v>409</v>
      </c>
      <c r="E50" s="169" t="s">
        <v>69</v>
      </c>
      <c r="F50" s="186"/>
      <c r="G50" s="186"/>
      <c r="H50" s="184"/>
      <c r="I50" s="237">
        <f t="shared" si="3"/>
        <v>0</v>
      </c>
      <c r="J50" s="237"/>
      <c r="K50" s="186"/>
      <c r="L50" s="238"/>
      <c r="V50" s="227"/>
      <c r="AF50" s="228"/>
      <c r="AP50" s="249"/>
      <c r="AZ50" s="205"/>
      <c r="BJ50" s="248"/>
      <c r="BT50" s="313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6"/>
      <c r="G51" s="186"/>
      <c r="H51" s="184"/>
      <c r="I51" s="237">
        <f t="shared" si="3"/>
        <v>0</v>
      </c>
      <c r="J51" s="237"/>
      <c r="K51" s="186"/>
      <c r="L51" s="238"/>
      <c r="V51" s="227"/>
      <c r="AF51" s="228"/>
      <c r="AP51" s="249"/>
      <c r="AZ51" s="205"/>
      <c r="BJ51" s="248"/>
      <c r="BT51" s="313"/>
    </row>
    <row r="52" spans="1:72" ht="24.75" hidden="1" customHeight="1">
      <c r="A52" s="168">
        <v>11</v>
      </c>
      <c r="B52" s="234"/>
      <c r="C52" s="252">
        <v>20060974</v>
      </c>
      <c r="D52" s="251" t="s">
        <v>436</v>
      </c>
      <c r="E52" s="169" t="s">
        <v>69</v>
      </c>
      <c r="F52" s="186"/>
      <c r="G52" s="186"/>
      <c r="H52" s="184"/>
      <c r="I52" s="237">
        <f t="shared" si="3"/>
        <v>0</v>
      </c>
      <c r="J52" s="237"/>
      <c r="K52" s="186"/>
      <c r="L52" s="238"/>
      <c r="V52" s="227"/>
      <c r="AF52" s="228"/>
      <c r="AP52" s="249"/>
      <c r="AZ52" s="205"/>
      <c r="BJ52" s="248"/>
      <c r="BT52" s="313"/>
    </row>
    <row r="53" spans="1:72" ht="24.75" hidden="1" customHeight="1">
      <c r="A53" s="168">
        <v>12</v>
      </c>
      <c r="B53" s="234"/>
      <c r="C53" s="252">
        <v>20060976</v>
      </c>
      <c r="D53" s="251" t="s">
        <v>456</v>
      </c>
      <c r="E53" s="169" t="s">
        <v>69</v>
      </c>
      <c r="F53" s="186"/>
      <c r="G53" s="186"/>
      <c r="H53" s="184"/>
      <c r="I53" s="237">
        <f t="shared" si="3"/>
        <v>0</v>
      </c>
      <c r="J53" s="237"/>
      <c r="K53" s="186"/>
      <c r="L53" s="238"/>
      <c r="V53" s="227"/>
      <c r="AF53" s="228"/>
      <c r="AP53" s="249"/>
      <c r="AZ53" s="205"/>
      <c r="BJ53" s="248"/>
      <c r="BT53" s="313"/>
    </row>
    <row r="54" spans="1:72" ht="27.75" hidden="1" customHeight="1">
      <c r="A54" s="168">
        <v>13</v>
      </c>
      <c r="B54" s="234"/>
      <c r="C54" s="252">
        <v>20060973</v>
      </c>
      <c r="D54" s="271" t="s">
        <v>438</v>
      </c>
      <c r="E54" s="169" t="s">
        <v>69</v>
      </c>
      <c r="F54" s="186"/>
      <c r="G54" s="186"/>
      <c r="H54" s="184"/>
      <c r="I54" s="237">
        <f t="shared" si="3"/>
        <v>0</v>
      </c>
      <c r="J54" s="237"/>
      <c r="K54" s="186"/>
      <c r="L54" s="238"/>
      <c r="V54" s="227"/>
      <c r="AF54" s="228"/>
      <c r="AP54" s="249"/>
      <c r="AZ54" s="205"/>
      <c r="BJ54" s="248"/>
      <c r="BT54" s="313"/>
    </row>
    <row r="55" spans="1:72" ht="26.25" hidden="1" customHeight="1">
      <c r="A55" s="168">
        <v>14</v>
      </c>
      <c r="B55" s="234"/>
      <c r="C55" s="252">
        <v>20061982</v>
      </c>
      <c r="D55" s="271" t="s">
        <v>439</v>
      </c>
      <c r="E55" s="169" t="s">
        <v>69</v>
      </c>
      <c r="F55" s="186"/>
      <c r="G55" s="186"/>
      <c r="H55" s="184"/>
      <c r="I55" s="237">
        <f t="shared" si="3"/>
        <v>0</v>
      </c>
      <c r="J55" s="237"/>
      <c r="K55" s="186"/>
      <c r="L55" s="238"/>
      <c r="V55" s="227"/>
      <c r="AF55" s="228"/>
      <c r="AP55" s="249"/>
      <c r="AZ55" s="205"/>
      <c r="BJ55" s="248"/>
      <c r="BT55" s="313"/>
    </row>
    <row r="56" spans="1:72" ht="32.25" hidden="1" customHeight="1">
      <c r="A56" s="168">
        <v>15</v>
      </c>
      <c r="B56" s="170"/>
      <c r="C56" s="252">
        <v>20062915</v>
      </c>
      <c r="D56" s="295" t="s">
        <v>440</v>
      </c>
      <c r="E56" s="169" t="s">
        <v>69</v>
      </c>
      <c r="F56" s="186"/>
      <c r="G56" s="186"/>
      <c r="H56" s="184"/>
      <c r="I56" s="237">
        <f t="shared" si="3"/>
        <v>0</v>
      </c>
      <c r="J56" s="237"/>
      <c r="K56" s="186"/>
      <c r="L56" s="238"/>
      <c r="V56" s="227"/>
      <c r="AF56" s="228"/>
      <c r="AP56" s="249"/>
      <c r="AZ56" s="205"/>
      <c r="BJ56" s="248"/>
      <c r="BT56" s="313"/>
    </row>
    <row r="57" spans="1:72" ht="32.25" hidden="1" customHeight="1">
      <c r="A57" s="168">
        <v>16</v>
      </c>
      <c r="B57" s="170"/>
      <c r="C57" s="252">
        <v>20063266</v>
      </c>
      <c r="D57" s="295" t="s">
        <v>461</v>
      </c>
      <c r="E57" s="169" t="s">
        <v>69</v>
      </c>
      <c r="F57" s="186"/>
      <c r="G57" s="186"/>
      <c r="H57" s="184"/>
      <c r="I57" s="237">
        <f t="shared" si="3"/>
        <v>0</v>
      </c>
      <c r="J57" s="237"/>
      <c r="K57" s="186"/>
      <c r="L57" s="238"/>
      <c r="V57" s="227"/>
      <c r="AF57" s="228"/>
      <c r="AP57" s="249"/>
      <c r="AZ57" s="205"/>
      <c r="BJ57" s="248"/>
      <c r="BT57" s="313"/>
    </row>
    <row r="58" spans="1:72" ht="32.25" hidden="1" customHeight="1">
      <c r="A58" s="168">
        <v>17</v>
      </c>
      <c r="B58" s="170"/>
      <c r="C58" s="252">
        <v>20062916</v>
      </c>
      <c r="D58" s="295" t="s">
        <v>414</v>
      </c>
      <c r="E58" s="169" t="s">
        <v>69</v>
      </c>
      <c r="F58" s="186"/>
      <c r="G58" s="186"/>
      <c r="H58" s="184"/>
      <c r="I58" s="237">
        <f t="shared" si="3"/>
        <v>0</v>
      </c>
      <c r="J58" s="237"/>
      <c r="K58" s="186"/>
      <c r="L58" s="238"/>
      <c r="V58" s="227"/>
      <c r="AF58" s="228"/>
      <c r="AP58" s="249"/>
      <c r="AZ58" s="205"/>
      <c r="BJ58" s="248"/>
      <c r="BT58" s="313"/>
    </row>
    <row r="59" spans="1:72" ht="32.25" hidden="1" customHeight="1">
      <c r="A59" s="168">
        <v>18</v>
      </c>
      <c r="B59" s="170"/>
      <c r="C59" s="252">
        <v>20063380</v>
      </c>
      <c r="D59" s="295" t="s">
        <v>415</v>
      </c>
      <c r="E59" s="169" t="s">
        <v>69</v>
      </c>
      <c r="F59" s="186"/>
      <c r="G59" s="186"/>
      <c r="H59" s="184"/>
      <c r="I59" s="237">
        <f t="shared" si="3"/>
        <v>0</v>
      </c>
      <c r="J59" s="237"/>
      <c r="K59" s="186"/>
      <c r="L59" s="238"/>
      <c r="V59" s="227"/>
      <c r="AF59" s="228"/>
      <c r="AP59" s="249"/>
      <c r="AZ59" s="205"/>
      <c r="BJ59" s="248"/>
      <c r="BT59" s="313"/>
    </row>
    <row r="60" spans="1:72" ht="30" hidden="1" customHeight="1">
      <c r="A60" s="168">
        <v>19</v>
      </c>
      <c r="B60" s="170"/>
      <c r="C60" s="252">
        <v>20063381</v>
      </c>
      <c r="D60" s="390" t="s">
        <v>451</v>
      </c>
      <c r="E60" s="169" t="s">
        <v>69</v>
      </c>
      <c r="F60" s="186"/>
      <c r="G60" s="186"/>
      <c r="H60" s="184"/>
      <c r="I60" s="237">
        <f t="shared" si="3"/>
        <v>0</v>
      </c>
      <c r="J60" s="237"/>
      <c r="K60" s="186"/>
      <c r="L60" s="238"/>
      <c r="V60" s="227"/>
      <c r="AF60" s="228"/>
      <c r="AP60" s="249"/>
      <c r="AZ60" s="205"/>
      <c r="BJ60" s="248"/>
      <c r="BT60" s="313"/>
    </row>
    <row r="61" spans="1:72" ht="30" hidden="1" customHeight="1">
      <c r="A61" s="168">
        <v>20</v>
      </c>
      <c r="B61" s="170"/>
      <c r="C61" s="252">
        <v>20063468</v>
      </c>
      <c r="D61" s="295" t="s">
        <v>419</v>
      </c>
      <c r="E61" s="169" t="s">
        <v>69</v>
      </c>
      <c r="F61" s="186"/>
      <c r="G61" s="186"/>
      <c r="H61" s="184"/>
      <c r="I61" s="237">
        <f t="shared" si="3"/>
        <v>0</v>
      </c>
      <c r="J61" s="237"/>
      <c r="K61" s="186"/>
      <c r="L61" s="238"/>
      <c r="V61" s="227"/>
      <c r="AF61" s="228"/>
      <c r="AP61" s="249"/>
      <c r="AZ61" s="205"/>
      <c r="BJ61" s="248"/>
      <c r="BT61" s="313"/>
    </row>
    <row r="62" spans="1:72" ht="30" hidden="1" customHeight="1">
      <c r="A62" s="168">
        <v>21</v>
      </c>
      <c r="B62" s="170"/>
      <c r="C62" s="297">
        <v>20063720</v>
      </c>
      <c r="D62" s="309" t="s">
        <v>458</v>
      </c>
      <c r="E62" s="169" t="s">
        <v>69</v>
      </c>
      <c r="F62" s="188"/>
      <c r="G62" s="188"/>
      <c r="H62" s="184"/>
      <c r="I62" s="237">
        <f t="shared" si="3"/>
        <v>0</v>
      </c>
      <c r="J62" s="237"/>
      <c r="K62" s="186"/>
      <c r="L62" s="238"/>
      <c r="V62" s="227"/>
      <c r="AF62" s="228"/>
      <c r="AP62" s="249"/>
      <c r="AZ62" s="205"/>
      <c r="BJ62" s="248"/>
      <c r="BT62" s="313"/>
    </row>
    <row r="63" spans="1:72" ht="30" hidden="1" customHeight="1">
      <c r="A63" s="168">
        <v>22</v>
      </c>
      <c r="B63" s="170"/>
      <c r="C63" s="297">
        <v>20063783</v>
      </c>
      <c r="D63" s="298" t="s">
        <v>463</v>
      </c>
      <c r="E63" s="169" t="s">
        <v>69</v>
      </c>
      <c r="F63" s="188"/>
      <c r="G63" s="188"/>
      <c r="H63" s="184"/>
      <c r="I63" s="237">
        <f t="shared" si="3"/>
        <v>0</v>
      </c>
      <c r="J63" s="237"/>
      <c r="K63" s="186"/>
      <c r="L63" s="238"/>
      <c r="V63" s="227"/>
      <c r="AF63" s="228"/>
      <c r="AP63" s="249"/>
      <c r="AZ63" s="205"/>
      <c r="BJ63" s="248"/>
      <c r="BT63" s="313"/>
    </row>
    <row r="64" spans="1:72" ht="30" hidden="1" customHeight="1">
      <c r="A64" s="168">
        <v>23</v>
      </c>
      <c r="B64" s="170"/>
      <c r="C64" s="297">
        <v>20063930</v>
      </c>
      <c r="D64" s="311" t="s">
        <v>465</v>
      </c>
      <c r="E64" s="169" t="s">
        <v>69</v>
      </c>
      <c r="F64" s="188"/>
      <c r="G64" s="188"/>
      <c r="H64" s="184"/>
      <c r="I64" s="237">
        <f t="shared" si="3"/>
        <v>0</v>
      </c>
      <c r="J64" s="237"/>
      <c r="K64" s="186"/>
      <c r="L64" s="238"/>
      <c r="V64" s="227"/>
      <c r="AF64" s="228"/>
      <c r="AP64" s="249"/>
      <c r="AZ64" s="205"/>
      <c r="BJ64" s="248"/>
      <c r="BT64" s="313"/>
    </row>
    <row r="65" spans="1:80" ht="30" hidden="1" customHeight="1">
      <c r="A65" s="168">
        <v>24</v>
      </c>
      <c r="B65" s="170"/>
      <c r="C65" s="297">
        <v>20063929</v>
      </c>
      <c r="D65" s="311" t="s">
        <v>464</v>
      </c>
      <c r="E65" s="169" t="s">
        <v>69</v>
      </c>
      <c r="F65" s="188"/>
      <c r="G65" s="188"/>
      <c r="H65" s="184"/>
      <c r="I65" s="237">
        <f t="shared" si="3"/>
        <v>0</v>
      </c>
      <c r="J65" s="237"/>
      <c r="K65" s="186"/>
      <c r="L65" s="238"/>
      <c r="V65" s="227"/>
      <c r="AF65" s="228"/>
      <c r="AP65" s="249"/>
      <c r="AZ65" s="205"/>
      <c r="BJ65" s="248"/>
      <c r="BT65" s="313"/>
    </row>
    <row r="66" spans="1:80" ht="30" hidden="1" customHeight="1">
      <c r="A66" s="168">
        <v>25</v>
      </c>
      <c r="B66" s="170"/>
      <c r="C66" s="297">
        <v>20064190</v>
      </c>
      <c r="D66" s="326" t="s">
        <v>446</v>
      </c>
      <c r="E66" s="169" t="s">
        <v>69</v>
      </c>
      <c r="F66" s="188"/>
      <c r="G66" s="188"/>
      <c r="H66" s="184"/>
      <c r="I66" s="237">
        <f t="shared" si="3"/>
        <v>0</v>
      </c>
      <c r="J66" s="237"/>
      <c r="K66" s="186"/>
      <c r="L66" s="238"/>
      <c r="V66" s="227"/>
      <c r="AF66" s="228"/>
      <c r="AP66" s="249"/>
      <c r="AZ66" s="205"/>
      <c r="BJ66" s="248"/>
      <c r="BT66" s="313"/>
    </row>
    <row r="67" spans="1:80" ht="30" hidden="1" customHeight="1">
      <c r="A67" s="168">
        <v>26</v>
      </c>
      <c r="B67" s="170"/>
      <c r="C67" s="297">
        <v>20064191</v>
      </c>
      <c r="D67" s="326" t="s">
        <v>447</v>
      </c>
      <c r="E67" s="169" t="s">
        <v>69</v>
      </c>
      <c r="F67" s="188"/>
      <c r="G67" s="188"/>
      <c r="H67" s="184"/>
      <c r="I67" s="237">
        <f t="shared" si="3"/>
        <v>0</v>
      </c>
      <c r="J67" s="237"/>
      <c r="K67" s="186"/>
      <c r="L67" s="238"/>
      <c r="V67" s="227"/>
      <c r="AF67" s="228"/>
      <c r="AP67" s="249"/>
      <c r="AZ67" s="205"/>
      <c r="BJ67" s="248"/>
      <c r="BT67" s="313"/>
    </row>
    <row r="68" spans="1:80" ht="30" hidden="1" customHeight="1">
      <c r="A68" s="168">
        <v>27</v>
      </c>
      <c r="B68" s="170"/>
      <c r="C68" s="80">
        <v>20064271</v>
      </c>
      <c r="D68" s="335" t="s">
        <v>448</v>
      </c>
      <c r="E68" s="169" t="s">
        <v>69</v>
      </c>
      <c r="F68" s="188"/>
      <c r="G68" s="188"/>
      <c r="H68" s="184"/>
      <c r="I68" s="237">
        <f t="shared" si="3"/>
        <v>0</v>
      </c>
      <c r="J68" s="237"/>
      <c r="K68" s="186"/>
      <c r="L68" s="238"/>
      <c r="V68" s="227"/>
      <c r="AF68" s="228"/>
      <c r="AP68" s="249"/>
      <c r="AZ68" s="205"/>
      <c r="BJ68" s="248"/>
      <c r="BT68" s="313"/>
    </row>
    <row r="69" spans="1:80" s="164" customFormat="1" ht="30" hidden="1" customHeight="1">
      <c r="A69" s="168">
        <v>28</v>
      </c>
      <c r="B69" s="170"/>
      <c r="C69" s="334">
        <v>20064365</v>
      </c>
      <c r="D69" s="335" t="s">
        <v>466</v>
      </c>
      <c r="E69" s="169" t="s">
        <v>69</v>
      </c>
      <c r="F69" s="292"/>
      <c r="G69" s="292"/>
      <c r="H69" s="235"/>
      <c r="I69" s="237">
        <f t="shared" si="3"/>
        <v>0</v>
      </c>
      <c r="J69" s="261"/>
      <c r="K69" s="292"/>
      <c r="L69" s="327"/>
      <c r="M69" s="42"/>
      <c r="N69" s="42"/>
      <c r="O69" s="42"/>
      <c r="P69" s="42"/>
      <c r="Q69" s="42"/>
      <c r="R69" s="42"/>
      <c r="S69" s="42"/>
      <c r="T69" s="42"/>
      <c r="U69" s="42"/>
      <c r="V69" s="328"/>
      <c r="W69" s="42"/>
      <c r="X69" s="42"/>
      <c r="Y69" s="42"/>
      <c r="Z69" s="42"/>
      <c r="AA69" s="42"/>
      <c r="AB69" s="42"/>
      <c r="AC69" s="42"/>
      <c r="AD69" s="42"/>
      <c r="AE69" s="42"/>
      <c r="AF69" s="329"/>
      <c r="AG69" s="42"/>
      <c r="AH69" s="42"/>
      <c r="AI69" s="42"/>
      <c r="AJ69" s="42"/>
      <c r="AK69" s="42"/>
      <c r="AL69" s="42"/>
      <c r="AM69" s="42"/>
      <c r="AN69" s="42"/>
      <c r="AO69" s="42"/>
      <c r="AP69" s="330"/>
      <c r="AQ69" s="42"/>
      <c r="AR69" s="42"/>
      <c r="AS69" s="42"/>
      <c r="AT69" s="42"/>
      <c r="AU69" s="42"/>
      <c r="AV69" s="42"/>
      <c r="AW69" s="42"/>
      <c r="AX69" s="42"/>
      <c r="AY69" s="42"/>
      <c r="AZ69" s="331"/>
      <c r="BA69" s="42"/>
      <c r="BB69" s="42"/>
      <c r="BC69" s="42"/>
      <c r="BD69" s="42"/>
      <c r="BE69" s="42"/>
      <c r="BF69" s="42"/>
      <c r="BG69" s="42"/>
      <c r="BH69" s="42"/>
      <c r="BI69" s="42"/>
      <c r="BJ69" s="332"/>
      <c r="BK69" s="42"/>
      <c r="BL69" s="42"/>
      <c r="BM69" s="42"/>
      <c r="BN69" s="42"/>
      <c r="BO69" s="42"/>
      <c r="BP69" s="42"/>
      <c r="BQ69" s="42"/>
      <c r="BR69" s="42"/>
      <c r="BS69" s="42"/>
      <c r="BT69" s="333"/>
      <c r="BU69" s="42"/>
      <c r="BV69" s="42"/>
      <c r="BW69" s="42"/>
      <c r="BX69" s="42"/>
      <c r="BY69" s="42"/>
      <c r="BZ69" s="42"/>
      <c r="CA69" s="42"/>
      <c r="CB69" s="42"/>
    </row>
    <row r="70" spans="1:80" s="164" customFormat="1" ht="30" hidden="1" customHeight="1">
      <c r="A70" s="168">
        <v>29</v>
      </c>
      <c r="B70" s="170"/>
      <c r="C70" s="336">
        <v>20064366</v>
      </c>
      <c r="D70" s="337" t="s">
        <v>450</v>
      </c>
      <c r="E70" s="169" t="s">
        <v>69</v>
      </c>
      <c r="F70" s="188"/>
      <c r="G70" s="188"/>
      <c r="H70" s="184"/>
      <c r="I70" s="237">
        <f t="shared" si="3"/>
        <v>0</v>
      </c>
      <c r="J70" s="237"/>
      <c r="K70" s="188"/>
      <c r="L70" s="238"/>
      <c r="M70" s="42"/>
      <c r="N70" s="42"/>
      <c r="O70" s="42"/>
      <c r="P70" s="42"/>
      <c r="Q70" s="42"/>
      <c r="R70" s="42"/>
      <c r="S70" s="42"/>
      <c r="T70" s="42"/>
      <c r="U70" s="42"/>
      <c r="V70" s="227"/>
      <c r="W70" s="42"/>
      <c r="X70" s="42"/>
      <c r="Y70" s="42"/>
      <c r="Z70" s="42"/>
      <c r="AA70" s="42"/>
      <c r="AB70" s="42"/>
      <c r="AC70" s="42"/>
      <c r="AD70" s="42"/>
      <c r="AE70" s="42"/>
      <c r="AF70" s="228"/>
      <c r="AG70" s="42"/>
      <c r="AH70" s="42"/>
      <c r="AI70" s="42"/>
      <c r="AJ70" s="42"/>
      <c r="AK70" s="42"/>
      <c r="AL70" s="42"/>
      <c r="AM70" s="42"/>
      <c r="AN70" s="42"/>
      <c r="AO70" s="42"/>
      <c r="AP70" s="249"/>
      <c r="AQ70" s="42"/>
      <c r="AR70" s="42"/>
      <c r="AS70" s="42"/>
      <c r="AT70" s="42"/>
      <c r="AU70" s="42"/>
      <c r="AV70" s="42"/>
      <c r="AW70" s="42"/>
      <c r="AX70" s="42"/>
      <c r="AY70" s="42"/>
      <c r="AZ70" s="205"/>
      <c r="BA70" s="42"/>
      <c r="BB70" s="42"/>
      <c r="BC70" s="42"/>
      <c r="BD70" s="42"/>
      <c r="BE70" s="42"/>
      <c r="BF70" s="42"/>
      <c r="BG70" s="42"/>
      <c r="BH70" s="42"/>
      <c r="BI70" s="42"/>
      <c r="BJ70" s="248"/>
      <c r="BK70" s="42"/>
      <c r="BL70" s="42"/>
      <c r="BM70" s="42"/>
      <c r="BN70" s="42"/>
      <c r="BO70" s="42"/>
      <c r="BP70" s="42"/>
      <c r="BQ70" s="42"/>
      <c r="BR70" s="42"/>
      <c r="BS70" s="42"/>
      <c r="BT70" s="313"/>
      <c r="BU70" s="42"/>
      <c r="BV70" s="42"/>
      <c r="BW70" s="42"/>
      <c r="BX70" s="42"/>
      <c r="BY70" s="42"/>
      <c r="BZ70" s="42"/>
      <c r="CA70" s="42"/>
      <c r="CB70" s="42"/>
    </row>
  </sheetData>
  <autoFilter ref="E1:E70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92" customFormat="1" ht="15.75" customHeight="1">
      <c r="A1" s="603" t="s">
        <v>14</v>
      </c>
      <c r="B1" s="605"/>
      <c r="C1" s="605"/>
      <c r="D1" s="605"/>
      <c r="E1" s="605"/>
      <c r="F1" s="604"/>
      <c r="G1" s="493"/>
      <c r="H1" s="603" t="s">
        <v>15</v>
      </c>
      <c r="I1" s="604"/>
      <c r="J1" s="604"/>
      <c r="K1" s="604"/>
      <c r="L1" s="604"/>
      <c r="M1" s="604"/>
      <c r="N1" s="493"/>
      <c r="O1" s="603" t="s">
        <v>16</v>
      </c>
      <c r="P1" s="604"/>
      <c r="Q1" s="604"/>
      <c r="R1" s="604"/>
      <c r="S1" s="604"/>
      <c r="T1" s="604"/>
      <c r="U1" s="493"/>
      <c r="V1" s="603" t="s">
        <v>17</v>
      </c>
      <c r="W1" s="604"/>
      <c r="X1" s="604"/>
      <c r="Y1" s="604"/>
      <c r="Z1" s="604"/>
      <c r="AA1" s="604"/>
      <c r="AB1" s="493"/>
      <c r="AC1" s="603" t="s">
        <v>385</v>
      </c>
      <c r="AD1" s="604"/>
      <c r="AE1" s="604"/>
      <c r="AF1" s="604"/>
      <c r="AG1" s="604"/>
      <c r="AH1" s="604"/>
      <c r="AI1" s="493"/>
      <c r="AJ1" s="603" t="s">
        <v>19</v>
      </c>
      <c r="AK1" s="604"/>
      <c r="AL1" s="604"/>
      <c r="AM1" s="604"/>
      <c r="AN1" s="604"/>
      <c r="AO1" s="604"/>
      <c r="AP1" s="493"/>
      <c r="AQ1" s="603" t="s">
        <v>386</v>
      </c>
      <c r="AR1" s="604"/>
      <c r="AS1" s="604"/>
      <c r="AT1" s="604"/>
      <c r="AU1" s="604"/>
      <c r="AV1" s="60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5"/>
      <c r="BX1" s="495"/>
      <c r="BY1" s="494" t="s">
        <v>9</v>
      </c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5"/>
      <c r="CT1" s="612" t="s">
        <v>10</v>
      </c>
      <c r="CU1" s="604"/>
      <c r="CV1" s="604"/>
      <c r="CW1" s="604"/>
      <c r="CX1" s="604"/>
      <c r="CY1" s="604"/>
      <c r="CZ1" s="604"/>
      <c r="DA1" s="604"/>
      <c r="DB1" s="604"/>
      <c r="DC1" s="604"/>
      <c r="DD1" s="604"/>
      <c r="DE1" s="604"/>
      <c r="DF1" s="604"/>
      <c r="DG1" s="604"/>
      <c r="DH1" s="604"/>
      <c r="DI1" s="604"/>
      <c r="DJ1" s="604"/>
      <c r="DK1" s="604"/>
      <c r="DL1" s="604"/>
      <c r="DM1" s="604"/>
      <c r="DN1" s="604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3"/>
  <sheetViews>
    <sheetView zoomScale="90" zoomScaleNormal="90" workbookViewId="0">
      <selection activeCell="V77" sqref="V77"/>
    </sheetView>
  </sheetViews>
  <sheetFormatPr defaultColWidth="12.7109375" defaultRowHeight="15.75" customHeight="1"/>
  <cols>
    <col min="1" max="1" width="12.7109375" style="348"/>
    <col min="2" max="2" width="4" style="348" customWidth="1"/>
    <col min="3" max="3" width="14.28515625" style="348" bestFit="1" customWidth="1"/>
    <col min="4" max="4" width="69.85546875" style="348" customWidth="1"/>
    <col min="5" max="5" width="16.42578125" style="348" customWidth="1"/>
    <col min="6" max="6" width="6.140625" style="348" customWidth="1"/>
    <col min="7" max="7" width="5.85546875" style="348" customWidth="1"/>
    <col min="8" max="10" width="9.42578125" style="348" customWidth="1"/>
    <col min="11" max="11" width="12.7109375" style="348"/>
    <col min="12" max="12" width="14.140625" style="348" bestFit="1" customWidth="1"/>
    <col min="13" max="21" width="0" style="42" hidden="1" customWidth="1"/>
    <col min="22" max="22" width="12.7109375" style="348"/>
    <col min="23" max="31" width="0" style="42" hidden="1" customWidth="1"/>
    <col min="32" max="32" width="12.7109375" style="348"/>
    <col min="33" max="41" width="0" style="42" hidden="1" customWidth="1"/>
    <col min="42" max="42" width="12.7109375" style="348"/>
    <col min="43" max="51" width="0" style="42" hidden="1" customWidth="1"/>
    <col min="52" max="52" width="12.7109375" style="348"/>
    <col min="53" max="61" width="0" style="42" hidden="1" customWidth="1"/>
    <col min="62" max="62" width="12.7109375" style="348"/>
    <col min="63" max="71" width="0" style="42" hidden="1" customWidth="1"/>
    <col min="72" max="72" width="12.7109375" style="348"/>
    <col min="73" max="80" width="0" style="42" hidden="1" customWidth="1"/>
    <col min="81" max="16384" width="12.7109375" style="348"/>
  </cols>
  <sheetData>
    <row r="1" spans="1:80" ht="40.5">
      <c r="A1" s="578" t="s">
        <v>0</v>
      </c>
      <c r="B1" s="581" t="s">
        <v>4</v>
      </c>
      <c r="C1" s="582" t="s">
        <v>5</v>
      </c>
      <c r="D1" s="583" t="s">
        <v>6</v>
      </c>
      <c r="E1" s="445" t="s">
        <v>7</v>
      </c>
      <c r="F1" s="583" t="s">
        <v>8</v>
      </c>
      <c r="G1" s="584"/>
      <c r="H1" s="582"/>
      <c r="I1" s="584"/>
      <c r="J1" s="584"/>
      <c r="K1" s="585" t="s">
        <v>420</v>
      </c>
      <c r="L1" s="586"/>
      <c r="M1" s="575"/>
      <c r="N1" s="575"/>
      <c r="O1" s="575"/>
      <c r="P1" s="575"/>
      <c r="Q1" s="575"/>
      <c r="R1" s="575"/>
      <c r="S1" s="575"/>
      <c r="T1" s="575"/>
      <c r="U1" s="575"/>
      <c r="V1" s="586"/>
      <c r="W1" s="575"/>
      <c r="X1" s="575"/>
      <c r="Y1" s="575"/>
      <c r="Z1" s="575"/>
      <c r="AA1" s="575"/>
      <c r="AB1" s="575"/>
      <c r="AC1" s="575"/>
      <c r="AD1" s="575"/>
      <c r="AE1" s="575"/>
      <c r="AF1" s="586"/>
      <c r="AG1" s="575"/>
      <c r="AH1" s="575"/>
      <c r="AI1" s="575"/>
      <c r="AJ1" s="575"/>
      <c r="AK1" s="575"/>
      <c r="AL1" s="575"/>
      <c r="AM1" s="575"/>
      <c r="AN1" s="575"/>
      <c r="AO1" s="575"/>
      <c r="AP1" s="586"/>
      <c r="AQ1" s="575"/>
      <c r="AR1" s="575"/>
      <c r="AS1" s="575"/>
      <c r="AT1" s="575"/>
      <c r="AU1" s="575"/>
      <c r="AV1" s="575"/>
      <c r="AW1" s="575"/>
      <c r="AX1" s="575"/>
      <c r="AY1" s="575"/>
      <c r="AZ1" s="586"/>
      <c r="BA1" s="575"/>
      <c r="BB1" s="575"/>
      <c r="BC1" s="575"/>
      <c r="BD1" s="575"/>
      <c r="BE1" s="575"/>
      <c r="BF1" s="575"/>
      <c r="BG1" s="575"/>
      <c r="BH1" s="575"/>
      <c r="BI1" s="575"/>
      <c r="BJ1" s="586"/>
      <c r="BK1" s="575"/>
      <c r="BL1" s="575"/>
      <c r="BM1" s="575"/>
      <c r="BN1" s="575"/>
      <c r="BO1" s="575"/>
      <c r="BP1" s="575"/>
      <c r="BQ1" s="575"/>
      <c r="BR1" s="575"/>
      <c r="BS1" s="575"/>
      <c r="BT1" s="586"/>
      <c r="BU1" s="575"/>
      <c r="BV1" s="575"/>
      <c r="BW1" s="575"/>
      <c r="BX1" s="575"/>
      <c r="BY1" s="575"/>
      <c r="BZ1" s="575"/>
      <c r="CA1" s="575"/>
      <c r="CB1" s="576"/>
    </row>
    <row r="2" spans="1:80" s="42" customFormat="1" ht="26.25" hidden="1">
      <c r="A2" s="579"/>
      <c r="B2" s="579"/>
      <c r="C2" s="579"/>
      <c r="D2" s="579"/>
      <c r="E2" s="125"/>
      <c r="F2" s="587" t="s">
        <v>11</v>
      </c>
      <c r="G2" s="587" t="s">
        <v>12</v>
      </c>
      <c r="H2" s="588" t="s">
        <v>13</v>
      </c>
      <c r="I2" s="572"/>
      <c r="J2" s="573"/>
      <c r="K2" s="589" t="s">
        <v>14</v>
      </c>
      <c r="L2" s="572"/>
      <c r="M2" s="575"/>
      <c r="N2" s="576"/>
      <c r="O2" s="568" t="s">
        <v>368</v>
      </c>
      <c r="P2" s="569"/>
      <c r="Q2" s="569"/>
      <c r="R2" s="569"/>
      <c r="S2" s="569"/>
      <c r="T2" s="570"/>
      <c r="U2" s="574" t="s">
        <v>15</v>
      </c>
      <c r="V2" s="572"/>
      <c r="W2" s="575"/>
      <c r="X2" s="576"/>
      <c r="Y2" s="568" t="s">
        <v>368</v>
      </c>
      <c r="Z2" s="569"/>
      <c r="AA2" s="569"/>
      <c r="AB2" s="569"/>
      <c r="AC2" s="569"/>
      <c r="AD2" s="570"/>
      <c r="AE2" s="574" t="s">
        <v>16</v>
      </c>
      <c r="AF2" s="572"/>
      <c r="AG2" s="575"/>
      <c r="AH2" s="576"/>
      <c r="AI2" s="568" t="s">
        <v>368</v>
      </c>
      <c r="AJ2" s="569"/>
      <c r="AK2" s="569"/>
      <c r="AL2" s="569"/>
      <c r="AM2" s="569"/>
      <c r="AN2" s="570"/>
      <c r="AO2" s="574" t="s">
        <v>17</v>
      </c>
      <c r="AP2" s="572"/>
      <c r="AQ2" s="575"/>
      <c r="AR2" s="576"/>
      <c r="AS2" s="568" t="s">
        <v>368</v>
      </c>
      <c r="AT2" s="569"/>
      <c r="AU2" s="569"/>
      <c r="AV2" s="569"/>
      <c r="AW2" s="569"/>
      <c r="AX2" s="570"/>
      <c r="AY2" s="574" t="s">
        <v>18</v>
      </c>
      <c r="AZ2" s="572"/>
      <c r="BA2" s="575"/>
      <c r="BB2" s="576"/>
      <c r="BC2" s="568" t="s">
        <v>368</v>
      </c>
      <c r="BD2" s="569"/>
      <c r="BE2" s="569"/>
      <c r="BF2" s="569"/>
      <c r="BG2" s="569"/>
      <c r="BH2" s="570"/>
      <c r="BI2" s="574" t="s">
        <v>19</v>
      </c>
      <c r="BJ2" s="572"/>
      <c r="BK2" s="575"/>
      <c r="BL2" s="576"/>
      <c r="BM2" s="568" t="s">
        <v>368</v>
      </c>
      <c r="BN2" s="569"/>
      <c r="BO2" s="569"/>
      <c r="BP2" s="569"/>
      <c r="BQ2" s="569"/>
      <c r="BR2" s="570"/>
      <c r="BS2" s="574" t="s">
        <v>20</v>
      </c>
      <c r="BT2" s="572"/>
      <c r="BU2" s="575"/>
      <c r="BV2" s="576"/>
      <c r="BW2" s="568" t="s">
        <v>368</v>
      </c>
      <c r="BX2" s="569"/>
      <c r="BY2" s="569"/>
      <c r="BZ2" s="569"/>
      <c r="CA2" s="569"/>
      <c r="CB2" s="570"/>
    </row>
    <row r="3" spans="1:80" s="42" customFormat="1" ht="26.25" hidden="1">
      <c r="A3" s="579"/>
      <c r="B3" s="579"/>
      <c r="C3" s="579"/>
      <c r="D3" s="579"/>
      <c r="E3" s="125"/>
      <c r="F3" s="579"/>
      <c r="G3" s="579"/>
      <c r="H3" s="577" t="s">
        <v>21</v>
      </c>
      <c r="I3" s="575"/>
      <c r="J3" s="576"/>
      <c r="K3" s="574"/>
      <c r="L3" s="575"/>
      <c r="M3" s="575"/>
      <c r="N3" s="576"/>
      <c r="O3" s="571"/>
      <c r="P3" s="572"/>
      <c r="Q3" s="572"/>
      <c r="R3" s="572"/>
      <c r="S3" s="572"/>
      <c r="T3" s="573"/>
      <c r="U3" s="574"/>
      <c r="V3" s="575"/>
      <c r="W3" s="575"/>
      <c r="X3" s="576"/>
      <c r="Y3" s="571"/>
      <c r="Z3" s="572"/>
      <c r="AA3" s="572"/>
      <c r="AB3" s="572"/>
      <c r="AC3" s="572"/>
      <c r="AD3" s="573"/>
      <c r="AE3" s="574"/>
      <c r="AF3" s="575"/>
      <c r="AG3" s="575"/>
      <c r="AH3" s="576"/>
      <c r="AI3" s="571"/>
      <c r="AJ3" s="572"/>
      <c r="AK3" s="572"/>
      <c r="AL3" s="572"/>
      <c r="AM3" s="572"/>
      <c r="AN3" s="573"/>
      <c r="AO3" s="574"/>
      <c r="AP3" s="575"/>
      <c r="AQ3" s="575"/>
      <c r="AR3" s="576"/>
      <c r="AS3" s="571"/>
      <c r="AT3" s="572"/>
      <c r="AU3" s="572"/>
      <c r="AV3" s="572"/>
      <c r="AW3" s="572"/>
      <c r="AX3" s="573"/>
      <c r="AY3" s="574"/>
      <c r="AZ3" s="575"/>
      <c r="BA3" s="575"/>
      <c r="BB3" s="576"/>
      <c r="BC3" s="571"/>
      <c r="BD3" s="572"/>
      <c r="BE3" s="572"/>
      <c r="BF3" s="572"/>
      <c r="BG3" s="572"/>
      <c r="BH3" s="573"/>
      <c r="BI3" s="574"/>
      <c r="BJ3" s="575"/>
      <c r="BK3" s="575"/>
      <c r="BL3" s="576"/>
      <c r="BM3" s="571"/>
      <c r="BN3" s="572"/>
      <c r="BO3" s="572"/>
      <c r="BP3" s="572"/>
      <c r="BQ3" s="572"/>
      <c r="BR3" s="573"/>
      <c r="BS3" s="574"/>
      <c r="BT3" s="575"/>
      <c r="BU3" s="575"/>
      <c r="BV3" s="576"/>
      <c r="BW3" s="571"/>
      <c r="BX3" s="572"/>
      <c r="BY3" s="572"/>
      <c r="BZ3" s="572"/>
      <c r="CA3" s="572"/>
      <c r="CB3" s="573"/>
    </row>
    <row r="4" spans="1:80" s="42" customFormat="1" ht="56.25" hidden="1" customHeight="1">
      <c r="A4" s="580"/>
      <c r="B4" s="580"/>
      <c r="C4" s="580"/>
      <c r="D4" s="580"/>
      <c r="E4" s="126"/>
      <c r="F4" s="580"/>
      <c r="G4" s="580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14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255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6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3">
        <f t="shared" ref="I19" si="3">SUM(L19,V19,AF19,AP19,AZ19,BJ19,BT19)</f>
        <v>0</v>
      </c>
      <c r="J19" s="129">
        <v>0</v>
      </c>
      <c r="K19" s="315"/>
      <c r="L19" s="419"/>
      <c r="M19" s="59"/>
      <c r="N19" s="96"/>
      <c r="O19" s="59"/>
      <c r="P19" s="59"/>
      <c r="Q19" s="59"/>
      <c r="R19" s="59"/>
      <c r="S19" s="106"/>
      <c r="T19" s="59"/>
      <c r="U19" s="59"/>
      <c r="V19" s="213"/>
      <c r="W19" s="59"/>
      <c r="X19" s="96"/>
      <c r="Y19" s="59"/>
      <c r="Z19" s="59"/>
      <c r="AA19" s="59"/>
      <c r="AB19" s="59"/>
      <c r="AC19" s="44"/>
      <c r="AD19" s="59"/>
      <c r="AE19" s="59"/>
      <c r="AF19" s="420"/>
      <c r="AG19" s="59"/>
      <c r="AH19" s="96"/>
      <c r="AI19" s="59"/>
      <c r="AJ19" s="59"/>
      <c r="AK19" s="59"/>
      <c r="AL19" s="59"/>
      <c r="AM19" s="106"/>
      <c r="AN19" s="59"/>
      <c r="AO19" s="59"/>
      <c r="AP19" s="215"/>
      <c r="AQ19" s="59"/>
      <c r="AR19" s="96"/>
      <c r="AS19" s="59"/>
      <c r="AT19" s="59"/>
      <c r="AU19" s="59"/>
      <c r="AV19" s="59"/>
      <c r="AW19" s="44"/>
      <c r="AX19" s="59"/>
      <c r="AY19" s="59"/>
      <c r="AZ19" s="422"/>
      <c r="BA19" s="59"/>
      <c r="BB19" s="96"/>
      <c r="BC19" s="59"/>
      <c r="BD19" s="59"/>
      <c r="BE19" s="59"/>
      <c r="BF19" s="59"/>
      <c r="BG19" s="106"/>
      <c r="BH19" s="59"/>
      <c r="BI19" s="59"/>
      <c r="BJ19" s="217"/>
      <c r="BK19" s="59"/>
      <c r="BL19" s="96"/>
      <c r="BM19" s="59"/>
      <c r="BN19" s="59"/>
      <c r="BO19" s="59"/>
      <c r="BP19" s="59"/>
      <c r="BQ19" s="44"/>
      <c r="BR19" s="59"/>
      <c r="BS19" s="59"/>
      <c r="BT19" s="224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439">
        <v>1113087</v>
      </c>
      <c r="D20" s="440" t="s">
        <v>169</v>
      </c>
      <c r="E20" s="220" t="s">
        <v>170</v>
      </c>
      <c r="F20" s="169"/>
      <c r="G20" s="183"/>
      <c r="H20" s="184">
        <v>0</v>
      </c>
      <c r="I20" s="218">
        <f t="shared" ref="I20" si="4">SUM(L20,V20,AF20,AP20,AZ20,BJ20,BT20)</f>
        <v>0</v>
      </c>
      <c r="J20" s="184">
        <v>0</v>
      </c>
      <c r="K20" s="316"/>
      <c r="L20" s="259"/>
      <c r="M20" s="222"/>
      <c r="N20" s="96"/>
      <c r="O20" s="59"/>
      <c r="P20" s="59"/>
      <c r="Q20" s="59"/>
      <c r="R20" s="59"/>
      <c r="S20" s="106"/>
      <c r="T20" s="59"/>
      <c r="U20" s="221"/>
      <c r="V20" s="204"/>
      <c r="W20" s="222"/>
      <c r="X20" s="96"/>
      <c r="Y20" s="59"/>
      <c r="Z20" s="59"/>
      <c r="AA20" s="59"/>
      <c r="AB20" s="59"/>
      <c r="AC20" s="44"/>
      <c r="AD20" s="59"/>
      <c r="AE20" s="221"/>
      <c r="AF20" s="228"/>
      <c r="AG20" s="222"/>
      <c r="AH20" s="96"/>
      <c r="AI20" s="59"/>
      <c r="AJ20" s="59"/>
      <c r="AK20" s="59"/>
      <c r="AL20" s="59"/>
      <c r="AM20" s="106"/>
      <c r="AN20" s="59"/>
      <c r="AO20" s="221"/>
      <c r="AP20" s="265"/>
      <c r="AQ20" s="222"/>
      <c r="AR20" s="96"/>
      <c r="AS20" s="59"/>
      <c r="AT20" s="59"/>
      <c r="AU20" s="59"/>
      <c r="AV20" s="59"/>
      <c r="AW20" s="44"/>
      <c r="AX20" s="59"/>
      <c r="AY20" s="221"/>
      <c r="AZ20" s="205"/>
      <c r="BA20" s="222"/>
      <c r="BB20" s="96"/>
      <c r="BC20" s="59"/>
      <c r="BD20" s="59"/>
      <c r="BE20" s="59"/>
      <c r="BF20" s="59"/>
      <c r="BG20" s="106"/>
      <c r="BH20" s="59"/>
      <c r="BI20" s="221"/>
      <c r="BJ20" s="270"/>
      <c r="BK20" s="222"/>
      <c r="BL20" s="96"/>
      <c r="BM20" s="59"/>
      <c r="BN20" s="59"/>
      <c r="BO20" s="59"/>
      <c r="BP20" s="59"/>
      <c r="BQ20" s="44"/>
      <c r="BR20" s="59"/>
      <c r="BS20" s="221"/>
      <c r="BT20" s="206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49">
        <v>1</v>
      </c>
      <c r="B21" s="350"/>
      <c r="C21" s="351">
        <v>20039044</v>
      </c>
      <c r="D21" s="352" t="s">
        <v>427</v>
      </c>
      <c r="E21" s="351" t="s">
        <v>69</v>
      </c>
      <c r="F21" s="351"/>
      <c r="G21" s="353"/>
      <c r="H21" s="477">
        <v>0</v>
      </c>
      <c r="I21" s="355">
        <f t="shared" si="0"/>
        <v>0</v>
      </c>
      <c r="J21" s="477">
        <v>0</v>
      </c>
      <c r="K21" s="478"/>
      <c r="L21" s="401"/>
      <c r="M21" s="59"/>
      <c r="N21" s="96"/>
      <c r="O21" s="59"/>
      <c r="P21" s="59"/>
      <c r="Q21" s="59"/>
      <c r="R21" s="105"/>
      <c r="S21" s="106"/>
      <c r="T21" s="59"/>
      <c r="U21" s="59"/>
      <c r="V21" s="402"/>
      <c r="W21" s="59"/>
      <c r="X21" s="96"/>
      <c r="Y21" s="59"/>
      <c r="Z21" s="59"/>
      <c r="AA21" s="59"/>
      <c r="AB21" s="105"/>
      <c r="AC21" s="106"/>
      <c r="AD21" s="59"/>
      <c r="AE21" s="59"/>
      <c r="AF21" s="403"/>
      <c r="AG21" s="105"/>
      <c r="AH21" s="96"/>
      <c r="AI21" s="59"/>
      <c r="AJ21" s="59"/>
      <c r="AK21" s="59"/>
      <c r="AL21" s="105"/>
      <c r="AM21" s="106"/>
      <c r="AN21" s="59"/>
      <c r="AO21" s="59"/>
      <c r="AP21" s="404"/>
      <c r="AQ21" s="59"/>
      <c r="AR21" s="96"/>
      <c r="AS21" s="59"/>
      <c r="AT21" s="59"/>
      <c r="AU21" s="59"/>
      <c r="AV21" s="105"/>
      <c r="AW21" s="106"/>
      <c r="AX21" s="59"/>
      <c r="AY21" s="59"/>
      <c r="AZ21" s="361"/>
      <c r="BA21" s="59"/>
      <c r="BB21" s="96"/>
      <c r="BC21" s="59"/>
      <c r="BD21" s="59"/>
      <c r="BE21" s="59"/>
      <c r="BF21" s="105"/>
      <c r="BG21" s="106"/>
      <c r="BH21" s="105"/>
      <c r="BI21" s="59"/>
      <c r="BJ21" s="362"/>
      <c r="BK21" s="59"/>
      <c r="BL21" s="96"/>
      <c r="BM21" s="59"/>
      <c r="BN21" s="59"/>
      <c r="BO21" s="59"/>
      <c r="BP21" s="105"/>
      <c r="BQ21" s="106"/>
      <c r="BR21" s="59"/>
      <c r="BS21" s="59"/>
      <c r="BT21" s="479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53">
        <v>1113088</v>
      </c>
      <c r="D25" s="454" t="s">
        <v>408</v>
      </c>
      <c r="E25" s="453" t="s">
        <v>27</v>
      </c>
      <c r="F25" s="453"/>
      <c r="G25" s="455"/>
      <c r="H25" s="129">
        <v>0</v>
      </c>
      <c r="I25" s="223">
        <f t="shared" si="0"/>
        <v>0</v>
      </c>
      <c r="J25" s="129">
        <v>0</v>
      </c>
      <c r="K25" s="117"/>
      <c r="L25" s="212"/>
      <c r="M25" s="59"/>
      <c r="N25" s="96"/>
      <c r="O25" s="59"/>
      <c r="P25" s="59"/>
      <c r="Q25" s="59"/>
      <c r="R25" s="59"/>
      <c r="S25" s="44"/>
      <c r="T25" s="59"/>
      <c r="U25" s="59"/>
      <c r="V25" s="213"/>
      <c r="W25" s="59"/>
      <c r="X25" s="96"/>
      <c r="Y25" s="59"/>
      <c r="Z25" s="59"/>
      <c r="AA25" s="59"/>
      <c r="AB25" s="59"/>
      <c r="AC25" s="44"/>
      <c r="AD25" s="59"/>
      <c r="AE25" s="59"/>
      <c r="AF25" s="214"/>
      <c r="AG25" s="59"/>
      <c r="AH25" s="96"/>
      <c r="AI25" s="59"/>
      <c r="AJ25" s="59"/>
      <c r="AK25" s="59"/>
      <c r="AL25" s="59"/>
      <c r="AM25" s="44"/>
      <c r="AN25" s="59"/>
      <c r="AO25" s="59"/>
      <c r="AP25" s="215"/>
      <c r="AQ25" s="59"/>
      <c r="AR25" s="96"/>
      <c r="AS25" s="59"/>
      <c r="AT25" s="59"/>
      <c r="AU25" s="59"/>
      <c r="AV25" s="59"/>
      <c r="AW25" s="44"/>
      <c r="AX25" s="59"/>
      <c r="AY25" s="59"/>
      <c r="AZ25" s="216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8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18">
        <v>1113089</v>
      </c>
      <c r="D26" s="319" t="s">
        <v>195</v>
      </c>
      <c r="E26" s="220" t="s">
        <v>42</v>
      </c>
      <c r="F26" s="169"/>
      <c r="G26" s="183"/>
      <c r="H26" s="184">
        <v>0</v>
      </c>
      <c r="I26" s="218">
        <f t="shared" ref="I26" si="5">SUM(L26,V26,AF26,AP26,AZ26,BJ26,BT26)</f>
        <v>0</v>
      </c>
      <c r="J26" s="184">
        <v>0</v>
      </c>
      <c r="K26" s="316"/>
      <c r="L26" s="259"/>
      <c r="M26" s="222"/>
      <c r="N26" s="96"/>
      <c r="O26" s="59"/>
      <c r="P26" s="59"/>
      <c r="Q26" s="59"/>
      <c r="R26" s="59"/>
      <c r="S26" s="106"/>
      <c r="T26" s="59"/>
      <c r="U26" s="221"/>
      <c r="V26" s="204"/>
      <c r="W26" s="222"/>
      <c r="X26" s="96"/>
      <c r="Y26" s="59"/>
      <c r="Z26" s="59"/>
      <c r="AA26" s="59"/>
      <c r="AB26" s="59"/>
      <c r="AC26" s="44"/>
      <c r="AD26" s="59"/>
      <c r="AE26" s="221"/>
      <c r="AF26" s="228"/>
      <c r="AG26" s="222"/>
      <c r="AH26" s="96"/>
      <c r="AI26" s="59"/>
      <c r="AJ26" s="59"/>
      <c r="AK26" s="59"/>
      <c r="AL26" s="59"/>
      <c r="AM26" s="106"/>
      <c r="AN26" s="59"/>
      <c r="AO26" s="221"/>
      <c r="AP26" s="265"/>
      <c r="AQ26" s="222"/>
      <c r="AR26" s="96"/>
      <c r="AS26" s="59"/>
      <c r="AT26" s="59"/>
      <c r="AU26" s="59"/>
      <c r="AV26" s="59"/>
      <c r="AW26" s="44"/>
      <c r="AX26" s="59"/>
      <c r="AY26" s="221"/>
      <c r="AZ26" s="205"/>
      <c r="BA26" s="222"/>
      <c r="BB26" s="96"/>
      <c r="BC26" s="59"/>
      <c r="BD26" s="59"/>
      <c r="BE26" s="59"/>
      <c r="BF26" s="59"/>
      <c r="BG26" s="106"/>
      <c r="BH26" s="59"/>
      <c r="BI26" s="221"/>
      <c r="BJ26" s="270"/>
      <c r="BK26" s="222"/>
      <c r="BL26" s="96"/>
      <c r="BM26" s="59"/>
      <c r="BN26" s="59"/>
      <c r="BO26" s="59"/>
      <c r="BP26" s="59"/>
      <c r="BQ26" s="44"/>
      <c r="BR26" s="59"/>
      <c r="BS26" s="221"/>
      <c r="BT26" s="206"/>
      <c r="BU26" s="222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4">
        <v>1113093</v>
      </c>
      <c r="D27" s="285" t="s">
        <v>196</v>
      </c>
      <c r="E27" s="296" t="s">
        <v>27</v>
      </c>
      <c r="F27" s="278"/>
      <c r="G27" s="444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49">
        <v>2</v>
      </c>
      <c r="B28" s="350"/>
      <c r="C28" s="351">
        <v>20039963</v>
      </c>
      <c r="D28" s="352" t="s">
        <v>452</v>
      </c>
      <c r="E28" s="351" t="s">
        <v>69</v>
      </c>
      <c r="F28" s="351"/>
      <c r="G28" s="353"/>
      <c r="H28" s="354">
        <v>0</v>
      </c>
      <c r="I28" s="355">
        <f t="shared" si="0"/>
        <v>0</v>
      </c>
      <c r="J28" s="354">
        <v>0</v>
      </c>
      <c r="K28" s="356"/>
      <c r="L28" s="401"/>
      <c r="M28" s="59"/>
      <c r="N28" s="96"/>
      <c r="O28" s="59"/>
      <c r="P28" s="59"/>
      <c r="Q28" s="59"/>
      <c r="R28" s="59"/>
      <c r="S28" s="106"/>
      <c r="T28" s="59"/>
      <c r="U28" s="59"/>
      <c r="V28" s="402"/>
      <c r="W28" s="59"/>
      <c r="X28" s="96"/>
      <c r="Y28" s="59"/>
      <c r="Z28" s="59"/>
      <c r="AA28" s="59"/>
      <c r="AB28" s="59"/>
      <c r="AC28" s="106"/>
      <c r="AD28" s="59"/>
      <c r="AE28" s="59"/>
      <c r="AF28" s="403"/>
      <c r="AG28" s="59"/>
      <c r="AH28" s="96"/>
      <c r="AI28" s="59"/>
      <c r="AJ28" s="59"/>
      <c r="AK28" s="59"/>
      <c r="AL28" s="59"/>
      <c r="AM28" s="106"/>
      <c r="AN28" s="59"/>
      <c r="AO28" s="59"/>
      <c r="AP28" s="404"/>
      <c r="AQ28" s="59"/>
      <c r="AR28" s="96"/>
      <c r="AS28" s="59"/>
      <c r="AT28" s="59"/>
      <c r="AU28" s="59"/>
      <c r="AV28" s="59"/>
      <c r="AW28" s="106"/>
      <c r="AX28" s="59"/>
      <c r="AY28" s="59"/>
      <c r="AZ28" s="361"/>
      <c r="BA28" s="59"/>
      <c r="BB28" s="96"/>
      <c r="BC28" s="59"/>
      <c r="BD28" s="59"/>
      <c r="BE28" s="59"/>
      <c r="BF28" s="59"/>
      <c r="BG28" s="106"/>
      <c r="BH28" s="59"/>
      <c r="BI28" s="59"/>
      <c r="BJ28" s="362"/>
      <c r="BK28" s="59"/>
      <c r="BL28" s="96"/>
      <c r="BM28" s="59"/>
      <c r="BN28" s="59"/>
      <c r="BO28" s="59"/>
      <c r="BP28" s="59"/>
      <c r="BQ28" s="106"/>
      <c r="BR28" s="59"/>
      <c r="BS28" s="59"/>
      <c r="BT28" s="405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53">
        <v>1005982</v>
      </c>
      <c r="D29" s="454" t="s">
        <v>199</v>
      </c>
      <c r="E29" s="453" t="s">
        <v>27</v>
      </c>
      <c r="F29" s="453"/>
      <c r="G29" s="455"/>
      <c r="H29" s="129">
        <v>0</v>
      </c>
      <c r="I29" s="223">
        <f t="shared" si="0"/>
        <v>0</v>
      </c>
      <c r="J29" s="129">
        <v>0</v>
      </c>
      <c r="K29" s="117"/>
      <c r="L29" s="416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306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417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8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5</v>
      </c>
      <c r="B30" s="170"/>
      <c r="C30" s="318">
        <v>1113086</v>
      </c>
      <c r="D30" s="319" t="s">
        <v>200</v>
      </c>
      <c r="E30" s="220" t="s">
        <v>42</v>
      </c>
      <c r="F30" s="169"/>
      <c r="G30" s="183"/>
      <c r="H30" s="184">
        <v>0</v>
      </c>
      <c r="I30" s="218">
        <f t="shared" ref="I30" si="6">SUM(L30,V30,AF30,AP30,AZ30,BJ30,BT30)</f>
        <v>0</v>
      </c>
      <c r="J30" s="184">
        <v>0</v>
      </c>
      <c r="K30" s="316"/>
      <c r="L30" s="203"/>
      <c r="M30" s="222"/>
      <c r="N30" s="96"/>
      <c r="O30" s="59"/>
      <c r="P30" s="59"/>
      <c r="Q30" s="59"/>
      <c r="R30" s="59"/>
      <c r="S30" s="44"/>
      <c r="T30" s="59"/>
      <c r="U30" s="221"/>
      <c r="V30" s="204"/>
      <c r="W30" s="222"/>
      <c r="X30" s="96"/>
      <c r="Y30" s="59"/>
      <c r="Z30" s="59"/>
      <c r="AA30" s="59"/>
      <c r="AB30" s="59"/>
      <c r="AC30" s="44"/>
      <c r="AD30" s="59"/>
      <c r="AE30" s="221"/>
      <c r="AF30" s="254"/>
      <c r="AG30" s="222"/>
      <c r="AH30" s="96"/>
      <c r="AI30" s="59"/>
      <c r="AJ30" s="59"/>
      <c r="AK30" s="59"/>
      <c r="AL30" s="59"/>
      <c r="AM30" s="44"/>
      <c r="AN30" s="59"/>
      <c r="AO30" s="221"/>
      <c r="AP30" s="265"/>
      <c r="AQ30" s="222"/>
      <c r="AR30" s="96"/>
      <c r="AS30" s="59"/>
      <c r="AT30" s="59"/>
      <c r="AU30" s="59"/>
      <c r="AV30" s="59"/>
      <c r="AW30" s="44"/>
      <c r="AX30" s="59"/>
      <c r="AY30" s="221"/>
      <c r="AZ30" s="268"/>
      <c r="BA30" s="222"/>
      <c r="BB30" s="96"/>
      <c r="BC30" s="59"/>
      <c r="BD30" s="59"/>
      <c r="BE30" s="59"/>
      <c r="BF30" s="59"/>
      <c r="BG30" s="44"/>
      <c r="BH30" s="59"/>
      <c r="BI30" s="221"/>
      <c r="BJ30" s="270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447">
        <v>1</v>
      </c>
      <c r="B31" s="448"/>
      <c r="C31" s="449">
        <v>1005985</v>
      </c>
      <c r="D31" s="480" t="s">
        <v>202</v>
      </c>
      <c r="E31" s="449" t="s">
        <v>203</v>
      </c>
      <c r="F31" s="449"/>
      <c r="G31" s="450"/>
      <c r="H31" s="451">
        <v>0</v>
      </c>
      <c r="I31" s="452">
        <f t="shared" si="0"/>
        <v>0</v>
      </c>
      <c r="J31" s="451">
        <v>0</v>
      </c>
      <c r="K31" s="481"/>
      <c r="L31" s="482"/>
      <c r="M31" s="222"/>
      <c r="N31" s="96"/>
      <c r="O31" s="59"/>
      <c r="P31" s="59"/>
      <c r="Q31" s="59"/>
      <c r="R31" s="59"/>
      <c r="S31" s="44"/>
      <c r="T31" s="59"/>
      <c r="U31" s="59"/>
      <c r="V31" s="483"/>
      <c r="W31" s="222"/>
      <c r="X31" s="96"/>
      <c r="Y31" s="59"/>
      <c r="Z31" s="59"/>
      <c r="AA31" s="59"/>
      <c r="AB31" s="59"/>
      <c r="AC31" s="44"/>
      <c r="AD31" s="59"/>
      <c r="AE31" s="59"/>
      <c r="AF31" s="484"/>
      <c r="AG31" s="222"/>
      <c r="AH31" s="96"/>
      <c r="AI31" s="59"/>
      <c r="AJ31" s="59"/>
      <c r="AK31" s="59"/>
      <c r="AL31" s="59"/>
      <c r="AM31" s="44"/>
      <c r="AN31" s="59"/>
      <c r="AO31" s="59"/>
      <c r="AP31" s="485"/>
      <c r="AQ31" s="222"/>
      <c r="AR31" s="96"/>
      <c r="AS31" s="59"/>
      <c r="AT31" s="59"/>
      <c r="AU31" s="59"/>
      <c r="AV31" s="59"/>
      <c r="AW31" s="44"/>
      <c r="AX31" s="59"/>
      <c r="AY31" s="59"/>
      <c r="AZ31" s="486"/>
      <c r="BA31" s="222"/>
      <c r="BB31" s="96"/>
      <c r="BC31" s="59"/>
      <c r="BD31" s="59"/>
      <c r="BE31" s="59"/>
      <c r="BF31" s="59"/>
      <c r="BG31" s="44"/>
      <c r="BH31" s="59"/>
      <c r="BI31" s="59"/>
      <c r="BJ31" s="487"/>
      <c r="BK31" s="222"/>
      <c r="BL31" s="96"/>
      <c r="BM31" s="59"/>
      <c r="BN31" s="59"/>
      <c r="BO31" s="59"/>
      <c r="BP31" s="59"/>
      <c r="BQ31" s="44"/>
      <c r="BR31" s="59"/>
      <c r="BS31" s="59"/>
      <c r="BT31" s="488"/>
      <c r="BU31" s="222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customHeight="1">
      <c r="A32" s="168">
        <v>2</v>
      </c>
      <c r="B32" s="170"/>
      <c r="C32" s="439">
        <v>1113088</v>
      </c>
      <c r="D32" s="440" t="s">
        <v>208</v>
      </c>
      <c r="E32" s="220" t="s">
        <v>170</v>
      </c>
      <c r="F32" s="169"/>
      <c r="G32" s="183"/>
      <c r="H32" s="184">
        <v>0</v>
      </c>
      <c r="I32" s="218">
        <f t="shared" ref="I32" si="7">SUM(L32,V32,AF32,AP32,AZ32,BJ32,BT32)</f>
        <v>0</v>
      </c>
      <c r="J32" s="184">
        <v>0</v>
      </c>
      <c r="K32" s="316"/>
      <c r="L32" s="259"/>
      <c r="M32" s="222"/>
      <c r="N32" s="96"/>
      <c r="O32" s="59"/>
      <c r="P32" s="59"/>
      <c r="Q32" s="59"/>
      <c r="R32" s="59"/>
      <c r="S32" s="106"/>
      <c r="T32" s="59"/>
      <c r="U32" s="221"/>
      <c r="V32" s="227"/>
      <c r="W32" s="222"/>
      <c r="X32" s="96"/>
      <c r="Y32" s="59"/>
      <c r="Z32" s="59"/>
      <c r="AA32" s="59"/>
      <c r="AB32" s="59"/>
      <c r="AC32" s="44"/>
      <c r="AD32" s="59"/>
      <c r="AE32" s="221"/>
      <c r="AF32" s="228"/>
      <c r="AG32" s="222"/>
      <c r="AH32" s="96"/>
      <c r="AI32" s="59"/>
      <c r="AJ32" s="59"/>
      <c r="AK32" s="59"/>
      <c r="AL32" s="59"/>
      <c r="AM32" s="106"/>
      <c r="AN32" s="59"/>
      <c r="AO32" s="221"/>
      <c r="AP32" s="249"/>
      <c r="AQ32" s="222"/>
      <c r="AR32" s="96"/>
      <c r="AS32" s="59"/>
      <c r="AT32" s="59"/>
      <c r="AU32" s="59"/>
      <c r="AV32" s="59"/>
      <c r="AW32" s="44"/>
      <c r="AX32" s="59"/>
      <c r="AY32" s="221"/>
      <c r="AZ32" s="205"/>
      <c r="BA32" s="222"/>
      <c r="BB32" s="96"/>
      <c r="BC32" s="59"/>
      <c r="BD32" s="59"/>
      <c r="BE32" s="59"/>
      <c r="BF32" s="59"/>
      <c r="BG32" s="106"/>
      <c r="BH32" s="59"/>
      <c r="BI32" s="221"/>
      <c r="BJ32" s="270"/>
      <c r="BK32" s="222"/>
      <c r="BL32" s="96"/>
      <c r="BM32" s="59"/>
      <c r="BN32" s="59"/>
      <c r="BO32" s="59"/>
      <c r="BP32" s="59"/>
      <c r="BQ32" s="44"/>
      <c r="BR32" s="59"/>
      <c r="BS32" s="221"/>
      <c r="BT32" s="206"/>
      <c r="BU32" s="222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89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90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49">
        <v>3</v>
      </c>
      <c r="B34" s="350"/>
      <c r="C34" s="351">
        <v>20053132</v>
      </c>
      <c r="D34" s="352" t="s">
        <v>453</v>
      </c>
      <c r="E34" s="351" t="s">
        <v>69</v>
      </c>
      <c r="F34" s="351"/>
      <c r="G34" s="353"/>
      <c r="H34" s="354">
        <v>0</v>
      </c>
      <c r="I34" s="355">
        <f t="shared" si="0"/>
        <v>0</v>
      </c>
      <c r="J34" s="354">
        <v>0</v>
      </c>
      <c r="K34" s="356"/>
      <c r="L34" s="401"/>
      <c r="M34" s="59"/>
      <c r="N34" s="96"/>
      <c r="O34" s="59"/>
      <c r="P34" s="59"/>
      <c r="Q34" s="59"/>
      <c r="R34" s="59"/>
      <c r="S34" s="106"/>
      <c r="T34" s="59"/>
      <c r="U34" s="59"/>
      <c r="V34" s="402"/>
      <c r="W34" s="59"/>
      <c r="X34" s="96"/>
      <c r="Y34" s="59"/>
      <c r="Z34" s="59"/>
      <c r="AA34" s="59"/>
      <c r="AB34" s="59"/>
      <c r="AC34" s="106"/>
      <c r="AD34" s="59"/>
      <c r="AE34" s="59"/>
      <c r="AF34" s="403"/>
      <c r="AG34" s="59"/>
      <c r="AH34" s="96"/>
      <c r="AI34" s="59"/>
      <c r="AJ34" s="59"/>
      <c r="AK34" s="59"/>
      <c r="AL34" s="59"/>
      <c r="AM34" s="106"/>
      <c r="AN34" s="59"/>
      <c r="AO34" s="59"/>
      <c r="AP34" s="404"/>
      <c r="AQ34" s="59"/>
      <c r="AR34" s="96"/>
      <c r="AS34" s="59"/>
      <c r="AT34" s="59"/>
      <c r="AU34" s="59"/>
      <c r="AV34" s="59"/>
      <c r="AW34" s="106"/>
      <c r="AX34" s="59"/>
      <c r="AY34" s="59"/>
      <c r="AZ34" s="361"/>
      <c r="BA34" s="59"/>
      <c r="BB34" s="96"/>
      <c r="BC34" s="59"/>
      <c r="BD34" s="59"/>
      <c r="BE34" s="59"/>
      <c r="BF34" s="59"/>
      <c r="BG34" s="106"/>
      <c r="BH34" s="59"/>
      <c r="BI34" s="59"/>
      <c r="BJ34" s="362"/>
      <c r="BK34" s="59"/>
      <c r="BL34" s="96"/>
      <c r="BM34" s="59"/>
      <c r="BN34" s="59"/>
      <c r="BO34" s="59"/>
      <c r="BP34" s="59"/>
      <c r="BQ34" s="106"/>
      <c r="BR34" s="59"/>
      <c r="BS34" s="59"/>
      <c r="BT34" s="405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49">
        <v>4</v>
      </c>
      <c r="B35" s="350"/>
      <c r="C35" s="351">
        <v>20049130</v>
      </c>
      <c r="D35" s="352" t="s">
        <v>430</v>
      </c>
      <c r="E35" s="351" t="s">
        <v>69</v>
      </c>
      <c r="F35" s="351"/>
      <c r="G35" s="353"/>
      <c r="H35" s="354">
        <v>0</v>
      </c>
      <c r="I35" s="355">
        <f t="shared" si="0"/>
        <v>0</v>
      </c>
      <c r="J35" s="354">
        <v>0</v>
      </c>
      <c r="K35" s="356"/>
      <c r="L35" s="401"/>
      <c r="M35" s="59"/>
      <c r="N35" s="96"/>
      <c r="O35" s="59"/>
      <c r="P35" s="59"/>
      <c r="Q35" s="59"/>
      <c r="R35" s="59"/>
      <c r="S35" s="106"/>
      <c r="T35" s="59"/>
      <c r="U35" s="59"/>
      <c r="V35" s="402"/>
      <c r="W35" s="59"/>
      <c r="X35" s="96"/>
      <c r="Y35" s="59"/>
      <c r="Z35" s="59"/>
      <c r="AA35" s="59"/>
      <c r="AB35" s="59"/>
      <c r="AC35" s="106"/>
      <c r="AD35" s="59"/>
      <c r="AE35" s="59"/>
      <c r="AF35" s="403"/>
      <c r="AG35" s="59"/>
      <c r="AH35" s="96"/>
      <c r="AI35" s="59"/>
      <c r="AJ35" s="59"/>
      <c r="AK35" s="59"/>
      <c r="AL35" s="59"/>
      <c r="AM35" s="106"/>
      <c r="AN35" s="59"/>
      <c r="AO35" s="59"/>
      <c r="AP35" s="404"/>
      <c r="AQ35" s="59"/>
      <c r="AR35" s="96"/>
      <c r="AS35" s="59"/>
      <c r="AT35" s="59"/>
      <c r="AU35" s="59"/>
      <c r="AV35" s="59"/>
      <c r="AW35" s="106"/>
      <c r="AX35" s="59"/>
      <c r="AY35" s="59"/>
      <c r="AZ35" s="361"/>
      <c r="BA35" s="59"/>
      <c r="BB35" s="96"/>
      <c r="BC35" s="59"/>
      <c r="BD35" s="59"/>
      <c r="BE35" s="59"/>
      <c r="BF35" s="59"/>
      <c r="BG35" s="106"/>
      <c r="BH35" s="59"/>
      <c r="BI35" s="59"/>
      <c r="BJ35" s="362"/>
      <c r="BK35" s="59"/>
      <c r="BL35" s="96"/>
      <c r="BM35" s="59"/>
      <c r="BN35" s="59"/>
      <c r="BO35" s="59"/>
      <c r="BP35" s="59"/>
      <c r="BQ35" s="106"/>
      <c r="BR35" s="59"/>
      <c r="BS35" s="59"/>
      <c r="BT35" s="405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49">
        <v>5</v>
      </c>
      <c r="B36" s="350"/>
      <c r="C36" s="351">
        <v>20051101</v>
      </c>
      <c r="D36" s="352" t="s">
        <v>431</v>
      </c>
      <c r="E36" s="351" t="s">
        <v>69</v>
      </c>
      <c r="F36" s="351"/>
      <c r="G36" s="353"/>
      <c r="H36" s="354">
        <v>0</v>
      </c>
      <c r="I36" s="355">
        <f t="shared" si="0"/>
        <v>0</v>
      </c>
      <c r="J36" s="354">
        <v>0</v>
      </c>
      <c r="K36" s="356"/>
      <c r="L36" s="401"/>
      <c r="M36" s="59"/>
      <c r="N36" s="96"/>
      <c r="O36" s="105"/>
      <c r="P36" s="59"/>
      <c r="Q36" s="59"/>
      <c r="R36" s="105"/>
      <c r="S36" s="106"/>
      <c r="T36" s="59"/>
      <c r="U36" s="105"/>
      <c r="V36" s="402"/>
      <c r="W36" s="59"/>
      <c r="X36" s="96"/>
      <c r="Y36" s="105"/>
      <c r="Z36" s="59"/>
      <c r="AA36" s="59"/>
      <c r="AB36" s="105"/>
      <c r="AC36" s="106"/>
      <c r="AD36" s="59"/>
      <c r="AE36" s="59"/>
      <c r="AF36" s="403"/>
      <c r="AG36" s="105"/>
      <c r="AH36" s="96"/>
      <c r="AI36" s="105"/>
      <c r="AJ36" s="59"/>
      <c r="AK36" s="59"/>
      <c r="AL36" s="105"/>
      <c r="AM36" s="106"/>
      <c r="AN36" s="59"/>
      <c r="AO36" s="59"/>
      <c r="AP36" s="404"/>
      <c r="AQ36" s="59"/>
      <c r="AR36" s="96"/>
      <c r="AS36" s="105"/>
      <c r="AT36" s="59"/>
      <c r="AU36" s="59"/>
      <c r="AV36" s="105"/>
      <c r="AW36" s="106"/>
      <c r="AX36" s="59"/>
      <c r="AY36" s="59"/>
      <c r="AZ36" s="361"/>
      <c r="BA36" s="59"/>
      <c r="BB36" s="96"/>
      <c r="BC36" s="105"/>
      <c r="BD36" s="59"/>
      <c r="BE36" s="59"/>
      <c r="BF36" s="105"/>
      <c r="BG36" s="106"/>
      <c r="BH36" s="105"/>
      <c r="BI36" s="59"/>
      <c r="BJ36" s="362"/>
      <c r="BK36" s="105"/>
      <c r="BL36" s="96"/>
      <c r="BM36" s="105"/>
      <c r="BN36" s="59"/>
      <c r="BO36" s="59"/>
      <c r="BP36" s="105"/>
      <c r="BQ36" s="106"/>
      <c r="BR36" s="59"/>
      <c r="BS36" s="59"/>
      <c r="BT36" s="405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62">
        <v>6</v>
      </c>
      <c r="B37" s="463"/>
      <c r="C37" s="464">
        <v>20052721</v>
      </c>
      <c r="D37" s="465" t="s">
        <v>432</v>
      </c>
      <c r="E37" s="464" t="s">
        <v>69</v>
      </c>
      <c r="F37" s="464"/>
      <c r="G37" s="466"/>
      <c r="H37" s="467">
        <v>0</v>
      </c>
      <c r="I37" s="468">
        <f t="shared" si="0"/>
        <v>0</v>
      </c>
      <c r="J37" s="467">
        <v>0</v>
      </c>
      <c r="K37" s="469"/>
      <c r="L37" s="470"/>
      <c r="M37" s="59"/>
      <c r="N37" s="96"/>
      <c r="O37" s="105"/>
      <c r="P37" s="59"/>
      <c r="Q37" s="59"/>
      <c r="R37" s="105"/>
      <c r="S37" s="106"/>
      <c r="T37" s="59"/>
      <c r="U37" s="105"/>
      <c r="V37" s="471"/>
      <c r="W37" s="59"/>
      <c r="X37" s="96"/>
      <c r="Y37" s="105"/>
      <c r="Z37" s="59"/>
      <c r="AA37" s="59"/>
      <c r="AB37" s="105"/>
      <c r="AC37" s="106"/>
      <c r="AD37" s="59"/>
      <c r="AE37" s="59"/>
      <c r="AF37" s="472"/>
      <c r="AG37" s="105"/>
      <c r="AH37" s="96"/>
      <c r="AI37" s="105"/>
      <c r="AJ37" s="59"/>
      <c r="AK37" s="59"/>
      <c r="AL37" s="105"/>
      <c r="AM37" s="106"/>
      <c r="AN37" s="59"/>
      <c r="AO37" s="59"/>
      <c r="AP37" s="473"/>
      <c r="AQ37" s="59"/>
      <c r="AR37" s="96"/>
      <c r="AS37" s="105"/>
      <c r="AT37" s="59"/>
      <c r="AU37" s="59"/>
      <c r="AV37" s="105"/>
      <c r="AW37" s="106"/>
      <c r="AX37" s="59"/>
      <c r="AY37" s="59"/>
      <c r="AZ37" s="474"/>
      <c r="BA37" s="59"/>
      <c r="BB37" s="96"/>
      <c r="BC37" s="105"/>
      <c r="BD37" s="59"/>
      <c r="BE37" s="59"/>
      <c r="BF37" s="105"/>
      <c r="BG37" s="106"/>
      <c r="BH37" s="105"/>
      <c r="BI37" s="59"/>
      <c r="BJ37" s="475"/>
      <c r="BK37" s="105"/>
      <c r="BL37" s="96"/>
      <c r="BM37" s="105"/>
      <c r="BN37" s="59"/>
      <c r="BO37" s="59"/>
      <c r="BP37" s="105"/>
      <c r="BQ37" s="106"/>
      <c r="BR37" s="59"/>
      <c r="BS37" s="59"/>
      <c r="BT37" s="476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>
      <c r="A38" s="168">
        <v>7</v>
      </c>
      <c r="B38" s="170"/>
      <c r="C38" s="324">
        <v>1113148</v>
      </c>
      <c r="D38" s="325" t="s">
        <v>348</v>
      </c>
      <c r="E38" s="220" t="s">
        <v>42</v>
      </c>
      <c r="F38" s="169"/>
      <c r="G38" s="183"/>
      <c r="H38" s="184">
        <v>0</v>
      </c>
      <c r="I38" s="218">
        <f t="shared" ref="I38:I41" si="8">SUM(L38,V38,AF38,AP38,AZ38,BJ38,BT38)</f>
        <v>0</v>
      </c>
      <c r="J38" s="184">
        <v>0</v>
      </c>
      <c r="K38" s="316"/>
      <c r="L38" s="203"/>
      <c r="M38" s="222"/>
      <c r="N38" s="96"/>
      <c r="O38" s="59"/>
      <c r="P38" s="59"/>
      <c r="Q38" s="59"/>
      <c r="R38" s="59"/>
      <c r="S38" s="44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54"/>
      <c r="AG38" s="222"/>
      <c r="AH38" s="96"/>
      <c r="AI38" s="59"/>
      <c r="AJ38" s="59"/>
      <c r="AK38" s="59"/>
      <c r="AL38" s="59"/>
      <c r="AM38" s="44"/>
      <c r="AN38" s="59"/>
      <c r="AO38" s="221"/>
      <c r="AP38" s="265"/>
      <c r="AQ38" s="222"/>
      <c r="AR38" s="96"/>
      <c r="AS38" s="59"/>
      <c r="AT38" s="59"/>
      <c r="AU38" s="59"/>
      <c r="AV38" s="59"/>
      <c r="AW38" s="44"/>
      <c r="AX38" s="59"/>
      <c r="AY38" s="221"/>
      <c r="AZ38" s="268"/>
      <c r="BA38" s="222"/>
      <c r="BB38" s="96"/>
      <c r="BC38" s="59"/>
      <c r="BD38" s="59"/>
      <c r="BE38" s="59"/>
      <c r="BF38" s="59"/>
      <c r="BG38" s="44"/>
      <c r="BH38" s="59"/>
      <c r="BI38" s="221"/>
      <c r="BJ38" s="270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>
      <c r="A39" s="168">
        <v>8</v>
      </c>
      <c r="B39" s="170"/>
      <c r="C39" s="324">
        <v>1113149</v>
      </c>
      <c r="D39" s="325" t="s">
        <v>349</v>
      </c>
      <c r="E39" s="220" t="s">
        <v>42</v>
      </c>
      <c r="F39" s="169"/>
      <c r="G39" s="183"/>
      <c r="H39" s="184">
        <v>0</v>
      </c>
      <c r="I39" s="218">
        <f t="shared" si="8"/>
        <v>0</v>
      </c>
      <c r="J39" s="184">
        <v>0</v>
      </c>
      <c r="K39" s="316"/>
      <c r="L39" s="203"/>
      <c r="M39" s="222"/>
      <c r="N39" s="96"/>
      <c r="O39" s="59"/>
      <c r="P39" s="59"/>
      <c r="Q39" s="59"/>
      <c r="R39" s="59"/>
      <c r="S39" s="44"/>
      <c r="T39" s="59"/>
      <c r="U39" s="221"/>
      <c r="V39" s="204"/>
      <c r="W39" s="222"/>
      <c r="X39" s="96"/>
      <c r="Y39" s="59"/>
      <c r="Z39" s="59"/>
      <c r="AA39" s="59"/>
      <c r="AB39" s="59"/>
      <c r="AC39" s="44"/>
      <c r="AD39" s="59"/>
      <c r="AE39" s="221"/>
      <c r="AF39" s="254"/>
      <c r="AG39" s="222"/>
      <c r="AH39" s="96"/>
      <c r="AI39" s="59"/>
      <c r="AJ39" s="59"/>
      <c r="AK39" s="59"/>
      <c r="AL39" s="59"/>
      <c r="AM39" s="44"/>
      <c r="AN39" s="59"/>
      <c r="AO39" s="221"/>
      <c r="AP39" s="265"/>
      <c r="AQ39" s="222"/>
      <c r="AR39" s="96"/>
      <c r="AS39" s="59"/>
      <c r="AT39" s="59"/>
      <c r="AU39" s="59"/>
      <c r="AV39" s="59"/>
      <c r="AW39" s="44"/>
      <c r="AX39" s="59"/>
      <c r="AY39" s="221"/>
      <c r="AZ39" s="268"/>
      <c r="BA39" s="222"/>
      <c r="BB39" s="96"/>
      <c r="BC39" s="59"/>
      <c r="BD39" s="59"/>
      <c r="BE39" s="59"/>
      <c r="BF39" s="59"/>
      <c r="BG39" s="44"/>
      <c r="BH39" s="59"/>
      <c r="BI39" s="221"/>
      <c r="BJ39" s="270"/>
      <c r="BK39" s="222"/>
      <c r="BL39" s="96"/>
      <c r="BM39" s="59"/>
      <c r="BN39" s="59"/>
      <c r="BO39" s="59"/>
      <c r="BP39" s="59"/>
      <c r="BQ39" s="44"/>
      <c r="BR39" s="59"/>
      <c r="BS39" s="221"/>
      <c r="BT39" s="206"/>
      <c r="BU39" s="222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>
      <c r="A40" s="53">
        <v>9</v>
      </c>
      <c r="B40" s="56"/>
      <c r="C40" s="54">
        <v>1113192</v>
      </c>
      <c r="D40" s="57" t="s">
        <v>351</v>
      </c>
      <c r="E40" s="64" t="s">
        <v>42</v>
      </c>
      <c r="F40" s="54"/>
      <c r="G40" s="44"/>
      <c r="H40" s="146">
        <v>0</v>
      </c>
      <c r="I40" s="45">
        <f t="shared" si="8"/>
        <v>0</v>
      </c>
      <c r="J40" s="146">
        <v>0</v>
      </c>
      <c r="K40" s="491"/>
      <c r="L40" s="197"/>
      <c r="M40" s="59"/>
      <c r="N40" s="96"/>
      <c r="O40" s="59"/>
      <c r="P40" s="59"/>
      <c r="Q40" s="59"/>
      <c r="R40" s="59"/>
      <c r="S40" s="106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256"/>
      <c r="AG40" s="59"/>
      <c r="AH40" s="96"/>
      <c r="AI40" s="59"/>
      <c r="AJ40" s="59"/>
      <c r="AK40" s="59"/>
      <c r="AL40" s="59"/>
      <c r="AM40" s="106"/>
      <c r="AN40" s="59"/>
      <c r="AO40" s="59"/>
      <c r="AP40" s="264"/>
      <c r="AQ40" s="59"/>
      <c r="AR40" s="96"/>
      <c r="AS40" s="59"/>
      <c r="AT40" s="59"/>
      <c r="AU40" s="59"/>
      <c r="AV40" s="59"/>
      <c r="AW40" s="44"/>
      <c r="AX40" s="59"/>
      <c r="AY40" s="59"/>
      <c r="AZ40" s="190"/>
      <c r="BA40" s="59"/>
      <c r="BB40" s="96"/>
      <c r="BC40" s="59"/>
      <c r="BD40" s="59"/>
      <c r="BE40" s="59"/>
      <c r="BF40" s="59"/>
      <c r="BG40" s="106"/>
      <c r="BH40" s="59"/>
      <c r="BI40" s="59"/>
      <c r="BJ40" s="269"/>
      <c r="BK40" s="59"/>
      <c r="BL40" s="96"/>
      <c r="BM40" s="59"/>
      <c r="BN40" s="59"/>
      <c r="BO40" s="59"/>
      <c r="BP40" s="59"/>
      <c r="BQ40" s="44"/>
      <c r="BR40" s="59"/>
      <c r="BS40" s="59"/>
      <c r="BT40" s="230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>
      <c r="A41" s="53">
        <v>10</v>
      </c>
      <c r="B41" s="56"/>
      <c r="C41" s="54">
        <v>1113194</v>
      </c>
      <c r="D41" s="57" t="s">
        <v>353</v>
      </c>
      <c r="E41" s="64" t="s">
        <v>42</v>
      </c>
      <c r="F41" s="54"/>
      <c r="G41" s="44"/>
      <c r="H41" s="58">
        <v>0</v>
      </c>
      <c r="I41" s="45">
        <f t="shared" si="8"/>
        <v>0</v>
      </c>
      <c r="J41" s="58">
        <v>0</v>
      </c>
      <c r="K41" s="314"/>
      <c r="L41" s="197"/>
      <c r="M41" s="59"/>
      <c r="N41" s="96"/>
      <c r="O41" s="59"/>
      <c r="P41" s="59"/>
      <c r="Q41" s="59"/>
      <c r="R41" s="105"/>
      <c r="S41" s="106"/>
      <c r="T41" s="59"/>
      <c r="U41" s="59"/>
      <c r="V41" s="226"/>
      <c r="W41" s="59"/>
      <c r="X41" s="96"/>
      <c r="Y41" s="59"/>
      <c r="Z41" s="59"/>
      <c r="AA41" s="59"/>
      <c r="AB41" s="105"/>
      <c r="AC41" s="44"/>
      <c r="AD41" s="59"/>
      <c r="AE41" s="59"/>
      <c r="AF41" s="256"/>
      <c r="AG41" s="105"/>
      <c r="AH41" s="96"/>
      <c r="AI41" s="59"/>
      <c r="AJ41" s="59"/>
      <c r="AK41" s="59"/>
      <c r="AL41" s="105"/>
      <c r="AM41" s="106"/>
      <c r="AN41" s="59"/>
      <c r="AO41" s="59"/>
      <c r="AP41" s="195"/>
      <c r="AQ41" s="59"/>
      <c r="AR41" s="96"/>
      <c r="AS41" s="59"/>
      <c r="AT41" s="59"/>
      <c r="AU41" s="59"/>
      <c r="AV41" s="105"/>
      <c r="AW41" s="44"/>
      <c r="AX41" s="59"/>
      <c r="AY41" s="59"/>
      <c r="AZ41" s="190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10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8">
        <v>1001001087</v>
      </c>
      <c r="D42" s="199" t="s">
        <v>376</v>
      </c>
      <c r="E42" s="200" t="s">
        <v>377</v>
      </c>
      <c r="F42" s="200"/>
      <c r="G42" s="201"/>
      <c r="H42" s="202">
        <v>0</v>
      </c>
      <c r="I42" s="63">
        <f t="shared" ref="I42:I48" si="1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8">
        <v>1001001088</v>
      </c>
      <c r="D43" s="199" t="s">
        <v>378</v>
      </c>
      <c r="E43" s="200" t="s">
        <v>377</v>
      </c>
      <c r="F43" s="200"/>
      <c r="G43" s="201"/>
      <c r="H43" s="202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8">
        <v>1001001089</v>
      </c>
      <c r="D44" s="199" t="s">
        <v>379</v>
      </c>
      <c r="E44" s="200" t="s">
        <v>377</v>
      </c>
      <c r="F44" s="200"/>
      <c r="G44" s="201"/>
      <c r="H44" s="202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8">
        <v>1001001111</v>
      </c>
      <c r="D45" s="199" t="s">
        <v>381</v>
      </c>
      <c r="E45" s="200" t="s">
        <v>377</v>
      </c>
      <c r="F45" s="200"/>
      <c r="G45" s="201"/>
      <c r="H45" s="202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8">
        <v>1001001112</v>
      </c>
      <c r="D46" s="199" t="s">
        <v>382</v>
      </c>
      <c r="E46" s="200" t="s">
        <v>377</v>
      </c>
      <c r="F46" s="200"/>
      <c r="G46" s="201"/>
      <c r="H46" s="202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8">
        <v>1001001113</v>
      </c>
      <c r="D47" s="199" t="s">
        <v>383</v>
      </c>
      <c r="E47" s="200" t="s">
        <v>377</v>
      </c>
      <c r="F47" s="200"/>
      <c r="G47" s="201"/>
      <c r="H47" s="202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53">
        <v>7</v>
      </c>
      <c r="B48" s="68"/>
      <c r="C48" s="198">
        <v>1001001114</v>
      </c>
      <c r="D48" s="199" t="s">
        <v>384</v>
      </c>
      <c r="E48" s="200" t="s">
        <v>377</v>
      </c>
      <c r="F48" s="200"/>
      <c r="G48" s="201"/>
      <c r="H48" s="202">
        <v>0</v>
      </c>
      <c r="I48" s="63">
        <f t="shared" si="1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>
      <c r="A49" s="225">
        <v>11</v>
      </c>
      <c r="B49" s="170"/>
      <c r="C49" s="208">
        <v>1113225</v>
      </c>
      <c r="D49" s="209" t="s">
        <v>407</v>
      </c>
      <c r="E49" s="220" t="s">
        <v>42</v>
      </c>
      <c r="F49" s="169"/>
      <c r="G49" s="183"/>
      <c r="H49" s="184"/>
      <c r="I49" s="45">
        <f t="shared" ref="I49" si="12">SUM(L49,V49,AF49,AP49,AZ49,BJ49,BT49)</f>
        <v>0</v>
      </c>
      <c r="J49" s="58"/>
      <c r="K49" s="314"/>
      <c r="L49" s="229"/>
      <c r="M49" s="59"/>
      <c r="N49" s="96"/>
      <c r="O49" s="59"/>
      <c r="P49" s="59"/>
      <c r="Q49" s="59"/>
      <c r="R49" s="59"/>
      <c r="S49" s="44"/>
      <c r="T49" s="59"/>
      <c r="U49" s="59"/>
      <c r="V49" s="226"/>
      <c r="W49" s="59"/>
      <c r="X49" s="96"/>
      <c r="Y49" s="59"/>
      <c r="Z49" s="59"/>
      <c r="AA49" s="59"/>
      <c r="AB49" s="59"/>
      <c r="AC49" s="44"/>
      <c r="AD49" s="59"/>
      <c r="AE49" s="59"/>
      <c r="AF49" s="253"/>
      <c r="AG49" s="59"/>
      <c r="AH49" s="96"/>
      <c r="AI49" s="59"/>
      <c r="AJ49" s="59"/>
      <c r="AK49" s="59"/>
      <c r="AL49" s="59"/>
      <c r="AM49" s="44"/>
      <c r="AN49" s="59"/>
      <c r="AO49" s="59"/>
      <c r="AP49" s="195"/>
      <c r="AQ49" s="59"/>
      <c r="AR49" s="96"/>
      <c r="AS49" s="59"/>
      <c r="AT49" s="59"/>
      <c r="AU49" s="59"/>
      <c r="AV49" s="59"/>
      <c r="AW49" s="44"/>
      <c r="AX49" s="59"/>
      <c r="AY49" s="59"/>
      <c r="AZ49" s="181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210"/>
      <c r="BU49" s="59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347">
        <v>7</v>
      </c>
      <c r="B50" s="364"/>
      <c r="C50" s="244">
        <v>20059547</v>
      </c>
      <c r="D50" s="365" t="s">
        <v>433</v>
      </c>
      <c r="E50" s="372" t="s">
        <v>69</v>
      </c>
      <c r="F50" s="365"/>
      <c r="G50" s="365"/>
      <c r="H50" s="406"/>
      <c r="I50" s="374">
        <f t="shared" ref="I50:I55" si="13">SUM(L50,V50,AF50,AP50,AZ50,BJ50,BT50)</f>
        <v>0</v>
      </c>
      <c r="J50" s="407"/>
      <c r="K50" s="365"/>
      <c r="L50" s="408"/>
      <c r="V50" s="409"/>
      <c r="AF50" s="410"/>
      <c r="AP50" s="411"/>
      <c r="AZ50" s="385"/>
      <c r="BJ50" s="387"/>
      <c r="BT50" s="412"/>
    </row>
    <row r="51" spans="1:80" ht="24" hidden="1" customHeight="1">
      <c r="A51" s="347">
        <v>8</v>
      </c>
      <c r="B51" s="364"/>
      <c r="C51" s="244">
        <v>20059548</v>
      </c>
      <c r="D51" s="365" t="s">
        <v>434</v>
      </c>
      <c r="E51" s="372" t="s">
        <v>69</v>
      </c>
      <c r="F51" s="365"/>
      <c r="G51" s="365"/>
      <c r="H51" s="406"/>
      <c r="I51" s="374">
        <f t="shared" si="13"/>
        <v>0</v>
      </c>
      <c r="J51" s="407"/>
      <c r="K51" s="365"/>
      <c r="L51" s="408"/>
      <c r="V51" s="409"/>
      <c r="AF51" s="410"/>
      <c r="AP51" s="411"/>
      <c r="AZ51" s="385"/>
      <c r="BJ51" s="387"/>
      <c r="BT51" s="412"/>
    </row>
    <row r="52" spans="1:80" ht="24" hidden="1" customHeight="1">
      <c r="A52" s="347">
        <v>9</v>
      </c>
      <c r="B52" s="375"/>
      <c r="C52" s="376">
        <v>20060019</v>
      </c>
      <c r="D52" s="365" t="s">
        <v>409</v>
      </c>
      <c r="E52" s="372" t="s">
        <v>69</v>
      </c>
      <c r="F52" s="365"/>
      <c r="G52" s="365"/>
      <c r="H52" s="373"/>
      <c r="I52" s="374">
        <f t="shared" si="13"/>
        <v>0</v>
      </c>
      <c r="J52" s="374"/>
      <c r="K52" s="365"/>
      <c r="L52" s="408"/>
      <c r="V52" s="382"/>
      <c r="AF52" s="383"/>
      <c r="AP52" s="384"/>
      <c r="AZ52" s="386"/>
      <c r="BJ52" s="388"/>
      <c r="BT52" s="412"/>
    </row>
    <row r="53" spans="1:80" ht="24" hidden="1" customHeight="1">
      <c r="A53" s="347">
        <v>10</v>
      </c>
      <c r="B53" s="377"/>
      <c r="C53" s="372">
        <v>20059087</v>
      </c>
      <c r="D53" s="378" t="s">
        <v>239</v>
      </c>
      <c r="E53" s="372" t="s">
        <v>69</v>
      </c>
      <c r="F53" s="365"/>
      <c r="G53" s="365"/>
      <c r="H53" s="373"/>
      <c r="I53" s="374">
        <f t="shared" si="13"/>
        <v>0</v>
      </c>
      <c r="J53" s="374"/>
      <c r="K53" s="365"/>
      <c r="L53" s="408"/>
      <c r="V53" s="382"/>
      <c r="AF53" s="383"/>
      <c r="AP53" s="384"/>
      <c r="AZ53" s="386"/>
      <c r="BJ53" s="388"/>
      <c r="BT53" s="412"/>
    </row>
    <row r="54" spans="1:80" ht="24.75" hidden="1" customHeight="1">
      <c r="A54" s="347">
        <v>11</v>
      </c>
      <c r="B54" s="377"/>
      <c r="C54" s="244">
        <v>20060974</v>
      </c>
      <c r="D54" s="378" t="s">
        <v>436</v>
      </c>
      <c r="E54" s="372" t="s">
        <v>69</v>
      </c>
      <c r="F54" s="365"/>
      <c r="G54" s="365"/>
      <c r="H54" s="373"/>
      <c r="I54" s="374">
        <f t="shared" si="13"/>
        <v>0</v>
      </c>
      <c r="J54" s="374"/>
      <c r="K54" s="365"/>
      <c r="L54" s="408"/>
      <c r="V54" s="382"/>
      <c r="AF54" s="383"/>
      <c r="AP54" s="384"/>
      <c r="AZ54" s="386"/>
      <c r="BJ54" s="388"/>
      <c r="BT54" s="412"/>
    </row>
    <row r="55" spans="1:80" ht="24.75" hidden="1" customHeight="1">
      <c r="A55" s="347">
        <v>12</v>
      </c>
      <c r="B55" s="377"/>
      <c r="C55" s="244">
        <v>20060976</v>
      </c>
      <c r="D55" s="378" t="s">
        <v>456</v>
      </c>
      <c r="E55" s="372" t="s">
        <v>69</v>
      </c>
      <c r="F55" s="365"/>
      <c r="G55" s="365"/>
      <c r="H55" s="373"/>
      <c r="I55" s="374">
        <f t="shared" si="13"/>
        <v>0</v>
      </c>
      <c r="J55" s="374"/>
      <c r="K55" s="365"/>
      <c r="L55" s="408"/>
      <c r="V55" s="382"/>
      <c r="AF55" s="383"/>
      <c r="AP55" s="384"/>
      <c r="AZ55" s="386"/>
      <c r="BJ55" s="388"/>
      <c r="BT55" s="412"/>
    </row>
    <row r="56" spans="1:80" ht="27.75" hidden="1" customHeight="1">
      <c r="A56" s="347">
        <v>13</v>
      </c>
      <c r="B56" s="377"/>
      <c r="C56" s="244">
        <v>20060973</v>
      </c>
      <c r="D56" s="379" t="s">
        <v>438</v>
      </c>
      <c r="E56" s="372" t="s">
        <v>69</v>
      </c>
      <c r="F56" s="365"/>
      <c r="G56" s="365"/>
      <c r="H56" s="373"/>
      <c r="I56" s="374">
        <f t="shared" ref="I56" si="14">SUM(L56,V56,AF56,AP56,AZ56,BJ56,BT56)</f>
        <v>0</v>
      </c>
      <c r="J56" s="374"/>
      <c r="K56" s="365"/>
      <c r="L56" s="408"/>
      <c r="V56" s="382"/>
      <c r="AF56" s="383"/>
      <c r="AP56" s="384"/>
      <c r="AZ56" s="386"/>
      <c r="BJ56" s="388"/>
      <c r="BT56" s="412"/>
    </row>
    <row r="57" spans="1:80" ht="33.75" hidden="1" customHeight="1">
      <c r="A57" s="347">
        <v>14</v>
      </c>
      <c r="B57" s="377"/>
      <c r="C57" s="244">
        <f>'Week 1'!C58</f>
        <v>20061982</v>
      </c>
      <c r="D57" s="379" t="str">
        <f>'Week 1'!D58</f>
        <v>มินิบันช็อกโกแลตเฮเซลนัท70g</v>
      </c>
      <c r="E57" s="372" t="str">
        <f>'Week 1'!E58</f>
        <v>CJ</v>
      </c>
      <c r="F57" s="365"/>
      <c r="G57" s="365"/>
      <c r="H57" s="373"/>
      <c r="I57" s="374">
        <f t="shared" ref="I57:I64" si="15">SUM(L57,V57,AF57,AP57,AZ57,BJ57,BT57)</f>
        <v>0</v>
      </c>
      <c r="J57" s="374"/>
      <c r="K57" s="365"/>
      <c r="L57" s="408"/>
      <c r="V57" s="382"/>
      <c r="AF57" s="383"/>
      <c r="AP57" s="384"/>
      <c r="AZ57" s="386"/>
      <c r="BJ57" s="388"/>
      <c r="BT57" s="412"/>
    </row>
    <row r="58" spans="1:80" ht="35.25" hidden="1" customHeight="1">
      <c r="A58" s="347">
        <v>15</v>
      </c>
      <c r="B58" s="364"/>
      <c r="C58" s="244">
        <v>20062915</v>
      </c>
      <c r="D58" s="390" t="s">
        <v>440</v>
      </c>
      <c r="E58" s="372" t="str">
        <f>'Week 1'!E59</f>
        <v>CJ</v>
      </c>
      <c r="F58" s="365"/>
      <c r="G58" s="365"/>
      <c r="H58" s="373"/>
      <c r="I58" s="374">
        <f t="shared" si="15"/>
        <v>0</v>
      </c>
      <c r="J58" s="374"/>
      <c r="K58" s="365"/>
      <c r="L58" s="408"/>
      <c r="V58" s="382"/>
      <c r="AF58" s="383"/>
      <c r="AP58" s="384"/>
      <c r="AZ58" s="386"/>
      <c r="BJ58" s="388"/>
      <c r="BT58" s="412"/>
    </row>
    <row r="59" spans="1:80" ht="35.25" hidden="1" customHeight="1">
      <c r="A59" s="347">
        <v>16</v>
      </c>
      <c r="B59" s="364"/>
      <c r="C59" s="244">
        <v>20063266</v>
      </c>
      <c r="D59" s="390" t="s">
        <v>461</v>
      </c>
      <c r="E59" s="372" t="str">
        <f>'Week 1'!E60</f>
        <v>CJ</v>
      </c>
      <c r="F59" s="365"/>
      <c r="G59" s="365"/>
      <c r="H59" s="373"/>
      <c r="I59" s="374">
        <f t="shared" si="15"/>
        <v>0</v>
      </c>
      <c r="J59" s="374"/>
      <c r="K59" s="365"/>
      <c r="L59" s="408"/>
      <c r="V59" s="382"/>
      <c r="AF59" s="383"/>
      <c r="AP59" s="384"/>
      <c r="AZ59" s="386"/>
      <c r="BJ59" s="388"/>
      <c r="BT59" s="412"/>
    </row>
    <row r="60" spans="1:80" ht="35.25" hidden="1" customHeight="1">
      <c r="A60" s="347">
        <v>17</v>
      </c>
      <c r="B60" s="364"/>
      <c r="C60" s="244">
        <v>20062916</v>
      </c>
      <c r="D60" s="390" t="s">
        <v>417</v>
      </c>
      <c r="E60" s="372" t="s">
        <v>69</v>
      </c>
      <c r="F60" s="365"/>
      <c r="G60" s="365"/>
      <c r="H60" s="373"/>
      <c r="I60" s="374">
        <f t="shared" si="15"/>
        <v>0</v>
      </c>
      <c r="J60" s="374"/>
      <c r="K60" s="365"/>
      <c r="L60" s="408"/>
      <c r="V60" s="382"/>
      <c r="AF60" s="383"/>
      <c r="AP60" s="384"/>
      <c r="AZ60" s="386"/>
      <c r="BJ60" s="388"/>
      <c r="BT60" s="412"/>
    </row>
    <row r="61" spans="1:80" ht="35.25" hidden="1" customHeight="1">
      <c r="A61" s="347">
        <v>18</v>
      </c>
      <c r="B61" s="364"/>
      <c r="C61" s="244">
        <v>20063380</v>
      </c>
      <c r="D61" s="390" t="s">
        <v>415</v>
      </c>
      <c r="E61" s="372" t="s">
        <v>69</v>
      </c>
      <c r="F61" s="365"/>
      <c r="G61" s="365"/>
      <c r="H61" s="373"/>
      <c r="I61" s="374">
        <f t="shared" si="15"/>
        <v>0</v>
      </c>
      <c r="J61" s="374"/>
      <c r="K61" s="365"/>
      <c r="L61" s="408"/>
      <c r="V61" s="382"/>
      <c r="AF61" s="383"/>
      <c r="AP61" s="384"/>
      <c r="AZ61" s="386"/>
      <c r="BJ61" s="388"/>
      <c r="BT61" s="412"/>
    </row>
    <row r="62" spans="1:80" ht="35.25" hidden="1" customHeight="1">
      <c r="A62" s="347">
        <v>19</v>
      </c>
      <c r="B62" s="364"/>
      <c r="C62" s="244">
        <v>20063381</v>
      </c>
      <c r="D62" s="390" t="s">
        <v>416</v>
      </c>
      <c r="E62" s="372" t="s">
        <v>69</v>
      </c>
      <c r="F62" s="365"/>
      <c r="G62" s="365"/>
      <c r="H62" s="373"/>
      <c r="I62" s="374">
        <f t="shared" si="15"/>
        <v>0</v>
      </c>
      <c r="J62" s="374"/>
      <c r="K62" s="365"/>
      <c r="L62" s="408"/>
      <c r="V62" s="382"/>
      <c r="AF62" s="383"/>
      <c r="AP62" s="384"/>
      <c r="AZ62" s="386"/>
      <c r="BJ62" s="388"/>
      <c r="BT62" s="412"/>
    </row>
    <row r="63" spans="1:80" ht="35.25" hidden="1" customHeight="1">
      <c r="A63" s="347">
        <v>20</v>
      </c>
      <c r="B63" s="364"/>
      <c r="C63" s="244">
        <v>20063468</v>
      </c>
      <c r="D63" s="390" t="s">
        <v>419</v>
      </c>
      <c r="E63" s="372" t="s">
        <v>69</v>
      </c>
      <c r="F63" s="365"/>
      <c r="G63" s="365"/>
      <c r="H63" s="373"/>
      <c r="I63" s="374">
        <f t="shared" si="15"/>
        <v>0</v>
      </c>
      <c r="J63" s="374"/>
      <c r="K63" s="365"/>
      <c r="L63" s="408"/>
      <c r="V63" s="382"/>
      <c r="AF63" s="383"/>
      <c r="AP63" s="384"/>
      <c r="AZ63" s="386"/>
      <c r="BJ63" s="388"/>
      <c r="BT63" s="412"/>
    </row>
    <row r="64" spans="1:80" ht="31.5" hidden="1" customHeight="1">
      <c r="A64" s="347">
        <v>21</v>
      </c>
      <c r="B64" s="364"/>
      <c r="C64" s="380">
        <v>20063720</v>
      </c>
      <c r="D64" s="381" t="s">
        <v>467</v>
      </c>
      <c r="E64" s="372" t="s">
        <v>69</v>
      </c>
      <c r="F64" s="365"/>
      <c r="G64" s="365"/>
      <c r="H64" s="373"/>
      <c r="I64" s="374">
        <f t="shared" si="15"/>
        <v>0</v>
      </c>
      <c r="J64" s="374"/>
      <c r="K64" s="365"/>
      <c r="L64" s="408"/>
      <c r="V64" s="382"/>
      <c r="AF64" s="383"/>
      <c r="AP64" s="384"/>
      <c r="AZ64" s="386"/>
      <c r="BJ64" s="388"/>
      <c r="BT64" s="412"/>
    </row>
    <row r="65" spans="1:72" ht="31.5" hidden="1" customHeight="1">
      <c r="A65" s="347">
        <v>22</v>
      </c>
      <c r="B65" s="364"/>
      <c r="C65" s="380">
        <v>20063783</v>
      </c>
      <c r="D65" s="381" t="s">
        <v>459</v>
      </c>
      <c r="E65" s="372" t="s">
        <v>69</v>
      </c>
      <c r="F65" s="365"/>
      <c r="G65" s="365"/>
      <c r="H65" s="373"/>
      <c r="I65" s="374">
        <f t="shared" ref="I65" si="16">SUM(L65,V65,AF65,AP65,AZ65,BJ65,BT65)</f>
        <v>0</v>
      </c>
      <c r="J65" s="374"/>
      <c r="K65" s="365"/>
      <c r="L65" s="408"/>
      <c r="V65" s="382"/>
      <c r="AF65" s="383"/>
      <c r="AP65" s="384"/>
      <c r="AZ65" s="386"/>
      <c r="BJ65" s="388"/>
      <c r="BT65" s="412"/>
    </row>
    <row r="66" spans="1:72" ht="31.5" hidden="1" customHeight="1">
      <c r="A66" s="347">
        <v>23</v>
      </c>
      <c r="B66" s="364"/>
      <c r="C66" s="380">
        <v>20063930</v>
      </c>
      <c r="D66" s="392" t="s">
        <v>468</v>
      </c>
      <c r="E66" s="372" t="s">
        <v>69</v>
      </c>
      <c r="F66" s="365"/>
      <c r="G66" s="365"/>
      <c r="H66" s="373"/>
      <c r="I66" s="374">
        <f t="shared" ref="I66:I67" si="17">SUM(L66,V66,AF66,AP66,AZ66,BJ66,BT66)</f>
        <v>0</v>
      </c>
      <c r="J66" s="374"/>
      <c r="K66" s="365"/>
      <c r="L66" s="408"/>
      <c r="V66" s="382"/>
      <c r="AF66" s="383"/>
      <c r="AP66" s="384"/>
      <c r="AZ66" s="386"/>
      <c r="BJ66" s="388"/>
      <c r="BT66" s="412"/>
    </row>
    <row r="67" spans="1:72" ht="31.5" hidden="1" customHeight="1">
      <c r="A67" s="347">
        <v>24</v>
      </c>
      <c r="B67" s="364"/>
      <c r="C67" s="380">
        <v>20063929</v>
      </c>
      <c r="D67" s="392" t="s">
        <v>469</v>
      </c>
      <c r="E67" s="372" t="s">
        <v>69</v>
      </c>
      <c r="F67" s="365"/>
      <c r="G67" s="365"/>
      <c r="H67" s="373"/>
      <c r="I67" s="374">
        <f t="shared" si="17"/>
        <v>0</v>
      </c>
      <c r="J67" s="374"/>
      <c r="K67" s="365"/>
      <c r="L67" s="408"/>
      <c r="V67" s="382"/>
      <c r="AF67" s="383"/>
      <c r="AP67" s="384"/>
      <c r="AZ67" s="386"/>
      <c r="BJ67" s="388"/>
      <c r="BT67" s="412"/>
    </row>
    <row r="68" spans="1:72" ht="31.5" hidden="1" customHeight="1">
      <c r="A68" s="347">
        <v>25</v>
      </c>
      <c r="B68" s="364"/>
      <c r="C68" s="380">
        <v>20064190</v>
      </c>
      <c r="D68" s="393" t="s">
        <v>446</v>
      </c>
      <c r="E68" s="372" t="s">
        <v>69</v>
      </c>
      <c r="F68" s="365"/>
      <c r="G68" s="365"/>
      <c r="H68" s="373"/>
      <c r="I68" s="374">
        <f t="shared" ref="I68:I72" si="18">SUM(L68,V68,AF68,AP68,AZ68,BJ68,BT68)</f>
        <v>0</v>
      </c>
      <c r="J68" s="374"/>
      <c r="K68" s="365"/>
      <c r="L68" s="408"/>
      <c r="V68" s="382"/>
      <c r="AF68" s="383"/>
      <c r="AP68" s="384"/>
      <c r="AZ68" s="386"/>
      <c r="BJ68" s="388"/>
      <c r="BT68" s="412"/>
    </row>
    <row r="69" spans="1:72" ht="31.5" hidden="1" customHeight="1">
      <c r="A69" s="347">
        <v>26</v>
      </c>
      <c r="B69" s="364"/>
      <c r="C69" s="380">
        <v>20064191</v>
      </c>
      <c r="D69" s="393" t="s">
        <v>447</v>
      </c>
      <c r="E69" s="372" t="s">
        <v>69</v>
      </c>
      <c r="F69" s="365"/>
      <c r="G69" s="365"/>
      <c r="H69" s="373"/>
      <c r="I69" s="374">
        <f t="shared" si="18"/>
        <v>0</v>
      </c>
      <c r="J69" s="374"/>
      <c r="K69" s="365"/>
      <c r="L69" s="408"/>
      <c r="V69" s="382"/>
      <c r="AF69" s="383"/>
      <c r="AP69" s="384"/>
      <c r="AZ69" s="386"/>
      <c r="BJ69" s="388"/>
      <c r="BT69" s="412"/>
    </row>
    <row r="70" spans="1:72" ht="31.5" hidden="1" customHeight="1">
      <c r="A70" s="347">
        <v>27</v>
      </c>
      <c r="B70" s="364"/>
      <c r="C70" s="394">
        <v>20064271</v>
      </c>
      <c r="D70" s="395" t="s">
        <v>448</v>
      </c>
      <c r="E70" s="372" t="s">
        <v>69</v>
      </c>
      <c r="F70" s="365"/>
      <c r="G70" s="365"/>
      <c r="H70" s="373"/>
      <c r="I70" s="374">
        <f t="shared" si="18"/>
        <v>0</v>
      </c>
      <c r="J70" s="374"/>
      <c r="K70" s="365"/>
      <c r="L70" s="408"/>
      <c r="V70" s="382"/>
      <c r="AF70" s="383"/>
      <c r="AP70" s="384"/>
      <c r="AZ70" s="386"/>
      <c r="BJ70" s="388"/>
      <c r="BT70" s="412"/>
    </row>
    <row r="71" spans="1:72" ht="31.5" hidden="1" customHeight="1">
      <c r="A71" s="347">
        <v>28</v>
      </c>
      <c r="B71" s="364"/>
      <c r="C71" s="396">
        <v>20064365</v>
      </c>
      <c r="D71" s="395" t="s">
        <v>449</v>
      </c>
      <c r="E71" s="372" t="s">
        <v>69</v>
      </c>
      <c r="F71" s="365"/>
      <c r="G71" s="365"/>
      <c r="H71" s="373"/>
      <c r="I71" s="374">
        <f t="shared" si="18"/>
        <v>0</v>
      </c>
      <c r="J71" s="374"/>
      <c r="K71" s="365"/>
      <c r="L71" s="408"/>
      <c r="V71" s="382"/>
      <c r="AF71" s="383"/>
      <c r="AP71" s="384"/>
      <c r="AZ71" s="386"/>
      <c r="BJ71" s="388"/>
      <c r="BT71" s="412"/>
    </row>
    <row r="72" spans="1:72" ht="30" hidden="1" customHeight="1">
      <c r="A72" s="347">
        <v>29</v>
      </c>
      <c r="B72" s="364"/>
      <c r="C72" s="397">
        <v>20064366</v>
      </c>
      <c r="D72" s="398" t="s">
        <v>450</v>
      </c>
      <c r="E72" s="372" t="s">
        <v>69</v>
      </c>
      <c r="F72" s="365"/>
      <c r="G72" s="365"/>
      <c r="H72" s="373"/>
      <c r="I72" s="374">
        <f t="shared" si="18"/>
        <v>0</v>
      </c>
      <c r="J72" s="374"/>
      <c r="K72" s="365"/>
      <c r="L72" s="408"/>
      <c r="V72" s="382"/>
      <c r="AF72" s="383"/>
      <c r="AP72" s="384"/>
      <c r="AZ72" s="386"/>
      <c r="BJ72" s="388"/>
      <c r="BT72" s="412"/>
    </row>
    <row r="73" spans="1:72" ht="15.75" customHeight="1">
      <c r="K73" s="413"/>
      <c r="L73" s="413"/>
      <c r="V73" s="413"/>
      <c r="AF73" s="413"/>
      <c r="AP73" s="413"/>
      <c r="AZ73" s="413"/>
      <c r="BJ73" s="413"/>
      <c r="BT73" s="413"/>
    </row>
  </sheetData>
  <autoFilter ref="A1:CB72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92" customFormat="1" ht="15.75" customHeight="1">
      <c r="A1" s="603" t="s">
        <v>14</v>
      </c>
      <c r="B1" s="605"/>
      <c r="C1" s="605"/>
      <c r="D1" s="605"/>
      <c r="E1" s="605"/>
      <c r="F1" s="604"/>
      <c r="G1" s="493"/>
      <c r="H1" s="603" t="s">
        <v>15</v>
      </c>
      <c r="I1" s="604"/>
      <c r="J1" s="604"/>
      <c r="K1" s="604"/>
      <c r="L1" s="604"/>
      <c r="M1" s="604"/>
      <c r="N1" s="493"/>
      <c r="O1" s="603" t="s">
        <v>16</v>
      </c>
      <c r="P1" s="604"/>
      <c r="Q1" s="604"/>
      <c r="R1" s="604"/>
      <c r="S1" s="604"/>
      <c r="T1" s="604"/>
      <c r="U1" s="493"/>
      <c r="V1" s="603" t="s">
        <v>17</v>
      </c>
      <c r="W1" s="604"/>
      <c r="X1" s="604"/>
      <c r="Y1" s="604"/>
      <c r="Z1" s="604"/>
      <c r="AA1" s="604"/>
      <c r="AB1" s="493"/>
      <c r="AC1" s="603" t="s">
        <v>385</v>
      </c>
      <c r="AD1" s="604"/>
      <c r="AE1" s="604"/>
      <c r="AF1" s="604"/>
      <c r="AG1" s="604"/>
      <c r="AH1" s="604"/>
      <c r="AI1" s="493"/>
      <c r="AJ1" s="603" t="s">
        <v>19</v>
      </c>
      <c r="AK1" s="604"/>
      <c r="AL1" s="604"/>
      <c r="AM1" s="604"/>
      <c r="AN1" s="604"/>
      <c r="AO1" s="604"/>
      <c r="AP1" s="493"/>
      <c r="AQ1" s="603" t="s">
        <v>386</v>
      </c>
      <c r="AR1" s="604"/>
      <c r="AS1" s="604"/>
      <c r="AT1" s="604"/>
      <c r="AU1" s="604"/>
      <c r="AV1" s="60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01"/>
      <c r="P68" s="602"/>
      <c r="Q68" s="7"/>
      <c r="R68" s="6"/>
      <c r="S68" s="7"/>
      <c r="T68" s="6"/>
      <c r="U68" s="8"/>
      <c r="V68" s="8"/>
      <c r="W68" s="1"/>
      <c r="X68" s="1"/>
      <c r="Y68" s="601"/>
      <c r="Z68" s="602"/>
      <c r="AA68" s="7"/>
      <c r="AB68" s="6"/>
      <c r="AC68" s="7"/>
      <c r="AD68" s="6"/>
      <c r="AE68" s="8"/>
      <c r="AF68" s="8"/>
      <c r="AG68" s="1"/>
      <c r="AH68" s="1"/>
      <c r="AI68" s="601"/>
      <c r="AJ68" s="602"/>
      <c r="AK68" s="7"/>
      <c r="AL68" s="6"/>
      <c r="AM68" s="7"/>
      <c r="AN68" s="6"/>
      <c r="AO68" s="8"/>
      <c r="AP68" s="8"/>
      <c r="AQ68" s="1"/>
      <c r="AR68" s="1"/>
      <c r="AS68" s="601"/>
      <c r="AT68" s="602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1"/>
      <c r="P69" s="602"/>
      <c r="Q69" s="7"/>
      <c r="R69" s="6"/>
      <c r="S69" s="7"/>
      <c r="T69" s="6"/>
      <c r="U69" s="8"/>
      <c r="V69" s="8"/>
      <c r="W69" s="1"/>
      <c r="X69" s="1"/>
      <c r="Y69" s="601"/>
      <c r="Z69" s="602"/>
      <c r="AA69" s="7"/>
      <c r="AB69" s="6"/>
      <c r="AC69" s="7"/>
      <c r="AD69" s="6"/>
      <c r="AE69" s="8"/>
      <c r="AF69" s="8"/>
      <c r="AG69" s="1"/>
      <c r="AH69" s="1"/>
      <c r="AI69" s="601"/>
      <c r="AJ69" s="602"/>
      <c r="AK69" s="7"/>
      <c r="AL69" s="6"/>
      <c r="AM69" s="7"/>
      <c r="AN69" s="6"/>
      <c r="AO69" s="8"/>
      <c r="AP69" s="8"/>
      <c r="AQ69" s="1"/>
      <c r="AR69" s="1"/>
      <c r="AS69" s="601"/>
      <c r="AT69" s="602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1"/>
      <c r="P70" s="602"/>
      <c r="Q70" s="7"/>
      <c r="R70" s="6"/>
      <c r="S70" s="7"/>
      <c r="T70" s="6"/>
      <c r="U70" s="8"/>
      <c r="V70" s="8"/>
      <c r="W70" s="1"/>
      <c r="X70" s="1"/>
      <c r="Y70" s="601"/>
      <c r="Z70" s="602"/>
      <c r="AA70" s="7"/>
      <c r="AB70" s="6"/>
      <c r="AC70" s="7"/>
      <c r="AD70" s="6"/>
      <c r="AE70" s="8"/>
      <c r="AF70" s="8"/>
      <c r="AG70" s="1"/>
      <c r="AH70" s="1"/>
      <c r="AI70" s="601"/>
      <c r="AJ70" s="602"/>
      <c r="AK70" s="7"/>
      <c r="AL70" s="6"/>
      <c r="AM70" s="7"/>
      <c r="AN70" s="6"/>
      <c r="AO70" s="8"/>
      <c r="AP70" s="8"/>
      <c r="AQ70" s="1"/>
      <c r="AR70" s="1"/>
      <c r="AS70" s="601"/>
      <c r="AT70" s="602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2026-05-27T06:45:01Z</dcterms:modified>
</cp:coreProperties>
</file>