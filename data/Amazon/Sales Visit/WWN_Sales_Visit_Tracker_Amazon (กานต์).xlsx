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Project Sales 2\Project Sales\Data\Amazon\Sales Visit\"/>
    </mc:Choice>
  </mc:AlternateContent>
  <xr:revisionPtr revIDLastSave="0" documentId="13_ncr:1_{60462C61-6F30-4F94-B9C9-15C5C036E49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" sheetId="1" r:id="rId1"/>
    <sheet name="Sales Visit Tracker" sheetId="2" r:id="rId2"/>
    <sheet name="Dropdown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3" i="1"/>
  <c r="B16" i="1"/>
  <c r="B15" i="1"/>
  <c r="B14" i="1"/>
  <c r="B8" i="1"/>
  <c r="B7" i="1"/>
  <c r="B6" i="1"/>
  <c r="B5" i="1"/>
  <c r="A63" i="1" s="1"/>
  <c r="B63" i="1" s="1"/>
  <c r="B4" i="1"/>
  <c r="C19" i="1" s="1"/>
  <c r="C20" i="1" l="1"/>
  <c r="C21" i="1"/>
  <c r="C22" i="1"/>
  <c r="B9" i="1"/>
  <c r="A62" i="1"/>
  <c r="B62" i="1" s="1"/>
</calcChain>
</file>

<file path=xl/sharedStrings.xml><?xml version="1.0" encoding="utf-8"?>
<sst xmlns="http://schemas.openxmlformats.org/spreadsheetml/2006/main" count="683" uniqueCount="288">
  <si>
    <t>Sales Visit Summary</t>
  </si>
  <si>
    <t>รายการ</t>
  </si>
  <si>
    <t>จำนวน</t>
  </si>
  <si>
    <t>จำนวนครั้งที่เข้าพบ</t>
  </si>
  <si>
    <t>ปิดการขายแล้ว</t>
  </si>
  <si>
    <t>ยังไม่ปิด</t>
  </si>
  <si>
    <t>รออนุมัติ</t>
  </si>
  <si>
    <t>ไม่ผ่าน</t>
  </si>
  <si>
    <t>Conversion Rate</t>
  </si>
  <si>
    <t>Pipeline</t>
  </si>
  <si>
    <t>Open</t>
  </si>
  <si>
    <t>Follow Up</t>
  </si>
  <si>
    <t>Won</t>
  </si>
  <si>
    <t>Lost</t>
  </si>
  <si>
    <t>Sales Visit Tracker</t>
  </si>
  <si>
    <t>แบบฟอร์มติดตามการเข้าพบลูกค้า/สาขา สำหรับทีมขาย</t>
  </si>
  <si>
    <t>วันเดือนปี</t>
  </si>
  <si>
    <t>รหัสร้านค้า</t>
  </si>
  <si>
    <t>ชื่อร้านค้า/สาขา</t>
  </si>
  <si>
    <t>ไปเพราะอะไร</t>
  </si>
  <si>
    <t>ตัวอย่างมีอะไรบ้าง</t>
  </si>
  <si>
    <t>ผลการไปวันดังกล่าว</t>
  </si>
  <si>
    <t>Call เพื่อติดตาม</t>
  </si>
  <si>
    <t>หมายเหตุ</t>
  </si>
  <si>
    <t>ชื่อเซลส์</t>
  </si>
  <si>
    <t>นำเสนอสินค้าใหม่</t>
  </si>
  <si>
    <t>เอแคลร์นมสด (8 ชิ้น)</t>
  </si>
  <si>
    <t>สนใจ</t>
  </si>
  <si>
    <t>โทรแล้ว</t>
  </si>
  <si>
    <t>ติดตามต่อ</t>
  </si>
  <si>
    <t>เปิดร้านใหม่</t>
  </si>
  <si>
    <t>ขอชิมเพิ่ม</t>
  </si>
  <si>
    <t>รอตัดสินใจ</t>
  </si>
  <si>
    <t>ไม่สนใจ</t>
  </si>
  <si>
    <t>ไม่ปิดการขาย</t>
  </si>
  <si>
    <t>ขอราคา/ข้อมูลเพิ่ม</t>
  </si>
  <si>
    <t>นัดติดตามต่อ</t>
  </si>
  <si>
    <t>สินค้า</t>
  </si>
  <si>
    <t>ผลการไป</t>
  </si>
  <si>
    <t>ยังไม่โทร</t>
  </si>
  <si>
    <t>Sales 1</t>
  </si>
  <si>
    <t>ครีมฮอร์น วนิลา</t>
  </si>
  <si>
    <t>ติดตามยอดขาย</t>
  </si>
  <si>
    <t>Sales 2</t>
  </si>
  <si>
    <t>ขนมปังเนยนิ่ม</t>
  </si>
  <si>
    <t>นัดโทรอีกครั้ง</t>
  </si>
  <si>
    <t>Sales 3</t>
  </si>
  <si>
    <t>ขนมปังสังขยา 6 ชิ้น</t>
  </si>
  <si>
    <t>เก็บข้อมูลคู่แข่ง</t>
  </si>
  <si>
    <t>ติดต่อไม่ได้</t>
  </si>
  <si>
    <t>Sales 4</t>
  </si>
  <si>
    <t>แซนด์วิช โฮวีททูน่า ไร้ขอบ</t>
  </si>
  <si>
    <t>แก้ไขปัญหาสินค้า</t>
  </si>
  <si>
    <t>สั่งซื้อแล้ว</t>
  </si>
  <si>
    <t>Sales 5</t>
  </si>
  <si>
    <t>ครีมฮอร์น ใบเตย</t>
  </si>
  <si>
    <t>ติดตามโปรโมชั่น</t>
  </si>
  <si>
    <t>Sales 6</t>
  </si>
  <si>
    <t>ชิฟฟ่อนเค้ก รวมรส (4 ชิ้น)</t>
  </si>
  <si>
    <t>รับออเดอร์</t>
  </si>
  <si>
    <t>Sales 7</t>
  </si>
  <si>
    <t>แซนด์วิช โฮลวีทแฮมชีส ไร้ขอบ</t>
  </si>
  <si>
    <t>อื่นๆ</t>
  </si>
  <si>
    <t>Sales 8</t>
  </si>
  <si>
    <t>ขนมเปี๊ยะไส้ถั่วไข่เค็ม (4 ชิ้น)</t>
  </si>
  <si>
    <t>Sales 9</t>
  </si>
  <si>
    <t>แซนด์วิชปูอัด ไร้ขอบ</t>
  </si>
  <si>
    <t>Sales 10</t>
  </si>
  <si>
    <t>แซนด์วิชแฮมชีส_WWN ไร้ขอบ</t>
  </si>
  <si>
    <t>คัพเค้กมะพร้าวไส้ครีมเนยสด (4 ชิ้น)</t>
  </si>
  <si>
    <t>เอแคลร์ชาไทย</t>
  </si>
  <si>
    <t>แซนด์วิชปูอัดสาหร่าย ไร้ขอบ</t>
  </si>
  <si>
    <t>ขนมปังลาวาไข่เค็ม</t>
  </si>
  <si>
    <t>SD3647</t>
  </si>
  <si>
    <t>ท่าเรือราชวงศ์</t>
  </si>
  <si>
    <t xml:space="preserve">SC 4541 </t>
  </si>
  <si>
    <t>MRT วัดมังกร</t>
  </si>
  <si>
    <t>SD3981</t>
  </si>
  <si>
    <t>วัดไตรมิตร</t>
  </si>
  <si>
    <t>SD3360</t>
  </si>
  <si>
    <t>CAT TOWER บางรัก</t>
  </si>
  <si>
    <t>SD3363</t>
  </si>
  <si>
    <t>SD3660</t>
  </si>
  <si>
    <t>SD1180</t>
  </si>
  <si>
    <t>SD5448</t>
  </si>
  <si>
    <t>SD0932</t>
  </si>
  <si>
    <t>SD3141</t>
  </si>
  <si>
    <t xml:space="preserve">อาคารพาณิชย์ สาทร 11 </t>
  </si>
  <si>
    <t>สนใจรอบสั่งวันศุกร์ ส่งวันจันทร์ (อยากได้ขนมช่วงเช้า ร้านเปิด 7 โมง) / นำขนมเทสมาให้วันจันทร์</t>
  </si>
  <si>
    <t xml:space="preserve">ไทยซีซี ทาวเวอร์ </t>
  </si>
  <si>
    <t>ไม่สนใจ 100% เนื่องจากมีร้านขนมอบสดมาเปิดติดร้านทั้ง 2 ฝั่ง ทำให้ร้านขายขนมไม่ดี</t>
  </si>
  <si>
    <t xml:space="preserve">ซี.พี . ทาวน์เวอร์ 1 (สีลม) </t>
  </si>
  <si>
    <t>ไปไม่ทันเวลาเปิดทำการ</t>
  </si>
  <si>
    <t>อาคาร สาธร ซิตี้ ทาวเวอร์</t>
  </si>
  <si>
    <t>สนใจรอบสั่งวันศุกร์ ส่งวันจันทร์ (อยากได้ขนมช่วงเช้า ร้านเปิด 7 โมง สามารถมาวางไว้หน้าร้านได้ แต่แช่เย็นให้ด้วย) / นำขนมเทสมาให้วันจันทร์ / ขนมที่ขายดีจะเป็นประเภทแซนวิช</t>
  </si>
  <si>
    <t>สีลมคอมเพล็กซ์ ชั้น 4</t>
  </si>
  <si>
    <t>อยากได้ขั้นต่ำ 500-800 บาท (ปุ๊มแอนด์ป๊อป 500 บาท ) / ในห้างมีร้านเป็นตัวเลือกจำนวนมาก / สนใจรอบสั่งวันศุกร์ ส่งวันจันทร์</t>
  </si>
  <si>
    <t xml:space="preserve">BTS ช่องนนทรี </t>
  </si>
  <si>
    <t>รอลูกค้าเลือกขนมที่สนใจ และนำไปให้เทสวันจันทร์</t>
  </si>
  <si>
    <t>SD3106</t>
  </si>
  <si>
    <t xml:space="preserve">SVL House เอสวีแอล </t>
  </si>
  <si>
    <t>รอ ผจก ตัดสินใจ</t>
  </si>
  <si>
    <t>ลูกสนใจซื้อขาด / ตู้เย็นมีขนาดจำกัด / ต้องสลับโบว์ ภัทราและ Factory ซึ่งตู้ใส่ได้ทีละ  2แบรนด์ / จะลองสั่งมา วันจันทร์ ส่งวันพฤหัส</t>
  </si>
  <si>
    <t>สนใจแบบซื้อขาด /สั่งรอบวันศุกร์ ส่งวันจันทร์ / นำขนมแจกชิมให้เทสวันศุกร์</t>
  </si>
  <si>
    <t xml:space="preserve">ระบบ CoCo ปิดชั่วคราว /สนใจสั่งขนมหลังจากระบบเปิด </t>
  </si>
  <si>
    <t>สนใจขนมประเภทแซนวิช / รสชาติไม่หวานมาก / เคยสั่งไปแล้วขายไม่ค่อยออกเลยหยุดสั่ง / ตู้เย็นมี 2 ตู้</t>
  </si>
  <si>
    <t>รอบสั่ง 10/07/69</t>
  </si>
  <si>
    <t>รอระบบ Coco เปิด ทางร้านพร้อมสั่ง</t>
  </si>
  <si>
    <t xml:space="preserve">ทางร้านลดซัพจากเดิมลง เพราะขายไม่ดี </t>
  </si>
  <si>
    <t>**** ใส่สีแดงคือร้านที่มีการสั่งซื้อแล้วหลังจากเข้าไปคุย***</t>
  </si>
  <si>
    <t>SD3536</t>
  </si>
  <si>
    <t>SD2666</t>
  </si>
  <si>
    <t>RM3793</t>
  </si>
  <si>
    <t>DD4039</t>
  </si>
  <si>
    <t>SD3292</t>
  </si>
  <si>
    <t>SD5372</t>
  </si>
  <si>
    <t>SD5210</t>
  </si>
  <si>
    <t>RM3724</t>
  </si>
  <si>
    <t>สนามฟุตบอล The Blue Arena</t>
  </si>
  <si>
    <t>Big C สมุทรปราการ</t>
  </si>
  <si>
    <t>สถานีบริการ หจก.สมจิตรบริการ</t>
  </si>
  <si>
    <t>โรงพยาบาลสมุทรปราการ</t>
  </si>
  <si>
    <t>Cafe Amazon ตลาดคิงคองมาร์เก็ต</t>
  </si>
  <si>
    <t>Café Amazon ซอยโนรี</t>
  </si>
  <si>
    <t>PTTRM สมุทรปราการ-นาวี</t>
  </si>
  <si>
    <t>*** ขึ้นรหัส OS****</t>
  </si>
  <si>
    <t>อาคารสาธรซิตี้ ทาวเวอร์</t>
  </si>
  <si>
    <t>Café Amazon BTS ช่องนนทรี</t>
  </si>
  <si>
    <t>Café Amazon SVL House</t>
  </si>
  <si>
    <t>Café Amazon สาทร 11</t>
  </si>
  <si>
    <t>อาคาร ซี.พี. ทาวเวอร์ 1</t>
  </si>
  <si>
    <t>สั่งไปแล้ว แต่ลืมกันเงินไว้ในระบบ / เดี๋ยวสั่งใหม่วันจันทร์</t>
  </si>
  <si>
    <t>รอนำของชิมไปให้เจ้าของร้านชิม / ติดตามผลอีกที</t>
  </si>
  <si>
    <t>DD2934</t>
  </si>
  <si>
    <t>SD2493</t>
  </si>
  <si>
    <t>SD3418</t>
  </si>
  <si>
    <t>SD3086</t>
  </si>
  <si>
    <t>DD4843</t>
  </si>
  <si>
    <t>DD2860</t>
  </si>
  <si>
    <t>RM1436</t>
  </si>
  <si>
    <t>RM0484</t>
  </si>
  <si>
    <r>
      <rPr>
        <sz val="11"/>
        <color rgb="FFFF0000"/>
        <rFont val="Carlito"/>
        <charset val="222"/>
      </rPr>
      <t>*ลูกค้าสั่งอยู่แล้วแต่ว่านานๆสั่งทีหมดเลยขึ้นเป็นสีแดง</t>
    </r>
    <r>
      <rPr>
        <sz val="11"/>
        <rFont val="Carlito"/>
        <charset val="222"/>
      </rPr>
      <t xml:space="preserve">
*นำขนม Test มาให้เทสวันอังคารหน้า
*ลูกค้าจะกลับมาสั่งรอบส่งวันเสร์นี้
*มีแบรนด์ใหม่ชื่อแบรนด์วีรภัทร
* มีแบรนด์พัทรา และ  Factory</t>
    </r>
  </si>
  <si>
    <r>
      <rPr>
        <sz val="11"/>
        <color rgb="FFFF0000"/>
        <rFont val="Carlito"/>
        <charset val="222"/>
      </rPr>
      <t xml:space="preserve">*รอบส่งชนกับซัพอื่นทั้ง 2 รอบ ( วันพุธชน 3 ซัพและวันเสาร์ชน 2 ซัพ) </t>
    </r>
    <r>
      <rPr>
        <sz val="11"/>
        <rFont val="Carlito"/>
        <charset val="222"/>
      </rPr>
      <t xml:space="preserve">
*ลูกค้าจะลองสั่งให้มาส่งวันเสาร์นี้
*นำขนมมาให้เทสวันอังคารหน้า</t>
    </r>
  </si>
  <si>
    <t>*มีขนมของ Factory ปุ๊งแอนด์ป๊อป โอ้กะจู๋และภัทรา
*เคยสั่งแล้วหายไป 
*รอติดต่อผู้จัดการอีกรอบวันนี้ผู้จัดการลา
*ขนมที่ขายดีจะเป็นประเภทพวกชิฟฟ่อน</t>
  </si>
  <si>
    <t>* เคยสั่งแต่นานแล้ว
* มีปั้นแป้ง ภัทรา ชิวเล้าจ์
* รอบส่งวันเสาร์ว่าง
* รอ พนักงานนำเสนอเจ้าของร้านอีกที</t>
  </si>
  <si>
    <t xml:space="preserve">*ยังไม่เคยสั่ง
* รอบไม่ซ้ำ เพราะบางซัพส่งไม่ตรงรอบ
* พึ่งเอาวีระภัทรและปั้นแป้งเข้ามา
* เดิมมีภัทรา อบร้อน 
* ขายดีพวกแซนวิช ขนมปัง
* รอคุยกับ ผจก แต่ ผจกบอกเอามาได้เลย รอหาวันลง </t>
  </si>
  <si>
    <t>สถานีบริการ บจ.ดับบลิว ทรีโอ้</t>
  </si>
  <si>
    <t>May market</t>
  </si>
  <si>
    <t>Café Amazon บุญถาวร สุวรรณภูมิ</t>
  </si>
  <si>
    <t>มหาวิทยาลัยหัวเฉียวเฉลิมพระเกียรติ</t>
  </si>
  <si>
    <t>สถานีบริการ บจ.พีทีที ปาร์ค มอลล์ 4 (Amz./พส.)</t>
  </si>
  <si>
    <t>สถานีบริการ บจ.มะขามหย่งขนส่ง</t>
  </si>
  <si>
    <t>PTTRM สน.ฉะเชิงเทรา-บางนาตราด กม.37</t>
  </si>
  <si>
    <t>SD3787</t>
  </si>
  <si>
    <t>SD2347</t>
  </si>
  <si>
    <t>SD3513</t>
  </si>
  <si>
    <t>SD3899</t>
  </si>
  <si>
    <t>SD2130</t>
  </si>
  <si>
    <t>SD4646</t>
  </si>
  <si>
    <t>SD2326</t>
  </si>
  <si>
    <t>SD0781</t>
  </si>
  <si>
    <t>Index Living Mall บางนา</t>
  </si>
  <si>
    <t>โครงการลาซาล อเวนิว สาขา ลาซาล</t>
  </si>
  <si>
    <t>Café Amazon โครงการ For You Park</t>
  </si>
  <si>
    <t>ศูนย์นิทรรศการและการประชุมไบเทค</t>
  </si>
  <si>
    <t>Interlink Tower (เนชั่นเดิม)</t>
  </si>
  <si>
    <t>อาคาร AIA East Gateway บางนา</t>
  </si>
  <si>
    <t>Imperial World สำโรง ชั้น BF</t>
  </si>
  <si>
    <t>Imperial World สำโรง ชั้น 1F</t>
  </si>
  <si>
    <r>
      <rPr>
        <sz val="11"/>
        <color rgb="FFFF0000"/>
        <rFont val="Carlito"/>
        <charset val="222"/>
      </rPr>
      <t>*เคยสั่ง แต่ไม่ได้สั่งนานแล้ว เพราะต้องสลับสั่ง กับซัพอื่นๆ ทำให้นานกว่าจะวนกลับมา</t>
    </r>
    <r>
      <rPr>
        <sz val="11"/>
        <rFont val="Carlito"/>
      </rPr>
      <t xml:space="preserve">
*สนใจรอบส่งวันพุธ สลับกับภัทรา
*ขนมในร้านมีภัทรากับอเมซอน
*ขนมอบสดขายดี
* นำขนมมาให้เทสวันพุธหน้า (23/07/69)
*รอปรึกษากับเขตอีกรอบ</t>
    </r>
  </si>
  <si>
    <r>
      <t xml:space="preserve"> *รอ ผจก ตัดสินใจ
*ทางร้านเลือกขนม แล้วนำมาให้เทสวันพุธ (23/07/69)
*รอบส่งไม่ชนกับซัพอื่นๆ
*ขนมในร้านมีแต่ภัทรา และ แฟคตอรี่
*</t>
    </r>
    <r>
      <rPr>
        <sz val="11"/>
        <color rgb="FFFF0000"/>
        <rFont val="Carlito"/>
        <charset val="222"/>
      </rPr>
      <t>กำลังมองหาขนมสับเปลี่ยนภายฝนร้านพอดี</t>
    </r>
    <r>
      <rPr>
        <sz val="11"/>
        <rFont val="Carlito"/>
        <charset val="222"/>
      </rPr>
      <t xml:space="preserve">
*อีก 2 วันติดตามผล</t>
    </r>
  </si>
  <si>
    <r>
      <t>*จะส่งรอบวันพุธ (23/07/69)
*</t>
    </r>
    <r>
      <rPr>
        <sz val="11"/>
        <color rgb="FFFF0000"/>
        <rFont val="Carlito"/>
        <charset val="222"/>
      </rPr>
      <t>จะตัดปุ๊มแอนด์ป๊อป เพราะส่งบ่ายสาม (เสียโอกาศในการขาย)</t>
    </r>
    <r>
      <rPr>
        <sz val="11"/>
        <rFont val="Carlito"/>
      </rPr>
      <t xml:space="preserve">
*บ้านโบว์ของส่งเร็วมาก ตี 5  ขนมมาวางหน้าร้าน
-ร้านเปิด 6 โมง 
- มีบ้านโบว์ ภัทรา โอ๋กระจู๋ ปุ๊มแอนป๊อบ
- เลือกขนมเทสวันพุธ (23/07/69)</t>
    </r>
  </si>
  <si>
    <r>
      <t>*ในร้านมีแบรนด์ของ ภัทรา ปุ๊งแอนด์ป๊อป และปั้นแป้ง
*สนใจรอบส่งวันเสาร์สลับกับปั้นแป้ง
*</t>
    </r>
    <r>
      <rPr>
        <sz val="11"/>
        <color rgb="FFFF0000"/>
        <rFont val="Carlito"/>
        <charset val="222"/>
      </rPr>
      <t>ภัทรามีราคาขายที่ถูกกว่าทุกแบรนด์และเป็นชิ้นเล็กๆลูกค้าสามารถจับต้องได้ง่ายกว่าจนติดตลาด</t>
    </r>
    <r>
      <rPr>
        <sz val="11"/>
        <rFont val="Carlito"/>
      </rPr>
      <t xml:space="preserve">
* ผู้จัดการ confirm ว่าจะเริ่มสั่งวันไหน (อีก 2 วัน ติดตามผล)
*นำขนมมาให้เทสวันพุธหน้า</t>
    </r>
  </si>
  <si>
    <t>*รอบส่งซ้ำกับภัทรา 1 วันคือวันพุธ
*สินค้าที่ขายดีจะเป็นพวกประเภทแซนด์วิชและขนมอบสด
*เจ้าของร้านตัดสินใจอีกรอบ
*ขอลองเทสขนมวันพุธก่อนสั่ง (23/07/69)</t>
  </si>
  <si>
    <r>
      <rPr>
        <sz val="11"/>
        <color rgb="FFFF0000"/>
        <rFont val="Carlito"/>
        <charset val="222"/>
      </rPr>
      <t>*เคยสั่งแล้ว แต่ขายออกยาก</t>
    </r>
    <r>
      <rPr>
        <sz val="11"/>
        <rFont val="Carlito"/>
        <charset val="222"/>
      </rPr>
      <t xml:space="preserve">
*ตู้เค้กเล็ก วางขนมได้น้อย
*เทสขนมวันพุธ 23/07/69
*รอ ผจก ตัดสินใจ (คนเดียวกับSD0781)</t>
    </r>
  </si>
  <si>
    <r>
      <rPr>
        <sz val="11"/>
        <color rgb="FFFF0000"/>
        <rFont val="Carlito"/>
        <charset val="222"/>
      </rPr>
      <t>*เคยสั่งแล้วแล้วหยุดสั่งเพราะขายยาก
* ขนมเสียก่อนหมดอายุเยอะจึงเลิกสั่ง ( เอแคลร์ชาไทย)</t>
    </r>
    <r>
      <rPr>
        <sz val="11"/>
        <rFont val="Carlito"/>
      </rPr>
      <t xml:space="preserve">
*ตัวชิฟฟ่อนขายดี
* จะเริ่มสั่งให้มาส่งวันพุธ 23/07/69
*นำขนมมาให้เทสวันพุธ 23/07/69
*ผู้จัดการเดียวกับ SD2326</t>
    </r>
  </si>
  <si>
    <r>
      <rPr>
        <sz val="11"/>
        <color rgb="FFFF0000"/>
        <rFont val="Carlito"/>
        <charset val="222"/>
      </rPr>
      <t>*พนักงานแจ้งว่าเคยสั่งและหยุดสั่งไปเป็นปีแล้วเนื่องจากทางผู้จัดการร้านไม่ให้สั่ง เพราะขนมขายออกยาก</t>
    </r>
    <r>
      <rPr>
        <sz val="11"/>
        <rFont val="Carlito"/>
        <charset val="222"/>
      </rPr>
      <t xml:space="preserve">
*พนักงานร้านให้เบอร์ติดต่อทางผู้จัดการมาแทน
</t>
    </r>
    <r>
      <rPr>
        <sz val="11"/>
        <color rgb="FFFF0000"/>
        <rFont val="Carlito"/>
        <charset val="222"/>
      </rPr>
      <t>*พนักงานพยายามปฏิเสธการคุยทุกรูปแบบ</t>
    </r>
    <r>
      <rPr>
        <sz val="11"/>
        <rFont val="Carlito"/>
        <charset val="222"/>
      </rPr>
      <t xml:space="preserve">
*ดำเนินการโทรหาผู้จัดการร้านภายหลัง</t>
    </r>
  </si>
  <si>
    <r>
      <rPr>
        <sz val="11"/>
        <color rgb="FFFF0000"/>
        <rFont val="Carlito"/>
        <charset val="222"/>
      </rPr>
      <t>*ทางร้านเคยสั่งมาแล้วแต่ไม่ค่อยตอบโจทย์ลูกค้า</t>
    </r>
    <r>
      <rPr>
        <sz val="11"/>
        <rFont val="Carlito"/>
        <charset val="222"/>
      </rPr>
      <t xml:space="preserve">
*เสนอให้ทางร้านลองเปิดใจและเลือกขนมเพื่อมาเทสก่อนก่อนสั่งขายอีกรอบ
*ผู้จัดการร้านเป็นคนตัดสินใจให้</t>
    </r>
  </si>
  <si>
    <t>*ยังไม่เคยสั่งของ wwn มาก่อน
*ให้คุยกับเจ้าของร้าน
*เจ้าของร้านให้ร้าน rm3724 ตัดสินใจเลือกขนมเทสแทน</t>
  </si>
  <si>
    <r>
      <rPr>
        <sz val="11"/>
        <color rgb="FFFF0000"/>
        <rFont val="Carlito"/>
        <charset val="222"/>
      </rPr>
      <t xml:space="preserve">*หยุดสั่งไป 1 รอบเพราะว่าเคยเจอขนมเปรี้ยวก่อนวันหมดอายุทำเครมกับแอดมินแต่ไม่มีการตอบกลับ </t>
    </r>
    <r>
      <rPr>
        <sz val="11"/>
        <rFont val="Carlito"/>
        <charset val="222"/>
      </rPr>
      <t xml:space="preserve">
*ลูกค้าเลือกขนมที่จะมาเทสแล้วส่งให้มาเทสอีกทีวันอาทิตย์หน้า
ขนมที่ขายดีจะเป็นขนมปังเนยนิ่ม แซนวิชและเอแคร์</t>
    </r>
  </si>
  <si>
    <r>
      <t xml:space="preserve">*ให้ติดต่อผ่านผู้จัดการ เนื่องจากผู้จัดการอยู่นนทบุรีและไม่เข้าสาขานี้พนักงานเลยให้ไลน์มา </t>
    </r>
    <r>
      <rPr>
        <sz val="11"/>
        <color rgb="FFFF0000"/>
        <rFont val="Carlito"/>
        <charset val="222"/>
      </rPr>
      <t xml:space="preserve">แต่ยังโทรไม่รับ / </t>
    </r>
    <r>
      <rPr>
        <sz val="11"/>
        <rFont val="Carlito"/>
      </rPr>
      <t xml:space="preserve">
*ขนมที่ร้านนี้จะมีของอเมซอนชิวเล้าและโอ้กะจู๋
เนื่องจากร้านอยู่หน้าโรงพยาบาลจึงแนะนำขนมที่สามารถเยี่ยมคนไข้ได้
*ให้พนักงานเลือกขนมที่สนใจและนำมาให้ชิมวันอาทิตย์หน้า</t>
    </r>
  </si>
  <si>
    <r>
      <t xml:space="preserve">*ลูกค้าสั่งอยู่แล้ว แต่บางทีนานๆสั่งที
ครีมฮอร์นขายดี
</t>
    </r>
    <r>
      <rPr>
        <sz val="11"/>
        <color rgb="FFFF0000"/>
        <rFont val="Carlito"/>
        <charset val="222"/>
      </rPr>
      <t>*เคยเจอปัญหาเค้กโบราณติดสติ๊กเกอร์ไม่แน่น เพราะลูกค้าหยิบหรือพนักงานหยิบแล้วมันหลุด</t>
    </r>
    <r>
      <rPr>
        <sz val="11"/>
        <rFont val="Carlito"/>
      </rPr>
      <t xml:space="preserve">
*ขนส่งกับแอดมินไม่มีปัญหา</t>
    </r>
  </si>
  <si>
    <r>
      <t xml:space="preserve">*สนใจขนมหลายตัว เพื่อเปลี่ยนกับเจ้าอื่น
มีสาขา อุ่นนารี อีก 1 สาขา
</t>
    </r>
    <r>
      <rPr>
        <sz val="11"/>
        <color rgb="FFFF0000"/>
        <rFont val="Carlito"/>
        <charset val="222"/>
      </rPr>
      <t>****ลูกค้าจะสั่งทุกอาทิย์****</t>
    </r>
  </si>
  <si>
    <t>*ลูกค้ามี 2 ร้านแล้วยังไม่เคยสั่งของ wwn
*ถ้าหากสั่งจะสั่งทั้ง 2 ร้าน
*ปกติลูกค้าสั่งแค่ภัทรากับของ Factoryรอบสั่งไม่ซ้ำกับทั้ง 2 แบรนด์</t>
  </si>
  <si>
    <t>*ลูกค้าจะกลับมาสั่งใหม่เป็นประเภทขนมปังเนยนิ่มและแซนวิชที่นำไปเสนอ เพราะเป็นสินค้าที่ร้านขายดี
*อีก 2 วันติดตาม feedback อีกรอบ</t>
  </si>
  <si>
    <r>
      <t>*สนใจรอบสั่งวันศุกร์ส่งวันจันทร์ (เริ่มสั่งศุกร์นี้) / อธิบายไปแล้วว่าขนมอาจจะไม่ได้ตอนเช้าเลยเพราะว่าเดินทางไกลจากกำแพงแสนและในเมืองค่อนข้างรถติด</t>
    </r>
    <r>
      <rPr>
        <sz val="11"/>
        <color rgb="FFFF0000"/>
        <rFont val="Carlito"/>
        <charset val="222"/>
      </rPr>
      <t>/ ลูกค้าสนใจเป็นรอบส่งวันจันทร์เพราะไม่อยากเสียโอกาสในการขาย / ร้านตีดซัพโอ๋กระจู๋ออกเพราะส่งช้า เกินเที่ยง</t>
    </r>
  </si>
  <si>
    <r>
      <t>*ร้านจะสั่งวัน ส.18/07/69
*</t>
    </r>
    <r>
      <rPr>
        <sz val="11"/>
        <color rgb="FFFF0000"/>
        <rFont val="Carlito"/>
        <charset val="222"/>
      </rPr>
      <t>เคยสั่ง แต่หยุดสั่งไปนานแล้ว เพราะรอบส่งซ้ำหลายซัพ</t>
    </r>
  </si>
  <si>
    <t>*ลูกค้าเป็นนักศึกษามหาวิทยาลัย (หมอ พยาบาล)
*ขนมหวานในตู้น้อย ตู้มีขนาดเล็ก
*มีขนมของแฟคทอรี่โบว์และภัทราที่เขารับมา
* รอคุยกับผู้จัดการเขาลาไปต่างประเทศ 10 วัน (ร้านปิด ส-อา)</t>
  </si>
  <si>
    <r>
      <rPr>
        <sz val="11"/>
        <color rgb="FFFF0000"/>
        <rFont val="Carlito"/>
        <charset val="222"/>
      </rPr>
      <t>*สนใจรอบส่งวันพุธ เพราะยังไม่มีขนมลง</t>
    </r>
    <r>
      <rPr>
        <sz val="11"/>
        <rFont val="Carlito"/>
        <charset val="222"/>
      </rPr>
      <t xml:space="preserve">
*ยังไม่เคยสั่ง จะเริ่ม 22/07/69
* สนใจเป็นเอแคลร์และชิฟฟ่อน</t>
    </r>
  </si>
  <si>
    <r>
      <t>*</t>
    </r>
    <r>
      <rPr>
        <sz val="11"/>
        <color rgb="FFFF0000"/>
        <rFont val="Carlito"/>
        <charset val="222"/>
      </rPr>
      <t>สนใจขนมที่มรเชลไลฟ์นานหน่อย เช่น ขนมปัง</t>
    </r>
    <r>
      <rPr>
        <sz val="11"/>
        <rFont val="Carlito"/>
      </rPr>
      <t xml:space="preserve">
*รอบส่งไม่ซ้ำกับซัพอื่นๆ เพราะลง แค่ภัทรา โบว์ และ อเมซอน 
*ขอเทสขนมก่อน วันพุธ 23/07/69
*หลังจากเทสขนมจะเริ่มสั่ง (รอบถัดไป)
* ร้านอยู่ติดกับโอ้กะจู๋ และ white Story
*ด้านหน้าร้านมี Black Canyon และร้านกาแฟ one two Two กำลังจะมาเปิด</t>
    </r>
  </si>
  <si>
    <t>เค้กโบราณครีม 2 ชิ้น</t>
  </si>
  <si>
    <t xml:space="preserve">ขนมปังไส้กรอกมินิ </t>
  </si>
  <si>
    <t xml:space="preserve">เค้กลาวาฝอยทองมะพร้าวทูโทน </t>
  </si>
  <si>
    <t xml:space="preserve">ชิฟฟอนสอดไส้ 3  ชิ้นมะพร้าว </t>
  </si>
  <si>
    <t xml:space="preserve">มินิปังไส้กรอกชีส </t>
  </si>
  <si>
    <t xml:space="preserve">เค้กกล้วยหอมคาราเมล </t>
  </si>
  <si>
    <t xml:space="preserve">*ขนส่งไปส่งช้า ส่ง 13.30 น. / ร้านอาจจะสั่งแค่รอบเดียว </t>
  </si>
  <si>
    <t>* ทางร้านขอให้ส่ง 9 โมง และไม่เกินเที่ยง</t>
  </si>
  <si>
    <t xml:space="preserve">เครปโรลฝอยทอง(วนิลา) </t>
  </si>
  <si>
    <t xml:space="preserve">แซนวิชโฮลวีท ทูน่า </t>
  </si>
  <si>
    <t xml:space="preserve">แซนวิชหมูหยองแฮมชีส </t>
  </si>
  <si>
    <t xml:space="preserve">มัลเบอรี่ชีสพาย </t>
  </si>
  <si>
    <t xml:space="preserve">แพนเค้กฝอยทองครีมสด  </t>
  </si>
  <si>
    <t xml:space="preserve">เค้กโบราณครีม 2  ชิ้น  </t>
  </si>
  <si>
    <t xml:space="preserve">*** ขึ้นรหัส OS**** ฉะเชิงเทรา - บางนา-ตราด (กม.41) </t>
  </si>
  <si>
    <t>สั่งแล้ว 14.07.69</t>
  </si>
  <si>
    <t>SD2061</t>
  </si>
  <si>
    <t>SD1760</t>
  </si>
  <si>
    <t>DD5458</t>
  </si>
  <si>
    <t>DD3734</t>
  </si>
  <si>
    <t>DD2566</t>
  </si>
  <si>
    <t>RM0654</t>
  </si>
  <si>
    <t>SD3921</t>
  </si>
  <si>
    <t>SD0880</t>
  </si>
  <si>
    <t>*มีขนมของชิวเล้าภัทราและ Factory
*นำขนมมาให้เทสวันศุกร์หน้า
*พนักงาน จะสั่ง ให้มาส่งวันเสาร์หน้า</t>
  </si>
  <si>
    <t>*ปกติร้านสั่งอยู่แล้วแต่ขึ้นหมดแดง
*พนักงานเลือกขนมเค้กวันศุกร์หน้า
* ขนส่งมาเช้าเลย 
* มี 3 ซัพ ภัทรา แฟคทอรี่ wwn และ ปุ๋มแอนด์ป๊อบ 
*เจ้าของเดียวกับในโลตัส 
* แซนวิชหยองหยองแฮมชีสในระบบ ปตท ไม่มีให้ขายแล้วแต่ในใบเสนอราคายังมีอยู่
* แซนวิชขายดี</t>
  </si>
  <si>
    <t xml:space="preserve"> *เจ้าของเดียวกับ RM 1366 ( หาไม่เจอ)
*ให้ไปคุยกับอีกสาขา 
* เคยสั่งไปแล้วและหยุดสั่งเพราะว่าเปลี่ยนเจ้าของมาเป็นร้านแฟรนไชส์ อีกสาขาจะเป็นคนสั่ง</t>
  </si>
  <si>
    <t>*มีขนมของภัทรา ปั้นแป้ง และ Factory
*ยังไม่เคยสั่งของ wwn
* ให้เลือกขนมนำมาเทสวันศุกร์หน้า
* รอผู้จัดการตัดสินใจ</t>
  </si>
  <si>
    <t>*ลูกค้าสั่งอยู่แล้ว
*มีจอง ภัทรา ลามูเน่ และ amazon 
* ของ wwn สั่งแล้ว แต่ยังไม่มาส่ง
* ร้านขึ้นหมดแดง รหัส os0642</t>
  </si>
  <si>
    <t>*รหัส DD5458 ในหมุดขึ้นสีแดง รหัส OS1535
* ที่ร้านสั่งไป 2-3 รอบแล้วแต่ในหมดขึ้นสีแดงอยู่
* รอบหน้านำขนมเค้กมาให้ลูกค้าลองเทสดู เพื่อที่จะได้เชียร์ขายและเพิ่มโอกาสในการสั่งมากขึ้น
* ขนมขายดีจะป็นชิฟฟ่อน
* มีซัพ ภัทรา ชิวเล้า มูอิ โบว์ amazon
* wwn มาส่งประมาณเที่ยง
* ภัทรามาตี 5 ครึ่ง 
* ส่งมาลงวันจันทร์
* เจอขนส่งของปั้นแป้งมาส่งของพอดีเวลา 12:18 น</t>
  </si>
  <si>
    <t xml:space="preserve">*รับแต่ภัทรา
* สนใจรอบส่งวันเสาร์ เพราะวันพุธซ้ำกับภัทรา
* เดี๋ยวทาง ผจก ตัดสินใจอีกรอบ </t>
  </si>
  <si>
    <t>*สนใจ และจะนำขนมมาให้เทศวันศุกร์หน้า</t>
  </si>
  <si>
    <t>RM3739</t>
  </si>
  <si>
    <t>RM1366</t>
  </si>
  <si>
    <t>SD5280</t>
  </si>
  <si>
    <t>DD5548</t>
  </si>
  <si>
    <t xml:space="preserve">LDC Dental Clinic ศรีนครินทร์ </t>
  </si>
  <si>
    <t xml:space="preserve">เดอะ แจส เออเบิร์น ศรีนครินทร์ </t>
  </si>
  <si>
    <t xml:space="preserve">สถานีบริการ น้ำมัน ปตท. สยามเทพารักษ์ เซอร์วิส </t>
  </si>
  <si>
    <t>บจก.โชคมนัสอินเตอร์พลัสออยล์</t>
  </si>
  <si>
    <t xml:space="preserve">สน. PTTRM สาขา เทพารักษ์  </t>
  </si>
  <si>
    <t>SPK The Outdoor Srinakarin</t>
  </si>
  <si>
    <t xml:space="preserve">โลตัส ศรีนครินทร์ </t>
  </si>
  <si>
    <t>Café Amazon สาขาปั๊ม ปตท. สมุทรปราการ (ฟาร์มจระเข้)</t>
  </si>
  <si>
    <t>สมุทรปราการ- ศรีนครินทร์ 2</t>
  </si>
  <si>
    <t>Café Amazon บางเมือง</t>
  </si>
  <si>
    <t xml:space="preserve">พีทีที ปาร์ค มอลล์ 5 </t>
  </si>
  <si>
    <t>SD5472</t>
  </si>
  <si>
    <t>Café Amazon บางปู 91</t>
  </si>
  <si>
    <t>* มีภัทรา ลามูเน่ อเมซอน 
* ร้านบอกว่าสั่งของ wwn อยู่แล้ว แต่ขึ้นหมุดแดง
* สะดวกส่งช่วงไม่เกิน 11 โมง 
* รอ ผจก เลือกขนมเทสวันอาทิตย์หน้า
* มี สาขา บางปู91 บางปู59
* มีกำลังเปิดอีก 2 สาขา คือ แพรกษา(โซนนิคม) และ ซอยเด่นชัย 
* ผจก. หยุดวันอาทิตย์ 
* รอบส่งวันพุธซ้ำภัทรา
* วันพุธโทรตามอีกที</t>
  </si>
  <si>
    <t>* ปั๊มเปิดใหม่ ใหญ่มาก 
* ร้านยังไม่มีในระบบ 
* ขณะนี้ของบ้านโบว์ ปั้นแป้ง ภัทราและ Factory
* จะลองสั่งมาลงวันเสาร์นี้
* ถ้าสั่งแล้วเดี๋ยวทางร้านแจ้งเพื่อให้ทางบริษัทเตรียมป้ายและช้อนให้เพราะเป็นร้านใหม่</t>
  </si>
  <si>
    <t>* ขนมในร้านมีของ Factory ภัทราและลามูเน่
* พนักงานให้คุยกับเจ้าของร้านแต่เดี๋ยวเจ้าของร้านแอดไลน์มา เพราะไม่อยู่
* วันอาทิตย์หน้านำขนมมาให้ Test</t>
  </si>
  <si>
    <t>* มีของโบว์ ภัทรา โมอิและ Factory
* เคยสั่ง แต่หยุดสั่งไปนานแล้ว
* ให้ ผจก เลือกขนมมาเทสวันอาทิตย์หน้า ( แต่ ผจก หยุด)</t>
  </si>
  <si>
    <t>* ลูกค้ามี 2 ร้านแล้วยังไม่เคยสั่งของ wwn
* สนใจเอาขนมมาเทสชิมวันอาทิตย์
* ถ้าหากสั่งจะสั่งทั้ง 2 ร้าน
* ปกติลูกค้าสั่งแค่ภัทรากับของ Factory
* รอบสั่งไม่ซ้ำกับทั้ง 2 แบรนด์</t>
  </si>
  <si>
    <t xml:space="preserve">* สั่งของมาเพิ้มแล้ว 
* รอบส่งถัดไปวันพุธ (เอาจองชิมมาเพิ่ม)
* พนักงานว่าขายได้ ขนมเยอะดี
* ขนส่งมาเร็วอยู่ ไม่เกิน 10 โมง 
* ไม่พบปัญหาขนม </t>
  </si>
  <si>
    <t>* นำขนมมาให้ที่ร้านเทส
* อีกครึ่งราคาจะเป็น สั่งพร้อมกันทั้ง 2 สาขา
* อีก 2 วันติดตาม Feedback</t>
  </si>
  <si>
    <t xml:space="preserve">* นำขนมมาให้ที่ร้านเทส
* มีเค้กฝอยทองของรามูเน่เพิ่มเข้ามา
* ที่ร้านบอกว่าพอขายได้แต่มีเซลล์ 20% ด้วย เป็นบางรายการ
* แซนด์วิชขายดี ตัวอื่นเรื่อยๆ
* มีสั่งมาส่งเพิ่มวันพุธ </t>
  </si>
  <si>
    <t>DD3926</t>
  </si>
  <si>
    <t>* ร้านจะสั่งวัน ส. นี้
* เคยสั่ง แต่หยุดสั่งไปนานแล้ว เพราะรอบส่งซ้ำหลายซัพ
* ของมาส่งวันวันที่ผ่านมา แต่ไม่มีป้าย
* มีแซนวิชที่มีผักสดด้วยเชลไลฟ์อยู่ได้ประมาณ 6 วัน</t>
  </si>
  <si>
    <t>* มีขนมของ Factory กุ้ง and Pop โอ้กะจู๋และภัทรา
* เคยสั่งแล้วหายไป 
* รอติดต่อผู้จัดการอีกรอบวันนี้ผู้จัดการลา
* นำขนมมาให้เทส แต่ ผจก ลา 
* อีก 2 วันติดตาม Feedback
* ยังไม่ได้เริ่มสั่ง</t>
  </si>
  <si>
    <t>* มีปั้นแป้ง ภัทรา โอ๋กระจู๋ อเมซอน
* ทางร้านเน้น อเมซอนเพราะมีผลต่อคะแนน
* เลือกขนมมาเทส สัปดาห์หน้า</t>
  </si>
  <si>
    <t xml:space="preserve">* ลูกค้าสั่งอยู่แล้วแต่ว่านานๆสั่งทีหมดเลยขึ้นเป็นสีแดง
* นำขนม Test มาให้เทสวันอังคารหน้า
* ลูกค้าจะกลับมาสั่งรอบส่งวันเสร์นี้
* มีแบรนด์ใหม่ชื่อแบรนด์วีรภัทร
* มีแบรนด์พัทรา และ  Factory
* สั่งขนมมาแล้ว </t>
  </si>
  <si>
    <t>* สนใจรอบส่งวันพุธ เพราะยังไม่มีขนมลง
* ยังไม่เคยส่ง
*  สนใจเป็นเอแคลร์และชิฟฟ่อน
* ยังไม่ได้สั่ง
* ชิมเสร็จ ตามฟีสแบล็ค 3 วัน ว่าสนใจไหม</t>
  </si>
  <si>
    <t xml:space="preserve"> * เคยสั่งแต่นานแล้ว
* มีปั้นแป้ง ภัทรา ชิวเล้าจ์
* รอบส่งวันเสาร์ว่าง
* รอ พนักงานนำเสนอเจ้าของร้านอีกที
* เอาขนมมาให้เทสแล้ว
* อีก 3 วัน ตามฟีสแบล็ด</t>
  </si>
  <si>
    <t>* สนใจครีมฮอล
* ลองเทสก่อน แล้วจะสั่ง
* อีก 3 วัน ตามฟีสแบล็ค
* พนักงานชิม และชอบหลายตัว</t>
  </si>
  <si>
    <t xml:space="preserve">ฉะเชิงเทรา - บางนา-ตราด (กม.41) </t>
  </si>
  <si>
    <t xml:space="preserve">สถานีบริการ บจ.นาคสวัสดิ์ </t>
  </si>
  <si>
    <t>* พนง สั่งแล้ว แต่ทางบัญชียกเลิก และ พนง ติดต่อบัญชีไม่ได้
* สั่งใหม่มาส่งอังคารหน้า
* บัญชีของ RM ยกเลิก
* ติดตามออเดอร์อีกที ถายใน 3 วัน</t>
  </si>
  <si>
    <t xml:space="preserve">café amazon For You Park </t>
  </si>
  <si>
    <t xml:space="preserve">café amazon อาคารเอไอเอ อีสต์ เกตเวย์ บางนา </t>
  </si>
  <si>
    <t xml:space="preserve">Thewalk บางนา(indexlivingmall บางนา) </t>
  </si>
  <si>
    <t xml:space="preserve">อินเตอร์ลิงค์ ทาวเวอร์ </t>
  </si>
  <si>
    <t xml:space="preserve">ศูนย์การค้าลาซาล อเวนิว </t>
  </si>
  <si>
    <t xml:space="preserve">ไบเทค บางนา </t>
  </si>
  <si>
    <t xml:space="preserve">อิมพีเรียลสำโรง จุด 2 ชั้นใต้ดิน </t>
  </si>
  <si>
    <t>อิมพีเรียลสำโรง จุด 1 ชั้น 1</t>
  </si>
  <si>
    <t>บจ.สิริเจริญวัฒนา</t>
  </si>
  <si>
    <t>*นำขนมมาให้เทส 
*สั่งขนมเพิ่มไปแล้ว รอบส่ง 25/07/2026
* ขนมที่ร้านอยะมาก</t>
  </si>
  <si>
    <t xml:space="preserve"> *สนใจสั่ง
*เอาขนมมาให้เทส
* ขอเทสของก่อน
*เข้ามาปิดอีกรอบ 
*ตู้แช่มีขนาดเล็ก </t>
  </si>
  <si>
    <t xml:space="preserve">บจก.โชคมนัสอินเตอร์พลัสออยล์ </t>
  </si>
  <si>
    <t xml:space="preserve">* สนใจสั่งสลับกับแบนรด์อื่น
*แต่ตอนนี้ลองสั่งแบนรด์ ปังไส้แตกมาก่อน
*วันนี้ ผจก หยุด
*มาวนบ่อยๆให้เจอ ผจก </t>
  </si>
  <si>
    <r>
      <t>*สนใจขนมหลายตัว
*</t>
    </r>
    <r>
      <rPr>
        <sz val="11"/>
        <color rgb="FFFF0000"/>
        <rFont val="Carlito"/>
        <charset val="222"/>
      </rPr>
      <t>จะเริ่มสั่งเดือนหน้า หลังรีโนเวทร้าน
*ช่วงต้นเดือนสิงหาคมเริ่มสั่ง 
*ติดตามต่อ
*ภัทราสั่งรอบแรก แถมให้อีกอย่างละ 1 ชิ้นตามรายการที่สั่ง</t>
    </r>
  </si>
  <si>
    <t>SD5221</t>
  </si>
  <si>
    <r>
      <rPr>
        <sz val="11"/>
        <color rgb="FFFF0000"/>
        <rFont val="Carlito"/>
        <charset val="222"/>
      </rPr>
      <t>*สนใจสั่งมาส่งวันพุธ</t>
    </r>
    <r>
      <rPr>
        <sz val="11"/>
        <rFont val="Carlito"/>
      </rPr>
      <t xml:space="preserve">
*ตอนนี้ขนมในร้านมีของแค่ภัทราและ Factory
*เคยสั่งแบรนด์อื่นมาลงแล้วขายไม่ดี
*ขอเทสขนมก่อนสั่ง</t>
    </r>
  </si>
  <si>
    <t xml:space="preserve">ซอยลับแล อ่านต่อได้ที่ </t>
  </si>
  <si>
    <t xml:space="preserve">สถานีบริการ น้ำมัน ปตท. สยามเทพารักษ์  </t>
  </si>
  <si>
    <t>*สั่งขนมไปแล้วขนมมาส่งพรุ่งนี้ 25/07/2026
*เพิ่มยอดขายโดยการเอาขนมตัวอื่นมาให้ชิมเพิ่ม
*ขนมที่ขายดีคือชิฟฟ่อนรวมรถ 4 ชิ้นและครีมฮอน</t>
  </si>
  <si>
    <t xml:space="preserve">SPK The Outdoor Srinakarin </t>
  </si>
  <si>
    <t>*ขนมมาส่ง พน.  25/07/2026
*เพิ่มยอดขาย นำขนมมาให้เทส</t>
  </si>
  <si>
    <t>ขนมาส่ง พน.  25/07/2026</t>
  </si>
  <si>
    <r>
      <t>*เอาขนมมาให้เทส
*รอ ผจก ร้านตัดสินใจหลังชิม 
*</t>
    </r>
    <r>
      <rPr>
        <sz val="11"/>
        <color rgb="FFFF0000"/>
        <rFont val="Carlito"/>
        <charset val="222"/>
      </rPr>
      <t>2 วันติดตามผล
*ผจก ไม่กล้าสั่งขนมใหม่ สั่งแต่เดิมๆ เพราะกลัวลูกค้าไม่ซื้อ</t>
    </r>
  </si>
  <si>
    <t xml:space="preserve">*เจ้าของเดียวกับอินเตอร์ลิงค์ ที่รอชิมวันศุกร์ 
*ให้ พนง ช่วยเชียร์ </t>
  </si>
  <si>
    <r>
      <t xml:space="preserve">*เทสวันนี้
</t>
    </r>
    <r>
      <rPr>
        <sz val="11"/>
        <color rgb="FFFF0000"/>
        <rFont val="Carlito"/>
        <charset val="222"/>
      </rPr>
      <t>*อีก 2 วันตามฟีสแบล็ค</t>
    </r>
    <r>
      <rPr>
        <sz val="11"/>
        <rFont val="Carlito"/>
      </rPr>
      <t xml:space="preserve">
*ผจก พักทานข้าว</t>
    </r>
  </si>
  <si>
    <r>
      <t xml:space="preserve">*สาขาเดียวกับ aia
</t>
    </r>
    <r>
      <rPr>
        <sz val="11"/>
        <color rgb="FFFF0000"/>
        <rFont val="Carlito"/>
        <charset val="222"/>
      </rPr>
      <t xml:space="preserve">*ทางร้านกำลังเลือกขนมเข้าใหม่พอดี </t>
    </r>
    <r>
      <rPr>
        <sz val="11"/>
        <rFont val="Carlito"/>
      </rPr>
      <t xml:space="preserve">
*แซนวิชและครีมฮอนน่าจะขายดี
</t>
    </r>
    <r>
      <rPr>
        <sz val="11"/>
        <color rgb="FFFF0000"/>
        <rFont val="Carlito"/>
        <charset val="222"/>
      </rPr>
      <t>*ติดตามผลอีก 2 วัน</t>
    </r>
  </si>
  <si>
    <r>
      <rPr>
        <sz val="11"/>
        <color rgb="FFFF0000"/>
        <rFont val="Carlito"/>
        <charset val="222"/>
      </rPr>
      <t>*เขตบังไม่อนุมัติ</t>
    </r>
    <r>
      <rPr>
        <sz val="11"/>
        <rFont val="Carlito"/>
      </rPr>
      <t xml:space="preserve">
</t>
    </r>
    <r>
      <rPr>
        <sz val="11"/>
        <color rgb="FFFF0000"/>
        <rFont val="Carlito"/>
        <charset val="222"/>
      </rPr>
      <t>*รอเด็กเปิดเทอม อีก 2 เดือน เดือน9</t>
    </r>
    <r>
      <rPr>
        <sz val="11"/>
        <rFont val="Carlito"/>
      </rPr>
      <t xml:space="preserve">
* รร. นานาชาติ
* ถ้าทางร้านทำยอดเพิ่มขึ้นจะให้สั่ง
</t>
    </r>
    <r>
      <rPr>
        <sz val="11"/>
        <color rgb="FFFF0000"/>
        <rFont val="Carlito"/>
        <charset val="222"/>
      </rPr>
      <t>* ลูกค้าห่วงเรื่องลงในระบบเดลิเวอรี่ เพราะได้ออเดอร์มากในช่วงเช้า</t>
    </r>
  </si>
  <si>
    <r>
      <t xml:space="preserve">*สั่งขนมมาขายแล้ววันนี้ ขนมมาส่ง 21/07/2026
</t>
    </r>
    <r>
      <rPr>
        <sz val="11"/>
        <color rgb="FFFF0000"/>
        <rFont val="Carlito"/>
        <charset val="222"/>
      </rPr>
      <t>*เดือนหน้ามีงานประชุม เขาจะสั่งมาอัดเยอะวันเสาร์ที่ 12/08</t>
    </r>
    <r>
      <rPr>
        <sz val="11"/>
        <rFont val="Carlito"/>
      </rPr>
      <t xml:space="preserve">
*ขนส่งมาส่งของประมาณ 9 โมง ที่ร้านโอเคร</t>
    </r>
  </si>
  <si>
    <t xml:space="preserve"> ร้าน sd0781 เป็นคนตัดสินใจ</t>
  </si>
  <si>
    <r>
      <t xml:space="preserve">*นำขนมมาให้เทส 22/07/69
* ไลน์โดนที่ร้านลบทิ้ง ประวัติการคุยไม่ขึ้น
*รอ ผจก พักเบรก 
</t>
    </r>
    <r>
      <rPr>
        <sz val="11"/>
        <color rgb="FFFF0000"/>
        <rFont val="Carlito"/>
        <charset val="222"/>
      </rPr>
      <t>* จะเริ่มสั่ง พน. 25/07/2026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</si>
</sst>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%"/>
  </numFmts>
  <fonts count="21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rgb="FF1F4E78"/>
      <name val="Carlito"/>
    </font>
    <font>
      <b/>
      <sz val="14"/>
      <name val="Carlito"/>
    </font>
    <font>
      <b/>
      <sz val="11"/>
      <color rgb="FF000000"/>
      <name val="Carlito"/>
    </font>
    <font>
      <sz val="11"/>
      <color rgb="FFFFFFFF"/>
      <name val="Carlito"/>
    </font>
    <font>
      <sz val="11"/>
      <name val="Carlito"/>
    </font>
    <font>
      <sz val="11"/>
      <color rgb="FFFFFFFF"/>
      <name val="Carlito"/>
    </font>
    <font>
      <b/>
      <sz val="11"/>
      <name val="Carlito"/>
    </font>
    <font>
      <sz val="11"/>
      <color theme="1"/>
      <name val="Carlito"/>
    </font>
    <font>
      <sz val="24"/>
      <color rgb="FFFF0000"/>
      <name val="Carlito"/>
      <charset val="222"/>
    </font>
    <font>
      <sz val="11"/>
      <color rgb="FFFF0000"/>
      <name val="Carlito"/>
    </font>
    <font>
      <sz val="11"/>
      <color rgb="FFFF0000"/>
      <name val="Carlito"/>
      <charset val="222"/>
    </font>
    <font>
      <sz val="11"/>
      <name val="Carlito"/>
      <charset val="222"/>
    </font>
    <font>
      <sz val="14"/>
      <name val="Cordia New"/>
      <family val="2"/>
    </font>
    <font>
      <sz val="11"/>
      <color theme="0"/>
      <name val="Carlito"/>
      <charset val="22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0F2FE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0B7D8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D9E2E2"/>
      </left>
      <right style="thin">
        <color rgb="FFD9E2E2"/>
      </right>
      <top style="thin">
        <color rgb="FFD9E2E2"/>
      </top>
      <bottom style="thin">
        <color rgb="FFD9E2E2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E2E2"/>
      </right>
      <top style="thin">
        <color rgb="FFD9E2E2"/>
      </top>
      <bottom style="thin">
        <color rgb="FFD9E2E2"/>
      </bottom>
      <diagonal/>
    </border>
    <border>
      <left style="thin">
        <color rgb="FFD9E2E2"/>
      </left>
      <right style="thin">
        <color rgb="FFD9E2E2"/>
      </right>
      <top/>
      <bottom style="thin">
        <color rgb="FFD9E2E2"/>
      </bottom>
      <diagonal/>
    </border>
  </borders>
  <cellStyleXfs count="2">
    <xf numFmtId="0" fontId="0" fillId="0" borderId="1"/>
    <xf numFmtId="9" fontId="10" fillId="0" borderId="0" applyFont="0" applyFill="0" applyBorder="0" applyAlignment="0" applyProtection="0"/>
  </cellStyleXfs>
  <cellXfs count="56">
    <xf numFmtId="0" fontId="0" fillId="0" borderId="0" xfId="0" applyBorder="1"/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3" fillId="2" borderId="0" xfId="0" applyFon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187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187" fontId="0" fillId="0" borderId="3" xfId="0" applyNumberFormat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0" fontId="0" fillId="0" borderId="3" xfId="0" applyNumberFormat="1" applyBorder="1" applyAlignment="1">
      <alignment horizontal="right" vertical="center" wrapText="1"/>
    </xf>
    <xf numFmtId="0" fontId="8" fillId="10" borderId="3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0" fontId="0" fillId="7" borderId="3" xfId="0" applyNumberFormat="1" applyFill="1" applyBorder="1" applyAlignment="1">
      <alignment horizontal="left" vertical="center" wrapText="1"/>
    </xf>
    <xf numFmtId="1" fontId="12" fillId="7" borderId="3" xfId="0" applyNumberFormat="1" applyFont="1" applyFill="1" applyBorder="1" applyAlignment="1">
      <alignment horizontal="right" vertical="center" wrapText="1"/>
    </xf>
    <xf numFmtId="0" fontId="1" fillId="2" borderId="1" xfId="0" applyFont="1" applyFill="1" applyAlignment="1">
      <alignment vertical="center"/>
    </xf>
    <xf numFmtId="0" fontId="2" fillId="3" borderId="1" xfId="0" applyFont="1" applyFill="1"/>
    <xf numFmtId="0" fontId="0" fillId="0" borderId="3" xfId="0" applyBorder="1"/>
    <xf numFmtId="0" fontId="0" fillId="12" borderId="3" xfId="0" applyFill="1" applyBorder="1" applyAlignment="1">
      <alignment vertical="center" wrapText="1"/>
    </xf>
    <xf numFmtId="0" fontId="8" fillId="12" borderId="3" xfId="0" applyFont="1" applyFill="1" applyBorder="1" applyAlignment="1">
      <alignment horizontal="right" vertical="center" wrapText="1"/>
    </xf>
    <xf numFmtId="9" fontId="0" fillId="0" borderId="5" xfId="1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13" fillId="11" borderId="4" xfId="0" applyFont="1" applyFill="1" applyBorder="1" applyAlignment="1">
      <alignment vertical="center" wrapText="1"/>
    </xf>
    <xf numFmtId="0" fontId="0" fillId="13" borderId="0" xfId="0" applyFill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0" fillId="0" borderId="1" xfId="0" applyAlignment="1">
      <alignment vertical="center"/>
    </xf>
    <xf numFmtId="0" fontId="17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8" fillId="0" borderId="0" xfId="0" applyFont="1" applyBorder="1"/>
    <xf numFmtId="0" fontId="0" fillId="13" borderId="1" xfId="0" applyFill="1" applyAlignment="1">
      <alignment vertical="center"/>
    </xf>
    <xf numFmtId="0" fontId="19" fillId="13" borderId="0" xfId="0" applyFont="1" applyFill="1" applyBorder="1" applyAlignment="1">
      <alignment vertical="center" wrapText="1"/>
    </xf>
    <xf numFmtId="0" fontId="17" fillId="0" borderId="0" xfId="0" applyFont="1" applyBorder="1" applyAlignment="1">
      <alignment vertical="top" wrapText="1"/>
    </xf>
    <xf numFmtId="0" fontId="20" fillId="0" borderId="0" xfId="0" applyFont="1" applyBorder="1"/>
    <xf numFmtId="0" fontId="14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" fontId="6" fillId="6" borderId="2" xfId="0" applyNumberFormat="1" applyFont="1" applyFill="1" applyBorder="1" applyAlignment="1">
      <alignment horizontal="center" vertical="center" wrapText="1"/>
    </xf>
  </cellXfs>
  <cellStyles count="2">
    <cellStyle name="ปกติ" xfId="0" builtinId="0"/>
    <cellStyle name="เปอร์เซ็นต์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จำนวน</c:v>
          </c:tx>
          <c:invertIfNegative val="1"/>
          <c:cat>
            <c:strRef>
              <c:f>Summary!$A$4:$A$8</c:f>
              <c:strCache>
                <c:ptCount val="5"/>
                <c:pt idx="0">
                  <c:v>จำนวนครั้งที่เข้าพบ</c:v>
                </c:pt>
                <c:pt idx="1">
                  <c:v>ปิดการขายแล้ว</c:v>
                </c:pt>
                <c:pt idx="2">
                  <c:v>ยังไม่ปิด</c:v>
                </c:pt>
                <c:pt idx="3">
                  <c:v>รออนุมัติ</c:v>
                </c:pt>
                <c:pt idx="4">
                  <c:v>ไม่ผ่าน</c:v>
                </c:pt>
              </c:strCache>
            </c:strRef>
          </c:cat>
          <c:val>
            <c:numRef>
              <c:f>Summary!$B$4:$B$8</c:f>
              <c:numCache>
                <c:formatCode>0</c:formatCode>
                <c:ptCount val="5"/>
                <c:pt idx="0" formatCode="General">
                  <c:v>85</c:v>
                </c:pt>
                <c:pt idx="1">
                  <c:v>28</c:v>
                </c:pt>
                <c:pt idx="2" formatCode="General">
                  <c:v>44</c:v>
                </c:pt>
                <c:pt idx="3" formatCode="0.0%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5-4A5B-92BB-DECBF134D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106679</xdr:colOff>
      <xdr:row>2</xdr:row>
      <xdr:rowOff>36194</xdr:rowOff>
    </xdr:from>
    <xdr:to>
      <xdr:col>9</xdr:col>
      <xdr:colOff>577214</xdr:colOff>
      <xdr:row>18</xdr:row>
      <xdr:rowOff>167639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VisitTable" displayName="SalesVisitTable" ref="A3:I254">
  <autoFilter ref="A3:I254" xr:uid="{00000000-000C-0000-FFFF-FFFF00000000}"/>
  <tableColumns count="9">
    <tableColumn id="1" xr3:uid="{00000000-0010-0000-0000-000001000000}" name="วันเดือนปี"/>
    <tableColumn id="2" xr3:uid="{00000000-0010-0000-0000-000002000000}" name="รหัสร้านค้า"/>
    <tableColumn id="3" xr3:uid="{00000000-0010-0000-0000-000003000000}" name="ชื่อร้านค้า/สาขา"/>
    <tableColumn id="4" xr3:uid="{00000000-0010-0000-0000-000004000000}" name="ไปเพราะอะไร"/>
    <tableColumn id="5" xr3:uid="{00000000-0010-0000-0000-000005000000}" name="ตัวอย่างมีอะไรบ้าง"/>
    <tableColumn id="6" xr3:uid="{00000000-0010-0000-0000-000006000000}" name="ผลการไปวันดังกล่าว"/>
    <tableColumn id="7" xr3:uid="{00000000-0010-0000-0000-000007000000}" name="Call เพื่อติดตาม"/>
    <tableColumn id="8" xr3:uid="{00000000-0010-0000-0000-000008000000}" name="ปิดการขายแล้ว"/>
    <tableColumn id="9" xr3:uid="{00000000-0010-0000-0000-000009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opLeftCell="A4" workbookViewId="0">
      <selection activeCell="C20" sqref="C20"/>
    </sheetView>
  </sheetViews>
  <sheetFormatPr defaultRowHeight="13.8"/>
  <cols>
    <col min="1" max="1" width="24" customWidth="1"/>
    <col min="2" max="2" width="14" customWidth="1"/>
    <col min="3" max="5" width="8" customWidth="1"/>
    <col min="6" max="11" width="12" customWidth="1"/>
  </cols>
  <sheetData>
    <row r="1" spans="1:10" ht="22.35" customHeight="1">
      <c r="A1" s="51" t="s">
        <v>0</v>
      </c>
      <c r="B1" s="52"/>
      <c r="C1" s="52"/>
      <c r="D1" s="52"/>
      <c r="E1" s="52"/>
      <c r="F1" s="52"/>
      <c r="G1" s="53"/>
      <c r="H1" s="53"/>
      <c r="I1" s="4"/>
      <c r="J1" s="4"/>
    </row>
    <row r="2" spans="1:10" ht="16.05" customHeight="1">
      <c r="A2" s="54"/>
      <c r="B2" s="55"/>
      <c r="C2" s="54"/>
      <c r="D2" s="54"/>
      <c r="E2" s="54"/>
      <c r="F2" s="54"/>
      <c r="G2" s="54"/>
      <c r="H2" s="54"/>
      <c r="I2" s="4"/>
      <c r="J2" s="4"/>
    </row>
    <row r="3" spans="1:10" ht="16.05" customHeight="1">
      <c r="A3" s="8" t="s">
        <v>1</v>
      </c>
      <c r="B3" s="8" t="s">
        <v>2</v>
      </c>
      <c r="C3" s="4"/>
      <c r="D3" s="4"/>
      <c r="E3" s="4"/>
      <c r="F3" s="4"/>
      <c r="G3" s="4"/>
      <c r="H3" s="4"/>
      <c r="I3" s="4"/>
      <c r="J3" s="4"/>
    </row>
    <row r="4" spans="1:10" ht="16.05" customHeight="1">
      <c r="A4" s="11" t="s">
        <v>3</v>
      </c>
      <c r="B4" s="14">
        <f>COUNTA('Sales Visit Tracker'!A4:A10050)</f>
        <v>85</v>
      </c>
      <c r="C4" s="20"/>
      <c r="D4" s="21"/>
      <c r="E4" s="22"/>
      <c r="F4" s="20"/>
      <c r="G4" s="4"/>
      <c r="H4" s="4"/>
      <c r="I4" s="4"/>
      <c r="J4" s="4"/>
    </row>
    <row r="5" spans="1:10" ht="16.05" customHeight="1">
      <c r="A5" s="24" t="s">
        <v>4</v>
      </c>
      <c r="B5" s="25">
        <f>COUNTIF('Sales Visit Tracker'!H4:H10050,"ปิดการขายแล้ว")+COUNTIF('Sales Visit Tracker'!H4:H10050,"Won")</f>
        <v>28</v>
      </c>
      <c r="C5" s="31"/>
      <c r="D5" s="23"/>
      <c r="E5" s="23"/>
      <c r="F5" s="4"/>
      <c r="G5" s="4"/>
      <c r="H5" s="4"/>
      <c r="I5" s="4"/>
      <c r="J5" s="4"/>
    </row>
    <row r="6" spans="1:10" ht="16.05" customHeight="1">
      <c r="A6" s="12" t="s">
        <v>5</v>
      </c>
      <c r="B6" s="15">
        <f>COUNTIF('Sales Visit Tracker'!H4:H10050,"ยังไม่ปิด")+COUNTIF('Sales Visit Tracker'!H4:H10050,"ติดตามต่อ")+COUNTIF('Sales Visit Tracker'!H4:H10050,"Follow Up")</f>
        <v>44</v>
      </c>
      <c r="C6" s="31"/>
      <c r="D6" s="4"/>
      <c r="E6" s="4"/>
      <c r="F6" s="4"/>
      <c r="G6" s="4"/>
      <c r="H6" s="4"/>
      <c r="I6" s="4"/>
      <c r="J6" s="4"/>
    </row>
    <row r="7" spans="1:10" ht="16.05" customHeight="1">
      <c r="A7" s="12" t="s">
        <v>6</v>
      </c>
      <c r="B7" s="16">
        <f>COUNTIF('Sales Visit Tracker'!H4:H10050,"รออนุมัติ")</f>
        <v>0</v>
      </c>
      <c r="C7" s="31"/>
      <c r="D7" s="4"/>
      <c r="E7" s="4"/>
      <c r="F7" s="4"/>
      <c r="G7" s="4"/>
      <c r="H7" s="4"/>
      <c r="I7" s="4"/>
      <c r="J7" s="4"/>
    </row>
    <row r="8" spans="1:10" ht="16.05" customHeight="1">
      <c r="A8" s="13" t="s">
        <v>7</v>
      </c>
      <c r="B8" s="17">
        <f>COUNTIF('Sales Visit Tracker'!H4:H10050,"ไม่ผ่าน")+COUNTIF('Sales Visit Tracker'!H4:H10050,"Lost")+COUNTIF('Sales Visit Tracker'!H4:H10050,"ไม่สนใจ")+COUNTIF('Sales Visit Tracker'!H4:H10050,"ไม่มีการขาย")</f>
        <v>0</v>
      </c>
      <c r="C8" s="4"/>
      <c r="D8" s="21"/>
      <c r="E8" s="21"/>
      <c r="F8" s="4"/>
      <c r="G8" s="4"/>
      <c r="H8" s="4"/>
      <c r="I8" s="4"/>
      <c r="J8" s="4"/>
    </row>
    <row r="9" spans="1:10" ht="16.05" customHeight="1">
      <c r="A9" s="12" t="s">
        <v>8</v>
      </c>
      <c r="B9" s="18">
        <f>IFERROR(B5/B4,0)</f>
        <v>0.32941176470588235</v>
      </c>
      <c r="C9" s="4"/>
      <c r="D9" s="4"/>
      <c r="E9" s="4"/>
      <c r="F9" s="4"/>
      <c r="G9" s="4"/>
      <c r="H9" s="4"/>
      <c r="I9" s="4"/>
      <c r="J9" s="4"/>
    </row>
    <row r="10" spans="1:10" ht="16.05" customHeight="1">
      <c r="A10" s="9"/>
      <c r="B10" s="15"/>
      <c r="C10" s="4"/>
      <c r="D10" s="4"/>
      <c r="E10" s="4"/>
      <c r="F10" s="4"/>
      <c r="G10" s="4"/>
      <c r="H10" s="4"/>
      <c r="I10" s="4"/>
      <c r="J10" s="4"/>
    </row>
    <row r="11" spans="1:10" ht="16.05" customHeight="1">
      <c r="A11" s="9"/>
      <c r="B11" s="15"/>
      <c r="C11" s="4"/>
      <c r="D11" s="4"/>
      <c r="E11" s="4"/>
      <c r="F11" s="4"/>
      <c r="G11" s="4"/>
      <c r="H11" s="4"/>
      <c r="I11" s="4"/>
      <c r="J11" s="4"/>
    </row>
    <row r="12" spans="1:10" ht="16.05" customHeight="1">
      <c r="A12" s="10" t="s">
        <v>9</v>
      </c>
      <c r="B12" s="19" t="s">
        <v>2</v>
      </c>
      <c r="C12" s="20"/>
      <c r="D12" s="20"/>
      <c r="E12" s="4"/>
      <c r="F12" s="20"/>
      <c r="G12" s="20"/>
      <c r="H12" s="4"/>
      <c r="I12" s="4"/>
      <c r="J12" s="4"/>
    </row>
    <row r="13" spans="1:10" ht="16.05" customHeight="1">
      <c r="A13" s="9" t="s">
        <v>10</v>
      </c>
      <c r="B13" s="15">
        <f>COUNTIF('Sales Visit Tracker'!H4:H10050,"Open")</f>
        <v>0</v>
      </c>
      <c r="C13" s="4"/>
      <c r="D13" s="5"/>
      <c r="E13" s="4"/>
      <c r="F13" s="4"/>
      <c r="G13" s="4"/>
      <c r="H13" s="4"/>
      <c r="I13" s="4"/>
      <c r="J13" s="4"/>
    </row>
    <row r="14" spans="1:10" ht="16.05" customHeight="1">
      <c r="A14" s="9" t="s">
        <v>11</v>
      </c>
      <c r="B14" s="15">
        <f>COUNTIF('Sales Visit Tracker'!H4:H10050,"ติดตามต่อ")+COUNTIF('Sales Visit Tracker'!H4:H10050,"Follow Up")</f>
        <v>44</v>
      </c>
      <c r="C14" s="4"/>
      <c r="D14" s="5"/>
      <c r="E14" s="4"/>
      <c r="F14" s="4"/>
      <c r="G14" s="4"/>
      <c r="H14" s="4"/>
      <c r="I14" s="4"/>
      <c r="J14" s="4"/>
    </row>
    <row r="15" spans="1:10" ht="16.05" customHeight="1">
      <c r="A15" s="9" t="s">
        <v>12</v>
      </c>
      <c r="B15" s="15">
        <f>COUNTIF('Sales Visit Tracker'!H4:H10050,"ปิดการขายแล้ว")+COUNTIF('Sales Visit Tracker'!H4:H10050,"Won")</f>
        <v>28</v>
      </c>
      <c r="C15" s="4"/>
      <c r="D15" s="5"/>
      <c r="E15" s="4"/>
      <c r="F15" s="4"/>
      <c r="G15" s="4"/>
      <c r="H15" s="4"/>
      <c r="I15" s="4"/>
      <c r="J15" s="4"/>
    </row>
    <row r="16" spans="1:10" ht="16.05" customHeight="1">
      <c r="A16" s="9" t="s">
        <v>13</v>
      </c>
      <c r="B16" s="15">
        <f>COUNTIF('Sales Visit Tracker'!H4:H10050,"ไม่ผ่าน")+COUNTIF('Sales Visit Tracker'!H4:H10050,"Lost")+COUNTIF('Sales Visit Tracker'!H4:H10050,"ไม่สนใจ")+COUNTIF('Sales Visit Tracker'!H4:H10050,"ไม่มีการขาย")</f>
        <v>0</v>
      </c>
      <c r="C16" s="4"/>
      <c r="D16" s="5"/>
      <c r="E16" s="4"/>
      <c r="F16" s="4"/>
      <c r="G16" s="4"/>
      <c r="H16" s="4"/>
      <c r="I16" s="4"/>
      <c r="J16" s="4"/>
    </row>
    <row r="17" spans="1:10" ht="16.05" customHeight="1">
      <c r="A17" s="4"/>
      <c r="B17" s="19" t="s">
        <v>2</v>
      </c>
      <c r="C17" s="4"/>
      <c r="D17" s="5"/>
      <c r="E17" s="4"/>
      <c r="F17" s="4"/>
      <c r="G17" s="4"/>
      <c r="H17" s="4"/>
      <c r="I17" s="4"/>
      <c r="J17" s="4"/>
    </row>
    <row r="18" spans="1:10" s="28" customFormat="1" ht="16.05" customHeight="1">
      <c r="A18" s="29"/>
      <c r="B18" s="30"/>
      <c r="C18" s="4"/>
      <c r="D18" s="5"/>
      <c r="E18" s="4"/>
      <c r="F18" s="4"/>
      <c r="G18" s="4"/>
      <c r="H18" s="4"/>
      <c r="I18" s="4"/>
      <c r="J18" s="4"/>
    </row>
    <row r="19" spans="1:10" ht="16.05" customHeight="1">
      <c r="A19" s="33" t="s">
        <v>27</v>
      </c>
      <c r="B19" s="34">
        <f>COUNTIF('Sales Visit Tracker'!F4:F10055,"สนใจ")</f>
        <v>28</v>
      </c>
      <c r="C19" s="31">
        <f>B19/$B$4</f>
        <v>0.32941176470588235</v>
      </c>
      <c r="D19" s="5"/>
      <c r="E19" s="4"/>
      <c r="F19" s="4"/>
      <c r="G19" s="4"/>
      <c r="H19" s="4"/>
      <c r="I19" s="4"/>
      <c r="J19" s="4"/>
    </row>
    <row r="20" spans="1:10" ht="16.05" customHeight="1">
      <c r="A20" s="33" t="s">
        <v>32</v>
      </c>
      <c r="B20" s="34">
        <f>COUNTIF('Sales Visit Tracker'!F4:F10056,"รอตัดสินใจ")</f>
        <v>16</v>
      </c>
      <c r="C20" s="31">
        <f t="shared" ref="C20:C22" si="0">B20/$B$4</f>
        <v>0.18823529411764706</v>
      </c>
      <c r="D20" s="5"/>
      <c r="E20" s="4"/>
      <c r="F20" s="4"/>
      <c r="G20" s="4"/>
      <c r="H20" s="4"/>
      <c r="I20" s="4"/>
      <c r="J20" s="4"/>
    </row>
    <row r="21" spans="1:10" ht="16.05" customHeight="1">
      <c r="A21" s="33" t="s">
        <v>33</v>
      </c>
      <c r="B21" s="34">
        <f>COUNTIF('Sales Visit Tracker'!F4:F10057,"ไม่สนใจ")</f>
        <v>3</v>
      </c>
      <c r="C21" s="31">
        <f t="shared" si="0"/>
        <v>3.5294117647058823E-2</v>
      </c>
      <c r="D21" s="5"/>
      <c r="E21" s="4"/>
      <c r="F21" s="4"/>
      <c r="G21" s="4"/>
      <c r="H21" s="4"/>
      <c r="I21" s="4"/>
      <c r="J21" s="4"/>
    </row>
    <row r="22" spans="1:10" ht="16.05" customHeight="1">
      <c r="A22" s="35" t="s">
        <v>36</v>
      </c>
      <c r="B22" s="34">
        <f>COUNTIF('Sales Visit Tracker'!F4:F10058,"นัดติดตามต่อ")</f>
        <v>1</v>
      </c>
      <c r="C22" s="31">
        <f t="shared" si="0"/>
        <v>1.1764705882352941E-2</v>
      </c>
      <c r="D22" s="5"/>
      <c r="E22" s="4"/>
      <c r="F22" s="4"/>
      <c r="G22" s="4"/>
      <c r="H22" s="4"/>
      <c r="I22" s="4"/>
      <c r="J22" s="4"/>
    </row>
    <row r="23" spans="1:10" ht="16.05" customHeight="1">
      <c r="A23" s="32"/>
      <c r="B23" s="32"/>
      <c r="C23" s="4"/>
      <c r="D23" s="5"/>
      <c r="E23" s="4"/>
      <c r="F23" s="4"/>
      <c r="G23" s="4"/>
      <c r="H23" s="4"/>
      <c r="I23" s="4"/>
      <c r="J23" s="4"/>
    </row>
    <row r="24" spans="1:10" ht="16.0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0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20"/>
      <c r="B32" s="20"/>
      <c r="C32" s="4"/>
      <c r="D32" s="20"/>
      <c r="E32" s="20"/>
      <c r="F32" s="20"/>
      <c r="G32" s="20"/>
      <c r="H32" s="4"/>
      <c r="I32" s="20"/>
      <c r="J32" s="20"/>
    </row>
    <row r="33" spans="1:10">
      <c r="A33" s="6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6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6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6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6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6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6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6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6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6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6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6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6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6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6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6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6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6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6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6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6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6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6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6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6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6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6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6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6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6">
        <f>IF($B$5=0,"",MIN('Sales Visit Tracker'!$A$4:$A$10050)+29)</f>
        <v>46239</v>
      </c>
      <c r="B62" s="4">
        <f>IF(A62="","",COUNTIF('Sales Visit Tracker'!$A$4:$A$10050,A62))</f>
        <v>0</v>
      </c>
      <c r="C62" s="4"/>
      <c r="D62" s="4"/>
      <c r="E62" s="4"/>
      <c r="F62" s="4"/>
      <c r="G62" s="4"/>
      <c r="H62" s="4"/>
      <c r="I62" s="4"/>
      <c r="J62" s="4"/>
    </row>
    <row r="63" spans="1:10">
      <c r="A63" s="6">
        <f>IF($B$5=0,"",MIN('Sales Visit Tracker'!$A$4:$A$10050)+30)</f>
        <v>46240</v>
      </c>
      <c r="B63" s="4">
        <f>IF(A63="","",COUNTIF('Sales Visit Tracker'!$A$4:$A$10050,A63))</f>
        <v>0</v>
      </c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</sheetData>
  <mergeCells count="2">
    <mergeCell ref="A1:H1"/>
    <mergeCell ref="A2:H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3BB3DFDD-8231-4EE1-A289-D4C39697FEED}">
          <x14:formula1>
            <xm:f>'Dropdown Lists'!$C$2:$C$8</xm:f>
          </x14:formula1>
          <xm:sqref>A19:A22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4"/>
  <sheetViews>
    <sheetView tabSelected="1" topLeftCell="A11" zoomScale="80" zoomScaleNormal="80" workbookViewId="0">
      <selection activeCell="E12" sqref="E12:G17"/>
    </sheetView>
  </sheetViews>
  <sheetFormatPr defaultRowHeight="13.8"/>
  <cols>
    <col min="1" max="1" width="15" customWidth="1"/>
    <col min="2" max="2" width="16" customWidth="1"/>
    <col min="3" max="3" width="46" bestFit="1" customWidth="1"/>
    <col min="4" max="4" width="16" customWidth="1"/>
    <col min="5" max="5" width="32" customWidth="1"/>
    <col min="6" max="6" width="22" customWidth="1"/>
    <col min="7" max="7" width="21" customWidth="1"/>
    <col min="8" max="8" width="18" customWidth="1"/>
    <col min="9" max="9" width="42.796875" customWidth="1"/>
    <col min="10" max="10" width="16" customWidth="1"/>
  </cols>
  <sheetData>
    <row r="1" spans="1:11" ht="22.35" customHeight="1">
      <c r="A1" s="26" t="s">
        <v>14</v>
      </c>
      <c r="B1" s="26"/>
      <c r="C1" s="26"/>
      <c r="D1" s="26"/>
      <c r="E1" s="26"/>
      <c r="F1" s="26"/>
      <c r="G1" s="26"/>
      <c r="H1" s="26"/>
      <c r="I1" s="26"/>
    </row>
    <row r="2" spans="1:11" ht="17.55" customHeight="1">
      <c r="A2" s="27" t="s">
        <v>15</v>
      </c>
    </row>
    <row r="3" spans="1:11" ht="25.5" customHeight="1">
      <c r="A3" s="7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4</v>
      </c>
      <c r="I3" s="7" t="s">
        <v>23</v>
      </c>
      <c r="J3" s="7" t="s">
        <v>24</v>
      </c>
    </row>
    <row r="4" spans="1:11" ht="27.6">
      <c r="A4" s="2">
        <v>46210</v>
      </c>
      <c r="B4" s="1" t="s">
        <v>73</v>
      </c>
      <c r="C4" s="1" t="s">
        <v>74</v>
      </c>
      <c r="D4" s="1" t="s">
        <v>30</v>
      </c>
      <c r="E4" s="1"/>
      <c r="F4" s="1" t="s">
        <v>27</v>
      </c>
      <c r="G4" s="1" t="s">
        <v>28</v>
      </c>
      <c r="H4" s="1" t="s">
        <v>29</v>
      </c>
      <c r="I4" s="1" t="s">
        <v>103</v>
      </c>
      <c r="K4" s="48" t="s">
        <v>109</v>
      </c>
    </row>
    <row r="5" spans="1:11">
      <c r="A5" s="2">
        <v>46210</v>
      </c>
      <c r="B5" s="1" t="s">
        <v>75</v>
      </c>
      <c r="C5" s="1" t="s">
        <v>76</v>
      </c>
      <c r="D5" s="1" t="s">
        <v>30</v>
      </c>
      <c r="E5" s="1"/>
      <c r="F5" s="1" t="s">
        <v>27</v>
      </c>
      <c r="G5" s="1" t="s">
        <v>28</v>
      </c>
      <c r="H5" s="1" t="s">
        <v>32</v>
      </c>
      <c r="I5" s="1" t="s">
        <v>104</v>
      </c>
      <c r="K5" s="49"/>
    </row>
    <row r="6" spans="1:11" ht="41.4">
      <c r="A6" s="2">
        <v>46210</v>
      </c>
      <c r="B6" s="1" t="s">
        <v>77</v>
      </c>
      <c r="C6" s="1" t="s">
        <v>78</v>
      </c>
      <c r="D6" s="1" t="s">
        <v>30</v>
      </c>
      <c r="E6" s="1"/>
      <c r="F6" s="1" t="s">
        <v>27</v>
      </c>
      <c r="G6" s="1"/>
      <c r="H6" s="1" t="s">
        <v>29</v>
      </c>
      <c r="I6" s="1" t="s">
        <v>102</v>
      </c>
      <c r="K6" s="49"/>
    </row>
    <row r="7" spans="1:11" ht="27.6">
      <c r="A7" s="2">
        <v>46210</v>
      </c>
      <c r="B7" s="1" t="s">
        <v>79</v>
      </c>
      <c r="C7" s="1" t="s">
        <v>80</v>
      </c>
      <c r="D7" s="1" t="s">
        <v>30</v>
      </c>
      <c r="E7" s="1"/>
      <c r="F7" s="1" t="s">
        <v>32</v>
      </c>
      <c r="G7" s="1"/>
      <c r="H7" s="1" t="s">
        <v>29</v>
      </c>
      <c r="I7" s="1" t="s">
        <v>105</v>
      </c>
      <c r="K7" s="49"/>
    </row>
    <row r="8" spans="1:11" ht="27.6">
      <c r="A8" s="2">
        <v>46211</v>
      </c>
      <c r="B8" s="36" t="s">
        <v>81</v>
      </c>
      <c r="C8" s="36" t="s">
        <v>87</v>
      </c>
      <c r="D8" s="1" t="s">
        <v>30</v>
      </c>
      <c r="E8" s="1"/>
      <c r="F8" s="1" t="s">
        <v>27</v>
      </c>
      <c r="G8" s="1"/>
      <c r="H8" s="1" t="s">
        <v>4</v>
      </c>
      <c r="I8" s="1" t="s">
        <v>88</v>
      </c>
      <c r="K8" s="49"/>
    </row>
    <row r="9" spans="1:11" ht="27.6">
      <c r="A9" s="2">
        <v>46211</v>
      </c>
      <c r="B9" s="1" t="s">
        <v>82</v>
      </c>
      <c r="C9" s="1" t="s">
        <v>89</v>
      </c>
      <c r="D9" s="1" t="s">
        <v>30</v>
      </c>
      <c r="E9" s="1"/>
      <c r="F9" s="1" t="s">
        <v>33</v>
      </c>
      <c r="G9" s="1"/>
      <c r="H9" s="1" t="s">
        <v>34</v>
      </c>
      <c r="I9" s="1" t="s">
        <v>90</v>
      </c>
      <c r="K9" s="49"/>
    </row>
    <row r="10" spans="1:11">
      <c r="A10" s="2">
        <v>46211</v>
      </c>
      <c r="B10" s="1" t="s">
        <v>83</v>
      </c>
      <c r="C10" s="1" t="s">
        <v>91</v>
      </c>
      <c r="D10" s="1" t="s">
        <v>30</v>
      </c>
      <c r="E10" s="1"/>
      <c r="F10" s="1" t="s">
        <v>36</v>
      </c>
      <c r="G10" s="1"/>
      <c r="H10" s="1" t="s">
        <v>29</v>
      </c>
      <c r="I10" s="1" t="s">
        <v>92</v>
      </c>
      <c r="K10" s="49"/>
    </row>
    <row r="11" spans="1:11" ht="55.2">
      <c r="A11" s="2">
        <v>46211</v>
      </c>
      <c r="B11" s="36" t="s">
        <v>84</v>
      </c>
      <c r="C11" s="36" t="s">
        <v>93</v>
      </c>
      <c r="D11" s="1" t="s">
        <v>30</v>
      </c>
      <c r="E11" s="1"/>
      <c r="F11" s="1" t="s">
        <v>27</v>
      </c>
      <c r="G11" s="1"/>
      <c r="H11" s="1" t="s">
        <v>4</v>
      </c>
      <c r="I11" s="1" t="s">
        <v>94</v>
      </c>
      <c r="K11" s="49"/>
    </row>
    <row r="12" spans="1:11" ht="41.4">
      <c r="A12" s="2">
        <v>46211</v>
      </c>
      <c r="B12" s="1" t="s">
        <v>85</v>
      </c>
      <c r="C12" s="1" t="s">
        <v>95</v>
      </c>
      <c r="D12" s="1" t="s">
        <v>30</v>
      </c>
      <c r="E12" s="1"/>
      <c r="F12" s="1" t="s">
        <v>32</v>
      </c>
      <c r="G12" s="1"/>
      <c r="H12" s="1" t="s">
        <v>29</v>
      </c>
      <c r="I12" s="1" t="s">
        <v>96</v>
      </c>
      <c r="K12" s="49"/>
    </row>
    <row r="13" spans="1:11">
      <c r="A13" s="2">
        <v>46211</v>
      </c>
      <c r="B13" s="1" t="s">
        <v>86</v>
      </c>
      <c r="C13" s="1" t="s">
        <v>97</v>
      </c>
      <c r="D13" s="1" t="s">
        <v>30</v>
      </c>
      <c r="E13" s="1"/>
      <c r="F13" s="1" t="s">
        <v>32</v>
      </c>
      <c r="G13" s="1" t="s">
        <v>28</v>
      </c>
      <c r="H13" s="1" t="s">
        <v>29</v>
      </c>
      <c r="I13" s="1" t="s">
        <v>98</v>
      </c>
      <c r="K13" s="49"/>
    </row>
    <row r="14" spans="1:11">
      <c r="A14" s="2">
        <v>46211</v>
      </c>
      <c r="B14" s="1" t="s">
        <v>99</v>
      </c>
      <c r="C14" s="1" t="s">
        <v>100</v>
      </c>
      <c r="D14" s="1" t="s">
        <v>30</v>
      </c>
      <c r="E14" s="1"/>
      <c r="F14" s="1" t="s">
        <v>32</v>
      </c>
      <c r="G14" s="1"/>
      <c r="H14" s="1" t="s">
        <v>29</v>
      </c>
      <c r="I14" s="1" t="s">
        <v>101</v>
      </c>
      <c r="K14" s="49"/>
    </row>
    <row r="15" spans="1:11" ht="12.75" customHeight="1">
      <c r="A15" s="2">
        <v>46213</v>
      </c>
      <c r="B15" s="36" t="s">
        <v>73</v>
      </c>
      <c r="C15" s="36" t="s">
        <v>74</v>
      </c>
      <c r="D15" s="1" t="s">
        <v>30</v>
      </c>
      <c r="E15" s="1" t="s">
        <v>26</v>
      </c>
      <c r="F15" s="1" t="s">
        <v>53</v>
      </c>
      <c r="G15" s="1"/>
      <c r="H15" s="1" t="s">
        <v>4</v>
      </c>
      <c r="I15" s="1" t="s">
        <v>106</v>
      </c>
      <c r="K15" s="49"/>
    </row>
    <row r="16" spans="1:11" ht="12.75" customHeight="1">
      <c r="A16" s="2"/>
      <c r="B16" s="1"/>
      <c r="C16" s="1"/>
      <c r="D16" s="1"/>
      <c r="E16" s="1" t="s">
        <v>41</v>
      </c>
      <c r="F16" s="1"/>
      <c r="G16" s="1"/>
      <c r="H16" s="1"/>
      <c r="I16" s="1"/>
      <c r="K16" s="49"/>
    </row>
    <row r="17" spans="1:11" ht="12.75" customHeight="1">
      <c r="A17" s="2"/>
      <c r="B17" s="1"/>
      <c r="C17" s="1"/>
      <c r="D17" s="1"/>
      <c r="E17" s="1" t="s">
        <v>44</v>
      </c>
      <c r="F17" s="1"/>
      <c r="G17" s="1"/>
      <c r="H17" s="1"/>
      <c r="I17" s="1"/>
      <c r="K17" s="49"/>
    </row>
    <row r="18" spans="1:11" ht="12.75" customHeight="1">
      <c r="A18" s="2"/>
      <c r="B18" s="1"/>
      <c r="C18" s="1"/>
      <c r="D18" s="1"/>
      <c r="E18" s="1" t="s">
        <v>47</v>
      </c>
      <c r="F18" s="1"/>
      <c r="G18" s="1"/>
      <c r="H18" s="1"/>
      <c r="I18" s="1"/>
      <c r="K18" s="49"/>
    </row>
    <row r="19" spans="1:11" ht="12.75" customHeight="1">
      <c r="A19" s="2"/>
      <c r="B19" s="1"/>
      <c r="C19" s="1"/>
      <c r="D19" s="1"/>
      <c r="E19" s="1" t="s">
        <v>58</v>
      </c>
      <c r="F19" s="1"/>
      <c r="G19" s="1"/>
      <c r="H19" s="1"/>
      <c r="I19" s="1"/>
      <c r="K19" s="49"/>
    </row>
    <row r="20" spans="1:11" ht="12.75" customHeight="1">
      <c r="A20" s="2">
        <v>46213</v>
      </c>
      <c r="B20" s="1" t="s">
        <v>75</v>
      </c>
      <c r="C20" s="1" t="s">
        <v>76</v>
      </c>
      <c r="D20" s="1" t="s">
        <v>30</v>
      </c>
      <c r="E20" s="1" t="s">
        <v>41</v>
      </c>
      <c r="F20" s="1" t="s">
        <v>27</v>
      </c>
      <c r="G20" s="1"/>
      <c r="H20" s="1" t="s">
        <v>29</v>
      </c>
      <c r="I20" s="1" t="s">
        <v>107</v>
      </c>
      <c r="K20" s="49"/>
    </row>
    <row r="21" spans="1:11" ht="12.75" customHeight="1">
      <c r="A21" s="2"/>
      <c r="B21" s="1"/>
      <c r="C21" s="1"/>
      <c r="D21" s="1"/>
      <c r="E21" s="1" t="s">
        <v>58</v>
      </c>
      <c r="F21" s="1"/>
      <c r="G21" s="1"/>
      <c r="H21" s="1"/>
      <c r="I21" s="1"/>
      <c r="K21" s="49"/>
    </row>
    <row r="22" spans="1:11" ht="12.75" customHeight="1">
      <c r="A22" s="2"/>
      <c r="B22" s="1"/>
      <c r="C22" s="1"/>
      <c r="D22" s="1"/>
      <c r="E22" s="1"/>
      <c r="F22" s="1"/>
      <c r="G22" s="1"/>
      <c r="H22" s="1"/>
      <c r="I22" s="1"/>
      <c r="K22" s="49"/>
    </row>
    <row r="23" spans="1:11" ht="12.75" customHeight="1">
      <c r="A23" s="2"/>
      <c r="B23" s="1"/>
      <c r="C23" s="1"/>
      <c r="D23" s="1"/>
      <c r="E23" s="1" t="s">
        <v>44</v>
      </c>
      <c r="F23" s="1"/>
      <c r="G23" s="1"/>
      <c r="H23" s="1"/>
      <c r="I23" s="1"/>
      <c r="K23" s="49"/>
    </row>
    <row r="24" spans="1:11" ht="12.75" customHeight="1">
      <c r="A24" s="2"/>
      <c r="B24" s="1"/>
      <c r="C24" s="1"/>
      <c r="D24" s="1"/>
      <c r="E24" s="1" t="s">
        <v>26</v>
      </c>
      <c r="F24" s="1"/>
      <c r="G24" s="1"/>
      <c r="H24" s="1"/>
      <c r="I24" s="1"/>
      <c r="K24" s="49"/>
    </row>
    <row r="25" spans="1:11" ht="12.75" customHeight="1">
      <c r="A25" s="2">
        <v>46213</v>
      </c>
      <c r="B25" s="36" t="s">
        <v>77</v>
      </c>
      <c r="C25" s="36" t="s">
        <v>78</v>
      </c>
      <c r="D25" s="1" t="s">
        <v>30</v>
      </c>
      <c r="E25" s="1" t="s">
        <v>69</v>
      </c>
      <c r="F25" s="1" t="s">
        <v>53</v>
      </c>
      <c r="G25" s="1"/>
      <c r="H25" s="1" t="s">
        <v>4</v>
      </c>
      <c r="I25" s="1" t="s">
        <v>106</v>
      </c>
      <c r="K25" s="49"/>
    </row>
    <row r="26" spans="1:11" ht="12.75" customHeight="1">
      <c r="A26" s="2"/>
      <c r="B26" s="1"/>
      <c r="C26" s="1"/>
      <c r="D26" s="1"/>
      <c r="E26" s="1" t="s">
        <v>66</v>
      </c>
      <c r="F26" s="1"/>
      <c r="G26" s="1"/>
      <c r="H26" s="1"/>
      <c r="I26" s="1"/>
      <c r="K26" s="49"/>
    </row>
    <row r="27" spans="1:11" ht="12.75" customHeight="1">
      <c r="A27" s="2"/>
      <c r="B27" s="1"/>
      <c r="C27" s="1"/>
      <c r="D27" s="1"/>
      <c r="E27" s="1"/>
      <c r="F27" s="1"/>
      <c r="G27" s="1"/>
      <c r="H27" s="1"/>
      <c r="I27" s="1"/>
      <c r="K27" s="49"/>
    </row>
    <row r="28" spans="1:11" ht="12.75" customHeight="1">
      <c r="A28" s="2"/>
      <c r="B28" s="1"/>
      <c r="C28" s="1"/>
      <c r="D28" s="1"/>
      <c r="E28" s="1"/>
      <c r="F28" s="1"/>
      <c r="G28" s="1"/>
      <c r="H28" s="1"/>
      <c r="I28" s="1"/>
      <c r="K28" s="49"/>
    </row>
    <row r="29" spans="1:11" ht="12.75" customHeight="1">
      <c r="A29" s="2"/>
      <c r="B29" s="1"/>
      <c r="C29" s="1"/>
      <c r="D29" s="1"/>
      <c r="E29" s="1" t="s">
        <v>70</v>
      </c>
      <c r="F29" s="1"/>
      <c r="G29" s="1"/>
      <c r="H29" s="1"/>
      <c r="I29" s="1"/>
      <c r="K29" s="49"/>
    </row>
    <row r="30" spans="1:11" ht="12.75" customHeight="1">
      <c r="A30" s="2">
        <v>46213</v>
      </c>
      <c r="B30" s="1" t="s">
        <v>79</v>
      </c>
      <c r="C30" s="1" t="s">
        <v>80</v>
      </c>
      <c r="D30" s="1" t="s">
        <v>30</v>
      </c>
      <c r="E30" s="1" t="s">
        <v>44</v>
      </c>
      <c r="F30" s="1" t="s">
        <v>33</v>
      </c>
      <c r="G30" s="1"/>
      <c r="H30" s="1" t="s">
        <v>34</v>
      </c>
      <c r="I30" s="1" t="s">
        <v>108</v>
      </c>
      <c r="K30" s="49"/>
    </row>
    <row r="31" spans="1:11" ht="12.75" customHeight="1">
      <c r="A31" s="2"/>
      <c r="B31" s="1"/>
      <c r="C31" s="1"/>
      <c r="D31" s="1"/>
      <c r="E31" s="1" t="s">
        <v>41</v>
      </c>
      <c r="F31" s="1"/>
      <c r="G31" s="1"/>
      <c r="H31" s="1"/>
      <c r="I31" s="1"/>
      <c r="K31" s="49"/>
    </row>
    <row r="32" spans="1:11" ht="12.75" customHeight="1">
      <c r="A32" s="2"/>
      <c r="B32" s="1"/>
      <c r="C32" s="1"/>
      <c r="D32" s="1"/>
      <c r="E32" s="1"/>
      <c r="F32" s="1"/>
      <c r="G32" s="1"/>
      <c r="H32" s="1"/>
      <c r="I32" s="1"/>
      <c r="K32" s="49"/>
    </row>
    <row r="33" spans="1:11" ht="12.75" customHeight="1">
      <c r="A33" s="2"/>
      <c r="B33" s="1"/>
      <c r="C33" s="1"/>
      <c r="D33" s="1"/>
      <c r="E33" s="1" t="s">
        <v>69</v>
      </c>
      <c r="F33" s="1"/>
      <c r="G33" s="1"/>
      <c r="H33" s="1"/>
      <c r="I33" s="1"/>
      <c r="K33" s="49"/>
    </row>
    <row r="34" spans="1:11" ht="12.75" customHeight="1">
      <c r="A34" s="2"/>
      <c r="B34" s="1"/>
      <c r="C34" s="1"/>
      <c r="D34" s="1"/>
      <c r="E34" s="1" t="s">
        <v>66</v>
      </c>
      <c r="F34" s="1"/>
      <c r="G34" s="1"/>
      <c r="H34" s="1"/>
      <c r="I34" s="1"/>
      <c r="K34" s="49"/>
    </row>
    <row r="35" spans="1:11" ht="12.75" customHeight="1">
      <c r="A35" s="2"/>
      <c r="B35" s="1"/>
      <c r="C35" s="1"/>
      <c r="D35" s="1"/>
      <c r="E35" s="1" t="s">
        <v>68</v>
      </c>
      <c r="F35" s="1"/>
      <c r="G35" s="1"/>
      <c r="H35" s="1"/>
      <c r="I35" s="1"/>
      <c r="K35" s="49"/>
    </row>
    <row r="36" spans="1:11" ht="12.75" customHeight="1">
      <c r="A36" s="2">
        <v>46213</v>
      </c>
      <c r="B36" s="1" t="s">
        <v>83</v>
      </c>
      <c r="C36" s="1" t="s">
        <v>91</v>
      </c>
      <c r="D36" s="1" t="s">
        <v>30</v>
      </c>
      <c r="E36" s="1"/>
      <c r="F36" s="1" t="s">
        <v>31</v>
      </c>
      <c r="G36" s="1"/>
      <c r="H36" s="1" t="s">
        <v>29</v>
      </c>
      <c r="I36" s="1"/>
      <c r="K36" s="49"/>
    </row>
    <row r="37" spans="1:11" ht="84">
      <c r="A37" s="2">
        <v>46215</v>
      </c>
      <c r="B37" s="1" t="s">
        <v>110</v>
      </c>
      <c r="C37" s="1" t="s">
        <v>118</v>
      </c>
      <c r="D37" s="1" t="s">
        <v>30</v>
      </c>
      <c r="E37" s="1"/>
      <c r="F37" s="1" t="s">
        <v>33</v>
      </c>
      <c r="G37" s="1" t="s">
        <v>49</v>
      </c>
      <c r="H37" s="1" t="s">
        <v>29</v>
      </c>
      <c r="I37" s="39" t="s">
        <v>176</v>
      </c>
      <c r="K37" s="49"/>
    </row>
    <row r="38" spans="1:11" ht="67.2">
      <c r="A38" s="2">
        <v>46215</v>
      </c>
      <c r="B38" s="1" t="s">
        <v>111</v>
      </c>
      <c r="C38" s="38" t="s">
        <v>119</v>
      </c>
      <c r="D38" s="1" t="s">
        <v>30</v>
      </c>
      <c r="E38" s="1"/>
      <c r="F38" s="1" t="s">
        <v>31</v>
      </c>
      <c r="G38" s="1" t="s">
        <v>28</v>
      </c>
      <c r="H38" s="1" t="s">
        <v>29</v>
      </c>
      <c r="I38" s="39" t="s">
        <v>177</v>
      </c>
      <c r="K38" s="49"/>
    </row>
    <row r="39" spans="1:11" ht="41.4">
      <c r="A39" s="2">
        <v>46215</v>
      </c>
      <c r="B39" s="1" t="s">
        <v>112</v>
      </c>
      <c r="C39" s="37" t="s">
        <v>125</v>
      </c>
      <c r="D39" s="1" t="s">
        <v>30</v>
      </c>
      <c r="E39" s="1"/>
      <c r="F39" s="1" t="s">
        <v>27</v>
      </c>
      <c r="G39" s="1" t="s">
        <v>45</v>
      </c>
      <c r="H39" s="1" t="s">
        <v>29</v>
      </c>
      <c r="I39" s="1" t="s">
        <v>178</v>
      </c>
      <c r="K39" s="49"/>
    </row>
    <row r="40" spans="1:11" ht="84">
      <c r="A40" s="2">
        <v>46215</v>
      </c>
      <c r="B40" s="1" t="s">
        <v>113</v>
      </c>
      <c r="C40" s="1" t="s">
        <v>120</v>
      </c>
      <c r="D40" s="1" t="s">
        <v>30</v>
      </c>
      <c r="E40" s="1"/>
      <c r="F40" s="1" t="s">
        <v>53</v>
      </c>
      <c r="G40" s="1" t="s">
        <v>28</v>
      </c>
      <c r="H40" s="1" t="s">
        <v>4</v>
      </c>
      <c r="I40" s="39" t="s">
        <v>179</v>
      </c>
      <c r="K40" s="49"/>
    </row>
    <row r="41" spans="1:11" ht="99.6">
      <c r="A41" s="2">
        <v>46215</v>
      </c>
      <c r="B41" s="1" t="s">
        <v>114</v>
      </c>
      <c r="C41" s="38" t="s">
        <v>121</v>
      </c>
      <c r="D41" s="1" t="s">
        <v>30</v>
      </c>
      <c r="E41" s="1"/>
      <c r="F41" s="1" t="s">
        <v>31</v>
      </c>
      <c r="G41" s="1" t="s">
        <v>28</v>
      </c>
      <c r="H41" s="1" t="s">
        <v>29</v>
      </c>
      <c r="I41" s="1" t="s">
        <v>180</v>
      </c>
      <c r="K41" s="49"/>
    </row>
    <row r="42" spans="1:11" ht="75">
      <c r="A42" s="2">
        <v>46215</v>
      </c>
      <c r="B42" s="1" t="s">
        <v>115</v>
      </c>
      <c r="C42" s="38" t="s">
        <v>122</v>
      </c>
      <c r="D42" s="1" t="s">
        <v>30</v>
      </c>
      <c r="E42" s="1"/>
      <c r="F42" s="1" t="s">
        <v>53</v>
      </c>
      <c r="G42" s="1" t="s">
        <v>28</v>
      </c>
      <c r="H42" s="1" t="s">
        <v>4</v>
      </c>
      <c r="I42" s="1" t="s">
        <v>181</v>
      </c>
      <c r="K42" s="49"/>
    </row>
    <row r="43" spans="1:11" ht="44.4">
      <c r="A43" s="2">
        <v>46215</v>
      </c>
      <c r="B43" s="1" t="s">
        <v>116</v>
      </c>
      <c r="C43" s="38" t="s">
        <v>123</v>
      </c>
      <c r="D43" s="1" t="s">
        <v>30</v>
      </c>
      <c r="E43" s="1"/>
      <c r="F43" s="1" t="s">
        <v>31</v>
      </c>
      <c r="G43" s="1" t="s">
        <v>28</v>
      </c>
      <c r="H43" s="1" t="s">
        <v>29</v>
      </c>
      <c r="I43" s="1" t="s">
        <v>182</v>
      </c>
      <c r="K43" s="49"/>
    </row>
    <row r="44" spans="1:11" ht="55.2">
      <c r="A44" s="2">
        <v>46215</v>
      </c>
      <c r="B44" s="1" t="s">
        <v>117</v>
      </c>
      <c r="C44" s="38" t="s">
        <v>124</v>
      </c>
      <c r="D44" s="1" t="s">
        <v>30</v>
      </c>
      <c r="E44" s="1"/>
      <c r="F44" s="1" t="s">
        <v>31</v>
      </c>
      <c r="G44" s="1" t="s">
        <v>45</v>
      </c>
      <c r="H44" s="1" t="s">
        <v>29</v>
      </c>
      <c r="I44" s="1" t="s">
        <v>183</v>
      </c>
      <c r="K44" s="49"/>
    </row>
    <row r="45" spans="1:11" ht="16.8">
      <c r="A45" s="2">
        <v>46216</v>
      </c>
      <c r="B45" s="36" t="s">
        <v>84</v>
      </c>
      <c r="C45" s="44" t="s">
        <v>126</v>
      </c>
      <c r="D45" s="1" t="s">
        <v>30</v>
      </c>
      <c r="E45" s="1" t="s">
        <v>26</v>
      </c>
      <c r="F45" s="1" t="s">
        <v>53</v>
      </c>
      <c r="G45" s="1" t="s">
        <v>28</v>
      </c>
      <c r="H45" s="1" t="s">
        <v>4</v>
      </c>
      <c r="I45" s="40" t="s">
        <v>131</v>
      </c>
      <c r="K45" s="49"/>
    </row>
    <row r="46" spans="1:11" s="28" customFormat="1" ht="16.8">
      <c r="A46" s="41"/>
      <c r="B46" s="9"/>
      <c r="C46" s="38"/>
      <c r="D46" s="9"/>
      <c r="E46" s="9" t="s">
        <v>41</v>
      </c>
      <c r="F46" s="9"/>
      <c r="G46" s="9"/>
      <c r="H46" s="9"/>
      <c r="I46" s="42"/>
      <c r="K46" s="50"/>
    </row>
    <row r="47" spans="1:11" s="28" customFormat="1" ht="16.8">
      <c r="A47" s="41"/>
      <c r="B47" s="9"/>
      <c r="C47" s="38"/>
      <c r="D47" s="9"/>
      <c r="E47" s="9" t="s">
        <v>192</v>
      </c>
      <c r="F47" s="9"/>
      <c r="G47" s="9"/>
      <c r="H47" s="9"/>
      <c r="I47" s="42"/>
      <c r="K47" s="50"/>
    </row>
    <row r="48" spans="1:11" s="28" customFormat="1" ht="16.8">
      <c r="A48" s="41"/>
      <c r="B48" s="9"/>
      <c r="C48" s="38"/>
      <c r="D48" s="9"/>
      <c r="E48" s="9" t="s">
        <v>70</v>
      </c>
      <c r="F48" s="9"/>
      <c r="G48" s="9"/>
      <c r="H48" s="9"/>
      <c r="I48" s="42"/>
      <c r="K48" s="50"/>
    </row>
    <row r="49" spans="1:11" s="28" customFormat="1" ht="16.8">
      <c r="A49" s="41"/>
      <c r="B49" s="9"/>
      <c r="C49" s="38"/>
      <c r="D49" s="9"/>
      <c r="E49" s="9" t="s">
        <v>198</v>
      </c>
      <c r="F49" s="9"/>
      <c r="G49" s="9"/>
      <c r="H49" s="9"/>
      <c r="I49" s="42"/>
      <c r="K49" s="50"/>
    </row>
    <row r="50" spans="1:11" s="28" customFormat="1" ht="16.8">
      <c r="A50" s="41"/>
      <c r="B50" s="9"/>
      <c r="C50" s="38"/>
      <c r="D50" s="9"/>
      <c r="E50" s="9" t="s">
        <v>71</v>
      </c>
      <c r="F50" s="9"/>
      <c r="G50" s="9"/>
      <c r="H50" s="9"/>
      <c r="I50" s="42"/>
      <c r="K50" s="50"/>
    </row>
    <row r="51" spans="1:11" ht="41.4">
      <c r="A51" s="2">
        <v>46216</v>
      </c>
      <c r="B51" s="1" t="s">
        <v>86</v>
      </c>
      <c r="C51" s="38" t="s">
        <v>127</v>
      </c>
      <c r="D51" s="1" t="s">
        <v>30</v>
      </c>
      <c r="E51" s="1" t="s">
        <v>71</v>
      </c>
      <c r="F51" s="1" t="s">
        <v>27</v>
      </c>
      <c r="G51" s="1" t="s">
        <v>28</v>
      </c>
      <c r="H51" s="1" t="s">
        <v>29</v>
      </c>
      <c r="I51" s="1" t="s">
        <v>184</v>
      </c>
      <c r="K51" s="49"/>
    </row>
    <row r="52" spans="1:11" s="28" customFormat="1">
      <c r="A52" s="41"/>
      <c r="B52" s="9"/>
      <c r="C52" s="38"/>
      <c r="D52" s="9"/>
      <c r="E52" s="9" t="s">
        <v>66</v>
      </c>
      <c r="F52" s="9"/>
      <c r="G52" s="9"/>
      <c r="H52" s="9"/>
      <c r="I52" s="9"/>
      <c r="K52" s="50"/>
    </row>
    <row r="53" spans="1:11" s="28" customFormat="1">
      <c r="A53" s="41"/>
      <c r="B53" s="9"/>
      <c r="C53" s="38"/>
      <c r="D53" s="9"/>
      <c r="E53" s="9" t="s">
        <v>61</v>
      </c>
      <c r="F53" s="9"/>
      <c r="G53" s="9"/>
      <c r="H53" s="9"/>
      <c r="I53" s="9"/>
      <c r="K53" s="50"/>
    </row>
    <row r="54" spans="1:11" s="28" customFormat="1">
      <c r="A54" s="41"/>
      <c r="B54" s="9"/>
      <c r="C54" s="38"/>
      <c r="D54" s="9"/>
      <c r="E54" s="9" t="s">
        <v>68</v>
      </c>
      <c r="F54" s="9"/>
      <c r="G54" s="9"/>
      <c r="H54" s="9"/>
      <c r="I54" s="9"/>
      <c r="K54" s="50"/>
    </row>
    <row r="55" spans="1:11" s="28" customFormat="1">
      <c r="A55" s="41"/>
      <c r="B55" s="9"/>
      <c r="C55" s="38"/>
      <c r="D55" s="9"/>
      <c r="E55" s="9" t="s">
        <v>199</v>
      </c>
      <c r="F55" s="9"/>
      <c r="G55" s="9"/>
      <c r="H55" s="9"/>
      <c r="I55" s="9"/>
      <c r="K55" s="50"/>
    </row>
    <row r="56" spans="1:11" s="28" customFormat="1">
      <c r="A56" s="41"/>
      <c r="B56" s="9"/>
      <c r="C56" s="38"/>
      <c r="D56" s="9"/>
      <c r="E56" s="9" t="s">
        <v>44</v>
      </c>
      <c r="F56" s="9"/>
      <c r="G56" s="9"/>
      <c r="H56" s="9"/>
      <c r="I56" s="9"/>
      <c r="K56" s="50"/>
    </row>
    <row r="57" spans="1:11" s="28" customFormat="1">
      <c r="A57" s="41"/>
      <c r="B57" s="9"/>
      <c r="C57" s="38"/>
      <c r="D57" s="9"/>
      <c r="E57" s="9" t="s">
        <v>200</v>
      </c>
      <c r="F57" s="9"/>
      <c r="G57" s="9"/>
      <c r="H57" s="9"/>
      <c r="I57" s="9"/>
      <c r="K57" s="50"/>
    </row>
    <row r="58" spans="1:11" ht="78">
      <c r="A58" s="2">
        <v>46216</v>
      </c>
      <c r="B58" s="1" t="s">
        <v>99</v>
      </c>
      <c r="C58" s="38" t="s">
        <v>128</v>
      </c>
      <c r="D58" s="1" t="s">
        <v>30</v>
      </c>
      <c r="E58" s="1" t="s">
        <v>41</v>
      </c>
      <c r="F58" s="1" t="s">
        <v>27</v>
      </c>
      <c r="G58" s="1" t="s">
        <v>28</v>
      </c>
      <c r="H58" s="1" t="s">
        <v>4</v>
      </c>
      <c r="I58" s="1" t="s">
        <v>185</v>
      </c>
      <c r="K58" s="49"/>
    </row>
    <row r="59" spans="1:11" s="28" customFormat="1">
      <c r="A59" s="41"/>
      <c r="B59" s="9"/>
      <c r="C59" s="38"/>
      <c r="D59" s="9"/>
      <c r="E59" s="9" t="s">
        <v>72</v>
      </c>
      <c r="F59" s="9"/>
      <c r="G59" s="9"/>
      <c r="H59" s="9"/>
      <c r="I59" s="9"/>
      <c r="K59" s="50"/>
    </row>
    <row r="60" spans="1:11" s="28" customFormat="1">
      <c r="A60" s="41"/>
      <c r="B60" s="9"/>
      <c r="C60" s="38"/>
      <c r="D60" s="9"/>
      <c r="E60" s="9" t="s">
        <v>201</v>
      </c>
      <c r="F60" s="9"/>
      <c r="G60" s="9"/>
      <c r="H60" s="9"/>
      <c r="I60" s="9"/>
      <c r="K60" s="50"/>
    </row>
    <row r="61" spans="1:11" s="28" customFormat="1">
      <c r="A61" s="41"/>
      <c r="B61" s="9"/>
      <c r="C61" s="38"/>
      <c r="D61" s="9"/>
      <c r="E61" s="9" t="s">
        <v>202</v>
      </c>
      <c r="F61" s="9"/>
      <c r="G61" s="9"/>
      <c r="H61" s="9"/>
      <c r="I61" s="9"/>
      <c r="K61" s="50"/>
    </row>
    <row r="62" spans="1:11" s="28" customFormat="1">
      <c r="A62" s="41"/>
      <c r="B62" s="9"/>
      <c r="C62" s="38"/>
      <c r="D62" s="9"/>
      <c r="E62" s="9" t="s">
        <v>70</v>
      </c>
      <c r="F62" s="9"/>
      <c r="G62" s="9"/>
      <c r="H62" s="9"/>
      <c r="I62" s="9"/>
      <c r="K62" s="50"/>
    </row>
    <row r="63" spans="1:11" s="28" customFormat="1">
      <c r="A63" s="41"/>
      <c r="B63" s="9"/>
      <c r="C63" s="38"/>
      <c r="D63" s="9"/>
      <c r="E63" s="9" t="s">
        <v>71</v>
      </c>
      <c r="F63" s="9"/>
      <c r="G63" s="9"/>
      <c r="H63" s="9"/>
      <c r="I63" s="9"/>
      <c r="K63" s="50"/>
    </row>
    <row r="64" spans="1:11" ht="16.8">
      <c r="A64" s="2">
        <v>46216</v>
      </c>
      <c r="B64" s="36" t="s">
        <v>81</v>
      </c>
      <c r="C64" s="44" t="s">
        <v>129</v>
      </c>
      <c r="D64" s="1" t="s">
        <v>30</v>
      </c>
      <c r="E64" s="1" t="s">
        <v>44</v>
      </c>
      <c r="F64" s="1" t="s">
        <v>53</v>
      </c>
      <c r="G64" s="1" t="s">
        <v>45</v>
      </c>
      <c r="H64" s="1" t="s">
        <v>4</v>
      </c>
      <c r="I64" s="40" t="s">
        <v>196</v>
      </c>
      <c r="K64" s="49"/>
    </row>
    <row r="65" spans="1:11" s="28" customFormat="1" ht="16.8">
      <c r="A65" s="41"/>
      <c r="B65" s="9"/>
      <c r="C65" s="38"/>
      <c r="D65" s="9"/>
      <c r="E65" s="9" t="s">
        <v>55</v>
      </c>
      <c r="F65" s="9"/>
      <c r="G65" s="9"/>
      <c r="H65" s="9"/>
      <c r="I65" s="42" t="s">
        <v>197</v>
      </c>
      <c r="K65" s="50"/>
    </row>
    <row r="66" spans="1:11" s="28" customFormat="1" ht="16.8">
      <c r="A66" s="41"/>
      <c r="B66" s="9"/>
      <c r="C66" s="38"/>
      <c r="D66" s="9"/>
      <c r="E66" s="9" t="s">
        <v>190</v>
      </c>
      <c r="F66" s="9"/>
      <c r="G66" s="9"/>
      <c r="H66" s="9"/>
      <c r="I66" s="42"/>
      <c r="K66" s="50"/>
    </row>
    <row r="67" spans="1:11" s="28" customFormat="1" ht="21">
      <c r="A67" s="41"/>
      <c r="B67" s="9"/>
      <c r="C67" s="38"/>
      <c r="D67" s="9"/>
      <c r="E67" s="43" t="s">
        <v>191</v>
      </c>
      <c r="F67" s="9"/>
      <c r="G67" s="9"/>
      <c r="H67" s="9"/>
      <c r="I67" s="42"/>
      <c r="K67" s="50"/>
    </row>
    <row r="68" spans="1:11" s="28" customFormat="1" ht="16.8">
      <c r="A68" s="41"/>
      <c r="B68" s="9"/>
      <c r="C68" s="38"/>
      <c r="D68" s="9"/>
      <c r="E68" s="9" t="s">
        <v>192</v>
      </c>
      <c r="F68" s="9"/>
      <c r="G68" s="9"/>
      <c r="H68" s="9"/>
      <c r="I68" s="42"/>
      <c r="K68" s="50"/>
    </row>
    <row r="69" spans="1:11" s="28" customFormat="1" ht="21">
      <c r="A69" s="41"/>
      <c r="B69" s="9"/>
      <c r="C69" s="38"/>
      <c r="D69" s="9"/>
      <c r="E69" s="43" t="s">
        <v>193</v>
      </c>
      <c r="F69" s="9"/>
      <c r="G69" s="9"/>
      <c r="H69" s="9"/>
      <c r="I69" s="42"/>
      <c r="K69" s="50"/>
    </row>
    <row r="70" spans="1:11" s="28" customFormat="1" ht="16.8">
      <c r="A70" s="41"/>
      <c r="B70" s="9"/>
      <c r="C70" s="38"/>
      <c r="D70" s="9"/>
      <c r="E70" s="9" t="s">
        <v>64</v>
      </c>
      <c r="F70" s="9"/>
      <c r="G70" s="9"/>
      <c r="H70" s="9"/>
      <c r="I70" s="42"/>
      <c r="K70" s="50"/>
    </row>
    <row r="71" spans="1:11" s="28" customFormat="1" ht="16.8">
      <c r="A71" s="41"/>
      <c r="B71" s="9"/>
      <c r="C71" s="38"/>
      <c r="D71" s="9"/>
      <c r="E71" s="9" t="s">
        <v>194</v>
      </c>
      <c r="F71" s="9"/>
      <c r="G71" s="9"/>
      <c r="H71" s="9"/>
      <c r="I71" s="42"/>
      <c r="K71" s="50"/>
    </row>
    <row r="72" spans="1:11" s="28" customFormat="1" ht="16.8">
      <c r="A72" s="41"/>
      <c r="B72" s="9"/>
      <c r="C72" s="38"/>
      <c r="D72" s="9"/>
      <c r="E72" s="9" t="s">
        <v>195</v>
      </c>
      <c r="F72" s="9"/>
      <c r="G72" s="9"/>
      <c r="H72" s="9"/>
      <c r="I72" s="42"/>
      <c r="K72" s="50"/>
    </row>
    <row r="73" spans="1:11">
      <c r="A73" s="2">
        <v>46216</v>
      </c>
      <c r="B73" s="1" t="s">
        <v>83</v>
      </c>
      <c r="C73" s="38" t="s">
        <v>130</v>
      </c>
      <c r="D73" s="1" t="s">
        <v>30</v>
      </c>
      <c r="E73" s="1" t="s">
        <v>58</v>
      </c>
      <c r="F73" s="1" t="s">
        <v>32</v>
      </c>
      <c r="G73" s="1" t="s">
        <v>39</v>
      </c>
      <c r="H73" s="1" t="s">
        <v>29</v>
      </c>
      <c r="I73" s="1" t="s">
        <v>132</v>
      </c>
      <c r="K73" s="49"/>
    </row>
    <row r="74" spans="1:11" s="28" customFormat="1">
      <c r="A74" s="41"/>
      <c r="B74" s="9"/>
      <c r="C74" s="38"/>
      <c r="D74" s="9"/>
      <c r="E74" s="9" t="s">
        <v>47</v>
      </c>
      <c r="F74" s="9"/>
      <c r="G74" s="9"/>
      <c r="H74" s="9"/>
      <c r="I74" s="9"/>
      <c r="K74" s="50"/>
    </row>
    <row r="75" spans="1:11" s="28" customFormat="1">
      <c r="A75" s="41"/>
      <c r="B75" s="9"/>
      <c r="C75" s="38"/>
      <c r="D75" s="9"/>
      <c r="E75" s="9" t="s">
        <v>44</v>
      </c>
      <c r="F75" s="9"/>
      <c r="G75" s="9"/>
      <c r="H75" s="9"/>
      <c r="I75" s="9"/>
      <c r="K75" s="50"/>
    </row>
    <row r="76" spans="1:11" s="28" customFormat="1">
      <c r="A76" s="41"/>
      <c r="B76" s="9"/>
      <c r="C76" s="38"/>
      <c r="D76" s="9"/>
      <c r="E76" s="9" t="s">
        <v>41</v>
      </c>
      <c r="F76" s="9"/>
      <c r="G76" s="9"/>
      <c r="H76" s="9"/>
      <c r="I76" s="9"/>
      <c r="K76" s="50"/>
    </row>
    <row r="77" spans="1:11" s="28" customFormat="1" ht="21">
      <c r="A77" s="41"/>
      <c r="B77" s="9"/>
      <c r="C77" s="38"/>
      <c r="D77" s="9"/>
      <c r="E77" s="43" t="s">
        <v>203</v>
      </c>
      <c r="F77" s="9"/>
      <c r="G77" s="9"/>
      <c r="H77" s="9"/>
      <c r="I77" s="9"/>
      <c r="K77" s="50"/>
    </row>
    <row r="78" spans="1:11" s="28" customFormat="1">
      <c r="A78" s="41"/>
      <c r="B78" s="9"/>
      <c r="C78" s="38"/>
      <c r="D78" s="9"/>
      <c r="E78" s="9" t="s">
        <v>72</v>
      </c>
      <c r="F78" s="9"/>
      <c r="G78" s="9"/>
      <c r="H78" s="9"/>
      <c r="I78" s="9"/>
      <c r="K78" s="50"/>
    </row>
    <row r="79" spans="1:11" ht="82.8">
      <c r="A79" s="2">
        <v>46217</v>
      </c>
      <c r="B79" s="1" t="s">
        <v>133</v>
      </c>
      <c r="C79" s="38" t="s">
        <v>146</v>
      </c>
      <c r="D79" s="1" t="s">
        <v>30</v>
      </c>
      <c r="E79" s="1"/>
      <c r="F79" s="1" t="s">
        <v>31</v>
      </c>
      <c r="G79" s="1" t="s">
        <v>28</v>
      </c>
      <c r="H79" s="1" t="s">
        <v>29</v>
      </c>
      <c r="I79" s="1" t="s">
        <v>145</v>
      </c>
      <c r="K79" s="49"/>
    </row>
    <row r="80" spans="1:11" ht="55.2">
      <c r="A80" s="2">
        <v>46217</v>
      </c>
      <c r="B80" s="1" t="s">
        <v>134</v>
      </c>
      <c r="C80" s="38" t="s">
        <v>147</v>
      </c>
      <c r="D80" s="1" t="s">
        <v>30</v>
      </c>
      <c r="E80" s="1"/>
      <c r="F80" s="1" t="s">
        <v>31</v>
      </c>
      <c r="G80" s="1" t="s">
        <v>28</v>
      </c>
      <c r="H80" s="1" t="s">
        <v>29</v>
      </c>
      <c r="I80" s="1" t="s">
        <v>144</v>
      </c>
      <c r="K80" s="49"/>
    </row>
    <row r="81" spans="1:11" ht="30.6">
      <c r="A81" s="2">
        <v>46217</v>
      </c>
      <c r="B81" s="36" t="s">
        <v>135</v>
      </c>
      <c r="C81" s="44" t="s">
        <v>148</v>
      </c>
      <c r="D81" s="1" t="s">
        <v>30</v>
      </c>
      <c r="E81" s="1"/>
      <c r="F81" s="1" t="s">
        <v>27</v>
      </c>
      <c r="G81" s="1" t="s">
        <v>28</v>
      </c>
      <c r="H81" s="1" t="s">
        <v>4</v>
      </c>
      <c r="I81" s="1" t="s">
        <v>186</v>
      </c>
      <c r="J81" t="s">
        <v>205</v>
      </c>
      <c r="K81" s="49"/>
    </row>
    <row r="82" spans="1:11" ht="69">
      <c r="A82" s="2">
        <v>46217</v>
      </c>
      <c r="B82" s="1" t="s">
        <v>136</v>
      </c>
      <c r="C82" s="38" t="s">
        <v>149</v>
      </c>
      <c r="D82" s="1" t="s">
        <v>30</v>
      </c>
      <c r="E82" s="1"/>
      <c r="F82" s="1" t="s">
        <v>32</v>
      </c>
      <c r="G82" s="1" t="s">
        <v>28</v>
      </c>
      <c r="H82" s="1" t="s">
        <v>29</v>
      </c>
      <c r="I82" s="1" t="s">
        <v>187</v>
      </c>
      <c r="K82" s="49"/>
    </row>
    <row r="83" spans="1:11" ht="50.4">
      <c r="A83" s="2">
        <v>46217</v>
      </c>
      <c r="B83" s="1" t="s">
        <v>137</v>
      </c>
      <c r="C83" s="38" t="s">
        <v>150</v>
      </c>
      <c r="D83" s="1" t="s">
        <v>30</v>
      </c>
      <c r="E83" s="1"/>
      <c r="F83" s="1" t="s">
        <v>27</v>
      </c>
      <c r="G83" s="1" t="s">
        <v>28</v>
      </c>
      <c r="H83" s="1" t="s">
        <v>32</v>
      </c>
      <c r="I83" s="39" t="s">
        <v>188</v>
      </c>
      <c r="K83" s="49"/>
    </row>
    <row r="84" spans="1:11" ht="55.2">
      <c r="A84" s="2">
        <v>46217</v>
      </c>
      <c r="B84" s="1" t="s">
        <v>138</v>
      </c>
      <c r="C84" s="38" t="s">
        <v>151</v>
      </c>
      <c r="D84" s="1" t="s">
        <v>30</v>
      </c>
      <c r="E84" s="1"/>
      <c r="F84" s="1"/>
      <c r="G84" s="1"/>
      <c r="H84" s="1"/>
      <c r="I84" s="1" t="s">
        <v>143</v>
      </c>
      <c r="K84" s="49"/>
    </row>
    <row r="85" spans="1:11" ht="67.2">
      <c r="A85" s="2">
        <v>46217</v>
      </c>
      <c r="B85" s="1" t="s">
        <v>139</v>
      </c>
      <c r="C85" s="38" t="s">
        <v>152</v>
      </c>
      <c r="D85" s="1" t="s">
        <v>30</v>
      </c>
      <c r="E85" s="1"/>
      <c r="F85" s="1" t="s">
        <v>27</v>
      </c>
      <c r="G85" s="1" t="s">
        <v>28</v>
      </c>
      <c r="H85" s="1" t="s">
        <v>29</v>
      </c>
      <c r="I85" s="39" t="s">
        <v>142</v>
      </c>
      <c r="K85" s="49"/>
    </row>
    <row r="86" spans="1:11" ht="84">
      <c r="A86" s="2">
        <v>46217</v>
      </c>
      <c r="B86" s="36" t="s">
        <v>140</v>
      </c>
      <c r="C86" s="45" t="s">
        <v>204</v>
      </c>
      <c r="D86" s="1" t="s">
        <v>30</v>
      </c>
      <c r="E86" s="1"/>
      <c r="F86" s="1" t="s">
        <v>27</v>
      </c>
      <c r="G86" s="1" t="s">
        <v>28</v>
      </c>
      <c r="H86" s="1" t="s">
        <v>4</v>
      </c>
      <c r="I86" s="39" t="s">
        <v>141</v>
      </c>
      <c r="K86" s="49"/>
    </row>
    <row r="87" spans="1:11" ht="113.4">
      <c r="A87" s="2">
        <v>46218</v>
      </c>
      <c r="B87" s="1" t="s">
        <v>153</v>
      </c>
      <c r="C87" s="38" t="s">
        <v>161</v>
      </c>
      <c r="D87" s="1" t="s">
        <v>30</v>
      </c>
      <c r="E87" s="1"/>
      <c r="F87" s="1" t="s">
        <v>31</v>
      </c>
      <c r="G87" s="1" t="s">
        <v>28</v>
      </c>
      <c r="H87" s="1" t="s">
        <v>29</v>
      </c>
      <c r="I87" s="1" t="s">
        <v>189</v>
      </c>
      <c r="K87" s="49"/>
    </row>
    <row r="88" spans="1:11" ht="124.8" customHeight="1">
      <c r="A88" s="2">
        <v>46218</v>
      </c>
      <c r="B88" s="1" t="s">
        <v>154</v>
      </c>
      <c r="C88" s="38" t="s">
        <v>162</v>
      </c>
      <c r="D88" s="1" t="s">
        <v>30</v>
      </c>
      <c r="E88" s="1"/>
      <c r="F88" s="1" t="s">
        <v>32</v>
      </c>
      <c r="G88" s="1" t="s">
        <v>45</v>
      </c>
      <c r="H88" s="1" t="s">
        <v>29</v>
      </c>
      <c r="I88" s="39" t="s">
        <v>169</v>
      </c>
      <c r="K88" s="49"/>
    </row>
    <row r="89" spans="1:11" ht="100.8">
      <c r="A89" s="2">
        <v>46218</v>
      </c>
      <c r="B89" s="1" t="s">
        <v>155</v>
      </c>
      <c r="C89" s="38" t="s">
        <v>163</v>
      </c>
      <c r="D89" s="1" t="s">
        <v>30</v>
      </c>
      <c r="E89" s="1"/>
      <c r="F89" s="1" t="s">
        <v>27</v>
      </c>
      <c r="G89" s="1" t="s">
        <v>39</v>
      </c>
      <c r="H89" s="1" t="s">
        <v>29</v>
      </c>
      <c r="I89" s="39" t="s">
        <v>170</v>
      </c>
      <c r="K89" s="49"/>
    </row>
    <row r="90" spans="1:11" ht="85.8">
      <c r="A90" s="2">
        <v>46218</v>
      </c>
      <c r="B90" s="1" t="s">
        <v>156</v>
      </c>
      <c r="C90" s="38" t="s">
        <v>164</v>
      </c>
      <c r="D90" s="1" t="s">
        <v>30</v>
      </c>
      <c r="E90" s="1"/>
      <c r="F90" s="1" t="s">
        <v>27</v>
      </c>
      <c r="G90" s="1" t="s">
        <v>45</v>
      </c>
      <c r="H90" s="1" t="s">
        <v>29</v>
      </c>
      <c r="I90" s="1" t="s">
        <v>171</v>
      </c>
      <c r="K90" s="49"/>
    </row>
    <row r="91" spans="1:11" ht="102.6">
      <c r="A91" s="2">
        <v>46218</v>
      </c>
      <c r="B91" s="1" t="s">
        <v>157</v>
      </c>
      <c r="C91" s="38" t="s">
        <v>165</v>
      </c>
      <c r="D91" s="1" t="s">
        <v>30</v>
      </c>
      <c r="E91" s="1"/>
      <c r="F91" s="1" t="s">
        <v>32</v>
      </c>
      <c r="G91" s="1" t="s">
        <v>45</v>
      </c>
      <c r="H91" s="1" t="s">
        <v>32</v>
      </c>
      <c r="I91" s="1" t="s">
        <v>172</v>
      </c>
      <c r="K91" s="49"/>
    </row>
    <row r="92" spans="1:11" ht="55.2">
      <c r="A92" s="2">
        <v>46218</v>
      </c>
      <c r="B92" s="1" t="s">
        <v>158</v>
      </c>
      <c r="C92" s="38" t="s">
        <v>166</v>
      </c>
      <c r="D92" s="1" t="s">
        <v>30</v>
      </c>
      <c r="E92" s="1"/>
      <c r="F92" s="1" t="s">
        <v>32</v>
      </c>
      <c r="G92" s="1" t="s">
        <v>45</v>
      </c>
      <c r="H92" s="1" t="s">
        <v>29</v>
      </c>
      <c r="I92" s="1" t="s">
        <v>173</v>
      </c>
      <c r="K92" s="49"/>
    </row>
    <row r="93" spans="1:11" ht="67.2">
      <c r="A93" s="2">
        <v>46218</v>
      </c>
      <c r="B93" s="1" t="s">
        <v>159</v>
      </c>
      <c r="C93" s="38" t="s">
        <v>167</v>
      </c>
      <c r="D93" s="1" t="s">
        <v>30</v>
      </c>
      <c r="E93" s="1"/>
      <c r="F93" s="1" t="s">
        <v>31</v>
      </c>
      <c r="G93" s="1" t="s">
        <v>45</v>
      </c>
      <c r="H93" s="1" t="s">
        <v>29</v>
      </c>
      <c r="I93" s="39" t="s">
        <v>174</v>
      </c>
      <c r="K93" s="49"/>
    </row>
    <row r="94" spans="1:11" ht="100.2" customHeight="1">
      <c r="A94" s="2">
        <v>46218</v>
      </c>
      <c r="B94" s="1" t="s">
        <v>160</v>
      </c>
      <c r="C94" s="38" t="s">
        <v>168</v>
      </c>
      <c r="D94" s="1" t="s">
        <v>30</v>
      </c>
      <c r="E94" s="1"/>
      <c r="F94" s="1" t="s">
        <v>31</v>
      </c>
      <c r="G94" s="1" t="s">
        <v>45</v>
      </c>
      <c r="H94" s="1" t="s">
        <v>29</v>
      </c>
      <c r="I94" s="46" t="s">
        <v>175</v>
      </c>
      <c r="K94" s="49"/>
    </row>
    <row r="95" spans="1:11">
      <c r="A95" s="2">
        <v>46220</v>
      </c>
      <c r="B95" s="1" t="s">
        <v>206</v>
      </c>
      <c r="C95" s="1" t="s">
        <v>226</v>
      </c>
      <c r="D95" s="1" t="s">
        <v>30</v>
      </c>
      <c r="E95" s="1"/>
      <c r="F95" s="1" t="s">
        <v>31</v>
      </c>
      <c r="G95" s="1"/>
      <c r="H95" s="1" t="s">
        <v>29</v>
      </c>
      <c r="I95" s="1" t="s">
        <v>221</v>
      </c>
      <c r="K95" s="49"/>
    </row>
    <row r="96" spans="1:11" ht="41.4">
      <c r="A96" s="2">
        <v>46220</v>
      </c>
      <c r="B96" s="1" t="s">
        <v>207</v>
      </c>
      <c r="C96" s="1" t="s">
        <v>227</v>
      </c>
      <c r="D96" s="1" t="s">
        <v>30</v>
      </c>
      <c r="E96" s="1"/>
      <c r="F96" s="1" t="s">
        <v>31</v>
      </c>
      <c r="G96" s="1"/>
      <c r="H96" s="1" t="s">
        <v>29</v>
      </c>
      <c r="I96" s="1" t="s">
        <v>220</v>
      </c>
      <c r="K96" s="49"/>
    </row>
    <row r="97" spans="1:11" ht="138">
      <c r="A97" s="2">
        <v>46220</v>
      </c>
      <c r="B97" s="1" t="s">
        <v>208</v>
      </c>
      <c r="C97" s="1" t="s">
        <v>266</v>
      </c>
      <c r="D97" s="1" t="s">
        <v>30</v>
      </c>
      <c r="E97" s="1"/>
      <c r="F97" s="1" t="s">
        <v>31</v>
      </c>
      <c r="G97" s="1"/>
      <c r="H97" s="1" t="s">
        <v>4</v>
      </c>
      <c r="I97" s="1" t="s">
        <v>219</v>
      </c>
      <c r="K97" s="49"/>
    </row>
    <row r="98" spans="1:11" ht="55.2">
      <c r="A98" s="2">
        <v>46220</v>
      </c>
      <c r="B98" s="1" t="s">
        <v>209</v>
      </c>
      <c r="C98" s="1" t="s">
        <v>228</v>
      </c>
      <c r="D98" s="1" t="s">
        <v>30</v>
      </c>
      <c r="E98" s="1"/>
      <c r="F98" s="1" t="s">
        <v>31</v>
      </c>
      <c r="G98" s="1"/>
      <c r="H98" s="1" t="s">
        <v>4</v>
      </c>
      <c r="I98" s="1" t="s">
        <v>218</v>
      </c>
      <c r="K98" s="49"/>
    </row>
    <row r="99" spans="1:11" ht="55.2">
      <c r="A99" s="2">
        <v>46220</v>
      </c>
      <c r="B99" s="1" t="s">
        <v>210</v>
      </c>
      <c r="C99" s="1" t="s">
        <v>229</v>
      </c>
      <c r="D99" s="1" t="s">
        <v>30</v>
      </c>
      <c r="E99" s="1"/>
      <c r="F99" s="1" t="s">
        <v>31</v>
      </c>
      <c r="G99" s="1"/>
      <c r="H99" s="1" t="s">
        <v>29</v>
      </c>
      <c r="I99" s="1" t="s">
        <v>217</v>
      </c>
      <c r="K99" s="49"/>
    </row>
    <row r="100" spans="1:11" ht="55.2">
      <c r="A100" s="2">
        <v>46220</v>
      </c>
      <c r="B100" s="1" t="s">
        <v>211</v>
      </c>
      <c r="C100" s="1" t="s">
        <v>230</v>
      </c>
      <c r="D100" s="1" t="s">
        <v>30</v>
      </c>
      <c r="E100" s="1"/>
      <c r="F100" s="1" t="s">
        <v>27</v>
      </c>
      <c r="G100" s="1"/>
      <c r="H100" s="1" t="s">
        <v>32</v>
      </c>
      <c r="I100" s="1" t="s">
        <v>216</v>
      </c>
      <c r="K100" s="49"/>
    </row>
    <row r="101" spans="1:11" ht="110.4">
      <c r="A101" s="2">
        <v>46220</v>
      </c>
      <c r="B101" s="1" t="s">
        <v>212</v>
      </c>
      <c r="C101" s="1" t="s">
        <v>231</v>
      </c>
      <c r="D101" s="1" t="s">
        <v>30</v>
      </c>
      <c r="E101" s="1"/>
      <c r="F101" s="1" t="s">
        <v>53</v>
      </c>
      <c r="G101" s="1"/>
      <c r="H101" s="1" t="s">
        <v>4</v>
      </c>
      <c r="I101" s="1" t="s">
        <v>215</v>
      </c>
      <c r="K101" s="49"/>
    </row>
    <row r="102" spans="1:11" ht="41.4">
      <c r="A102" s="2">
        <v>46220</v>
      </c>
      <c r="B102" s="1" t="s">
        <v>213</v>
      </c>
      <c r="C102" s="1" t="s">
        <v>232</v>
      </c>
      <c r="D102" s="1" t="s">
        <v>30</v>
      </c>
      <c r="E102" s="1"/>
      <c r="F102" s="1" t="s">
        <v>31</v>
      </c>
      <c r="G102" s="1"/>
      <c r="H102" s="1" t="s">
        <v>29</v>
      </c>
      <c r="I102" s="1" t="s">
        <v>214</v>
      </c>
      <c r="K102" s="49"/>
    </row>
    <row r="103" spans="1:11" ht="82.8">
      <c r="A103" s="2">
        <v>46222</v>
      </c>
      <c r="B103" s="1" t="s">
        <v>113</v>
      </c>
      <c r="C103" s="47" t="s">
        <v>120</v>
      </c>
      <c r="D103" s="1" t="s">
        <v>30</v>
      </c>
      <c r="E103" s="1"/>
      <c r="F103" s="1" t="s">
        <v>53</v>
      </c>
      <c r="G103" s="1"/>
      <c r="H103" s="1" t="s">
        <v>4</v>
      </c>
      <c r="I103" s="1" t="s">
        <v>246</v>
      </c>
      <c r="K103" s="49"/>
    </row>
    <row r="104" spans="1:11" ht="41.4">
      <c r="A104" s="2">
        <v>46222</v>
      </c>
      <c r="B104" s="1" t="s">
        <v>222</v>
      </c>
      <c r="C104" s="47" t="s">
        <v>233</v>
      </c>
      <c r="D104" s="1" t="s">
        <v>30</v>
      </c>
      <c r="E104" s="1"/>
      <c r="F104" s="1" t="s">
        <v>32</v>
      </c>
      <c r="G104" s="1" t="s">
        <v>39</v>
      </c>
      <c r="H104" s="1" t="s">
        <v>32</v>
      </c>
      <c r="I104" s="1" t="s">
        <v>245</v>
      </c>
      <c r="K104" s="49"/>
    </row>
    <row r="105" spans="1:11" ht="69">
      <c r="A105" s="2">
        <v>46222</v>
      </c>
      <c r="B105" s="1" t="s">
        <v>116</v>
      </c>
      <c r="C105" s="1" t="s">
        <v>123</v>
      </c>
      <c r="D105" s="1" t="s">
        <v>30</v>
      </c>
      <c r="E105" s="1"/>
      <c r="F105" s="1" t="s">
        <v>53</v>
      </c>
      <c r="G105" s="1"/>
      <c r="H105" s="1" t="s">
        <v>4</v>
      </c>
      <c r="I105" s="1" t="s">
        <v>244</v>
      </c>
      <c r="K105" s="49"/>
    </row>
    <row r="106" spans="1:11" ht="69">
      <c r="A106" s="2">
        <v>46222</v>
      </c>
      <c r="B106" s="1" t="s">
        <v>117</v>
      </c>
      <c r="C106" s="1" t="s">
        <v>124</v>
      </c>
      <c r="D106" s="1" t="s">
        <v>30</v>
      </c>
      <c r="E106" s="1"/>
      <c r="F106" s="1" t="s">
        <v>32</v>
      </c>
      <c r="G106" s="1" t="s">
        <v>39</v>
      </c>
      <c r="H106" s="1" t="s">
        <v>32</v>
      </c>
      <c r="I106" s="1" t="s">
        <v>243</v>
      </c>
      <c r="K106" s="49"/>
    </row>
    <row r="107" spans="1:11" ht="55.2">
      <c r="A107" s="2">
        <v>46222</v>
      </c>
      <c r="B107" s="1" t="s">
        <v>223</v>
      </c>
      <c r="C107" s="1" t="s">
        <v>234</v>
      </c>
      <c r="D107" s="1" t="s">
        <v>30</v>
      </c>
      <c r="E107" s="1"/>
      <c r="F107" s="1" t="s">
        <v>31</v>
      </c>
      <c r="G107" s="1" t="s">
        <v>39</v>
      </c>
      <c r="H107" s="1" t="s">
        <v>32</v>
      </c>
      <c r="I107" s="1" t="s">
        <v>242</v>
      </c>
      <c r="K107" s="49"/>
    </row>
    <row r="108" spans="1:11" ht="55.2">
      <c r="A108" s="2">
        <v>46222</v>
      </c>
      <c r="B108" s="1" t="s">
        <v>224</v>
      </c>
      <c r="C108" s="1" t="s">
        <v>235</v>
      </c>
      <c r="D108" s="1" t="s">
        <v>30</v>
      </c>
      <c r="E108" s="1"/>
      <c r="F108" s="1" t="s">
        <v>27</v>
      </c>
      <c r="G108" s="1" t="s">
        <v>28</v>
      </c>
      <c r="H108" s="1" t="s">
        <v>4</v>
      </c>
      <c r="I108" s="1" t="s">
        <v>241</v>
      </c>
      <c r="K108" s="49"/>
    </row>
    <row r="109" spans="1:11" ht="82.8">
      <c r="A109" s="2">
        <v>46222</v>
      </c>
      <c r="B109" s="1" t="s">
        <v>225</v>
      </c>
      <c r="C109" s="1" t="s">
        <v>236</v>
      </c>
      <c r="D109" s="1" t="s">
        <v>30</v>
      </c>
      <c r="E109" s="1"/>
      <c r="F109" s="1" t="s">
        <v>31</v>
      </c>
      <c r="G109" s="1" t="s">
        <v>39</v>
      </c>
      <c r="H109" s="1" t="s">
        <v>29</v>
      </c>
      <c r="I109" s="1" t="s">
        <v>240</v>
      </c>
      <c r="K109" s="49"/>
    </row>
    <row r="110" spans="1:11" ht="138">
      <c r="A110" s="2">
        <v>46222</v>
      </c>
      <c r="B110" s="1" t="s">
        <v>237</v>
      </c>
      <c r="C110" s="1" t="s">
        <v>238</v>
      </c>
      <c r="D110" s="1" t="s">
        <v>30</v>
      </c>
      <c r="E110" s="1"/>
      <c r="F110" s="1" t="s">
        <v>32</v>
      </c>
      <c r="G110" s="1"/>
      <c r="H110" s="1" t="s">
        <v>29</v>
      </c>
      <c r="I110" s="1" t="s">
        <v>239</v>
      </c>
      <c r="K110" s="49"/>
    </row>
    <row r="111" spans="1:11" ht="55.2" customHeight="1">
      <c r="A111" s="2">
        <v>46224</v>
      </c>
      <c r="B111" s="1" t="s">
        <v>135</v>
      </c>
      <c r="C111" s="1" t="s">
        <v>148</v>
      </c>
      <c r="D111" s="1" t="s">
        <v>30</v>
      </c>
      <c r="E111" s="1"/>
      <c r="F111" s="1" t="s">
        <v>53</v>
      </c>
      <c r="G111" s="1"/>
      <c r="H111" s="1" t="s">
        <v>4</v>
      </c>
      <c r="I111" s="1" t="s">
        <v>248</v>
      </c>
      <c r="K111" s="49"/>
    </row>
    <row r="112" spans="1:11" ht="82.8">
      <c r="A112" s="2">
        <v>46224</v>
      </c>
      <c r="B112" s="1" t="s">
        <v>138</v>
      </c>
      <c r="C112" s="1" t="s">
        <v>151</v>
      </c>
      <c r="D112" s="1" t="s">
        <v>30</v>
      </c>
      <c r="E112" s="1"/>
      <c r="F112" s="1" t="s">
        <v>32</v>
      </c>
      <c r="G112" s="1"/>
      <c r="H112" s="1" t="s">
        <v>29</v>
      </c>
      <c r="I112" s="1" t="s">
        <v>249</v>
      </c>
      <c r="K112" s="49"/>
    </row>
    <row r="113" spans="1:11" ht="41.4">
      <c r="A113" s="2">
        <v>46224</v>
      </c>
      <c r="B113" s="1" t="s">
        <v>247</v>
      </c>
      <c r="C113" s="1" t="s">
        <v>256</v>
      </c>
      <c r="D113" s="1" t="s">
        <v>30</v>
      </c>
      <c r="E113" s="1"/>
      <c r="F113" s="1" t="s">
        <v>31</v>
      </c>
      <c r="G113" s="1"/>
      <c r="H113" s="1" t="s">
        <v>29</v>
      </c>
      <c r="I113" s="1" t="s">
        <v>250</v>
      </c>
      <c r="K113" s="49"/>
    </row>
    <row r="114" spans="1:11" ht="69">
      <c r="A114" s="2">
        <v>46224</v>
      </c>
      <c r="B114" s="1" t="s">
        <v>139</v>
      </c>
      <c r="C114" s="1" t="s">
        <v>152</v>
      </c>
      <c r="D114" s="1" t="s">
        <v>30</v>
      </c>
      <c r="E114" s="1"/>
      <c r="F114" s="1" t="s">
        <v>53</v>
      </c>
      <c r="G114" s="1"/>
      <c r="H114" s="1" t="s">
        <v>4</v>
      </c>
      <c r="I114" s="1" t="s">
        <v>257</v>
      </c>
      <c r="K114" s="49"/>
    </row>
    <row r="115" spans="1:11" ht="82.8">
      <c r="A115" s="2">
        <v>46224</v>
      </c>
      <c r="B115" s="1" t="s">
        <v>140</v>
      </c>
      <c r="C115" s="1" t="s">
        <v>255</v>
      </c>
      <c r="D115" s="1" t="s">
        <v>30</v>
      </c>
      <c r="E115" s="1"/>
      <c r="F115" s="1" t="s">
        <v>53</v>
      </c>
      <c r="G115" s="1"/>
      <c r="H115" s="1" t="s">
        <v>4</v>
      </c>
      <c r="I115" s="1" t="s">
        <v>251</v>
      </c>
      <c r="K115" s="49"/>
    </row>
    <row r="116" spans="1:11" ht="69">
      <c r="A116" s="2">
        <v>46224</v>
      </c>
      <c r="B116" s="1" t="s">
        <v>137</v>
      </c>
      <c r="C116" s="1" t="s">
        <v>150</v>
      </c>
      <c r="D116" s="1" t="s">
        <v>30</v>
      </c>
      <c r="E116" s="1"/>
      <c r="F116" s="1" t="s">
        <v>27</v>
      </c>
      <c r="G116" s="1"/>
      <c r="H116" s="1" t="s">
        <v>29</v>
      </c>
      <c r="I116" s="1" t="s">
        <v>252</v>
      </c>
      <c r="K116" s="49"/>
    </row>
    <row r="117" spans="1:11" ht="82.8">
      <c r="A117" s="2">
        <v>46224</v>
      </c>
      <c r="B117" s="1" t="s">
        <v>134</v>
      </c>
      <c r="C117" s="1" t="s">
        <v>147</v>
      </c>
      <c r="D117" s="1" t="s">
        <v>30</v>
      </c>
      <c r="E117" s="1"/>
      <c r="F117" s="1" t="s">
        <v>32</v>
      </c>
      <c r="G117" s="1"/>
      <c r="H117" s="1" t="s">
        <v>29</v>
      </c>
      <c r="I117" s="1" t="s">
        <v>253</v>
      </c>
      <c r="K117" s="49"/>
    </row>
    <row r="118" spans="1:11" ht="55.2">
      <c r="A118" s="2">
        <v>46224</v>
      </c>
      <c r="B118" s="1" t="s">
        <v>133</v>
      </c>
      <c r="C118" s="1" t="s">
        <v>146</v>
      </c>
      <c r="D118" s="1" t="s">
        <v>30</v>
      </c>
      <c r="E118" s="1"/>
      <c r="F118" s="1" t="s">
        <v>32</v>
      </c>
      <c r="G118" s="1"/>
      <c r="H118" s="1" t="s">
        <v>4</v>
      </c>
      <c r="I118" s="1" t="s">
        <v>254</v>
      </c>
      <c r="K118" s="49"/>
    </row>
    <row r="119" spans="1:11" ht="61.2">
      <c r="A119" s="2">
        <v>46225</v>
      </c>
      <c r="B119" s="1" t="s">
        <v>155</v>
      </c>
      <c r="C119" s="1" t="s">
        <v>258</v>
      </c>
      <c r="D119" s="1" t="s">
        <v>30</v>
      </c>
      <c r="E119" s="1"/>
      <c r="F119" s="1" t="s">
        <v>27</v>
      </c>
      <c r="G119" s="1"/>
      <c r="H119" s="1" t="s">
        <v>32</v>
      </c>
      <c r="I119" s="1" t="s">
        <v>280</v>
      </c>
      <c r="K119" s="49"/>
    </row>
    <row r="120" spans="1:11" ht="27.6">
      <c r="A120" s="2">
        <v>46225</v>
      </c>
      <c r="B120" s="1" t="s">
        <v>158</v>
      </c>
      <c r="C120" s="1" t="s">
        <v>259</v>
      </c>
      <c r="D120" s="1" t="s">
        <v>30</v>
      </c>
      <c r="E120" s="1"/>
      <c r="F120" s="1" t="s">
        <v>27</v>
      </c>
      <c r="G120" s="1"/>
      <c r="H120" s="1" t="s">
        <v>32</v>
      </c>
      <c r="I120" s="1" t="s">
        <v>281</v>
      </c>
      <c r="K120" s="49"/>
    </row>
    <row r="121" spans="1:11" ht="44.4">
      <c r="A121" s="2">
        <v>46225</v>
      </c>
      <c r="B121" s="1" t="s">
        <v>153</v>
      </c>
      <c r="C121" s="1" t="s">
        <v>260</v>
      </c>
      <c r="D121" s="1" t="s">
        <v>30</v>
      </c>
      <c r="E121" s="1"/>
      <c r="F121" s="1" t="s">
        <v>27</v>
      </c>
      <c r="G121" s="1"/>
      <c r="H121" s="1" t="s">
        <v>29</v>
      </c>
      <c r="I121" s="1" t="s">
        <v>282</v>
      </c>
      <c r="K121" s="49"/>
    </row>
    <row r="122" spans="1:11" ht="61.2">
      <c r="A122" s="2">
        <v>46225</v>
      </c>
      <c r="B122" s="1" t="s">
        <v>157</v>
      </c>
      <c r="C122" s="1" t="s">
        <v>261</v>
      </c>
      <c r="D122" s="1" t="s">
        <v>30</v>
      </c>
      <c r="E122" s="1"/>
      <c r="F122" s="1" t="s">
        <v>27</v>
      </c>
      <c r="G122" s="1"/>
      <c r="H122" s="1" t="s">
        <v>32</v>
      </c>
      <c r="I122" s="1" t="s">
        <v>283</v>
      </c>
      <c r="K122" s="49"/>
    </row>
    <row r="123" spans="1:11" ht="94.8">
      <c r="A123" s="2">
        <v>46225</v>
      </c>
      <c r="B123" s="1" t="s">
        <v>154</v>
      </c>
      <c r="C123" s="1" t="s">
        <v>262</v>
      </c>
      <c r="D123" s="1" t="s">
        <v>30</v>
      </c>
      <c r="E123" s="1"/>
      <c r="F123" s="1" t="s">
        <v>27</v>
      </c>
      <c r="G123" s="1"/>
      <c r="H123" s="1" t="s">
        <v>29</v>
      </c>
      <c r="I123" s="39" t="s">
        <v>284</v>
      </c>
      <c r="K123" s="49"/>
    </row>
    <row r="124" spans="1:11" ht="44.4">
      <c r="A124" s="2">
        <v>46225</v>
      </c>
      <c r="B124" s="1" t="s">
        <v>156</v>
      </c>
      <c r="C124" s="1" t="s">
        <v>263</v>
      </c>
      <c r="D124" s="1" t="s">
        <v>30</v>
      </c>
      <c r="E124" s="1"/>
      <c r="F124" s="1" t="s">
        <v>53</v>
      </c>
      <c r="G124" s="1"/>
      <c r="H124" s="1" t="s">
        <v>4</v>
      </c>
      <c r="I124" s="1" t="s">
        <v>285</v>
      </c>
      <c r="K124" s="49"/>
    </row>
    <row r="125" spans="1:11">
      <c r="A125" s="2">
        <v>46225</v>
      </c>
      <c r="B125" s="1" t="s">
        <v>159</v>
      </c>
      <c r="C125" s="1" t="s">
        <v>264</v>
      </c>
      <c r="D125" s="1" t="s">
        <v>30</v>
      </c>
      <c r="E125" s="1"/>
      <c r="F125" s="1" t="s">
        <v>27</v>
      </c>
      <c r="G125" s="1"/>
      <c r="H125" s="1" t="s">
        <v>4</v>
      </c>
      <c r="I125" s="1" t="s">
        <v>286</v>
      </c>
      <c r="K125" s="49"/>
    </row>
    <row r="126" spans="1:11" ht="58.2">
      <c r="A126" s="2">
        <v>46225</v>
      </c>
      <c r="B126" s="1" t="s">
        <v>160</v>
      </c>
      <c r="C126" t="s">
        <v>265</v>
      </c>
      <c r="D126" s="1" t="s">
        <v>30</v>
      </c>
      <c r="E126" s="1"/>
      <c r="F126" s="1" t="s">
        <v>27</v>
      </c>
      <c r="G126" s="1"/>
      <c r="H126" s="1" t="s">
        <v>4</v>
      </c>
      <c r="I126" s="1" t="s">
        <v>287</v>
      </c>
      <c r="K126" s="49"/>
    </row>
    <row r="127" spans="1:11" ht="41.4">
      <c r="A127" s="2">
        <v>46227</v>
      </c>
      <c r="B127" s="1" t="s">
        <v>208</v>
      </c>
      <c r="C127" s="1" t="s">
        <v>266</v>
      </c>
      <c r="D127" s="1" t="s">
        <v>42</v>
      </c>
      <c r="E127" s="1"/>
      <c r="F127" s="1" t="s">
        <v>32</v>
      </c>
      <c r="G127" s="1"/>
      <c r="H127" s="1" t="s">
        <v>4</v>
      </c>
      <c r="I127" s="1" t="s">
        <v>267</v>
      </c>
      <c r="K127" s="49"/>
    </row>
    <row r="128" spans="1:11" ht="69">
      <c r="A128" s="2">
        <v>46227</v>
      </c>
      <c r="B128" s="1" t="s">
        <v>207</v>
      </c>
      <c r="C128" s="1" t="s">
        <v>227</v>
      </c>
      <c r="D128" s="1" t="s">
        <v>30</v>
      </c>
      <c r="E128" s="1"/>
      <c r="F128" s="1" t="s">
        <v>27</v>
      </c>
      <c r="G128" s="1"/>
      <c r="H128" s="1" t="s">
        <v>29</v>
      </c>
      <c r="I128" s="1" t="s">
        <v>268</v>
      </c>
      <c r="K128" s="49"/>
    </row>
    <row r="129" spans="1:11" ht="67.2">
      <c r="A129" s="2">
        <v>46227</v>
      </c>
      <c r="B129" s="1" t="s">
        <v>210</v>
      </c>
      <c r="C129" s="1" t="s">
        <v>269</v>
      </c>
      <c r="D129" s="1" t="s">
        <v>30</v>
      </c>
      <c r="E129" s="1"/>
      <c r="F129" s="1" t="s">
        <v>27</v>
      </c>
      <c r="G129" s="1"/>
      <c r="H129" s="1" t="s">
        <v>29</v>
      </c>
      <c r="I129" s="39" t="s">
        <v>270</v>
      </c>
      <c r="K129" s="49"/>
    </row>
    <row r="130" spans="1:11" ht="81">
      <c r="A130" s="2">
        <v>46227</v>
      </c>
      <c r="B130" s="1" t="s">
        <v>206</v>
      </c>
      <c r="C130" s="1" t="s">
        <v>226</v>
      </c>
      <c r="D130" s="1" t="s">
        <v>30</v>
      </c>
      <c r="E130" s="1"/>
      <c r="F130" s="1" t="s">
        <v>27</v>
      </c>
      <c r="G130" s="1"/>
      <c r="H130" s="1" t="s">
        <v>29</v>
      </c>
      <c r="I130" s="1" t="s">
        <v>271</v>
      </c>
      <c r="K130" s="49"/>
    </row>
    <row r="131" spans="1:11" ht="58.2">
      <c r="A131" s="2">
        <v>46227</v>
      </c>
      <c r="B131" s="1" t="s">
        <v>272</v>
      </c>
      <c r="C131" s="1" t="s">
        <v>274</v>
      </c>
      <c r="D131" s="1" t="s">
        <v>30</v>
      </c>
      <c r="E131" s="1"/>
      <c r="F131" s="1" t="s">
        <v>31</v>
      </c>
      <c r="G131" s="1"/>
      <c r="H131" s="1" t="s">
        <v>29</v>
      </c>
      <c r="I131" s="39" t="s">
        <v>273</v>
      </c>
      <c r="K131" s="49"/>
    </row>
    <row r="132" spans="1:11" ht="41.4">
      <c r="A132" s="2">
        <v>46227</v>
      </c>
      <c r="B132" s="1" t="s">
        <v>209</v>
      </c>
      <c r="C132" s="1" t="s">
        <v>275</v>
      </c>
      <c r="D132" s="1" t="s">
        <v>30</v>
      </c>
      <c r="E132" s="1"/>
      <c r="F132" s="1" t="s">
        <v>53</v>
      </c>
      <c r="G132" s="1"/>
      <c r="H132" s="1" t="s">
        <v>4</v>
      </c>
      <c r="I132" s="1" t="s">
        <v>276</v>
      </c>
      <c r="K132" s="49"/>
    </row>
    <row r="133" spans="1:11" ht="27.6">
      <c r="A133" s="2">
        <v>46227</v>
      </c>
      <c r="B133" s="1" t="s">
        <v>212</v>
      </c>
      <c r="C133" s="1" t="s">
        <v>277</v>
      </c>
      <c r="D133" s="1" t="s">
        <v>42</v>
      </c>
      <c r="E133" s="1"/>
      <c r="F133" s="1" t="s">
        <v>53</v>
      </c>
      <c r="G133" s="1"/>
      <c r="H133" s="1" t="s">
        <v>4</v>
      </c>
      <c r="I133" s="1" t="s">
        <v>278</v>
      </c>
      <c r="K133" s="49"/>
    </row>
    <row r="134" spans="1:11">
      <c r="A134" s="2">
        <v>46227</v>
      </c>
      <c r="B134" s="1" t="s">
        <v>213</v>
      </c>
      <c r="C134" s="1" t="s">
        <v>232</v>
      </c>
      <c r="D134" s="1" t="s">
        <v>30</v>
      </c>
      <c r="E134" s="1"/>
      <c r="F134" s="1" t="s">
        <v>53</v>
      </c>
      <c r="G134" s="1"/>
      <c r="H134" s="1" t="s">
        <v>4</v>
      </c>
      <c r="I134" s="1" t="s">
        <v>279</v>
      </c>
      <c r="K134" s="49"/>
    </row>
    <row r="135" spans="1:11">
      <c r="A135" s="2"/>
      <c r="B135" s="1"/>
      <c r="C135" s="1"/>
      <c r="D135" s="1"/>
      <c r="E135" s="1"/>
      <c r="F135" s="1"/>
      <c r="G135" s="1"/>
      <c r="H135" s="1"/>
      <c r="I135" s="1"/>
      <c r="K135" s="49"/>
    </row>
    <row r="136" spans="1:11">
      <c r="A136" s="2"/>
      <c r="B136" s="1"/>
      <c r="C136" s="1"/>
      <c r="D136" s="1"/>
      <c r="E136" s="1"/>
      <c r="F136" s="1"/>
      <c r="G136" s="1"/>
      <c r="H136" s="1"/>
      <c r="I136" s="1"/>
      <c r="K136" s="49"/>
    </row>
    <row r="137" spans="1:11">
      <c r="A137" s="2"/>
      <c r="B137" s="1"/>
      <c r="C137" s="1"/>
      <c r="D137" s="1"/>
      <c r="E137" s="1"/>
      <c r="F137" s="1"/>
      <c r="G137" s="1"/>
      <c r="H137" s="1"/>
      <c r="I137" s="1"/>
      <c r="K137" s="49"/>
    </row>
    <row r="138" spans="1:11">
      <c r="A138" s="2"/>
      <c r="B138" s="1"/>
      <c r="C138" s="1"/>
      <c r="D138" s="1"/>
      <c r="E138" s="1"/>
      <c r="F138" s="1"/>
      <c r="G138" s="1"/>
      <c r="H138" s="1"/>
      <c r="I138" s="1"/>
      <c r="K138" s="49"/>
    </row>
    <row r="139" spans="1:11">
      <c r="A139" s="2"/>
      <c r="B139" s="1"/>
      <c r="C139" s="1"/>
      <c r="D139" s="1"/>
      <c r="E139" s="1"/>
      <c r="F139" s="1"/>
      <c r="G139" s="1"/>
      <c r="H139" s="1"/>
      <c r="I139" s="1"/>
      <c r="K139" s="49"/>
    </row>
    <row r="140" spans="1:11">
      <c r="A140" s="2"/>
      <c r="B140" s="1"/>
      <c r="C140" s="1"/>
      <c r="D140" s="1"/>
      <c r="E140" s="1"/>
      <c r="F140" s="1"/>
      <c r="G140" s="1"/>
      <c r="H140" s="1"/>
      <c r="I140" s="1"/>
      <c r="K140" s="49"/>
    </row>
    <row r="141" spans="1:11">
      <c r="A141" s="2"/>
      <c r="B141" s="1"/>
      <c r="C141" s="1"/>
      <c r="D141" s="1"/>
      <c r="E141" s="1"/>
      <c r="F141" s="1"/>
      <c r="G141" s="1"/>
      <c r="H141" s="1"/>
      <c r="I141" s="1"/>
      <c r="K141" s="49"/>
    </row>
    <row r="142" spans="1:11">
      <c r="A142" s="2"/>
      <c r="B142" s="1"/>
      <c r="C142" s="1"/>
      <c r="D142" s="1"/>
      <c r="E142" s="1"/>
      <c r="F142" s="1"/>
      <c r="G142" s="1"/>
      <c r="H142" s="1"/>
      <c r="I142" s="1"/>
      <c r="K142" s="49"/>
    </row>
    <row r="143" spans="1:11">
      <c r="A143" s="2"/>
      <c r="B143" s="1"/>
      <c r="C143" s="1"/>
      <c r="D143" s="1"/>
      <c r="E143" s="1"/>
      <c r="F143" s="1"/>
      <c r="G143" s="1"/>
      <c r="H143" s="1"/>
      <c r="I143" s="1"/>
      <c r="K143" s="49"/>
    </row>
    <row r="144" spans="1:11">
      <c r="A144" s="2"/>
      <c r="B144" s="1"/>
      <c r="C144" s="1"/>
      <c r="D144" s="1"/>
      <c r="E144" s="1"/>
      <c r="F144" s="1"/>
      <c r="G144" s="1"/>
      <c r="H144" s="1"/>
      <c r="I144" s="1"/>
      <c r="K144" s="49"/>
    </row>
    <row r="145" spans="1:11">
      <c r="A145" s="2"/>
      <c r="B145" s="1"/>
      <c r="C145" s="1"/>
      <c r="D145" s="1"/>
      <c r="E145" s="1"/>
      <c r="F145" s="1"/>
      <c r="G145" s="1"/>
      <c r="H145" s="1"/>
      <c r="I145" s="1"/>
      <c r="K145" s="49"/>
    </row>
    <row r="146" spans="1:11">
      <c r="A146" s="2"/>
      <c r="B146" s="1"/>
      <c r="C146" s="1"/>
      <c r="D146" s="1"/>
      <c r="E146" s="1"/>
      <c r="F146" s="1"/>
      <c r="G146" s="1"/>
      <c r="H146" s="1"/>
      <c r="I146" s="1"/>
      <c r="K146" s="49"/>
    </row>
    <row r="147" spans="1:11">
      <c r="A147" s="2"/>
      <c r="B147" s="1"/>
      <c r="C147" s="1"/>
      <c r="D147" s="1"/>
      <c r="E147" s="1"/>
      <c r="F147" s="1"/>
      <c r="G147" s="1"/>
      <c r="H147" s="1"/>
      <c r="I147" s="1"/>
    </row>
    <row r="148" spans="1:11">
      <c r="A148" s="2"/>
      <c r="B148" s="1"/>
      <c r="C148" s="1"/>
      <c r="D148" s="1"/>
      <c r="E148" s="1"/>
      <c r="F148" s="1"/>
      <c r="G148" s="1"/>
      <c r="H148" s="1"/>
      <c r="I148" s="1"/>
    </row>
    <row r="149" spans="1:11">
      <c r="A149" s="2"/>
      <c r="B149" s="1"/>
      <c r="C149" s="1"/>
      <c r="D149" s="1"/>
      <c r="E149" s="1"/>
      <c r="F149" s="1"/>
      <c r="G149" s="1"/>
      <c r="H149" s="1"/>
      <c r="I149" s="1"/>
    </row>
    <row r="150" spans="1:11">
      <c r="A150" s="2"/>
      <c r="B150" s="1"/>
      <c r="C150" s="1"/>
      <c r="D150" s="1"/>
      <c r="E150" s="1"/>
      <c r="F150" s="1"/>
      <c r="G150" s="1"/>
      <c r="H150" s="1"/>
      <c r="I150" s="1"/>
    </row>
    <row r="151" spans="1:11">
      <c r="A151" s="2"/>
      <c r="B151" s="1"/>
      <c r="C151" s="1"/>
      <c r="D151" s="1"/>
      <c r="E151" s="1"/>
      <c r="F151" s="1"/>
      <c r="G151" s="1"/>
      <c r="H151" s="1"/>
      <c r="I151" s="1"/>
    </row>
    <row r="152" spans="1:11">
      <c r="A152" s="2"/>
      <c r="B152" s="1"/>
      <c r="C152" s="1"/>
      <c r="D152" s="1"/>
      <c r="E152" s="1"/>
      <c r="F152" s="1"/>
      <c r="G152" s="1"/>
      <c r="H152" s="1"/>
      <c r="I152" s="1"/>
    </row>
    <row r="153" spans="1:11">
      <c r="A153" s="2"/>
      <c r="B153" s="1"/>
      <c r="C153" s="1"/>
      <c r="D153" s="1"/>
      <c r="E153" s="1"/>
      <c r="F153" s="1"/>
      <c r="G153" s="1"/>
      <c r="H153" s="1"/>
      <c r="I153" s="1"/>
    </row>
    <row r="154" spans="1:11">
      <c r="A154" s="2"/>
      <c r="B154" s="1"/>
      <c r="C154" s="1"/>
      <c r="D154" s="1"/>
      <c r="E154" s="1"/>
      <c r="F154" s="1"/>
      <c r="G154" s="1"/>
      <c r="H154" s="1"/>
      <c r="I154" s="1"/>
    </row>
    <row r="155" spans="1:11">
      <c r="A155" s="2"/>
      <c r="B155" s="1"/>
      <c r="C155" s="1"/>
      <c r="D155" s="1"/>
      <c r="E155" s="1"/>
      <c r="F155" s="1"/>
      <c r="G155" s="1"/>
      <c r="H155" s="1"/>
      <c r="I155" s="1"/>
    </row>
    <row r="156" spans="1:11">
      <c r="A156" s="2"/>
      <c r="B156" s="1"/>
      <c r="C156" s="1"/>
      <c r="D156" s="1"/>
      <c r="E156" s="1"/>
      <c r="F156" s="1"/>
      <c r="G156" s="1"/>
      <c r="H156" s="1"/>
      <c r="I156" s="1"/>
    </row>
    <row r="157" spans="1:11">
      <c r="A157" s="2"/>
      <c r="B157" s="1"/>
      <c r="C157" s="1"/>
      <c r="D157" s="1"/>
      <c r="E157" s="1"/>
      <c r="F157" s="1"/>
      <c r="G157" s="1"/>
      <c r="H157" s="1"/>
      <c r="I157" s="1"/>
    </row>
    <row r="158" spans="1:11">
      <c r="A158" s="2"/>
      <c r="B158" s="1"/>
      <c r="C158" s="1"/>
      <c r="D158" s="1"/>
      <c r="E158" s="1"/>
      <c r="F158" s="1"/>
      <c r="G158" s="1"/>
      <c r="H158" s="1"/>
      <c r="I158" s="1"/>
    </row>
    <row r="159" spans="1:11">
      <c r="A159" s="2"/>
      <c r="B159" s="1"/>
      <c r="C159" s="1"/>
      <c r="D159" s="1"/>
      <c r="E159" s="1"/>
      <c r="F159" s="1"/>
      <c r="G159" s="1"/>
      <c r="H159" s="1"/>
      <c r="I159" s="1"/>
    </row>
    <row r="160" spans="1:11">
      <c r="A160" s="2"/>
      <c r="B160" s="1"/>
      <c r="C160" s="1"/>
      <c r="D160" s="1"/>
      <c r="E160" s="1"/>
      <c r="F160" s="1"/>
      <c r="G160" s="1"/>
      <c r="H160" s="1"/>
      <c r="I160" s="1"/>
    </row>
    <row r="161" spans="1:9">
      <c r="A161" s="2"/>
      <c r="B161" s="1"/>
      <c r="C161" s="1"/>
      <c r="D161" s="1"/>
      <c r="E161" s="1"/>
      <c r="F161" s="1"/>
      <c r="G161" s="1"/>
      <c r="H161" s="1"/>
      <c r="I161" s="1"/>
    </row>
    <row r="162" spans="1:9">
      <c r="A162" s="2"/>
      <c r="B162" s="1"/>
      <c r="C162" s="1"/>
      <c r="D162" s="1"/>
      <c r="E162" s="1"/>
      <c r="F162" s="1"/>
      <c r="G162" s="1"/>
      <c r="H162" s="1"/>
      <c r="I162" s="1"/>
    </row>
    <row r="163" spans="1:9">
      <c r="A163" s="2"/>
      <c r="B163" s="1"/>
      <c r="C163" s="1"/>
      <c r="D163" s="1"/>
      <c r="E163" s="1"/>
      <c r="F163" s="1"/>
      <c r="G163" s="1"/>
      <c r="H163" s="1"/>
      <c r="I163" s="1"/>
    </row>
    <row r="164" spans="1:9">
      <c r="A164" s="2"/>
      <c r="B164" s="1"/>
      <c r="C164" s="1"/>
      <c r="D164" s="1"/>
      <c r="E164" s="1"/>
      <c r="F164" s="1"/>
      <c r="G164" s="1"/>
      <c r="H164" s="1"/>
      <c r="I164" s="1"/>
    </row>
    <row r="165" spans="1:9">
      <c r="A165" s="2"/>
      <c r="B165" s="1"/>
      <c r="C165" s="1"/>
      <c r="D165" s="1"/>
      <c r="E165" s="1"/>
      <c r="F165" s="1"/>
      <c r="G165" s="1"/>
      <c r="H165" s="1"/>
      <c r="I165" s="1"/>
    </row>
    <row r="166" spans="1:9">
      <c r="A166" s="2"/>
      <c r="B166" s="1"/>
      <c r="C166" s="1"/>
      <c r="D166" s="1"/>
      <c r="E166" s="1"/>
      <c r="F166" s="1"/>
      <c r="G166" s="1"/>
      <c r="H166" s="1"/>
      <c r="I166" s="1"/>
    </row>
    <row r="167" spans="1:9">
      <c r="A167" s="2"/>
      <c r="B167" s="1"/>
      <c r="C167" s="1"/>
      <c r="D167" s="1"/>
      <c r="E167" s="1"/>
      <c r="F167" s="1"/>
      <c r="G167" s="1"/>
      <c r="H167" s="1"/>
      <c r="I167" s="1"/>
    </row>
    <row r="168" spans="1:9">
      <c r="A168" s="2"/>
      <c r="B168" s="1"/>
      <c r="C168" s="1"/>
      <c r="D168" s="1"/>
      <c r="E168" s="1"/>
      <c r="F168" s="1"/>
      <c r="G168" s="1"/>
      <c r="H168" s="1"/>
      <c r="I168" s="1"/>
    </row>
    <row r="169" spans="1:9">
      <c r="A169" s="2"/>
      <c r="B169" s="1"/>
      <c r="C169" s="1"/>
      <c r="D169" s="1"/>
      <c r="E169" s="1"/>
      <c r="F169" s="1"/>
      <c r="G169" s="1"/>
      <c r="H169" s="1"/>
      <c r="I169" s="1"/>
    </row>
    <row r="170" spans="1:9">
      <c r="A170" s="2"/>
      <c r="B170" s="1"/>
      <c r="C170" s="1"/>
      <c r="D170" s="1"/>
      <c r="E170" s="1"/>
      <c r="F170" s="1"/>
      <c r="G170" s="1"/>
      <c r="H170" s="1"/>
      <c r="I170" s="1"/>
    </row>
    <row r="171" spans="1:9">
      <c r="A171" s="2"/>
      <c r="B171" s="1"/>
      <c r="C171" s="1"/>
      <c r="D171" s="1"/>
      <c r="E171" s="1"/>
      <c r="F171" s="1"/>
      <c r="G171" s="1"/>
      <c r="H171" s="1"/>
      <c r="I171" s="1"/>
    </row>
    <row r="172" spans="1:9">
      <c r="A172" s="2"/>
      <c r="B172" s="1"/>
      <c r="C172" s="1"/>
      <c r="D172" s="1"/>
      <c r="E172" s="1"/>
      <c r="F172" s="1"/>
      <c r="G172" s="1"/>
      <c r="H172" s="1"/>
      <c r="I172" s="1"/>
    </row>
    <row r="173" spans="1:9">
      <c r="A173" s="2"/>
      <c r="B173" s="1"/>
      <c r="C173" s="1"/>
      <c r="D173" s="1"/>
      <c r="E173" s="1"/>
      <c r="F173" s="1"/>
      <c r="G173" s="1"/>
      <c r="H173" s="1"/>
      <c r="I173" s="1"/>
    </row>
    <row r="174" spans="1:9">
      <c r="A174" s="2"/>
      <c r="B174" s="1"/>
      <c r="C174" s="1"/>
      <c r="D174" s="1"/>
      <c r="E174" s="1"/>
      <c r="F174" s="1"/>
      <c r="G174" s="1"/>
      <c r="H174" s="1"/>
      <c r="I174" s="1"/>
    </row>
    <row r="175" spans="1:9">
      <c r="A175" s="2"/>
      <c r="B175" s="1"/>
      <c r="C175" s="1"/>
      <c r="D175" s="1"/>
      <c r="E175" s="1"/>
      <c r="F175" s="1"/>
      <c r="G175" s="1"/>
      <c r="H175" s="1"/>
      <c r="I175" s="1"/>
    </row>
    <row r="176" spans="1:9">
      <c r="A176" s="2"/>
      <c r="B176" s="1"/>
      <c r="C176" s="1"/>
      <c r="D176" s="1"/>
      <c r="E176" s="1"/>
      <c r="F176" s="1"/>
      <c r="G176" s="1"/>
      <c r="H176" s="1"/>
      <c r="I176" s="1"/>
    </row>
    <row r="177" spans="1:9">
      <c r="A177" s="2"/>
      <c r="B177" s="1"/>
      <c r="C177" s="1"/>
      <c r="D177" s="1"/>
      <c r="E177" s="1"/>
      <c r="F177" s="1"/>
      <c r="G177" s="1"/>
      <c r="H177" s="1"/>
      <c r="I177" s="1"/>
    </row>
    <row r="178" spans="1:9">
      <c r="A178" s="2"/>
      <c r="B178" s="1"/>
      <c r="C178" s="1"/>
      <c r="D178" s="1"/>
      <c r="E178" s="1"/>
      <c r="F178" s="1"/>
      <c r="G178" s="1"/>
      <c r="H178" s="1"/>
      <c r="I178" s="1"/>
    </row>
    <row r="179" spans="1:9">
      <c r="A179" s="2"/>
      <c r="B179" s="1"/>
      <c r="C179" s="1"/>
      <c r="D179" s="1"/>
      <c r="E179" s="1"/>
      <c r="F179" s="1"/>
      <c r="G179" s="1"/>
      <c r="H179" s="1"/>
      <c r="I179" s="1"/>
    </row>
    <row r="180" spans="1:9">
      <c r="A180" s="2"/>
      <c r="B180" s="1"/>
      <c r="C180" s="1"/>
      <c r="D180" s="1"/>
      <c r="E180" s="1"/>
      <c r="F180" s="1"/>
      <c r="G180" s="1"/>
      <c r="H180" s="1"/>
      <c r="I180" s="1"/>
    </row>
    <row r="181" spans="1:9">
      <c r="A181" s="2"/>
      <c r="B181" s="1"/>
      <c r="C181" s="1"/>
      <c r="D181" s="1"/>
      <c r="E181" s="1"/>
      <c r="F181" s="1"/>
      <c r="G181" s="1"/>
      <c r="H181" s="1"/>
      <c r="I181" s="1"/>
    </row>
    <row r="182" spans="1:9">
      <c r="A182" s="2"/>
      <c r="B182" s="1"/>
      <c r="C182" s="1"/>
      <c r="D182" s="1"/>
      <c r="E182" s="1"/>
      <c r="F182" s="1"/>
      <c r="G182" s="1"/>
      <c r="H182" s="1"/>
      <c r="I182" s="1"/>
    </row>
    <row r="183" spans="1:9">
      <c r="A183" s="2"/>
      <c r="B183" s="1"/>
      <c r="C183" s="1"/>
      <c r="D183" s="1"/>
      <c r="E183" s="1"/>
      <c r="F183" s="1"/>
      <c r="G183" s="1"/>
      <c r="H183" s="1"/>
      <c r="I183" s="1"/>
    </row>
    <row r="184" spans="1:9">
      <c r="A184" s="2"/>
      <c r="B184" s="1"/>
      <c r="C184" s="1"/>
      <c r="D184" s="1"/>
      <c r="E184" s="1"/>
      <c r="F184" s="1"/>
      <c r="G184" s="1"/>
      <c r="H184" s="1"/>
      <c r="I184" s="1"/>
    </row>
    <row r="185" spans="1:9">
      <c r="A185" s="2"/>
      <c r="B185" s="1"/>
      <c r="C185" s="1"/>
      <c r="D185" s="1"/>
      <c r="E185" s="1"/>
      <c r="F185" s="1"/>
      <c r="G185" s="1"/>
      <c r="H185" s="1"/>
      <c r="I185" s="1"/>
    </row>
    <row r="186" spans="1:9">
      <c r="A186" s="2"/>
      <c r="B186" s="1"/>
      <c r="C186" s="1"/>
      <c r="D186" s="1"/>
      <c r="E186" s="1"/>
      <c r="F186" s="1"/>
      <c r="G186" s="1"/>
      <c r="H186" s="1"/>
      <c r="I186" s="1"/>
    </row>
    <row r="187" spans="1:9">
      <c r="A187" s="2"/>
      <c r="B187" s="1"/>
      <c r="C187" s="1"/>
      <c r="D187" s="1"/>
      <c r="E187" s="1"/>
      <c r="F187" s="1"/>
      <c r="G187" s="1"/>
      <c r="H187" s="1"/>
      <c r="I187" s="1"/>
    </row>
    <row r="188" spans="1:9">
      <c r="A188" s="2"/>
      <c r="B188" s="1"/>
      <c r="C188" s="1"/>
      <c r="D188" s="1"/>
      <c r="E188" s="1"/>
      <c r="F188" s="1"/>
      <c r="G188" s="1"/>
      <c r="H188" s="1"/>
      <c r="I188" s="1"/>
    </row>
    <row r="189" spans="1:9">
      <c r="A189" s="2"/>
      <c r="B189" s="1"/>
      <c r="C189" s="1"/>
      <c r="D189" s="1"/>
      <c r="E189" s="1"/>
      <c r="F189" s="1"/>
      <c r="G189" s="1"/>
      <c r="H189" s="1"/>
      <c r="I189" s="1"/>
    </row>
    <row r="190" spans="1:9">
      <c r="A190" s="2"/>
      <c r="B190" s="1"/>
      <c r="C190" s="1"/>
      <c r="D190" s="1"/>
      <c r="E190" s="1"/>
      <c r="F190" s="1"/>
      <c r="G190" s="1"/>
      <c r="H190" s="1"/>
      <c r="I190" s="1"/>
    </row>
    <row r="191" spans="1:9">
      <c r="A191" s="2"/>
      <c r="B191" s="1"/>
      <c r="C191" s="1"/>
      <c r="D191" s="1"/>
      <c r="E191" s="1"/>
      <c r="F191" s="1"/>
      <c r="G191" s="1"/>
      <c r="H191" s="1"/>
      <c r="I191" s="1"/>
    </row>
    <row r="192" spans="1:9">
      <c r="A192" s="2"/>
      <c r="B192" s="1"/>
      <c r="C192" s="1"/>
      <c r="D192" s="1"/>
      <c r="E192" s="1"/>
      <c r="F192" s="1"/>
      <c r="G192" s="1"/>
      <c r="H192" s="1"/>
      <c r="I192" s="1"/>
    </row>
    <row r="193" spans="1:9">
      <c r="A193" s="2"/>
      <c r="B193" s="1"/>
      <c r="C193" s="1"/>
      <c r="D193" s="1"/>
      <c r="E193" s="1"/>
      <c r="F193" s="1"/>
      <c r="G193" s="1"/>
      <c r="H193" s="1"/>
      <c r="I193" s="1"/>
    </row>
    <row r="194" spans="1:9">
      <c r="A194" s="2"/>
      <c r="B194" s="1"/>
      <c r="C194" s="1"/>
      <c r="D194" s="1"/>
      <c r="E194" s="1"/>
      <c r="F194" s="1"/>
      <c r="G194" s="1"/>
      <c r="H194" s="1"/>
      <c r="I194" s="1"/>
    </row>
    <row r="195" spans="1:9">
      <c r="A195" s="2"/>
      <c r="B195" s="1"/>
      <c r="C195" s="1"/>
      <c r="D195" s="1"/>
      <c r="E195" s="1"/>
      <c r="F195" s="1"/>
      <c r="G195" s="1"/>
      <c r="H195" s="1"/>
      <c r="I195" s="1"/>
    </row>
    <row r="196" spans="1:9">
      <c r="A196" s="2"/>
      <c r="B196" s="1"/>
      <c r="C196" s="1"/>
      <c r="D196" s="1"/>
      <c r="E196" s="1"/>
      <c r="F196" s="1"/>
      <c r="G196" s="1"/>
      <c r="H196" s="1"/>
      <c r="I196" s="1"/>
    </row>
    <row r="197" spans="1:9">
      <c r="A197" s="2"/>
      <c r="B197" s="1"/>
      <c r="C197" s="1"/>
      <c r="D197" s="1"/>
      <c r="E197" s="1"/>
      <c r="F197" s="1"/>
      <c r="G197" s="1"/>
      <c r="H197" s="1"/>
      <c r="I197" s="1"/>
    </row>
    <row r="198" spans="1:9">
      <c r="A198" s="2"/>
      <c r="B198" s="1"/>
      <c r="C198" s="1"/>
      <c r="D198" s="1"/>
      <c r="E198" s="1"/>
      <c r="F198" s="1"/>
      <c r="G198" s="1"/>
      <c r="H198" s="1"/>
      <c r="I198" s="1"/>
    </row>
    <row r="199" spans="1:9">
      <c r="A199" s="2"/>
      <c r="B199" s="1"/>
      <c r="C199" s="1"/>
      <c r="D199" s="1"/>
      <c r="E199" s="1"/>
      <c r="F199" s="1"/>
      <c r="G199" s="1"/>
      <c r="H199" s="1"/>
      <c r="I199" s="1"/>
    </row>
    <row r="200" spans="1:9">
      <c r="A200" s="2"/>
      <c r="B200" s="1"/>
      <c r="C200" s="1"/>
      <c r="D200" s="1"/>
      <c r="E200" s="1"/>
      <c r="F200" s="1"/>
      <c r="G200" s="1"/>
      <c r="H200" s="1"/>
      <c r="I200" s="1"/>
    </row>
    <row r="201" spans="1:9">
      <c r="A201" s="2"/>
      <c r="B201" s="1"/>
      <c r="C201" s="1"/>
      <c r="D201" s="1"/>
      <c r="E201" s="1"/>
      <c r="F201" s="1"/>
      <c r="G201" s="1"/>
      <c r="H201" s="1"/>
      <c r="I201" s="1"/>
    </row>
    <row r="202" spans="1:9">
      <c r="A202" s="2"/>
      <c r="B202" s="1"/>
      <c r="C202" s="1"/>
      <c r="D202" s="1"/>
      <c r="E202" s="1"/>
      <c r="F202" s="1"/>
      <c r="G202" s="1"/>
      <c r="H202" s="1"/>
      <c r="I202" s="1"/>
    </row>
    <row r="203" spans="1:9">
      <c r="A203" s="2"/>
      <c r="B203" s="1"/>
      <c r="C203" s="1"/>
      <c r="D203" s="1"/>
      <c r="E203" s="1"/>
      <c r="F203" s="1"/>
      <c r="G203" s="1"/>
      <c r="H203" s="1"/>
      <c r="I203" s="1"/>
    </row>
    <row r="204" spans="1:9">
      <c r="A204" s="2"/>
      <c r="B204" s="1"/>
      <c r="C204" s="1"/>
      <c r="D204" s="1"/>
      <c r="E204" s="1"/>
      <c r="F204" s="1"/>
      <c r="G204" s="1"/>
      <c r="H204" s="1"/>
      <c r="I204" s="1"/>
    </row>
    <row r="205" spans="1:9">
      <c r="A205" s="2"/>
      <c r="B205" s="1"/>
      <c r="C205" s="1"/>
      <c r="D205" s="1"/>
      <c r="E205" s="1"/>
      <c r="F205" s="1"/>
      <c r="G205" s="1"/>
      <c r="H205" s="1"/>
      <c r="I205" s="1"/>
    </row>
    <row r="206" spans="1:9">
      <c r="A206" s="2"/>
      <c r="B206" s="1"/>
      <c r="C206" s="1"/>
      <c r="D206" s="1"/>
      <c r="E206" s="1"/>
      <c r="F206" s="1"/>
      <c r="G206" s="1"/>
      <c r="H206" s="1"/>
      <c r="I206" s="1"/>
    </row>
    <row r="207" spans="1:9">
      <c r="A207" s="2"/>
      <c r="B207" s="1"/>
      <c r="C207" s="1"/>
      <c r="D207" s="1"/>
      <c r="E207" s="1"/>
      <c r="F207" s="1"/>
      <c r="G207" s="1"/>
      <c r="H207" s="1"/>
      <c r="I207" s="1"/>
    </row>
    <row r="208" spans="1:9">
      <c r="A208" s="2"/>
      <c r="B208" s="1"/>
      <c r="C208" s="1"/>
      <c r="D208" s="1"/>
      <c r="E208" s="1"/>
      <c r="F208" s="1"/>
      <c r="G208" s="1"/>
      <c r="H208" s="1"/>
      <c r="I208" s="1"/>
    </row>
    <row r="209" spans="1:9">
      <c r="A209" s="2"/>
      <c r="B209" s="1"/>
      <c r="C209" s="1"/>
      <c r="D209" s="1"/>
      <c r="E209" s="1"/>
      <c r="F209" s="1"/>
      <c r="G209" s="1"/>
      <c r="H209" s="1"/>
      <c r="I209" s="1"/>
    </row>
    <row r="210" spans="1:9">
      <c r="A210" s="2"/>
      <c r="B210" s="1"/>
      <c r="C210" s="1"/>
      <c r="D210" s="1"/>
      <c r="E210" s="1"/>
      <c r="F210" s="1"/>
      <c r="G210" s="1"/>
      <c r="H210" s="1"/>
      <c r="I210" s="1"/>
    </row>
    <row r="211" spans="1:9">
      <c r="A211" s="2"/>
      <c r="B211" s="1"/>
      <c r="C211" s="1"/>
      <c r="D211" s="1"/>
      <c r="E211" s="1"/>
      <c r="F211" s="1"/>
      <c r="G211" s="1"/>
      <c r="H211" s="1"/>
      <c r="I211" s="1"/>
    </row>
    <row r="212" spans="1:9">
      <c r="A212" s="2"/>
      <c r="B212" s="1"/>
      <c r="C212" s="1"/>
      <c r="D212" s="1"/>
      <c r="E212" s="1"/>
      <c r="F212" s="1"/>
      <c r="G212" s="1"/>
      <c r="H212" s="1"/>
      <c r="I212" s="1"/>
    </row>
    <row r="213" spans="1:9">
      <c r="A213" s="2"/>
      <c r="B213" s="1"/>
      <c r="C213" s="1"/>
      <c r="D213" s="1"/>
      <c r="E213" s="1"/>
      <c r="F213" s="1"/>
      <c r="G213" s="1"/>
      <c r="H213" s="1"/>
      <c r="I213" s="1"/>
    </row>
    <row r="214" spans="1:9">
      <c r="A214" s="2"/>
      <c r="B214" s="1"/>
      <c r="C214" s="1"/>
      <c r="D214" s="1"/>
      <c r="E214" s="1"/>
      <c r="F214" s="1"/>
      <c r="G214" s="1"/>
      <c r="H214" s="1"/>
      <c r="I214" s="1"/>
    </row>
    <row r="215" spans="1:9">
      <c r="A215" s="2"/>
      <c r="B215" s="1"/>
      <c r="C215" s="1"/>
      <c r="D215" s="1"/>
      <c r="E215" s="1"/>
      <c r="F215" s="1"/>
      <c r="G215" s="1"/>
      <c r="H215" s="1"/>
      <c r="I215" s="1"/>
    </row>
    <row r="216" spans="1:9">
      <c r="A216" s="2"/>
      <c r="B216" s="1"/>
      <c r="C216" s="1"/>
      <c r="D216" s="1"/>
      <c r="E216" s="1"/>
      <c r="F216" s="1"/>
      <c r="G216" s="1"/>
      <c r="H216" s="1"/>
      <c r="I216" s="1"/>
    </row>
    <row r="217" spans="1:9">
      <c r="A217" s="2"/>
      <c r="B217" s="1"/>
      <c r="C217" s="1"/>
      <c r="D217" s="1"/>
      <c r="E217" s="1"/>
      <c r="F217" s="1"/>
      <c r="G217" s="1"/>
      <c r="H217" s="1"/>
      <c r="I217" s="1"/>
    </row>
    <row r="218" spans="1:9">
      <c r="A218" s="2"/>
      <c r="B218" s="1"/>
      <c r="C218" s="1"/>
      <c r="D218" s="1"/>
      <c r="E218" s="1"/>
      <c r="F218" s="1"/>
      <c r="G218" s="1"/>
      <c r="H218" s="1"/>
      <c r="I218" s="1"/>
    </row>
    <row r="219" spans="1:9">
      <c r="A219" s="2"/>
      <c r="B219" s="1"/>
      <c r="C219" s="1"/>
      <c r="D219" s="1"/>
      <c r="E219" s="1"/>
      <c r="F219" s="1"/>
      <c r="G219" s="1"/>
      <c r="H219" s="1"/>
      <c r="I219" s="1"/>
    </row>
    <row r="220" spans="1:9">
      <c r="A220" s="2"/>
      <c r="B220" s="1"/>
      <c r="C220" s="1"/>
      <c r="D220" s="1"/>
      <c r="E220" s="1"/>
      <c r="F220" s="1"/>
      <c r="G220" s="1"/>
      <c r="H220" s="1"/>
      <c r="I220" s="1"/>
    </row>
    <row r="221" spans="1:9">
      <c r="A221" s="2"/>
      <c r="B221" s="1"/>
      <c r="C221" s="1"/>
      <c r="D221" s="1"/>
      <c r="E221" s="1"/>
      <c r="F221" s="1"/>
      <c r="G221" s="1"/>
      <c r="H221" s="1"/>
      <c r="I221" s="1"/>
    </row>
    <row r="222" spans="1:9">
      <c r="A222" s="2"/>
      <c r="B222" s="1"/>
      <c r="C222" s="1"/>
      <c r="D222" s="1"/>
      <c r="E222" s="1"/>
      <c r="F222" s="1"/>
      <c r="G222" s="1"/>
      <c r="H222" s="1"/>
      <c r="I222" s="1"/>
    </row>
    <row r="223" spans="1:9">
      <c r="A223" s="2"/>
      <c r="B223" s="1"/>
      <c r="C223" s="1"/>
      <c r="D223" s="1"/>
      <c r="E223" s="1"/>
      <c r="F223" s="1"/>
      <c r="G223" s="1"/>
      <c r="H223" s="1"/>
      <c r="I223" s="1"/>
    </row>
    <row r="224" spans="1:9">
      <c r="A224" s="2"/>
      <c r="B224" s="1"/>
      <c r="C224" s="1"/>
      <c r="D224" s="1"/>
      <c r="E224" s="1"/>
      <c r="F224" s="1"/>
      <c r="G224" s="1"/>
      <c r="H224" s="1"/>
      <c r="I224" s="1"/>
    </row>
    <row r="225" spans="1:9">
      <c r="A225" s="2"/>
      <c r="B225" s="1"/>
      <c r="C225" s="1"/>
      <c r="D225" s="1"/>
      <c r="E225" s="1"/>
      <c r="F225" s="1"/>
      <c r="G225" s="1"/>
      <c r="H225" s="1"/>
      <c r="I225" s="1"/>
    </row>
    <row r="226" spans="1:9">
      <c r="A226" s="2"/>
      <c r="B226" s="1"/>
      <c r="C226" s="1"/>
      <c r="D226" s="1"/>
      <c r="E226" s="1"/>
      <c r="F226" s="1"/>
      <c r="G226" s="1"/>
      <c r="H226" s="1"/>
      <c r="I226" s="1"/>
    </row>
    <row r="227" spans="1:9">
      <c r="A227" s="2"/>
      <c r="B227" s="1"/>
      <c r="C227" s="1"/>
      <c r="D227" s="1"/>
      <c r="E227" s="1"/>
      <c r="F227" s="1"/>
      <c r="G227" s="1"/>
      <c r="H227" s="1"/>
      <c r="I227" s="1"/>
    </row>
    <row r="228" spans="1:9">
      <c r="A228" s="2"/>
      <c r="B228" s="1"/>
      <c r="C228" s="1"/>
      <c r="D228" s="1"/>
      <c r="E228" s="1"/>
      <c r="F228" s="1"/>
      <c r="G228" s="1"/>
      <c r="H228" s="1"/>
      <c r="I228" s="1"/>
    </row>
    <row r="229" spans="1:9">
      <c r="A229" s="2"/>
      <c r="B229" s="1"/>
      <c r="C229" s="1"/>
      <c r="D229" s="1"/>
      <c r="E229" s="1"/>
      <c r="F229" s="1"/>
      <c r="G229" s="1"/>
      <c r="H229" s="1"/>
      <c r="I229" s="1"/>
    </row>
    <row r="230" spans="1:9">
      <c r="A230" s="2"/>
      <c r="B230" s="1"/>
      <c r="C230" s="1"/>
      <c r="D230" s="1"/>
      <c r="E230" s="1"/>
      <c r="F230" s="1"/>
      <c r="G230" s="1"/>
      <c r="H230" s="1"/>
      <c r="I230" s="1"/>
    </row>
    <row r="231" spans="1:9">
      <c r="A231" s="2"/>
      <c r="B231" s="1"/>
      <c r="C231" s="1"/>
      <c r="D231" s="1"/>
      <c r="E231" s="1"/>
      <c r="F231" s="1"/>
      <c r="G231" s="1"/>
      <c r="H231" s="1"/>
      <c r="I231" s="1"/>
    </row>
    <row r="232" spans="1:9">
      <c r="A232" s="2"/>
      <c r="B232" s="1"/>
      <c r="C232" s="1"/>
      <c r="D232" s="1"/>
      <c r="E232" s="1"/>
      <c r="F232" s="1"/>
      <c r="G232" s="1"/>
      <c r="H232" s="1"/>
      <c r="I232" s="1"/>
    </row>
    <row r="233" spans="1:9">
      <c r="A233" s="2"/>
      <c r="B233" s="1"/>
      <c r="C233" s="1"/>
      <c r="D233" s="1"/>
      <c r="E233" s="1"/>
      <c r="F233" s="1"/>
      <c r="G233" s="1"/>
      <c r="H233" s="1"/>
      <c r="I233" s="1"/>
    </row>
    <row r="234" spans="1:9">
      <c r="A234" s="2"/>
      <c r="B234" s="1"/>
      <c r="C234" s="1"/>
      <c r="D234" s="1"/>
      <c r="E234" s="1"/>
      <c r="F234" s="1"/>
      <c r="G234" s="1"/>
      <c r="H234" s="1"/>
      <c r="I234" s="1"/>
    </row>
    <row r="235" spans="1:9">
      <c r="A235" s="2"/>
      <c r="B235" s="1"/>
      <c r="C235" s="1"/>
      <c r="D235" s="1"/>
      <c r="E235" s="1"/>
      <c r="F235" s="1"/>
      <c r="G235" s="1"/>
      <c r="H235" s="1"/>
      <c r="I235" s="1"/>
    </row>
    <row r="236" spans="1:9">
      <c r="A236" s="2"/>
      <c r="B236" s="1"/>
      <c r="C236" s="1"/>
      <c r="D236" s="1"/>
      <c r="E236" s="1"/>
      <c r="F236" s="1"/>
      <c r="G236" s="1"/>
      <c r="H236" s="1"/>
      <c r="I236" s="1"/>
    </row>
    <row r="237" spans="1:9">
      <c r="A237" s="2"/>
      <c r="B237" s="1"/>
      <c r="C237" s="1"/>
      <c r="D237" s="1"/>
      <c r="E237" s="1"/>
      <c r="F237" s="1"/>
      <c r="G237" s="1"/>
      <c r="H237" s="1"/>
      <c r="I237" s="1"/>
    </row>
    <row r="238" spans="1:9">
      <c r="A238" s="2"/>
      <c r="B238" s="1"/>
      <c r="C238" s="1"/>
      <c r="D238" s="1"/>
      <c r="E238" s="1"/>
      <c r="F238" s="1"/>
      <c r="G238" s="1"/>
      <c r="H238" s="1"/>
      <c r="I238" s="1"/>
    </row>
    <row r="239" spans="1:9">
      <c r="A239" s="2"/>
      <c r="B239" s="1"/>
      <c r="C239" s="1"/>
      <c r="D239" s="1"/>
      <c r="E239" s="1"/>
      <c r="F239" s="1"/>
      <c r="G239" s="1"/>
      <c r="H239" s="1"/>
      <c r="I239" s="1"/>
    </row>
    <row r="240" spans="1:9">
      <c r="A240" s="2"/>
      <c r="B240" s="1"/>
      <c r="C240" s="1"/>
      <c r="D240" s="1"/>
      <c r="E240" s="1"/>
      <c r="F240" s="1"/>
      <c r="G240" s="1"/>
      <c r="H240" s="1"/>
      <c r="I240" s="1"/>
    </row>
    <row r="241" spans="1:9">
      <c r="A241" s="2"/>
      <c r="B241" s="1"/>
      <c r="C241" s="1"/>
      <c r="D241" s="1"/>
      <c r="E241" s="1"/>
      <c r="F241" s="1"/>
      <c r="G241" s="1"/>
      <c r="H241" s="1"/>
      <c r="I241" s="1"/>
    </row>
    <row r="242" spans="1:9">
      <c r="A242" s="2"/>
      <c r="B242" s="1"/>
      <c r="C242" s="1"/>
      <c r="D242" s="1"/>
      <c r="E242" s="1"/>
      <c r="F242" s="1"/>
      <c r="G242" s="1"/>
      <c r="H242" s="1"/>
      <c r="I242" s="1"/>
    </row>
    <row r="243" spans="1:9">
      <c r="A243" s="2"/>
      <c r="B243" s="1"/>
      <c r="C243" s="1"/>
      <c r="D243" s="1"/>
      <c r="E243" s="1"/>
      <c r="F243" s="1"/>
      <c r="G243" s="1"/>
      <c r="H243" s="1"/>
      <c r="I243" s="1"/>
    </row>
    <row r="244" spans="1:9">
      <c r="A244" s="2"/>
      <c r="B244" s="1"/>
      <c r="C244" s="1"/>
      <c r="D244" s="1"/>
      <c r="E244" s="1"/>
      <c r="F244" s="1"/>
      <c r="G244" s="1"/>
      <c r="H244" s="1"/>
      <c r="I244" s="1"/>
    </row>
    <row r="245" spans="1:9">
      <c r="A245" s="2"/>
      <c r="B245" s="1"/>
      <c r="C245" s="1"/>
      <c r="D245" s="1"/>
      <c r="E245" s="1"/>
      <c r="F245" s="1"/>
      <c r="G245" s="1"/>
      <c r="H245" s="1"/>
      <c r="I245" s="1"/>
    </row>
    <row r="246" spans="1:9">
      <c r="A246" s="2"/>
      <c r="B246" s="1"/>
      <c r="C246" s="1"/>
      <c r="D246" s="1"/>
      <c r="E246" s="1"/>
      <c r="F246" s="1"/>
      <c r="G246" s="1"/>
      <c r="H246" s="1"/>
      <c r="I246" s="1"/>
    </row>
    <row r="247" spans="1:9">
      <c r="A247" s="2"/>
      <c r="B247" s="1"/>
      <c r="C247" s="1"/>
      <c r="D247" s="1"/>
      <c r="E247" s="1"/>
      <c r="F247" s="1"/>
      <c r="G247" s="1"/>
      <c r="H247" s="1"/>
      <c r="I247" s="1"/>
    </row>
    <row r="248" spans="1:9">
      <c r="A248" s="2"/>
      <c r="B248" s="1"/>
      <c r="C248" s="1"/>
      <c r="D248" s="1"/>
      <c r="E248" s="1"/>
      <c r="F248" s="1"/>
      <c r="G248" s="1"/>
      <c r="H248" s="1"/>
      <c r="I248" s="1"/>
    </row>
    <row r="249" spans="1:9">
      <c r="A249" s="2"/>
      <c r="B249" s="1"/>
      <c r="C249" s="1"/>
      <c r="D249" s="1"/>
      <c r="E249" s="1"/>
      <c r="F249" s="1"/>
      <c r="G249" s="1"/>
      <c r="H249" s="1"/>
      <c r="I249" s="1"/>
    </row>
    <row r="250" spans="1:9">
      <c r="A250" s="2"/>
      <c r="B250" s="1"/>
      <c r="C250" s="1"/>
      <c r="D250" s="1"/>
      <c r="E250" s="1"/>
      <c r="F250" s="1"/>
      <c r="G250" s="1"/>
      <c r="H250" s="1"/>
      <c r="I250" s="1"/>
    </row>
    <row r="251" spans="1:9">
      <c r="A251" s="2"/>
      <c r="B251" s="1"/>
      <c r="C251" s="1"/>
      <c r="D251" s="1"/>
      <c r="E251" s="1"/>
      <c r="F251" s="1"/>
      <c r="G251" s="1"/>
      <c r="H251" s="1"/>
      <c r="I251" s="1"/>
    </row>
    <row r="252" spans="1:9">
      <c r="A252" s="2"/>
      <c r="B252" s="1"/>
      <c r="C252" s="1"/>
      <c r="D252" s="1"/>
      <c r="E252" s="1"/>
      <c r="F252" s="1"/>
      <c r="G252" s="1"/>
      <c r="H252" s="1"/>
      <c r="I252" s="1"/>
    </row>
    <row r="253" spans="1:9">
      <c r="A253" s="2"/>
      <c r="B253" s="1"/>
      <c r="C253" s="1"/>
      <c r="D253" s="1"/>
      <c r="E253" s="1"/>
      <c r="F253" s="1"/>
      <c r="G253" s="1"/>
      <c r="H253" s="1"/>
      <c r="I253" s="1"/>
    </row>
    <row r="254" spans="1:9">
      <c r="A254" s="2"/>
      <c r="B254" s="1"/>
      <c r="C254" s="1"/>
      <c r="D254" s="1"/>
      <c r="E254" s="1"/>
      <c r="F254" s="1"/>
      <c r="G254" s="1"/>
      <c r="H254" s="1"/>
      <c r="I254" s="1"/>
    </row>
  </sheetData>
  <mergeCells count="1">
    <mergeCell ref="K4:K146"/>
  </mergeCells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5000000}">
          <x14:formula1>
            <xm:f>'Dropdown Lists'!$F$2:$F$11</xm:f>
          </x14:formula1>
          <xm:sqref>J4:J10032</xm:sqref>
        </x14:dataValidation>
        <x14:dataValidation type="list" allowBlank="1" xr:uid="{00000000-0002-0000-0100-000001000000}">
          <x14:formula1>
            <xm:f>'Dropdown Lists'!$A$2:$A$16</xm:f>
          </x14:formula1>
          <xm:sqref>E68 E4:E66 E70:E76 E78:E10050</xm:sqref>
        </x14:dataValidation>
        <x14:dataValidation type="list" allowBlank="1" xr:uid="{00000000-0002-0000-0100-000000000000}">
          <x14:formula1>
            <xm:f>'Dropdown Lists'!$B$2:$B$9</xm:f>
          </x14:formula1>
          <xm:sqref>D4:D10050</xm:sqref>
        </x14:dataValidation>
        <x14:dataValidation type="list" allowBlank="1" xr:uid="{00000000-0002-0000-0100-000002000000}">
          <x14:formula1>
            <xm:f>'Dropdown Lists'!$C$2:$C$8</xm:f>
          </x14:formula1>
          <xm:sqref>F4:F10050</xm:sqref>
        </x14:dataValidation>
        <x14:dataValidation type="list" allowBlank="1" xr:uid="{00000000-0002-0000-0100-000003000000}">
          <x14:formula1>
            <xm:f>'Dropdown Lists'!$D$2:$D$5</xm:f>
          </x14:formula1>
          <xm:sqref>G4:G10050</xm:sqref>
        </x14:dataValidation>
        <x14:dataValidation type="list" allowBlank="1" xr:uid="{00000000-0002-0000-0100-000004000000}">
          <x14:formula1>
            <xm:f>'Dropdown Lists'!$E$2:$E$5</xm:f>
          </x14:formula1>
          <xm:sqref>H4:H10050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A19" sqref="A19"/>
    </sheetView>
  </sheetViews>
  <sheetFormatPr defaultRowHeight="13.8"/>
  <cols>
    <col min="1" max="1" width="38" customWidth="1"/>
    <col min="2" max="2" width="22" customWidth="1"/>
    <col min="3" max="3" width="24" customWidth="1"/>
    <col min="4" max="5" width="20" customWidth="1"/>
  </cols>
  <sheetData>
    <row r="1" spans="1:6">
      <c r="A1" s="3" t="s">
        <v>37</v>
      </c>
      <c r="B1" s="3" t="s">
        <v>19</v>
      </c>
      <c r="C1" s="3" t="s">
        <v>38</v>
      </c>
      <c r="D1" s="3" t="s">
        <v>22</v>
      </c>
      <c r="E1" s="3" t="s">
        <v>4</v>
      </c>
      <c r="F1" t="s">
        <v>24</v>
      </c>
    </row>
    <row r="2" spans="1:6">
      <c r="A2" t="s">
        <v>26</v>
      </c>
      <c r="B2" t="s">
        <v>25</v>
      </c>
      <c r="C2" t="s">
        <v>27</v>
      </c>
      <c r="D2" t="s">
        <v>39</v>
      </c>
      <c r="E2" t="s">
        <v>4</v>
      </c>
      <c r="F2" t="s">
        <v>40</v>
      </c>
    </row>
    <row r="3" spans="1:6">
      <c r="A3" t="s">
        <v>41</v>
      </c>
      <c r="B3" t="s">
        <v>42</v>
      </c>
      <c r="C3" t="s">
        <v>31</v>
      </c>
      <c r="D3" t="s">
        <v>28</v>
      </c>
      <c r="E3" t="s">
        <v>29</v>
      </c>
      <c r="F3" t="s">
        <v>43</v>
      </c>
    </row>
    <row r="4" spans="1:6">
      <c r="A4" t="s">
        <v>44</v>
      </c>
      <c r="B4" t="s">
        <v>30</v>
      </c>
      <c r="C4" t="s">
        <v>35</v>
      </c>
      <c r="D4" t="s">
        <v>45</v>
      </c>
      <c r="E4" t="s">
        <v>32</v>
      </c>
      <c r="F4" t="s">
        <v>46</v>
      </c>
    </row>
    <row r="5" spans="1:6">
      <c r="A5" t="s">
        <v>47</v>
      </c>
      <c r="B5" t="s">
        <v>48</v>
      </c>
      <c r="C5" t="s">
        <v>32</v>
      </c>
      <c r="D5" t="s">
        <v>49</v>
      </c>
      <c r="E5" t="s">
        <v>34</v>
      </c>
      <c r="F5" t="s">
        <v>50</v>
      </c>
    </row>
    <row r="6" spans="1:6">
      <c r="A6" t="s">
        <v>51</v>
      </c>
      <c r="B6" t="s">
        <v>52</v>
      </c>
      <c r="C6" t="s">
        <v>53</v>
      </c>
      <c r="F6" t="s">
        <v>54</v>
      </c>
    </row>
    <row r="7" spans="1:6">
      <c r="A7" t="s">
        <v>55</v>
      </c>
      <c r="B7" t="s">
        <v>56</v>
      </c>
      <c r="C7" t="s">
        <v>33</v>
      </c>
      <c r="F7" t="s">
        <v>57</v>
      </c>
    </row>
    <row r="8" spans="1:6">
      <c r="A8" t="s">
        <v>58</v>
      </c>
      <c r="B8" t="s">
        <v>59</v>
      </c>
      <c r="C8" t="s">
        <v>36</v>
      </c>
      <c r="F8" t="s">
        <v>60</v>
      </c>
    </row>
    <row r="9" spans="1:6">
      <c r="A9" t="s">
        <v>61</v>
      </c>
      <c r="B9" t="s">
        <v>62</v>
      </c>
      <c r="F9" t="s">
        <v>63</v>
      </c>
    </row>
    <row r="10" spans="1:6">
      <c r="A10" t="s">
        <v>64</v>
      </c>
      <c r="F10" t="s">
        <v>65</v>
      </c>
    </row>
    <row r="11" spans="1:6">
      <c r="A11" t="s">
        <v>66</v>
      </c>
      <c r="F11" t="s">
        <v>67</v>
      </c>
    </row>
    <row r="12" spans="1:6">
      <c r="A12" t="s">
        <v>68</v>
      </c>
    </row>
    <row r="13" spans="1:6">
      <c r="A13" t="s">
        <v>69</v>
      </c>
    </row>
    <row r="14" spans="1:6">
      <c r="A14" t="s">
        <v>70</v>
      </c>
    </row>
    <row r="15" spans="1:6">
      <c r="A15" t="s">
        <v>71</v>
      </c>
    </row>
    <row r="16" spans="1:6">
      <c r="A1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Summary</vt:lpstr>
      <vt:lpstr>Sales Visit Tracker</vt:lpstr>
      <vt:lpstr>Dropdown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Manager_Sale Wanwanach</dc:creator>
  <cp:lastModifiedBy>ธัญรัตน์ พุ่มนิล</cp:lastModifiedBy>
  <dcterms:created xsi:type="dcterms:W3CDTF">2026-07-06T10:05:20Z</dcterms:created>
  <dcterms:modified xsi:type="dcterms:W3CDTF">2026-07-27T03:07:19Z</dcterms:modified>
</cp:coreProperties>
</file>