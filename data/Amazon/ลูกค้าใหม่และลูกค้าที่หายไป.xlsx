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eM\OneDrive\Desktop\P'V\ต้นทุน\ทีมโทร\"/>
    </mc:Choice>
  </mc:AlternateContent>
  <xr:revisionPtr revIDLastSave="0" documentId="13_ncr:1_{80197B6B-DB19-4E96-BCEC-A1EF7E667FFA}" xr6:coauthVersionLast="47" xr6:coauthVersionMax="47" xr10:uidLastSave="{00000000-0000-0000-0000-000000000000}"/>
  <bookViews>
    <workbookView xWindow="28680" yWindow="-120" windowWidth="29040" windowHeight="15720" xr2:uid="{5732D0EA-9369-4766-B626-F4C51195F81E}"/>
  </bookViews>
  <sheets>
    <sheet name="Summary" sheetId="4" r:id="rId1"/>
    <sheet name="Amazon" sheetId="1" r:id="rId2"/>
    <sheet name="ร้านขายของฝาก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8" i="4"/>
  <c r="D9" i="4"/>
  <c r="D3" i="4"/>
  <c r="C4" i="4"/>
  <c r="C5" i="4"/>
  <c r="C6" i="4"/>
  <c r="C7" i="4"/>
  <c r="C8" i="4"/>
  <c r="C9" i="4"/>
  <c r="C3" i="4"/>
  <c r="M2" i="2" a="1"/>
  <c r="M2" i="2" s="1"/>
  <c r="N2" i="2" a="1"/>
  <c r="N2" i="2"/>
  <c r="J4" i="4" s="1"/>
  <c r="M3" i="2" a="1"/>
  <c r="M3" i="2"/>
  <c r="N3" i="2" a="1"/>
  <c r="N3" i="2"/>
  <c r="J3" i="4" s="1"/>
  <c r="M4" i="2" a="1"/>
  <c r="M4" i="2" s="1"/>
  <c r="N4" i="2" a="1"/>
  <c r="N4" i="2"/>
  <c r="M5" i="2" a="1"/>
  <c r="M5" i="2" s="1"/>
  <c r="N5" i="2" a="1"/>
  <c r="N5" i="2"/>
  <c r="M6" i="2" a="1"/>
  <c r="M6" i="2"/>
  <c r="N6" i="2" a="1"/>
  <c r="N6" i="2"/>
  <c r="M7" i="2" a="1"/>
  <c r="M7" i="2" s="1"/>
  <c r="N7" i="2" a="1"/>
  <c r="N7" i="2"/>
  <c r="M8" i="2" a="1"/>
  <c r="M8" i="2" s="1"/>
  <c r="N8" i="2" a="1"/>
  <c r="N8" i="2"/>
  <c r="M9" i="2" a="1"/>
  <c r="M9" i="2"/>
  <c r="N9" i="2" a="1"/>
  <c r="N9" i="2"/>
  <c r="M10" i="2" a="1"/>
  <c r="M10" i="2" s="1"/>
  <c r="N10" i="2" a="1"/>
  <c r="N10" i="2"/>
  <c r="M11" i="2" a="1"/>
  <c r="M11" i="2" s="1"/>
  <c r="N11" i="2" a="1"/>
  <c r="N11" i="2"/>
  <c r="M12" i="2" a="1"/>
  <c r="M12" i="2"/>
  <c r="N12" i="2" a="1"/>
  <c r="N12" i="2"/>
  <c r="M13" i="2" a="1"/>
  <c r="M13" i="2" s="1"/>
  <c r="N13" i="2" a="1"/>
  <c r="N13" i="2"/>
  <c r="M14" i="2" a="1"/>
  <c r="M14" i="2" s="1"/>
  <c r="N14" i="2" a="1"/>
  <c r="N14" i="2"/>
  <c r="M15" i="2" a="1"/>
  <c r="M15" i="2"/>
  <c r="N15" i="2" a="1"/>
  <c r="N15" i="2" s="1"/>
  <c r="M16" i="2" a="1"/>
  <c r="M16" i="2" s="1"/>
  <c r="N16" i="2" a="1"/>
  <c r="N16" i="2"/>
  <c r="M17" i="2" a="1"/>
  <c r="M17" i="2" s="1"/>
  <c r="N17" i="2" a="1"/>
  <c r="N17" i="2"/>
  <c r="M18" i="2" a="1"/>
  <c r="M18" i="2"/>
  <c r="N18" i="2" a="1"/>
  <c r="N18" i="2"/>
  <c r="M19" i="2" a="1"/>
  <c r="M19" i="2" s="1"/>
  <c r="N19" i="2" a="1"/>
  <c r="N19" i="2"/>
  <c r="M20" i="2" a="1"/>
  <c r="M20" i="2" s="1"/>
  <c r="N20" i="2" a="1"/>
  <c r="N20" i="2"/>
  <c r="M21" i="2" a="1"/>
  <c r="M21" i="2"/>
  <c r="N21" i="2" a="1"/>
  <c r="N21" i="2"/>
  <c r="M22" i="2" a="1"/>
  <c r="M22" i="2" s="1"/>
  <c r="N22" i="2" a="1"/>
  <c r="N22" i="2"/>
  <c r="M23" i="2" a="1"/>
  <c r="M23" i="2" s="1"/>
  <c r="N23" i="2" a="1"/>
  <c r="N23" i="2"/>
  <c r="M24" i="2" a="1"/>
  <c r="M24" i="2"/>
  <c r="N24" i="2" a="1"/>
  <c r="N24" i="2"/>
  <c r="M25" i="2" a="1"/>
  <c r="M25" i="2" s="1"/>
  <c r="N25" i="2" a="1"/>
  <c r="N25" i="2"/>
  <c r="M26" i="2" a="1"/>
  <c r="M26" i="2" s="1"/>
  <c r="N26" i="2" a="1"/>
  <c r="N26" i="2"/>
  <c r="M27" i="2" a="1"/>
  <c r="M27" i="2"/>
  <c r="N27" i="2" a="1"/>
  <c r="N27" i="2"/>
  <c r="M28" i="2" a="1"/>
  <c r="M28" i="2" s="1"/>
  <c r="N28" i="2" a="1"/>
  <c r="N28" i="2"/>
  <c r="M29" i="2" a="1"/>
  <c r="M29" i="2" s="1"/>
  <c r="N29" i="2" a="1"/>
  <c r="N29" i="2"/>
  <c r="M30" i="2" a="1"/>
  <c r="M30" i="2"/>
  <c r="N30" i="2" a="1"/>
  <c r="N30" i="2"/>
  <c r="M31" i="2" a="1"/>
  <c r="M31" i="2" s="1"/>
  <c r="N31" i="2" a="1"/>
  <c r="N31" i="2"/>
  <c r="M32" i="2" a="1"/>
  <c r="M32" i="2" s="1"/>
  <c r="N32" i="2" a="1"/>
  <c r="N32" i="2"/>
  <c r="M33" i="2" a="1"/>
  <c r="M33" i="2"/>
  <c r="N33" i="2" a="1"/>
  <c r="N33" i="2" s="1"/>
  <c r="M34" i="2" a="1"/>
  <c r="M34" i="2" s="1"/>
  <c r="N34" i="2" a="1"/>
  <c r="N34" i="2"/>
  <c r="M35" i="2" a="1"/>
  <c r="M35" i="2"/>
  <c r="N35" i="2" a="1"/>
  <c r="N35" i="2"/>
  <c r="M36" i="2" a="1"/>
  <c r="M36" i="2"/>
  <c r="N36" i="2" a="1"/>
  <c r="N36" i="2"/>
  <c r="M37" i="2" a="1"/>
  <c r="M37" i="2" s="1"/>
  <c r="N37" i="2" a="1"/>
  <c r="N37" i="2"/>
  <c r="M38" i="2" a="1"/>
  <c r="M38" i="2"/>
  <c r="N38" i="2" a="1"/>
  <c r="N38" i="2"/>
  <c r="M39" i="2" a="1"/>
  <c r="M39" i="2"/>
  <c r="N39" i="2" a="1"/>
  <c r="N39" i="2"/>
  <c r="M40" i="2" a="1"/>
  <c r="M40" i="2" s="1"/>
  <c r="N40" i="2" a="1"/>
  <c r="N40" i="2"/>
  <c r="M41" i="2" a="1"/>
  <c r="M41" i="2"/>
  <c r="N41" i="2" a="1"/>
  <c r="N41" i="2"/>
  <c r="M42" i="2" a="1"/>
  <c r="M42" i="2"/>
  <c r="N42" i="2" a="1"/>
  <c r="N42" i="2"/>
  <c r="M43" i="2" a="1"/>
  <c r="M43" i="2" s="1"/>
  <c r="N43" i="2" a="1"/>
  <c r="N43" i="2"/>
  <c r="M44" i="2" a="1"/>
  <c r="M44" i="2"/>
  <c r="N44" i="2" a="1"/>
  <c r="N44" i="2"/>
  <c r="M45" i="2" a="1"/>
  <c r="M45" i="2"/>
  <c r="N45" i="2" a="1"/>
  <c r="N45" i="2"/>
  <c r="M46" i="2" a="1"/>
  <c r="M46" i="2" s="1"/>
  <c r="N46" i="2" a="1"/>
  <c r="N46" i="2"/>
  <c r="M47" i="2" a="1"/>
  <c r="M47" i="2"/>
  <c r="N47" i="2" a="1"/>
  <c r="N47" i="2"/>
  <c r="M48" i="2" a="1"/>
  <c r="M48" i="2"/>
  <c r="N48" i="2" a="1"/>
  <c r="N48" i="2"/>
  <c r="M49" i="2" a="1"/>
  <c r="M49" i="2" s="1"/>
  <c r="N49" i="2" a="1"/>
  <c r="N49" i="2"/>
  <c r="M50" i="2" a="1"/>
  <c r="M50" i="2"/>
  <c r="N50" i="2" a="1"/>
  <c r="N50" i="2"/>
  <c r="M51" i="2" a="1"/>
  <c r="M51" i="2"/>
  <c r="N51" i="2" a="1"/>
  <c r="N51" i="2"/>
  <c r="M52" i="2" a="1"/>
  <c r="M52" i="2" s="1"/>
  <c r="N52" i="2" a="1"/>
  <c r="N52" i="2"/>
  <c r="M53" i="2" a="1"/>
  <c r="M53" i="2"/>
  <c r="N53" i="2" a="1"/>
  <c r="N53" i="2"/>
  <c r="M54" i="2" a="1"/>
  <c r="M54" i="2"/>
  <c r="N54" i="2" a="1"/>
  <c r="N54" i="2"/>
  <c r="M55" i="2" a="1"/>
  <c r="M55" i="2" s="1"/>
  <c r="N55" i="2" a="1"/>
  <c r="N55" i="2"/>
  <c r="M56" i="2" a="1"/>
  <c r="M56" i="2"/>
  <c r="N56" i="2" a="1"/>
  <c r="N56" i="2"/>
  <c r="M57" i="2" a="1"/>
  <c r="M57" i="2"/>
  <c r="N57" i="2" a="1"/>
  <c r="N57" i="2" s="1"/>
  <c r="M58" i="2" a="1"/>
  <c r="M58" i="2"/>
  <c r="N58" i="2" a="1"/>
  <c r="N58" i="2" s="1"/>
  <c r="M59" i="2" a="1"/>
  <c r="M59" i="2"/>
  <c r="N59" i="2" a="1"/>
  <c r="N59" i="2" s="1"/>
  <c r="M60" i="2" a="1"/>
  <c r="M60" i="2"/>
  <c r="N60" i="2" a="1"/>
  <c r="N60" i="2"/>
  <c r="M61" i="2" a="1"/>
  <c r="M61" i="2"/>
  <c r="N61" i="2" a="1"/>
  <c r="N61" i="2" s="1"/>
  <c r="M62" i="2" a="1"/>
  <c r="M62" i="2"/>
  <c r="N62" i="2" a="1"/>
  <c r="N62" i="2" s="1"/>
  <c r="M63" i="2" a="1"/>
  <c r="M63" i="2"/>
  <c r="N63" i="2" a="1"/>
  <c r="N63" i="2"/>
  <c r="M64" i="2" a="1"/>
  <c r="M64" i="2"/>
  <c r="N64" i="2" a="1"/>
  <c r="N64" i="2" s="1"/>
  <c r="M65" i="2" a="1"/>
  <c r="M65" i="2"/>
  <c r="N65" i="2" a="1"/>
  <c r="N65" i="2" s="1"/>
  <c r="M66" i="2" a="1"/>
  <c r="M66" i="2"/>
  <c r="N66" i="2" a="1"/>
  <c r="N66" i="2"/>
  <c r="M67" i="2" a="1"/>
  <c r="M67" i="2"/>
  <c r="N67" i="2" a="1"/>
  <c r="N67" i="2" s="1"/>
  <c r="M68" i="2" a="1"/>
  <c r="M68" i="2"/>
  <c r="N68" i="2" a="1"/>
  <c r="N68" i="2" s="1"/>
  <c r="M69" i="2" a="1"/>
  <c r="M69" i="2"/>
  <c r="N69" i="2" a="1"/>
  <c r="N69" i="2"/>
  <c r="M70" i="2" a="1"/>
  <c r="M70" i="2"/>
  <c r="N70" i="2" a="1"/>
  <c r="N70" i="2" s="1"/>
  <c r="M71" i="2" a="1"/>
  <c r="M71" i="2"/>
  <c r="N71" i="2" a="1"/>
  <c r="N71" i="2" s="1"/>
  <c r="M72" i="2" a="1"/>
  <c r="M72" i="2"/>
  <c r="N72" i="2" a="1"/>
  <c r="N72" i="2"/>
  <c r="M73" i="2" a="1"/>
  <c r="M73" i="2"/>
  <c r="N73" i="2" a="1"/>
  <c r="N73" i="2" s="1"/>
  <c r="M74" i="2" a="1"/>
  <c r="M74" i="2"/>
  <c r="N74" i="2" a="1"/>
  <c r="N74" i="2" s="1"/>
  <c r="M75" i="2" a="1"/>
  <c r="M75" i="2"/>
  <c r="N75" i="2" a="1"/>
  <c r="N75" i="2"/>
  <c r="M76" i="2" a="1"/>
  <c r="M76" i="2"/>
  <c r="N76" i="2" a="1"/>
  <c r="N76" i="2" s="1"/>
  <c r="M77" i="2" a="1"/>
  <c r="M77" i="2"/>
  <c r="N77" i="2" a="1"/>
  <c r="N77" i="2" s="1"/>
  <c r="M78" i="2" a="1"/>
  <c r="M78" i="2"/>
  <c r="N78" i="2" a="1"/>
  <c r="N78" i="2"/>
  <c r="M79" i="2" a="1"/>
  <c r="M79" i="2"/>
  <c r="N79" i="2" a="1"/>
  <c r="N79" i="2" s="1"/>
  <c r="M80" i="2" a="1"/>
  <c r="M80" i="2"/>
  <c r="N80" i="2" a="1"/>
  <c r="N80" i="2" s="1"/>
  <c r="M81" i="2" a="1"/>
  <c r="M81" i="2"/>
  <c r="N81" i="2" a="1"/>
  <c r="N81" i="2"/>
  <c r="M82" i="2" a="1"/>
  <c r="M82" i="2"/>
  <c r="N82" i="2" a="1"/>
  <c r="N82" i="2" s="1"/>
  <c r="M83" i="2" a="1"/>
  <c r="M83" i="2"/>
  <c r="N83" i="2" a="1"/>
  <c r="N83" i="2" s="1"/>
  <c r="M84" i="2" a="1"/>
  <c r="M84" i="2"/>
  <c r="N84" i="2" a="1"/>
  <c r="N84" i="2"/>
  <c r="M85" i="2" a="1"/>
  <c r="M85" i="2"/>
  <c r="N85" i="2" a="1"/>
  <c r="N85" i="2" s="1"/>
  <c r="M86" i="2" a="1"/>
  <c r="M86" i="2"/>
  <c r="N86" i="2" a="1"/>
  <c r="N86" i="2" s="1"/>
  <c r="M87" i="2" a="1"/>
  <c r="M87" i="2"/>
  <c r="N87" i="2" a="1"/>
  <c r="N87" i="2"/>
  <c r="M88" i="2" a="1"/>
  <c r="M88" i="2"/>
  <c r="N88" i="2" a="1"/>
  <c r="N88" i="2" s="1"/>
  <c r="M89" i="2" a="1"/>
  <c r="M89" i="2"/>
  <c r="N89" i="2" a="1"/>
  <c r="N89" i="2" s="1"/>
  <c r="M90" i="2" a="1"/>
  <c r="M90" i="2"/>
  <c r="N90" i="2" a="1"/>
  <c r="N90" i="2"/>
  <c r="M91" i="2" a="1"/>
  <c r="M91" i="2"/>
  <c r="N91" i="2" a="1"/>
  <c r="N91" i="2" s="1"/>
  <c r="M92" i="2" a="1"/>
  <c r="M92" i="2"/>
  <c r="N92" i="2" a="1"/>
  <c r="N92" i="2" s="1"/>
  <c r="M93" i="2" a="1"/>
  <c r="M93" i="2"/>
  <c r="N93" i="2" a="1"/>
  <c r="N93" i="2"/>
  <c r="M94" i="2" a="1"/>
  <c r="M94" i="2"/>
  <c r="N94" i="2" a="1"/>
  <c r="N94" i="2" s="1"/>
  <c r="M95" i="2" a="1"/>
  <c r="M95" i="2"/>
  <c r="N95" i="2" a="1"/>
  <c r="N95" i="2" s="1"/>
  <c r="M96" i="2" a="1"/>
  <c r="M96" i="2" s="1"/>
  <c r="N96" i="2" a="1"/>
  <c r="N96" i="2"/>
  <c r="M97" i="2" a="1"/>
  <c r="M97" i="2"/>
  <c r="N97" i="2" a="1"/>
  <c r="N97" i="2" s="1"/>
  <c r="M98" i="2" a="1"/>
  <c r="M98" i="2"/>
  <c r="N98" i="2" a="1"/>
  <c r="N98" i="2"/>
  <c r="M99" i="2" a="1"/>
  <c r="M99" i="2" s="1"/>
  <c r="N99" i="2" a="1"/>
  <c r="N99" i="2"/>
  <c r="M100" i="2" a="1"/>
  <c r="M100" i="2"/>
  <c r="N100" i="2" a="1"/>
  <c r="N100" i="2"/>
  <c r="M101" i="2" a="1"/>
  <c r="M101" i="2" s="1"/>
  <c r="N101" i="2" a="1"/>
  <c r="N101" i="2"/>
  <c r="M102" i="2" a="1"/>
  <c r="M102" i="2" s="1"/>
  <c r="N102" i="2" a="1"/>
  <c r="N102" i="2"/>
  <c r="M103" i="2" a="1"/>
  <c r="M103" i="2"/>
  <c r="N103" i="2" a="1"/>
  <c r="N103" i="2"/>
  <c r="M104" i="2" a="1"/>
  <c r="M104" i="2" s="1"/>
  <c r="N104" i="2" a="1"/>
  <c r="N104" i="2"/>
  <c r="M105" i="2" a="1"/>
  <c r="M105" i="2" s="1"/>
  <c r="N105" i="2" a="1"/>
  <c r="N105" i="2" s="1"/>
  <c r="M106" i="2" a="1"/>
  <c r="M106" i="2"/>
  <c r="N106" i="2" a="1"/>
  <c r="N106" i="2"/>
  <c r="M107" i="2" a="1"/>
  <c r="M107" i="2"/>
  <c r="N107" i="2" a="1"/>
  <c r="N107" i="2" s="1"/>
  <c r="M108" i="2" a="1"/>
  <c r="M108" i="2" s="1"/>
  <c r="N108" i="2" a="1"/>
  <c r="N108" i="2" s="1"/>
  <c r="M109" i="2" a="1"/>
  <c r="M109" i="2" s="1"/>
  <c r="N109" i="2" a="1"/>
  <c r="N109" i="2"/>
  <c r="M110" i="2" a="1"/>
  <c r="M110" i="2" s="1"/>
  <c r="N110" i="2" a="1"/>
  <c r="N110" i="2"/>
  <c r="M111" i="2" a="1"/>
  <c r="M111" i="2" s="1"/>
  <c r="N111" i="2" a="1"/>
  <c r="N111" i="2" s="1"/>
  <c r="M112" i="2" a="1"/>
  <c r="M112" i="2"/>
  <c r="N112" i="2" a="1"/>
  <c r="N112" i="2" s="1"/>
  <c r="M113" i="2" a="1"/>
  <c r="M113" i="2" s="1"/>
  <c r="N113" i="2" a="1"/>
  <c r="N113" i="2"/>
  <c r="M114" i="2" a="1"/>
  <c r="M114" i="2" s="1"/>
  <c r="N114" i="2" a="1"/>
  <c r="N114" i="2"/>
  <c r="M115" i="2" a="1"/>
  <c r="M115" i="2" s="1"/>
  <c r="N115" i="2" a="1"/>
  <c r="N115" i="2"/>
  <c r="M116" i="2" a="1"/>
  <c r="M116" i="2" s="1"/>
  <c r="N116" i="2" a="1"/>
  <c r="N116" i="2"/>
  <c r="M117" i="2" a="1"/>
  <c r="M117" i="2" s="1"/>
  <c r="N117" i="2" a="1"/>
  <c r="N117" i="2"/>
  <c r="M118" i="2" a="1"/>
  <c r="M118" i="2"/>
  <c r="N118" i="2" a="1"/>
  <c r="N118" i="2" s="1"/>
  <c r="M119" i="2" a="1"/>
  <c r="M119" i="2" s="1"/>
  <c r="N119" i="2" a="1"/>
  <c r="N119" i="2"/>
  <c r="M120" i="2" a="1"/>
  <c r="M120" i="2" s="1"/>
  <c r="N120" i="2" a="1"/>
  <c r="N120" i="2"/>
  <c r="M121" i="2" a="1"/>
  <c r="M121" i="2"/>
  <c r="N121" i="2" a="1"/>
  <c r="N121" i="2"/>
  <c r="M122" i="2" a="1"/>
  <c r="M122" i="2" s="1"/>
  <c r="N122" i="2" a="1"/>
  <c r="N122" i="2"/>
  <c r="M123" i="2" a="1"/>
  <c r="M123" i="2" s="1"/>
  <c r="N123" i="2" a="1"/>
  <c r="N123" i="2" s="1"/>
  <c r="M124" i="2" a="1"/>
  <c r="M124" i="2"/>
  <c r="N124" i="2" a="1"/>
  <c r="N124" i="2"/>
  <c r="M125" i="2" a="1"/>
  <c r="M125" i="2" s="1"/>
  <c r="N125" i="2" a="1"/>
  <c r="N125" i="2" s="1"/>
  <c r="M126" i="2" a="1"/>
  <c r="M126" i="2" s="1"/>
  <c r="N126" i="2" a="1"/>
  <c r="N126" i="2"/>
  <c r="M127" i="2" a="1"/>
  <c r="M127" i="2" s="1"/>
  <c r="N127" i="2" a="1"/>
  <c r="N127" i="2"/>
  <c r="M128" i="2" a="1"/>
  <c r="M128" i="2" s="1"/>
  <c r="N128" i="2" a="1"/>
  <c r="N128" i="2"/>
  <c r="M129" i="2" a="1"/>
  <c r="M129" i="2" s="1"/>
  <c r="N129" i="2" a="1"/>
  <c r="N129" i="2" s="1"/>
  <c r="M130" i="2" a="1"/>
  <c r="M130" i="2"/>
  <c r="N130" i="2" a="1"/>
  <c r="N130" i="2" s="1"/>
  <c r="M131" i="2" a="1"/>
  <c r="M131" i="2" s="1"/>
  <c r="N131" i="2" a="1"/>
  <c r="N131" i="2"/>
  <c r="M132" i="2" a="1"/>
  <c r="M132" i="2" s="1"/>
  <c r="I9" i="4" l="1"/>
  <c r="K9" i="4" s="1"/>
  <c r="I6" i="4"/>
  <c r="K6" i="4" s="1"/>
  <c r="I8" i="4"/>
  <c r="I3" i="4"/>
  <c r="K3" i="4" s="1"/>
  <c r="I5" i="4"/>
  <c r="K5" i="4" s="1"/>
  <c r="I7" i="4"/>
  <c r="I4" i="4"/>
  <c r="K4" i="4" s="1"/>
  <c r="J9" i="4"/>
  <c r="J8" i="4"/>
  <c r="K8" i="4" s="1"/>
  <c r="J6" i="4"/>
  <c r="J5" i="4"/>
  <c r="J10" i="4" s="1"/>
  <c r="J7" i="4"/>
  <c r="E8" i="4"/>
  <c r="E7" i="4"/>
  <c r="E6" i="4"/>
  <c r="E5" i="4"/>
  <c r="E4" i="4"/>
  <c r="E9" i="4"/>
  <c r="D10" i="4"/>
  <c r="C10" i="4"/>
  <c r="E3" i="4"/>
  <c r="I10" i="4" l="1"/>
  <c r="K7" i="4"/>
  <c r="K10" i="4" s="1"/>
  <c r="E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<sst xmlns="http://schemas.openxmlformats.org/spreadsheetml/2006/main" count="14013" uniqueCount="4686">
  <si>
    <t>10375 เค้กบ้านแม่ (ลาดหลุมแก้ว)</t>
  </si>
  <si>
    <t>ปทุมธานี</t>
  </si>
  <si>
    <t>ลาดหลุมแก้ว</t>
  </si>
  <si>
    <t>10500</t>
  </si>
  <si>
    <t>10500 บริษัท วัน วัน วัน คอฟฟี่ จำกัด (สำนักงานใหญ่)</t>
  </si>
  <si>
    <t>นครปฐม</t>
  </si>
  <si>
    <t>สามพราน</t>
  </si>
  <si>
    <t>CD0112</t>
  </si>
  <si>
    <t>หจก.เชียงใหม่สหชัยวัฒนา</t>
  </si>
  <si>
    <t>เชียงใหม่</t>
  </si>
  <si>
    <t>สันทราย</t>
  </si>
  <si>
    <t>CD0113</t>
  </si>
  <si>
    <t>หจก.ลักกี้สกายเอนเนอร์จี</t>
  </si>
  <si>
    <t>เชียงราย</t>
  </si>
  <si>
    <t>เมืองเชียงราย</t>
  </si>
  <si>
    <t>CD0114</t>
  </si>
  <si>
    <t>บจ.เคยูออยล์</t>
  </si>
  <si>
    <t>CD0120</t>
  </si>
  <si>
    <t>บจ.เอสที คอฟฟี่</t>
  </si>
  <si>
    <t>พิษณุโลก</t>
  </si>
  <si>
    <t>เมืองพิษณุโลก</t>
  </si>
  <si>
    <t>CD0136</t>
  </si>
  <si>
    <t>หจก.อิ่มรักษ์ ณ เกาะแก้ว</t>
  </si>
  <si>
    <t>ภูเก็ต</t>
  </si>
  <si>
    <t>เมืองภูเก็ต</t>
  </si>
  <si>
    <t>CD0137</t>
  </si>
  <si>
    <t>หจก.สตูลปิโตรเลี่ยม</t>
  </si>
  <si>
    <t>สงขลา</t>
  </si>
  <si>
    <t>หาดใหญ่</t>
  </si>
  <si>
    <t>CD0148</t>
  </si>
  <si>
    <t>หจก.ศิริชัย อมรา</t>
  </si>
  <si>
    <t>สุราษฎร์ธานี</t>
  </si>
  <si>
    <t>พุนพิน</t>
  </si>
  <si>
    <t>CD1236</t>
  </si>
  <si>
    <t>บจ.เอ็นวายพี95</t>
  </si>
  <si>
    <t>สมุทรปราการ</t>
  </si>
  <si>
    <t>บางพลี</t>
  </si>
  <si>
    <t>CD1396</t>
  </si>
  <si>
    <t>CD1396 หจก.ปัญญามอเตอร์</t>
  </si>
  <si>
    <t>อุตรดิตถ์</t>
  </si>
  <si>
    <t>เมืองอุตรดิตถ์</t>
  </si>
  <si>
    <t>CD1519</t>
  </si>
  <si>
    <t>สถานีบริการน้ำมันเชื้อเพลิงสวัสดิกา</t>
  </si>
  <si>
    <t>CD3575</t>
  </si>
  <si>
    <t>หจก.ทูเจ บราเธอร์</t>
  </si>
  <si>
    <t>เมืองเชียงใหม่</t>
  </si>
  <si>
    <t>CD4165</t>
  </si>
  <si>
    <t>ห้างหุ่นส่วนจำกัด เอส แอล พี คาเฟ่</t>
  </si>
  <si>
    <t>สุโขทัย</t>
  </si>
  <si>
    <t>สวรรคโลก</t>
  </si>
  <si>
    <t>CD4450</t>
  </si>
  <si>
    <t>หจก.เจ้าขุนเขา</t>
  </si>
  <si>
    <t>ประจวบคีรีขันธ์</t>
  </si>
  <si>
    <t>เมืองประจวบคีรีขันธ์</t>
  </si>
  <si>
    <t>CD5437</t>
  </si>
  <si>
    <t>บจ.นวประชา 2025</t>
  </si>
  <si>
    <t>เมืองนครปฐม</t>
  </si>
  <si>
    <t>DD0112</t>
  </si>
  <si>
    <t>DD0127</t>
  </si>
  <si>
    <t>หจก.ศรีสมวงศ์เซอร์วิส ชัยภูมิ</t>
  </si>
  <si>
    <t>ชัยภูมิ</t>
  </si>
  <si>
    <t>เมืองชัยภูมิ</t>
  </si>
  <si>
    <t>DD0145</t>
  </si>
  <si>
    <t>บจ.ทรัพย์พจนา</t>
  </si>
  <si>
    <t>กรุงเทพมหานคร</t>
  </si>
  <si>
    <t>ลาดพร้าว</t>
  </si>
  <si>
    <t>DD0149</t>
  </si>
  <si>
    <t>หจก.กรุงธน ฟู๊ดส์ แอนด์ เบฟเวอร์เรจ</t>
  </si>
  <si>
    <t>คันนายาว</t>
  </si>
  <si>
    <t>DD0159</t>
  </si>
  <si>
    <t>บจ.สุเพ็ชร</t>
  </si>
  <si>
    <t>ทวีวัฒนา</t>
  </si>
  <si>
    <t>DD0160</t>
  </si>
  <si>
    <t>หจก.นพสร</t>
  </si>
  <si>
    <t>บางแค</t>
  </si>
  <si>
    <t>DD0161</t>
  </si>
  <si>
    <t>หจก.ถาวร คอฟฟี่</t>
  </si>
  <si>
    <t>DD0165</t>
  </si>
  <si>
    <t>นนทบุรี</t>
  </si>
  <si>
    <t>ไทรน้อย</t>
  </si>
  <si>
    <t>DD0167</t>
  </si>
  <si>
    <t>หจก.ชาดำปู 2011</t>
  </si>
  <si>
    <t>สามโคก</t>
  </si>
  <si>
    <t>DD0169</t>
  </si>
  <si>
    <t>หจก.เอสแอนด์บี คอฟฟี่</t>
  </si>
  <si>
    <t>เมืองปทุมธานี</t>
  </si>
  <si>
    <t>DD0172</t>
  </si>
  <si>
    <t>บจ.เอสเอสเอ็ม คาเฟ่</t>
  </si>
  <si>
    <t>ธัญบุรี</t>
  </si>
  <si>
    <t>DD0179</t>
  </si>
  <si>
    <t>หจก.ฐิติ คอฟฟี่</t>
  </si>
  <si>
    <t>เพชรบุรี</t>
  </si>
  <si>
    <t>ชะอำ</t>
  </si>
  <si>
    <t>DD0181</t>
  </si>
  <si>
    <t>DD0182</t>
  </si>
  <si>
    <t>หจก.ปลา88</t>
  </si>
  <si>
    <t>กาญจนบุรี</t>
  </si>
  <si>
    <t>ท่ามะกา</t>
  </si>
  <si>
    <t>DD0183</t>
  </si>
  <si>
    <t>บจ.นภาริณ คอฟฟี่</t>
  </si>
  <si>
    <t>ท่าม่วง</t>
  </si>
  <si>
    <t>DD0185</t>
  </si>
  <si>
    <t>DD0185 หจก. สงวนทรัพย์พัฒนา</t>
  </si>
  <si>
    <t>ราชบุรี</t>
  </si>
  <si>
    <t>เมืองราชบุรี</t>
  </si>
  <si>
    <t>DD0186</t>
  </si>
  <si>
    <t>หจก.คอฟฟี่ การ์เด้น</t>
  </si>
  <si>
    <t>DD0189</t>
  </si>
  <si>
    <t>หจก.คอฟฟี่อินการ์เด้น</t>
  </si>
  <si>
    <t>จันทบุรี</t>
  </si>
  <si>
    <t>ท่าใหม่</t>
  </si>
  <si>
    <t>DD0190</t>
  </si>
  <si>
    <t>บจ.กาแฟ มาคอว์</t>
  </si>
  <si>
    <t>ชลบุรี</t>
  </si>
  <si>
    <t>เมืองชลบุรี</t>
  </si>
  <si>
    <t>DD0192</t>
  </si>
  <si>
    <t>บจ.ดี ดี 192</t>
  </si>
  <si>
    <t>บางละมุง</t>
  </si>
  <si>
    <t>DD0193</t>
  </si>
  <si>
    <t>บจ.จันทร์เพ็ญคอฟฟี</t>
  </si>
  <si>
    <t>ศรีราชา</t>
  </si>
  <si>
    <t>DD0196</t>
  </si>
  <si>
    <t>บจ.ซีเอ็ม คอฟฟี่</t>
  </si>
  <si>
    <t>นครนายก</t>
  </si>
  <si>
    <t>องครักษ์</t>
  </si>
  <si>
    <t>DD0197</t>
  </si>
  <si>
    <t>หจก.ศรีเสาวภาคอฟฟี่</t>
  </si>
  <si>
    <t>DD0199</t>
  </si>
  <si>
    <t>บจ.พรวรรณสิริ</t>
  </si>
  <si>
    <t>เมืองนครนายก</t>
  </si>
  <si>
    <t>DD0200</t>
  </si>
  <si>
    <t>หจก.นกแก้ว กาแฟ</t>
  </si>
  <si>
    <t>นครชัยศรี</t>
  </si>
  <si>
    <t>DD0202</t>
  </si>
  <si>
    <t>หจก.เพชรดี มินิมาร์ท</t>
  </si>
  <si>
    <t>บางเลน</t>
  </si>
  <si>
    <t>DD0203</t>
  </si>
  <si>
    <t>หจก.รวมนครฟู้ดดี้</t>
  </si>
  <si>
    <t>DD0205</t>
  </si>
  <si>
    <t>หจก.คาเฟ่ อเมซอน อุดมชัยวิทย์</t>
  </si>
  <si>
    <t>DD0206</t>
  </si>
  <si>
    <t>บจ.ช้างเผือกปิโตรเลียม</t>
  </si>
  <si>
    <t>บางสะพานน้อย</t>
  </si>
  <si>
    <t>DD0207</t>
  </si>
  <si>
    <t>บจ.ร่อนทองชัย แมนเน็จเม้นท์</t>
  </si>
  <si>
    <t>DD0208</t>
  </si>
  <si>
    <t>บจ.ดวงใจเบฟเวอเรจ</t>
  </si>
  <si>
    <t>ปราณบุรี</t>
  </si>
  <si>
    <t>DD0210</t>
  </si>
  <si>
    <t>หจก.ตรงตวงปิโตรเลียม</t>
  </si>
  <si>
    <t>ทับสะแก</t>
  </si>
  <si>
    <t>DD0211</t>
  </si>
  <si>
    <t>หจก.บางสะพานปิโตรเลียม</t>
  </si>
  <si>
    <t>บางสะพาน</t>
  </si>
  <si>
    <t>DD0212</t>
  </si>
  <si>
    <t>บจ.โชคสุขุมแก๊สเซอร์วิส</t>
  </si>
  <si>
    <t>หัวหิน</t>
  </si>
  <si>
    <t>DD0215</t>
  </si>
  <si>
    <t>หจก.ขวัญวลัย</t>
  </si>
  <si>
    <t>ปราจีนบุรี</t>
  </si>
  <si>
    <t>เมืองปราจีนบุรี</t>
  </si>
  <si>
    <t>DD0218</t>
  </si>
  <si>
    <t>บจ.หยกพาณิชย์</t>
  </si>
  <si>
    <t>ระยอง</t>
  </si>
  <si>
    <t>เมืองระยอง</t>
  </si>
  <si>
    <t>DD0225</t>
  </si>
  <si>
    <t>บจ.สารพรรณ กาแฟ</t>
  </si>
  <si>
    <t>ลพบุรี</t>
  </si>
  <si>
    <t>ชัยบาดาล</t>
  </si>
  <si>
    <t>DD0226</t>
  </si>
  <si>
    <t>DD0227</t>
  </si>
  <si>
    <t>หจก.เยลลี่ไบร์ท</t>
  </si>
  <si>
    <t>สมุทรสงคราม</t>
  </si>
  <si>
    <t>เมืองสมุทรสงคราม</t>
  </si>
  <si>
    <t>DD0229</t>
  </si>
  <si>
    <t>บจ.นิวไดมอนด์คอฟฟี่</t>
  </si>
  <si>
    <t>DD0231</t>
  </si>
  <si>
    <t>หจก.ดีจริงจัง</t>
  </si>
  <si>
    <t>สมุทรสาคร</t>
  </si>
  <si>
    <t>เมืองสมุทรสาคร</t>
  </si>
  <si>
    <t>DD0232</t>
  </si>
  <si>
    <t>บจ.ชัยวิวัฒน์การปิโตรเลียม</t>
  </si>
  <si>
    <t>DD0233</t>
  </si>
  <si>
    <t>บจ.พระราม2 เทรดดิ้ง</t>
  </si>
  <si>
    <t>DD0236</t>
  </si>
  <si>
    <t>DD0236 บริษัท อุทัยกุล ปิโตรเลียมจำกัด</t>
  </si>
  <si>
    <t>สระบุรี</t>
  </si>
  <si>
    <t>หนองแค</t>
  </si>
  <si>
    <t>DD0238</t>
  </si>
  <si>
    <t>บจก.มันทนากาแฟสยาม(ดาวเรือง)</t>
  </si>
  <si>
    <t>เมืองสระบุรี</t>
  </si>
  <si>
    <t>DD0239</t>
  </si>
  <si>
    <t>DD0239 หจก. นิคมเจริญผล</t>
  </si>
  <si>
    <t>DD0240</t>
  </si>
  <si>
    <t>บจ.หงษ์ชวลิต</t>
  </si>
  <si>
    <t>สิงห์บุรี</t>
  </si>
  <si>
    <t>เมืองสิงห์บุรี</t>
  </si>
  <si>
    <t>DD0241</t>
  </si>
  <si>
    <t>หจก.รวย รวย รวย 2020</t>
  </si>
  <si>
    <t>สุพรรณบุรี</t>
  </si>
  <si>
    <t>ศรีประจันต์</t>
  </si>
  <si>
    <t>DD0242</t>
  </si>
  <si>
    <t>บจ.หลักเมืองถาวรพาณิชย์</t>
  </si>
  <si>
    <t>เมืองสุพรรณบุรี</t>
  </si>
  <si>
    <t>DD0243</t>
  </si>
  <si>
    <t>หจก.ด่านช้าง คาเฟ่</t>
  </si>
  <si>
    <t>ด่านช้าง</t>
  </si>
  <si>
    <t>DD0244</t>
  </si>
  <si>
    <t>บจ.ภาณุสรณ์ 1991</t>
  </si>
  <si>
    <t>DD0245</t>
  </si>
  <si>
    <t>หจก.ปิ่นวิเศษ</t>
  </si>
  <si>
    <t>สามชุก</t>
  </si>
  <si>
    <t>DD0246</t>
  </si>
  <si>
    <t>หจก.ภูวิดลเครื่องมือกล</t>
  </si>
  <si>
    <t>บางปลาม้า</t>
  </si>
  <si>
    <t>DD0247</t>
  </si>
  <si>
    <t>หจก.คงทองทิพย์ 9999</t>
  </si>
  <si>
    <t>อู่ทอง</t>
  </si>
  <si>
    <t>DD0252</t>
  </si>
  <si>
    <t>หจก.วีอาร์ ปิโตรเลียม วังน้อย</t>
  </si>
  <si>
    <t>พระนครศรีอยุธยา</t>
  </si>
  <si>
    <t>วังน้อย</t>
  </si>
  <si>
    <t>DD0253</t>
  </si>
  <si>
    <t>บจ.ศ.มหาโภคาการปิโตรเลียม</t>
  </si>
  <si>
    <t>บางปะหัน</t>
  </si>
  <si>
    <t>DD0255</t>
  </si>
  <si>
    <t>หจก.ไชโยปิโตรเลียม</t>
  </si>
  <si>
    <t>อ่างทอง</t>
  </si>
  <si>
    <t>ไชโย</t>
  </si>
  <si>
    <t>DD0261</t>
  </si>
  <si>
    <t>หจก.ปิ่น พัฒนโชติ</t>
  </si>
  <si>
    <t>แม่สาย</t>
  </si>
  <si>
    <t>DD0262</t>
  </si>
  <si>
    <t>หจก.เชียงรายกิตติรัตน์</t>
  </si>
  <si>
    <t>เวียงป่าเป้า</t>
  </si>
  <si>
    <t>DD0264</t>
  </si>
  <si>
    <t>หจก.ทัพพ์ธิดา</t>
  </si>
  <si>
    <t>แม่สรวย</t>
  </si>
  <si>
    <t>DD0268</t>
  </si>
  <si>
    <t>หจก.วิชชุมนตร์ ฟู้ดแอนด์ดริ๊งส์</t>
  </si>
  <si>
    <t>แพร่</t>
  </si>
  <si>
    <t>เมืองแพร่</t>
  </si>
  <si>
    <t>DD0269</t>
  </si>
  <si>
    <t>หจก.ไทยเสรี สบาย สบาย 39</t>
  </si>
  <si>
    <t>กำแพงเพชร</t>
  </si>
  <si>
    <t>คลองขลุง</t>
  </si>
  <si>
    <t>DD0270</t>
  </si>
  <si>
    <t>หจก.ธรรมรัตน์ คาเฟ่</t>
  </si>
  <si>
    <t>เมืองกำแพงเพชร</t>
  </si>
  <si>
    <t>DD0271</t>
  </si>
  <si>
    <t>บจ.ซันไรส์ เอ็กเพรส</t>
  </si>
  <si>
    <t>ชัยนาท</t>
  </si>
  <si>
    <t>เมืองชัยนาท</t>
  </si>
  <si>
    <t>DD0272</t>
  </si>
  <si>
    <t>DD0272 หจก.เอ.เค.เอส.เบฟเวอร์เรจ</t>
  </si>
  <si>
    <t>มโนรมย์</t>
  </si>
  <si>
    <t>DD0276</t>
  </si>
  <si>
    <t>บจ.อุตสาหกรรมแควใหญ่</t>
  </si>
  <si>
    <t>นครสวรรค์</t>
  </si>
  <si>
    <t>เมืองนครสวรรค์</t>
  </si>
  <si>
    <t>DD0279</t>
  </si>
  <si>
    <t>หจก.พีแอนด์เอ (789) คอฟฟี่</t>
  </si>
  <si>
    <t>DD0280</t>
  </si>
  <si>
    <t>บจ.พีพีพี กาแฟสด</t>
  </si>
  <si>
    <t>ขาณุวรลักษบุรี</t>
  </si>
  <si>
    <t>DD0282</t>
  </si>
  <si>
    <t>บจ.ฟูแสงห้วยลาน</t>
  </si>
  <si>
    <t>พะเยา</t>
  </si>
  <si>
    <t>ดอกคำใต้</t>
  </si>
  <si>
    <t>DD0283</t>
  </si>
  <si>
    <t>บจ.พี.บี.เดอ คาเฟ(2010)</t>
  </si>
  <si>
    <t>ภูซาง</t>
  </si>
  <si>
    <t>DD0284</t>
  </si>
  <si>
    <t>หจก.ขนมคุณเล็ก</t>
  </si>
  <si>
    <t>พิจิตร</t>
  </si>
  <si>
    <t>เมืองพิจิตร</t>
  </si>
  <si>
    <t>DD0287</t>
  </si>
  <si>
    <t>DD0289</t>
  </si>
  <si>
    <t>หจก.ถาวรชัยลำปาง</t>
  </si>
  <si>
    <t>ลำปาง</t>
  </si>
  <si>
    <t>เมืองลำปาง</t>
  </si>
  <si>
    <t>DD0290</t>
  </si>
  <si>
    <t>หจก.เอส ซี คอฟฟี่</t>
  </si>
  <si>
    <t>เถิน</t>
  </si>
  <si>
    <t>DD0291</t>
  </si>
  <si>
    <t>หจก.ซีซี คอฟฟี่</t>
  </si>
  <si>
    <t>DD0297</t>
  </si>
  <si>
    <t>DD0299</t>
  </si>
  <si>
    <t>หจก.อุตรดิตถ์ออยล์</t>
  </si>
  <si>
    <t>DD0312</t>
  </si>
  <si>
    <t>บจ.พี เอส วาย เซอร์วิส</t>
  </si>
  <si>
    <t>ขอนแก่น</t>
  </si>
  <si>
    <t>ชุมแพ</t>
  </si>
  <si>
    <t>DD0314</t>
  </si>
  <si>
    <t>บจ.ปกฉัตร</t>
  </si>
  <si>
    <t>เมืองขอนแก่น</t>
  </si>
  <si>
    <t>DD0316</t>
  </si>
  <si>
    <t>บจ.พีเอสวาย ชุมแพ</t>
  </si>
  <si>
    <t>DD0317</t>
  </si>
  <si>
    <t>หจก.สมศักดิ์ ตุลยฉัตร</t>
  </si>
  <si>
    <t>น้ำพอง</t>
  </si>
  <si>
    <t>DD0321</t>
  </si>
  <si>
    <t>หจก.นพผดุงบริการ(1)</t>
  </si>
  <si>
    <t>นครพนม</t>
  </si>
  <si>
    <t>เมืองนครพนม</t>
  </si>
  <si>
    <t>DD0323</t>
  </si>
  <si>
    <t>หจก.หมงฮวดปิโตรเลียม</t>
  </si>
  <si>
    <t>บ้านแพง</t>
  </si>
  <si>
    <t>DD0324</t>
  </si>
  <si>
    <t>หจก.วิทยชัยปิโตรเลียม</t>
  </si>
  <si>
    <t>นครราชสีมา</t>
  </si>
  <si>
    <t>ปากช่อง</t>
  </si>
  <si>
    <t>DD0325</t>
  </si>
  <si>
    <t>บจ.เอ็นแอนด์ที คอฟฟี่</t>
  </si>
  <si>
    <t>เมืองนครราชสีมา</t>
  </si>
  <si>
    <t>DD0327</t>
  </si>
  <si>
    <t>DD0327 หจก.เลิศสวัสดิ์ ปิโตรเลียม</t>
  </si>
  <si>
    <t>สีคิ้ว</t>
  </si>
  <si>
    <t>DD0331</t>
  </si>
  <si>
    <t>บจ.น้ำมันสยามด่านขุนทด</t>
  </si>
  <si>
    <t>ด่านขุนทด</t>
  </si>
  <si>
    <t>DD0332</t>
  </si>
  <si>
    <t>บจ.พี.เอ็น.ปิโตรเลี่ยม(1992)</t>
  </si>
  <si>
    <t>DD0333</t>
  </si>
  <si>
    <t>หจก.ปากช่องไฮเวย์</t>
  </si>
  <si>
    <t>DD0337</t>
  </si>
  <si>
    <t>บจ.เขาใหญ่สเตชั่น</t>
  </si>
  <si>
    <t>DD0347</t>
  </si>
  <si>
    <t>บจ.สยาม ออลล์</t>
  </si>
  <si>
    <t>DD0348</t>
  </si>
  <si>
    <t>หจก.ประมวลทรัพย์ 2559</t>
  </si>
  <si>
    <t>นาแก</t>
  </si>
  <si>
    <t>DD0349</t>
  </si>
  <si>
    <t>หจก.กุลศักดิ์วิมล</t>
  </si>
  <si>
    <t>ธาตุพนม</t>
  </si>
  <si>
    <t>DD0350</t>
  </si>
  <si>
    <t>หจก.มานะ-เสริมพล ค้าปลีก</t>
  </si>
  <si>
    <t>บุรีรัมย์</t>
  </si>
  <si>
    <t>หนองกี่</t>
  </si>
  <si>
    <t>DD0352</t>
  </si>
  <si>
    <t>หจก.ไทม์แอนด์ที</t>
  </si>
  <si>
    <t>ลำปลายมาศ</t>
  </si>
  <si>
    <t>DD0353</t>
  </si>
  <si>
    <t>บจ.เอ.บี.ปิโตรเลียม</t>
  </si>
  <si>
    <t>เมืองบุรีรัมย์</t>
  </si>
  <si>
    <t>DD0354</t>
  </si>
  <si>
    <t>DD0355</t>
  </si>
  <si>
    <t>นางรอง</t>
  </si>
  <si>
    <t>DD0357</t>
  </si>
  <si>
    <t>หสน.อิสาณบริการ</t>
  </si>
  <si>
    <t>มหาสารคาม</t>
  </si>
  <si>
    <t>เมืองมหาสารคาม</t>
  </si>
  <si>
    <t>DD0360</t>
  </si>
  <si>
    <t>DD0361</t>
  </si>
  <si>
    <t>DD0362</t>
  </si>
  <si>
    <t>หจก.โชคศิริ ออยล์</t>
  </si>
  <si>
    <t>พยัคฆภูมิพิสัย</t>
  </si>
  <si>
    <t>DD0364</t>
  </si>
  <si>
    <t>บจ.นพผดุงพัฒนา</t>
  </si>
  <si>
    <t>มุกดาหาร</t>
  </si>
  <si>
    <t>เมืองมุกดาหาร</t>
  </si>
  <si>
    <t>DD0365</t>
  </si>
  <si>
    <t>หจก.กิมชุนยโสธร</t>
  </si>
  <si>
    <t>ยโสธร</t>
  </si>
  <si>
    <t>เมืองยโสธร</t>
  </si>
  <si>
    <t>DD0366</t>
  </si>
  <si>
    <t>หจก.เกรียงศักดิ์ยโสธรปิโตรเลียม</t>
  </si>
  <si>
    <t>DD0367</t>
  </si>
  <si>
    <t>หจก.สุภาการปิโตรเลียม</t>
  </si>
  <si>
    <t>เลิงนกทา</t>
  </si>
  <si>
    <t>DD0368</t>
  </si>
  <si>
    <t>บจ.เอ็น.ซี.ปิโตรเลียม</t>
  </si>
  <si>
    <t>DD0369</t>
  </si>
  <si>
    <t>บจ.เจ.ที.รุ่งเรือง</t>
  </si>
  <si>
    <t>ร้อยเอ็ด</t>
  </si>
  <si>
    <t>เมืองร้อยเอ็ด</t>
  </si>
  <si>
    <t>DD0370</t>
  </si>
  <si>
    <t>หจก.บี.เอส.พี.มาร์เก็ตติ้ง</t>
  </si>
  <si>
    <t>DD0371</t>
  </si>
  <si>
    <t>บจ.น้ำมันไทยเพิ่มพูล</t>
  </si>
  <si>
    <t>DD0372</t>
  </si>
  <si>
    <t>บจ.ไทยเพิ่มพูล ปิโตรเลียม</t>
  </si>
  <si>
    <t>DD0375</t>
  </si>
  <si>
    <t>บจ.ทองทวี คอฟฟี่ช๊อป</t>
  </si>
  <si>
    <t>เสลภูมิ</t>
  </si>
  <si>
    <t>DD0377</t>
  </si>
  <si>
    <t>หจก.กาแฟสดโพนทอง</t>
  </si>
  <si>
    <t>โพนทอง</t>
  </si>
  <si>
    <t>DD0381</t>
  </si>
  <si>
    <t>บจ.พรประเสริฐกิจกุล</t>
  </si>
  <si>
    <t>ศรีสะเกษ</t>
  </si>
  <si>
    <t>กันทรารมย์</t>
  </si>
  <si>
    <t>DD0382</t>
  </si>
  <si>
    <t>หจก.บุญนภา 2017</t>
  </si>
  <si>
    <t>เมืองศรีสะเกษ</t>
  </si>
  <si>
    <t>DD0383</t>
  </si>
  <si>
    <t>หจก.สุพุฒิชา</t>
  </si>
  <si>
    <t>DD0385</t>
  </si>
  <si>
    <t>หจก.ไพโรจน์ศรีสะเกษบริการ</t>
  </si>
  <si>
    <t>DD0388</t>
  </si>
  <si>
    <t>DD0389</t>
  </si>
  <si>
    <t>หจก.พีอาร์ ฟู้ด แอนด์ ดริ๊งค์</t>
  </si>
  <si>
    <t>สกลนคร</t>
  </si>
  <si>
    <t>เมืองสกลนคร</t>
  </si>
  <si>
    <t>DD0390</t>
  </si>
  <si>
    <t>DD0392</t>
  </si>
  <si>
    <t>หจก.ธนชัยการช่างสกลนคร</t>
  </si>
  <si>
    <t>DD0396</t>
  </si>
  <si>
    <t>DD0400</t>
  </si>
  <si>
    <t>หจก.เดชอุดมโชคชัย</t>
  </si>
  <si>
    <t>สุรินทร์</t>
  </si>
  <si>
    <t>สังขะ</t>
  </si>
  <si>
    <t>DD0403</t>
  </si>
  <si>
    <t>หจก.เจริญไชย คอฟฟี่ช็อป</t>
  </si>
  <si>
    <t>เมืองสุรินทร์</t>
  </si>
  <si>
    <t>DD0405</t>
  </si>
  <si>
    <t>บจ.สุรินทร์ พาวเวอร์พอยท์</t>
  </si>
  <si>
    <t>DD0410</t>
  </si>
  <si>
    <t>บจ.คชาพรรณ</t>
  </si>
  <si>
    <t>อำนาจเจริญ</t>
  </si>
  <si>
    <t>เมืองอำนาจเจริญ</t>
  </si>
  <si>
    <t>DD0415</t>
  </si>
  <si>
    <t>หจก.เรืองนิรันดร์ธุรกิจ</t>
  </si>
  <si>
    <t>อุบลราชธานี</t>
  </si>
  <si>
    <t>เมืองอุบลราชธานี</t>
  </si>
  <si>
    <t>DD0416</t>
  </si>
  <si>
    <t>หจก.นพปฎลปิโตรเลียม</t>
  </si>
  <si>
    <t>ม่วงสามสิบ</t>
  </si>
  <si>
    <t>DD0417</t>
  </si>
  <si>
    <t>หจก.ส.สุมาลี เอ็นเนอจี้</t>
  </si>
  <si>
    <t>วารินชำราบ</t>
  </si>
  <si>
    <t>DD0422</t>
  </si>
  <si>
    <t>หจก.วานิช คอฟฟี่</t>
  </si>
  <si>
    <t>กระบี่</t>
  </si>
  <si>
    <t>อ่าวลึก</t>
  </si>
  <si>
    <t>DD0423</t>
  </si>
  <si>
    <t>หจก.ประตูเมือง คอฟฟี่</t>
  </si>
  <si>
    <t>ชุมพร</t>
  </si>
  <si>
    <t>เมืองชุมพร</t>
  </si>
  <si>
    <t>DD0425</t>
  </si>
  <si>
    <t>หจก.เค.ที.ทุ่งคาปิโตรเลียม</t>
  </si>
  <si>
    <t>DD0426</t>
  </si>
  <si>
    <t>หจก.ธนบดีเบฟเวอเรจ</t>
  </si>
  <si>
    <t>DD0429</t>
  </si>
  <si>
    <t>บจ.บุญวัฒน์วังไผ่ ปิโตรเลียม</t>
  </si>
  <si>
    <t>DD0431</t>
  </si>
  <si>
    <t>น.ส.นฤมล มหิสรากุล</t>
  </si>
  <si>
    <t>นครศรีธรรมราช</t>
  </si>
  <si>
    <t>ทุ่งสง</t>
  </si>
  <si>
    <t>DD0433</t>
  </si>
  <si>
    <t>หจก.ศรีเพชร คอฟฟี่เทอร์มินัล</t>
  </si>
  <si>
    <t>ร่อนพิบูลย์</t>
  </si>
  <si>
    <t>DD0434</t>
  </si>
  <si>
    <t>บจ.วี คอร์ปรีเทล</t>
  </si>
  <si>
    <t>DD0435</t>
  </si>
  <si>
    <t>นางสาววาสนา สืบพงศ์พันธ์</t>
  </si>
  <si>
    <t>DD0437</t>
  </si>
  <si>
    <t>หจก.ลาภทักษิณปิโตรเลียม</t>
  </si>
  <si>
    <t>DD0438</t>
  </si>
  <si>
    <t>หจก.เอ็น พี เค คอฟฟี่</t>
  </si>
  <si>
    <t>DD0442</t>
  </si>
  <si>
    <t>หจก.โพธิ์ทองควนขนุน คอฟฟี</t>
  </si>
  <si>
    <t>พัทลุง</t>
  </si>
  <si>
    <t>ควนขนุน</t>
  </si>
  <si>
    <t>DD0447</t>
  </si>
  <si>
    <t>หจก.ทีพีบี พร็อพเพอร์ตี้</t>
  </si>
  <si>
    <t>รัตภูมิ</t>
  </si>
  <si>
    <t>DD0448</t>
  </si>
  <si>
    <t>บจ.ก.กิจปิโตรเลียม</t>
  </si>
  <si>
    <t>DD0451</t>
  </si>
  <si>
    <t>บจ.ปัญจวุฒิ</t>
  </si>
  <si>
    <t>เมืองสุราษฎร์ธานี</t>
  </si>
  <si>
    <t>DD0453</t>
  </si>
  <si>
    <t>บจ.ทักษิณออยล์</t>
  </si>
  <si>
    <t>ท่าฉาง</t>
  </si>
  <si>
    <t>DD0456</t>
  </si>
  <si>
    <t>บจ.สยามพลัส ปิโตรเลียม</t>
  </si>
  <si>
    <t>บ้านนาเดิม</t>
  </si>
  <si>
    <t>DD0502</t>
  </si>
  <si>
    <t>บจ.แม่กรณ์ปิโตรเลียม</t>
  </si>
  <si>
    <t>DD0505</t>
  </si>
  <si>
    <t>หจก.พณิชพล เพิ่มพูน 2011</t>
  </si>
  <si>
    <t>DD0506</t>
  </si>
  <si>
    <t>บจ.หลานยาย</t>
  </si>
  <si>
    <t>DD0508</t>
  </si>
  <si>
    <t>หสน.เชษฐชัยปิโตรเลียม</t>
  </si>
  <si>
    <t>DD0509</t>
  </si>
  <si>
    <t>โนนดินแดง</t>
  </si>
  <si>
    <t>DD0516</t>
  </si>
  <si>
    <t>บจ.ศิวธนาคอฟฟี่</t>
  </si>
  <si>
    <t>DD0517</t>
  </si>
  <si>
    <t>หจก.รวมเพื่อน ๒๐๑๕</t>
  </si>
  <si>
    <t>DD0524</t>
  </si>
  <si>
    <t>หจก.รุ่งรัฐอเมซอน</t>
  </si>
  <si>
    <t>DD0525</t>
  </si>
  <si>
    <t>หจก.วีรชัยหล่มสักเซอร์วิส</t>
  </si>
  <si>
    <t>เพชรบูรณ์</t>
  </si>
  <si>
    <t>เมืองเพชรบูรณ์</t>
  </si>
  <si>
    <t>DD0527</t>
  </si>
  <si>
    <t>บจ.ชัยภูมิศรีสมวงศ์</t>
  </si>
  <si>
    <t>DD0528</t>
  </si>
  <si>
    <t>DD0531</t>
  </si>
  <si>
    <t>หจก.โคราชกว้างไพศาล</t>
  </si>
  <si>
    <t>DD0533</t>
  </si>
  <si>
    <t>บจ.พี.เอส.วาย.ขอนแก่น</t>
  </si>
  <si>
    <t>DD0549</t>
  </si>
  <si>
    <t>บจ.ศิริสมบูรณ์ ออลล์</t>
  </si>
  <si>
    <t>คลองหลวง</t>
  </si>
  <si>
    <t>DD0551</t>
  </si>
  <si>
    <t>หจก.รังสิต คาเฟ่</t>
  </si>
  <si>
    <t>DD0556</t>
  </si>
  <si>
    <t>หจก.เอสดี เบฟเวอเรจ</t>
  </si>
  <si>
    <t>ท่าแซะ</t>
  </si>
  <si>
    <t>DD0557</t>
  </si>
  <si>
    <t>หจก.หัวไทรปิโตรเลียม</t>
  </si>
  <si>
    <t>หัวไทร</t>
  </si>
  <si>
    <t>DD0559</t>
  </si>
  <si>
    <t>บจ.ฟูแสงเซอร์วิส 2008</t>
  </si>
  <si>
    <t>เมืองพะเยา</t>
  </si>
  <si>
    <t>DD0560</t>
  </si>
  <si>
    <t>บจ.ศิริทรัพย์กิจ</t>
  </si>
  <si>
    <t>DD0563</t>
  </si>
  <si>
    <t>หจก.ธนรัตนทรัพย์</t>
  </si>
  <si>
    <t>แม่ลาว</t>
  </si>
  <si>
    <t>DD0564</t>
  </si>
  <si>
    <t>บจ.เอ ปิโตรเลียม</t>
  </si>
  <si>
    <t>DD0566</t>
  </si>
  <si>
    <t>พัฒนานิคม</t>
  </si>
  <si>
    <t>DD0569</t>
  </si>
  <si>
    <t>บจ.ธนพล คอฟฟี่</t>
  </si>
  <si>
    <t>DD0577</t>
  </si>
  <si>
    <t>บจ.กิมชุนออยล์</t>
  </si>
  <si>
    <t>DD0578</t>
  </si>
  <si>
    <t>บจ.กิมชุนปิโตรเลียม กลางเมือง</t>
  </si>
  <si>
    <t>DD0580</t>
  </si>
  <si>
    <t>บจ.แก้มป่อง ฟู้ด แอนด์ เบฟเวอเรจ</t>
  </si>
  <si>
    <t>เก้าเลี้ยว</t>
  </si>
  <si>
    <t>DD0581</t>
  </si>
  <si>
    <t>บจ.ช่างพินิจ เบเวอเรจ</t>
  </si>
  <si>
    <t>บางระกำ</t>
  </si>
  <si>
    <t>DD0584</t>
  </si>
  <si>
    <t>บจ.ซี.เค. รีเทล</t>
  </si>
  <si>
    <t>ฉะเชิงเทรา</t>
  </si>
  <si>
    <t>พนมสารคาม</t>
  </si>
  <si>
    <t>DD0587</t>
  </si>
  <si>
    <t>ตลิ่งชัน</t>
  </si>
  <si>
    <t>DD0589</t>
  </si>
  <si>
    <t>หจก.ทองมีคอฟฟี่</t>
  </si>
  <si>
    <t>DD0590</t>
  </si>
  <si>
    <t>บจ.บ้านเขาหินกาแฟ</t>
  </si>
  <si>
    <t>DD0592</t>
  </si>
  <si>
    <t>DD0592 บจก. หลังสวนปิยะแก๊ส สาขา00006</t>
  </si>
  <si>
    <t>หลังสวน</t>
  </si>
  <si>
    <t>DD0596</t>
  </si>
  <si>
    <t>บจ.เพชรบุรีล้ำยุค</t>
  </si>
  <si>
    <t>เขาย้อย</t>
  </si>
  <si>
    <t>DD0598</t>
  </si>
  <si>
    <t>หจก.มานะชัยรุ่งเรือง กาแฟ</t>
  </si>
  <si>
    <t>กระทุ่มแบน</t>
  </si>
  <si>
    <t>DD0606</t>
  </si>
  <si>
    <t>บจ.พรณัฐพงษ์นวพลปิโตรเลียม</t>
  </si>
  <si>
    <t>เดชอุดม</t>
  </si>
  <si>
    <t>DD0607</t>
  </si>
  <si>
    <t>บจ.สุรินทร์ เอส.พี.เอส.ปิโตรเลียม</t>
  </si>
  <si>
    <t>DD0608</t>
  </si>
  <si>
    <t>หจก.ยิ่งทวีเบฟเวอเรจ</t>
  </si>
  <si>
    <t>คลองท่อม</t>
  </si>
  <si>
    <t>DD0611</t>
  </si>
  <si>
    <t>บจ.ท่าเรือ ปิโตรเลียม</t>
  </si>
  <si>
    <t>ท่าเรือ</t>
  </si>
  <si>
    <t>DD0614</t>
  </si>
  <si>
    <t>หจก.ป.อุบลทวีทรัพย์</t>
  </si>
  <si>
    <t>DD0616</t>
  </si>
  <si>
    <t>บจ.พนมบริการคาเฟ่</t>
  </si>
  <si>
    <t>DD0617</t>
  </si>
  <si>
    <t>หจก.คำเขื่อนแก้วปิโตรเลียม</t>
  </si>
  <si>
    <t>คำเขื่อนแก้ว</t>
  </si>
  <si>
    <t>DD0618</t>
  </si>
  <si>
    <t>หจก.618 รีเทล</t>
  </si>
  <si>
    <t>DD0621</t>
  </si>
  <si>
    <t>บจ.เจ เจ ปิโตรเลียม</t>
  </si>
  <si>
    <t>ท่าตูม</t>
  </si>
  <si>
    <t>DD0622</t>
  </si>
  <si>
    <t>หจก.บีเอส2017</t>
  </si>
  <si>
    <t>DD0623</t>
  </si>
  <si>
    <t>DD0624</t>
  </si>
  <si>
    <t>หจก.หนองกุงศรีปิโตรเลี่ยม</t>
  </si>
  <si>
    <t>กาฬสินธุ์</t>
  </si>
  <si>
    <t>หนองกุงศรี</t>
  </si>
  <si>
    <t>DD0628</t>
  </si>
  <si>
    <t>บจ.เอ็น แอนด์ เอ ปิโตรเลี่ยม</t>
  </si>
  <si>
    <t>กาญจนดิษฐ์</t>
  </si>
  <si>
    <t>DD0633</t>
  </si>
  <si>
    <t>บจ.น้ำมันตักสิลา กรุ๊ป</t>
  </si>
  <si>
    <t>DD0637</t>
  </si>
  <si>
    <t>บจ.ภาคเหนือชัยวัฒนา</t>
  </si>
  <si>
    <t>ห้างฉัตร</t>
  </si>
  <si>
    <t>DD0638</t>
  </si>
  <si>
    <t>หจก.จันทร์ประสิทธิ์ คอฟฟี่</t>
  </si>
  <si>
    <t>เฉลิมพระเกียรติ</t>
  </si>
  <si>
    <t>DD0641</t>
  </si>
  <si>
    <t>หจก.เสนารัตน์(2018)</t>
  </si>
  <si>
    <t>อุดรธานี</t>
  </si>
  <si>
    <t>หนองหาน</t>
  </si>
  <si>
    <t>DD0643</t>
  </si>
  <si>
    <t>บจ.ปราจีนกรีนเอิร์ธ</t>
  </si>
  <si>
    <t>นาดี</t>
  </si>
  <si>
    <t>DD0646</t>
  </si>
  <si>
    <t>หจก.โชคสว่างบริการ</t>
  </si>
  <si>
    <t>สว่างแดนดิน</t>
  </si>
  <si>
    <t>DD0647</t>
  </si>
  <si>
    <t>หจก.สว่างวัฒนะ คอฟฟี่</t>
  </si>
  <si>
    <t>สองพี่น้อง</t>
  </si>
  <si>
    <t>DD0648</t>
  </si>
  <si>
    <t>บจ.ธนะมินทร์</t>
  </si>
  <si>
    <t>บ้านบึง</t>
  </si>
  <si>
    <t>DD0649</t>
  </si>
  <si>
    <t>บจ.บัณณาจักร์</t>
  </si>
  <si>
    <t>นิคมพัฒนา</t>
  </si>
  <si>
    <t>DD0651</t>
  </si>
  <si>
    <t>หจก.เอ.เค.เอส.เบฟเวอร์เรจ</t>
  </si>
  <si>
    <t>DD0657</t>
  </si>
  <si>
    <t>บจ.เอ็นริช รีเวนิว</t>
  </si>
  <si>
    <t>DD0660</t>
  </si>
  <si>
    <t>หจก.สมานจิตร กรุ๊ป</t>
  </si>
  <si>
    <t>DD0661</t>
  </si>
  <si>
    <t>หจก.นาทวีออยล์</t>
  </si>
  <si>
    <t>นาทวี</t>
  </si>
  <si>
    <t>DD0662</t>
  </si>
  <si>
    <t>บจ.เอ็กซ์เพิร์ท รีเทล</t>
  </si>
  <si>
    <t>บึงกุ่ม</t>
  </si>
  <si>
    <t>DD0665</t>
  </si>
  <si>
    <t>DD0665 หจก.สดศรีเบฟเวอเรจ</t>
  </si>
  <si>
    <t>เชียรใหญ่</t>
  </si>
  <si>
    <t>DD0666</t>
  </si>
  <si>
    <t>แม่จัน</t>
  </si>
  <si>
    <t>DD0668</t>
  </si>
  <si>
    <t>หจก.ผู้ใหญ่เกษมเจริญธุรกิจ</t>
  </si>
  <si>
    <t>DD0669</t>
  </si>
  <si>
    <t>บจ.จิตต์ชัยการปิโตรเลียม</t>
  </si>
  <si>
    <t>DD0671</t>
  </si>
  <si>
    <t>บจ.ส.สมบูรณ์ทรัพย์ปิโตรเลียม</t>
  </si>
  <si>
    <t>กุยบุรี</t>
  </si>
  <si>
    <t>DD0675</t>
  </si>
  <si>
    <t>บจ.ดื่มสบาย</t>
  </si>
  <si>
    <t>ประเวศ</t>
  </si>
  <si>
    <t>DD0676</t>
  </si>
  <si>
    <t>บจ.พี.เอส.วาย.ปิโตรเลียม</t>
  </si>
  <si>
    <t>DD0678</t>
  </si>
  <si>
    <t>หจก.อุทุมพรคอฟฟี่</t>
  </si>
  <si>
    <t>อุทุมพรพิสัย</t>
  </si>
  <si>
    <t>DD0679</t>
  </si>
  <si>
    <t>DD0679 หจก. แอลอีเค คาแฟ 2020</t>
  </si>
  <si>
    <t>ปากท่อ</t>
  </si>
  <si>
    <t>DD0684</t>
  </si>
  <si>
    <t>หจก.กาแฟ มิตรภาพ</t>
  </si>
  <si>
    <t>DD0685</t>
  </si>
  <si>
    <t>หสน.ทวีพรบริการ อ.พรหมบุรี</t>
  </si>
  <si>
    <t>DD0688</t>
  </si>
  <si>
    <t>หจก.จอมพระปิโตรเลียม</t>
  </si>
  <si>
    <t>จอมพระ</t>
  </si>
  <si>
    <t>DD0689</t>
  </si>
  <si>
    <t>หจก.คลองหลวง คาเฟ่</t>
  </si>
  <si>
    <t>DD0690</t>
  </si>
  <si>
    <t>หจก.ชัย พรหมบุรี ปิโตรเลียม</t>
  </si>
  <si>
    <t>พรหมบุรี</t>
  </si>
  <si>
    <t>DD0697</t>
  </si>
  <si>
    <t>หจก.ป.จึงสง่าบริการ</t>
  </si>
  <si>
    <t>DD0698</t>
  </si>
  <si>
    <t>บจ.หลักเมืองถาวรเอ็นจีวี</t>
  </si>
  <si>
    <t>DD0701</t>
  </si>
  <si>
    <t>หจก.สามปอ คาเฟ่</t>
  </si>
  <si>
    <t>DD0702</t>
  </si>
  <si>
    <t>หจก.เมืองนางปิโตรเลียม</t>
  </si>
  <si>
    <t>หนองบัวลำภู</t>
  </si>
  <si>
    <t>เมืองหนองบัวลำภู</t>
  </si>
  <si>
    <t>DD0705</t>
  </si>
  <si>
    <t>หจก.บอสโอเบลล์</t>
  </si>
  <si>
    <t>กมลาไสย</t>
  </si>
  <si>
    <t>DD0706</t>
  </si>
  <si>
    <t>หจก.ม่วงจอมคอฟฟี่</t>
  </si>
  <si>
    <t>วังทอง</t>
  </si>
  <si>
    <t>DD0708</t>
  </si>
  <si>
    <t>บจ.เค ซี ยโสธร</t>
  </si>
  <si>
    <t>DD0710</t>
  </si>
  <si>
    <t>บจ.โอเคปากช่อง</t>
  </si>
  <si>
    <t>DD0715</t>
  </si>
  <si>
    <t>หจก.ปกฉัตรแก่นนคร</t>
  </si>
  <si>
    <t>DD0716</t>
  </si>
  <si>
    <t>หจก.ร่ำรวย รีเทลลิ่ง</t>
  </si>
  <si>
    <t>เดิมบางนางบวช</t>
  </si>
  <si>
    <t>DD0717</t>
  </si>
  <si>
    <t>บจ.แฝดสาม ศรีจอมทอง</t>
  </si>
  <si>
    <t>จอมทอง</t>
  </si>
  <si>
    <t>DD0722</t>
  </si>
  <si>
    <t>หจก.คอฟฟี่ ฟิล์ม</t>
  </si>
  <si>
    <t>ลำพูน</t>
  </si>
  <si>
    <t>เมืองลำพูน</t>
  </si>
  <si>
    <t>DD0724</t>
  </si>
  <si>
    <t>สอง</t>
  </si>
  <si>
    <t>DD0725</t>
  </si>
  <si>
    <t>บจ.อาร์.ซี.เค น้ำเพิ่ม</t>
  </si>
  <si>
    <t>DD0726</t>
  </si>
  <si>
    <t>หจก.ขอนแก่นไทยไทยวุฒิภัทร</t>
  </si>
  <si>
    <t>DD0727</t>
  </si>
  <si>
    <t>บจ.อร่อยกลมกล่อม</t>
  </si>
  <si>
    <t>DD0730</t>
  </si>
  <si>
    <t>บจ.เค.เจ.คาเฟ่</t>
  </si>
  <si>
    <t>บางเขน</t>
  </si>
  <si>
    <t>DD0737</t>
  </si>
  <si>
    <t>บจ.อุบล เกตเวย์</t>
  </si>
  <si>
    <t>DD0739</t>
  </si>
  <si>
    <t>บจ.สหพัฒนาปิโตรเลียม</t>
  </si>
  <si>
    <t>หล่มสัก</t>
  </si>
  <si>
    <t>DD0742</t>
  </si>
  <si>
    <t>บจ.พี.เค.สโตร์ ซัพพลาย</t>
  </si>
  <si>
    <t>DD0749</t>
  </si>
  <si>
    <t>หจก.รามัญโชคอุดม</t>
  </si>
  <si>
    <t>DD0752</t>
  </si>
  <si>
    <t>บจ.กวง ปิโตรเลียม</t>
  </si>
  <si>
    <t>แก้งคร้อ</t>
  </si>
  <si>
    <t>DD0755</t>
  </si>
  <si>
    <t>หจก.ศรีสมวงศ์เซอร์วิส(ชัยภูมิ-ตาดโต</t>
  </si>
  <si>
    <t>DD0765</t>
  </si>
  <si>
    <t>บจ.วาย-เอส-พี (1999)</t>
  </si>
  <si>
    <t>DD0766</t>
  </si>
  <si>
    <t>บจ.สระกระโจม ปิโตรเลียม</t>
  </si>
  <si>
    <t>ดอนเจดีย์</t>
  </si>
  <si>
    <t>DD0768</t>
  </si>
  <si>
    <t>บจ.เอ็นเอสที คอฟฟี่</t>
  </si>
  <si>
    <t>DD0770</t>
  </si>
  <si>
    <t>นายวีระ อัจฉราวรรณ</t>
  </si>
  <si>
    <t>DD0771</t>
  </si>
  <si>
    <t>หจก.ภรณ์บุณฑรีก์</t>
  </si>
  <si>
    <t>DD0772</t>
  </si>
  <si>
    <t>DD0773</t>
  </si>
  <si>
    <t>บจ.ทรายทองเซอร์วิส (2011)</t>
  </si>
  <si>
    <t>บ้านโพธิ์</t>
  </si>
  <si>
    <t>DD0776</t>
  </si>
  <si>
    <t>บจ.แซ คาเฟ่ แอนด์ เบเกอรี่</t>
  </si>
  <si>
    <t>ดอนตูม</t>
  </si>
  <si>
    <t>DD0778</t>
  </si>
  <si>
    <t>พระพรหม</t>
  </si>
  <si>
    <t>DD0779</t>
  </si>
  <si>
    <t>หจก.พยัคฆพงษ์</t>
  </si>
  <si>
    <t>กระนวน</t>
  </si>
  <si>
    <t>DD0784</t>
  </si>
  <si>
    <t>หจก.สิริภัสตรา</t>
  </si>
  <si>
    <t>ลานสกา</t>
  </si>
  <si>
    <t>DD0789</t>
  </si>
  <si>
    <t>บจ.ดุสิตเบฟเวอเรจ</t>
  </si>
  <si>
    <t>เหนือคลอง</t>
  </si>
  <si>
    <t>DD0795</t>
  </si>
  <si>
    <t>DD0801</t>
  </si>
  <si>
    <t>บจ.เจ เค (2011)</t>
  </si>
  <si>
    <t>เลย</t>
  </si>
  <si>
    <t>เมืองเลย</t>
  </si>
  <si>
    <t>DD0804</t>
  </si>
  <si>
    <t>หจก.คอฟฟี่ สเตชั่น</t>
  </si>
  <si>
    <t>DD0819</t>
  </si>
  <si>
    <t>หจก.ลานทอง มุกดาหาร</t>
  </si>
  <si>
    <t>DD0821</t>
  </si>
  <si>
    <t>บจ.โรบัสโต</t>
  </si>
  <si>
    <t>DD0823</t>
  </si>
  <si>
    <t>บจ.อัครเศรษฐิ์ ปิโตรเลียม</t>
  </si>
  <si>
    <t>ประจันตคาม</t>
  </si>
  <si>
    <t>DD0831</t>
  </si>
  <si>
    <t>หจก.สุรชา คอฟฟี่</t>
  </si>
  <si>
    <t>บางบัวทอง</t>
  </si>
  <si>
    <t>DD0835</t>
  </si>
  <si>
    <t>หจก.ทวีหิรัญโรจน์ คอฟฟี่ช็อป</t>
  </si>
  <si>
    <t>DD0840</t>
  </si>
  <si>
    <t>หจก.จั่วเซ้ง เอนเนอร์จี สเตชัน</t>
  </si>
  <si>
    <t>DD0847</t>
  </si>
  <si>
    <t>หจก.ศรีบุญเรืองบริการ ปิโตรเลียม</t>
  </si>
  <si>
    <t>DD0848</t>
  </si>
  <si>
    <t>หจก.แฮปปี้ปิโตรเลียม</t>
  </si>
  <si>
    <t>บุณฑริก</t>
  </si>
  <si>
    <t>DD0856</t>
  </si>
  <si>
    <t>บจ.นิภาปิโตรเลียม</t>
  </si>
  <si>
    <t>DD0857</t>
  </si>
  <si>
    <t>DD0857 หจก. ทเวนตี้ คอฟฟี่</t>
  </si>
  <si>
    <t>DD0860</t>
  </si>
  <si>
    <t>หจก.ซี ซี เค เอส เค</t>
  </si>
  <si>
    <t>เมืองนครศรีธรรมราช</t>
  </si>
  <si>
    <t>DD0862</t>
  </si>
  <si>
    <t>บจ.สิริพิชชา</t>
  </si>
  <si>
    <t>DD0867</t>
  </si>
  <si>
    <t>บจ.นำประจวบ</t>
  </si>
  <si>
    <t>DD0875</t>
  </si>
  <si>
    <t>บจ.ทรัพย์ทวี 2556</t>
  </si>
  <si>
    <t>อุทัยธานี</t>
  </si>
  <si>
    <t>เมืองอุทัยธานี</t>
  </si>
  <si>
    <t>DD0894</t>
  </si>
  <si>
    <t>บจ.บลู สโตน คาเฟ่</t>
  </si>
  <si>
    <t>DD0895</t>
  </si>
  <si>
    <t>บจ.พีระพงศ์ ปิโตรเลียม</t>
  </si>
  <si>
    <t>เมืองพระนครศรีอยุธยา</t>
  </si>
  <si>
    <t>DD0897</t>
  </si>
  <si>
    <t>บจ.เอสพีพี คาเฟ่</t>
  </si>
  <si>
    <t>DD0923</t>
  </si>
  <si>
    <t>หจก.ถาวรอิ่มสุข</t>
  </si>
  <si>
    <t>เมืองฉะเชิงเทรา</t>
  </si>
  <si>
    <t>DD0944</t>
  </si>
  <si>
    <t>หจก.ทรัพย์สมพิศ ทริปเปิ้ล ที คอฟฟี่</t>
  </si>
  <si>
    <t>สัตหีบ</t>
  </si>
  <si>
    <t>DD0945</t>
  </si>
  <si>
    <t>บจ.เพ็ชรประคอง</t>
  </si>
  <si>
    <t>ภาษีเจริญ</t>
  </si>
  <si>
    <t>DD0946</t>
  </si>
  <si>
    <t>หจก.สองเอกเซอร์วิส 1995</t>
  </si>
  <si>
    <t>จตุรพักตรพิมาน</t>
  </si>
  <si>
    <t>DD0953</t>
  </si>
  <si>
    <t>บจ.เบสท์ เอ็นจีวี</t>
  </si>
  <si>
    <t>DD0956</t>
  </si>
  <si>
    <t>บจ.ซีเคไฟว์ เทรดดิ้ง</t>
  </si>
  <si>
    <t>DD0957</t>
  </si>
  <si>
    <t>สหกรณ์การเกษตรกระทุ่มแบน จำกัด</t>
  </si>
  <si>
    <t>DD0965</t>
  </si>
  <si>
    <t>บจ.หลังสวนปิยะแก๊ส</t>
  </si>
  <si>
    <t>DD0967</t>
  </si>
  <si>
    <t>บจ.เวิลด์ คอฟฟี่</t>
  </si>
  <si>
    <t>DD0970</t>
  </si>
  <si>
    <t>DD0972</t>
  </si>
  <si>
    <t>หจก.ราชวีระกิจ</t>
  </si>
  <si>
    <t>DD0974</t>
  </si>
  <si>
    <t>บจ.พี.เอส.วาย. โนนหัน</t>
  </si>
  <si>
    <t>DD0982</t>
  </si>
  <si>
    <t>หจก.เด่นห้าปิโตรเลี่ยม</t>
  </si>
  <si>
    <t>DD0985</t>
  </si>
  <si>
    <t>หจก.พรมารีอา</t>
  </si>
  <si>
    <t>DD0986</t>
  </si>
  <si>
    <t>หจก.กบินทร์บุรี คอฟฟี่</t>
  </si>
  <si>
    <t>กบินทร์บุรี</t>
  </si>
  <si>
    <t>DD0987</t>
  </si>
  <si>
    <t>หจก.สื่อบายพาส คอฟฟี่</t>
  </si>
  <si>
    <t>DD0992</t>
  </si>
  <si>
    <t>บจ.พรณัฐพงษ์นวพลน้ำยืน</t>
  </si>
  <si>
    <t>น้ำยืน</t>
  </si>
  <si>
    <t>DD0993</t>
  </si>
  <si>
    <t>บจ.ร่ำรวยคอฟ</t>
  </si>
  <si>
    <t>บางกรวย</t>
  </si>
  <si>
    <t>DD0994</t>
  </si>
  <si>
    <t>บจ.จิยางกูรวาณิชย์</t>
  </si>
  <si>
    <t>ท่าชนะ</t>
  </si>
  <si>
    <t>DD1008</t>
  </si>
  <si>
    <t>บจ.สยามกาแฟไทย</t>
  </si>
  <si>
    <t>DD1014</t>
  </si>
  <si>
    <t>หจก.เทพประทานพรเอ็นเนอร์จี</t>
  </si>
  <si>
    <t>DD1022</t>
  </si>
  <si>
    <t>หจก.สิริวัฒนา สุพรรณ</t>
  </si>
  <si>
    <t>DD1023</t>
  </si>
  <si>
    <t>บจ.พูนพงษ์โรจนา</t>
  </si>
  <si>
    <t>DD1025</t>
  </si>
  <si>
    <t>หจก.ตาต้า กาแฟสด</t>
  </si>
  <si>
    <t>DD1030</t>
  </si>
  <si>
    <t>หจก.มีดี ปิโตรเลียม</t>
  </si>
  <si>
    <t>กันทรลักษ์</t>
  </si>
  <si>
    <t>DD1031</t>
  </si>
  <si>
    <t>DD1031 คุณ ปภังกร อินทร์พรหม</t>
  </si>
  <si>
    <t>พังงา</t>
  </si>
  <si>
    <t>ท้ายเหมือง</t>
  </si>
  <si>
    <t>DD1033</t>
  </si>
  <si>
    <t>หจก.ธนันท์ตา คอฟฟี่ช็อป</t>
  </si>
  <si>
    <t>DD1034</t>
  </si>
  <si>
    <t>บจ.พิษณุโลกพลังงาน เบฟเวอเรจ</t>
  </si>
  <si>
    <t>DD1044</t>
  </si>
  <si>
    <t>บจ.เฮงคอฟฟี่ 2013</t>
  </si>
  <si>
    <t>ท่ายาง</t>
  </si>
  <si>
    <t>DD1073</t>
  </si>
  <si>
    <t>DD1073 หจก. อุดมทรัพย์ คอฟฟี่</t>
  </si>
  <si>
    <t>DD1074</t>
  </si>
  <si>
    <t>หจก.ไทยเจริญ คอฟฟี่ เฮ้าส์</t>
  </si>
  <si>
    <t>DD1075</t>
  </si>
  <si>
    <t>หจก.สร้างค้อบริการ</t>
  </si>
  <si>
    <t>ภูพาน</t>
  </si>
  <si>
    <t>DD1091</t>
  </si>
  <si>
    <t>บจ.สลกบาตรกาแฟ 2562</t>
  </si>
  <si>
    <t>DD1092</t>
  </si>
  <si>
    <t>บจ.ดุสิตา 2014</t>
  </si>
  <si>
    <t>DD1096</t>
  </si>
  <si>
    <t>หจก.เชียงราก คาเฟ่</t>
  </si>
  <si>
    <t>DD1103</t>
  </si>
  <si>
    <t>บจ.สวีปิยะแก๊ส</t>
  </si>
  <si>
    <t>ระนอง</t>
  </si>
  <si>
    <t>กระบุรี</t>
  </si>
  <si>
    <t>DD1104</t>
  </si>
  <si>
    <t>หจก.ธนเพิ่มพูนเบฟเวอเรจ</t>
  </si>
  <si>
    <t>DD1112</t>
  </si>
  <si>
    <t>บจ.ภรธนาคม</t>
  </si>
  <si>
    <t>DD1127</t>
  </si>
  <si>
    <t>บจ.เจริญกิจภัณฑ์ ธุรกิจ</t>
  </si>
  <si>
    <t>DD1131</t>
  </si>
  <si>
    <t>บจ.ขุนพลปิโตรเลียม</t>
  </si>
  <si>
    <t>กุมภวาปี</t>
  </si>
  <si>
    <t>DD1136</t>
  </si>
  <si>
    <t>หจก.สิริวัฒนา เอเอ็มแซด</t>
  </si>
  <si>
    <t>DD1143</t>
  </si>
  <si>
    <t>หจก.ไทรน้อย คอฟฟี่</t>
  </si>
  <si>
    <t>DD1145</t>
  </si>
  <si>
    <t>บจ.สุขุมคิทเช่นแม่แตง</t>
  </si>
  <si>
    <t>แม่แตง</t>
  </si>
  <si>
    <t>DD1154</t>
  </si>
  <si>
    <t>หจก.ทรัพย์วรงค์</t>
  </si>
  <si>
    <t>บ่อพลอย</t>
  </si>
  <si>
    <t>DD1161</t>
  </si>
  <si>
    <t>บจ.โปรเทคโนโลยี่</t>
  </si>
  <si>
    <t>ปากเกร็ด</t>
  </si>
  <si>
    <t>DD1174</t>
  </si>
  <si>
    <t>บจ.อ.พรชัยวัฒน์</t>
  </si>
  <si>
    <t>วิเศษชัยชาญ</t>
  </si>
  <si>
    <t>DD1176</t>
  </si>
  <si>
    <t>หจก.เพชรน้ำแพร่เอ็นเนอร์จี</t>
  </si>
  <si>
    <t>หางดง</t>
  </si>
  <si>
    <t>DD1177</t>
  </si>
  <si>
    <t>บจ.ฟูล ฟูเอิล พลัส เค.กรุ๊ป</t>
  </si>
  <si>
    <t>DD1178</t>
  </si>
  <si>
    <t>บจ.พันธ์เจริญกรุ๊ป</t>
  </si>
  <si>
    <t>DD1179</t>
  </si>
  <si>
    <t>DD1181</t>
  </si>
  <si>
    <t>บจ.หลักเมืองถาวรปิโตรเลียม</t>
  </si>
  <si>
    <t>DD1186</t>
  </si>
  <si>
    <t>หจก.ลานทอง คำอาฮวน</t>
  </si>
  <si>
    <t>DD1192</t>
  </si>
  <si>
    <t>หจก.คอฟฟี่เฮ้าส์ 81</t>
  </si>
  <si>
    <t>บางกล่ำ</t>
  </si>
  <si>
    <t>DD1194</t>
  </si>
  <si>
    <t>บจ.พีพี คอฟฟี่ เฮาส์</t>
  </si>
  <si>
    <t>เสนา</t>
  </si>
  <si>
    <t>DD1195</t>
  </si>
  <si>
    <t>บจ.ที จอยท์ บิสซิเนส</t>
  </si>
  <si>
    <t>แกลง</t>
  </si>
  <si>
    <t>DD1203</t>
  </si>
  <si>
    <t>หจก.มิตรศิลป์บริการ</t>
  </si>
  <si>
    <t>เขาค้อ</t>
  </si>
  <si>
    <t>DD1204</t>
  </si>
  <si>
    <t>หจก.เมืองราช คอฟฟี่ พลัส</t>
  </si>
  <si>
    <t>DD1206</t>
  </si>
  <si>
    <t>DD1206 บจ สามเงาพัฒนา</t>
  </si>
  <si>
    <t>ตาก</t>
  </si>
  <si>
    <t>สามเงา</t>
  </si>
  <si>
    <t>DD1209</t>
  </si>
  <si>
    <t>หจก.พีอาร์ ปิโตรเลียม</t>
  </si>
  <si>
    <t>DD1211</t>
  </si>
  <si>
    <t>หจก.เยื่อบริการปากน้ำโพ</t>
  </si>
  <si>
    <t>DD1216</t>
  </si>
  <si>
    <t>บจ.เค แอนด์ เค คอฟฟี่</t>
  </si>
  <si>
    <t>DD1218</t>
  </si>
  <si>
    <t>บจ.ธ.สิรินันท์</t>
  </si>
  <si>
    <t>DD1220</t>
  </si>
  <si>
    <t>บจ.รุ่งเรือง แลนด์ แอนด์ แอสเสท</t>
  </si>
  <si>
    <t>หนองบัวแดง</t>
  </si>
  <si>
    <t>DD1228</t>
  </si>
  <si>
    <t>บจ.พี.เอส.วาย.ท่าพระ</t>
  </si>
  <si>
    <t>DD1233</t>
  </si>
  <si>
    <t>บจ.วี ที กรุ๊ป (2013)</t>
  </si>
  <si>
    <t>พระพุทธบาท</t>
  </si>
  <si>
    <t>DD1237</t>
  </si>
  <si>
    <t>บจ.เจริญพงศ์ เพิ่มทรัพย์</t>
  </si>
  <si>
    <t>DD1238</t>
  </si>
  <si>
    <t>หจก.888 มงคลพาณิชย์</t>
  </si>
  <si>
    <t>DD1245</t>
  </si>
  <si>
    <t>บจ.พี.เอ็ม.ซี. ปิโตรเลียม</t>
  </si>
  <si>
    <t>บ้านนาสาร</t>
  </si>
  <si>
    <t>DD1248</t>
  </si>
  <si>
    <t>บจ.สุขุมคิทเช่นมหายศ</t>
  </si>
  <si>
    <t>น่าน</t>
  </si>
  <si>
    <t>เมืองน่าน</t>
  </si>
  <si>
    <t>DD1250</t>
  </si>
  <si>
    <t>บจ.สหพัฒนา ออยล์</t>
  </si>
  <si>
    <t>DD1253</t>
  </si>
  <si>
    <t>หจก.ยศวิจิตร</t>
  </si>
  <si>
    <t>เวียงสระ</t>
  </si>
  <si>
    <t>DD1264</t>
  </si>
  <si>
    <t>หจก.ยู.ที.คอฟฟี่</t>
  </si>
  <si>
    <t>DD1269</t>
  </si>
  <si>
    <t>หจก.กิจเสรี เบฟเวอเรจ</t>
  </si>
  <si>
    <t>DD1271</t>
  </si>
  <si>
    <t>บจ.บุญปวิชปิโตรเลียม</t>
  </si>
  <si>
    <t>DD1272</t>
  </si>
  <si>
    <t>หจก.ศรีสมวงศ์เซอร์วิส(บ้านลาดใหญ่)</t>
  </si>
  <si>
    <t>DD1275</t>
  </si>
  <si>
    <t>หจก.เอนเดียร์ริ่ง</t>
  </si>
  <si>
    <t>DD1276</t>
  </si>
  <si>
    <t>บจ.ทรี ที คาเฟ่</t>
  </si>
  <si>
    <t>บางขุนเทียน</t>
  </si>
  <si>
    <t>DD1290</t>
  </si>
  <si>
    <t>หจก.สุทวีปิโตรเลียม</t>
  </si>
  <si>
    <t>เชียงคำ</t>
  </si>
  <si>
    <t>DD1294</t>
  </si>
  <si>
    <t>หจก.วงษ์ไอริณ คอฟฟี่</t>
  </si>
  <si>
    <t>ไทรโยค</t>
  </si>
  <si>
    <t>DD1295</t>
  </si>
  <si>
    <t>หจก.มานะชัยมั่นคง กาแฟ</t>
  </si>
  <si>
    <t>DD1297</t>
  </si>
  <si>
    <t>หจก.ทัสสึ ทู บี ริช</t>
  </si>
  <si>
    <t>DD1301</t>
  </si>
  <si>
    <t>ภูกระดึง</t>
  </si>
  <si>
    <t>DD1302</t>
  </si>
  <si>
    <t>DD1303</t>
  </si>
  <si>
    <t>บจ.บุญสมทบ</t>
  </si>
  <si>
    <t>DD1308</t>
  </si>
  <si>
    <t>DD1309</t>
  </si>
  <si>
    <t>บจ.ชนันภัส คอฟฟี่</t>
  </si>
  <si>
    <t>DD1311</t>
  </si>
  <si>
    <t>หจก.เอสที คอฟฟี่แอนด์ฟู้ด</t>
  </si>
  <si>
    <t>DD1312</t>
  </si>
  <si>
    <t>บจ.พี เอ เอ็ม เอนเนอร์จี</t>
  </si>
  <si>
    <t>DD1315</t>
  </si>
  <si>
    <t>DD1315 ร้าน อเมซอนสมนันท์</t>
  </si>
  <si>
    <t>เมืองกาญจนบุรี</t>
  </si>
  <si>
    <t>DD1319</t>
  </si>
  <si>
    <t>บจ.เค.เอ็น.ปิโตรเลียม</t>
  </si>
  <si>
    <t>ประทาย</t>
  </si>
  <si>
    <t>DD1325</t>
  </si>
  <si>
    <t>หจก.การ์ฟิลล์ แอนด์ มิว</t>
  </si>
  <si>
    <t>ท่าศาลา</t>
  </si>
  <si>
    <t>DD1326</t>
  </si>
  <si>
    <t>หจก.เลากาแฟ</t>
  </si>
  <si>
    <t>วัดเพลง</t>
  </si>
  <si>
    <t>DD1327</t>
  </si>
  <si>
    <t>บจ.นาหม่อมอานนท์</t>
  </si>
  <si>
    <t>นาหม่อม</t>
  </si>
  <si>
    <t>DD1335</t>
  </si>
  <si>
    <t>บจ.เลิศอนันต์ปิโตรเลียม</t>
  </si>
  <si>
    <t>บ้านนา</t>
  </si>
  <si>
    <t>DD1336</t>
  </si>
  <si>
    <t>บจ.เฉลิมชัยก๊าซ แอล พี จี</t>
  </si>
  <si>
    <t>DD1338</t>
  </si>
  <si>
    <t>หจก.ทูทวินส์ 2015</t>
  </si>
  <si>
    <t>ลำลูกกา</t>
  </si>
  <si>
    <t>DD1348</t>
  </si>
  <si>
    <t>บจ.แสงอารี คอร์เนอร์</t>
  </si>
  <si>
    <t>คลองสามวา</t>
  </si>
  <si>
    <t>DD1354</t>
  </si>
  <si>
    <t>หจก.โกโก้คอฟ</t>
  </si>
  <si>
    <t>DD1360</t>
  </si>
  <si>
    <t>บจ.เอฟจีเอ็น เอ็นเนอยี่</t>
  </si>
  <si>
    <t>DD1364</t>
  </si>
  <si>
    <t>บจ.ทรีเค ออยล์</t>
  </si>
  <si>
    <t>DD1371</t>
  </si>
  <si>
    <t>บจ.รัตนไพบูลย์ คอฟฟี่</t>
  </si>
  <si>
    <t>DD1372</t>
  </si>
  <si>
    <t>บจ.เพชรธนวรรณ</t>
  </si>
  <si>
    <t>DD1373</t>
  </si>
  <si>
    <t>หจก.ตั้งกวงคิมบริการ</t>
  </si>
  <si>
    <t>DD1374</t>
  </si>
  <si>
    <t>บจ.ทริปเปิ้ล พี กรุ๊ป (2015)</t>
  </si>
  <si>
    <t>DD1378</t>
  </si>
  <si>
    <t>หจก.ภูริชญา 2020 กรุ๊ป</t>
  </si>
  <si>
    <t>ท่าวุ้ง</t>
  </si>
  <si>
    <t>DD1379</t>
  </si>
  <si>
    <t>หจก.ทองเพชรการปิโตรเลียม</t>
  </si>
  <si>
    <t>ชะอวด</t>
  </si>
  <si>
    <t>DD1380</t>
  </si>
  <si>
    <t>หจก.โชติเพิ่มพูนทรัพย์ปิโตรเลียม</t>
  </si>
  <si>
    <t>น้ำปาด</t>
  </si>
  <si>
    <t>DD1382</t>
  </si>
  <si>
    <t>หจก.วัฒน์ธนชาติ</t>
  </si>
  <si>
    <t>พุทธมณฑล</t>
  </si>
  <si>
    <t>DD1389</t>
  </si>
  <si>
    <t>บจ.ศิรินคร(ทุ่งสง)</t>
  </si>
  <si>
    <t>DD1392</t>
  </si>
  <si>
    <t>DD1398</t>
  </si>
  <si>
    <t>บจ.เอ.ที.ปิโตรเลียม</t>
  </si>
  <si>
    <t>หนองใหญ่</t>
  </si>
  <si>
    <t>DD1401</t>
  </si>
  <si>
    <t>บจ.เค.พี.เอฟ.กรุ๊ป</t>
  </si>
  <si>
    <t>DD1403</t>
  </si>
  <si>
    <t>ห้างหุ้นส่วนจำกัด เติมพลัง</t>
  </si>
  <si>
    <t>DD1411</t>
  </si>
  <si>
    <t>DD1412</t>
  </si>
  <si>
    <t>บจ.มีโชคเพาเวอร์ พลัส</t>
  </si>
  <si>
    <t>DD1416</t>
  </si>
  <si>
    <t>ปะทิว</t>
  </si>
  <si>
    <t>DD1420</t>
  </si>
  <si>
    <t>บจ.ออยและออม</t>
  </si>
  <si>
    <t>DD1422</t>
  </si>
  <si>
    <t>หจก.กรวรินทร์</t>
  </si>
  <si>
    <t>DD1423</t>
  </si>
  <si>
    <t>หจก.ข้าวเจ้า</t>
  </si>
  <si>
    <t>DD1425</t>
  </si>
  <si>
    <t>หจก.เอกะชัย</t>
  </si>
  <si>
    <t>เด่นชัย</t>
  </si>
  <si>
    <t>DD1426</t>
  </si>
  <si>
    <t>บจ.เพชรนันธรัตน์</t>
  </si>
  <si>
    <t>DD1427</t>
  </si>
  <si>
    <t>พานทอง</t>
  </si>
  <si>
    <t>DD1428</t>
  </si>
  <si>
    <t>หจก.เอส.พี.ดับบลิว.ออยล์</t>
  </si>
  <si>
    <t>DD1434</t>
  </si>
  <si>
    <t>บจ.ส.สมบูรณ์ปิโตรเลียม</t>
  </si>
  <si>
    <t>DD1435</t>
  </si>
  <si>
    <t>หจก.วาสนาปิโตรเลียม</t>
  </si>
  <si>
    <t>DD1437</t>
  </si>
  <si>
    <t>หจก.ศรีสมวงศ์เซอร์วิส (กม.2)</t>
  </si>
  <si>
    <t>DD1438</t>
  </si>
  <si>
    <t>DD1444</t>
  </si>
  <si>
    <t>หจก.เหนือการค้า</t>
  </si>
  <si>
    <t>DD1449</t>
  </si>
  <si>
    <t>DD1451</t>
  </si>
  <si>
    <t>บจ.เอ็นที คอฟฟี่ พลัส</t>
  </si>
  <si>
    <t>ขามทะเลสอ</t>
  </si>
  <si>
    <t>DD1456</t>
  </si>
  <si>
    <t>หจก.เอ็นเคเค กรุ๊ป</t>
  </si>
  <si>
    <t>DD1457</t>
  </si>
  <si>
    <t>บจ.986 คาเฟ่</t>
  </si>
  <si>
    <t>DD1460</t>
  </si>
  <si>
    <t>DD1466</t>
  </si>
  <si>
    <t>บจ.วรศิระนัยกร</t>
  </si>
  <si>
    <t>DD1470</t>
  </si>
  <si>
    <t>บจ.ไพระพี</t>
  </si>
  <si>
    <t>หนองแขม</t>
  </si>
  <si>
    <t>DD1471</t>
  </si>
  <si>
    <t>บจ.เทพนภาปิโตรเลียม</t>
  </si>
  <si>
    <t>DD1474</t>
  </si>
  <si>
    <t>หจก.ลำปาง ซิตี้ออยล์</t>
  </si>
  <si>
    <t>สูงเม่น</t>
  </si>
  <si>
    <t>DD1476</t>
  </si>
  <si>
    <t>หจก.ธนบูรณ์ คอฟฟี่</t>
  </si>
  <si>
    <t>DD1482</t>
  </si>
  <si>
    <t>หจก.มอร์นิ่ง คาเฟ่</t>
  </si>
  <si>
    <t>DD1486</t>
  </si>
  <si>
    <t>บจ.เคซีเอฟ ปิโตร</t>
  </si>
  <si>
    <t>DD1488</t>
  </si>
  <si>
    <t>หจก.วนาการ</t>
  </si>
  <si>
    <t>DD1489</t>
  </si>
  <si>
    <t>หจก.ดีที่สุด คอฟฟี่</t>
  </si>
  <si>
    <t>ศรีเทพ</t>
  </si>
  <si>
    <t>DD1493</t>
  </si>
  <si>
    <t>บจ.อินทร์บุรี ปิโตรเลียม</t>
  </si>
  <si>
    <t>อินทร์บุรี</t>
  </si>
  <si>
    <t>DD1494</t>
  </si>
  <si>
    <t>หจก.โชคเกรียงไกร</t>
  </si>
  <si>
    <t>ตะกั่วป่า</t>
  </si>
  <si>
    <t>DD1502</t>
  </si>
  <si>
    <t>บจ.บีทีซี คาเฟ่</t>
  </si>
  <si>
    <t>DD1504</t>
  </si>
  <si>
    <t>DD1520</t>
  </si>
  <si>
    <t>บจ.สงวนพงษ์ ปิโตรเลียม</t>
  </si>
  <si>
    <t>โชคชัย</t>
  </si>
  <si>
    <t>DD1532</t>
  </si>
  <si>
    <t>บจ.ศรีเจริญภัณฑ์ ออยล์</t>
  </si>
  <si>
    <t>จตุจักร</t>
  </si>
  <si>
    <t>DD1538</t>
  </si>
  <si>
    <t>บจ.บี เอส บิซ</t>
  </si>
  <si>
    <t>DD1542</t>
  </si>
  <si>
    <t>บจ.ยูนิตี้ ปิโตรเลียม</t>
  </si>
  <si>
    <t>บ่อทอง</t>
  </si>
  <si>
    <t>DD1543</t>
  </si>
  <si>
    <t>หจก.ธนันท์กรคอฟฟี่ช็อป</t>
  </si>
  <si>
    <t>DD1545</t>
  </si>
  <si>
    <t>DD1547</t>
  </si>
  <si>
    <t>หจก.มิตรกระนวน(2014)ปิโตรเลียม</t>
  </si>
  <si>
    <t>DD1548</t>
  </si>
  <si>
    <t>หจก.ปอปอ รุ่งเรือง</t>
  </si>
  <si>
    <t>เรณูนคร</t>
  </si>
  <si>
    <t>DD1551</t>
  </si>
  <si>
    <t>บจ.ซี.เจ.รุ่งเรือง 2014</t>
  </si>
  <si>
    <t>DD1553</t>
  </si>
  <si>
    <t>บจ.เอ ซินเนอร์จี</t>
  </si>
  <si>
    <t>สันป่าตอง</t>
  </si>
  <si>
    <t>DD1558</t>
  </si>
  <si>
    <t>บจ.สิริวัฒนา 2025</t>
  </si>
  <si>
    <t>DD1563</t>
  </si>
  <si>
    <t>บจ.ศิรินศักดิ์</t>
  </si>
  <si>
    <t>ป่าโมก</t>
  </si>
  <si>
    <t>DD1570</t>
  </si>
  <si>
    <t>บจ.สวีทเนสส์คาเฟ่</t>
  </si>
  <si>
    <t>DD1580</t>
  </si>
  <si>
    <t>หจก.นวปกรณ์</t>
  </si>
  <si>
    <t>DD1581</t>
  </si>
  <si>
    <t>DD1582</t>
  </si>
  <si>
    <t>บจ.ดับเบิ้ล ช็อต คาเฟ่</t>
  </si>
  <si>
    <t>เมืองกระบี่</t>
  </si>
  <si>
    <t>DD1583</t>
  </si>
  <si>
    <t>DD1583 บริษัท สุราษฎร์ออยล์ จำกัด</t>
  </si>
  <si>
    <t>DD1586</t>
  </si>
  <si>
    <t>บจ.ภัทรกานต์ 2015</t>
  </si>
  <si>
    <t>สิงหนคร</t>
  </si>
  <si>
    <t>DD1589</t>
  </si>
  <si>
    <t>บจ.พี ที ไพรัช ปิโตรเลียม เซอร์วิส</t>
  </si>
  <si>
    <t>สามง่าม</t>
  </si>
  <si>
    <t>DD1592</t>
  </si>
  <si>
    <t>หจก.ปรายฟ้าออยล์</t>
  </si>
  <si>
    <t>มหาชนะชัย</t>
  </si>
  <si>
    <t>DD1597</t>
  </si>
  <si>
    <t>DD1597 หจก. นิวเจเจดริ้ง</t>
  </si>
  <si>
    <t>DD1601</t>
  </si>
  <si>
    <t>บจ.สุขสำราญ ปิโตรเลียม</t>
  </si>
  <si>
    <t>งาว</t>
  </si>
  <si>
    <t>DD1605</t>
  </si>
  <si>
    <t>บจ.เคพีเอส นครปฐม</t>
  </si>
  <si>
    <t>DD1614</t>
  </si>
  <si>
    <t>DD1614 หจก. กุดชุมออยล์</t>
  </si>
  <si>
    <t>กุดชุม</t>
  </si>
  <si>
    <t>DD1616</t>
  </si>
  <si>
    <t>บจ.งาช้างทองคำ</t>
  </si>
  <si>
    <t>DD1620</t>
  </si>
  <si>
    <t>บจ.ศิรินครประตูลอด</t>
  </si>
  <si>
    <t>DD1622</t>
  </si>
  <si>
    <t>สหกรณ์การเกษตรเดชอุดมจำกัด</t>
  </si>
  <si>
    <t>DD1623</t>
  </si>
  <si>
    <t>บจ.กิมชุนอำนาจเจริญ</t>
  </si>
  <si>
    <t>DD1627</t>
  </si>
  <si>
    <t>บจ.ธิติฎฐ์กาน</t>
  </si>
  <si>
    <t>ดอยสะเก็ด</t>
  </si>
  <si>
    <t>DD1628</t>
  </si>
  <si>
    <t>หจก.กาแฟเข้มหอม</t>
  </si>
  <si>
    <t>แก่งคอย</t>
  </si>
  <si>
    <t>DD1632</t>
  </si>
  <si>
    <t>บจ.เจียง-อัศวรรณ หนองคาย</t>
  </si>
  <si>
    <t>เมืองสมุทรปราการ</t>
  </si>
  <si>
    <t>DD1636</t>
  </si>
  <si>
    <t>หจก.วิยะดาปิโตรเลียม(2000)</t>
  </si>
  <si>
    <t>DD1640</t>
  </si>
  <si>
    <t>หจก.บุรีรัมย์ พีทีที</t>
  </si>
  <si>
    <t>DD1645</t>
  </si>
  <si>
    <t>บจ.สยาม119 สวีท คาเฟ่</t>
  </si>
  <si>
    <t>DD1648</t>
  </si>
  <si>
    <t>หจก.ศลโกสุม</t>
  </si>
  <si>
    <t>DD1651</t>
  </si>
  <si>
    <t>หจก.มั่งมีธนาทรัพย์</t>
  </si>
  <si>
    <t>DD1653</t>
  </si>
  <si>
    <t>หจก.เขาไม้แก้วบริการ</t>
  </si>
  <si>
    <t>DD1655</t>
  </si>
  <si>
    <t>DD1668</t>
  </si>
  <si>
    <t>บจ.ทรัพย์อุดมชัย</t>
  </si>
  <si>
    <t>บ้านแพ้ว</t>
  </si>
  <si>
    <t>DD1669</t>
  </si>
  <si>
    <t>บจ.รุ่งเรืองพยัคภูมิ ออยล์</t>
  </si>
  <si>
    <t>DD1673</t>
  </si>
  <si>
    <t>หจก.รัตนปิโตรเลียม</t>
  </si>
  <si>
    <t>บ้านค่าย</t>
  </si>
  <si>
    <t>DD1676</t>
  </si>
  <si>
    <t>บจ.รัฐะลิตา ออยล์</t>
  </si>
  <si>
    <t>DD1684</t>
  </si>
  <si>
    <t>บจ.ลา-อิ้ง คอฟฟี่</t>
  </si>
  <si>
    <t>DD1686</t>
  </si>
  <si>
    <t>บจ.มาลัย ออยล์</t>
  </si>
  <si>
    <t>เมืองนนทบุรี</t>
  </si>
  <si>
    <t>DD1691</t>
  </si>
  <si>
    <t>บจ.เอกะหน่อง ปิโตรเลียม</t>
  </si>
  <si>
    <t>DD1692</t>
  </si>
  <si>
    <t>บจ.3 จี อินเตอร์เทรด</t>
  </si>
  <si>
    <t>DD1696</t>
  </si>
  <si>
    <t>หจก.ดิษฐ์สุรินทร์</t>
  </si>
  <si>
    <t>ตาคลี</t>
  </si>
  <si>
    <t>DD1705</t>
  </si>
  <si>
    <t>บจ.โชคมหาชัย สาครบุรี</t>
  </si>
  <si>
    <t>DD1716</t>
  </si>
  <si>
    <t>บจ.คลองสายลมปิโตรเลียม</t>
  </si>
  <si>
    <t>เกาะคา</t>
  </si>
  <si>
    <t>DD1727</t>
  </si>
  <si>
    <t>จุฬาภรณ์</t>
  </si>
  <si>
    <t>DD1733</t>
  </si>
  <si>
    <t>บจ.ไอเอสเค บิสซิเนส</t>
  </si>
  <si>
    <t>DD1739</t>
  </si>
  <si>
    <t>บจ.สิริกรโกศล คอฟฟี่</t>
  </si>
  <si>
    <t>DD1740</t>
  </si>
  <si>
    <t>บจ.สยามอโยธยา888 สวีท คาเฟ่</t>
  </si>
  <si>
    <t>DD1744</t>
  </si>
  <si>
    <t>สวนผึ้ง</t>
  </si>
  <si>
    <t>DD1750</t>
  </si>
  <si>
    <t>DD1753</t>
  </si>
  <si>
    <t>บจ.ไอ แอนด์ โอ ช็อป</t>
  </si>
  <si>
    <t>เมืองตาก</t>
  </si>
  <si>
    <t>DD1761</t>
  </si>
  <si>
    <t>บจ.พีเคเอ็น ปิโตรเลียม</t>
  </si>
  <si>
    <t>DD1768</t>
  </si>
  <si>
    <t>บจ.รวยที่สุด</t>
  </si>
  <si>
    <t>DD1772</t>
  </si>
  <si>
    <t>หจก.เฌอฟ้า คอมเมอร์เชียล</t>
  </si>
  <si>
    <t>DD1781</t>
  </si>
  <si>
    <t>บจ.พศินออยล์</t>
  </si>
  <si>
    <t>เมืองลพบุรี</t>
  </si>
  <si>
    <t>DD1786</t>
  </si>
  <si>
    <t>หจก.วิมานทองปิโตรเลียม</t>
  </si>
  <si>
    <t>ดอนพุด</t>
  </si>
  <si>
    <t>DD1787</t>
  </si>
  <si>
    <t>DD1788</t>
  </si>
  <si>
    <t>บจ.ฮาชิตะ คอฟฟี่</t>
  </si>
  <si>
    <t>มะขาม</t>
  </si>
  <si>
    <t>DD1793</t>
  </si>
  <si>
    <t>บจ.เอส.เอ็กซ์ คาเฟ่</t>
  </si>
  <si>
    <t>DD1795</t>
  </si>
  <si>
    <t>DD1798</t>
  </si>
  <si>
    <t>ดงหลวง</t>
  </si>
  <si>
    <t>DD1813</t>
  </si>
  <si>
    <t>บจ.อุบลรัตน์บริการ</t>
  </si>
  <si>
    <t>อุบลรัตน์</t>
  </si>
  <si>
    <t>DD1816</t>
  </si>
  <si>
    <t>บจ.เจริญผล พลังยั่งยืน 2497</t>
  </si>
  <si>
    <t>บ้านแท่น</t>
  </si>
  <si>
    <t>DD1817</t>
  </si>
  <si>
    <t>บจ.เพชรยิ่งเจริญ</t>
  </si>
  <si>
    <t>บ้านลาด</t>
  </si>
  <si>
    <t>DD1819</t>
  </si>
  <si>
    <t>บจ.เมเจอร์ เซ็นทรัล</t>
  </si>
  <si>
    <t>วิเชียรบุรี</t>
  </si>
  <si>
    <t>DD1821</t>
  </si>
  <si>
    <t>บจ.ท่าช้าง ปิโตรเลียม 2022</t>
  </si>
  <si>
    <t>DD1822</t>
  </si>
  <si>
    <t>หจก.บี.เอ็ม.29</t>
  </si>
  <si>
    <t>บางระจัน</t>
  </si>
  <si>
    <t>DD1823</t>
  </si>
  <si>
    <t>บจ.กำนัน ค้ามัน</t>
  </si>
  <si>
    <t>DD1824</t>
  </si>
  <si>
    <t>หจก.จักรกฤษณ์ปิโตรเลียม</t>
  </si>
  <si>
    <t>เขื่องใน</t>
  </si>
  <si>
    <t>DD1835</t>
  </si>
  <si>
    <t>DD1838</t>
  </si>
  <si>
    <t>บจ.พีเอสวาย ไลฟ์ สเตชั่น</t>
  </si>
  <si>
    <t>DD1839</t>
  </si>
  <si>
    <t>หจก.นพผดุง คอฟฟี่</t>
  </si>
  <si>
    <t>คำชะอี</t>
  </si>
  <si>
    <t>DD1840</t>
  </si>
  <si>
    <t>หจก.พีทีที คอฟฟี่</t>
  </si>
  <si>
    <t>เสาไห้</t>
  </si>
  <si>
    <t>DD1843</t>
  </si>
  <si>
    <t>หจก.ทีพีเอ็น365ไลฟ์สไตล์</t>
  </si>
  <si>
    <t>DD1844</t>
  </si>
  <si>
    <t>หจก.นาทวีปิโตรเลียม</t>
  </si>
  <si>
    <t>DD1846</t>
  </si>
  <si>
    <t>บจ.นภมณฑ์</t>
  </si>
  <si>
    <t>DD1863</t>
  </si>
  <si>
    <t>บจ.เอสอีที ปิโตรเลียม</t>
  </si>
  <si>
    <t>DD1873</t>
  </si>
  <si>
    <t>บจ.ณปภัชคุณ</t>
  </si>
  <si>
    <t>DD1875</t>
  </si>
  <si>
    <t>บจ.คอฟฟี่วัน 2016</t>
  </si>
  <si>
    <t>DD1877</t>
  </si>
  <si>
    <t>บจ.เซ้าท์เธิร์นโลจิสติกส์ (2009)</t>
  </si>
  <si>
    <t>เมืองสงขลา</t>
  </si>
  <si>
    <t>DD1882</t>
  </si>
  <si>
    <t>DD1884</t>
  </si>
  <si>
    <t>บจ.รีเทล 2017</t>
  </si>
  <si>
    <t>DD1890</t>
  </si>
  <si>
    <t>เคียนซา</t>
  </si>
  <si>
    <t>DD1891</t>
  </si>
  <si>
    <t>หจก.ลพบุรีปิโตรเลียม</t>
  </si>
  <si>
    <t>DD1903</t>
  </si>
  <si>
    <t>DD1905</t>
  </si>
  <si>
    <t>หจก.ลำปางภาณุพงศ์</t>
  </si>
  <si>
    <t>DD1906</t>
  </si>
  <si>
    <t>DD1909</t>
  </si>
  <si>
    <t>หจก.สมทองบริการ</t>
  </si>
  <si>
    <t>หนองปรือ</t>
  </si>
  <si>
    <t>DD1910</t>
  </si>
  <si>
    <t>บจ.จรินทร์ทรัพย์ คาเฟ่</t>
  </si>
  <si>
    <t>DD1914</t>
  </si>
  <si>
    <t>บจ.ไนซ์เขาใหญ่พาร์ค</t>
  </si>
  <si>
    <t>DD1926</t>
  </si>
  <si>
    <t>หจก.รุ่งรัฐคาเฟ่</t>
  </si>
  <si>
    <t>กำแพงแสน</t>
  </si>
  <si>
    <t>DD1931</t>
  </si>
  <si>
    <t>หจก.หล่มเก่า พี แอนด์ เค ออลล์</t>
  </si>
  <si>
    <t>หล่มเก่า</t>
  </si>
  <si>
    <t>DD1932</t>
  </si>
  <si>
    <t>บจ.แฮปปี้ คาเฟ่</t>
  </si>
  <si>
    <t>DD1933</t>
  </si>
  <si>
    <t>บจ.หมูทองออยล์ บ้านนา</t>
  </si>
  <si>
    <t>DD1934</t>
  </si>
  <si>
    <t>หจก.สามปอคาเฟ่ (สุวรรณศร)</t>
  </si>
  <si>
    <t>DD1936</t>
  </si>
  <si>
    <t>บจ.รุ่งทิพย์ปิโตรเลียม</t>
  </si>
  <si>
    <t>DD1942</t>
  </si>
  <si>
    <t>บจ.เมืองสระบุศย์เอเนอจี</t>
  </si>
  <si>
    <t>อาจสามารถ</t>
  </si>
  <si>
    <t>DD1947</t>
  </si>
  <si>
    <t>บจ.ยางชุมพาวเวอร์พลัส</t>
  </si>
  <si>
    <t>ยางชุมน้อย</t>
  </si>
  <si>
    <t>DD1952</t>
  </si>
  <si>
    <t>หจก.เอเจ คอฟฟี่</t>
  </si>
  <si>
    <t>เมืองจันทบุรี</t>
  </si>
  <si>
    <t>DD1957</t>
  </si>
  <si>
    <t>หจก.เอสซีเค คอฟฟี่</t>
  </si>
  <si>
    <t>สายไหม</t>
  </si>
  <si>
    <t>DD1965</t>
  </si>
  <si>
    <t>DD1967</t>
  </si>
  <si>
    <t>บจ.พี เอส ดี ทุ่งใหญ่</t>
  </si>
  <si>
    <t>ทุ่งใหญ่</t>
  </si>
  <si>
    <t>DD1974</t>
  </si>
  <si>
    <t>หจก.บุญเฉลิมบริการ</t>
  </si>
  <si>
    <t>DD1976</t>
  </si>
  <si>
    <t>บจ.เคเค ออยล์</t>
  </si>
  <si>
    <t>DD1977</t>
  </si>
  <si>
    <t>DD1984</t>
  </si>
  <si>
    <t>บจ.ซี เอส 2016 ออยล์ แอนด์ เซอร์วิส</t>
  </si>
  <si>
    <t>DD1993</t>
  </si>
  <si>
    <t>บจ.สมุทรปิโตรเลียมไทย</t>
  </si>
  <si>
    <t>DD2012</t>
  </si>
  <si>
    <t>บจ.ดี พลัส คอฟฟี่</t>
  </si>
  <si>
    <t>DD2018</t>
  </si>
  <si>
    <t>บจ.สหไพศาลสุรินทร์</t>
  </si>
  <si>
    <t>ชุมพลบุรี</t>
  </si>
  <si>
    <t>DD2019</t>
  </si>
  <si>
    <t>หจก.ศรีสมวงศ์เซอร์วิส(นิเวศรัตน์)</t>
  </si>
  <si>
    <t>DD2028</t>
  </si>
  <si>
    <t>DD2039</t>
  </si>
  <si>
    <t>บจ.เคเอส.คาเฟ่</t>
  </si>
  <si>
    <t>DD2049</t>
  </si>
  <si>
    <t>บจ.เพชรสมบูรณ์</t>
  </si>
  <si>
    <t>DD2056</t>
  </si>
  <si>
    <t>หจก.รวยล้านสะตังค์</t>
  </si>
  <si>
    <t>DD2071</t>
  </si>
  <si>
    <t>หจก.คงทองทิพย์ ปิโตรเลียม</t>
  </si>
  <si>
    <t>DD2073</t>
  </si>
  <si>
    <t>บจ.นครหลวง ท่าอุเทน ปิโตรเลียม 99</t>
  </si>
  <si>
    <t>ท่าอุเทน</t>
  </si>
  <si>
    <t>DD2085</t>
  </si>
  <si>
    <t>บจ.สุขุมคิทเช่นแม่ริม</t>
  </si>
  <si>
    <t>แม่ริม</t>
  </si>
  <si>
    <t>DD2088</t>
  </si>
  <si>
    <t>หจก.จีซี คอฟฟี่</t>
  </si>
  <si>
    <t>DD2090</t>
  </si>
  <si>
    <t>DD2091</t>
  </si>
  <si>
    <t>บจ.เอส.เอ็ม.ดับบลิว คอฟฟี่</t>
  </si>
  <si>
    <t>DD2102</t>
  </si>
  <si>
    <t>บจ.ระยองส่งเสริมกิจ</t>
  </si>
  <si>
    <t>DD2105</t>
  </si>
  <si>
    <t>หจก.ปพิชญา คาเฟ่</t>
  </si>
  <si>
    <t>DD2109</t>
  </si>
  <si>
    <t>บจ.เอเซียมีนบุรี</t>
  </si>
  <si>
    <t>มีนบุรี</t>
  </si>
  <si>
    <t>DD2113</t>
  </si>
  <si>
    <t>บจ.อุนรัตน์ คอฟฟี่</t>
  </si>
  <si>
    <t>บางนา</t>
  </si>
  <si>
    <t>DD2119</t>
  </si>
  <si>
    <t>หจก.หวลบุดตา</t>
  </si>
  <si>
    <t>DD2120</t>
  </si>
  <si>
    <t>บจ.ปากช่อง ทูเดย์</t>
  </si>
  <si>
    <t>DD2125</t>
  </si>
  <si>
    <t>บจ.รุ่งเรืองวังสะพุง ออยล์</t>
  </si>
  <si>
    <t>หนองหิน</t>
  </si>
  <si>
    <t>DD2128</t>
  </si>
  <si>
    <t>บจ.ธีราสุข</t>
  </si>
  <si>
    <t>DD2131</t>
  </si>
  <si>
    <t>หจก.ซี ซินเนอจี</t>
  </si>
  <si>
    <t>ป่าซาง</t>
  </si>
  <si>
    <t>DD2132</t>
  </si>
  <si>
    <t>โนนสุวรรณ</t>
  </si>
  <si>
    <t>DD2133</t>
  </si>
  <si>
    <t>หจก.ศิริพรหมเจริญ ปิโตรเลียม</t>
  </si>
  <si>
    <t>DD2136</t>
  </si>
  <si>
    <t>บจ.อนันตปทุม</t>
  </si>
  <si>
    <t>DD2139</t>
  </si>
  <si>
    <t>หจก.พรานกระต่าย คาเฟ่</t>
  </si>
  <si>
    <t>พรานกระต่าย</t>
  </si>
  <si>
    <t>DD2143</t>
  </si>
  <si>
    <t>หจก.๙๙๙ อินทรสมบัติ</t>
  </si>
  <si>
    <t>DD2145</t>
  </si>
  <si>
    <t>หจก.ปิยะพร แม่ฟ้าหลวง 2017</t>
  </si>
  <si>
    <t>DD2159</t>
  </si>
  <si>
    <t>บจ.ศรีวิจิตร (2017)</t>
  </si>
  <si>
    <t>หนองบัว</t>
  </si>
  <si>
    <t>DD2161</t>
  </si>
  <si>
    <t>บจ.เพชรพระเทพปิโตรเลียม</t>
  </si>
  <si>
    <t>DD2170</t>
  </si>
  <si>
    <t>บจ.พี.บี.เดอ คาเฟ(2017)</t>
  </si>
  <si>
    <t>DD2178</t>
  </si>
  <si>
    <t>บจ.ทีพีพี ออยล์ แอนด์ เซอร์วิส</t>
  </si>
  <si>
    <t>หนองพอก</t>
  </si>
  <si>
    <t>DD2184</t>
  </si>
  <si>
    <t>บจ.แอลแอนด์ที ปิโตรเลียม</t>
  </si>
  <si>
    <t>DD2185</t>
  </si>
  <si>
    <t>หจก.กาแฟเหรียญทอง</t>
  </si>
  <si>
    <t>DD2186</t>
  </si>
  <si>
    <t>DD2186 หจก.ช้างแก้ว ปิโตรเลียม</t>
  </si>
  <si>
    <t>DD2194</t>
  </si>
  <si>
    <t>บจ.รัตนบุรีปิโตรเลียม</t>
  </si>
  <si>
    <t>เกษตรสมบูรณ์</t>
  </si>
  <si>
    <t>DD2197</t>
  </si>
  <si>
    <t>บจ.เอวารี ทีเฮาส์</t>
  </si>
  <si>
    <t>DD2200</t>
  </si>
  <si>
    <t>หจก.มานะชัย ยั่งยืน กาแฟ</t>
  </si>
  <si>
    <t>DD2202</t>
  </si>
  <si>
    <t>หจก.การดี ชอป</t>
  </si>
  <si>
    <t>DD2210</t>
  </si>
  <si>
    <t>บจ.บีทีซี (พุทธสาคร)</t>
  </si>
  <si>
    <t>DD2217</t>
  </si>
  <si>
    <t>บจ.วีเอส 1503</t>
  </si>
  <si>
    <t>DD2226</t>
  </si>
  <si>
    <t>บจ.ธนพล คอฟฟี่ 2017</t>
  </si>
  <si>
    <t>DD2227</t>
  </si>
  <si>
    <t>บจ.ซิตตี้ กรุ๊ป แอด งาว</t>
  </si>
  <si>
    <t>DD2230</t>
  </si>
  <si>
    <t>หจก.อารมณ์ดี คอฟฟี่</t>
  </si>
  <si>
    <t>พนัสนิคม</t>
  </si>
  <si>
    <t>DD2239</t>
  </si>
  <si>
    <t>บจ.เอสอาร์ คอฟฟี่เฮ้าส์</t>
  </si>
  <si>
    <t>DD2242</t>
  </si>
  <si>
    <t>เขาชัยสน</t>
  </si>
  <si>
    <t>DD2251</t>
  </si>
  <si>
    <t>บจ.ดี ซินเนอร์จี</t>
  </si>
  <si>
    <t>แม่วาง</t>
  </si>
  <si>
    <t>DD2256</t>
  </si>
  <si>
    <t>โนนสัง</t>
  </si>
  <si>
    <t>DD2257</t>
  </si>
  <si>
    <t>บจ.พีเอสวาย เอนเนอจีวัน</t>
  </si>
  <si>
    <t>DD2274</t>
  </si>
  <si>
    <t>บจ.กรีน ออโต้ กรุ๊ป</t>
  </si>
  <si>
    <t>DD2280</t>
  </si>
  <si>
    <t>บจ.สามมิตร ออยล์</t>
  </si>
  <si>
    <t>DD2285</t>
  </si>
  <si>
    <t>DD2318</t>
  </si>
  <si>
    <t>บจ.ฟูแสง คอฟฟี่เฮ้าส์</t>
  </si>
  <si>
    <t>DD2328</t>
  </si>
  <si>
    <t>บจ.ออร์บิท เพาเวอร์พลัส</t>
  </si>
  <si>
    <t>DD2329</t>
  </si>
  <si>
    <t>DD2333</t>
  </si>
  <si>
    <t>DD2339</t>
  </si>
  <si>
    <t>DD2345</t>
  </si>
  <si>
    <t>บจ.อาโรบัสต้า คาเฟ่</t>
  </si>
  <si>
    <t>พระแสง</t>
  </si>
  <si>
    <t>DD2348</t>
  </si>
  <si>
    <t>บจ.วินพาวเวอร์ สเตชั่น</t>
  </si>
  <si>
    <t>DD2351</t>
  </si>
  <si>
    <t>บจ.เคทีทีที ออยล์</t>
  </si>
  <si>
    <t>DD2352</t>
  </si>
  <si>
    <t>ลับแล</t>
  </si>
  <si>
    <t>DD2355</t>
  </si>
  <si>
    <t>DD2355  หจก.เทพมาลัย คอฟฟี่</t>
  </si>
  <si>
    <t>DD2368</t>
  </si>
  <si>
    <t>หจก.ตรังรุ่งโรจน์เบฟเวอเรจ</t>
  </si>
  <si>
    <t>ตรัง</t>
  </si>
  <si>
    <t>เมืองตรัง</t>
  </si>
  <si>
    <t>DD2370</t>
  </si>
  <si>
    <t>บจ.หินสองก้อนปิโตรเลียม</t>
  </si>
  <si>
    <t>DD2372</t>
  </si>
  <si>
    <t>DD2375</t>
  </si>
  <si>
    <t>หจก.จารุณี คอฟฟี่</t>
  </si>
  <si>
    <t>DD2380</t>
  </si>
  <si>
    <t>บจ.กรธวัช บิสซิเนส</t>
  </si>
  <si>
    <t>DD2382</t>
  </si>
  <si>
    <t>บ.เอมณัฐฐา 65</t>
  </si>
  <si>
    <t>DD2383</t>
  </si>
  <si>
    <t>บจ.พีเคเค เอนเนอร์ยี่</t>
  </si>
  <si>
    <t>DD2385</t>
  </si>
  <si>
    <t>บจ.สิริสุข99</t>
  </si>
  <si>
    <t>DD2392</t>
  </si>
  <si>
    <t>DD2392  บริษัท พี.เอส.ปิโตรเลียม จำกัด</t>
  </si>
  <si>
    <t>DD2400</t>
  </si>
  <si>
    <t>หจก.เขาไร่ยา คอฟฟี่</t>
  </si>
  <si>
    <t>DD2406</t>
  </si>
  <si>
    <t>บจ.พัฒนชัยยนต์</t>
  </si>
  <si>
    <t>DD2409</t>
  </si>
  <si>
    <t>DD2409 หจก. ทีแอนด์เอ็น คอฟฟี่</t>
  </si>
  <si>
    <t>ขุขันธ์</t>
  </si>
  <si>
    <t>DD2425</t>
  </si>
  <si>
    <t>หจก.สกลปิโตรเลียม สเตชั่น</t>
  </si>
  <si>
    <t>DD2436</t>
  </si>
  <si>
    <t>บจ.พัฒณ์สรณ์656</t>
  </si>
  <si>
    <t>บางใหญ่</t>
  </si>
  <si>
    <t>DD2451</t>
  </si>
  <si>
    <t>บจ.แจนเจิดจรัส</t>
  </si>
  <si>
    <t>DD2456</t>
  </si>
  <si>
    <t>บจ.มะลิวัลย์ แก๊ส</t>
  </si>
  <si>
    <t>DD2463</t>
  </si>
  <si>
    <t>บจ.168 คาเฟ่</t>
  </si>
  <si>
    <t>สวนหลวง</t>
  </si>
  <si>
    <t>DD2469</t>
  </si>
  <si>
    <t>บจ.ภัทรกิจนาเชือก</t>
  </si>
  <si>
    <t>นาเชือก</t>
  </si>
  <si>
    <t>DD2475</t>
  </si>
  <si>
    <t>หจก.ลานทองนิคมคำสร้อย</t>
  </si>
  <si>
    <t>นิคมคำสร้อย</t>
  </si>
  <si>
    <t>DD2477</t>
  </si>
  <si>
    <t>บจ.ฟูแสง ออยล์ แอนด์ คอฟฟี่</t>
  </si>
  <si>
    <t>DD2480</t>
  </si>
  <si>
    <t>บจ.ภาณุสรณ์พัฒนา</t>
  </si>
  <si>
    <t>DD2482</t>
  </si>
  <si>
    <t>หจก.ธนอนันต์ เบฟเวอเรจ</t>
  </si>
  <si>
    <t>DD2486</t>
  </si>
  <si>
    <t>บจ.เลิศฐิตินันท์</t>
  </si>
  <si>
    <t>DD2489</t>
  </si>
  <si>
    <t>หจก.ป.อุบลทวีทรัพย์ ชานุมาน</t>
  </si>
  <si>
    <t>ชานุมาน</t>
  </si>
  <si>
    <t>DD2491</t>
  </si>
  <si>
    <t>บจ.แยกนิคมออยล์</t>
  </si>
  <si>
    <t>DD2498</t>
  </si>
  <si>
    <t>บจ.เดอะ ซีเค. แกรนด์ เซอร์วิส</t>
  </si>
  <si>
    <t>DD2504</t>
  </si>
  <si>
    <t>DD2507</t>
  </si>
  <si>
    <t>บจ.เจริญอุดมดี</t>
  </si>
  <si>
    <t>DD2510</t>
  </si>
  <si>
    <t>บจ.ศิริวัฒนาพร</t>
  </si>
  <si>
    <t>DD2511</t>
  </si>
  <si>
    <t>หจก.ศรีสยามคอฟฟี่</t>
  </si>
  <si>
    <t>DD2514</t>
  </si>
  <si>
    <t>บจ.เอสเอ็น ปิโตรเลียม (2016)</t>
  </si>
  <si>
    <t>DD2515</t>
  </si>
  <si>
    <t>บจ.ธาราริน</t>
  </si>
  <si>
    <t>DD2529</t>
  </si>
  <si>
    <t>บจ.เทพารักษ์ชัยมงคล</t>
  </si>
  <si>
    <t>DD2530</t>
  </si>
  <si>
    <t>หจก.ดิษฐ์สุรินทร์ธุรกิจ</t>
  </si>
  <si>
    <t>DD2553</t>
  </si>
  <si>
    <t>หจก.เอ็นบีพี พาวเวอร์</t>
  </si>
  <si>
    <t>DD2554</t>
  </si>
  <si>
    <t>หจก.กุลศักดิ์วิมลปิโตรเลียม</t>
  </si>
  <si>
    <t>DD2567</t>
  </si>
  <si>
    <t>DD2573</t>
  </si>
  <si>
    <t>บจ.สิริพัฒน์ 2016</t>
  </si>
  <si>
    <t>DD2576</t>
  </si>
  <si>
    <t>บจ.คอฟฟี่ ซัคเซส</t>
  </si>
  <si>
    <t>DD2578</t>
  </si>
  <si>
    <t>หจก.อาร์พีที คอฟฟี่</t>
  </si>
  <si>
    <t>หนองไผ่</t>
  </si>
  <si>
    <t>DD2579</t>
  </si>
  <si>
    <t>หจก.เจ คอฟฟี่กรีน</t>
  </si>
  <si>
    <t>เขาคิชฌกูฎ</t>
  </si>
  <si>
    <t>DD2591</t>
  </si>
  <si>
    <t>บจ.พี.ซี.ออยล์ (1984)</t>
  </si>
  <si>
    <t>DD2592</t>
  </si>
  <si>
    <t>หจก.เอซีพี เอ็นเนอร์จี</t>
  </si>
  <si>
    <t>ลอง</t>
  </si>
  <si>
    <t>DD2605</t>
  </si>
  <si>
    <t>หจก.ทรัพย์อรุณรุ่งเรือง</t>
  </si>
  <si>
    <t>บ้านโป่ง</t>
  </si>
  <si>
    <t>DD2608</t>
  </si>
  <si>
    <t>หจก.ภูมิ คอฟฟี่</t>
  </si>
  <si>
    <t>DD2612</t>
  </si>
  <si>
    <t>บจ.ไออาร์อาร์ คอร์เปอร์เรชั่น</t>
  </si>
  <si>
    <t>DD2615</t>
  </si>
  <si>
    <t>บจ.เมเจอร์ ออยล์</t>
  </si>
  <si>
    <t>DD2622</t>
  </si>
  <si>
    <t>ปราสาท</t>
  </si>
  <si>
    <t>DD2623</t>
  </si>
  <si>
    <t>บจ.ออโต้วัน เบเวอเรจ</t>
  </si>
  <si>
    <t>DD2627</t>
  </si>
  <si>
    <t>บจ.สริญดา คอฟฟี่เฮ้าส์</t>
  </si>
  <si>
    <t>DD2632</t>
  </si>
  <si>
    <t>บจ.จีที88</t>
  </si>
  <si>
    <t>DD2634</t>
  </si>
  <si>
    <t>หจก.โชคนำนาน</t>
  </si>
  <si>
    <t>แปลงยาว</t>
  </si>
  <si>
    <t>DD2635</t>
  </si>
  <si>
    <t>เมืองอุดรธานี</t>
  </si>
  <si>
    <t>DD2639</t>
  </si>
  <si>
    <t>หจก.ภูฆัง ยกกำลังเก้า</t>
  </si>
  <si>
    <t>DD2641</t>
  </si>
  <si>
    <t>หจก.มิตรศิลป์ ปิโตรเลี่ยม</t>
  </si>
  <si>
    <t>DD2643</t>
  </si>
  <si>
    <t>บจ.ดับเบิ้ลนายน์ อินฟินิตี้ 88</t>
  </si>
  <si>
    <t>DD2650</t>
  </si>
  <si>
    <t>DD2650 หจก. บีเคอาร์กาแฟ</t>
  </si>
  <si>
    <t>DD2655</t>
  </si>
  <si>
    <t>บจ.ศรีอิสาณเมืองพล</t>
  </si>
  <si>
    <t>พล</t>
  </si>
  <si>
    <t>DD2660</t>
  </si>
  <si>
    <t>หจก.ศรีบุญเรืองบริการ</t>
  </si>
  <si>
    <t>DD2662</t>
  </si>
  <si>
    <t>บจ.ทูเก็ตเตอร์ คาเฟ่(2559)</t>
  </si>
  <si>
    <t>DD2671</t>
  </si>
  <si>
    <t>บจ.วีเอสเอส ปิโตรเลียม</t>
  </si>
  <si>
    <t>พนมทวน</t>
  </si>
  <si>
    <t>DD2678</t>
  </si>
  <si>
    <t>หจก.อินทรทรัพย์ บิซิเนส แอนด์ เซอร์</t>
  </si>
  <si>
    <t>DD2682</t>
  </si>
  <si>
    <t>บจ.ศิริสาคร คอฟฟี่</t>
  </si>
  <si>
    <t>DD2698</t>
  </si>
  <si>
    <t>ลำดวน</t>
  </si>
  <si>
    <t>DD2700</t>
  </si>
  <si>
    <t>นาหว้า</t>
  </si>
  <si>
    <t>DD2703</t>
  </si>
  <si>
    <t>เมืองระนอง</t>
  </si>
  <si>
    <t>DD2706</t>
  </si>
  <si>
    <t>DD2715</t>
  </si>
  <si>
    <t>หจก.สว่างวัฒนะ เทสตี้</t>
  </si>
  <si>
    <t>DD2719</t>
  </si>
  <si>
    <t>บจ.นีโอนิว</t>
  </si>
  <si>
    <t>DD2720</t>
  </si>
  <si>
    <t>หจก.วังสามหมอปิโตรเลียม</t>
  </si>
  <si>
    <t>วังสามหมอ</t>
  </si>
  <si>
    <t>DD2722</t>
  </si>
  <si>
    <t>บจ.สุพรรณธนแก๊ส</t>
  </si>
  <si>
    <t>DD2733</t>
  </si>
  <si>
    <t>บจ.ชนะชัยเขมราฐ</t>
  </si>
  <si>
    <t>DD2734</t>
  </si>
  <si>
    <t>หจก.บึงบัวฟู้ด แอนด์ คอฟฟี่</t>
  </si>
  <si>
    <t>วชิรบารมี</t>
  </si>
  <si>
    <t>DD2738</t>
  </si>
  <si>
    <t>บจ.ทูเก็ตเตอร์ คาเฟ่(2017)</t>
  </si>
  <si>
    <t>DD2759</t>
  </si>
  <si>
    <t>บจ.มกราคม2561</t>
  </si>
  <si>
    <t>DD2760</t>
  </si>
  <si>
    <t>บจ.เอส เอ็ม ดี คอฟฟี่</t>
  </si>
  <si>
    <t>DD2763</t>
  </si>
  <si>
    <t>บจ.ทรัพย์เพิ่มพูนปิโตรเลียม2018</t>
  </si>
  <si>
    <t>จุน</t>
  </si>
  <si>
    <t>DD2770</t>
  </si>
  <si>
    <t>บจ.รุ่งเจริญมงคลกิจ</t>
  </si>
  <si>
    <t>DD2771</t>
  </si>
  <si>
    <t>บจ.ชื่นกอบชัย ปิโตรเลียม</t>
  </si>
  <si>
    <t>DD2773</t>
  </si>
  <si>
    <t>DD2775</t>
  </si>
  <si>
    <t>บจ.พุทธรักษาค้ำคูณ</t>
  </si>
  <si>
    <t>DD2781</t>
  </si>
  <si>
    <t>บจ.บุญวัฒน์ ปิโตรเลียม</t>
  </si>
  <si>
    <t>DD2782</t>
  </si>
  <si>
    <t>บจ.เติมสุข สเตชั่น</t>
  </si>
  <si>
    <t>บางเสาธง</t>
  </si>
  <si>
    <t>DD2789</t>
  </si>
  <si>
    <t>บจ.หงส์เหมยฟู่</t>
  </si>
  <si>
    <t>DD2790</t>
  </si>
  <si>
    <t>บจ.ศรีทองแพร ปิโตรเลียม</t>
  </si>
  <si>
    <t>คุระบุรี</t>
  </si>
  <si>
    <t>DD2794</t>
  </si>
  <si>
    <t>DD2794 บริษัท เลิศสวัสดิ์ เอ็นเนอจี จำกัด</t>
  </si>
  <si>
    <t>DD2796</t>
  </si>
  <si>
    <t>บจ.โชคมนัสอินเตอร์ออยล์</t>
  </si>
  <si>
    <t>พระสมุทรเจดีย์</t>
  </si>
  <si>
    <t>DD2806</t>
  </si>
  <si>
    <t>หจก.บัวร่มเย็นปิโตรเลียม</t>
  </si>
  <si>
    <t>DD2807</t>
  </si>
  <si>
    <t>หจก.แซงบาดาล</t>
  </si>
  <si>
    <t>ธวัชบุรี</t>
  </si>
  <si>
    <t>DD2810</t>
  </si>
  <si>
    <t>บจ.คอฟฟี่ ฟอร์ ยู</t>
  </si>
  <si>
    <t>DD2817</t>
  </si>
  <si>
    <t>DD2817  บริษัท สุวัฒน์ชัยแอนด์ซัน จำกัด</t>
  </si>
  <si>
    <t>DD2831</t>
  </si>
  <si>
    <t>หจก.ประเสริฐ 2018</t>
  </si>
  <si>
    <t>DD2832</t>
  </si>
  <si>
    <t>หจก.เอ็น เอ็น คอฟฟี่ พลัส</t>
  </si>
  <si>
    <t>DD2839</t>
  </si>
  <si>
    <t>DD2840</t>
  </si>
  <si>
    <t>หจก.ฤดีกุล</t>
  </si>
  <si>
    <t>DD2847</t>
  </si>
  <si>
    <t>หจก.พรพิมล ปิโตรเลียม</t>
  </si>
  <si>
    <t>DD2851</t>
  </si>
  <si>
    <t>บริษัท สุขสมเกียรติขนส่ง (2004)จำกั</t>
  </si>
  <si>
    <t>DD2857</t>
  </si>
  <si>
    <t>บจ.สารคามออยล์</t>
  </si>
  <si>
    <t>บรบือ</t>
  </si>
  <si>
    <t>DD2859</t>
  </si>
  <si>
    <t>หจก.ฉลวยปิโตรเลี่ยม</t>
  </si>
  <si>
    <t>DD2861</t>
  </si>
  <si>
    <t>บจ.ไฮแลนด์ รีเทล</t>
  </si>
  <si>
    <t>DD2871</t>
  </si>
  <si>
    <t>หจก.ภาสิทธิ์เต่างอย ปิโตรเลียม</t>
  </si>
  <si>
    <t>เต่างอย</t>
  </si>
  <si>
    <t>DD2872</t>
  </si>
  <si>
    <t>บจ.บุญชัยก๊าซบ้านอำเภอ</t>
  </si>
  <si>
    <t>DD2873</t>
  </si>
  <si>
    <t>บจ.ก.กิจบายพาส</t>
  </si>
  <si>
    <t>DD2875</t>
  </si>
  <si>
    <t>บจ.ร้านกาแฟ 168</t>
  </si>
  <si>
    <t>DD2876</t>
  </si>
  <si>
    <t>DD2879</t>
  </si>
  <si>
    <t>บจ.วารินปิโตรเลียม (เลี่ยงเมือง)</t>
  </si>
  <si>
    <t>DD2885</t>
  </si>
  <si>
    <t>หจก.นำโชค ออยล์</t>
  </si>
  <si>
    <t>ห้วยเม็ก</t>
  </si>
  <si>
    <t>DD2892</t>
  </si>
  <si>
    <t>บจ.สยามนครหลวง203</t>
  </si>
  <si>
    <t>นครหลวง</t>
  </si>
  <si>
    <t>DD2897</t>
  </si>
  <si>
    <t>บจ.เออเบินเพลส</t>
  </si>
  <si>
    <t>หนองจอก</t>
  </si>
  <si>
    <t>DD2899</t>
  </si>
  <si>
    <t>บจ.วีอาร์ ปิโตรเลียม โรจนะ</t>
  </si>
  <si>
    <t>DD2902</t>
  </si>
  <si>
    <t>บจ.เจริญกิจภัณฑ์ ปิโตรเลียม</t>
  </si>
  <si>
    <t>DD2904</t>
  </si>
  <si>
    <t>หจก.ภูมิพัฒน์(2016)</t>
  </si>
  <si>
    <t>ดำเนินสะดวก</t>
  </si>
  <si>
    <t>DD2905</t>
  </si>
  <si>
    <t>บจ.โรบัสโต 2018</t>
  </si>
  <si>
    <t>DD2918</t>
  </si>
  <si>
    <t>DD2919</t>
  </si>
  <si>
    <t>หจก.พี.เอ็น.เอช.ดับบลิว คาเฟ่</t>
  </si>
  <si>
    <t>DD2920</t>
  </si>
  <si>
    <t>DD2924</t>
  </si>
  <si>
    <t>หจก.เพาเวอร์ ไลน์ บิสซิเนส</t>
  </si>
  <si>
    <t>DD2925</t>
  </si>
  <si>
    <t>บจ.แก้วพิณพลอย</t>
  </si>
  <si>
    <t>DD2926</t>
  </si>
  <si>
    <t>บจ.บางกอก 101 คอฟฟี่</t>
  </si>
  <si>
    <t>DD2933</t>
  </si>
  <si>
    <t>บจ.บีทีโบว์ทิพย์กาแฟ</t>
  </si>
  <si>
    <t>DD2966</t>
  </si>
  <si>
    <t>บจ.รัตนชาติ 999</t>
  </si>
  <si>
    <t>DD2968</t>
  </si>
  <si>
    <t>หจก.บ้านเชียงยืน</t>
  </si>
  <si>
    <t>เชียงยืน</t>
  </si>
  <si>
    <t>DD2974</t>
  </si>
  <si>
    <t>บจ.ฟอร์ บี โลจิสติกส์</t>
  </si>
  <si>
    <t>DD2975</t>
  </si>
  <si>
    <t>DD2976</t>
  </si>
  <si>
    <t>หจก.วิจิตรปิโตรเลียม</t>
  </si>
  <si>
    <t>DD2983</t>
  </si>
  <si>
    <t>หจก.ทัพพ์ธิดา (2018)</t>
  </si>
  <si>
    <t>DD2989</t>
  </si>
  <si>
    <t>บจ.กิจถาวร 2018</t>
  </si>
  <si>
    <t>DD2993</t>
  </si>
  <si>
    <t>บจ.พี.โอ.เอ ปิโตรเลี่ยมชัยนาท</t>
  </si>
  <si>
    <t>DD2996</t>
  </si>
  <si>
    <t>หจก.เต็มใจชงกาแฟ</t>
  </si>
  <si>
    <t>บางคล้า</t>
  </si>
  <si>
    <t>DD2997</t>
  </si>
  <si>
    <t>หจก.ชุนหลีคาเฟ่</t>
  </si>
  <si>
    <t>DD2998</t>
  </si>
  <si>
    <t>บจ.แสงอารี พรีเมี่ยม คาเฟ่</t>
  </si>
  <si>
    <t>ลาดบัวหลวง</t>
  </si>
  <si>
    <t>DD3007</t>
  </si>
  <si>
    <t>DD3016</t>
  </si>
  <si>
    <t>หจก.ดีดีกาแฟ</t>
  </si>
  <si>
    <t>สามร้อยยอด</t>
  </si>
  <si>
    <t>DD3018</t>
  </si>
  <si>
    <t>บจ.เทพศิรินทร์ระนอง</t>
  </si>
  <si>
    <t>DD3027</t>
  </si>
  <si>
    <t>หจก.เหย้าอิงจัน</t>
  </si>
  <si>
    <t>นายายอาม</t>
  </si>
  <si>
    <t>DD3028</t>
  </si>
  <si>
    <t>บจ.ดนยธิป</t>
  </si>
  <si>
    <t>DD3037</t>
  </si>
  <si>
    <t>นาโยง</t>
  </si>
  <si>
    <t>DD3051</t>
  </si>
  <si>
    <t>บจ.ซิมเปิ้ล สไตล์</t>
  </si>
  <si>
    <t>DD3056</t>
  </si>
  <si>
    <t>หจก.ธนิดาสะพานขาว</t>
  </si>
  <si>
    <t>DD3070</t>
  </si>
  <si>
    <t>บจ.เอสที คอฟฟี่ 2018</t>
  </si>
  <si>
    <t>วัดโบสถ์</t>
  </si>
  <si>
    <t>DD3075</t>
  </si>
  <si>
    <t>สหกรณ์การเกษตรบางละมุง จำกัด</t>
  </si>
  <si>
    <t>DD3080</t>
  </si>
  <si>
    <t>บจ.ระมิงค์ เบฟเวอเรจ</t>
  </si>
  <si>
    <t>DD3092</t>
  </si>
  <si>
    <t>DD3096</t>
  </si>
  <si>
    <t>หจก.เอกนาดูนคอฟฟี่</t>
  </si>
  <si>
    <t>นาดูน</t>
  </si>
  <si>
    <t>DD3099</t>
  </si>
  <si>
    <t>หจก.ละแมปิยะกรุ๊ป</t>
  </si>
  <si>
    <t>DD3109</t>
  </si>
  <si>
    <t>บจ.ที.ปิโตรเลียม</t>
  </si>
  <si>
    <t>DD3123</t>
  </si>
  <si>
    <t>หจก.เอกะชัย รีเทลลิ่ง</t>
  </si>
  <si>
    <t>DD3124</t>
  </si>
  <si>
    <t>บจ.สวีทโฮมคาเฟ่</t>
  </si>
  <si>
    <t>DD3125</t>
  </si>
  <si>
    <t>บจ.ทองอินทร์เจริญ ออลล์</t>
  </si>
  <si>
    <t>DD3132</t>
  </si>
  <si>
    <t>บจ.เพชรธน กรุ๊ป</t>
  </si>
  <si>
    <t>DD3140</t>
  </si>
  <si>
    <t>บจ.บางพลับ ปิโตรเลียม 2019</t>
  </si>
  <si>
    <t>DD3148</t>
  </si>
  <si>
    <t>บจ.ผลบุญ ปิโตรเลี่ยม</t>
  </si>
  <si>
    <t>DD3151</t>
  </si>
  <si>
    <t>DD3151 คุณ ปภาอร อินทร์พรหม</t>
  </si>
  <si>
    <t>DD3156</t>
  </si>
  <si>
    <t>บจ.เอสเคแอล คอฟฟี่</t>
  </si>
  <si>
    <t>DD3157</t>
  </si>
  <si>
    <t>DD3166</t>
  </si>
  <si>
    <t>หจก.เมธีชาทัต คอฟฟี่เฮ้าส์</t>
  </si>
  <si>
    <t>DD3177</t>
  </si>
  <si>
    <t>DD3206</t>
  </si>
  <si>
    <t>DD3208</t>
  </si>
  <si>
    <t>บจ.ภัตรา คาเฟ่</t>
  </si>
  <si>
    <t>DD3211</t>
  </si>
  <si>
    <t>DD3218</t>
  </si>
  <si>
    <t>หจก.คอกาแฟ นบพิตำ</t>
  </si>
  <si>
    <t>นบพิตำ</t>
  </si>
  <si>
    <t>DD3221</t>
  </si>
  <si>
    <t>หจก.ศิลานคร รีเทล</t>
  </si>
  <si>
    <t>DD3223</t>
  </si>
  <si>
    <t>หจก.มานะ-เสริมพล ปิโตรเลียม</t>
  </si>
  <si>
    <t>DD3227</t>
  </si>
  <si>
    <t>หจก.ท่ามะเขือ คอนวีเนี่ยนท์</t>
  </si>
  <si>
    <t>DD3229</t>
  </si>
  <si>
    <t>หจก.ภูมิดีเต็มชงกาแฟ</t>
  </si>
  <si>
    <t>DD3236</t>
  </si>
  <si>
    <t>DD3241</t>
  </si>
  <si>
    <t>หจก.เอกธาราออยล์</t>
  </si>
  <si>
    <t>DD3255</t>
  </si>
  <si>
    <t>บจ.เอพลัส รีเทล</t>
  </si>
  <si>
    <t>DD3259</t>
  </si>
  <si>
    <t>บจ.สำราญ กาแฟ</t>
  </si>
  <si>
    <t>DD3260</t>
  </si>
  <si>
    <t>บจ.เอสพีเอ็ม คอฟฟี่</t>
  </si>
  <si>
    <t>โพธาราม</t>
  </si>
  <si>
    <t>DD3264</t>
  </si>
  <si>
    <t>บจ.ไนซ์ พีบี</t>
  </si>
  <si>
    <t>เมืองเพชรบุรี</t>
  </si>
  <si>
    <t>DD3274</t>
  </si>
  <si>
    <t>หจก.ภูฆัง ปิโตรเลียม</t>
  </si>
  <si>
    <t>DD3276</t>
  </si>
  <si>
    <t>DD3280</t>
  </si>
  <si>
    <t>บจ.ซีเอส 2018 ออยล์</t>
  </si>
  <si>
    <t>สบปราบ</t>
  </si>
  <si>
    <t>DD3289</t>
  </si>
  <si>
    <t>บจ.พีเอ็ม (ประเวศ)</t>
  </si>
  <si>
    <t>DD3290</t>
  </si>
  <si>
    <t>บจ.ศรีสมวงศ์เซอร์วิส</t>
  </si>
  <si>
    <t>DD3298</t>
  </si>
  <si>
    <t>บจ.ไชโยโอวยั้ว</t>
  </si>
  <si>
    <t>DD3302</t>
  </si>
  <si>
    <t>บจ.เมเจอร์ หนองไผ่</t>
  </si>
  <si>
    <t>DD3305</t>
  </si>
  <si>
    <t>หจก.ไทยเสรี ปิโตรเลียม</t>
  </si>
  <si>
    <t>DD3306</t>
  </si>
  <si>
    <t>DD3308</t>
  </si>
  <si>
    <t>บจ.แสนสุข ไลฟ์สเตชั่น</t>
  </si>
  <si>
    <t>DD3326</t>
  </si>
  <si>
    <t>บจ.เคทีทีที กรุ๊ป2019</t>
  </si>
  <si>
    <t>เชียงม่วน</t>
  </si>
  <si>
    <t>DD3354</t>
  </si>
  <si>
    <t>หจก.บูรพา 363 คาเฟ่</t>
  </si>
  <si>
    <t>DD3368</t>
  </si>
  <si>
    <t>บจ.กาแฟทองดี</t>
  </si>
  <si>
    <t>DD3371</t>
  </si>
  <si>
    <t>บจ.สุโขทัยนคร 2018</t>
  </si>
  <si>
    <t>เมืองสุโขทัย</t>
  </si>
  <si>
    <t>DD3380</t>
  </si>
  <si>
    <t>บจ.ดีบี ฟู้ดแอนด์รีเทล</t>
  </si>
  <si>
    <t>DD3381</t>
  </si>
  <si>
    <t>บจ.ชง ปั่น ดื่ม</t>
  </si>
  <si>
    <t>DD3392</t>
  </si>
  <si>
    <t>บจ.พ.เพชรธนวรรณ</t>
  </si>
  <si>
    <t>พระประแดง</t>
  </si>
  <si>
    <t>DD3415</t>
  </si>
  <si>
    <t>บจ.บลูไลน์สเตชั่น</t>
  </si>
  <si>
    <t>DD3420</t>
  </si>
  <si>
    <t>บจ.จันทร์เพ็ญ สเตชั่น</t>
  </si>
  <si>
    <t>หนองหญ้าไซ</t>
  </si>
  <si>
    <t>DD3428</t>
  </si>
  <si>
    <t>บจ.เคแอลพี คอฟฟี่</t>
  </si>
  <si>
    <t>DD3432</t>
  </si>
  <si>
    <t>บจ.กาแฟ อุดมสุข</t>
  </si>
  <si>
    <t>DD3433</t>
  </si>
  <si>
    <t>หจก.เกี่ยวข้องการค้าและการเกษตร</t>
  </si>
  <si>
    <t>DD3436</t>
  </si>
  <si>
    <t>บจ.กฤติพรปิโตรเลียม</t>
  </si>
  <si>
    <t>เมืองกาฬสินธุ์</t>
  </si>
  <si>
    <t>DD3458</t>
  </si>
  <si>
    <t>บจ.อัญญามาร์ท</t>
  </si>
  <si>
    <t>DD3463</t>
  </si>
  <si>
    <t>บจ.ไทยเจริญ เพทโทรล สเตชั่น</t>
  </si>
  <si>
    <t>DD3464</t>
  </si>
  <si>
    <t>บจ.ฟอร์ บี ปิโตรเลียม</t>
  </si>
  <si>
    <t>DD3465</t>
  </si>
  <si>
    <t>บจ.เชน คาเฟ่</t>
  </si>
  <si>
    <t>DD3466</t>
  </si>
  <si>
    <t>บจ.สามารถ เอนเนอร์จี</t>
  </si>
  <si>
    <t>DD3469</t>
  </si>
  <si>
    <t>หจก.มั่นคง คอฟฟี่</t>
  </si>
  <si>
    <t>DD3491</t>
  </si>
  <si>
    <t>บจ.ปทุมพฤกษรักษ์ ปิโตรเลี่ยม</t>
  </si>
  <si>
    <t>DD3528</t>
  </si>
  <si>
    <t>บจ.พีเอสเอส คอฟฟี่บริวเวอร์</t>
  </si>
  <si>
    <t>สูงเนิน</t>
  </si>
  <si>
    <t>DD3531</t>
  </si>
  <si>
    <t>บจ.กาแฟ ทวีวัฒนา</t>
  </si>
  <si>
    <t>DD3532</t>
  </si>
  <si>
    <t>บจ.บลู ปิโตรเลียม</t>
  </si>
  <si>
    <t>DD3539</t>
  </si>
  <si>
    <t>DD3539 หจก.ปัญญามอเตอร์ส</t>
  </si>
  <si>
    <t>DD3542</t>
  </si>
  <si>
    <t>หจก.ภัทรนันท์ คอฟฟี่ช็อป</t>
  </si>
  <si>
    <t>DD3543</t>
  </si>
  <si>
    <t>หจก.ภูมิใจกาแฟ</t>
  </si>
  <si>
    <t>เกาะจันทร์</t>
  </si>
  <si>
    <t>DD3551</t>
  </si>
  <si>
    <t>บจ.แก่นสุพรรณ คอฟฟี่</t>
  </si>
  <si>
    <t>DD3562</t>
  </si>
  <si>
    <t>สากเหล็ก</t>
  </si>
  <si>
    <t>DD3568</t>
  </si>
  <si>
    <t>บจ.พัฒนวิธาน คาเฟ่</t>
  </si>
  <si>
    <t>DD3580</t>
  </si>
  <si>
    <t>DD3585</t>
  </si>
  <si>
    <t>บจ.พีดับเบิ้ลยู สเตชั่น</t>
  </si>
  <si>
    <t>ป่าแดด</t>
  </si>
  <si>
    <t>DD3590</t>
  </si>
  <si>
    <t>บจ.ฉัตรรังษี</t>
  </si>
  <si>
    <t>DD3592</t>
  </si>
  <si>
    <t>บจ.ลาภผลทวียิ่ง</t>
  </si>
  <si>
    <t>DD3593</t>
  </si>
  <si>
    <t>บจ.โกมลประนอม ปิโตรเลียม</t>
  </si>
  <si>
    <t>DD3594</t>
  </si>
  <si>
    <t>บจ.แสงอารี คอฟฟี่</t>
  </si>
  <si>
    <t>DD3600</t>
  </si>
  <si>
    <t>หจก.ศรีนคร คอฟฟี่</t>
  </si>
  <si>
    <t>DD3602</t>
  </si>
  <si>
    <t>บจ.อัศวคาเฟ่ทีเรีย ราชบุรี</t>
  </si>
  <si>
    <t>DD3604</t>
  </si>
  <si>
    <t>DD3608</t>
  </si>
  <si>
    <t>DD3616</t>
  </si>
  <si>
    <t>บจ.พาวเวอร์ เจเค</t>
  </si>
  <si>
    <t>DD3617</t>
  </si>
  <si>
    <t>บจ.คอฟฟี่เบย์</t>
  </si>
  <si>
    <t>DD3619</t>
  </si>
  <si>
    <t>บจ.เอส.ที. เลียบวารี ปิโตรเลียม</t>
  </si>
  <si>
    <t>DD3621</t>
  </si>
  <si>
    <t>บจ.ตั้งน่ำเฮง</t>
  </si>
  <si>
    <t>DD3629</t>
  </si>
  <si>
    <t>บจ.เกณิกา</t>
  </si>
  <si>
    <t>DD3634</t>
  </si>
  <si>
    <t>บจ.พรนับพันปิโตรเลียม</t>
  </si>
  <si>
    <t>กะเปอร์</t>
  </si>
  <si>
    <t>DD3662</t>
  </si>
  <si>
    <t>บจ.สมฤดี 2563</t>
  </si>
  <si>
    <t>DD3671</t>
  </si>
  <si>
    <t>หจก.ทรัพย์อนันต์ออลล์</t>
  </si>
  <si>
    <t>DD3704</t>
  </si>
  <si>
    <t>หจก.ภัทรพลชนก</t>
  </si>
  <si>
    <t>DD3706</t>
  </si>
  <si>
    <t>หจก.เพิ่มสินคอฟฟี่</t>
  </si>
  <si>
    <t>DD3716</t>
  </si>
  <si>
    <t>บจ.ดรีมคอฟฟี่</t>
  </si>
  <si>
    <t>DD3717</t>
  </si>
  <si>
    <t>บจก.คุ้มเกล้า คอฟฟี่การ์เด้น</t>
  </si>
  <si>
    <t>DD3718</t>
  </si>
  <si>
    <t>DD3725</t>
  </si>
  <si>
    <t>DD3727</t>
  </si>
  <si>
    <t>ทุ่งตะโก</t>
  </si>
  <si>
    <t>DD3731</t>
  </si>
  <si>
    <t>บจ.พงศ์พันธ์ ปิโตรเลียม 99</t>
  </si>
  <si>
    <t>ชัยบุรี</t>
  </si>
  <si>
    <t>DD3734</t>
  </si>
  <si>
    <t>บจก.เทพารักษ์ แฮปปี้ คัพ</t>
  </si>
  <si>
    <t>DD3735</t>
  </si>
  <si>
    <t>บจก.ชไมวารีมาศ</t>
  </si>
  <si>
    <t>DD3749</t>
  </si>
  <si>
    <t>บจ.ฟอร์มูลาปิโตรเลียม</t>
  </si>
  <si>
    <t>DD3751</t>
  </si>
  <si>
    <t>บจ.ซีเอ็ม ออยล์</t>
  </si>
  <si>
    <t>DD3762</t>
  </si>
  <si>
    <t>DD3762 บริษัท พิณญ์แก้วรุ่งเรืองยั่งยืน จำกัด (สำนักงานใหญ่)</t>
  </si>
  <si>
    <t>DD3785</t>
  </si>
  <si>
    <t>หจก.บัวศรีกิตติยา</t>
  </si>
  <si>
    <t>ร่องคำ</t>
  </si>
  <si>
    <t>DD3799</t>
  </si>
  <si>
    <t>บจ.ทีโอเอ็ม รีเทล</t>
  </si>
  <si>
    <t>DD3812</t>
  </si>
  <si>
    <t>หจก.บ้านก่อ คอฟฟี่</t>
  </si>
  <si>
    <t>DD3827</t>
  </si>
  <si>
    <t>DD3827 บจ. เอส.บี.ออโตเซลส์</t>
  </si>
  <si>
    <t>DD3837</t>
  </si>
  <si>
    <t>DD3839</t>
  </si>
  <si>
    <t>บจ.ธนิญา คาเฟ่</t>
  </si>
  <si>
    <t>DD3854</t>
  </si>
  <si>
    <t>หจก.ภูฆัง สเตชั่น</t>
  </si>
  <si>
    <t>DD3860</t>
  </si>
  <si>
    <t>หจก.รุ่งเรืองวังสะพุงซุปเปอร์สโตร์</t>
  </si>
  <si>
    <t>นาวัง</t>
  </si>
  <si>
    <t>DD3866</t>
  </si>
  <si>
    <t>บจ.11.5 ออยล์</t>
  </si>
  <si>
    <t>DD3876</t>
  </si>
  <si>
    <t>บจ.กระติ๊บ คอฟฟี่</t>
  </si>
  <si>
    <t>DD3900</t>
  </si>
  <si>
    <t>บจ.ที.พี.เอส.ปิโตรเลียม</t>
  </si>
  <si>
    <t>DD3908</t>
  </si>
  <si>
    <t>บจก.แจนทเวนตี้วัน</t>
  </si>
  <si>
    <t>DD3909</t>
  </si>
  <si>
    <t>บริษัท ระโนด เอ็นจีวี ปิโตรเลียม จำ</t>
  </si>
  <si>
    <t>DD3910</t>
  </si>
  <si>
    <t>หจก.ดรีมคาเฟ่</t>
  </si>
  <si>
    <t>DD3914</t>
  </si>
  <si>
    <t>บจ.ตากไม้งามเอนเนอจี</t>
  </si>
  <si>
    <t>DD3918</t>
  </si>
  <si>
    <t>บจ.คาน่อน คอฟฟี่</t>
  </si>
  <si>
    <t>DD3925</t>
  </si>
  <si>
    <t>บจ.สตาร์ แก๊ส</t>
  </si>
  <si>
    <t>DD3932</t>
  </si>
  <si>
    <t>หจก.นายนพคาเฟ่</t>
  </si>
  <si>
    <t>DD3935</t>
  </si>
  <si>
    <t>DD3943</t>
  </si>
  <si>
    <t>DD3945</t>
  </si>
  <si>
    <t>บจ.แก้วสมบูรณ์ปิโตรเลียม</t>
  </si>
  <si>
    <t>เมืองพัทลุง</t>
  </si>
  <si>
    <t>DD3948</t>
  </si>
  <si>
    <t>บจ.นราเดช 15</t>
  </si>
  <si>
    <t>DD3957</t>
  </si>
  <si>
    <t>DD3961</t>
  </si>
  <si>
    <t>หจก.เทพประสิทธิ์ มอเตอร์ ออยล์</t>
  </si>
  <si>
    <t>ลืออำนาจ</t>
  </si>
  <si>
    <t>DD3982</t>
  </si>
  <si>
    <t>บจ.ปาลีรัตน์ ปิโตรเลียม</t>
  </si>
  <si>
    <t>DD3985</t>
  </si>
  <si>
    <t>DD3988</t>
  </si>
  <si>
    <t>หจก.วีระทรัพย์ เซอร์วิส</t>
  </si>
  <si>
    <t>DD3990</t>
  </si>
  <si>
    <t>บจ.โชติกา คอฟฟี่</t>
  </si>
  <si>
    <t>DD4003</t>
  </si>
  <si>
    <t>หจก.พี ดี บริการ</t>
  </si>
  <si>
    <t>DD4021</t>
  </si>
  <si>
    <t>บจ.เอ ทีม59</t>
  </si>
  <si>
    <t>ลาดกระบัง</t>
  </si>
  <si>
    <t>DD4023</t>
  </si>
  <si>
    <t>บจ.อัครปิโตรเลียม</t>
  </si>
  <si>
    <t>DD4030</t>
  </si>
  <si>
    <t>บจ.ธนรุ่งโรจน์ คอฟฟี่</t>
  </si>
  <si>
    <t>DD4033</t>
  </si>
  <si>
    <t>หจก.นิตย์ ปิโตรเลียม 2494</t>
  </si>
  <si>
    <t>DD4034</t>
  </si>
  <si>
    <t>บจ.ศิริสาคร พาวเวอร์5</t>
  </si>
  <si>
    <t>DD4039</t>
  </si>
  <si>
    <t>บจ.สมบุญก๊าซธรรมชาติ</t>
  </si>
  <si>
    <t>DD4043</t>
  </si>
  <si>
    <t>บจ.ดีเอ็นเอสพี รุ่งโรจน์</t>
  </si>
  <si>
    <t>DD4051</t>
  </si>
  <si>
    <t>บจก.กรีน พรีเมียม คาเฟ่</t>
  </si>
  <si>
    <t>DD4058</t>
  </si>
  <si>
    <t>บจก.สมายล์ เพลส แอนด์ เทรดดิ้ง 1</t>
  </si>
  <si>
    <t>DD4068</t>
  </si>
  <si>
    <t>บจ.สุขุมเซอร์วิส</t>
  </si>
  <si>
    <t>DD4073</t>
  </si>
  <si>
    <t>DD4083</t>
  </si>
  <si>
    <t>บริษัท สามเงาบุรี จำกัด</t>
  </si>
  <si>
    <t>บ้านตาก</t>
  </si>
  <si>
    <t>DD4089</t>
  </si>
  <si>
    <t>บจ.บ้านถ้ำเบฟเวอเรจ</t>
  </si>
  <si>
    <t>DD4099</t>
  </si>
  <si>
    <t>บจ.เกื้อกูลปิโตรเลียม</t>
  </si>
  <si>
    <t>DD4105</t>
  </si>
  <si>
    <t>หจก.รุ่งเรืองวังสะพุง มาร์ท</t>
  </si>
  <si>
    <t>DD4106</t>
  </si>
  <si>
    <t>DD4107</t>
  </si>
  <si>
    <t>DD4115</t>
  </si>
  <si>
    <t>หจก.ทรัพย์มณีพร บริการ</t>
  </si>
  <si>
    <t>DD4116</t>
  </si>
  <si>
    <t>บจ.เซ็นเตอร์รุ่งเรือง</t>
  </si>
  <si>
    <t>DD4128</t>
  </si>
  <si>
    <t>บจ.เอม ฟอร์</t>
  </si>
  <si>
    <t>สะพานสูง</t>
  </si>
  <si>
    <t>DD4140</t>
  </si>
  <si>
    <t>บจ.พลังไทยเพื่อไทย</t>
  </si>
  <si>
    <t>DD4144</t>
  </si>
  <si>
    <t>หจก.เดอะ เบสท์ คอฟฟี่</t>
  </si>
  <si>
    <t>DD4151</t>
  </si>
  <si>
    <t>บจ.โกลเด้น เบฟเวอเรจ</t>
  </si>
  <si>
    <t>DD4154</t>
  </si>
  <si>
    <t>DD4154 บริษัท วุฒิธรรมปิโตรเลียม จำกัด (สำนักงานใหญ่)</t>
  </si>
  <si>
    <t>DD4155</t>
  </si>
  <si>
    <t>DD4158</t>
  </si>
  <si>
    <t>บจ.อินฟีนีตี้ ปิโตรเลียม</t>
  </si>
  <si>
    <t>DD4159</t>
  </si>
  <si>
    <t>DD4162</t>
  </si>
  <si>
    <t>บจ.เทียนทะเล คาเฟ่</t>
  </si>
  <si>
    <t>DD4164</t>
  </si>
  <si>
    <t>บจ.เอกศิริ ปิโตรเลียม</t>
  </si>
  <si>
    <t>ระโนด</t>
  </si>
  <si>
    <t>DD4170</t>
  </si>
  <si>
    <t>บจ.เจ ซี อินเตอร์เนชั่นแนล</t>
  </si>
  <si>
    <t>DD4189</t>
  </si>
  <si>
    <t>หจก.หล่มเก่าปิโตรเลียม</t>
  </si>
  <si>
    <t>DD4192</t>
  </si>
  <si>
    <t>DD4196</t>
  </si>
  <si>
    <t>DD4198</t>
  </si>
  <si>
    <t>บจ.ทีเอ็นดับเบิลยู ปิโตร</t>
  </si>
  <si>
    <t>DD4208</t>
  </si>
  <si>
    <t>บจ.สร้างเสริมเพิ่มทรัพย์</t>
  </si>
  <si>
    <t>ผักไห่</t>
  </si>
  <si>
    <t>DD4230</t>
  </si>
  <si>
    <t>DD4236</t>
  </si>
  <si>
    <t>บจ.หวลบุดตา ปิโตรเลียม</t>
  </si>
  <si>
    <t>DD4249</t>
  </si>
  <si>
    <t>DD4250</t>
  </si>
  <si>
    <t>หจก.วัฒนานุกิจ บ้านเพ</t>
  </si>
  <si>
    <t>DD4254</t>
  </si>
  <si>
    <t>บจ.เคพีเอส นครปฐม (2022)</t>
  </si>
  <si>
    <t>DD4281</t>
  </si>
  <si>
    <t>บจ.ศุภเกียรติ 2021</t>
  </si>
  <si>
    <t>ดินแดง</t>
  </si>
  <si>
    <t>DD4283</t>
  </si>
  <si>
    <t>บจ.ดีเยี่ยม อินโนเวชั่น</t>
  </si>
  <si>
    <t>DD4285</t>
  </si>
  <si>
    <t>หจก.๙๙๙ อินทรทรัพย์ ปิโตรเลียม</t>
  </si>
  <si>
    <t>ห้วยกระเจา</t>
  </si>
  <si>
    <t>DD4306</t>
  </si>
  <si>
    <t>บจ.วณิช คาเฟ่</t>
  </si>
  <si>
    <t>DD4309</t>
  </si>
  <si>
    <t>หจก.ป.อุบลทวีทรัพย์ดอนตาล</t>
  </si>
  <si>
    <t>ดอนตาล</t>
  </si>
  <si>
    <t>DD4318</t>
  </si>
  <si>
    <t>บจ.แอลซีเอ็น9</t>
  </si>
  <si>
    <t>DD4348</t>
  </si>
  <si>
    <t>หจก.ปรีชาทรัพย์ คอฟฟี่</t>
  </si>
  <si>
    <t>DD4352</t>
  </si>
  <si>
    <t>บจ.นาคาคอฟฟี่</t>
  </si>
  <si>
    <t>DD4360</t>
  </si>
  <si>
    <t>บจ.เลิศประเสริฐ 59</t>
  </si>
  <si>
    <t>DD4362</t>
  </si>
  <si>
    <t>บจ.สาคร เบฟเวอเรจ</t>
  </si>
  <si>
    <t>DD4363</t>
  </si>
  <si>
    <t>บจ.ก เอ็นเนอร์ยี่ พลัส</t>
  </si>
  <si>
    <t>DD4394</t>
  </si>
  <si>
    <t>ปลาปาก</t>
  </si>
  <si>
    <t>DD4401</t>
  </si>
  <si>
    <t>บจ.เครื่องดื่มดี</t>
  </si>
  <si>
    <t>DD4435</t>
  </si>
  <si>
    <t>หจก.มีทรัพย์ คาเฟ่</t>
  </si>
  <si>
    <t>DD4438</t>
  </si>
  <si>
    <t>บจ.กู้ดมอร์นิ่ง คอฟฟี่</t>
  </si>
  <si>
    <t>DD4439</t>
  </si>
  <si>
    <t>บจ.ลีลกิจ คอฟฟี่ เฮ้าส์</t>
  </si>
  <si>
    <t>DD4440</t>
  </si>
  <si>
    <t>บจ. สยาม ไอ.บี. โอ.อาร์.</t>
  </si>
  <si>
    <t>DD4462</t>
  </si>
  <si>
    <t>บจ.ศรีเลขา ปิโตรเลียม พลัส</t>
  </si>
  <si>
    <t>DD4463</t>
  </si>
  <si>
    <t>บจ.ซีเอ็นเจ มณี</t>
  </si>
  <si>
    <t>DD4465</t>
  </si>
  <si>
    <t>บจ.เอสเอ็มเจ คาเฟ่</t>
  </si>
  <si>
    <t>DD4476</t>
  </si>
  <si>
    <t>DD4477</t>
  </si>
  <si>
    <t>บจก.พี.เอส.เอ็ม. คอฟฟี่</t>
  </si>
  <si>
    <t>DD4513</t>
  </si>
  <si>
    <t>บจ.พรรุ่งเรือง คาเฟ่</t>
  </si>
  <si>
    <t>DD4519</t>
  </si>
  <si>
    <t>บจ.พี.เอส.วาย.พลัส</t>
  </si>
  <si>
    <t>DD4520</t>
  </si>
  <si>
    <t>บจ.ที.ทวี</t>
  </si>
  <si>
    <t>DD4528</t>
  </si>
  <si>
    <t>บจ.ภูฆัง พรีเมี่ยม จำกัด</t>
  </si>
  <si>
    <t>DD4531</t>
  </si>
  <si>
    <t>บจ.บ้านนกกระเต็น</t>
  </si>
  <si>
    <t>DD4532</t>
  </si>
  <si>
    <t>บจ.อ่อนนุชรุ่งเรือง</t>
  </si>
  <si>
    <t>DD4547</t>
  </si>
  <si>
    <t>บจ.เซเว่น เอเอ็ม</t>
  </si>
  <si>
    <t>คลองเตย</t>
  </si>
  <si>
    <t>DD4563</t>
  </si>
  <si>
    <t>บจ.พีที เพชรธนวรรณ</t>
  </si>
  <si>
    <t>DD4570</t>
  </si>
  <si>
    <t>บจ.แอดพาร์ค พาวเวอร์</t>
  </si>
  <si>
    <t>DD4572</t>
  </si>
  <si>
    <t>บจ.ปันณชนก ฟู้ดแอนด์เบฟเวอเรจ</t>
  </si>
  <si>
    <t>ศรีมหาโพธิ</t>
  </si>
  <si>
    <t>DD4578</t>
  </si>
  <si>
    <t>DD4598</t>
  </si>
  <si>
    <t>บจ.มีพร้อมปิโตรเลียม</t>
  </si>
  <si>
    <t>บ้านเป็ด</t>
  </si>
  <si>
    <t>DD4599</t>
  </si>
  <si>
    <t>บจ.บีบีพี กรุ๊ป 2021</t>
  </si>
  <si>
    <t>DD4616</t>
  </si>
  <si>
    <t>บจ.กาแฟทองดี นครอินทร์</t>
  </si>
  <si>
    <t>DD4641</t>
  </si>
  <si>
    <t>บจ.พระยาแล ออยล์</t>
  </si>
  <si>
    <t>DD4648</t>
  </si>
  <si>
    <t>หจก.ภูริชญา 2022 กรุ๊ป</t>
  </si>
  <si>
    <t>DD4659</t>
  </si>
  <si>
    <t>บจ.ภูมิพิพัฒน์ เอนเนอจี</t>
  </si>
  <si>
    <t>DD4660</t>
  </si>
  <si>
    <t>บจ. เอ.ที. หนองชาก ปิโตรเลียม</t>
  </si>
  <si>
    <t>DD4694</t>
  </si>
  <si>
    <t>บจ.นคราคอฟฟี่ช๊อป</t>
  </si>
  <si>
    <t>DD4698</t>
  </si>
  <si>
    <t>บจ.สิทธิวง เอ็นเนอจี พลัส</t>
  </si>
  <si>
    <t>โคกสำโรง</t>
  </si>
  <si>
    <t>DD4700</t>
  </si>
  <si>
    <t>หจก.ดี ดี กาแฟหัวหิน</t>
  </si>
  <si>
    <t>DD4701</t>
  </si>
  <si>
    <t>บจ.ลำพูนแฮปปี้คาเฟ่</t>
  </si>
  <si>
    <t>DD4703</t>
  </si>
  <si>
    <t>บจก.ยุวเทพเบฟเวอเรจ</t>
  </si>
  <si>
    <t>DD4723</t>
  </si>
  <si>
    <t>บจ.น้องเจษ 007</t>
  </si>
  <si>
    <t>DD4749</t>
  </si>
  <si>
    <t>บจ.ออโต้วัน บูรพาพัฒน์ เบเวอเรจ</t>
  </si>
  <si>
    <t>DD4774</t>
  </si>
  <si>
    <t>บ้านใหม่ไชยพจน์</t>
  </si>
  <si>
    <t>DD4783</t>
  </si>
  <si>
    <t>บจ.เจบีเอ็ม รีเทล 2023</t>
  </si>
  <si>
    <t>DD4787</t>
  </si>
  <si>
    <t>บจ.สมายล์ อาร์</t>
  </si>
  <si>
    <t>DD4804</t>
  </si>
  <si>
    <t>หจก.วานิช เบฟเวอเรจ</t>
  </si>
  <si>
    <t>DD4818</t>
  </si>
  <si>
    <t>บจ.มีสตางค์ สเตชั่น</t>
  </si>
  <si>
    <t>DD4823</t>
  </si>
  <si>
    <t>DD4825</t>
  </si>
  <si>
    <t>บจ.ดีบี ฟู้ดแอนด์เซอร์วิส</t>
  </si>
  <si>
    <t>DD4829</t>
  </si>
  <si>
    <t>บจ.พุทธบูชา สเตชั่น</t>
  </si>
  <si>
    <t>ทุ่งครุ</t>
  </si>
  <si>
    <t>DD4832</t>
  </si>
  <si>
    <t>หจก.ฮัก ก๊อตจิ ค็อฟฟี่</t>
  </si>
  <si>
    <t>พังโคน</t>
  </si>
  <si>
    <t>DD4836</t>
  </si>
  <si>
    <t>บจ.เอพี ริช ดริ้ง</t>
  </si>
  <si>
    <t>DD4844</t>
  </si>
  <si>
    <t>บจ.เคทีอาร์ คอฟฟี่ (2022)</t>
  </si>
  <si>
    <t>DD4858</t>
  </si>
  <si>
    <t>DD4860</t>
  </si>
  <si>
    <t>หจก.ถาวรเจริญปิโตรเลียม</t>
  </si>
  <si>
    <t>DD4865</t>
  </si>
  <si>
    <t>บจ.บ้านค่าย ปิโตรเลียม เซอร์วิส</t>
  </si>
  <si>
    <t>DD4876</t>
  </si>
  <si>
    <t>DD4891</t>
  </si>
  <si>
    <t>หจก.เอิธ คาเฟ่</t>
  </si>
  <si>
    <t>DD4906</t>
  </si>
  <si>
    <t>หจก.อุดรชัยวัฒนาเบฟเวอเรจ</t>
  </si>
  <si>
    <t>DD4912</t>
  </si>
  <si>
    <t>บจ.สเตชั่น ฟิวเจอร์</t>
  </si>
  <si>
    <t>ดอนเมือง</t>
  </si>
  <si>
    <t>DD4927</t>
  </si>
  <si>
    <t>หจก.ธัญนิติ เทรดดิ้ง</t>
  </si>
  <si>
    <t>DD4930</t>
  </si>
  <si>
    <t>บจ.สัมฤทธิ์โชค</t>
  </si>
  <si>
    <t>บางปะอิน</t>
  </si>
  <si>
    <t>DD4946</t>
  </si>
  <si>
    <t>DD4961</t>
  </si>
  <si>
    <t>บจ.เคจี สเตชั่น</t>
  </si>
  <si>
    <t>DD4977</t>
  </si>
  <si>
    <t>หจก.ออร่าบุญปิโตรเลียม</t>
  </si>
  <si>
    <t>ป่าติ้ว</t>
  </si>
  <si>
    <t>DD4984</t>
  </si>
  <si>
    <t>DD4991</t>
  </si>
  <si>
    <t>บจ.เดอะ วอร์ฟ พลาซ่า สมุย</t>
  </si>
  <si>
    <t>ราชเทวี</t>
  </si>
  <si>
    <t>DD4998</t>
  </si>
  <si>
    <t>บจ.๙ ปิโตร แอนด์ เซอร์วิส</t>
  </si>
  <si>
    <t>DD5005</t>
  </si>
  <si>
    <t>บจ.แดนคูนกรีนเพาเวอร์</t>
  </si>
  <si>
    <t>DD5010</t>
  </si>
  <si>
    <t>บจ.ตั้งเซ่งฮงหนองคาย</t>
  </si>
  <si>
    <t>หนองคาย</t>
  </si>
  <si>
    <t>เมืองหนองคาย</t>
  </si>
  <si>
    <t>DD5017</t>
  </si>
  <si>
    <t>หจก.บี เอ็ม เค ปิโตรเลียม</t>
  </si>
  <si>
    <t>DD5026</t>
  </si>
  <si>
    <t>บจ.ล่ำซำดี</t>
  </si>
  <si>
    <t>DD5044</t>
  </si>
  <si>
    <t>บจ.เจ วรินทร์</t>
  </si>
  <si>
    <t>DD5046</t>
  </si>
  <si>
    <t>บจ.อัครเดช</t>
  </si>
  <si>
    <t>DD5058</t>
  </si>
  <si>
    <t>บจ.เกรท คาเฟ่</t>
  </si>
  <si>
    <t>DD5059</t>
  </si>
  <si>
    <t>บจ.อุตรดิตถ์ทรัพย์ไพศาลปิโตรเลียม</t>
  </si>
  <si>
    <t>พิชัย</t>
  </si>
  <si>
    <t>DD5062</t>
  </si>
  <si>
    <t>บจ.รุ่งเรืองชัย 2020</t>
  </si>
  <si>
    <t>DD5064</t>
  </si>
  <si>
    <t>DD5065</t>
  </si>
  <si>
    <t>บจ.จ.อภิทรัพย์99</t>
  </si>
  <si>
    <t>DD5075</t>
  </si>
  <si>
    <t>บจ.พี.เอ็น.พร็อพเพอตี้ 2022</t>
  </si>
  <si>
    <t>DD5076</t>
  </si>
  <si>
    <t>บจ.เอช ซี เอ็น เอ็นเนอร์จี</t>
  </si>
  <si>
    <t>หลักสี่</t>
  </si>
  <si>
    <t>DD5077</t>
  </si>
  <si>
    <t>บจ.เจ.พี. พาวเวอร์ ออยล์</t>
  </si>
  <si>
    <t>DD5078</t>
  </si>
  <si>
    <t>บจ.จิรัฏฐ์ปิติกร</t>
  </si>
  <si>
    <t>DD5079</t>
  </si>
  <si>
    <t>บริษัท ทีเอ็นพี ปิโตรเลียม (2024)</t>
  </si>
  <si>
    <t>DD5089</t>
  </si>
  <si>
    <t>บจ.โนเวล ดริ๊งค์</t>
  </si>
  <si>
    <t>DD5092</t>
  </si>
  <si>
    <t>บจ.ลานทอง สะพานมิตรภาพ มุกดาหาร</t>
  </si>
  <si>
    <t>DD5097</t>
  </si>
  <si>
    <t>บจ.ออโต้ ทรี รีเทล</t>
  </si>
  <si>
    <t>DD5100</t>
  </si>
  <si>
    <t>บจ.อังคณาวิศัลย์ สเตชั่น</t>
  </si>
  <si>
    <t>DD5106</t>
  </si>
  <si>
    <t>บจ.รดาเบฟเวอเรจ</t>
  </si>
  <si>
    <t>DD5108</t>
  </si>
  <si>
    <t>หจก.ภูฆัง ออยล์</t>
  </si>
  <si>
    <t>DD5109</t>
  </si>
  <si>
    <t>บจ.ศิริธนากุลศักดิ์</t>
  </si>
  <si>
    <t>DD5115</t>
  </si>
  <si>
    <t>บจ.เบสท์ เพอร์ฟอร์แมนซ์</t>
  </si>
  <si>
    <t>DD5118</t>
  </si>
  <si>
    <t>บจ.อินทรีย์ พาวเวอร์</t>
  </si>
  <si>
    <t>ปง</t>
  </si>
  <si>
    <t>DD5119</t>
  </si>
  <si>
    <t>บจ.วรยา เบฟเวอร์เรจ</t>
  </si>
  <si>
    <t>DD5120</t>
  </si>
  <si>
    <t>บจ.เติมเฮงปิโตรเลียม</t>
  </si>
  <si>
    <t>DD5128</t>
  </si>
  <si>
    <t>บจ.เขาใหญ่ เอฟเวนิว</t>
  </si>
  <si>
    <t>DD5137</t>
  </si>
  <si>
    <t>บจ.อุดมเดชพาวเวอร์เอนเนอร์ยี</t>
  </si>
  <si>
    <t>จังหาร</t>
  </si>
  <si>
    <t>DD5149</t>
  </si>
  <si>
    <t>บจ.สมจิตรคอบร้า</t>
  </si>
  <si>
    <t>DD5160</t>
  </si>
  <si>
    <t>บจ.ฟีนิกซ์ 101 เทรดดิ้ง</t>
  </si>
  <si>
    <t>DD5169</t>
  </si>
  <si>
    <t>บจ.มหาทรัพย์ ปิโตรเลียม</t>
  </si>
  <si>
    <t>DD5171</t>
  </si>
  <si>
    <t>บจ.ทรัพย์ตระการตา ค้าปลีก</t>
  </si>
  <si>
    <t>บางบ่อ</t>
  </si>
  <si>
    <t>DD5172</t>
  </si>
  <si>
    <t>บจ.พีเอสวาย แวงใหญ่</t>
  </si>
  <si>
    <t>ชนบท</t>
  </si>
  <si>
    <t>DD5175</t>
  </si>
  <si>
    <t>บจ.ซีมิกซ์สเตชั่น</t>
  </si>
  <si>
    <t>DD5181</t>
  </si>
  <si>
    <t>บจ.เครม่า โกลด์</t>
  </si>
  <si>
    <t>DD5190</t>
  </si>
  <si>
    <t>หจก.มีสุข คาเฟ่</t>
  </si>
  <si>
    <t>DD5197</t>
  </si>
  <si>
    <t>หจก.สวัสดิ์ไพบูลย์ สเตชั่น</t>
  </si>
  <si>
    <t>DD5202</t>
  </si>
  <si>
    <t>DD5208</t>
  </si>
  <si>
    <t>บจ.ทีเอเอ็น คาเฟ่</t>
  </si>
  <si>
    <t>DD5211</t>
  </si>
  <si>
    <t>หจก.กู๊ดบอย คอฟฟี่</t>
  </si>
  <si>
    <t>ภาชี</t>
  </si>
  <si>
    <t>DD5214</t>
  </si>
  <si>
    <t>บจ.ล่ำซัม เอนเนอร์ยี่</t>
  </si>
  <si>
    <t>DD5215</t>
  </si>
  <si>
    <t>ห้างหุ้นส่วนจำกัด น้ำมันเด่นชัย</t>
  </si>
  <si>
    <t>DD5227</t>
  </si>
  <si>
    <t>DD5229</t>
  </si>
  <si>
    <t>บจ.เออีซี สิริ</t>
  </si>
  <si>
    <t>โนนสะอาด</t>
  </si>
  <si>
    <t>DD5234</t>
  </si>
  <si>
    <t>DD5234 บจ.ปิติพัฒน์ สเตชั่น</t>
  </si>
  <si>
    <t>บจ.ปิติพัฒน์ สเตชั่น</t>
  </si>
  <si>
    <t>DD5257</t>
  </si>
  <si>
    <t>บจ.เบฟเวอร์ลาสติ้ง</t>
  </si>
  <si>
    <t>DD5273</t>
  </si>
  <si>
    <t>บจ.อาร์ซีพี คอฟฟี่ ช้อป</t>
  </si>
  <si>
    <t>DD5278</t>
  </si>
  <si>
    <t>บจ.ศรีสมวงศ์9</t>
  </si>
  <si>
    <t>DD5293</t>
  </si>
  <si>
    <t>หจก.ทีพีเอ็น365เอสเค</t>
  </si>
  <si>
    <t>สามโก้</t>
  </si>
  <si>
    <t>DD5301</t>
  </si>
  <si>
    <t>DD5306</t>
  </si>
  <si>
    <t>บจ.อนันตเจริญ</t>
  </si>
  <si>
    <t>DD5309</t>
  </si>
  <si>
    <t>บจ.ศิริ ปิโตรเลียม 2568</t>
  </si>
  <si>
    <t>DD5355</t>
  </si>
  <si>
    <t>บจ.ช.ทรัพย์ทวี2025</t>
  </si>
  <si>
    <t>เพรชบุรี</t>
  </si>
  <si>
    <t>DD5358</t>
  </si>
  <si>
    <t>บจ.วราลี ออยล์</t>
  </si>
  <si>
    <t>DD5360</t>
  </si>
  <si>
    <t>บจ.บุญดาวี ปิโตรเลียม</t>
  </si>
  <si>
    <t>สวี</t>
  </si>
  <si>
    <t>DD5368</t>
  </si>
  <si>
    <t>บจ.เพชรชมภู พรีมา</t>
  </si>
  <si>
    <t>DD5371</t>
  </si>
  <si>
    <t>บจ.เก้าดี รุ่งโรจน์</t>
  </si>
  <si>
    <t>DD5380</t>
  </si>
  <si>
    <t>หจก.ภาณุวัฒน์ ปิโตรเลียม สกลนคร</t>
  </si>
  <si>
    <t>DD5382</t>
  </si>
  <si>
    <t>บจ.สุขสมเกียรติ เอนเนอร์จี้</t>
  </si>
  <si>
    <t>หนองแซง</t>
  </si>
  <si>
    <t>DD5388</t>
  </si>
  <si>
    <t>บริษัท สิริ ออลล์ จำกัด</t>
  </si>
  <si>
    <t>DD5403</t>
  </si>
  <si>
    <t>บจ.พ่อเถ้าแก่ แม่ชาววัง</t>
  </si>
  <si>
    <t>DD5410</t>
  </si>
  <si>
    <t>DD5412</t>
  </si>
  <si>
    <t>บจ.จันพิพัฒน์</t>
  </si>
  <si>
    <t>DD5414</t>
  </si>
  <si>
    <t>บจ.พีเออาร์ คาเฟ่</t>
  </si>
  <si>
    <t>DD5415</t>
  </si>
  <si>
    <t>DD5418</t>
  </si>
  <si>
    <t>บจ.มันนี่เมอร์รี่</t>
  </si>
  <si>
    <t>DD5423</t>
  </si>
  <si>
    <t>บจ.แอลเอชเอ็ม พาวเวอร์</t>
  </si>
  <si>
    <t>DD5435</t>
  </si>
  <si>
    <t>หจก.บูรพาอิงจันท์</t>
  </si>
  <si>
    <t>DD5436</t>
  </si>
  <si>
    <t>บจ.ฟอร์ บี 2025</t>
  </si>
  <si>
    <t>DD5441</t>
  </si>
  <si>
    <t>บจ.ตรังรุ่งโรจน์พรีเมียมริช</t>
  </si>
  <si>
    <t>DD5445</t>
  </si>
  <si>
    <t>บจ.ชานุวรรณ ซีเล็ค</t>
  </si>
  <si>
    <t>พนมไพร</t>
  </si>
  <si>
    <t>DD5451</t>
  </si>
  <si>
    <t>บจ.ศาสตร์สุวรรณ ออยล์</t>
  </si>
  <si>
    <t>รัฐฎา</t>
  </si>
  <si>
    <t>DD5457</t>
  </si>
  <si>
    <t>บจ.เค ซี ปิโตรเลียม ยโสธร</t>
  </si>
  <si>
    <t>DD5458</t>
  </si>
  <si>
    <t>บจ.สิริเจริญวัฒนา</t>
  </si>
  <si>
    <t>DD5462</t>
  </si>
  <si>
    <t>บจ.เมืองเพชร ปิโตรเลียม</t>
  </si>
  <si>
    <t>DD5469</t>
  </si>
  <si>
    <t>บจ.168 ขวัญเมือง เทรดดิ้ง คอร์ปอเรช</t>
  </si>
  <si>
    <t>DD5473</t>
  </si>
  <si>
    <t>หจก.ประสานมิตรคอฟฟี่</t>
  </si>
  <si>
    <t>DD5491</t>
  </si>
  <si>
    <t>บจ.ทรัพย์ยิ่งเจริญ 2025</t>
  </si>
  <si>
    <t>DD5509</t>
  </si>
  <si>
    <t>หจก.ต้นเกตุปิโตรเลียม</t>
  </si>
  <si>
    <t>DD5517</t>
  </si>
  <si>
    <t>บจ.อิ่มใจไพศาล</t>
  </si>
  <si>
    <t>DD5523</t>
  </si>
  <si>
    <t>บจ.พรรณ คาเฟ่</t>
  </si>
  <si>
    <t>บึงสามพัน</t>
  </si>
  <si>
    <t>DD5541</t>
  </si>
  <si>
    <t>บจ.เอส ดับบลิว พาร์ค</t>
  </si>
  <si>
    <t>DD5562</t>
  </si>
  <si>
    <t>บจ.ฉันทะทวีวรรธน์</t>
  </si>
  <si>
    <t>ศรีสำโรง</t>
  </si>
  <si>
    <t>DD5603</t>
  </si>
  <si>
    <t>บจ.ปิยวิไลเพชรน้ำมัน</t>
  </si>
  <si>
    <t>DD5614</t>
  </si>
  <si>
    <t>บจ.ปตท. ไทยเจริญ</t>
  </si>
  <si>
    <t>ไทยเจริญ</t>
  </si>
  <si>
    <t>JM0473</t>
  </si>
  <si>
    <t>บริษัท ปตท. บริหารธุรกิจค้าปลีก จำก</t>
  </si>
  <si>
    <t>JM0474</t>
  </si>
  <si>
    <t>JM0479</t>
  </si>
  <si>
    <t>JM0484</t>
  </si>
  <si>
    <t>บางปะกง</t>
  </si>
  <si>
    <t>JM0487</t>
  </si>
  <si>
    <t>JM0544</t>
  </si>
  <si>
    <t>JM0553</t>
  </si>
  <si>
    <t>JM0652</t>
  </si>
  <si>
    <t>JM0759</t>
  </si>
  <si>
    <t>JM0760</t>
  </si>
  <si>
    <t>JM0824</t>
  </si>
  <si>
    <t>บางกะปิ</t>
  </si>
  <si>
    <t>JM0825</t>
  </si>
  <si>
    <t>JM0826</t>
  </si>
  <si>
    <t>JM0843</t>
  </si>
  <si>
    <t>JM0926</t>
  </si>
  <si>
    <t>JM1015</t>
  </si>
  <si>
    <t>JM1801</t>
  </si>
  <si>
    <t>JM3023</t>
  </si>
  <si>
    <t>RM0016</t>
  </si>
  <si>
    <t>RM0050</t>
  </si>
  <si>
    <t>RM0051</t>
  </si>
  <si>
    <t>RM0052</t>
  </si>
  <si>
    <t>RM0465</t>
  </si>
  <si>
    <t>RM0466</t>
  </si>
  <si>
    <t>RM0514</t>
  </si>
  <si>
    <t>RM0612</t>
  </si>
  <si>
    <t>RM0653</t>
  </si>
  <si>
    <t>RM0805</t>
  </si>
  <si>
    <t>RM0806</t>
  </si>
  <si>
    <t>RM0916</t>
  </si>
  <si>
    <t>RM0921</t>
  </si>
  <si>
    <t>RM0922</t>
  </si>
  <si>
    <t>RM0929</t>
  </si>
  <si>
    <t>RM0937</t>
  </si>
  <si>
    <t>RM0938</t>
  </si>
  <si>
    <t>RM0941</t>
  </si>
  <si>
    <t>RM0942</t>
  </si>
  <si>
    <t>RM0997</t>
  </si>
  <si>
    <t>RM0998</t>
  </si>
  <si>
    <t>มหาราช</t>
  </si>
  <si>
    <t>RM1016</t>
  </si>
  <si>
    <t>บจ.เชอร์รี่ บีน 2023</t>
  </si>
  <si>
    <t>RM1017</t>
  </si>
  <si>
    <t>RM1069</t>
  </si>
  <si>
    <t>บจ.มันนี่ คอฟฟี่</t>
  </si>
  <si>
    <t>RM1123</t>
  </si>
  <si>
    <t>RM1124</t>
  </si>
  <si>
    <t>RM1126</t>
  </si>
  <si>
    <t>RM1190</t>
  </si>
  <si>
    <t>RM1232</t>
  </si>
  <si>
    <t>RM1281</t>
  </si>
  <si>
    <t>RM1282</t>
  </si>
  <si>
    <t>RM1285</t>
  </si>
  <si>
    <t>RM1286</t>
  </si>
  <si>
    <t>RM1321</t>
  </si>
  <si>
    <t>RM1322</t>
  </si>
  <si>
    <t>RM1352</t>
  </si>
  <si>
    <t>RM1353</t>
  </si>
  <si>
    <t>RM1367</t>
  </si>
  <si>
    <t>RM1369</t>
  </si>
  <si>
    <t>RM1431</t>
  </si>
  <si>
    <t>RM1432</t>
  </si>
  <si>
    <t>RM1433</t>
  </si>
  <si>
    <t>RM1439</t>
  </si>
  <si>
    <t>RM1573</t>
  </si>
  <si>
    <t>RM1574</t>
  </si>
  <si>
    <t>RM1588</t>
  </si>
  <si>
    <t>RM1593</t>
  </si>
  <si>
    <t>RM1594</t>
  </si>
  <si>
    <t>RM1595</t>
  </si>
  <si>
    <t>RM1619</t>
  </si>
  <si>
    <t>RM1626</t>
  </si>
  <si>
    <t>RM1759</t>
  </si>
  <si>
    <t>RM1763</t>
  </si>
  <si>
    <t>RM1867</t>
  </si>
  <si>
    <t>RM1868</t>
  </si>
  <si>
    <t>RM1874</t>
  </si>
  <si>
    <t>RM1885</t>
  </si>
  <si>
    <t>RM2007</t>
  </si>
  <si>
    <t>RM2040</t>
  </si>
  <si>
    <t>RM2042</t>
  </si>
  <si>
    <t>RM2051</t>
  </si>
  <si>
    <t>RM2053</t>
  </si>
  <si>
    <t>RM2074</t>
  </si>
  <si>
    <t>RM2076</t>
  </si>
  <si>
    <t>RM2100</t>
  </si>
  <si>
    <t>RM2106</t>
  </si>
  <si>
    <t>RM2118</t>
  </si>
  <si>
    <t>RM2192</t>
  </si>
  <si>
    <t>RM2215</t>
  </si>
  <si>
    <t>RM2307</t>
  </si>
  <si>
    <t>บจ.ริชเชส ริโค่</t>
  </si>
  <si>
    <t>RM2320</t>
  </si>
  <si>
    <t>RM2358</t>
  </si>
  <si>
    <t>RM2433</t>
  </si>
  <si>
    <t>RM2458</t>
  </si>
  <si>
    <t>RM2676</t>
  </si>
  <si>
    <t>ทับคล้อ</t>
  </si>
  <si>
    <t>RM2681</t>
  </si>
  <si>
    <t>RM2740</t>
  </si>
  <si>
    <t>RM2746</t>
  </si>
  <si>
    <t>ดงเจริญ</t>
  </si>
  <si>
    <t>RM2801</t>
  </si>
  <si>
    <t>RM2802</t>
  </si>
  <si>
    <t>RM2804</t>
  </si>
  <si>
    <t>RM2852</t>
  </si>
  <si>
    <t>RM2864</t>
  </si>
  <si>
    <t>RM2866</t>
  </si>
  <si>
    <t>RM2945</t>
  </si>
  <si>
    <t>RM2949</t>
  </si>
  <si>
    <t>RM2954</t>
  </si>
  <si>
    <t>RM2957</t>
  </si>
  <si>
    <t>RM2958</t>
  </si>
  <si>
    <t>RM2972</t>
  </si>
  <si>
    <t>RM2984</t>
  </si>
  <si>
    <t>บางบอน</t>
  </si>
  <si>
    <t>RM3006</t>
  </si>
  <si>
    <t>RM3009</t>
  </si>
  <si>
    <t>RM3159</t>
  </si>
  <si>
    <t>บ้านฉาง</t>
  </si>
  <si>
    <t>RM3173</t>
  </si>
  <si>
    <t>RM3224</t>
  </si>
  <si>
    <t>RM3253</t>
  </si>
  <si>
    <t>RM3266</t>
  </si>
  <si>
    <t>RM3399</t>
  </si>
  <si>
    <t>RM3578</t>
  </si>
  <si>
    <t>RM3798</t>
  </si>
  <si>
    <t>RM3912</t>
  </si>
  <si>
    <t>RM3920</t>
  </si>
  <si>
    <t>RM3921</t>
  </si>
  <si>
    <t>RM4512</t>
  </si>
  <si>
    <t>RM4602</t>
  </si>
  <si>
    <t>RM4676</t>
  </si>
  <si>
    <t>RM4770</t>
  </si>
  <si>
    <t>RM4789</t>
  </si>
  <si>
    <t>RM4827</t>
  </si>
  <si>
    <t>RM4863</t>
  </si>
  <si>
    <t>RM5004</t>
  </si>
  <si>
    <t>RM5140</t>
  </si>
  <si>
    <t>RM5255</t>
  </si>
  <si>
    <t>สารภี</t>
  </si>
  <si>
    <t>RM5533</t>
  </si>
  <si>
    <t>RM5549</t>
  </si>
  <si>
    <t>SD0457</t>
  </si>
  <si>
    <t>บจ.จิระประภา</t>
  </si>
  <si>
    <t>SD0693</t>
  </si>
  <si>
    <t>บจ.เอ็น.เอ.ที.มาร์ท</t>
  </si>
  <si>
    <t>SD0718</t>
  </si>
  <si>
    <t>บจ.สยาม ออยล์ คอฟฟี่</t>
  </si>
  <si>
    <t>SD0719</t>
  </si>
  <si>
    <t>SD0735</t>
  </si>
  <si>
    <t>SD0738</t>
  </si>
  <si>
    <t>SD0780</t>
  </si>
  <si>
    <t>SD0782</t>
  </si>
  <si>
    <t>SD0792</t>
  </si>
  <si>
    <t>SD0816</t>
  </si>
  <si>
    <t>SD0817</t>
  </si>
  <si>
    <t>SD0818</t>
  </si>
  <si>
    <t>บจ.คอฟฟี่ดูดี</t>
  </si>
  <si>
    <t>SD0827</t>
  </si>
  <si>
    <t>SD0828</t>
  </si>
  <si>
    <t>ยานนาวา</t>
  </si>
  <si>
    <t>SD0829</t>
  </si>
  <si>
    <t>SD0832</t>
  </si>
  <si>
    <t>บจ.เกียรติมาลา</t>
  </si>
  <si>
    <t>SD0833</t>
  </si>
  <si>
    <t>SD0836</t>
  </si>
  <si>
    <t>SD0845</t>
  </si>
  <si>
    <t>ดุสิต</t>
  </si>
  <si>
    <t>SD0868</t>
  </si>
  <si>
    <t>หจก.ภุมรี</t>
  </si>
  <si>
    <t>SD0879</t>
  </si>
  <si>
    <t>บจ.สมบูรณากรณ์</t>
  </si>
  <si>
    <t>SD0882</t>
  </si>
  <si>
    <t>บจ.ดีบี ฟู้ดแอนด์มาร์เก็ตติ้ง</t>
  </si>
  <si>
    <t>SD0896</t>
  </si>
  <si>
    <t>บจ.พูนโภคา</t>
  </si>
  <si>
    <t>SD0912</t>
  </si>
  <si>
    <t>SD0913</t>
  </si>
  <si>
    <t>SD0917</t>
  </si>
  <si>
    <t>ราษฎร์บูรณะ</t>
  </si>
  <si>
    <t>SD0936</t>
  </si>
  <si>
    <t>บจ.ลูกพี่ลูกน้อง</t>
  </si>
  <si>
    <t>SD0968</t>
  </si>
  <si>
    <t>SD0968 หจก. วี.ไอ.พี.อินโนเวชั่น กระบี่</t>
  </si>
  <si>
    <t>SD0973</t>
  </si>
  <si>
    <t>บจ.นันณตา</t>
  </si>
  <si>
    <t>พญาไท</t>
  </si>
  <si>
    <t>SD0991</t>
  </si>
  <si>
    <t>SD1011</t>
  </si>
  <si>
    <t>หจก.จิรคม</t>
  </si>
  <si>
    <t>SD1019</t>
  </si>
  <si>
    <t>บจ.รชต ทรัพย์สมบูรณ์ไพศาล</t>
  </si>
  <si>
    <t>SD1055</t>
  </si>
  <si>
    <t>หจก.พิชญ์นรี</t>
  </si>
  <si>
    <t>SD1056</t>
  </si>
  <si>
    <t>SD1057</t>
  </si>
  <si>
    <t>SD1061</t>
  </si>
  <si>
    <t>SD1067</t>
  </si>
  <si>
    <t>SD1095</t>
  </si>
  <si>
    <t>SD1100</t>
  </si>
  <si>
    <t>หจก.นพผดุงฟู้ดแอนด์เบฟเวอร์เรจ</t>
  </si>
  <si>
    <t>SD1101</t>
  </si>
  <si>
    <t>บจ.ข้าวแฟ สุธารส</t>
  </si>
  <si>
    <t>SD1102</t>
  </si>
  <si>
    <t>หจก.ระโนด คอฟฟี่ แอนด์ เรสเตอรองท์</t>
  </si>
  <si>
    <t>SD1107</t>
  </si>
  <si>
    <t>SD1108</t>
  </si>
  <si>
    <t>SD1110</t>
  </si>
  <si>
    <t>SD1117</t>
  </si>
  <si>
    <t>SD1120</t>
  </si>
  <si>
    <t>SD1128</t>
  </si>
  <si>
    <t>SD1147</t>
  </si>
  <si>
    <t>บจ.ทริปเปิ้ลเฮง</t>
  </si>
  <si>
    <t>SD1148</t>
  </si>
  <si>
    <t>SD1149</t>
  </si>
  <si>
    <t>วังทองหลาง</t>
  </si>
  <si>
    <t>SD1156</t>
  </si>
  <si>
    <t>SD1159</t>
  </si>
  <si>
    <t>บจ.เพอร์เฟค เอเอ</t>
  </si>
  <si>
    <t>SD1162</t>
  </si>
  <si>
    <t>บริษัท ไทยสงวนโภชนา จำกัด</t>
  </si>
  <si>
    <t>SD1184</t>
  </si>
  <si>
    <t>บจ.ทรรศพร</t>
  </si>
  <si>
    <t>บางพลัด</t>
  </si>
  <si>
    <t>SD1187</t>
  </si>
  <si>
    <t>บจ.เจพีเวนเจอร์</t>
  </si>
  <si>
    <t>คลองสาน</t>
  </si>
  <si>
    <t>SD1191</t>
  </si>
  <si>
    <t>บจ.ถังข้าว</t>
  </si>
  <si>
    <t>SD1244</t>
  </si>
  <si>
    <t>บจ.ออลเวย์8888 กรุ๊ป</t>
  </si>
  <si>
    <t>SD1249</t>
  </si>
  <si>
    <t>บจ.ชัยนิชา</t>
  </si>
  <si>
    <t>SD1258</t>
  </si>
  <si>
    <t>หจก.กลิ่นหอมกรุ่น</t>
  </si>
  <si>
    <t>SD1265</t>
  </si>
  <si>
    <t>บจ.ออโดรา คอฟฟี่</t>
  </si>
  <si>
    <t>ธนบุรี</t>
  </si>
  <si>
    <t>SD1277</t>
  </si>
  <si>
    <t>บจ.มาลี-นัส คอฟฟี่</t>
  </si>
  <si>
    <t>SD1289</t>
  </si>
  <si>
    <t>บจ.ชัยวรพรเบฟเวอเรจ</t>
  </si>
  <si>
    <t>SD1304</t>
  </si>
  <si>
    <t>SD1307</t>
  </si>
  <si>
    <t>หจก.ทรัพย์ภูมินทร์</t>
  </si>
  <si>
    <t>SD1332</t>
  </si>
  <si>
    <t>SD1343</t>
  </si>
  <si>
    <t>SD1344</t>
  </si>
  <si>
    <t>SD1347</t>
  </si>
  <si>
    <t>หจก.เวิร์คโฟลว์ แฮนดินี่</t>
  </si>
  <si>
    <t>SD1349</t>
  </si>
  <si>
    <t>SD1358</t>
  </si>
  <si>
    <t>บจ.อิง กาแฟ</t>
  </si>
  <si>
    <t>SD1362</t>
  </si>
  <si>
    <t>SD1370</t>
  </si>
  <si>
    <t>บจ.มาดาม คอฟฟี่</t>
  </si>
  <si>
    <t>SD1376</t>
  </si>
  <si>
    <t>หจก.เอแพร่ คอฟฟี่</t>
  </si>
  <si>
    <t>SD1400</t>
  </si>
  <si>
    <t>หจก.พระมาโปรด</t>
  </si>
  <si>
    <t>SD1413</t>
  </si>
  <si>
    <t>หจก.กิน หอม กรุ่น</t>
  </si>
  <si>
    <t>SD1441</t>
  </si>
  <si>
    <t>SD1459</t>
  </si>
  <si>
    <t>หจก.เวค แอนด์ บริว</t>
  </si>
  <si>
    <t>SD1462</t>
  </si>
  <si>
    <t>SD1472</t>
  </si>
  <si>
    <t>หจก.อนาวินทร์</t>
  </si>
  <si>
    <t>SD1524</t>
  </si>
  <si>
    <t>บจ.กรีน ฟอร์ เบ็ทเทอร์ ลิฟวิง</t>
  </si>
  <si>
    <t>SD1525</t>
  </si>
  <si>
    <t>SD1526</t>
  </si>
  <si>
    <t>บจ.กรพสิษฐ์</t>
  </si>
  <si>
    <t>ปทุมวัน</t>
  </si>
  <si>
    <t>SD1537</t>
  </si>
  <si>
    <t>SD1544</t>
  </si>
  <si>
    <t>บจ.อีสานพราวด์</t>
  </si>
  <si>
    <t>SD1603</t>
  </si>
  <si>
    <t>SD1608</t>
  </si>
  <si>
    <t>SD1612</t>
  </si>
  <si>
    <t>หจก.อร่อยดี กาแฟ</t>
  </si>
  <si>
    <t>SD1624</t>
  </si>
  <si>
    <t>บจ.สยามนทลิน</t>
  </si>
  <si>
    <t>SD1625</t>
  </si>
  <si>
    <t>บจ.เอเชี่ยน ไพรออริตี้</t>
  </si>
  <si>
    <t>SD1638</t>
  </si>
  <si>
    <t>บจ.ซีซัน เบฟเวอร์เรจ</t>
  </si>
  <si>
    <t>SD1643</t>
  </si>
  <si>
    <t>บจ.อาร์ต อิน มิโมซ่า</t>
  </si>
  <si>
    <t>SD1656</t>
  </si>
  <si>
    <t>บจ.เอ็ม แอนด์ เอ เทรดดิ้ง แอนด์ เซอ</t>
  </si>
  <si>
    <t>SD1658</t>
  </si>
  <si>
    <t>SD1660</t>
  </si>
  <si>
    <t>SD1671</t>
  </si>
  <si>
    <t>SD1690</t>
  </si>
  <si>
    <t>บจ.ยศคูณธนา</t>
  </si>
  <si>
    <t>SD1697</t>
  </si>
  <si>
    <t>บจ.เมล็ดพันธุ์ดี</t>
  </si>
  <si>
    <t>SD1704</t>
  </si>
  <si>
    <t>บจ.บ้านฟ้าธารา</t>
  </si>
  <si>
    <t>SD1706</t>
  </si>
  <si>
    <t>บจ.แอนโนน่า ยูนิตี้</t>
  </si>
  <si>
    <t>SD1708</t>
  </si>
  <si>
    <t>บจ.ส.ตวงทอง</t>
  </si>
  <si>
    <t>SD1720</t>
  </si>
  <si>
    <t>บจ.สิงห์รุ่งเรืองฟู้ด แอนด์ มาร์เก็</t>
  </si>
  <si>
    <t>ปลวกแดง</t>
  </si>
  <si>
    <t>SD1730</t>
  </si>
  <si>
    <t>หจก.แซนด์ ซัน ซี คอฟฟี่</t>
  </si>
  <si>
    <t>SD1732</t>
  </si>
  <si>
    <t>บจ.เทคโนโลยีไออาร์พีซี</t>
  </si>
  <si>
    <t>SD1742</t>
  </si>
  <si>
    <t>บจ.ทรัพย์สวนแก้ว</t>
  </si>
  <si>
    <t>SD1748</t>
  </si>
  <si>
    <t>หจก.กอ-มอ 42</t>
  </si>
  <si>
    <t>SD1752</t>
  </si>
  <si>
    <t>SD1804</t>
  </si>
  <si>
    <t>บจ.อาร์ท บิวสิเนส แฟร์</t>
  </si>
  <si>
    <t>SD1820</t>
  </si>
  <si>
    <t>บจ.จีทีเอส 69</t>
  </si>
  <si>
    <t>SD1827</t>
  </si>
  <si>
    <t>บางซื่อ</t>
  </si>
  <si>
    <t>SD1841</t>
  </si>
  <si>
    <t>SD1851</t>
  </si>
  <si>
    <t>บจ.เอสอาร์นัมเบอร์วัน ราม 2</t>
  </si>
  <si>
    <t>SD1866</t>
  </si>
  <si>
    <t>บจ.เดอะ บีด 2559</t>
  </si>
  <si>
    <t>SD1892</t>
  </si>
  <si>
    <t>บจ.คอร์เนอร์ สเตชั่น</t>
  </si>
  <si>
    <t>SD1893</t>
  </si>
  <si>
    <t>SD1897</t>
  </si>
  <si>
    <t>บจ.พิมุขธนาสิทธิ์</t>
  </si>
  <si>
    <t>SD1907</t>
  </si>
  <si>
    <t>หจก.หอมละมุน</t>
  </si>
  <si>
    <t>SD1913</t>
  </si>
  <si>
    <t>บจ.ทรี ที เซเว่น</t>
  </si>
  <si>
    <t>SD1916</t>
  </si>
  <si>
    <t>บจ.สมุทรคุณ นิปปอน ฟู้ดแอนด์โปรดักส</t>
  </si>
  <si>
    <t>SD1920</t>
  </si>
  <si>
    <t>SD1948</t>
  </si>
  <si>
    <t>SD1953</t>
  </si>
  <si>
    <t>SD1958</t>
  </si>
  <si>
    <t>บจ.มันนี่ฟาร์ม</t>
  </si>
  <si>
    <t>SD1971</t>
  </si>
  <si>
    <t>SD1972</t>
  </si>
  <si>
    <t>บางกอกน้อย</t>
  </si>
  <si>
    <t>SD2001</t>
  </si>
  <si>
    <t>บจ.จงทอง</t>
  </si>
  <si>
    <t>SD2005</t>
  </si>
  <si>
    <t>SD2015</t>
  </si>
  <si>
    <t>บจ.ทูบีพี เซอร์วิส</t>
  </si>
  <si>
    <t>SD2035</t>
  </si>
  <si>
    <t>บจ.ต้นเกตุ</t>
  </si>
  <si>
    <t>SD2037</t>
  </si>
  <si>
    <t>บจ.สตาร์ คอฟฟี่</t>
  </si>
  <si>
    <t>SD2041</t>
  </si>
  <si>
    <t>SD2055</t>
  </si>
  <si>
    <t>หจก.ตินน์ตาแตม</t>
  </si>
  <si>
    <t>SD2060</t>
  </si>
  <si>
    <t>บจ.อ.นำโชค</t>
  </si>
  <si>
    <t>SD2062</t>
  </si>
  <si>
    <t>บจ.รีแล็กซ์ราม</t>
  </si>
  <si>
    <t>SD2063</t>
  </si>
  <si>
    <t>บจ.จตุจักร คอมเพล็กซ์</t>
  </si>
  <si>
    <t>SD2066</t>
  </si>
  <si>
    <t>บจ.กาแฟเพ็ชรพล</t>
  </si>
  <si>
    <t>วัฒนา</t>
  </si>
  <si>
    <t>SD2072</t>
  </si>
  <si>
    <t>SD2078</t>
  </si>
  <si>
    <t>หจก.ซีเอ็นอาร์คอฟฟี่กรุ๊ป</t>
  </si>
  <si>
    <t>SD2079</t>
  </si>
  <si>
    <t>หจก.บี.บราวน์ คอฟฟี่</t>
  </si>
  <si>
    <t>SD2081</t>
  </si>
  <si>
    <t>หจก.ถุงทอง 555</t>
  </si>
  <si>
    <t>SD2092</t>
  </si>
  <si>
    <t>หจก.คาเนโฟรา</t>
  </si>
  <si>
    <t>SD2093</t>
  </si>
  <si>
    <t>บริษัท เวล ฮีลด์ จำกัด</t>
  </si>
  <si>
    <t>SD2108</t>
  </si>
  <si>
    <t>บจ.เจพีวานิช</t>
  </si>
  <si>
    <t>สัมพันธวงศ์</t>
  </si>
  <si>
    <t>SD2111</t>
  </si>
  <si>
    <t>SD2138</t>
  </si>
  <si>
    <t>บจ.โชตกะชาลา</t>
  </si>
  <si>
    <t>SD2148</t>
  </si>
  <si>
    <t>หจก.เอส.หัวหินไนท์คอฟฟี่</t>
  </si>
  <si>
    <t>SD2180</t>
  </si>
  <si>
    <t>ป้อมปราบศัตรูพ่าย</t>
  </si>
  <si>
    <t>SD2181</t>
  </si>
  <si>
    <t>บจ.เลาแม่กลอง</t>
  </si>
  <si>
    <t>SD2198</t>
  </si>
  <si>
    <t>บจ.แก้วฟ้า คอฟฟี่</t>
  </si>
  <si>
    <t>SD2199</t>
  </si>
  <si>
    <t>SD2205</t>
  </si>
  <si>
    <t>บจ.ประเทือง-นุกูล กิจ</t>
  </si>
  <si>
    <t>SD2213</t>
  </si>
  <si>
    <t>บจ.พงษ์ธานี ฟู้ดแอนด์ดริ๊งส์</t>
  </si>
  <si>
    <t>SD2219</t>
  </si>
  <si>
    <t>SD2229</t>
  </si>
  <si>
    <t>หจก.มุมความสุข</t>
  </si>
  <si>
    <t>SD2231</t>
  </si>
  <si>
    <t>หจก.ธิติ บริหารธุรกิจค้าปลีก</t>
  </si>
  <si>
    <t>SD2239</t>
  </si>
  <si>
    <t>SD2241</t>
  </si>
  <si>
    <t>บจ.บรูว์ฮ่าฮ่า</t>
  </si>
  <si>
    <t>SD2258</t>
  </si>
  <si>
    <t>SD2262</t>
  </si>
  <si>
    <t>SD2265</t>
  </si>
  <si>
    <t>บจ.กัญญภัคคุณ</t>
  </si>
  <si>
    <t>SD2270</t>
  </si>
  <si>
    <t>SD2271</t>
  </si>
  <si>
    <t>หจก.กู๊ดคอฟ</t>
  </si>
  <si>
    <t>SD2272</t>
  </si>
  <si>
    <t>บจ.วิยะรา เบฟเวอเรจ</t>
  </si>
  <si>
    <t>SD2275</t>
  </si>
  <si>
    <t>หจก.กันทาคอร์เปอเรชั่น</t>
  </si>
  <si>
    <t>SD2276</t>
  </si>
  <si>
    <t>บจ.เฟิร์ส สตอป</t>
  </si>
  <si>
    <t>SD2278</t>
  </si>
  <si>
    <t>บจ.สุพิชณันน์</t>
  </si>
  <si>
    <t>SD2282</t>
  </si>
  <si>
    <t>บจ.12 กุมภา</t>
  </si>
  <si>
    <t>SD2294</t>
  </si>
  <si>
    <t>SD2294  บิ๊กซีพระราม2 ขาเข้า</t>
  </si>
  <si>
    <t>SD2298</t>
  </si>
  <si>
    <t>บจ.พี เค มีเดีย บิสซิเนส</t>
  </si>
  <si>
    <t>SD2305</t>
  </si>
  <si>
    <t>SD2308</t>
  </si>
  <si>
    <t>หจก.อาร์เอ็น แฟมิลี</t>
  </si>
  <si>
    <t>SD2309</t>
  </si>
  <si>
    <t>บจ.พงศ์ธรวิจิตรกรุ๊ป</t>
  </si>
  <si>
    <t>SD2313</t>
  </si>
  <si>
    <t>หจก.หอมกรุ่น แอนด์ โค</t>
  </si>
  <si>
    <t>SD2323</t>
  </si>
  <si>
    <t>SD2325</t>
  </si>
  <si>
    <t>บจ.ชิลล์ คอร์เนอร์</t>
  </si>
  <si>
    <t>พระโขนง</t>
  </si>
  <si>
    <t>SD2330</t>
  </si>
  <si>
    <t>บจ.พี เลิฟ คอฟฟี่</t>
  </si>
  <si>
    <t>SD2331</t>
  </si>
  <si>
    <t>บจ.ลันตา เอ็นเตอร์เทนเม้นท์</t>
  </si>
  <si>
    <t>SD2344</t>
  </si>
  <si>
    <t>บจ.เอก คิม ทุง กรุ๊ป</t>
  </si>
  <si>
    <t>SD2356</t>
  </si>
  <si>
    <t>บจ.ไอคิว คอร์เปอเรชั่น</t>
  </si>
  <si>
    <t>SD2365</t>
  </si>
  <si>
    <t>หจก.ภุชชงค์</t>
  </si>
  <si>
    <t>SD2381</t>
  </si>
  <si>
    <t>SD2386</t>
  </si>
  <si>
    <t>บจ.วาริริน</t>
  </si>
  <si>
    <t>SD2407</t>
  </si>
  <si>
    <t>หจก.สกุลศรีเมือง</t>
  </si>
  <si>
    <t>SD2413</t>
  </si>
  <si>
    <t>บจ.ร้านแก้วกาแฟ</t>
  </si>
  <si>
    <t>SD2420</t>
  </si>
  <si>
    <t>บจ.เงินเหลือเฟือ</t>
  </si>
  <si>
    <t>SD2422</t>
  </si>
  <si>
    <t>บจ.บี.เอส.เจนเนอเรชั่น</t>
  </si>
  <si>
    <t>SD2435</t>
  </si>
  <si>
    <t>หจก.ธนเจริญ</t>
  </si>
  <si>
    <t>SD2447</t>
  </si>
  <si>
    <t>บจ.ลิบกี่ (ประเทศไทย)</t>
  </si>
  <si>
    <t>SD2448</t>
  </si>
  <si>
    <t>บจ.5 กรกฎา เมเนจเมนท์</t>
  </si>
  <si>
    <t>SD2449</t>
  </si>
  <si>
    <t>บจ.ลิตเติ้ล ไรซ์</t>
  </si>
  <si>
    <t>ห้วยขวาง</t>
  </si>
  <si>
    <t>SD2459</t>
  </si>
  <si>
    <t>บจ.เอเชีย คอฟ</t>
  </si>
  <si>
    <t>SD2467</t>
  </si>
  <si>
    <t>หจก.กุลนาถ กรุ๊ป</t>
  </si>
  <si>
    <t>SD2470</t>
  </si>
  <si>
    <t>บจ.ใจหนักแน่น กรุ๊ป</t>
  </si>
  <si>
    <t>SD2472</t>
  </si>
  <si>
    <t>SD2474</t>
  </si>
  <si>
    <t>บจ.ชัยประกิจ กรุ๊ป</t>
  </si>
  <si>
    <t>SD2490</t>
  </si>
  <si>
    <t>SD2492</t>
  </si>
  <si>
    <t>บจ.อีฟเรสท์</t>
  </si>
  <si>
    <t>SD2494</t>
  </si>
  <si>
    <t>บจ.สานพลัง วิสาหกิจเพื่อสังคม</t>
  </si>
  <si>
    <t>SD2500</t>
  </si>
  <si>
    <t>บจ.ตั้งใจธรรม คอฟฟี่</t>
  </si>
  <si>
    <t>SD2516</t>
  </si>
  <si>
    <t>บจ.บ้านเรากันเอง 2561</t>
  </si>
  <si>
    <t>SD2517</t>
  </si>
  <si>
    <t>บจ.เอจี อินฟินิตี้</t>
  </si>
  <si>
    <t>SD2520</t>
  </si>
  <si>
    <t>บจ.พัฒนา มีนบุรี</t>
  </si>
  <si>
    <t>SD2522</t>
  </si>
  <si>
    <t>SD2525</t>
  </si>
  <si>
    <t>หจก.รัศมีฉาย</t>
  </si>
  <si>
    <t>SD2526</t>
  </si>
  <si>
    <t>บจ.จิระศิริ</t>
  </si>
  <si>
    <t>SD2527</t>
  </si>
  <si>
    <t>SD2531</t>
  </si>
  <si>
    <t>SD2535</t>
  </si>
  <si>
    <t>บจ.๓๓๓</t>
  </si>
  <si>
    <t>SD2536</t>
  </si>
  <si>
    <t>หจก.ทรัพย์สถาพร 2514</t>
  </si>
  <si>
    <t>SD2551</t>
  </si>
  <si>
    <t>SD2555</t>
  </si>
  <si>
    <t>หจก.ดี.พี.เอส.กู๊ด คอฟฟี่</t>
  </si>
  <si>
    <t>SD2560</t>
  </si>
  <si>
    <t>บจ.ศรีเมือง-ราชบุรี โฮลเซลส์</t>
  </si>
  <si>
    <t>SD2561</t>
  </si>
  <si>
    <t>SD2581</t>
  </si>
  <si>
    <t>หจก.ไนน์บุรี เบฟเวอเรจ</t>
  </si>
  <si>
    <t>SD2582</t>
  </si>
  <si>
    <t>บจ.พรอมมิเนนท์ เวลธ์</t>
  </si>
  <si>
    <t>SD2584</t>
  </si>
  <si>
    <t>บจ.โอเคเค เจเนรัล ซัพพลาย</t>
  </si>
  <si>
    <t>SD2585</t>
  </si>
  <si>
    <t>บจ.เจ.เจ ริชชี่</t>
  </si>
  <si>
    <t>SD2589</t>
  </si>
  <si>
    <t>หจก.ชพัสซ่า</t>
  </si>
  <si>
    <t>SD2593</t>
  </si>
  <si>
    <t>บจก.ยูนิเวอร์แซล ซิสเทมา</t>
  </si>
  <si>
    <t>SD2594</t>
  </si>
  <si>
    <t>SD2600</t>
  </si>
  <si>
    <t>หจก.ก้าวหน้ามหาศาล</t>
  </si>
  <si>
    <t>SD2606</t>
  </si>
  <si>
    <t>SD2614</t>
  </si>
  <si>
    <t>SD2617</t>
  </si>
  <si>
    <t>SD2618</t>
  </si>
  <si>
    <t>บจ.บางกอก เบฟ</t>
  </si>
  <si>
    <t>SD2619</t>
  </si>
  <si>
    <t>หจก.เอ ซี ซี มาร์เก็ตติ้ง</t>
  </si>
  <si>
    <t>ละแม</t>
  </si>
  <si>
    <t>SD2621</t>
  </si>
  <si>
    <t>หจก.อิงตะวันคอฟฟี่</t>
  </si>
  <si>
    <t>SD2627</t>
  </si>
  <si>
    <t>SD2648</t>
  </si>
  <si>
    <t>หจก.ธารกรปิโตรเลียม</t>
  </si>
  <si>
    <t>SD2649</t>
  </si>
  <si>
    <t>บจ.ทรี ที รีเทล</t>
  </si>
  <si>
    <t>SD2651</t>
  </si>
  <si>
    <t>หจก.มีรวยเพิ่มพูนทรัพย์</t>
  </si>
  <si>
    <t>SD2654</t>
  </si>
  <si>
    <t>บจ.ไอดา เพาเวอร์ เอ็กซ์เพรส</t>
  </si>
  <si>
    <t>SD2656</t>
  </si>
  <si>
    <t>SD2663</t>
  </si>
  <si>
    <t>SD2664</t>
  </si>
  <si>
    <t>บจ.โอซี กาแฟไทย</t>
  </si>
  <si>
    <t>SD2667</t>
  </si>
  <si>
    <t>บจ.ดิเอสเปรสโซ่</t>
  </si>
  <si>
    <t>SD2693</t>
  </si>
  <si>
    <t>SD2694</t>
  </si>
  <si>
    <t>บจ.โรบัสโต บางกอก</t>
  </si>
  <si>
    <t>SD2695</t>
  </si>
  <si>
    <t>SD2704</t>
  </si>
  <si>
    <t>บจ.บีทีวี ฟู้ด แอนด์ เบเวอเรจ</t>
  </si>
  <si>
    <t>SD2707</t>
  </si>
  <si>
    <t>SD2708</t>
  </si>
  <si>
    <t>บจ.หัวปลาช่องนนทรี</t>
  </si>
  <si>
    <t>SD2721</t>
  </si>
  <si>
    <t>บจ.ซีซัน รีเทล</t>
  </si>
  <si>
    <t>SD2728</t>
  </si>
  <si>
    <t>หจก.พฤกษา คาเฟ่</t>
  </si>
  <si>
    <t>SD2731</t>
  </si>
  <si>
    <t>บจ.เอ็นริช คอฟฟี่</t>
  </si>
  <si>
    <t>SD2737</t>
  </si>
  <si>
    <t>บจ.ดีบี ฟู้ดแอนด์เบเวอร์เรจ</t>
  </si>
  <si>
    <t>เมืองอ่างทอง</t>
  </si>
  <si>
    <t>SD2748</t>
  </si>
  <si>
    <t>SD2751</t>
  </si>
  <si>
    <t>SD2756</t>
  </si>
  <si>
    <t>บจ.บีไอเจ</t>
  </si>
  <si>
    <t>SD2757</t>
  </si>
  <si>
    <t>บจ.เอสอาร์แอทบางแก้ว</t>
  </si>
  <si>
    <t>SD2772</t>
  </si>
  <si>
    <t>บจ.ชง ดี ดี คอฟฟี่</t>
  </si>
  <si>
    <t>บางรัก</t>
  </si>
  <si>
    <t>SD2778</t>
  </si>
  <si>
    <t>บจ.เมล็ดแรก คอฟฟี่</t>
  </si>
  <si>
    <t>SD2785</t>
  </si>
  <si>
    <t>บจ.บายเนญ่า</t>
  </si>
  <si>
    <t>SD2788</t>
  </si>
  <si>
    <t>บจ.จีที ออโต้ 168</t>
  </si>
  <si>
    <t>SD2803</t>
  </si>
  <si>
    <t>หจก.เดอะซันชายน์นิ่ง</t>
  </si>
  <si>
    <t>SD2805</t>
  </si>
  <si>
    <t>บจ.มาชิมซิ</t>
  </si>
  <si>
    <t>SD2815</t>
  </si>
  <si>
    <t>บจ.เอ.บี.ออยล์</t>
  </si>
  <si>
    <t>SD2818</t>
  </si>
  <si>
    <t>หจก.บางสีทองเคฟ</t>
  </si>
  <si>
    <t>SD2822</t>
  </si>
  <si>
    <t>SD2825</t>
  </si>
  <si>
    <t>บจ.พรธรรม คอฟฟี่</t>
  </si>
  <si>
    <t>SD2835</t>
  </si>
  <si>
    <t>หจก.พีเอ็มพี แพชชั่น</t>
  </si>
  <si>
    <t>SD2855</t>
  </si>
  <si>
    <t>SD2858</t>
  </si>
  <si>
    <t>หจก.ยูเค คอฟ</t>
  </si>
  <si>
    <t>SD2863</t>
  </si>
  <si>
    <t>บจ.นิพิพร</t>
  </si>
  <si>
    <t>SD2867</t>
  </si>
  <si>
    <t>SD2881</t>
  </si>
  <si>
    <t>บจ.แบร์ บรูว์ แบงค็อก</t>
  </si>
  <si>
    <t>SD2901</t>
  </si>
  <si>
    <t>หจก.เอกะภู</t>
  </si>
  <si>
    <t>SD2909</t>
  </si>
  <si>
    <t>SD2912</t>
  </si>
  <si>
    <t>บจ.สายไหม คาเฟ่</t>
  </si>
  <si>
    <t>SD2916</t>
  </si>
  <si>
    <t>หจก.อัทฒ์ 888</t>
  </si>
  <si>
    <t>SD2922</t>
  </si>
  <si>
    <t>SD2923</t>
  </si>
  <si>
    <t>SD2938</t>
  </si>
  <si>
    <t>บจ.เค ซี คอฟฟี่</t>
  </si>
  <si>
    <t>SD2941</t>
  </si>
  <si>
    <t>บจก.พี พี เอ็ม 122</t>
  </si>
  <si>
    <t>SD2942</t>
  </si>
  <si>
    <t>หจก.คอฟฟี่ทีไทม์</t>
  </si>
  <si>
    <t>SD2947</t>
  </si>
  <si>
    <t>บจ.เอ็มเค แอนด์ เจเจ</t>
  </si>
  <si>
    <t>SD2950</t>
  </si>
  <si>
    <t>หจก.วัฒนสิริ98</t>
  </si>
  <si>
    <t>SD2959</t>
  </si>
  <si>
    <t>บจ.ศิริทรัพย์ บิซเทค</t>
  </si>
  <si>
    <t>SD2967</t>
  </si>
  <si>
    <t>SD2979</t>
  </si>
  <si>
    <t>บจ.เนเจอร์ คาเฟ่</t>
  </si>
  <si>
    <t>SD2980</t>
  </si>
  <si>
    <t>บจ.๙ กาแฟ</t>
  </si>
  <si>
    <t>SD2985</t>
  </si>
  <si>
    <t>SD2987</t>
  </si>
  <si>
    <t>บจ.พัตย์สุธา</t>
  </si>
  <si>
    <t>SD2988</t>
  </si>
  <si>
    <t>บจ.เอ็นเอสพี เวิลด์</t>
  </si>
  <si>
    <t>SD3010</t>
  </si>
  <si>
    <t>หจก.94 กำลังดี</t>
  </si>
  <si>
    <t>SD3014</t>
  </si>
  <si>
    <t>SD3020</t>
  </si>
  <si>
    <t>บจ.พีเอสเอ็นเค</t>
  </si>
  <si>
    <t>SD3033</t>
  </si>
  <si>
    <t>บจ.เอสเคพี คาเฟ่</t>
  </si>
  <si>
    <t>SD3034</t>
  </si>
  <si>
    <t>บจก.คิวบ์ คัพ</t>
  </si>
  <si>
    <t>SD3046</t>
  </si>
  <si>
    <t>บจ.บีที โชคพูน</t>
  </si>
  <si>
    <t>SD3047</t>
  </si>
  <si>
    <t>SD3049</t>
  </si>
  <si>
    <t>หจก.คอฟพลัส</t>
  </si>
  <si>
    <t>SD3059</t>
  </si>
  <si>
    <t>SD3061</t>
  </si>
  <si>
    <t>SD3064</t>
  </si>
  <si>
    <t>บจ.วินคอฟฟี่คาเฟ่</t>
  </si>
  <si>
    <t>สาทร</t>
  </si>
  <si>
    <t>SD3066</t>
  </si>
  <si>
    <t>บจ.เอส เค ซี คอฟฟี่ แอนด์ ดริ๊งค์</t>
  </si>
  <si>
    <t>SD3071</t>
  </si>
  <si>
    <t>บจ.เอสอาร์แอทตลาดนัดเรือบิน</t>
  </si>
  <si>
    <t>SD3074</t>
  </si>
  <si>
    <t>บจ.มณฑล สร้างงาน</t>
  </si>
  <si>
    <t>SD3076</t>
  </si>
  <si>
    <t>SD3078</t>
  </si>
  <si>
    <t>บจ.โชคบุญคุณ</t>
  </si>
  <si>
    <t>SD3079</t>
  </si>
  <si>
    <t>SD3085</t>
  </si>
  <si>
    <t>SD3089</t>
  </si>
  <si>
    <t>บจ.มั่งมี คาเฟ่ 789</t>
  </si>
  <si>
    <t>SD3094</t>
  </si>
  <si>
    <t>SD3100</t>
  </si>
  <si>
    <t>SD3101</t>
  </si>
  <si>
    <t>SD3104</t>
  </si>
  <si>
    <t>บจ.ดิส อีส มิลค์ ที</t>
  </si>
  <si>
    <t>SD3107</t>
  </si>
  <si>
    <t>บจ.หวาน หวาน คอฟฟี่ อาทิตย์ไฮเวย์</t>
  </si>
  <si>
    <t>SD3113</t>
  </si>
  <si>
    <t>บจ.ทองทันที</t>
  </si>
  <si>
    <t>SD3117</t>
  </si>
  <si>
    <t>SD3131</t>
  </si>
  <si>
    <t>SD3133</t>
  </si>
  <si>
    <t>บจ.กรุ่นกลิ่น</t>
  </si>
  <si>
    <t>SD3136</t>
  </si>
  <si>
    <t>บจ.ทีดีดี18 คอฟฟี่ แอนด์ เบฟเวอเรจ</t>
  </si>
  <si>
    <t>SD3138</t>
  </si>
  <si>
    <t>บจ.ธุรกิจร่วมทุน</t>
  </si>
  <si>
    <t>SD3139</t>
  </si>
  <si>
    <t>หจก.นาโวนา คอฟฟี่</t>
  </si>
  <si>
    <t>SD3142</t>
  </si>
  <si>
    <t>บจ.เอ็น ดับเบิ้ลยู 88</t>
  </si>
  <si>
    <t>SD3144</t>
  </si>
  <si>
    <t>หจก.ม่วนกรุ๊ปรับทรัพย์</t>
  </si>
  <si>
    <t>SD3145</t>
  </si>
  <si>
    <t>บจ.พรนับพัน คาเฟ่</t>
  </si>
  <si>
    <t>SD3152</t>
  </si>
  <si>
    <t>SD3153</t>
  </si>
  <si>
    <t>SD3167</t>
  </si>
  <si>
    <t>บจ.โชคมหาชัยเจนทรี</t>
  </si>
  <si>
    <t>SD3171</t>
  </si>
  <si>
    <t>บจ.จัสมิน สวีท</t>
  </si>
  <si>
    <t>SD3176</t>
  </si>
  <si>
    <t>บจ.คอฟฟี่ แพลนเนท</t>
  </si>
  <si>
    <t>SD3192</t>
  </si>
  <si>
    <t>SD3193</t>
  </si>
  <si>
    <t>บจ.เดอะ อัพ 88</t>
  </si>
  <si>
    <t>SD3196</t>
  </si>
  <si>
    <t>SD3197</t>
  </si>
  <si>
    <t>บจ.เจตรัตน์</t>
  </si>
  <si>
    <t>SD3198</t>
  </si>
  <si>
    <t>บจ.กรีนเนเจอร์789</t>
  </si>
  <si>
    <t>SD3202</t>
  </si>
  <si>
    <t>SD3216</t>
  </si>
  <si>
    <t>บจ.บุญนำพา 2019</t>
  </si>
  <si>
    <t>SD3230</t>
  </si>
  <si>
    <t>บจ.อิ่มอุ่น ฟู๊ดแอนด์เซอร์วิส</t>
  </si>
  <si>
    <t>SD3233</t>
  </si>
  <si>
    <t>บจ.บ้านบึงคอฟฟี่</t>
  </si>
  <si>
    <t>SD3234</t>
  </si>
  <si>
    <t>บจ.เฮงดี คอฟฟี่</t>
  </si>
  <si>
    <t>SD3238</t>
  </si>
  <si>
    <t>หจก.ชาเซีย ซัพพลาย</t>
  </si>
  <si>
    <t>SD3245</t>
  </si>
  <si>
    <t>บจ.จี แอนด์ เอ็น กรุ๊ป (2019)</t>
  </si>
  <si>
    <t>SD3251</t>
  </si>
  <si>
    <t>SD3252</t>
  </si>
  <si>
    <t>บจ.ซีเคซี เมดดิคอล แอนด์ ซัพพลาย</t>
  </si>
  <si>
    <t>SD3256</t>
  </si>
  <si>
    <t>SD3257</t>
  </si>
  <si>
    <t>หจก.เอเวอร์ทรี คอฟฟี่</t>
  </si>
  <si>
    <t>SD3269</t>
  </si>
  <si>
    <t>บจก.ที.เค.เอ็กซ์เพิร์ท</t>
  </si>
  <si>
    <t>SD3272</t>
  </si>
  <si>
    <t>SD3277</t>
  </si>
  <si>
    <t>บจ.สิริ คอฟฟี่แอนด์สโตร์</t>
  </si>
  <si>
    <t>SD3287</t>
  </si>
  <si>
    <t>บจ.อาร์ เจ เจ ดีเวลล็อปเม้นท์</t>
  </si>
  <si>
    <t>SD3294</t>
  </si>
  <si>
    <t>บจ.คอฟฟี่ดีดี</t>
  </si>
  <si>
    <t>SD3301</t>
  </si>
  <si>
    <t>บจ.น้ำค้างบ้านกาแฟ</t>
  </si>
  <si>
    <t>SD3314</t>
  </si>
  <si>
    <t>SD3319</t>
  </si>
  <si>
    <t>SD3322</t>
  </si>
  <si>
    <t>บจ.เจริญชัยกุล</t>
  </si>
  <si>
    <t>SD3323</t>
  </si>
  <si>
    <t>SD3324</t>
  </si>
  <si>
    <t>บจ.เอ็นอีพีเอส</t>
  </si>
  <si>
    <t>SD3330</t>
  </si>
  <si>
    <t>บจ.วันละพัน</t>
  </si>
  <si>
    <t>SD3331</t>
  </si>
  <si>
    <t>หจก.สุมิตรและเพื่อน 2019</t>
  </si>
  <si>
    <t>SD3332</t>
  </si>
  <si>
    <t>บจ.สุโขทัยแลนด์</t>
  </si>
  <si>
    <t>SD3337</t>
  </si>
  <si>
    <t>SD3350</t>
  </si>
  <si>
    <t>บจ.เอ็นเอสพี.ฐิภิรัตน์</t>
  </si>
  <si>
    <t>SD3351</t>
  </si>
  <si>
    <t>บจ.คาซ่า เดอ คาเฟ่</t>
  </si>
  <si>
    <t>SD3352</t>
  </si>
  <si>
    <t>บจ.อำนาจเจริญ 2019</t>
  </si>
  <si>
    <t>SD3355</t>
  </si>
  <si>
    <t>บจ.เอิร์น ออลล์ เซอร์วิส</t>
  </si>
  <si>
    <t>SD3357</t>
  </si>
  <si>
    <t>หจก.เดอะซิกเนเจอร์ คอฟฟี่</t>
  </si>
  <si>
    <t>SD3359</t>
  </si>
  <si>
    <t>บจ.เดอะ ดีทีเอ็น</t>
  </si>
  <si>
    <t>SD3363</t>
  </si>
  <si>
    <t>บจ.ธนโชติพิพัฒน์</t>
  </si>
  <si>
    <t>SD3365</t>
  </si>
  <si>
    <t>SD3366</t>
  </si>
  <si>
    <t>บจ.สุโขทัยเรสซิเด้นซ์</t>
  </si>
  <si>
    <t>SD3370</t>
  </si>
  <si>
    <t>หจก.กู๊ด 555</t>
  </si>
  <si>
    <t>SD3374</t>
  </si>
  <si>
    <t>หจก.ทูเอ็ม 69</t>
  </si>
  <si>
    <t>SD3390</t>
  </si>
  <si>
    <t>บจ.เวอร์โก้ ไดนามิก ฮอสพิทาลิตี้</t>
  </si>
  <si>
    <t>SD3391</t>
  </si>
  <si>
    <t>SD3394</t>
  </si>
  <si>
    <t>SD3395</t>
  </si>
  <si>
    <t>SD3396</t>
  </si>
  <si>
    <t>บจ.ดีขึ้นทุกวัน (2019)</t>
  </si>
  <si>
    <t>SD3400</t>
  </si>
  <si>
    <t>บจ.ซิมพลีฟาย เบฟเวอเรจ</t>
  </si>
  <si>
    <t>SD3405</t>
  </si>
  <si>
    <t>หจก.เอสดี คาเฟ่</t>
  </si>
  <si>
    <t>บ้านดุง</t>
  </si>
  <si>
    <t>SD3406</t>
  </si>
  <si>
    <t>บจ.พี แอนด์ โอ แมนเนจเม้นท์</t>
  </si>
  <si>
    <t>SD3409</t>
  </si>
  <si>
    <t>บจ.วีว่า เอสเตท</t>
  </si>
  <si>
    <t>SD3410</t>
  </si>
  <si>
    <t>บจ.ศรีลาซาลคอฟฟี่</t>
  </si>
  <si>
    <t>SD3411</t>
  </si>
  <si>
    <t>SD3414</t>
  </si>
  <si>
    <t>SD3418</t>
  </si>
  <si>
    <t>SD3421</t>
  </si>
  <si>
    <t>SD3422</t>
  </si>
  <si>
    <t>บจ.ทีเอ็มซีเอส</t>
  </si>
  <si>
    <t>SD3424</t>
  </si>
  <si>
    <t>หจก.กาแฟฟิวส์ดี</t>
  </si>
  <si>
    <t>ปักธงชัย</t>
  </si>
  <si>
    <t>SD3430</t>
  </si>
  <si>
    <t>หจก.คอฟฟี่ทรานสปอร์ตอุดรธานี</t>
  </si>
  <si>
    <t>SD3437</t>
  </si>
  <si>
    <t>หจก.พงษ์อรพันธ์</t>
  </si>
  <si>
    <t>SD3438</t>
  </si>
  <si>
    <t>หจก.โฮม เดอ ซาร่า</t>
  </si>
  <si>
    <t>SD3442</t>
  </si>
  <si>
    <t>บจ.เดอะฟอเรสท์ 109</t>
  </si>
  <si>
    <t>SD3446</t>
  </si>
  <si>
    <t>SD3447</t>
  </si>
  <si>
    <t>บจ.ธนไพศาลสิน</t>
  </si>
  <si>
    <t>SD3461</t>
  </si>
  <si>
    <t>บจ.ซีเจ คาเฟ่</t>
  </si>
  <si>
    <t>SD3470</t>
  </si>
  <si>
    <t>บจ.กรีน คอร์ท</t>
  </si>
  <si>
    <t>SD3472</t>
  </si>
  <si>
    <t>มวกเหล็ก</t>
  </si>
  <si>
    <t>SD3473</t>
  </si>
  <si>
    <t>บจ.เค.พี.เอ.ฟู้ด</t>
  </si>
  <si>
    <t>SD3474</t>
  </si>
  <si>
    <t>บจ.มิกซ์เทค ฟู้ด แอนด์ เบฟเวอเรจ</t>
  </si>
  <si>
    <t>SD3475</t>
  </si>
  <si>
    <t>บจ.แสงเจริญ เบฟเวอเรจ (สรรพสิทธิ)</t>
  </si>
  <si>
    <t>SD3480</t>
  </si>
  <si>
    <t>บจ.จิตตรงกัน</t>
  </si>
  <si>
    <t>SD3481</t>
  </si>
  <si>
    <t>บจ.อัญมณี เบฟเวอเรจ</t>
  </si>
  <si>
    <t>SD3497</t>
  </si>
  <si>
    <t>หจก.กุลศักดิ์วิมลเซอร์วิส</t>
  </si>
  <si>
    <t>SD3506</t>
  </si>
  <si>
    <t>หจก.ดีเอ็นเอ เก็ตติ้ง ริช</t>
  </si>
  <si>
    <t>SD3512</t>
  </si>
  <si>
    <t>บจ.ยูเอ็ม คอฟฟี่</t>
  </si>
  <si>
    <t>SD3515</t>
  </si>
  <si>
    <t>หจก.กาแฟณัชพร</t>
  </si>
  <si>
    <t>SD3521</t>
  </si>
  <si>
    <t>บจ.คนช่างคิด168</t>
  </si>
  <si>
    <t>SD3522</t>
  </si>
  <si>
    <t>SD3524</t>
  </si>
  <si>
    <t>บจ.ลาเต้คอฟฟี่ช็อป</t>
  </si>
  <si>
    <t>SD3527</t>
  </si>
  <si>
    <t>บจ.เอสอาร์แอทราม 2</t>
  </si>
  <si>
    <t>SD3530</t>
  </si>
  <si>
    <t>บจ.เอพี คอมเมอร์เชียล แอนด์ เทรดดิ้</t>
  </si>
  <si>
    <t>SD3534</t>
  </si>
  <si>
    <t>บจ.ภูเก็ต 3เค วอเตอร์</t>
  </si>
  <si>
    <t>ถลาง</t>
  </si>
  <si>
    <t>SD3554</t>
  </si>
  <si>
    <t>SD3563</t>
  </si>
  <si>
    <t>SD3564</t>
  </si>
  <si>
    <t>บจ.ดิษยทรัพย์</t>
  </si>
  <si>
    <t>SD3565</t>
  </si>
  <si>
    <t>บจ.กิจรวมมิตร</t>
  </si>
  <si>
    <t>SD3572</t>
  </si>
  <si>
    <t>บจ.ณัฐกร168</t>
  </si>
  <si>
    <t>SD3574</t>
  </si>
  <si>
    <t>SD3582</t>
  </si>
  <si>
    <t>หจก.ทูทวินส์ วงศกร</t>
  </si>
  <si>
    <t>SD3586</t>
  </si>
  <si>
    <t>หจก.สารคามพัฒนาการก่อสร้าง</t>
  </si>
  <si>
    <t>SD3595</t>
  </si>
  <si>
    <t>SD3597</t>
  </si>
  <si>
    <t>หจก.วีระทรัพย์ โปร</t>
  </si>
  <si>
    <t>SD3598</t>
  </si>
  <si>
    <t>SD3600</t>
  </si>
  <si>
    <t>SD3603</t>
  </si>
  <si>
    <t>บจ.เดอะวันพาร์ค</t>
  </si>
  <si>
    <t>SD3609</t>
  </si>
  <si>
    <t>บจ.คนตัวเล็ก</t>
  </si>
  <si>
    <t>SD3612</t>
  </si>
  <si>
    <t>บจ.บ๊อบ มูฟ</t>
  </si>
  <si>
    <t>SD3620</t>
  </si>
  <si>
    <t>SD3624</t>
  </si>
  <si>
    <t>หจก.ปิติ ปิติกานต์</t>
  </si>
  <si>
    <t>SD3625</t>
  </si>
  <si>
    <t>SD3632</t>
  </si>
  <si>
    <t>SD3636</t>
  </si>
  <si>
    <t>บจ.เบนนา เวลตี้</t>
  </si>
  <si>
    <t>SD3638</t>
  </si>
  <si>
    <t>บจ.เหรียญทอง คอฟฟี่</t>
  </si>
  <si>
    <t>SD3640</t>
  </si>
  <si>
    <t>บจ.ชวนจันทร์</t>
  </si>
  <si>
    <t>SD3641</t>
  </si>
  <si>
    <t>หจก.พี เอ็น เอส ฟู้ดแอนด์เบฟเวอเรจ</t>
  </si>
  <si>
    <t>SD3647</t>
  </si>
  <si>
    <t>บจ.สุโขทยา</t>
  </si>
  <si>
    <t>SD3652</t>
  </si>
  <si>
    <t>หจก.วีโต้ คอฟฟี่</t>
  </si>
  <si>
    <t>SD3659</t>
  </si>
  <si>
    <t>บจ.บุญโรจน์ก่อสร้าง</t>
  </si>
  <si>
    <t>SD3666</t>
  </si>
  <si>
    <t>SD3667</t>
  </si>
  <si>
    <t>SD3673</t>
  </si>
  <si>
    <t>SD3674</t>
  </si>
  <si>
    <t>บจ.เอวารี คอฟฟี่ เฮาส์</t>
  </si>
  <si>
    <t>SD3675</t>
  </si>
  <si>
    <t>บจ.เครื่องดื่มรสนุ่ม</t>
  </si>
  <si>
    <t>SD3686</t>
  </si>
  <si>
    <t>บจ.เจซี บอนด์</t>
  </si>
  <si>
    <t>SD3687</t>
  </si>
  <si>
    <t>SD3691</t>
  </si>
  <si>
    <t>บจ.ธัญญ์เดอร์ฟูล</t>
  </si>
  <si>
    <t>SD3695</t>
  </si>
  <si>
    <t>SD3701</t>
  </si>
  <si>
    <t>บจ.เอ เจ คอร์ปอเรชัน</t>
  </si>
  <si>
    <t>SD3703</t>
  </si>
  <si>
    <t>SD3708</t>
  </si>
  <si>
    <t>SD3709</t>
  </si>
  <si>
    <t>SD3712</t>
  </si>
  <si>
    <t>SD3714</t>
  </si>
  <si>
    <t>SD3726</t>
  </si>
  <si>
    <t>SD3736</t>
  </si>
  <si>
    <t>บจ.10 คอฟฟี่ 2020</t>
  </si>
  <si>
    <t>SD3737</t>
  </si>
  <si>
    <t>บจ.โฮม คอฟฟี่</t>
  </si>
  <si>
    <t>SD3741</t>
  </si>
  <si>
    <t>บจ.เวนตี้ คอฟฟี่เฮาส์</t>
  </si>
  <si>
    <t>SD3742</t>
  </si>
  <si>
    <t>หจก.พงษ์พยัคฆ์</t>
  </si>
  <si>
    <t>SD3743</t>
  </si>
  <si>
    <t>บจก.2324</t>
  </si>
  <si>
    <t>SD3744</t>
  </si>
  <si>
    <t>บจ.พีช เนเจอร์</t>
  </si>
  <si>
    <t>SD3745</t>
  </si>
  <si>
    <t>SD3746</t>
  </si>
  <si>
    <t>บจ.ศรีโรสท์</t>
  </si>
  <si>
    <t>SD3747</t>
  </si>
  <si>
    <t>บจ.พชร ไพร์ม</t>
  </si>
  <si>
    <t>SD3748</t>
  </si>
  <si>
    <t>หจก.ภูฆัง ธนาชิ</t>
  </si>
  <si>
    <t>SD3754</t>
  </si>
  <si>
    <t>บจ.เก๋าเกม</t>
  </si>
  <si>
    <t>SD3757</t>
  </si>
  <si>
    <t>บจ.ซีซันพัฒนา</t>
  </si>
  <si>
    <t>SD3761</t>
  </si>
  <si>
    <t>SD3767</t>
  </si>
  <si>
    <t>บจ.วันวิกทอรี่</t>
  </si>
  <si>
    <t>SD3768</t>
  </si>
  <si>
    <t>SD3774</t>
  </si>
  <si>
    <t>บจ.เอ แอน เอ แฟมมิลี่</t>
  </si>
  <si>
    <t>SD3777</t>
  </si>
  <si>
    <t>SD3788</t>
  </si>
  <si>
    <t>หจก.พรรษา2020</t>
  </si>
  <si>
    <t>SD3801</t>
  </si>
  <si>
    <t>บจ.ธีทองธัช</t>
  </si>
  <si>
    <t>SD3802</t>
  </si>
  <si>
    <t>หจก.อันซีน คาเฟ่</t>
  </si>
  <si>
    <t>SD3804</t>
  </si>
  <si>
    <t>บจก.ซุปเปอร์ดี 95</t>
  </si>
  <si>
    <t>SD3805</t>
  </si>
  <si>
    <t>SD3819</t>
  </si>
  <si>
    <t>บจ.โมรินทร์</t>
  </si>
  <si>
    <t>SD3821</t>
  </si>
  <si>
    <t>SD3824</t>
  </si>
  <si>
    <t>บจก.ทองตั้งทุน (1999)</t>
  </si>
  <si>
    <t>อุทัย</t>
  </si>
  <si>
    <t>SD3826</t>
  </si>
  <si>
    <t>SD3831</t>
  </si>
  <si>
    <t>บจก.ขุมทรัพย์รุ่งเรือง</t>
  </si>
  <si>
    <t>SD3832</t>
  </si>
  <si>
    <t>SD3836</t>
  </si>
  <si>
    <t>บจ.อัตลักษณ์ 2020</t>
  </si>
  <si>
    <t>SD3849</t>
  </si>
  <si>
    <t>บจ.พรหมภัสสร56</t>
  </si>
  <si>
    <t>SD3856</t>
  </si>
  <si>
    <t>บจ.โกลเด้นท์ แกลลอรี่</t>
  </si>
  <si>
    <t>SD3857</t>
  </si>
  <si>
    <t>หจก.เดอะ เบสท์ คัพ 1937</t>
  </si>
  <si>
    <t>SD3859</t>
  </si>
  <si>
    <t>บจ.ศิรินคร เอสเตท</t>
  </si>
  <si>
    <t>SD3862</t>
  </si>
  <si>
    <t>SD3864</t>
  </si>
  <si>
    <t>บจก.เอ็นริช เบฟเวอเรจ</t>
  </si>
  <si>
    <t>SD3877</t>
  </si>
  <si>
    <t>SD3879</t>
  </si>
  <si>
    <t>บจ.พรรณวดีกรุ๊ป</t>
  </si>
  <si>
    <t>SD3880</t>
  </si>
  <si>
    <t>หจก.ท่าเรือ คอฟฟี่</t>
  </si>
  <si>
    <t>SD3888</t>
  </si>
  <si>
    <t>หจก.เดอะ ไตร-เอ็ม</t>
  </si>
  <si>
    <t>SD3890</t>
  </si>
  <si>
    <t>บจ.พีเอส คอฟฟี่</t>
  </si>
  <si>
    <t>SD3892</t>
  </si>
  <si>
    <t>บจ.คัพเพิล พี พรีเมี่ยม โปรดักส์</t>
  </si>
  <si>
    <t>SD3896</t>
  </si>
  <si>
    <t>SD3897</t>
  </si>
  <si>
    <t>SD3901</t>
  </si>
  <si>
    <t>บจก.นับตังค์ 888</t>
  </si>
  <si>
    <t>SD3916</t>
  </si>
  <si>
    <t>SD3922</t>
  </si>
  <si>
    <t>บจ.ธนภิวัฒน์คอร์ปอเรชั่น</t>
  </si>
  <si>
    <t>SD3923</t>
  </si>
  <si>
    <t>หจก.สหตรัยมิตร (มาบตาพุด)</t>
  </si>
  <si>
    <t>SD3931</t>
  </si>
  <si>
    <t>SD3934</t>
  </si>
  <si>
    <t>บจก.ดับบลิวพีเอ็ม บรู</t>
  </si>
  <si>
    <t>SD3937</t>
  </si>
  <si>
    <t>SD3939</t>
  </si>
  <si>
    <t>บจ.ต้นพล</t>
  </si>
  <si>
    <t>SD3942</t>
  </si>
  <si>
    <t>บจ.เอ.เอ.เธิร์ด</t>
  </si>
  <si>
    <t>SD3949</t>
  </si>
  <si>
    <t>บจ.บูรพานครศรีฯ</t>
  </si>
  <si>
    <t>SD3950</t>
  </si>
  <si>
    <t>บจ.ภัทรธร 24</t>
  </si>
  <si>
    <t>SD3954</t>
  </si>
  <si>
    <t>หจก.ดลสวรรค์</t>
  </si>
  <si>
    <t>SD3955</t>
  </si>
  <si>
    <t>บจ.เต็งไตรรัตน์ (2024)</t>
  </si>
  <si>
    <t>SD3960</t>
  </si>
  <si>
    <t>หจก.เกดวดี</t>
  </si>
  <si>
    <t>SD3962</t>
  </si>
  <si>
    <t>SD3965</t>
  </si>
  <si>
    <t>SD3966</t>
  </si>
  <si>
    <t>บจ.เมืองสมุทรธุรกิจ</t>
  </si>
  <si>
    <t>SD3975</t>
  </si>
  <si>
    <t>SD3978</t>
  </si>
  <si>
    <t>SD3980</t>
  </si>
  <si>
    <t>หจก.ดิษย์ธนา</t>
  </si>
  <si>
    <t>SD3981</t>
  </si>
  <si>
    <t>บจ.ซี เอ ดับบลิว ที</t>
  </si>
  <si>
    <t>SD3983</t>
  </si>
  <si>
    <t>บจก.สตาร์ 2021</t>
  </si>
  <si>
    <t>SD3987</t>
  </si>
  <si>
    <t>บจ.โฟโม่ กาแฟ</t>
  </si>
  <si>
    <t>SD3991</t>
  </si>
  <si>
    <t>บจ.ทรัพย์มั่งมี ไมตรีมั่งคั่ง</t>
  </si>
  <si>
    <t>SD3992</t>
  </si>
  <si>
    <t>SD3993</t>
  </si>
  <si>
    <t>บจ.24ช้อนทอง</t>
  </si>
  <si>
    <t>SD4005</t>
  </si>
  <si>
    <t>SD4006</t>
  </si>
  <si>
    <t>บจ.วายทีพี ยูนิเวอร์ซอล</t>
  </si>
  <si>
    <t>SD4008</t>
  </si>
  <si>
    <t>SD4010</t>
  </si>
  <si>
    <t>หจก.จิดานัน</t>
  </si>
  <si>
    <t>SD4015</t>
  </si>
  <si>
    <t>SD4016</t>
  </si>
  <si>
    <t>บจ.ธนพร168</t>
  </si>
  <si>
    <t>SD4024</t>
  </si>
  <si>
    <t>หจก.ดีดีเบฟเวอเรจ</t>
  </si>
  <si>
    <t>SD4025</t>
  </si>
  <si>
    <t>หจก.เจ กรีน 2021</t>
  </si>
  <si>
    <t>SD4035</t>
  </si>
  <si>
    <t>หจก.พีเอสพี พลัส</t>
  </si>
  <si>
    <t>SD4041</t>
  </si>
  <si>
    <t>SD4042</t>
  </si>
  <si>
    <t>บจก.เมเปิ้ล 69</t>
  </si>
  <si>
    <t>SD4045</t>
  </si>
  <si>
    <t>SD4052</t>
  </si>
  <si>
    <t>SD4055</t>
  </si>
  <si>
    <t>SD4063</t>
  </si>
  <si>
    <t>หจก.ปิติพัฒน์ คอฟฟี่</t>
  </si>
  <si>
    <t>หนองสูง</t>
  </si>
  <si>
    <t>SD4065</t>
  </si>
  <si>
    <t>SD4069</t>
  </si>
  <si>
    <t>บจ.โอเวอร์คัม 2021</t>
  </si>
  <si>
    <t>SD4070</t>
  </si>
  <si>
    <t>บจ.อะเบ้าท์คอฟฟี่ 2485</t>
  </si>
  <si>
    <t>SD4077</t>
  </si>
  <si>
    <t>บจ.บ้านม่วง คาเฟ่</t>
  </si>
  <si>
    <t>SD4078</t>
  </si>
  <si>
    <t>บจ.เจพี เทสตี้</t>
  </si>
  <si>
    <t>SD4085</t>
  </si>
  <si>
    <t>บจ.สิงห์บูรพา คอฟฟี่</t>
  </si>
  <si>
    <t>SD4090</t>
  </si>
  <si>
    <t>SD4091</t>
  </si>
  <si>
    <t>บจ.เฟรปเป้ริช</t>
  </si>
  <si>
    <t>SD4094</t>
  </si>
  <si>
    <t>SD4100</t>
  </si>
  <si>
    <t>บจ.ดริ๊งค์ แพสชั่น</t>
  </si>
  <si>
    <t>SD4101</t>
  </si>
  <si>
    <t>บจ.เฟรช แอนด์ เฟรนด์</t>
  </si>
  <si>
    <t>SD4111</t>
  </si>
  <si>
    <t>บจ.รตนธรรม คอฟฟี่</t>
  </si>
  <si>
    <t>SD4113</t>
  </si>
  <si>
    <t>SD4118</t>
  </si>
  <si>
    <t>SD4120</t>
  </si>
  <si>
    <t>บจ.ซุปเปอร์ดีบางปลา</t>
  </si>
  <si>
    <t>SD4130</t>
  </si>
  <si>
    <t>บจ.เฟลล่า ฟู้ด</t>
  </si>
  <si>
    <t>SD4131</t>
  </si>
  <si>
    <t>หจก.ดีซีซี กาแฟ-ท่าฉลอม</t>
  </si>
  <si>
    <t>SD4138</t>
  </si>
  <si>
    <t>บจ.ศูนย์การค้าไดอาน่าคอมเพล็กซ์</t>
  </si>
  <si>
    <t>SD4143</t>
  </si>
  <si>
    <t>บจ.สวนผักคอฟฟี่</t>
  </si>
  <si>
    <t>SD4153</t>
  </si>
  <si>
    <t>หจก.ปีระกา 24</t>
  </si>
  <si>
    <t>SD4173</t>
  </si>
  <si>
    <t>SD4174</t>
  </si>
  <si>
    <t>SD4176</t>
  </si>
  <si>
    <t>บจก.ลองสเตย์ คอฟฟี่</t>
  </si>
  <si>
    <t>SD4177</t>
  </si>
  <si>
    <t>SD4178</t>
  </si>
  <si>
    <t>หจก.เอส อาร์ ซี เค</t>
  </si>
  <si>
    <t>SD4180</t>
  </si>
  <si>
    <t>บจ.89 แซนด์บ็อคซ์</t>
  </si>
  <si>
    <t>SD4190</t>
  </si>
  <si>
    <t>บจ.บุญพรกระจ่างทรัพย์88</t>
  </si>
  <si>
    <t>SD4193</t>
  </si>
  <si>
    <t>บจก.ทรีโอ้คอฟฟี่</t>
  </si>
  <si>
    <t>SD4194</t>
  </si>
  <si>
    <t>SD4209</t>
  </si>
  <si>
    <t>บจก.ตั้งก่อเกียรติ เจริญ อินเตอร์ ก</t>
  </si>
  <si>
    <t>SD4210</t>
  </si>
  <si>
    <t>บจก.วัฒนา มากไมตรี</t>
  </si>
  <si>
    <t>SD4211</t>
  </si>
  <si>
    <t>บจ.จิรัฏ คอฟ 359</t>
  </si>
  <si>
    <t>SD4213</t>
  </si>
  <si>
    <t>บจ.บางละมุง โรสเตอรี่</t>
  </si>
  <si>
    <t>SD4214</t>
  </si>
  <si>
    <t>บจก.วันเดอร์แลนด์ 24</t>
  </si>
  <si>
    <t>SD4215</t>
  </si>
  <si>
    <t>SD4216</t>
  </si>
  <si>
    <t>หจก.ทูทวินส์ มารวย</t>
  </si>
  <si>
    <t>SD4217</t>
  </si>
  <si>
    <t>หจก.ย่งไถ่ ปราจีน</t>
  </si>
  <si>
    <t>SD4221</t>
  </si>
  <si>
    <t>บจก.เพอร์เพิล คัพ คอฟฟี่</t>
  </si>
  <si>
    <t>SD4222</t>
  </si>
  <si>
    <t>หจก.โตวรพันธ์ ดิสทริบิวเตอร์</t>
  </si>
  <si>
    <t>SD4224</t>
  </si>
  <si>
    <t>SD4229</t>
  </si>
  <si>
    <t>บจ.วันซ์ สตอรี่ คาเฟ่</t>
  </si>
  <si>
    <t>SD4231</t>
  </si>
  <si>
    <t>SD4234</t>
  </si>
  <si>
    <t>บจก.เอสซีจี รามอินทรา</t>
  </si>
  <si>
    <t>SD4235</t>
  </si>
  <si>
    <t>หจก.เอส.ที.บุญสดวก</t>
  </si>
  <si>
    <t>SD4237</t>
  </si>
  <si>
    <t>SD4238</t>
  </si>
  <si>
    <t>SD4241</t>
  </si>
  <si>
    <t>SD4242</t>
  </si>
  <si>
    <t>SD4245</t>
  </si>
  <si>
    <t>SD4251</t>
  </si>
  <si>
    <t>บจ.แสนสดใส</t>
  </si>
  <si>
    <t>พระนคร</t>
  </si>
  <si>
    <t>SD4259</t>
  </si>
  <si>
    <t>หจก.แสณดีปานเคฟช์</t>
  </si>
  <si>
    <t>SD4261</t>
  </si>
  <si>
    <t>บจ.ณ นำทรัพย์</t>
  </si>
  <si>
    <t>SD4262</t>
  </si>
  <si>
    <t>SD4263</t>
  </si>
  <si>
    <t>บจก.เคพีเอ็นเจ กรุ๊ป</t>
  </si>
  <si>
    <t>SD4270</t>
  </si>
  <si>
    <t>บจก.กาแฟแก้วโปรด</t>
  </si>
  <si>
    <t>SD4276</t>
  </si>
  <si>
    <t>บจ.ภาพิศชา</t>
  </si>
  <si>
    <t>SD4277</t>
  </si>
  <si>
    <t>หจก.กิจภักดี88</t>
  </si>
  <si>
    <t>SD4278</t>
  </si>
  <si>
    <t>หจก.นาตาลี บรู</t>
  </si>
  <si>
    <t>SD4295</t>
  </si>
  <si>
    <t>บจ.พีเจ 3999</t>
  </si>
  <si>
    <t>SD4296</t>
  </si>
  <si>
    <t>บจ.ทวีเจริญ</t>
  </si>
  <si>
    <t>SD4300</t>
  </si>
  <si>
    <t>บจ.สยาม ออยล์ โปรดักส์</t>
  </si>
  <si>
    <t>SD4304</t>
  </si>
  <si>
    <t>บจ.เอเวอร์กรีน ทริปเปิล พลัส</t>
  </si>
  <si>
    <t>SD4305</t>
  </si>
  <si>
    <t>หจก.4เจ.ที. โตบุญพา กรุ๊ป</t>
  </si>
  <si>
    <t>SD4311</t>
  </si>
  <si>
    <t>หจก.จีอี ชาแฟ</t>
  </si>
  <si>
    <t>SD4312</t>
  </si>
  <si>
    <t>บจ.ดีบี ฟู้ดแอนด์คอฟฟี่</t>
  </si>
  <si>
    <t>SD4313</t>
  </si>
  <si>
    <t>บจ.เอ็ม อโรมิน่า</t>
  </si>
  <si>
    <t>SD4322</t>
  </si>
  <si>
    <t>บมจ.โรงพยาบาล ปิยะเวท</t>
  </si>
  <si>
    <t>SD4323</t>
  </si>
  <si>
    <t>หจก.บุญยวิทย์จันทร์รุ่งโรจน์ 168</t>
  </si>
  <si>
    <t>SD4324</t>
  </si>
  <si>
    <t>หจก.กิน หอม กรุ่น8</t>
  </si>
  <si>
    <t>SD4325</t>
  </si>
  <si>
    <t>หจก.สุภาการ ค้าปลีก</t>
  </si>
  <si>
    <t>SD4326</t>
  </si>
  <si>
    <t>บจก.เจริญกิจธนา</t>
  </si>
  <si>
    <t>SD4327</t>
  </si>
  <si>
    <t>บจ.ศรีราชามารีน</t>
  </si>
  <si>
    <t>SD4329</t>
  </si>
  <si>
    <t>บจ.โคซี่ เดลี่</t>
  </si>
  <si>
    <t>SD4330</t>
  </si>
  <si>
    <t>บจก.ดีมาพารวย</t>
  </si>
  <si>
    <t>SD4337</t>
  </si>
  <si>
    <t>บจ.ที.ทวี คาเฟ่</t>
  </si>
  <si>
    <t>SD4344</t>
  </si>
  <si>
    <t>หจก. กิน หอม กรุ่น9</t>
  </si>
  <si>
    <t>SD4347</t>
  </si>
  <si>
    <t>SD4351</t>
  </si>
  <si>
    <t>SD4354</t>
  </si>
  <si>
    <t>บจ.ออโต้วัน มะขามคู่ เบเวอเรจ</t>
  </si>
  <si>
    <t>SD4356</t>
  </si>
  <si>
    <t>SD4357</t>
  </si>
  <si>
    <t>หจก.ทู ทวินส์ หทัยราษฎร์</t>
  </si>
  <si>
    <t>SD4364</t>
  </si>
  <si>
    <t>บริษัท แพลนเน็ต อีวี จำกัด</t>
  </si>
  <si>
    <t>SD4368</t>
  </si>
  <si>
    <t>SD4370</t>
  </si>
  <si>
    <t>บจ.เดอะบันนี่ สตอรี่</t>
  </si>
  <si>
    <t>SD4373</t>
  </si>
  <si>
    <t>หจก.เค.แอล.เอ็น. สโตร์</t>
  </si>
  <si>
    <t>โพธิ์ตาก</t>
  </si>
  <si>
    <t>SD4375</t>
  </si>
  <si>
    <t>SD4377</t>
  </si>
  <si>
    <t>SD4381</t>
  </si>
  <si>
    <t>SD4386</t>
  </si>
  <si>
    <t>หจก.คอฟฟี่ ริช</t>
  </si>
  <si>
    <t>SD4388</t>
  </si>
  <si>
    <t>บางคอแหลม</t>
  </si>
  <si>
    <t>SD4389</t>
  </si>
  <si>
    <t>บจ.บีบีเอฟ 56</t>
  </si>
  <si>
    <t>SD4390</t>
  </si>
  <si>
    <t>บจก.จิตรวิเศษ</t>
  </si>
  <si>
    <t>SD4391</t>
  </si>
  <si>
    <t>บ.เดอะวันบ้านกล้วย</t>
  </si>
  <si>
    <t>SD4393</t>
  </si>
  <si>
    <t>หจก.มังกรทอง(มาบตาพุด)</t>
  </si>
  <si>
    <t>SD4395</t>
  </si>
  <si>
    <t>บจ.มาย เมิร์ธ</t>
  </si>
  <si>
    <t>SD4396</t>
  </si>
  <si>
    <t>บจ.ปริมมาดา</t>
  </si>
  <si>
    <t>SD4398</t>
  </si>
  <si>
    <t>หจก.บ๊อบบีพี</t>
  </si>
  <si>
    <t>บ้านหมอ</t>
  </si>
  <si>
    <t>SD4399</t>
  </si>
  <si>
    <t>SD4402</t>
  </si>
  <si>
    <t>บริษัท กรวีร์ เซอร์วิส จำกัด</t>
  </si>
  <si>
    <t>SD4403</t>
  </si>
  <si>
    <t>บจ.ภัทรพัฒน์789 จำกัด</t>
  </si>
  <si>
    <t>SD4404</t>
  </si>
  <si>
    <t>บจ.ลภนทวี</t>
  </si>
  <si>
    <t>SD4405</t>
  </si>
  <si>
    <t>หจก.เอ็มพี.เทียนเงิน กรุ๊ป</t>
  </si>
  <si>
    <t>SD4409</t>
  </si>
  <si>
    <t>SD4410</t>
  </si>
  <si>
    <t>SD4415</t>
  </si>
  <si>
    <t>บจ.เคแคล คูเลเตอร์</t>
  </si>
  <si>
    <t>SD4416</t>
  </si>
  <si>
    <t>บจ.เวลธีคอฟฟี่</t>
  </si>
  <si>
    <t>SD4417</t>
  </si>
  <si>
    <t>SD4426</t>
  </si>
  <si>
    <t>SD4428</t>
  </si>
  <si>
    <t>บจ.เอนเนอร์ยี่ คอมเพล็กซ์</t>
  </si>
  <si>
    <t>SD4429</t>
  </si>
  <si>
    <t>บริษัท พี.แอล.โกลว์ จำกัด</t>
  </si>
  <si>
    <t>SD4430</t>
  </si>
  <si>
    <t>บจ.ไอเอสเอ็น (ประเทศไทย)</t>
  </si>
  <si>
    <t>SD4433</t>
  </si>
  <si>
    <t>บจ.ต้นกล้าพารวย</t>
  </si>
  <si>
    <t>SD4436</t>
  </si>
  <si>
    <t>หจก.ธนสิต เครือแก้วอัญมณี</t>
  </si>
  <si>
    <t>SD4441</t>
  </si>
  <si>
    <t>บจ.คนกะแฟ</t>
  </si>
  <si>
    <t>SD4442</t>
  </si>
  <si>
    <t>บจ.ราชาวาณิชย์</t>
  </si>
  <si>
    <t>SD4445</t>
  </si>
  <si>
    <t>บจ.เบทเทอร์ ฟิล สเตชั่น</t>
  </si>
  <si>
    <t>SD4446</t>
  </si>
  <si>
    <t>บจก.วสุกาญจน์ คาเฟ่</t>
  </si>
  <si>
    <t>SD4452</t>
  </si>
  <si>
    <t>บจ.ทรัพย์เพิ่มพูนทวี</t>
  </si>
  <si>
    <t>SD4456</t>
  </si>
  <si>
    <t>บจ.ทรัพย์ลิตา เบฟเวอเรจ</t>
  </si>
  <si>
    <t>SD4464</t>
  </si>
  <si>
    <t>SD4465</t>
  </si>
  <si>
    <t>SD4468</t>
  </si>
  <si>
    <t>บจก.ทรัพย์ลิตา</t>
  </si>
  <si>
    <t>SD4479</t>
  </si>
  <si>
    <t>SD4483</t>
  </si>
  <si>
    <t>บจ.ทรูลี่-ดีลิเชิส</t>
  </si>
  <si>
    <t>SD4485</t>
  </si>
  <si>
    <t>SD4486</t>
  </si>
  <si>
    <t>หจก.ทรัพย์ครอบครัว</t>
  </si>
  <si>
    <t>SD4487</t>
  </si>
  <si>
    <t>SD4488</t>
  </si>
  <si>
    <t>หจก.พี-โชคชัยยะ</t>
  </si>
  <si>
    <t>SD4489</t>
  </si>
  <si>
    <t>บจ.เอสแอนด์ที เอกซ์เชนท์</t>
  </si>
  <si>
    <t>SD4490</t>
  </si>
  <si>
    <t>หจก.ทู ทวินส์ เสรีไทย</t>
  </si>
  <si>
    <t>SD4491</t>
  </si>
  <si>
    <t>SD4509</t>
  </si>
  <si>
    <t>SD4521</t>
  </si>
  <si>
    <t>SD4524</t>
  </si>
  <si>
    <t>บจ.เวลา กาแฟ</t>
  </si>
  <si>
    <t>SD4534</t>
  </si>
  <si>
    <t>บจ.ชัยวารีรักษ์</t>
  </si>
  <si>
    <t>SD4537</t>
  </si>
  <si>
    <t>บจ.พีเค เบฟเวอเรจ</t>
  </si>
  <si>
    <t>SD4538</t>
  </si>
  <si>
    <t>บจ.สามหกห้าเดย์ เบฟเวอเรจ</t>
  </si>
  <si>
    <t>SD4539</t>
  </si>
  <si>
    <t>บจ.โชคตระการตา</t>
  </si>
  <si>
    <t>SD4542</t>
  </si>
  <si>
    <t>บจ.ธารธารินทร์ (2022)</t>
  </si>
  <si>
    <t>SD4544</t>
  </si>
  <si>
    <t>หจก.ภาสิทธิ์มั่งมี(2022)</t>
  </si>
  <si>
    <t>กุสุมาลย์</t>
  </si>
  <si>
    <t>SD4549</t>
  </si>
  <si>
    <t>บจ.เวลาดี 79</t>
  </si>
  <si>
    <t>SD4551</t>
  </si>
  <si>
    <t>SD4552</t>
  </si>
  <si>
    <t>SD4554</t>
  </si>
  <si>
    <t>SD4557</t>
  </si>
  <si>
    <t>บจ.ไอเดียฟู้ดแอนด์เบเวอเรจ</t>
  </si>
  <si>
    <t>SD4559</t>
  </si>
  <si>
    <t>หจก.คอฟฟี่ มาร์เก็ต</t>
  </si>
  <si>
    <t>SD4560</t>
  </si>
  <si>
    <t>SD4562</t>
  </si>
  <si>
    <t>บจ.บางกอก เอวิเอชั่น ซัพพลาย</t>
  </si>
  <si>
    <t>SD4564</t>
  </si>
  <si>
    <t>SD4573</t>
  </si>
  <si>
    <t>บจ.ออโต้วัน โขดหิน เบเวอเรจ</t>
  </si>
  <si>
    <t>SD4574</t>
  </si>
  <si>
    <t>บจ.พีดี คอฟฟี่</t>
  </si>
  <si>
    <t>SD4576</t>
  </si>
  <si>
    <t>หจก.พินพานตุ้มทองคำ</t>
  </si>
  <si>
    <t>SD4577</t>
  </si>
  <si>
    <t>บจ.ดับเบิ้ล แอล 2023</t>
  </si>
  <si>
    <t>SD4579</t>
  </si>
  <si>
    <t>บจ.นันทกาญจน์ 1971</t>
  </si>
  <si>
    <t>SD4580</t>
  </si>
  <si>
    <t>SD4581</t>
  </si>
  <si>
    <t>บจ.ดรีมแพลนดู</t>
  </si>
  <si>
    <t>SD4582</t>
  </si>
  <si>
    <t>บจ.เอช เค ที โกลด์ มาร์เก็ต</t>
  </si>
  <si>
    <t>SD4585</t>
  </si>
  <si>
    <t>SD4592</t>
  </si>
  <si>
    <t>หจก.คำใสเบฟเวอเรจ</t>
  </si>
  <si>
    <t>SD4594</t>
  </si>
  <si>
    <t>บจ.พีทรีเจ ดีเวลอปเมนท์</t>
  </si>
  <si>
    <t>SD4596</t>
  </si>
  <si>
    <t>SD4597</t>
  </si>
  <si>
    <t>SD4604</t>
  </si>
  <si>
    <t>บจ.ร่มเกล้า คอฟฟี่การ์เด้น</t>
  </si>
  <si>
    <t>SD4606</t>
  </si>
  <si>
    <t>บจก.ภูฆังคาเฟ่8</t>
  </si>
  <si>
    <t>SD4609</t>
  </si>
  <si>
    <t>SD4610</t>
  </si>
  <si>
    <t>SD4612</t>
  </si>
  <si>
    <t>SD4613</t>
  </si>
  <si>
    <t>หจก.อร่อยบางแก้ว</t>
  </si>
  <si>
    <t>SD4615</t>
  </si>
  <si>
    <t>บจ.จ้าวฟ้า 2022</t>
  </si>
  <si>
    <t>SD4617</t>
  </si>
  <si>
    <t>SD4618</t>
  </si>
  <si>
    <t>บจ.ฮอริซั่น คาเฟ่168</t>
  </si>
  <si>
    <t>SD4624</t>
  </si>
  <si>
    <t>บจ.นีโอ ริช อินเตอร์พลัส</t>
  </si>
  <si>
    <t>SD4625</t>
  </si>
  <si>
    <t>บจ.ยู ฟู้ด ดีเวลลอปเม้นท์</t>
  </si>
  <si>
    <t>หนองเสือ</t>
  </si>
  <si>
    <t>SD4626</t>
  </si>
  <si>
    <t>บจ.กาแฟราชพฤกษ์</t>
  </si>
  <si>
    <t>SD4627</t>
  </si>
  <si>
    <t>บจ.มั่งคั่งล้นเหลือ</t>
  </si>
  <si>
    <t>SD4631</t>
  </si>
  <si>
    <t>บจ.กรีนริช คอฟฟี่</t>
  </si>
  <si>
    <t>SD4634</t>
  </si>
  <si>
    <t>บจ.บลูลาเต้ 3659</t>
  </si>
  <si>
    <t>SD4638</t>
  </si>
  <si>
    <t>บจก.ไฮไรซิ่ง</t>
  </si>
  <si>
    <t>SD4645</t>
  </si>
  <si>
    <t>หจก.ปั้นของขาย</t>
  </si>
  <si>
    <t>SD4647</t>
  </si>
  <si>
    <t>บจ.เวลธ์คอร์</t>
  </si>
  <si>
    <t>SD4649</t>
  </si>
  <si>
    <t>บจ.เฮโลซอน</t>
  </si>
  <si>
    <t>SD4650</t>
  </si>
  <si>
    <t>หจก.สกาย แฟมิลี่111</t>
  </si>
  <si>
    <t>SD4651</t>
  </si>
  <si>
    <t>บจ.แอลทีทีเค</t>
  </si>
  <si>
    <t>SD4658</t>
  </si>
  <si>
    <t>SD4661</t>
  </si>
  <si>
    <t>บจ.คอนเนอร์ พลัส</t>
  </si>
  <si>
    <t>SD4665</t>
  </si>
  <si>
    <t>บจ.บี สรรสร้าง</t>
  </si>
  <si>
    <t>SD4668</t>
  </si>
  <si>
    <t>บจ.ประเทือง-นุกูล กิจเจริญ</t>
  </si>
  <si>
    <t>SD4669</t>
  </si>
  <si>
    <t>SD4671</t>
  </si>
  <si>
    <t>บจ. โพรวิเดนซ์</t>
  </si>
  <si>
    <t>SD4672</t>
  </si>
  <si>
    <t>SD4675</t>
  </si>
  <si>
    <t>บจ.เบลลี่ฟูล</t>
  </si>
  <si>
    <t>SD4683</t>
  </si>
  <si>
    <t>SD4684</t>
  </si>
  <si>
    <t>บริษัท พอใจ ชัยรัตน์ จำกัด</t>
  </si>
  <si>
    <t>SD4687</t>
  </si>
  <si>
    <t>SD4689</t>
  </si>
  <si>
    <t>หจก.วารินเงินทอง</t>
  </si>
  <si>
    <t>SD4691</t>
  </si>
  <si>
    <t>SD4691 บจ.ลิตาเจริญทรัพย์</t>
  </si>
  <si>
    <t>SD4705</t>
  </si>
  <si>
    <t>บจ.กำไรไพศาล</t>
  </si>
  <si>
    <t>SD4707</t>
  </si>
  <si>
    <t>SD4711</t>
  </si>
  <si>
    <t>หจก.ทู ทวินส์ ออเงิน</t>
  </si>
  <si>
    <t>SD4712</t>
  </si>
  <si>
    <t>บจ.ประชาชัยวัฒน์ ปิโตรเลียม</t>
  </si>
  <si>
    <t>SD4713</t>
  </si>
  <si>
    <t>SD4716</t>
  </si>
  <si>
    <t>บจ.บวรกฤษฎิ์ กรุ๊ป</t>
  </si>
  <si>
    <t>SD4719</t>
  </si>
  <si>
    <t>บจ.รับเงินทุกนาที</t>
  </si>
  <si>
    <t>SD4720</t>
  </si>
  <si>
    <t>SD4722</t>
  </si>
  <si>
    <t>บจ.จะเด็ด พลัส เบฟเวอเรจ</t>
  </si>
  <si>
    <t>SD4735</t>
  </si>
  <si>
    <t>SD4737</t>
  </si>
  <si>
    <t>บจ.บ้านท่าข้าม</t>
  </si>
  <si>
    <t>SD4738</t>
  </si>
  <si>
    <t>SD4743</t>
  </si>
  <si>
    <t>SD4745</t>
  </si>
  <si>
    <t>SD4750</t>
  </si>
  <si>
    <t>บจ.คอฟฟี่เดย์</t>
  </si>
  <si>
    <t>SD4751</t>
  </si>
  <si>
    <t>บจ.ก้าวร่ำรวย คาเฟ่</t>
  </si>
  <si>
    <t>SD4752</t>
  </si>
  <si>
    <t>บจ.เอ แอนด์ ที ริช</t>
  </si>
  <si>
    <t>SD4757</t>
  </si>
  <si>
    <t>บจ.พาวเวอร์ ที.เค.ที. กรุ๊ป</t>
  </si>
  <si>
    <t>SD4759</t>
  </si>
  <si>
    <t>บจ.ดีพีเอ็น อินเตอร์พลัส</t>
  </si>
  <si>
    <t>SD4762</t>
  </si>
  <si>
    <t>บจ.รสเข้ม</t>
  </si>
  <si>
    <t>SD4765</t>
  </si>
  <si>
    <t>SD4766</t>
  </si>
  <si>
    <t>หจก.เอ 66</t>
  </si>
  <si>
    <t>SD4768</t>
  </si>
  <si>
    <t>บจ.ชนิ-ชนัญ มาร์เก็ตติ้ง</t>
  </si>
  <si>
    <t>SD4775</t>
  </si>
  <si>
    <t>บจก.ธานินเพิ่มพูน</t>
  </si>
  <si>
    <t>SD4776</t>
  </si>
  <si>
    <t>บจ.กาแฟเลียบคลอง</t>
  </si>
  <si>
    <t>SD4777</t>
  </si>
  <si>
    <t>SD4778</t>
  </si>
  <si>
    <t>หจก.กิน หอม กรุ่น5</t>
  </si>
  <si>
    <t>SD4779</t>
  </si>
  <si>
    <t>หจก.ทู ทวินส์ เพิ่มสิน</t>
  </si>
  <si>
    <t>SD4780</t>
  </si>
  <si>
    <t>SD4781</t>
  </si>
  <si>
    <t>บจ.อีอีดี พลัส</t>
  </si>
  <si>
    <t>SD4785</t>
  </si>
  <si>
    <t>SD4790</t>
  </si>
  <si>
    <t>บจ.เสือสั่งลุย</t>
  </si>
  <si>
    <t>SD4793</t>
  </si>
  <si>
    <t>บจ.ซีเอสเอส พาณิช</t>
  </si>
  <si>
    <t>SD4795</t>
  </si>
  <si>
    <t>บจ. อมาเร็ตโต</t>
  </si>
  <si>
    <t>SD4796</t>
  </si>
  <si>
    <t>หจก.กิน หอม กรุ่น7</t>
  </si>
  <si>
    <t>SD4800</t>
  </si>
  <si>
    <t>SD4807</t>
  </si>
  <si>
    <t>บจ.ดีปู่เจ้า</t>
  </si>
  <si>
    <t>SD4809</t>
  </si>
  <si>
    <t>บจ.ไตร-อมัส</t>
  </si>
  <si>
    <t>SD4816</t>
  </si>
  <si>
    <t>หจก.อร่อยเต็มแก้ว</t>
  </si>
  <si>
    <t>SD4820</t>
  </si>
  <si>
    <t>บจ.บิ้ลด์ อะ ดรีม</t>
  </si>
  <si>
    <t>SD4824</t>
  </si>
  <si>
    <t>บจ.เบทเทอร์แลนด์ ดีเวลลอปเมนท์</t>
  </si>
  <si>
    <t>SD4831</t>
  </si>
  <si>
    <t>บจ.สุขสมเกียรติ ปิโตรเลี่ยม</t>
  </si>
  <si>
    <t>SD4840</t>
  </si>
  <si>
    <t>หจก.ทู ซันส์ 2023</t>
  </si>
  <si>
    <t>SD4841</t>
  </si>
  <si>
    <t>หจก.ศรีพัฒนา คาเฟ่</t>
  </si>
  <si>
    <t>SD4842</t>
  </si>
  <si>
    <t>SD4842 หจก.กุดชุมออยล์</t>
  </si>
  <si>
    <t>SD4847</t>
  </si>
  <si>
    <t>บจ.เดอร์บัววิลล่า</t>
  </si>
  <si>
    <t>SD4853</t>
  </si>
  <si>
    <t>SD4867</t>
  </si>
  <si>
    <t>บจ.ซิพ แอนด์ ชิล</t>
  </si>
  <si>
    <t>SD4868</t>
  </si>
  <si>
    <t>บจ.วาย แอนด์ ซี คอฟฟี่ 2566</t>
  </si>
  <si>
    <t>SD4869</t>
  </si>
  <si>
    <t>บจ.ทูพีเอส บิสซิเนส</t>
  </si>
  <si>
    <t>SD4871</t>
  </si>
  <si>
    <t>บจ.ขนมคนใจดี</t>
  </si>
  <si>
    <t>SD4880</t>
  </si>
  <si>
    <t>SD4882</t>
  </si>
  <si>
    <t>บจ.คอฟฟี่ มีเงิน</t>
  </si>
  <si>
    <t>SD4883</t>
  </si>
  <si>
    <t>บจก.มณีอำพัน</t>
  </si>
  <si>
    <t>SD4887</t>
  </si>
  <si>
    <t>บจ.ถ้วยโปรด</t>
  </si>
  <si>
    <t>SD4896</t>
  </si>
  <si>
    <t>SD4900</t>
  </si>
  <si>
    <t>บจ.พัชรทัต</t>
  </si>
  <si>
    <t>SD4909</t>
  </si>
  <si>
    <t>SD4910</t>
  </si>
  <si>
    <t>บจ.ทีพีเอส2023</t>
  </si>
  <si>
    <t>SD4911</t>
  </si>
  <si>
    <t>SD4919</t>
  </si>
  <si>
    <t>บจ.เอพี ริช เอริช</t>
  </si>
  <si>
    <t>SD4923</t>
  </si>
  <si>
    <t>บจ.ซิมพลี่ ดีลิเชิส</t>
  </si>
  <si>
    <t>SD4926</t>
  </si>
  <si>
    <t>หจก.ทู ทวินส์ ลานน้ำพุ</t>
  </si>
  <si>
    <t>SD4931</t>
  </si>
  <si>
    <t>SD4938</t>
  </si>
  <si>
    <t>SD4944</t>
  </si>
  <si>
    <t>SD4950</t>
  </si>
  <si>
    <t>SD4953</t>
  </si>
  <si>
    <t>หจก.ลลดาภัทร</t>
  </si>
  <si>
    <t>SD4956</t>
  </si>
  <si>
    <t>SD4957</t>
  </si>
  <si>
    <t>บจ.ใจดี บิสซิเนส</t>
  </si>
  <si>
    <t>SD4959</t>
  </si>
  <si>
    <t>SD4965</t>
  </si>
  <si>
    <t>บจ.สกาย มอลล์ คาเฟ่</t>
  </si>
  <si>
    <t>SD4966</t>
  </si>
  <si>
    <t>SD4974</t>
  </si>
  <si>
    <t>SD4976</t>
  </si>
  <si>
    <t>บจ.เจริญกิจภัณฑ์ คอฟฟี่ เฮ้าส์</t>
  </si>
  <si>
    <t>SD4982</t>
  </si>
  <si>
    <t>บจ.เอฟ โอ ที</t>
  </si>
  <si>
    <t>SD4985</t>
  </si>
  <si>
    <t>SD4986</t>
  </si>
  <si>
    <t>SD4992</t>
  </si>
  <si>
    <t>บจ.คลองหลวงเมืองใหม่ คอฟฟี่</t>
  </si>
  <si>
    <t>SD4995</t>
  </si>
  <si>
    <t>SD5002</t>
  </si>
  <si>
    <t>บจ.เต็มเติบโต 2014</t>
  </si>
  <si>
    <t>SD5006</t>
  </si>
  <si>
    <t>SD5007</t>
  </si>
  <si>
    <t>บจ.เจริญชง</t>
  </si>
  <si>
    <t>SD5011</t>
  </si>
  <si>
    <t>SD5013</t>
  </si>
  <si>
    <t>SD5016</t>
  </si>
  <si>
    <t>หจก.สามเรา อินฟินิตี้</t>
  </si>
  <si>
    <t>SD5018</t>
  </si>
  <si>
    <t>หจก.ดีใจชงกาแฟ</t>
  </si>
  <si>
    <t>SD5019</t>
  </si>
  <si>
    <t>บจ.เอสอาร์ทีดี</t>
  </si>
  <si>
    <t>SD5020</t>
  </si>
  <si>
    <t>SD5021</t>
  </si>
  <si>
    <t>SD5022</t>
  </si>
  <si>
    <t>บจ.จีพี ท็อป พาวเวอร์</t>
  </si>
  <si>
    <t>SD5023</t>
  </si>
  <si>
    <t>บจ.มิกกี้หม่ำ</t>
  </si>
  <si>
    <t>SD5033</t>
  </si>
  <si>
    <t>SD5036</t>
  </si>
  <si>
    <t>SD5042</t>
  </si>
  <si>
    <t>บจ.วัฒนามหทรัพย์</t>
  </si>
  <si>
    <t>SD5050</t>
  </si>
  <si>
    <t>SD5052</t>
  </si>
  <si>
    <t>SD5054</t>
  </si>
  <si>
    <t>บจ.คอฟฟี่ บาย รินรดา</t>
  </si>
  <si>
    <t>SD5055</t>
  </si>
  <si>
    <t>บจ.หวังสกุลพาณิชย์ 3</t>
  </si>
  <si>
    <t>SD5056</t>
  </si>
  <si>
    <t>SD5057</t>
  </si>
  <si>
    <t>บจ.เคพีเอ ซอนดิ้งค์</t>
  </si>
  <si>
    <t>SD5067</t>
  </si>
  <si>
    <t>หจก.ดริ้ง แอนด์ ดรีม</t>
  </si>
  <si>
    <t>SD5071</t>
  </si>
  <si>
    <t>SD5074</t>
  </si>
  <si>
    <t>บจ.พอดีพอใจ 2567</t>
  </si>
  <si>
    <t>SD5087</t>
  </si>
  <si>
    <t>SD5093</t>
  </si>
  <si>
    <t>SD5095</t>
  </si>
  <si>
    <t>บจ.วี.ซี.ซี</t>
  </si>
  <si>
    <t>SD5096</t>
  </si>
  <si>
    <t>บจ.ฟันนี่ บอนนี่</t>
  </si>
  <si>
    <t>SD5102</t>
  </si>
  <si>
    <t>SD5104</t>
  </si>
  <si>
    <t>บจ.พีวายเอ็ม อเมซ</t>
  </si>
  <si>
    <t>SD5112</t>
  </si>
  <si>
    <t>SD5116</t>
  </si>
  <si>
    <t>SD5117</t>
  </si>
  <si>
    <t>SD5122</t>
  </si>
  <si>
    <t>บจ.บิ๊กเบลรี่ ฟู้ด</t>
  </si>
  <si>
    <t>SD5124</t>
  </si>
  <si>
    <t>SD5125</t>
  </si>
  <si>
    <t>หจก.พิพัฒน์ชัยถาวร</t>
  </si>
  <si>
    <t>SD5127</t>
  </si>
  <si>
    <t>บจ.เอสอาร์ แอทเดอะกลาสมาร์เก็ต</t>
  </si>
  <si>
    <t>SD5130</t>
  </si>
  <si>
    <t>บจ.ปณ.คาเฟ่ 2024</t>
  </si>
  <si>
    <t>SD5134</t>
  </si>
  <si>
    <t>หจก.ศรีเมืองสกุล</t>
  </si>
  <si>
    <t>SD5135</t>
  </si>
  <si>
    <t>หจก.ปุณณธร คอฟฟี่</t>
  </si>
  <si>
    <t>SD5141</t>
  </si>
  <si>
    <t>บจ.ศรีสมวงศ์เซอร์วิส(เมืองชัยภูมิ)</t>
  </si>
  <si>
    <t>SD5142</t>
  </si>
  <si>
    <t>บจ.กิตรุ่งเรือง35</t>
  </si>
  <si>
    <t>ปากพลี</t>
  </si>
  <si>
    <t>SD5145</t>
  </si>
  <si>
    <t>SD5151</t>
  </si>
  <si>
    <t>บจ.มิลเลี่ยน เดอะเบสท์</t>
  </si>
  <si>
    <t>SD5152</t>
  </si>
  <si>
    <t>บจ.กาแฟ ดอนยายหอม</t>
  </si>
  <si>
    <t>SD5162</t>
  </si>
  <si>
    <t>บจ.เอ็นแอนด์ที คอฟฟี่ พลัส</t>
  </si>
  <si>
    <t>SD5163</t>
  </si>
  <si>
    <t>SD5164</t>
  </si>
  <si>
    <t>บจ.ซิท แอท ซี</t>
  </si>
  <si>
    <t>SD5168</t>
  </si>
  <si>
    <t>บจ.วิชาญ พัฒนา</t>
  </si>
  <si>
    <t>SD5170</t>
  </si>
  <si>
    <t>บจ.พี - ฟู้ดส์ แอนด์ เรสเทอรอง</t>
  </si>
  <si>
    <t>SD5173</t>
  </si>
  <si>
    <t>หจก.เอ.เอ.เลิฟ คอฟฟี่</t>
  </si>
  <si>
    <t>SD5174</t>
  </si>
  <si>
    <t>บจ.พรมหานคร 100 ปี</t>
  </si>
  <si>
    <t>SD5180</t>
  </si>
  <si>
    <t>บจ.เมษากาแฟ</t>
  </si>
  <si>
    <t>SD5183</t>
  </si>
  <si>
    <t>บจ.พลอยพัชชา99</t>
  </si>
  <si>
    <t>SD5184</t>
  </si>
  <si>
    <t>หจก.ณ. เจริญรุ่งเรือง</t>
  </si>
  <si>
    <t>SD5189</t>
  </si>
  <si>
    <t>บจ.ช้อนทอง คอฟฟี่</t>
  </si>
  <si>
    <t>SD5192</t>
  </si>
  <si>
    <t>SD5193</t>
  </si>
  <si>
    <t>บจ.เฮง เก่ง รวย</t>
  </si>
  <si>
    <t>SD5198</t>
  </si>
  <si>
    <t>หจก.ร่วมใจนารา คาเฟ่</t>
  </si>
  <si>
    <t>SD5199</t>
  </si>
  <si>
    <t>SD5200</t>
  </si>
  <si>
    <t>บจ.มิลค์ เมเนีย</t>
  </si>
  <si>
    <t>SD5203</t>
  </si>
  <si>
    <t>SD5204</t>
  </si>
  <si>
    <t>SD5205</t>
  </si>
  <si>
    <t>SD5209</t>
  </si>
  <si>
    <t>SD5210</t>
  </si>
  <si>
    <t>บจ.รวยเพราะชง</t>
  </si>
  <si>
    <t>SD5212</t>
  </si>
  <si>
    <t>SD5213</t>
  </si>
  <si>
    <t>บจ.รวย รวย เบเวอร์เรจ</t>
  </si>
  <si>
    <t>SD5217</t>
  </si>
  <si>
    <t>บจ.คนทำดี168</t>
  </si>
  <si>
    <t>SD5220</t>
  </si>
  <si>
    <t>หจก.เก้าทรัพย์</t>
  </si>
  <si>
    <t>SD5222</t>
  </si>
  <si>
    <t>บจ.ไวบ์ คาเฟ่ 789</t>
  </si>
  <si>
    <t>SD5224</t>
  </si>
  <si>
    <t>SD5226</t>
  </si>
  <si>
    <t>หจก.ชุนหลี ปู๊นปู๊น</t>
  </si>
  <si>
    <t>SD5232</t>
  </si>
  <si>
    <t>หจก.จิรคม001</t>
  </si>
  <si>
    <t>SD5236</t>
  </si>
  <si>
    <t>บจ.สวีท ดิช</t>
  </si>
  <si>
    <t>SD5237</t>
  </si>
  <si>
    <t>SD5239</t>
  </si>
  <si>
    <t>หจก.พิจิตรวีรภัทรการโยธา</t>
  </si>
  <si>
    <t>SD5240</t>
  </si>
  <si>
    <t>หจก.เพชรธารา คาเฟ่</t>
  </si>
  <si>
    <t>SD5241</t>
  </si>
  <si>
    <t>บจ.เอ็มเอ็นเอส ดริงค์ส</t>
  </si>
  <si>
    <t>SD5242</t>
  </si>
  <si>
    <t>บจ.เอส.หัวหินตาลเดี่ยว</t>
  </si>
  <si>
    <t>SD5243</t>
  </si>
  <si>
    <t>บจ.แบงคอก ฟู้ดแอนด์เบฟเวอเรจ</t>
  </si>
  <si>
    <t>SD5244</t>
  </si>
  <si>
    <t>SD5245</t>
  </si>
  <si>
    <t>SD5246</t>
  </si>
  <si>
    <t>SD5247</t>
  </si>
  <si>
    <t>SD5249</t>
  </si>
  <si>
    <t>หจก.ธีระภพ</t>
  </si>
  <si>
    <t>SD5258</t>
  </si>
  <si>
    <t>SD5259</t>
  </si>
  <si>
    <t>SD5260</t>
  </si>
  <si>
    <t>SD5262</t>
  </si>
  <si>
    <t>บจ.ออดี้อินดี้ คอลเล็คทีฟ</t>
  </si>
  <si>
    <t>SD5266</t>
  </si>
  <si>
    <t>บจ.บุญมาเบฟเวอเรจ</t>
  </si>
  <si>
    <t>SD5268</t>
  </si>
  <si>
    <t>หจก.พัชรพรรณกร</t>
  </si>
  <si>
    <t>SD5269</t>
  </si>
  <si>
    <t>บจ.ผิงผิง อินเตอร์พลัส</t>
  </si>
  <si>
    <t>SD5270</t>
  </si>
  <si>
    <t>บจ.มีทรัพย์ กำไรมหาศาล</t>
  </si>
  <si>
    <t>SD5274</t>
  </si>
  <si>
    <t>บจ.ยิ่งค้ายิ่งดี</t>
  </si>
  <si>
    <t>SD5284</t>
  </si>
  <si>
    <t>บจ.ซีเอ็มซี เน็ทเวอร์ค เซอร์วิส พลั</t>
  </si>
  <si>
    <t>SD5288</t>
  </si>
  <si>
    <t>บจ.คอฟฟี่ ร่ำรวยเงิน</t>
  </si>
  <si>
    <t>SD5289</t>
  </si>
  <si>
    <t>บจ.ทรัพย์แสนตรา</t>
  </si>
  <si>
    <t>SD5290</t>
  </si>
  <si>
    <t>บจ.จิระพงษ์สุวรรณ</t>
  </si>
  <si>
    <t>SD5294</t>
  </si>
  <si>
    <t>SD5295</t>
  </si>
  <si>
    <t>บจ.วัน คอนเซ็ปท์</t>
  </si>
  <si>
    <t>SD5296</t>
  </si>
  <si>
    <t>บจ.ซุปเปอร์หมู</t>
  </si>
  <si>
    <t>SD5299</t>
  </si>
  <si>
    <t>SD5300</t>
  </si>
  <si>
    <t>บจ.บิ๊กเบลรี่ ฟู้ด แอนด์ เบเวอร์เรจ</t>
  </si>
  <si>
    <t>SD5308</t>
  </si>
  <si>
    <t>บจ.เสือสว่าง</t>
  </si>
  <si>
    <t>SD5310</t>
  </si>
  <si>
    <t>SD5311</t>
  </si>
  <si>
    <t>บจ.เดอะเฟิร์สคัพ 24</t>
  </si>
  <si>
    <t>SD5315</t>
  </si>
  <si>
    <t>บจ.ดิจิทัลคอฟฟี่</t>
  </si>
  <si>
    <t>SD5316</t>
  </si>
  <si>
    <t>บจ.พีเจ บีน แอนด์ โค</t>
  </si>
  <si>
    <t>SD5317</t>
  </si>
  <si>
    <t>หจก.พลายนิพิฐ</t>
  </si>
  <si>
    <t>SD5319</t>
  </si>
  <si>
    <t>บจ.ชงเลิศ</t>
  </si>
  <si>
    <t>SD5322</t>
  </si>
  <si>
    <t>บจ.เค ที ออยล์ มาร์ท</t>
  </si>
  <si>
    <t>SD5323</t>
  </si>
  <si>
    <t>บจ.วีวินซัคเซส</t>
  </si>
  <si>
    <t>SD5325</t>
  </si>
  <si>
    <t>SD5326</t>
  </si>
  <si>
    <t>หจก.ศิษฏ์ธิภัทรมงคล</t>
  </si>
  <si>
    <t>SD5327</t>
  </si>
  <si>
    <t>บจ.มอร์ ดีลิช</t>
  </si>
  <si>
    <t>SD5328</t>
  </si>
  <si>
    <t>บจ.พีพี คอฟฟี่</t>
  </si>
  <si>
    <t>SD5329</t>
  </si>
  <si>
    <t>บจ.เค พี เค ไทรฟ์</t>
  </si>
  <si>
    <t>SD5332</t>
  </si>
  <si>
    <t>SD5338</t>
  </si>
  <si>
    <t>หจก.ธีรารีโชคดี</t>
  </si>
  <si>
    <t>SD5339</t>
  </si>
  <si>
    <t>หจก.ซีเอช เมเจอร์ อินเตอร์เทรด</t>
  </si>
  <si>
    <t>SD5340</t>
  </si>
  <si>
    <t>บจ.แฮปปี้ โค๊ด คอฟฟี่</t>
  </si>
  <si>
    <t>SD5341</t>
  </si>
  <si>
    <t>บจ.เอสอาร์ดีดี</t>
  </si>
  <si>
    <t>SD5342</t>
  </si>
  <si>
    <t>บจ.สุขุมวิท สแควร์</t>
  </si>
  <si>
    <t>SD5344</t>
  </si>
  <si>
    <t>SD5345</t>
  </si>
  <si>
    <t>บจ.หยวนชง</t>
  </si>
  <si>
    <t>SD5346</t>
  </si>
  <si>
    <t>SD5354</t>
  </si>
  <si>
    <t>บจก.ทีพี คอฟฟี่ ที แอนด์ คาเฟ่</t>
  </si>
  <si>
    <t>SD5359</t>
  </si>
  <si>
    <t>บจ.กู้ด เดย์ คอฟฟี่</t>
  </si>
  <si>
    <t>SD5370</t>
  </si>
  <si>
    <t>บจ.ควินน์แอนด์คอฟฟี่168</t>
  </si>
  <si>
    <t>SD5372</t>
  </si>
  <si>
    <t>บจ.ฟิลแอนด์โกพลัส</t>
  </si>
  <si>
    <t>SD5376</t>
  </si>
  <si>
    <t>SD5378</t>
  </si>
  <si>
    <t>บจ.จิระรุ่งเรือง 45</t>
  </si>
  <si>
    <t>SD5379</t>
  </si>
  <si>
    <t>หจก.ดีซีซี กาแฟ-นิคม ซ.15</t>
  </si>
  <si>
    <t>SD5384</t>
  </si>
  <si>
    <t>บจ.คอฟฟี่ วัน</t>
  </si>
  <si>
    <t>SD5391</t>
  </si>
  <si>
    <t>หจก.เดอะ เบสท์ คัพ 1994</t>
  </si>
  <si>
    <t>SD5392</t>
  </si>
  <si>
    <t>บจ.มายรีวอร์ด</t>
  </si>
  <si>
    <t>SD5393</t>
  </si>
  <si>
    <t>บจ.24 แซนด์บ็อคซ์</t>
  </si>
  <si>
    <t>SD5394</t>
  </si>
  <si>
    <t>บจ.กรุ๊ป ทองหล่อ</t>
  </si>
  <si>
    <t>SD5395</t>
  </si>
  <si>
    <t>SD5396</t>
  </si>
  <si>
    <t>บจ.พีเค พาวเวอร์ พลัส</t>
  </si>
  <si>
    <t>SD5408</t>
  </si>
  <si>
    <t>บจ.อินคอฟฟี่สูท168</t>
  </si>
  <si>
    <t>SD5411</t>
  </si>
  <si>
    <t>บจ.เอส.พี.ที.ที</t>
  </si>
  <si>
    <t>SD5413</t>
  </si>
  <si>
    <t>บจ.ชพิมพ์ 2560</t>
  </si>
  <si>
    <t>SD5417</t>
  </si>
  <si>
    <t>SD5420</t>
  </si>
  <si>
    <t>หจก.เอ็นแอนด์เคพิจิตร</t>
  </si>
  <si>
    <t>SD5421</t>
  </si>
  <si>
    <t>บจ.เอ็นเค เอ็นเตอร์ไพรส์168</t>
  </si>
  <si>
    <t>SD5422</t>
  </si>
  <si>
    <t>บจ.เอสอาร์ร่ำรวย</t>
  </si>
  <si>
    <t>SD5434</t>
  </si>
  <si>
    <t>SD5438</t>
  </si>
  <si>
    <t>หจก.ทู ทวินส์ สายไหม</t>
  </si>
  <si>
    <t>SD5440</t>
  </si>
  <si>
    <t>หจก.ดิษย์ธนัช</t>
  </si>
  <si>
    <t>SD5454</t>
  </si>
  <si>
    <t>SD5455</t>
  </si>
  <si>
    <t>หจก.เอ.เอ.เลิฟ ขอนแก่น</t>
  </si>
  <si>
    <t>SD5461</t>
  </si>
  <si>
    <t>หจก.ซีเอส เบฟเวอเรจ แอนด์ เซอร์วิสซ</t>
  </si>
  <si>
    <t>SD5463</t>
  </si>
  <si>
    <t>SD5464</t>
  </si>
  <si>
    <t>SD5465</t>
  </si>
  <si>
    <t>SD5466</t>
  </si>
  <si>
    <t>บจ.345 บาริสต้า</t>
  </si>
  <si>
    <t>SD5467</t>
  </si>
  <si>
    <t>SD5468</t>
  </si>
  <si>
    <t>SD5471</t>
  </si>
  <si>
    <t>SD5472</t>
  </si>
  <si>
    <t>SD5475</t>
  </si>
  <si>
    <t>บจ.ซีซัน อัลฟ่า</t>
  </si>
  <si>
    <t>SD5476</t>
  </si>
  <si>
    <t>บจ.เบกเบรด</t>
  </si>
  <si>
    <t>SD5478</t>
  </si>
  <si>
    <t>บจ.โรบัสโต 2025</t>
  </si>
  <si>
    <t>SD5483</t>
  </si>
  <si>
    <t>บจ.ชัยเจริญ(2025)</t>
  </si>
  <si>
    <t>SD5484</t>
  </si>
  <si>
    <t>SD5485</t>
  </si>
  <si>
    <t>บจ.ทีซีเอ็น เจ็ดหนึ่งหนึ่ง</t>
  </si>
  <si>
    <t>SD5492</t>
  </si>
  <si>
    <t>SD5493</t>
  </si>
  <si>
    <t>หจก.โชคปภาพัชร์</t>
  </si>
  <si>
    <t>SD5495</t>
  </si>
  <si>
    <t>SD5497</t>
  </si>
  <si>
    <t>SD5498</t>
  </si>
  <si>
    <t>SD5501</t>
  </si>
  <si>
    <t>หจก.ภูฆัง คาเฟ่</t>
  </si>
  <si>
    <t>SD5505</t>
  </si>
  <si>
    <t>บจ.เอ็นแอนด์พีคอฟฟี่</t>
  </si>
  <si>
    <t>SD5506</t>
  </si>
  <si>
    <t>บจ.ดี 29</t>
  </si>
  <si>
    <t>SD5507</t>
  </si>
  <si>
    <t>บจ.ซิสเตอร์ โฟลว์</t>
  </si>
  <si>
    <t>SD5510</t>
  </si>
  <si>
    <t>หจก.ไมอามี่ เบลนด์</t>
  </si>
  <si>
    <t>SD5511</t>
  </si>
  <si>
    <t>หจก.ทองมีกลางเมือง</t>
  </si>
  <si>
    <t>SD5514</t>
  </si>
  <si>
    <t>บจ.พูนสุขทรัพย์ไพศาล</t>
  </si>
  <si>
    <t>SD5520</t>
  </si>
  <si>
    <t>หจก.เงินเข้าไม่หยุด 88</t>
  </si>
  <si>
    <t>SD5525</t>
  </si>
  <si>
    <t>บจ.บ้านแบ่งสันปันส่วน</t>
  </si>
  <si>
    <t>SD5527</t>
  </si>
  <si>
    <t>หจก.เอ.เอ.เลิฟ ชุมแพ</t>
  </si>
  <si>
    <t>SD5530</t>
  </si>
  <si>
    <t>บจ.อราบัสต้า</t>
  </si>
  <si>
    <t>SD5536</t>
  </si>
  <si>
    <t>บจ.พรประสิทธิ์ซัพพลาย</t>
  </si>
  <si>
    <t>SD5537</t>
  </si>
  <si>
    <t>บจ.88 แซนด์บ็อคซ์</t>
  </si>
  <si>
    <t>SD5539</t>
  </si>
  <si>
    <t>SD5542</t>
  </si>
  <si>
    <t>SD5544</t>
  </si>
  <si>
    <t>หจก.ศิลามหาปุญโญ</t>
  </si>
  <si>
    <t>SD5550</t>
  </si>
  <si>
    <t>หจก.ดั๊บเบิ้ลทรัพย์ 1022</t>
  </si>
  <si>
    <t>SD5551</t>
  </si>
  <si>
    <t>SD5557</t>
  </si>
  <si>
    <t>บจ.อรวิมลศิริ</t>
  </si>
  <si>
    <t>SD5559</t>
  </si>
  <si>
    <t>บจ.จีแอนด์เอ็น 168 คอร์เปอเรชั่น</t>
  </si>
  <si>
    <t>SD5560</t>
  </si>
  <si>
    <t>บจ.อะ คัพ ออฟ จอย</t>
  </si>
  <si>
    <t>SD5564</t>
  </si>
  <si>
    <t>บจ.เอ็ม แมกซ์ อินดัสทรี</t>
  </si>
  <si>
    <t>SD5568</t>
  </si>
  <si>
    <t>บจ.โคตรปังปุริเย่</t>
  </si>
  <si>
    <t>SD5573</t>
  </si>
  <si>
    <t>บจ.ดีดีพลัส คอฟฟี่เฮ้าส์</t>
  </si>
  <si>
    <t>SD5581</t>
  </si>
  <si>
    <t>บจ.แสนศิลา</t>
  </si>
  <si>
    <t>SD5582</t>
  </si>
  <si>
    <t>SD5585</t>
  </si>
  <si>
    <t>SD5587</t>
  </si>
  <si>
    <t>SD5590</t>
  </si>
  <si>
    <t>บจ.เอ็มทูเอ็ม คาเฟ่ แอนด์ เบฟเวอเรจ</t>
  </si>
  <si>
    <t>SD5594</t>
  </si>
  <si>
    <t>บจ.พิพัฒน์สิริรักษ์</t>
  </si>
  <si>
    <t>SD5595</t>
  </si>
  <si>
    <t>บจ.คุณมะลิฟู้ดส์</t>
  </si>
  <si>
    <t>SD5596</t>
  </si>
  <si>
    <t>บจ.นาเยียปิโตรเลียม</t>
  </si>
  <si>
    <t>SD5597</t>
  </si>
  <si>
    <t>บจ.ฎี ฎี ฎี 2025</t>
  </si>
  <si>
    <t>SD5601</t>
  </si>
  <si>
    <t>บจ.บอส พชร</t>
  </si>
  <si>
    <t>SD5604</t>
  </si>
  <si>
    <t>บจ.เบญจวรรณ เซอร์วิส 2025</t>
  </si>
  <si>
    <t>SD5605</t>
  </si>
  <si>
    <t>บจ.พรีเมี่ยม คอฟฟี่</t>
  </si>
  <si>
    <t>SD5606</t>
  </si>
  <si>
    <t>SD5610</t>
  </si>
  <si>
    <t>บจ.เฮ้าส์ 45</t>
  </si>
  <si>
    <t>SD5625</t>
  </si>
  <si>
    <t>SD5626</t>
  </si>
  <si>
    <t>SD5632</t>
  </si>
  <si>
    <t>SD5637</t>
  </si>
  <si>
    <t>SD5640</t>
  </si>
  <si>
    <t>SD5663</t>
  </si>
  <si>
    <t>SD5666</t>
  </si>
  <si>
    <t>SD5688</t>
  </si>
  <si>
    <t>บจ.ภูมิพัฒน์พล888</t>
  </si>
  <si>
    <t>Grand Total</t>
  </si>
  <si>
    <t>รหัสสาขาใหม่</t>
  </si>
  <si>
    <t>ชื่อสาขา_new</t>
  </si>
  <si>
    <t>จังหวัด1</t>
  </si>
  <si>
    <t>อำเภอ2</t>
  </si>
  <si>
    <t>ลูกค้าใหม่</t>
  </si>
  <si>
    <t>ลูกค้าที่หายไป</t>
  </si>
  <si>
    <t/>
  </si>
  <si>
    <t>หายเดือน 6</t>
  </si>
  <si>
    <t>หายเดือน 5</t>
  </si>
  <si>
    <t>หายเดือน 4</t>
  </si>
  <si>
    <t>ลูกค้าใหม่เดือน 7</t>
  </si>
  <si>
    <t>ลูกค้าใหม่เดือน 6</t>
  </si>
  <si>
    <t>หายเดือน 7</t>
  </si>
  <si>
    <t>หายเดือน 2</t>
  </si>
  <si>
    <t>ลูกค้าใหม่เดือน 5</t>
  </si>
  <si>
    <t>ลูกค้าใหม่เดือน 4</t>
  </si>
  <si>
    <t>หายเดือน 3</t>
  </si>
  <si>
    <t>ลูกค้าใหม่เดือน 3</t>
  </si>
  <si>
    <t>ลูกค้าใหม่เดือน 2</t>
  </si>
  <si>
    <t>เดือน</t>
  </si>
  <si>
    <t>ลูกค้าหาย</t>
  </si>
  <si>
    <t>เพิ่ม/ลดสุทธิ</t>
  </si>
  <si>
    <t>Total</t>
  </si>
  <si>
    <t>000009</t>
  </si>
  <si>
    <t>000009      ร้าน บ้านขนมภูรุ้ง</t>
  </si>
  <si>
    <t>000016</t>
  </si>
  <si>
    <t>พนักงาน - บจก.วรรณวนัช เบเกอรี่</t>
  </si>
  <si>
    <t>00006</t>
  </si>
  <si>
    <t>00006 บริษัท สุขสมบูรณ์ (1999) จำกัด สุขสมบูรณ์เขาสวนกวาง</t>
  </si>
  <si>
    <t>01130</t>
  </si>
  <si>
    <t>01130 บริษัท เคเอเอ็น คาเฟ่ จำกัด</t>
  </si>
  <si>
    <t>01132</t>
  </si>
  <si>
    <t>01132 ร้าน โรงพยาบาลธรรมศาสตร์</t>
  </si>
  <si>
    <t>07890</t>
  </si>
  <si>
    <t>07890 ร้าน เสี่ยใหญ่หมูสด</t>
  </si>
  <si>
    <t>08186</t>
  </si>
  <si>
    <t>08186 บริษัท บี.เอส. เจนเนอเรชั่น จำกัด</t>
  </si>
  <si>
    <t>10011</t>
  </si>
  <si>
    <t>10011 บริษัท สถานีอร่อย (ไทยแลนด์) จำกัด</t>
  </si>
  <si>
    <t>10012</t>
  </si>
  <si>
    <t>10012 คุณ แดง</t>
  </si>
  <si>
    <t>10015</t>
  </si>
  <si>
    <t>10015 ร้าน รักษ์บ้านเกิด</t>
  </si>
  <si>
    <t>100251</t>
  </si>
  <si>
    <t>100251 เจ้หมวย(น้องสาวเจ้)</t>
  </si>
  <si>
    <t>10027</t>
  </si>
  <si>
    <t>10027 ร้าน กิจเจริญ</t>
  </si>
  <si>
    <t>10039</t>
  </si>
  <si>
    <t>10039 บริษัท ศรีฟ้าโฟรเซนฟู้ด จำกัด</t>
  </si>
  <si>
    <t>10046</t>
  </si>
  <si>
    <t>10046 บริษัท ศรีฟ้าโฟรเซนฟู้ด จำกัด</t>
  </si>
  <si>
    <t>10048</t>
  </si>
  <si>
    <t>10048 บริษัท แม่พเยาว์ ไทยโปรดักส์ จำกัด</t>
  </si>
  <si>
    <t>10051</t>
  </si>
  <si>
    <t>10051 บริษัท วุ้นเส้นท่าเรือพระแท่น จำกัด</t>
  </si>
  <si>
    <t>10052</t>
  </si>
  <si>
    <t>10052 ร้าน ของฝากวุ้นเส้นท่าเรือพระแท่น</t>
  </si>
  <si>
    <t>10062</t>
  </si>
  <si>
    <t>10062 บริษัท พรอำภา จำกัด</t>
  </si>
  <si>
    <t>บางประอิน</t>
  </si>
  <si>
    <t>10064</t>
  </si>
  <si>
    <t>10064 ร้าน คุณตุ๊ก บิ๊กซีคลอง4 (ชาดาภัค6972)</t>
  </si>
  <si>
    <t>10065</t>
  </si>
  <si>
    <t>10065 ร้าน ศรีสยาม (องครักษ์9842)</t>
  </si>
  <si>
    <t>10067</t>
  </si>
  <si>
    <t>10067 คุณ ฝ้าย</t>
  </si>
  <si>
    <t>10068</t>
  </si>
  <si>
    <t>10068 ร้าน โลตัสคลอง6 (ลำลูกกาบ้านฟ้า)</t>
  </si>
  <si>
    <t>10070</t>
  </si>
  <si>
    <t>10070 บริษัท พันธ์เจริญกรุ๊ป จำกัด (สำนักงานใหญ่)</t>
  </si>
  <si>
    <t>10071</t>
  </si>
  <si>
    <t>10071 บริษัท พันธ์เจริญกรุ๊ป จำกัด (สาขา00002)</t>
  </si>
  <si>
    <t>10072</t>
  </si>
  <si>
    <t>10072 บริษัท พันธ์เจริญกรุ๊ป จำกัด (สาขา00003)</t>
  </si>
  <si>
    <t>10073</t>
  </si>
  <si>
    <t>10073 บริษัท สยาม ออลล์ จำกัด (สาขา 00005)</t>
  </si>
  <si>
    <t>10074</t>
  </si>
  <si>
    <t>10074 บริษัท สยาม ออลล์ จำกัด (สำนักงานใหญ่)</t>
  </si>
  <si>
    <t>10075</t>
  </si>
  <si>
    <t>10075 ปึงหงี่เชียง (ส.น.ญ )</t>
  </si>
  <si>
    <t>10078</t>
  </si>
  <si>
    <t>10078 บ.ไทยสงวนโภชนา จำกัด</t>
  </si>
  <si>
    <t>10079</t>
  </si>
  <si>
    <t>10079 บริษัท น้ำมันสยามด่านขุนทด จำกัด (สำนักงานใหญ่)</t>
  </si>
  <si>
    <t>10081</t>
  </si>
  <si>
    <t>10081 หจก. ชาดำปู 2011</t>
  </si>
  <si>
    <t>10082</t>
  </si>
  <si>
    <t>10082 ของฝากผู้ใหญ่เกษม</t>
  </si>
  <si>
    <t>10083</t>
  </si>
  <si>
    <t>10083 หวาน หวาน มิลค์แลนด์ อาทิตย์ไฮเวย์ (ร้านนมมิลค์แลน์)</t>
  </si>
  <si>
    <t>10090</t>
  </si>
  <si>
    <t>10090 ร้าน เพชรอำพร2 **โทรรับออเดอร์ทุกครั้ง 098-1535559**</t>
  </si>
  <si>
    <t>10105</t>
  </si>
  <si>
    <t>10105 ร้าน กาแฟอินทผาลัม</t>
  </si>
  <si>
    <t>10107</t>
  </si>
  <si>
    <t>10107 บริษัท เอกชัย สาลี่สุพรรณ จำกัด</t>
  </si>
  <si>
    <t>เมืองสุพรรณ</t>
  </si>
  <si>
    <t>10108</t>
  </si>
  <si>
    <t>10108 บริษัท เอกชัย สาลี่สุพรรณ จำกัด</t>
  </si>
  <si>
    <t>10113</t>
  </si>
  <si>
    <t>10113 คุณ สุ2</t>
  </si>
  <si>
    <t>10114</t>
  </si>
  <si>
    <t>10114 ร้าน LOVE PATTY (2121)</t>
  </si>
  <si>
    <t>10116</t>
  </si>
  <si>
    <t>10116 หสม. เอส.วี.วี.เอส</t>
  </si>
  <si>
    <t>10120</t>
  </si>
  <si>
    <t>10120 คุณ หนึ่ง</t>
  </si>
  <si>
    <t>10121</t>
  </si>
  <si>
    <t>10121 ร้าน ของฝากปั๊ม ก.ม.94</t>
  </si>
  <si>
    <t>10131</t>
  </si>
  <si>
    <t>10131 ร้าน อรุณรุ่ง 4</t>
  </si>
  <si>
    <t>10132</t>
  </si>
  <si>
    <t>10132 ร้าน อรุณรุ่ง 8</t>
  </si>
  <si>
    <t>10133</t>
  </si>
  <si>
    <t>10133 ร้าน อรุณรุ่ง 5</t>
  </si>
  <si>
    <t>10134</t>
  </si>
  <si>
    <t>10134 ร้าน อรุณรุ่ง 2</t>
  </si>
  <si>
    <t>10135</t>
  </si>
  <si>
    <t>10135 ร้าน อรุณรุ่ง 9</t>
  </si>
  <si>
    <t>10138</t>
  </si>
  <si>
    <t>10138 บริษัท คอยน์ เวนดิ้ง จำกัด (สำนักงานใหญ่)</t>
  </si>
  <si>
    <t>10140</t>
  </si>
  <si>
    <t>10140 ร้าน ของฝากลุงเท่ง</t>
  </si>
  <si>
    <t>10144</t>
  </si>
  <si>
    <t>10144 บริษัท พันธ์สุข 2008 จำกัด</t>
  </si>
  <si>
    <t>10145</t>
  </si>
  <si>
    <t>10145 บริษัท ของฝากลุงเท่ง จำกัด</t>
  </si>
  <si>
    <t>10147</t>
  </si>
  <si>
    <t>10147 ร้าน ของฝากแม่กิมไล้ สาขาบ้านลาด</t>
  </si>
  <si>
    <t>10148</t>
  </si>
  <si>
    <t>10148 ร้าน ของฝากชิดชนก</t>
  </si>
  <si>
    <t>10151</t>
  </si>
  <si>
    <t>10151 ร้าน บ้านขนมธีระวรรณ</t>
  </si>
  <si>
    <t>10152</t>
  </si>
  <si>
    <t>10152 บริษัท สราญรมย์ ฟู้ดส์ จำกัด</t>
  </si>
  <si>
    <t>10153</t>
  </si>
  <si>
    <t>10153 หจก.วีรชัยหล่มสักเซอร์วิส จำกัด</t>
  </si>
  <si>
    <t>10154</t>
  </si>
  <si>
    <t>10154 ร้านแม่ศรีเพ็ญ (ของฝากลำปาง)</t>
  </si>
  <si>
    <t>10158</t>
  </si>
  <si>
    <t>10158 ร้าน เฮง ขนมหวานเมืองเพชร</t>
  </si>
  <si>
    <t>10170</t>
  </si>
  <si>
    <t>10170 ร้านหมูยอแม่ถ้วน (ปั๊มน้ำมัน บึงเนียม)</t>
  </si>
  <si>
    <t>10171</t>
  </si>
  <si>
    <t>10171 ร้าน ส.เสถียรศักดิ์ (สาขาหน้าโรงงานน้ำตาล)</t>
  </si>
  <si>
    <t>10176</t>
  </si>
  <si>
    <t>10176 บริษัท เอ็มทูที จำกัด</t>
  </si>
  <si>
    <t>10181</t>
  </si>
  <si>
    <t>10181 ร้าน เค อาร์ เบเกอรี่</t>
  </si>
  <si>
    <t>สันกำแพง</t>
  </si>
  <si>
    <t>10186</t>
  </si>
  <si>
    <t>10186 ร้าน ทองพันช่าง</t>
  </si>
  <si>
    <t>10187</t>
  </si>
  <si>
    <t>10187 ร้าน ปึงหงี่เชียง</t>
  </si>
  <si>
    <t>10188</t>
  </si>
  <si>
    <t>10188 คุณวิภาวรรณ สุขขี(ปูเป้)</t>
  </si>
  <si>
    <t>10190</t>
  </si>
  <si>
    <t>10190 ร้านแสนหวาน ขนมของฝาก</t>
  </si>
  <si>
    <t>10197</t>
  </si>
  <si>
    <t>10197 คุณปาล์ม บุญกุศล</t>
  </si>
  <si>
    <t>เมือง</t>
  </si>
  <si>
    <t>10220</t>
  </si>
  <si>
    <t>10220 ร้าน พรชัย</t>
  </si>
  <si>
    <t>10237</t>
  </si>
  <si>
    <t>10237 ร้าน ข้าวแกงร้อยหม้อ</t>
  </si>
  <si>
    <t>10238</t>
  </si>
  <si>
    <t>10238 คุณ สุ</t>
  </si>
  <si>
    <t>10246</t>
  </si>
  <si>
    <t>10246 ร้านกาแฟเหมือนฝัน</t>
  </si>
  <si>
    <t>10251</t>
  </si>
  <si>
    <t>10251 ร้าน ทองพันช่าง 3</t>
  </si>
  <si>
    <t>10255</t>
  </si>
  <si>
    <t>10255 จ่าวิรัช</t>
  </si>
  <si>
    <t>พยุหะคีรี</t>
  </si>
  <si>
    <t>10256</t>
  </si>
  <si>
    <t>10256 ร้านจ่าวิรัช (สาขาเรือนไทย)</t>
  </si>
  <si>
    <t>10257</t>
  </si>
  <si>
    <t>10257 บริษัท ผลบุญทรัพย์ทวีออยล์ จำกัด</t>
  </si>
  <si>
    <t>10261</t>
  </si>
  <si>
    <t>10261 คุณชมพู่</t>
  </si>
  <si>
    <t>10266</t>
  </si>
  <si>
    <t>10266 บริษัท อ้อน้อย คาเฟ่ จำกัด</t>
  </si>
  <si>
    <t>10274</t>
  </si>
  <si>
    <t>10274 อินทนิล รพ.นครปฐม</t>
  </si>
  <si>
    <t>10294</t>
  </si>
  <si>
    <t>10294 คุณชุลีพร คำบัว</t>
  </si>
  <si>
    <t>10309</t>
  </si>
  <si>
    <t>10309 บริษัท ณ นนท์ คอฟฟี่ จำกัด</t>
  </si>
  <si>
    <t>10325</t>
  </si>
  <si>
    <t>10325 คุณพนมรักษ์ สุหงษา</t>
  </si>
  <si>
    <t>10330</t>
  </si>
  <si>
    <t>10330 ร้านเค้กบ้านเเม่ (ปั๊มปตท.บ้านเลน)</t>
  </si>
  <si>
    <t>10331</t>
  </si>
  <si>
    <t>10331 ร้านเค้กบ้านเเม่ (ปั๊มปตท.บ้านเลน) สาขา2</t>
  </si>
  <si>
    <t>10334</t>
  </si>
  <si>
    <t>10334 ศุภรดา 1</t>
  </si>
  <si>
    <t>10335</t>
  </si>
  <si>
    <t>10335 ศุภรดา 2</t>
  </si>
  <si>
    <t>10344</t>
  </si>
  <si>
    <t>10344 สหกรณ์ การเกษตรบรบือ จำกัด</t>
  </si>
  <si>
    <t>10361</t>
  </si>
  <si>
    <t>10361 ร้านถึงคลาวด์ฝาก</t>
  </si>
  <si>
    <t>10376</t>
  </si>
  <si>
    <t>10376 บริษัท เอ็มทูที จำกัด</t>
  </si>
  <si>
    <t>11011</t>
  </si>
  <si>
    <t>11011 ร้าน เจ๊ดา (เปี๊ยะครูสมทรง)</t>
  </si>
  <si>
    <t>เมืองนครปฐม </t>
  </si>
  <si>
    <t>11027</t>
  </si>
  <si>
    <t>11027 ตุ๊กตลาดนัดตรีสุข</t>
  </si>
  <si>
    <t>11043</t>
  </si>
  <si>
    <t>11043 คุณ กิตติพร สุขีสาร (สาขา ปั๊ม ปตท.เขาใหญ่)</t>
  </si>
  <si>
    <t>11044</t>
  </si>
  <si>
    <t>11044 ร้านอานันตา ปั๊มปตท. ศรีเทพ</t>
  </si>
  <si>
    <t>11101</t>
  </si>
  <si>
    <t>11101 คุณ นวพล ป่าโมก</t>
  </si>
  <si>
    <t>11105</t>
  </si>
  <si>
    <t>11105 ร้าน ของฝากนิวนิว ปั๊มบางจากไชโย</t>
  </si>
  <si>
    <t>11108</t>
  </si>
  <si>
    <t>11108 บริษัท เอเชีย เอ็นเนอร์จี คอปอเรชั่น จำกัด</t>
  </si>
  <si>
    <t>พรหมมุรี</t>
  </si>
  <si>
    <t>11109</t>
  </si>
  <si>
    <t>11109 บริษัท เอเชีย เอ็นเนอร์จี คอปอเรชั่น จำกัด</t>
  </si>
  <si>
    <t>11111</t>
  </si>
  <si>
    <t>11111 ร้าน ขนมของฝากสุวรรณา (ข้างอเมซอน)</t>
  </si>
  <si>
    <t>11112</t>
  </si>
  <si>
    <t>11112 ร้าน ปึงหงีเชียง (อเมซอนเอเชีย)</t>
  </si>
  <si>
    <t>11113</t>
  </si>
  <si>
    <t>11113 บจ. หงษ์ชวลิต</t>
  </si>
  <si>
    <t>12121</t>
  </si>
  <si>
    <t>12121 นาย ณัฐภัทร นิลพาณิชย์</t>
  </si>
  <si>
    <t>20001</t>
  </si>
  <si>
    <t>20001 ร้าน ของฝากพัฒนาผล</t>
  </si>
  <si>
    <t>20011</t>
  </si>
  <si>
    <t>20011 ร้าน ของฝาก แม่กุหลาบ (สาขาปากน้ำโพ)</t>
  </si>
  <si>
    <t>ตะเกียนเลื่อน</t>
  </si>
  <si>
    <t>20012</t>
  </si>
  <si>
    <t>20012 ร้าน ของฝาก แม่กุหลาบ (สาขาหนองแบน)</t>
  </si>
  <si>
    <t>20022</t>
  </si>
  <si>
    <t>20022 ร้านอาหารลมเย็น</t>
  </si>
  <si>
    <t>20039</t>
  </si>
  <si>
    <t>20039 บริษัท ไร่นายจุล คุ้นวงศ์ จำกัด</t>
  </si>
  <si>
    <t>20057</t>
  </si>
  <si>
    <t>20057 ร้านของฝากครัวไชโย</t>
  </si>
  <si>
    <t>20074</t>
  </si>
  <si>
    <t>20074 ร้าน แม่วิไลพร</t>
  </si>
  <si>
    <t>30004</t>
  </si>
  <si>
    <t>30004 ร้าน ของฝาก ตาลหอม</t>
  </si>
  <si>
    <t>30007</t>
  </si>
  <si>
    <t>30007 ร้าน ของฝาก คุณต้น</t>
  </si>
  <si>
    <t>30015</t>
  </si>
  <si>
    <t>30015 ร้าน ของฝาก ร้านของฝากหลังสวน</t>
  </si>
  <si>
    <t>50018</t>
  </si>
  <si>
    <t>50018 ร้าน ปึงหงี่เชียงหนองแมว</t>
  </si>
  <si>
    <t>50048</t>
  </si>
  <si>
    <t>50048 ร้าน โลตัสมหาสารคาม</t>
  </si>
  <si>
    <t>50055</t>
  </si>
  <si>
    <t>50055 ร้านของฝาก ปตท.ดุสิตาปิโตรเลียม</t>
  </si>
  <si>
    <t>50092</t>
  </si>
  <si>
    <t>50092 บริษัท ภูมิสุข เมืองพล จำกัด</t>
  </si>
  <si>
    <t>50130</t>
  </si>
  <si>
    <t>50130 ร้าน วีที แหนมเนือง</t>
  </si>
  <si>
    <t>50136</t>
  </si>
  <si>
    <t>50136 รพ.ขอนแก่น (สวัสดิการ)</t>
  </si>
  <si>
    <t>50137</t>
  </si>
  <si>
    <t>50137 รพ.ขอนแก่น (ร้านกาแฟ)</t>
  </si>
  <si>
    <t>50160</t>
  </si>
  <si>
    <t>50160 บริษัท สุขสมบูรณ์ (1999) จำกัด สุขสมบูรณ์โนนสะอาด</t>
  </si>
  <si>
    <t>50162</t>
  </si>
  <si>
    <t>50162 บริษัท สุขสมบูรณ์ (1999) จำกัด</t>
  </si>
  <si>
    <t>50163</t>
  </si>
  <si>
    <t>50163 บริษัท สุขสมบูรณ์ (1999) จำกัด สุขสมบูรณ์บขส.</t>
  </si>
  <si>
    <t>50172</t>
  </si>
  <si>
    <t>50172 ร้าน หมูยอแม่ถ้วน</t>
  </si>
  <si>
    <t>50173</t>
  </si>
  <si>
    <t>50173 บริษัท สุขสมบูรณ์ (1999) จำกัด สุขสมบูรณ์สนามบินอุดร 1</t>
  </si>
  <si>
    <t>50191</t>
  </si>
  <si>
    <t>50191 บริษัท สุขสมบูรณ์ (1999) จำกัด สุขสมบูรณ์สนามบินอุดร</t>
  </si>
  <si>
    <t>7904</t>
  </si>
  <si>
    <t>7904 บริษัท ส.ดีเจริญ 888 จำกัด</t>
  </si>
  <si>
    <t>8266</t>
  </si>
  <si>
    <t>8266 บริษัท โนนสะอาดเพิ่มพูลออยล์ จำกัด</t>
  </si>
  <si>
    <t>92129</t>
  </si>
  <si>
    <t>92129 บริษัท เอส เอ็ม รีเทล คอร์ปอเรชั่น จำกัด</t>
  </si>
  <si>
    <t>92132</t>
  </si>
  <si>
    <t>92132 คุณ ร้านเก๋ของฝาก</t>
  </si>
  <si>
    <t>92134</t>
  </si>
  <si>
    <t>92134 ร้าน ร้านมลขนมของฝาก</t>
  </si>
  <si>
    <t>92135</t>
  </si>
  <si>
    <t>92135 ร้าน ร้านของฝาก</t>
  </si>
  <si>
    <t>สรรพยา</t>
  </si>
  <si>
    <t>Amazon</t>
  </si>
  <si>
    <t>ร้านขายของฝาก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</si>
</sst>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43" fontId="0" fillId="0" borderId="0" xfId="1" applyFont="1"/>
    <xf numFmtId="0" fontId="2" fillId="2" borderId="0" xfId="0" applyFont="1" applyFill="1"/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1464-625D-40A1-A3F0-7E63EC6B536F}">
  <dimension ref="B1:K10"/>
  <sheetViews>
    <sheetView tabSelected="1" workbookViewId="0">
      <selection activeCell="H21" sqref="H21"/>
    </sheetView>
  </sheetViews>
  <sheetFormatPr defaultRowHeight="16.8" x14ac:dyDescent="0.4"/>
  <cols>
    <col min="1" max="1" width="16.796875" customWidth="1"/>
    <col min="5" max="5" width="12.19921875" customWidth="1"/>
  </cols>
  <sheetData>
    <row r="1" spans="2:11" x14ac:dyDescent="0.4">
      <c r="B1" s="8" t="s">
        <v>4684</v>
      </c>
      <c r="C1" s="8"/>
      <c r="D1" s="8"/>
      <c r="E1" s="8"/>
      <c r="H1" s="9" t="s">
        <v>4685</v>
      </c>
      <c r="I1" s="9"/>
      <c r="J1" s="9"/>
      <c r="K1" s="9"/>
    </row>
    <row r="2" spans="2:11" ht="28.8" x14ac:dyDescent="0.4">
      <c r="B2" s="6" t="s">
        <v>4413</v>
      </c>
      <c r="C2" s="6" t="s">
        <v>4398</v>
      </c>
      <c r="D2" s="6" t="s">
        <v>4414</v>
      </c>
      <c r="E2" s="6" t="s">
        <v>4415</v>
      </c>
      <c r="H2" s="6" t="s">
        <v>4413</v>
      </c>
      <c r="I2" s="6" t="s">
        <v>4398</v>
      </c>
      <c r="J2" s="6" t="s">
        <v>4414</v>
      </c>
      <c r="K2" s="6" t="s">
        <v>4415</v>
      </c>
    </row>
    <row r="3" spans="2:11" x14ac:dyDescent="0.4">
      <c r="B3">
        <v>1</v>
      </c>
      <c r="C3">
        <f>COUNTIF(Amazon!$M:$M,"ลูกค้าใหม่เดือน "&amp;B3)</f>
        <v>0</v>
      </c>
      <c r="D3">
        <f>COUNTIF(Amazon!$N:$N,"หายเดือน "&amp;B3)</f>
        <v>0</v>
      </c>
      <c r="E3">
        <f>C3-D3</f>
        <v>0</v>
      </c>
      <c r="H3">
        <v>1</v>
      </c>
      <c r="I3">
        <f>COUNTIF(ร้านขายของฝาก!$M:$M,"ลูกค้าใหม่เดือน "&amp;H3)</f>
        <v>0</v>
      </c>
      <c r="J3">
        <f>COUNTIF(ร้านขายของฝาก!$N:$N,"หายเดือน "&amp;H3)</f>
        <v>0</v>
      </c>
      <c r="K3">
        <f>I3-J3</f>
        <v>0</v>
      </c>
    </row>
    <row r="4" spans="2:11" x14ac:dyDescent="0.4">
      <c r="B4" s="4">
        <v>2</v>
      </c>
      <c r="C4">
        <f>COUNTIF(Amazon!$M:$M,"ลูกค้าใหม่เดือน "&amp;B4)</f>
        <v>137</v>
      </c>
      <c r="D4">
        <f>COUNTIF(Amazon!$N:$N,"หายเดือน "&amp;B4)</f>
        <v>69</v>
      </c>
      <c r="E4">
        <f t="shared" ref="E4:E9" si="0">C4-D4</f>
        <v>68</v>
      </c>
      <c r="H4" s="4">
        <v>2</v>
      </c>
      <c r="I4">
        <f>COUNTIF(ร้านขายของฝาก!$M:$M,"ลูกค้าใหม่เดือน "&amp;H4)</f>
        <v>3</v>
      </c>
      <c r="J4">
        <f>COUNTIF(ร้านขายของฝาก!$N:$N,"หายเดือน "&amp;H4)</f>
        <v>3</v>
      </c>
      <c r="K4">
        <f t="shared" ref="K4:K9" si="1">I4-J4</f>
        <v>0</v>
      </c>
    </row>
    <row r="5" spans="2:11" x14ac:dyDescent="0.4">
      <c r="B5" s="4">
        <v>3</v>
      </c>
      <c r="C5">
        <f>COUNTIF(Amazon!$M:$M,"ลูกค้าใหม่เดือน "&amp;B5)</f>
        <v>73</v>
      </c>
      <c r="D5">
        <f>COUNTIF(Amazon!$N:$N,"หายเดือน "&amp;B5)</f>
        <v>86</v>
      </c>
      <c r="E5">
        <f t="shared" si="0"/>
        <v>-13</v>
      </c>
      <c r="H5" s="4">
        <v>3</v>
      </c>
      <c r="I5">
        <f>COUNTIF(ร้านขายของฝาก!$M:$M,"ลูกค้าใหม่เดือน "&amp;H5)</f>
        <v>0</v>
      </c>
      <c r="J5">
        <f>COUNTIF(ร้านขายของฝาก!$N:$N,"หายเดือน "&amp;H5)</f>
        <v>3</v>
      </c>
      <c r="K5">
        <f t="shared" si="1"/>
        <v>-3</v>
      </c>
    </row>
    <row r="6" spans="2:11" x14ac:dyDescent="0.4">
      <c r="B6" s="4">
        <v>4</v>
      </c>
      <c r="C6">
        <f>COUNTIF(Amazon!$M:$M,"ลูกค้าใหม่เดือน "&amp;B6)</f>
        <v>90</v>
      </c>
      <c r="D6">
        <f>COUNTIF(Amazon!$N:$N,"หายเดือน "&amp;B6)</f>
        <v>113</v>
      </c>
      <c r="E6">
        <f t="shared" si="0"/>
        <v>-23</v>
      </c>
      <c r="H6" s="4">
        <v>4</v>
      </c>
      <c r="I6">
        <f>COUNTIF(ร้านขายของฝาก!$M:$M,"ลูกค้าใหม่เดือน "&amp;H6)</f>
        <v>0</v>
      </c>
      <c r="J6">
        <f>COUNTIF(ร้านขายของฝาก!$N:$N,"หายเดือน "&amp;H6)</f>
        <v>3</v>
      </c>
      <c r="K6">
        <f t="shared" si="1"/>
        <v>-3</v>
      </c>
    </row>
    <row r="7" spans="2:11" x14ac:dyDescent="0.4">
      <c r="B7" s="4">
        <v>5</v>
      </c>
      <c r="C7">
        <f>COUNTIF(Amazon!$M:$M,"ลูกค้าใหม่เดือน "&amp;B7)</f>
        <v>62</v>
      </c>
      <c r="D7">
        <f>COUNTIF(Amazon!$N:$N,"หายเดือน "&amp;B7)</f>
        <v>81</v>
      </c>
      <c r="E7">
        <f t="shared" si="0"/>
        <v>-19</v>
      </c>
      <c r="H7" s="4">
        <v>5</v>
      </c>
      <c r="I7">
        <f>COUNTIF(ร้านขายของฝาก!$M:$M,"ลูกค้าใหม่เดือน "&amp;H7)</f>
        <v>0</v>
      </c>
      <c r="J7">
        <f>COUNTIF(ร้านขายของฝาก!$N:$N,"หายเดือน "&amp;H7)</f>
        <v>3</v>
      </c>
      <c r="K7">
        <f t="shared" si="1"/>
        <v>-3</v>
      </c>
    </row>
    <row r="8" spans="2:11" x14ac:dyDescent="0.4">
      <c r="B8" s="4">
        <v>6</v>
      </c>
      <c r="C8">
        <f>COUNTIF(Amazon!$M:$M,"ลูกค้าใหม่เดือน "&amp;B8)</f>
        <v>85</v>
      </c>
      <c r="D8">
        <f>COUNTIF(Amazon!$N:$N,"หายเดือน "&amp;B8)</f>
        <v>112</v>
      </c>
      <c r="E8">
        <f t="shared" si="0"/>
        <v>-27</v>
      </c>
      <c r="H8" s="4">
        <v>6</v>
      </c>
      <c r="I8">
        <f>COUNTIF(ร้านขายของฝาก!$M:$M,"ลูกค้าใหม่เดือน "&amp;H8)</f>
        <v>1</v>
      </c>
      <c r="J8">
        <f>COUNTIF(ร้านขายของฝาก!$N:$N,"หายเดือน "&amp;H8)</f>
        <v>5</v>
      </c>
      <c r="K8">
        <f t="shared" si="1"/>
        <v>-4</v>
      </c>
    </row>
    <row r="9" spans="2:11" x14ac:dyDescent="0.4">
      <c r="B9" s="4">
        <v>7</v>
      </c>
      <c r="C9">
        <f>COUNTIF(Amazon!$M:$M,"ลูกค้าใหม่เดือน "&amp;B9)</f>
        <v>18</v>
      </c>
      <c r="D9">
        <f>COUNTIF(Amazon!$N:$N,"หายเดือน "&amp;B9)</f>
        <v>333</v>
      </c>
      <c r="E9">
        <f t="shared" si="0"/>
        <v>-315</v>
      </c>
      <c r="H9" s="4">
        <v>7</v>
      </c>
      <c r="I9">
        <f>COUNTIF(ร้านขายของฝาก!$M:$M,"ลูกค้าใหม่เดือน "&amp;H9)</f>
        <v>1</v>
      </c>
      <c r="J9">
        <f>COUNTIF(ร้านขายของฝาก!$N:$N,"หายเดือน "&amp;H9)</f>
        <v>16</v>
      </c>
      <c r="K9">
        <f t="shared" si="1"/>
        <v>-15</v>
      </c>
    </row>
    <row r="10" spans="2:11" x14ac:dyDescent="0.4">
      <c r="B10" s="5" t="s">
        <v>4416</v>
      </c>
      <c r="C10" s="3">
        <f>SUM(C3:C9)</f>
        <v>465</v>
      </c>
      <c r="D10" s="5">
        <f>SUM(D3:D9)</f>
        <v>794</v>
      </c>
      <c r="E10" s="5">
        <f>SUM(E3:E9)</f>
        <v>-329</v>
      </c>
      <c r="H10" s="5" t="s">
        <v>4416</v>
      </c>
      <c r="I10" s="3">
        <f>SUM(I3:I9)</f>
        <v>5</v>
      </c>
      <c r="J10" s="5">
        <f>SUM(J3:J9)</f>
        <v>33</v>
      </c>
      <c r="K10" s="5">
        <f>SUM(K3:K9)</f>
        <v>-28</v>
      </c>
    </row>
  </sheetData>
  <mergeCells count="2">
    <mergeCell ref="B1:E1"/>
    <mergeCell ref="H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8348-4BC6-47C6-8E1E-65A48AC5B3CA}">
  <dimension ref="A1:N2246"/>
  <sheetViews>
    <sheetView zoomScale="78" zoomScaleNormal="78" workbookViewId="0">
      <selection activeCell="R18" sqref="R18"/>
    </sheetView>
  </sheetViews>
  <sheetFormatPr defaultRowHeight="16.8" x14ac:dyDescent="0.4"/>
  <cols>
    <col min="1" max="1" width="10.59765625" bestFit="1" customWidth="1"/>
    <col min="2" max="2" width="46.09765625" bestFit="1" customWidth="1"/>
    <col min="3" max="3" width="13.3984375" bestFit="1" customWidth="1"/>
    <col min="4" max="4" width="16.59765625" bestFit="1" customWidth="1"/>
    <col min="5" max="11" width="12.5" bestFit="1" customWidth="1"/>
    <col min="12" max="12" width="13.59765625" bestFit="1" customWidth="1"/>
    <col min="13" max="13" width="13.19921875" bestFit="1" customWidth="1"/>
    <col min="14" max="14" width="13.3984375" customWidth="1"/>
  </cols>
  <sheetData>
    <row r="1" spans="1:14" x14ac:dyDescent="0.4">
      <c r="A1" s="3" t="s">
        <v>4394</v>
      </c>
      <c r="B1" s="3" t="s">
        <v>4395</v>
      </c>
      <c r="C1" s="3" t="s">
        <v>4396</v>
      </c>
      <c r="D1" s="3" t="s">
        <v>4397</v>
      </c>
      <c r="E1" s="3">
        <v>1</v>
      </c>
      <c r="F1" s="3">
        <v>2</v>
      </c>
      <c r="G1" s="3">
        <v>3</v>
      </c>
      <c r="H1" s="3">
        <v>4</v>
      </c>
      <c r="I1" s="3">
        <v>5</v>
      </c>
      <c r="J1" s="3">
        <v>6</v>
      </c>
      <c r="K1" s="3">
        <v>7</v>
      </c>
      <c r="L1" s="3" t="s">
        <v>4393</v>
      </c>
      <c r="M1" s="3" t="s">
        <v>4398</v>
      </c>
      <c r="N1" s="3" t="s">
        <v>4399</v>
      </c>
    </row>
    <row r="2" spans="1:14" ht="16.8" customHeight="1" x14ac:dyDescent="0.4">
      <c r="A2" s="1">
        <v>10375</v>
      </c>
      <c r="B2" t="s">
        <v>0</v>
      </c>
      <c r="C2" t="s">
        <v>1</v>
      </c>
      <c r="D2" t="s">
        <v>2</v>
      </c>
      <c r="E2" s="2">
        <v>6000</v>
      </c>
      <c r="F2" s="2">
        <v>2560</v>
      </c>
      <c r="G2" s="2">
        <v>1600</v>
      </c>
      <c r="H2" s="2">
        <v>3520</v>
      </c>
      <c r="I2" s="2">
        <v>4960</v>
      </c>
      <c r="J2" s="2">
        <v>2240</v>
      </c>
      <c r="K2" s="2">
        <v>1600</v>
      </c>
      <c r="L2" s="2">
        <v>22480</v>
      </c>
      <c r="M2" t="s">
        <v>4400</v>
      </c>
      <c r="N2" t="s">
        <v>4400</v>
      </c>
    </row>
    <row r="3" spans="1:14" x14ac:dyDescent="0.4">
      <c r="A3" t="s">
        <v>3</v>
      </c>
      <c r="B3" t="s">
        <v>4</v>
      </c>
      <c r="C3" t="s">
        <v>5</v>
      </c>
      <c r="D3" t="s">
        <v>6</v>
      </c>
      <c r="E3" s="2">
        <v>4295</v>
      </c>
      <c r="F3" s="2">
        <v>4738</v>
      </c>
      <c r="G3" s="2">
        <v>4937</v>
      </c>
      <c r="H3" s="2">
        <v>4065</v>
      </c>
      <c r="I3" s="2">
        <v>4517</v>
      </c>
      <c r="J3" s="2">
        <v>6335</v>
      </c>
      <c r="K3" s="2">
        <v>1848</v>
      </c>
      <c r="L3" s="2">
        <v>30735</v>
      </c>
      <c r="M3" t="s">
        <v>4400</v>
      </c>
      <c r="N3" t="s">
        <v>4400</v>
      </c>
    </row>
    <row r="4" spans="1:14" x14ac:dyDescent="0.4">
      <c r="A4" t="s">
        <v>7</v>
      </c>
      <c r="B4" t="s">
        <v>8</v>
      </c>
      <c r="C4" t="s">
        <v>9</v>
      </c>
      <c r="D4" t="s">
        <v>10</v>
      </c>
      <c r="E4" s="2">
        <v>5479.2399999999989</v>
      </c>
      <c r="F4" s="2">
        <v>1968.6200000000001</v>
      </c>
      <c r="G4" s="2">
        <v>1187.3399999999999</v>
      </c>
      <c r="H4" s="2">
        <v>5232.5199999999986</v>
      </c>
      <c r="I4" s="2">
        <v>5371.2999999999993</v>
      </c>
      <c r="J4" s="2"/>
      <c r="K4" s="2"/>
      <c r="L4" s="2">
        <v>19239.020000000019</v>
      </c>
      <c r="M4" t="s">
        <v>4400</v>
      </c>
      <c r="N4" t="s">
        <v>4401</v>
      </c>
    </row>
    <row r="5" spans="1:14" x14ac:dyDescent="0.4">
      <c r="A5" t="s">
        <v>11</v>
      </c>
      <c r="B5" t="s">
        <v>12</v>
      </c>
      <c r="C5" t="s">
        <v>13</v>
      </c>
      <c r="D5" t="s">
        <v>14</v>
      </c>
      <c r="E5" s="2">
        <v>9185.2899999999991</v>
      </c>
      <c r="F5" s="2">
        <v>7860.9400000000014</v>
      </c>
      <c r="G5" s="2">
        <v>4252.3499999999995</v>
      </c>
      <c r="H5" s="2">
        <v>4127.8900000000003</v>
      </c>
      <c r="I5" s="2"/>
      <c r="J5" s="2"/>
      <c r="K5" s="2"/>
      <c r="L5" s="2">
        <v>25426.46999999999</v>
      </c>
      <c r="M5" t="s">
        <v>4400</v>
      </c>
      <c r="N5" t="s">
        <v>4402</v>
      </c>
    </row>
    <row r="6" spans="1:14" x14ac:dyDescent="0.4">
      <c r="A6" t="s">
        <v>15</v>
      </c>
      <c r="B6" t="s">
        <v>16</v>
      </c>
      <c r="C6" t="s">
        <v>13</v>
      </c>
      <c r="D6" t="s">
        <v>14</v>
      </c>
      <c r="E6" s="2">
        <v>4884.1499999999978</v>
      </c>
      <c r="F6" s="2">
        <v>3447.4699999999989</v>
      </c>
      <c r="G6" s="2">
        <v>2360.0699999999993</v>
      </c>
      <c r="H6" s="2"/>
      <c r="I6" s="2"/>
      <c r="J6" s="2"/>
      <c r="K6" s="2">
        <v>2341.8599999999997</v>
      </c>
      <c r="L6" s="2">
        <v>13033.550000000001</v>
      </c>
      <c r="M6" t="s">
        <v>4400</v>
      </c>
      <c r="N6" t="s">
        <v>4400</v>
      </c>
    </row>
    <row r="7" spans="1:14" x14ac:dyDescent="0.4">
      <c r="A7" t="s">
        <v>17</v>
      </c>
      <c r="B7" t="s">
        <v>18</v>
      </c>
      <c r="C7" t="s">
        <v>19</v>
      </c>
      <c r="D7" t="s">
        <v>20</v>
      </c>
      <c r="E7" s="2">
        <v>15706.129999999997</v>
      </c>
      <c r="F7" s="2">
        <v>18166.43</v>
      </c>
      <c r="G7" s="2">
        <v>16465.53</v>
      </c>
      <c r="H7" s="2">
        <v>21583.460000000003</v>
      </c>
      <c r="I7" s="2">
        <v>13060.719999999998</v>
      </c>
      <c r="J7" s="2">
        <v>11599.710000000001</v>
      </c>
      <c r="K7" s="2">
        <v>5269.8099999999995</v>
      </c>
      <c r="L7" s="2">
        <v>101851.79</v>
      </c>
      <c r="M7" t="s">
        <v>4400</v>
      </c>
      <c r="N7" t="s">
        <v>4400</v>
      </c>
    </row>
    <row r="8" spans="1:14" x14ac:dyDescent="0.4">
      <c r="A8" t="s">
        <v>21</v>
      </c>
      <c r="B8" t="s">
        <v>22</v>
      </c>
      <c r="C8" t="s">
        <v>23</v>
      </c>
      <c r="D8" t="s">
        <v>24</v>
      </c>
      <c r="E8" s="2">
        <v>7711.93</v>
      </c>
      <c r="F8" s="2">
        <v>3447.4300000000003</v>
      </c>
      <c r="G8" s="2">
        <v>4592.5200000000004</v>
      </c>
      <c r="H8" s="2"/>
      <c r="I8" s="2"/>
      <c r="J8" s="2"/>
      <c r="K8" s="2"/>
      <c r="L8" s="2">
        <v>15751.879999999985</v>
      </c>
      <c r="M8" t="s">
        <v>4400</v>
      </c>
      <c r="N8" t="s">
        <v>4403</v>
      </c>
    </row>
    <row r="9" spans="1:14" x14ac:dyDescent="0.4">
      <c r="A9" t="s">
        <v>25</v>
      </c>
      <c r="B9" t="s">
        <v>26</v>
      </c>
      <c r="C9" t="s">
        <v>27</v>
      </c>
      <c r="D9" t="s">
        <v>28</v>
      </c>
      <c r="E9" s="2">
        <v>8990.73</v>
      </c>
      <c r="F9" s="2">
        <v>7098.3700000000026</v>
      </c>
      <c r="G9" s="2">
        <v>8920.8200000000033</v>
      </c>
      <c r="H9" s="2">
        <v>8255.7000000000007</v>
      </c>
      <c r="I9" s="2">
        <v>7162.2700000000013</v>
      </c>
      <c r="J9" s="2">
        <v>9115.3100000000049</v>
      </c>
      <c r="K9" s="2">
        <v>3544.6699999999996</v>
      </c>
      <c r="L9" s="2">
        <v>53087.869999999893</v>
      </c>
      <c r="M9" t="s">
        <v>4400</v>
      </c>
      <c r="N9" t="s">
        <v>4400</v>
      </c>
    </row>
    <row r="10" spans="1:14" x14ac:dyDescent="0.4">
      <c r="A10" t="s">
        <v>29</v>
      </c>
      <c r="B10" t="s">
        <v>30</v>
      </c>
      <c r="C10" t="s">
        <v>31</v>
      </c>
      <c r="D10" t="s">
        <v>32</v>
      </c>
      <c r="E10" s="2">
        <v>4073.2499999999991</v>
      </c>
      <c r="F10" s="2">
        <v>3927.4799999999991</v>
      </c>
      <c r="G10" s="2">
        <v>5282.19</v>
      </c>
      <c r="H10" s="2">
        <v>4076.2399999999989</v>
      </c>
      <c r="I10" s="2">
        <v>3280.4399999999996</v>
      </c>
      <c r="J10" s="2">
        <v>4191.6899999999996</v>
      </c>
      <c r="K10" s="2">
        <v>2013.87</v>
      </c>
      <c r="L10" s="2">
        <v>26845.159999999974</v>
      </c>
      <c r="M10" t="s">
        <v>4400</v>
      </c>
      <c r="N10" t="s">
        <v>4400</v>
      </c>
    </row>
    <row r="11" spans="1:14" x14ac:dyDescent="0.4">
      <c r="A11" t="s">
        <v>33</v>
      </c>
      <c r="B11" t="s">
        <v>34</v>
      </c>
      <c r="C11" t="s">
        <v>35</v>
      </c>
      <c r="D11" t="s">
        <v>36</v>
      </c>
      <c r="E11" s="2">
        <v>1719.33</v>
      </c>
      <c r="F11" s="2">
        <v>989.45</v>
      </c>
      <c r="G11" s="2">
        <v>3317.869999999999</v>
      </c>
      <c r="H11" s="2">
        <v>2976.0599999999986</v>
      </c>
      <c r="I11" s="2">
        <v>2302.7199999999998</v>
      </c>
      <c r="J11" s="2">
        <v>1462.33</v>
      </c>
      <c r="K11" s="2">
        <v>737.59</v>
      </c>
      <c r="L11" s="2">
        <v>13505.350000000009</v>
      </c>
      <c r="M11" t="s">
        <v>4400</v>
      </c>
      <c r="N11" t="s">
        <v>4400</v>
      </c>
    </row>
    <row r="12" spans="1:14" x14ac:dyDescent="0.4">
      <c r="A12" t="s">
        <v>37</v>
      </c>
      <c r="B12" t="s">
        <v>38</v>
      </c>
      <c r="C12" t="s">
        <v>39</v>
      </c>
      <c r="D12" t="s">
        <v>40</v>
      </c>
      <c r="E12" s="2">
        <v>3373.349999999999</v>
      </c>
      <c r="F12" s="2">
        <v>2104.9599999999996</v>
      </c>
      <c r="G12" s="2">
        <v>1704.06</v>
      </c>
      <c r="H12" s="2">
        <v>2660.8500000000004</v>
      </c>
      <c r="I12" s="2">
        <v>2399.5599999999995</v>
      </c>
      <c r="J12" s="2">
        <v>3395.8599999999992</v>
      </c>
      <c r="K12" s="2">
        <v>2108.0199999999995</v>
      </c>
      <c r="L12" s="2">
        <v>17746.659999999993</v>
      </c>
      <c r="M12" t="s">
        <v>4400</v>
      </c>
      <c r="N12" t="s">
        <v>4400</v>
      </c>
    </row>
    <row r="13" spans="1:14" x14ac:dyDescent="0.4">
      <c r="A13" t="s">
        <v>41</v>
      </c>
      <c r="B13" t="s">
        <v>42</v>
      </c>
      <c r="C13" t="s">
        <v>31</v>
      </c>
      <c r="D13" t="s">
        <v>32</v>
      </c>
      <c r="E13" s="2">
        <v>4899.4199999999992</v>
      </c>
      <c r="F13" s="2">
        <v>4717.16</v>
      </c>
      <c r="G13" s="2">
        <v>4619.9799999999987</v>
      </c>
      <c r="H13" s="2">
        <v>4701.909999999998</v>
      </c>
      <c r="I13" s="2">
        <v>3216.6599999999994</v>
      </c>
      <c r="J13" s="2">
        <v>4167.3999999999987</v>
      </c>
      <c r="K13" s="2">
        <v>1646.28</v>
      </c>
      <c r="L13" s="2">
        <v>27968.809999999998</v>
      </c>
      <c r="M13" t="s">
        <v>4400</v>
      </c>
      <c r="N13" t="s">
        <v>4400</v>
      </c>
    </row>
    <row r="14" spans="1:14" x14ac:dyDescent="0.4">
      <c r="A14" t="s">
        <v>43</v>
      </c>
      <c r="B14" t="s">
        <v>44</v>
      </c>
      <c r="C14" t="s">
        <v>9</v>
      </c>
      <c r="D14" t="s">
        <v>45</v>
      </c>
      <c r="E14" s="2"/>
      <c r="F14" s="2"/>
      <c r="G14" s="2"/>
      <c r="H14" s="2"/>
      <c r="I14" s="2"/>
      <c r="J14" s="2"/>
      <c r="K14" s="2">
        <v>1023.5899999999999</v>
      </c>
      <c r="L14" s="2">
        <v>1023.5899999999999</v>
      </c>
      <c r="M14" t="s">
        <v>4404</v>
      </c>
      <c r="N14" t="s">
        <v>4400</v>
      </c>
    </row>
    <row r="15" spans="1:14" x14ac:dyDescent="0.4">
      <c r="A15" t="s">
        <v>46</v>
      </c>
      <c r="B15" t="s">
        <v>47</v>
      </c>
      <c r="C15" t="s">
        <v>48</v>
      </c>
      <c r="D15" t="s">
        <v>49</v>
      </c>
      <c r="E15" s="2">
        <v>4735.4299999999994</v>
      </c>
      <c r="F15" s="2">
        <v>2682.0799999999995</v>
      </c>
      <c r="G15" s="2">
        <v>3037.51</v>
      </c>
      <c r="H15" s="2">
        <v>3210.59</v>
      </c>
      <c r="I15" s="2">
        <v>3845.3399999999992</v>
      </c>
      <c r="J15" s="2">
        <v>3733.0099999999993</v>
      </c>
      <c r="K15" s="2">
        <v>1746.5299999999997</v>
      </c>
      <c r="L15" s="2">
        <v>22990.489999999987</v>
      </c>
      <c r="M15" t="s">
        <v>4400</v>
      </c>
      <c r="N15" t="s">
        <v>4400</v>
      </c>
    </row>
    <row r="16" spans="1:14" x14ac:dyDescent="0.4">
      <c r="A16" t="s">
        <v>50</v>
      </c>
      <c r="B16" t="s">
        <v>51</v>
      </c>
      <c r="C16" t="s">
        <v>52</v>
      </c>
      <c r="D16" t="s">
        <v>53</v>
      </c>
      <c r="E16" s="2">
        <v>5173.4100000000008</v>
      </c>
      <c r="F16" s="2">
        <v>7442.7200000000012</v>
      </c>
      <c r="G16" s="2">
        <v>5990.6699999999992</v>
      </c>
      <c r="H16" s="2">
        <v>7373.3299999999972</v>
      </c>
      <c r="I16" s="2">
        <v>8802.25</v>
      </c>
      <c r="J16" s="2">
        <v>4764.7799999999988</v>
      </c>
      <c r="K16" s="2">
        <v>3731.64</v>
      </c>
      <c r="L16" s="2">
        <v>43278.800000000054</v>
      </c>
      <c r="M16" t="s">
        <v>4400</v>
      </c>
      <c r="N16" t="s">
        <v>4400</v>
      </c>
    </row>
    <row r="17" spans="1:14" x14ac:dyDescent="0.4">
      <c r="A17" t="s">
        <v>54</v>
      </c>
      <c r="B17" t="s">
        <v>55</v>
      </c>
      <c r="C17" t="s">
        <v>5</v>
      </c>
      <c r="D17" t="s">
        <v>56</v>
      </c>
      <c r="E17" s="2">
        <v>1843.73</v>
      </c>
      <c r="F17" s="2">
        <v>2369.2300000000009</v>
      </c>
      <c r="G17" s="2">
        <v>3086.0600000000009</v>
      </c>
      <c r="H17" s="2">
        <v>2281.11</v>
      </c>
      <c r="I17" s="2">
        <v>750.26</v>
      </c>
      <c r="J17" s="2">
        <v>2454.2700000000004</v>
      </c>
      <c r="K17" s="2">
        <v>1637.19</v>
      </c>
      <c r="L17" s="2">
        <v>14421.84999999998</v>
      </c>
      <c r="M17" t="s">
        <v>4400</v>
      </c>
      <c r="N17" t="s">
        <v>4400</v>
      </c>
    </row>
    <row r="18" spans="1:14" x14ac:dyDescent="0.4">
      <c r="A18" t="s">
        <v>57</v>
      </c>
      <c r="B18" t="s">
        <v>8</v>
      </c>
      <c r="C18" t="s">
        <v>9</v>
      </c>
      <c r="D18" t="s">
        <v>10</v>
      </c>
      <c r="E18" s="2"/>
      <c r="F18" s="2"/>
      <c r="G18" s="2"/>
      <c r="H18" s="2"/>
      <c r="I18" s="2"/>
      <c r="J18" s="2">
        <v>6121.7399999999989</v>
      </c>
      <c r="K18" s="2"/>
      <c r="L18" s="2">
        <v>6121.7399999999989</v>
      </c>
      <c r="M18" t="s">
        <v>4405</v>
      </c>
      <c r="N18" t="s">
        <v>4406</v>
      </c>
    </row>
    <row r="19" spans="1:14" x14ac:dyDescent="0.4">
      <c r="A19" t="s">
        <v>58</v>
      </c>
      <c r="B19" t="s">
        <v>59</v>
      </c>
      <c r="C19" t="s">
        <v>60</v>
      </c>
      <c r="D19" t="s">
        <v>61</v>
      </c>
      <c r="E19" s="2">
        <v>3231.85</v>
      </c>
      <c r="F19" s="2">
        <v>865.68000000000006</v>
      </c>
      <c r="G19" s="2">
        <v>1941.0199999999995</v>
      </c>
      <c r="H19" s="2"/>
      <c r="I19" s="2"/>
      <c r="J19" s="2"/>
      <c r="K19" s="2"/>
      <c r="L19" s="2">
        <v>6038.5500000000011</v>
      </c>
      <c r="M19" t="s">
        <v>4400</v>
      </c>
      <c r="N19" t="s">
        <v>4403</v>
      </c>
    </row>
    <row r="20" spans="1:14" x14ac:dyDescent="0.4">
      <c r="A20" t="s">
        <v>62</v>
      </c>
      <c r="B20" t="s">
        <v>63</v>
      </c>
      <c r="C20" t="s">
        <v>64</v>
      </c>
      <c r="D20" t="s">
        <v>65</v>
      </c>
      <c r="E20" s="2">
        <v>719.59999999999991</v>
      </c>
      <c r="F20" s="2"/>
      <c r="G20" s="2"/>
      <c r="H20" s="2"/>
      <c r="I20" s="2"/>
      <c r="J20" s="2"/>
      <c r="K20" s="2"/>
      <c r="L20" s="2">
        <v>719.59999999999991</v>
      </c>
      <c r="M20" t="s">
        <v>4400</v>
      </c>
      <c r="N20" t="s">
        <v>4407</v>
      </c>
    </row>
    <row r="21" spans="1:14" x14ac:dyDescent="0.4">
      <c r="A21" t="s">
        <v>66</v>
      </c>
      <c r="B21" t="s">
        <v>67</v>
      </c>
      <c r="C21" t="s">
        <v>64</v>
      </c>
      <c r="D21" t="s">
        <v>68</v>
      </c>
      <c r="E21" s="2">
        <v>6575.95</v>
      </c>
      <c r="F21" s="2">
        <v>4932.72</v>
      </c>
      <c r="G21" s="2">
        <v>4121.7200000000012</v>
      </c>
      <c r="H21" s="2">
        <v>3875.7199999999993</v>
      </c>
      <c r="I21" s="2">
        <v>5968.5000000000009</v>
      </c>
      <c r="J21" s="2">
        <v>5792.2999999999993</v>
      </c>
      <c r="K21" s="2">
        <v>2991.8500000000004</v>
      </c>
      <c r="L21" s="2">
        <v>34258.759999999995</v>
      </c>
      <c r="M21" t="s">
        <v>4400</v>
      </c>
      <c r="N21" t="s">
        <v>4400</v>
      </c>
    </row>
    <row r="22" spans="1:14" x14ac:dyDescent="0.4">
      <c r="A22" t="s">
        <v>69</v>
      </c>
      <c r="B22" t="s">
        <v>70</v>
      </c>
      <c r="C22" t="s">
        <v>64</v>
      </c>
      <c r="D22" t="s">
        <v>71</v>
      </c>
      <c r="E22" s="2">
        <v>4349.7000000000007</v>
      </c>
      <c r="F22" s="2">
        <v>1263.5900000000001</v>
      </c>
      <c r="G22" s="2">
        <v>841.37</v>
      </c>
      <c r="H22" s="2">
        <v>3966.8999999999987</v>
      </c>
      <c r="I22" s="2">
        <v>3976.059999999999</v>
      </c>
      <c r="J22" s="2">
        <v>2843.0899999999997</v>
      </c>
      <c r="K22" s="2"/>
      <c r="L22" s="2">
        <v>17240.709999999992</v>
      </c>
      <c r="M22" t="s">
        <v>4400</v>
      </c>
      <c r="N22" t="s">
        <v>4406</v>
      </c>
    </row>
    <row r="23" spans="1:14" x14ac:dyDescent="0.4">
      <c r="A23" t="s">
        <v>72</v>
      </c>
      <c r="B23" t="s">
        <v>73</v>
      </c>
      <c r="C23" t="s">
        <v>64</v>
      </c>
      <c r="D23" t="s">
        <v>74</v>
      </c>
      <c r="E23" s="2">
        <v>6673.1900000000014</v>
      </c>
      <c r="F23" s="2">
        <v>6979.9999999999991</v>
      </c>
      <c r="G23" s="2">
        <v>7754.5899999999983</v>
      </c>
      <c r="H23" s="2">
        <v>4847.7200000000012</v>
      </c>
      <c r="I23" s="2">
        <v>6190.2799999999988</v>
      </c>
      <c r="J23" s="2">
        <v>8152.449999999998</v>
      </c>
      <c r="K23" s="2">
        <v>3511.2399999999993</v>
      </c>
      <c r="L23" s="2">
        <v>44109.469999999972</v>
      </c>
      <c r="M23" t="s">
        <v>4400</v>
      </c>
      <c r="N23" t="s">
        <v>4400</v>
      </c>
    </row>
    <row r="24" spans="1:14" x14ac:dyDescent="0.4">
      <c r="A24" t="s">
        <v>75</v>
      </c>
      <c r="B24" t="s">
        <v>76</v>
      </c>
      <c r="C24" t="s">
        <v>64</v>
      </c>
      <c r="D24" t="s">
        <v>74</v>
      </c>
      <c r="E24" s="2">
        <v>2590.9999999999995</v>
      </c>
      <c r="F24" s="2">
        <v>1017.5799999999999</v>
      </c>
      <c r="G24" s="2">
        <v>1023.6400000000001</v>
      </c>
      <c r="H24" s="2">
        <v>1795.17</v>
      </c>
      <c r="I24" s="2">
        <v>2922.0699999999997</v>
      </c>
      <c r="J24" s="2">
        <v>1193.75</v>
      </c>
      <c r="K24" s="2">
        <v>1931.8599999999997</v>
      </c>
      <c r="L24" s="2">
        <v>12475.069999999996</v>
      </c>
      <c r="M24" t="s">
        <v>4400</v>
      </c>
      <c r="N24" t="s">
        <v>4400</v>
      </c>
    </row>
    <row r="25" spans="1:14" x14ac:dyDescent="0.4">
      <c r="A25" t="s">
        <v>77</v>
      </c>
      <c r="B25" t="s">
        <v>67</v>
      </c>
      <c r="C25" t="s">
        <v>78</v>
      </c>
      <c r="D25" t="s">
        <v>79</v>
      </c>
      <c r="E25" s="2">
        <v>7754.4900000000007</v>
      </c>
      <c r="F25" s="2">
        <v>12459.339999999998</v>
      </c>
      <c r="G25" s="2">
        <v>15448.219999999996</v>
      </c>
      <c r="H25" s="2">
        <v>13179.36</v>
      </c>
      <c r="I25" s="2">
        <v>10749.379999999997</v>
      </c>
      <c r="J25" s="2">
        <v>12082.769999999999</v>
      </c>
      <c r="K25" s="2">
        <v>4167.3099999999995</v>
      </c>
      <c r="L25" s="2">
        <v>75840.870000000126</v>
      </c>
      <c r="M25" t="s">
        <v>4400</v>
      </c>
      <c r="N25" t="s">
        <v>4400</v>
      </c>
    </row>
    <row r="26" spans="1:14" x14ac:dyDescent="0.4">
      <c r="A26" t="s">
        <v>80</v>
      </c>
      <c r="B26" t="s">
        <v>81</v>
      </c>
      <c r="C26" t="s">
        <v>1</v>
      </c>
      <c r="D26" t="s">
        <v>82</v>
      </c>
      <c r="E26" s="2">
        <v>7136.8900000000031</v>
      </c>
      <c r="F26" s="2">
        <v>6607.4700000000012</v>
      </c>
      <c r="G26" s="2">
        <v>6286.22</v>
      </c>
      <c r="H26" s="2">
        <v>8660.9000000000033</v>
      </c>
      <c r="I26" s="2">
        <v>6286.22</v>
      </c>
      <c r="J26" s="2">
        <v>4117.1399999999994</v>
      </c>
      <c r="K26" s="2">
        <v>2058.5699999999997</v>
      </c>
      <c r="L26" s="2">
        <v>41153.409999999989</v>
      </c>
      <c r="M26" t="s">
        <v>4400</v>
      </c>
      <c r="N26" t="s">
        <v>4400</v>
      </c>
    </row>
    <row r="27" spans="1:14" x14ac:dyDescent="0.4">
      <c r="A27" t="s">
        <v>83</v>
      </c>
      <c r="B27" t="s">
        <v>84</v>
      </c>
      <c r="C27" t="s">
        <v>1</v>
      </c>
      <c r="D27" t="s">
        <v>85</v>
      </c>
      <c r="E27" s="2">
        <v>5177.9400000000005</v>
      </c>
      <c r="F27" s="2">
        <v>7265.44</v>
      </c>
      <c r="G27" s="2">
        <v>5090.6099999999988</v>
      </c>
      <c r="H27" s="2">
        <v>6463.56</v>
      </c>
      <c r="I27" s="2">
        <v>2836.96</v>
      </c>
      <c r="J27" s="2">
        <v>7353.5800000000017</v>
      </c>
      <c r="K27" s="2">
        <v>3079.9300000000003</v>
      </c>
      <c r="L27" s="2">
        <v>37268.019999999968</v>
      </c>
      <c r="M27" t="s">
        <v>4400</v>
      </c>
      <c r="N27" t="s">
        <v>4400</v>
      </c>
    </row>
    <row r="28" spans="1:14" x14ac:dyDescent="0.4">
      <c r="A28" t="s">
        <v>86</v>
      </c>
      <c r="B28" t="s">
        <v>87</v>
      </c>
      <c r="C28" t="s">
        <v>1</v>
      </c>
      <c r="D28" t="s">
        <v>88</v>
      </c>
      <c r="E28" s="2">
        <v>2606.0699999999997</v>
      </c>
      <c r="F28" s="2">
        <v>3939.48</v>
      </c>
      <c r="G28" s="2">
        <v>3590.19</v>
      </c>
      <c r="H28" s="2">
        <v>4765.68</v>
      </c>
      <c r="I28" s="2">
        <v>1637.15</v>
      </c>
      <c r="J28" s="2">
        <v>2660.7700000000004</v>
      </c>
      <c r="K28" s="2">
        <v>1072.2</v>
      </c>
      <c r="L28" s="2">
        <v>20271.539999999964</v>
      </c>
      <c r="M28" t="s">
        <v>4400</v>
      </c>
      <c r="N28" t="s">
        <v>4400</v>
      </c>
    </row>
    <row r="29" spans="1:14" x14ac:dyDescent="0.4">
      <c r="A29" t="s">
        <v>89</v>
      </c>
      <c r="B29" t="s">
        <v>90</v>
      </c>
      <c r="C29" t="s">
        <v>91</v>
      </c>
      <c r="D29" t="s">
        <v>92</v>
      </c>
      <c r="E29" s="2">
        <v>2694.17</v>
      </c>
      <c r="F29" s="2">
        <v>1457.9399999999996</v>
      </c>
      <c r="G29" s="2">
        <v>2211.1999999999998</v>
      </c>
      <c r="H29" s="2"/>
      <c r="I29" s="2">
        <v>725.93</v>
      </c>
      <c r="J29" s="2">
        <v>738.08999999999992</v>
      </c>
      <c r="K29" s="2">
        <v>735.02</v>
      </c>
      <c r="L29" s="2">
        <v>8562.3499999999985</v>
      </c>
      <c r="M29" t="s">
        <v>4400</v>
      </c>
      <c r="N29" t="s">
        <v>4400</v>
      </c>
    </row>
    <row r="30" spans="1:14" x14ac:dyDescent="0.4">
      <c r="A30" t="s">
        <v>93</v>
      </c>
      <c r="B30" t="s">
        <v>90</v>
      </c>
      <c r="C30" t="s">
        <v>91</v>
      </c>
      <c r="D30" t="s">
        <v>92</v>
      </c>
      <c r="E30" s="2">
        <v>2861.22</v>
      </c>
      <c r="F30" s="2"/>
      <c r="G30" s="2"/>
      <c r="H30" s="2"/>
      <c r="I30" s="2"/>
      <c r="J30" s="2"/>
      <c r="K30" s="2"/>
      <c r="L30" s="2">
        <v>2861.22</v>
      </c>
      <c r="M30" t="s">
        <v>4400</v>
      </c>
      <c r="N30" t="s">
        <v>4407</v>
      </c>
    </row>
    <row r="31" spans="1:14" x14ac:dyDescent="0.4">
      <c r="A31" t="s">
        <v>94</v>
      </c>
      <c r="B31" t="s">
        <v>95</v>
      </c>
      <c r="C31" t="s">
        <v>96</v>
      </c>
      <c r="D31" t="s">
        <v>97</v>
      </c>
      <c r="E31" s="2">
        <v>2897.7099999999996</v>
      </c>
      <c r="F31" s="2">
        <v>2809.6100000000006</v>
      </c>
      <c r="G31" s="2">
        <v>3772.48</v>
      </c>
      <c r="H31" s="2">
        <v>4899.3499999999976</v>
      </c>
      <c r="I31" s="2">
        <v>3259.1600000000008</v>
      </c>
      <c r="J31" s="2">
        <v>3863.5900000000006</v>
      </c>
      <c r="K31" s="2">
        <v>1710.06</v>
      </c>
      <c r="L31" s="2">
        <v>23211.960000000006</v>
      </c>
      <c r="M31" t="s">
        <v>4400</v>
      </c>
      <c r="N31" t="s">
        <v>4400</v>
      </c>
    </row>
    <row r="32" spans="1:14" x14ac:dyDescent="0.4">
      <c r="A32" t="s">
        <v>98</v>
      </c>
      <c r="B32" t="s">
        <v>99</v>
      </c>
      <c r="C32" t="s">
        <v>96</v>
      </c>
      <c r="D32" t="s">
        <v>100</v>
      </c>
      <c r="E32" s="2">
        <v>5279.25</v>
      </c>
      <c r="F32" s="2">
        <v>5339.9</v>
      </c>
      <c r="G32" s="2">
        <v>4817.420000000001</v>
      </c>
      <c r="H32" s="2">
        <v>6214.670000000001</v>
      </c>
      <c r="I32" s="2">
        <v>4832.6200000000008</v>
      </c>
      <c r="J32" s="2">
        <v>4647.3399999999992</v>
      </c>
      <c r="K32" s="2">
        <v>1682.75</v>
      </c>
      <c r="L32" s="2">
        <v>32813.949999999983</v>
      </c>
      <c r="M32" t="s">
        <v>4400</v>
      </c>
      <c r="N32" t="s">
        <v>4400</v>
      </c>
    </row>
    <row r="33" spans="1:14" x14ac:dyDescent="0.4">
      <c r="A33" t="s">
        <v>101</v>
      </c>
      <c r="B33" t="s">
        <v>102</v>
      </c>
      <c r="C33" t="s">
        <v>103</v>
      </c>
      <c r="D33" t="s">
        <v>104</v>
      </c>
      <c r="E33" s="2">
        <v>7148.199999999998</v>
      </c>
      <c r="F33" s="2">
        <v>7116.92</v>
      </c>
      <c r="G33" s="2">
        <v>4222.21</v>
      </c>
      <c r="H33" s="2">
        <v>4797.4500000000007</v>
      </c>
      <c r="I33" s="2">
        <v>3442.54</v>
      </c>
      <c r="J33" s="2">
        <v>6185.22</v>
      </c>
      <c r="K33" s="2">
        <v>1834.5699999999997</v>
      </c>
      <c r="L33" s="2">
        <v>34747.109999999971</v>
      </c>
      <c r="M33" t="s">
        <v>4400</v>
      </c>
      <c r="N33" t="s">
        <v>4400</v>
      </c>
    </row>
    <row r="34" spans="1:14" x14ac:dyDescent="0.4">
      <c r="A34" t="s">
        <v>105</v>
      </c>
      <c r="B34" t="s">
        <v>106</v>
      </c>
      <c r="C34" t="s">
        <v>103</v>
      </c>
      <c r="D34" t="s">
        <v>104</v>
      </c>
      <c r="E34" s="2">
        <v>5385.4499999999989</v>
      </c>
      <c r="F34" s="2">
        <v>4966.3099999999995</v>
      </c>
      <c r="G34" s="2">
        <v>4875.13</v>
      </c>
      <c r="H34" s="2">
        <v>3219.74</v>
      </c>
      <c r="I34" s="2">
        <v>4541.03</v>
      </c>
      <c r="J34" s="2">
        <v>4747.57</v>
      </c>
      <c r="K34" s="2">
        <v>1834.6000000000001</v>
      </c>
      <c r="L34" s="2">
        <v>29569.830000000013</v>
      </c>
      <c r="M34" t="s">
        <v>4400</v>
      </c>
      <c r="N34" t="s">
        <v>4400</v>
      </c>
    </row>
    <row r="35" spans="1:14" x14ac:dyDescent="0.4">
      <c r="A35" t="s">
        <v>107</v>
      </c>
      <c r="B35" t="s">
        <v>108</v>
      </c>
      <c r="C35" t="s">
        <v>109</v>
      </c>
      <c r="D35" t="s">
        <v>110</v>
      </c>
      <c r="E35" s="2">
        <v>9935.2799999999988</v>
      </c>
      <c r="F35" s="2">
        <v>8954.17</v>
      </c>
      <c r="G35" s="2">
        <v>10904.249999999998</v>
      </c>
      <c r="H35" s="2">
        <v>11557.369999999995</v>
      </c>
      <c r="I35" s="2">
        <v>11809.559999999996</v>
      </c>
      <c r="J35" s="2">
        <v>5713.3599999999988</v>
      </c>
      <c r="K35" s="2">
        <v>3483.9099999999994</v>
      </c>
      <c r="L35" s="2">
        <v>62357.9</v>
      </c>
      <c r="M35" t="s">
        <v>4400</v>
      </c>
      <c r="N35" t="s">
        <v>4400</v>
      </c>
    </row>
    <row r="36" spans="1:14" x14ac:dyDescent="0.4">
      <c r="A36" t="s">
        <v>111</v>
      </c>
      <c r="B36" t="s">
        <v>112</v>
      </c>
      <c r="C36" t="s">
        <v>113</v>
      </c>
      <c r="D36" t="s">
        <v>114</v>
      </c>
      <c r="E36" s="2"/>
      <c r="F36" s="2"/>
      <c r="G36" s="2"/>
      <c r="H36" s="2"/>
      <c r="I36" s="2">
        <v>2493.8199999999997</v>
      </c>
      <c r="J36" s="2">
        <v>1962.2600000000002</v>
      </c>
      <c r="K36" s="2">
        <v>1467.1400000000003</v>
      </c>
      <c r="L36" s="2">
        <v>5923.22</v>
      </c>
      <c r="M36" t="s">
        <v>4408</v>
      </c>
      <c r="N36" t="s">
        <v>4400</v>
      </c>
    </row>
    <row r="37" spans="1:14" x14ac:dyDescent="0.4">
      <c r="A37" t="s">
        <v>115</v>
      </c>
      <c r="B37" t="s">
        <v>116</v>
      </c>
      <c r="C37" t="s">
        <v>113</v>
      </c>
      <c r="D37" t="s">
        <v>117</v>
      </c>
      <c r="E37" s="2">
        <v>1524.8000000000002</v>
      </c>
      <c r="F37" s="2">
        <v>2758.0199999999991</v>
      </c>
      <c r="G37" s="2">
        <v>3450.4900000000007</v>
      </c>
      <c r="H37" s="2">
        <v>2627.3500000000004</v>
      </c>
      <c r="I37" s="2">
        <v>2882.5099999999993</v>
      </c>
      <c r="J37" s="2">
        <v>3972.97</v>
      </c>
      <c r="K37" s="2">
        <v>1543.0000000000002</v>
      </c>
      <c r="L37" s="2">
        <v>18759.139999999985</v>
      </c>
      <c r="M37" t="s">
        <v>4400</v>
      </c>
      <c r="N37" t="s">
        <v>4400</v>
      </c>
    </row>
    <row r="38" spans="1:14" x14ac:dyDescent="0.4">
      <c r="A38" t="s">
        <v>118</v>
      </c>
      <c r="B38" t="s">
        <v>119</v>
      </c>
      <c r="C38" t="s">
        <v>113</v>
      </c>
      <c r="D38" t="s">
        <v>120</v>
      </c>
      <c r="E38" s="2">
        <v>5929.14</v>
      </c>
      <c r="F38" s="2">
        <v>5692.2199999999993</v>
      </c>
      <c r="G38" s="2">
        <v>6178.2399999999989</v>
      </c>
      <c r="H38" s="2">
        <v>4635.2</v>
      </c>
      <c r="I38" s="2">
        <v>5382.42</v>
      </c>
      <c r="J38" s="2">
        <v>6658.1200000000008</v>
      </c>
      <c r="K38" s="2">
        <v>2830.8799999999997</v>
      </c>
      <c r="L38" s="2">
        <v>37306.219999999994</v>
      </c>
      <c r="M38" t="s">
        <v>4400</v>
      </c>
      <c r="N38" t="s">
        <v>4400</v>
      </c>
    </row>
    <row r="39" spans="1:14" x14ac:dyDescent="0.4">
      <c r="A39" t="s">
        <v>121</v>
      </c>
      <c r="B39" t="s">
        <v>122</v>
      </c>
      <c r="C39" t="s">
        <v>123</v>
      </c>
      <c r="D39" t="s">
        <v>124</v>
      </c>
      <c r="E39" s="2">
        <v>9653.09</v>
      </c>
      <c r="F39" s="2">
        <v>9079.0399999999954</v>
      </c>
      <c r="G39" s="2">
        <v>9856.66</v>
      </c>
      <c r="H39" s="2">
        <v>9000.0399999999991</v>
      </c>
      <c r="I39" s="2">
        <v>8231.5899999999983</v>
      </c>
      <c r="J39" s="2">
        <v>8936.2999999999956</v>
      </c>
      <c r="K39" s="2">
        <v>2943.35</v>
      </c>
      <c r="L39" s="2">
        <v>57700.070000000051</v>
      </c>
      <c r="M39" t="s">
        <v>4400</v>
      </c>
      <c r="N39" t="s">
        <v>4400</v>
      </c>
    </row>
    <row r="40" spans="1:14" x14ac:dyDescent="0.4">
      <c r="A40" t="s">
        <v>125</v>
      </c>
      <c r="B40" t="s">
        <v>126</v>
      </c>
      <c r="C40" t="s">
        <v>123</v>
      </c>
      <c r="D40" t="s">
        <v>124</v>
      </c>
      <c r="E40" s="2">
        <v>8817.5700000000015</v>
      </c>
      <c r="F40" s="2">
        <v>10129.69</v>
      </c>
      <c r="G40" s="2">
        <v>10254.240000000002</v>
      </c>
      <c r="H40" s="2">
        <v>12766.050000000003</v>
      </c>
      <c r="I40" s="2">
        <v>8586.67</v>
      </c>
      <c r="J40" s="2">
        <v>11511.709999999997</v>
      </c>
      <c r="K40" s="2"/>
      <c r="L40" s="2">
        <v>62065.929999999986</v>
      </c>
      <c r="M40" t="s">
        <v>4400</v>
      </c>
      <c r="N40" t="s">
        <v>4406</v>
      </c>
    </row>
    <row r="41" spans="1:14" x14ac:dyDescent="0.4">
      <c r="A41" t="s">
        <v>127</v>
      </c>
      <c r="B41" t="s">
        <v>128</v>
      </c>
      <c r="C41" t="s">
        <v>123</v>
      </c>
      <c r="D41" t="s">
        <v>129</v>
      </c>
      <c r="E41" s="2"/>
      <c r="F41" s="2"/>
      <c r="G41" s="2"/>
      <c r="H41" s="2">
        <v>731.9899999999999</v>
      </c>
      <c r="I41" s="2"/>
      <c r="J41" s="2">
        <v>728.95999999999992</v>
      </c>
      <c r="K41" s="2"/>
      <c r="L41" s="2">
        <v>1460.95</v>
      </c>
      <c r="M41" t="s">
        <v>4409</v>
      </c>
      <c r="N41" t="s">
        <v>4406</v>
      </c>
    </row>
    <row r="42" spans="1:14" x14ac:dyDescent="0.4">
      <c r="A42" t="s">
        <v>130</v>
      </c>
      <c r="B42" t="s">
        <v>131</v>
      </c>
      <c r="C42" t="s">
        <v>5</v>
      </c>
      <c r="D42" t="s">
        <v>132</v>
      </c>
      <c r="E42" s="2">
        <v>4343.2999999999993</v>
      </c>
      <c r="F42" s="2">
        <v>4420.3999999999987</v>
      </c>
      <c r="G42" s="2">
        <v>6414.7199999999984</v>
      </c>
      <c r="H42" s="2">
        <v>4189.0999999999995</v>
      </c>
      <c r="I42" s="2">
        <v>3978.3599999999992</v>
      </c>
      <c r="J42" s="2">
        <v>5116.869999999999</v>
      </c>
      <c r="K42" s="2">
        <v>981.7399999999999</v>
      </c>
      <c r="L42" s="2">
        <v>29444.49000000002</v>
      </c>
      <c r="M42" t="s">
        <v>4400</v>
      </c>
      <c r="N42" t="s">
        <v>4400</v>
      </c>
    </row>
    <row r="43" spans="1:14" x14ac:dyDescent="0.4">
      <c r="A43" t="s">
        <v>133</v>
      </c>
      <c r="B43" t="s">
        <v>134</v>
      </c>
      <c r="C43" t="s">
        <v>5</v>
      </c>
      <c r="D43" t="s">
        <v>135</v>
      </c>
      <c r="E43" s="2">
        <v>2426.8999999999996</v>
      </c>
      <c r="F43" s="2">
        <v>3732.96</v>
      </c>
      <c r="G43" s="2">
        <v>3438.3400000000006</v>
      </c>
      <c r="H43" s="2">
        <v>3423.15</v>
      </c>
      <c r="I43" s="2">
        <v>2982.7400000000002</v>
      </c>
      <c r="J43" s="2">
        <v>3076.8700000000003</v>
      </c>
      <c r="K43" s="2"/>
      <c r="L43" s="2">
        <v>19080.960000000006</v>
      </c>
      <c r="M43" t="s">
        <v>4400</v>
      </c>
      <c r="N43" t="s">
        <v>4406</v>
      </c>
    </row>
    <row r="44" spans="1:14" x14ac:dyDescent="0.4">
      <c r="A44" t="s">
        <v>136</v>
      </c>
      <c r="B44" t="s">
        <v>137</v>
      </c>
      <c r="C44" t="s">
        <v>5</v>
      </c>
      <c r="D44" t="s">
        <v>132</v>
      </c>
      <c r="E44" s="2">
        <v>9109.25</v>
      </c>
      <c r="F44" s="2">
        <v>8571.52</v>
      </c>
      <c r="G44" s="2">
        <v>10794.89</v>
      </c>
      <c r="H44" s="2">
        <v>8993.7299999999977</v>
      </c>
      <c r="I44" s="2">
        <v>9877.5499999999993</v>
      </c>
      <c r="J44" s="2">
        <v>11630.070000000002</v>
      </c>
      <c r="K44" s="2">
        <v>4565.2400000000007</v>
      </c>
      <c r="L44" s="2">
        <v>63542.249999999993</v>
      </c>
      <c r="M44" t="s">
        <v>4400</v>
      </c>
      <c r="N44" t="s">
        <v>4400</v>
      </c>
    </row>
    <row r="45" spans="1:14" x14ac:dyDescent="0.4">
      <c r="A45" t="s">
        <v>138</v>
      </c>
      <c r="B45" t="s">
        <v>139</v>
      </c>
      <c r="C45" t="s">
        <v>5</v>
      </c>
      <c r="D45" t="s">
        <v>6</v>
      </c>
      <c r="E45" s="2">
        <v>2001.6299999999997</v>
      </c>
      <c r="F45" s="2">
        <v>3295.5399999999991</v>
      </c>
      <c r="G45" s="2">
        <v>1029.67</v>
      </c>
      <c r="H45" s="2">
        <v>1236.21</v>
      </c>
      <c r="I45" s="2">
        <v>1063.08</v>
      </c>
      <c r="J45" s="2">
        <v>1233.18</v>
      </c>
      <c r="K45" s="2">
        <v>853.50000000000011</v>
      </c>
      <c r="L45" s="2">
        <v>10712.810000000005</v>
      </c>
      <c r="M45" t="s">
        <v>4400</v>
      </c>
      <c r="N45" t="s">
        <v>4400</v>
      </c>
    </row>
    <row r="46" spans="1:14" x14ac:dyDescent="0.4">
      <c r="A46" t="s">
        <v>140</v>
      </c>
      <c r="B46" t="s">
        <v>141</v>
      </c>
      <c r="C46" t="s">
        <v>52</v>
      </c>
      <c r="D46" t="s">
        <v>142</v>
      </c>
      <c r="E46" s="2"/>
      <c r="F46" s="2"/>
      <c r="G46" s="2"/>
      <c r="H46" s="2"/>
      <c r="I46" s="2"/>
      <c r="J46" s="2">
        <v>1439.1999999999998</v>
      </c>
      <c r="K46" s="2"/>
      <c r="L46" s="2">
        <v>1439.1999999999998</v>
      </c>
      <c r="M46" t="s">
        <v>4405</v>
      </c>
      <c r="N46" t="s">
        <v>4406</v>
      </c>
    </row>
    <row r="47" spans="1:14" x14ac:dyDescent="0.4">
      <c r="A47" t="s">
        <v>143</v>
      </c>
      <c r="B47" t="s">
        <v>144</v>
      </c>
      <c r="C47" t="s">
        <v>52</v>
      </c>
      <c r="D47" t="s">
        <v>53</v>
      </c>
      <c r="E47" s="2">
        <v>8094.6199999999981</v>
      </c>
      <c r="F47" s="2">
        <v>7204.6699999999973</v>
      </c>
      <c r="G47" s="2">
        <v>10773.589999999997</v>
      </c>
      <c r="H47" s="2">
        <v>5792.3199999999979</v>
      </c>
      <c r="I47" s="2">
        <v>7438.5399999999972</v>
      </c>
      <c r="J47" s="2">
        <v>8726.3799999999956</v>
      </c>
      <c r="K47" s="2">
        <v>3553.71</v>
      </c>
      <c r="L47" s="2">
        <v>51583.830000000089</v>
      </c>
      <c r="M47" t="s">
        <v>4400</v>
      </c>
      <c r="N47" t="s">
        <v>4400</v>
      </c>
    </row>
    <row r="48" spans="1:14" x14ac:dyDescent="0.4">
      <c r="A48" t="s">
        <v>145</v>
      </c>
      <c r="B48" t="s">
        <v>146</v>
      </c>
      <c r="C48" t="s">
        <v>52</v>
      </c>
      <c r="D48" t="s">
        <v>147</v>
      </c>
      <c r="E48" s="2">
        <v>4356.1499999999987</v>
      </c>
      <c r="F48" s="2">
        <v>5821.0500000000038</v>
      </c>
      <c r="G48" s="2">
        <v>7149.74</v>
      </c>
      <c r="H48" s="2">
        <v>6044.64</v>
      </c>
      <c r="I48" s="2">
        <v>3215.0699999999993</v>
      </c>
      <c r="J48" s="2">
        <v>6101.1799999999994</v>
      </c>
      <c r="K48" s="2">
        <v>1315.8400000000001</v>
      </c>
      <c r="L48" s="2">
        <v>34003.670000000042</v>
      </c>
      <c r="M48" t="s">
        <v>4400</v>
      </c>
      <c r="N48" t="s">
        <v>4400</v>
      </c>
    </row>
    <row r="49" spans="1:14" x14ac:dyDescent="0.4">
      <c r="A49" t="s">
        <v>148</v>
      </c>
      <c r="B49" t="s">
        <v>149</v>
      </c>
      <c r="C49" t="s">
        <v>52</v>
      </c>
      <c r="D49" t="s">
        <v>150</v>
      </c>
      <c r="E49" s="2">
        <v>3113.33</v>
      </c>
      <c r="F49" s="2">
        <v>2940.2</v>
      </c>
      <c r="G49" s="2">
        <v>3966.88</v>
      </c>
      <c r="H49" s="2">
        <v>4024.63</v>
      </c>
      <c r="I49" s="2">
        <v>5075.6600000000008</v>
      </c>
      <c r="J49" s="2">
        <v>3502.2599999999993</v>
      </c>
      <c r="K49" s="2">
        <v>1658.4899999999998</v>
      </c>
      <c r="L49" s="2">
        <v>24281.449999999983</v>
      </c>
      <c r="M49" t="s">
        <v>4400</v>
      </c>
      <c r="N49" t="s">
        <v>4400</v>
      </c>
    </row>
    <row r="50" spans="1:14" x14ac:dyDescent="0.4">
      <c r="A50" t="s">
        <v>151</v>
      </c>
      <c r="B50" t="s">
        <v>152</v>
      </c>
      <c r="C50" t="s">
        <v>52</v>
      </c>
      <c r="D50" t="s">
        <v>153</v>
      </c>
      <c r="E50" s="2">
        <v>3896.119999999999</v>
      </c>
      <c r="F50" s="2">
        <v>3544.0299999999988</v>
      </c>
      <c r="G50" s="2">
        <v>2567.4299999999998</v>
      </c>
      <c r="H50" s="2">
        <v>4014.3399999999992</v>
      </c>
      <c r="I50" s="2">
        <v>4754.5000000000009</v>
      </c>
      <c r="J50" s="2">
        <v>3942.3799999999983</v>
      </c>
      <c r="K50" s="2">
        <v>1837.55</v>
      </c>
      <c r="L50" s="2">
        <v>24556.350000000013</v>
      </c>
      <c r="M50" t="s">
        <v>4400</v>
      </c>
      <c r="N50" t="s">
        <v>4400</v>
      </c>
    </row>
    <row r="51" spans="1:14" x14ac:dyDescent="0.4">
      <c r="A51" t="s">
        <v>154</v>
      </c>
      <c r="B51" t="s">
        <v>155</v>
      </c>
      <c r="C51" t="s">
        <v>52</v>
      </c>
      <c r="D51" t="s">
        <v>156</v>
      </c>
      <c r="E51" s="2">
        <v>4070.1799999999989</v>
      </c>
      <c r="F51" s="2">
        <v>3906.14</v>
      </c>
      <c r="G51" s="2">
        <v>5336.78</v>
      </c>
      <c r="H51" s="2">
        <v>3872.7299999999991</v>
      </c>
      <c r="I51" s="2">
        <v>3799.83</v>
      </c>
      <c r="J51" s="2">
        <v>4790.0300000000007</v>
      </c>
      <c r="K51" s="2">
        <v>1968.27</v>
      </c>
      <c r="L51" s="2">
        <v>27743.95999999997</v>
      </c>
      <c r="M51" t="s">
        <v>4400</v>
      </c>
      <c r="N51" t="s">
        <v>4400</v>
      </c>
    </row>
    <row r="52" spans="1:14" x14ac:dyDescent="0.4">
      <c r="A52" t="s">
        <v>157</v>
      </c>
      <c r="B52" t="s">
        <v>158</v>
      </c>
      <c r="C52" t="s">
        <v>159</v>
      </c>
      <c r="D52" t="s">
        <v>160</v>
      </c>
      <c r="E52" s="2"/>
      <c r="F52" s="2"/>
      <c r="G52" s="2"/>
      <c r="H52" s="2"/>
      <c r="I52" s="2"/>
      <c r="J52" s="2">
        <v>1697.9499999999998</v>
      </c>
      <c r="K52" s="2">
        <v>1655.42</v>
      </c>
      <c r="L52" s="2">
        <v>3353.369999999999</v>
      </c>
      <c r="M52" t="s">
        <v>4405</v>
      </c>
      <c r="N52" t="s">
        <v>4400</v>
      </c>
    </row>
    <row r="53" spans="1:14" x14ac:dyDescent="0.4">
      <c r="A53" t="s">
        <v>161</v>
      </c>
      <c r="B53" t="s">
        <v>162</v>
      </c>
      <c r="C53" t="s">
        <v>163</v>
      </c>
      <c r="D53" t="s">
        <v>164</v>
      </c>
      <c r="E53" s="2">
        <v>941.58999999999992</v>
      </c>
      <c r="F53" s="2">
        <v>853.5200000000001</v>
      </c>
      <c r="G53" s="2"/>
      <c r="H53" s="2">
        <v>1300.03</v>
      </c>
      <c r="I53" s="2"/>
      <c r="J53" s="2">
        <v>1069.18</v>
      </c>
      <c r="K53" s="2">
        <v>841.38000000000011</v>
      </c>
      <c r="L53" s="2">
        <v>5005.7</v>
      </c>
      <c r="M53" t="s">
        <v>4400</v>
      </c>
      <c r="N53" t="s">
        <v>4400</v>
      </c>
    </row>
    <row r="54" spans="1:14" x14ac:dyDescent="0.4">
      <c r="A54" t="s">
        <v>165</v>
      </c>
      <c r="B54" t="s">
        <v>166</v>
      </c>
      <c r="C54" t="s">
        <v>167</v>
      </c>
      <c r="D54" t="s">
        <v>168</v>
      </c>
      <c r="E54" s="2">
        <v>1779.98</v>
      </c>
      <c r="F54" s="2"/>
      <c r="G54" s="2"/>
      <c r="H54" s="2"/>
      <c r="I54" s="2"/>
      <c r="J54" s="2"/>
      <c r="K54" s="2"/>
      <c r="L54" s="2">
        <v>1779.98</v>
      </c>
      <c r="M54" t="s">
        <v>4400</v>
      </c>
      <c r="N54" t="s">
        <v>4407</v>
      </c>
    </row>
    <row r="55" spans="1:14" x14ac:dyDescent="0.4">
      <c r="A55" t="s">
        <v>169</v>
      </c>
      <c r="B55" t="s">
        <v>166</v>
      </c>
      <c r="C55" t="s">
        <v>167</v>
      </c>
      <c r="D55" t="s">
        <v>168</v>
      </c>
      <c r="E55" s="2">
        <v>838.32999999999993</v>
      </c>
      <c r="F55" s="2"/>
      <c r="G55" s="2"/>
      <c r="H55" s="2"/>
      <c r="I55" s="2"/>
      <c r="J55" s="2"/>
      <c r="K55" s="2"/>
      <c r="L55" s="2">
        <v>838.32999999999993</v>
      </c>
      <c r="M55" t="s">
        <v>4400</v>
      </c>
      <c r="N55" t="s">
        <v>4407</v>
      </c>
    </row>
    <row r="56" spans="1:14" x14ac:dyDescent="0.4">
      <c r="A56" t="s">
        <v>170</v>
      </c>
      <c r="B56" t="s">
        <v>171</v>
      </c>
      <c r="C56" t="s">
        <v>172</v>
      </c>
      <c r="D56" t="s">
        <v>173</v>
      </c>
      <c r="E56" s="2">
        <v>5667.8399999999983</v>
      </c>
      <c r="F56" s="2">
        <v>5026.9599999999982</v>
      </c>
      <c r="G56" s="2"/>
      <c r="H56" s="2"/>
      <c r="I56" s="2"/>
      <c r="J56" s="2"/>
      <c r="K56" s="2"/>
      <c r="L56" s="2">
        <v>10694.799999999994</v>
      </c>
      <c r="M56" t="s">
        <v>4400</v>
      </c>
      <c r="N56" t="s">
        <v>4410</v>
      </c>
    </row>
    <row r="57" spans="1:14" x14ac:dyDescent="0.4">
      <c r="A57" t="s">
        <v>174</v>
      </c>
      <c r="B57" t="s">
        <v>175</v>
      </c>
      <c r="C57" t="s">
        <v>172</v>
      </c>
      <c r="D57" t="s">
        <v>173</v>
      </c>
      <c r="E57" s="2">
        <v>3618.5600000000004</v>
      </c>
      <c r="F57" s="2">
        <v>3675.1</v>
      </c>
      <c r="G57" s="2">
        <v>4664.55</v>
      </c>
      <c r="H57" s="2">
        <v>4718.5199999999995</v>
      </c>
      <c r="I57" s="2">
        <v>5939.2700000000013</v>
      </c>
      <c r="J57" s="2">
        <v>4926.6899999999987</v>
      </c>
      <c r="K57" s="2">
        <v>2477.48</v>
      </c>
      <c r="L57" s="2">
        <v>30020.169999999995</v>
      </c>
      <c r="M57" t="s">
        <v>4400</v>
      </c>
      <c r="N57" t="s">
        <v>4400</v>
      </c>
    </row>
    <row r="58" spans="1:14" x14ac:dyDescent="0.4">
      <c r="A58" t="s">
        <v>176</v>
      </c>
      <c r="B58" t="s">
        <v>177</v>
      </c>
      <c r="C58" t="s">
        <v>178</v>
      </c>
      <c r="D58" t="s">
        <v>179</v>
      </c>
      <c r="E58" s="2">
        <v>2979.71</v>
      </c>
      <c r="F58" s="2">
        <v>2855.1399999999994</v>
      </c>
      <c r="G58" s="2">
        <v>856.54</v>
      </c>
      <c r="H58" s="2"/>
      <c r="I58" s="2"/>
      <c r="J58" s="2"/>
      <c r="K58" s="2"/>
      <c r="L58" s="2">
        <v>6691.3900000000012</v>
      </c>
      <c r="M58" t="s">
        <v>4400</v>
      </c>
      <c r="N58" t="s">
        <v>4403</v>
      </c>
    </row>
    <row r="59" spans="1:14" x14ac:dyDescent="0.4">
      <c r="A59" t="s">
        <v>180</v>
      </c>
      <c r="B59" t="s">
        <v>181</v>
      </c>
      <c r="C59" t="s">
        <v>178</v>
      </c>
      <c r="D59" t="s">
        <v>179</v>
      </c>
      <c r="E59" s="2">
        <v>3332.0799999999995</v>
      </c>
      <c r="F59" s="2">
        <v>2256.85</v>
      </c>
      <c r="G59" s="2">
        <v>2578.79</v>
      </c>
      <c r="H59" s="2">
        <v>3462.7</v>
      </c>
      <c r="I59" s="2">
        <v>3824.1399999999994</v>
      </c>
      <c r="J59" s="2">
        <v>3760.3300000000008</v>
      </c>
      <c r="K59" s="2">
        <v>1980.4199999999998</v>
      </c>
      <c r="L59" s="2">
        <v>21195.30999999999</v>
      </c>
      <c r="M59" t="s">
        <v>4400</v>
      </c>
      <c r="N59" t="s">
        <v>4400</v>
      </c>
    </row>
    <row r="60" spans="1:14" x14ac:dyDescent="0.4">
      <c r="A60" t="s">
        <v>182</v>
      </c>
      <c r="B60" t="s">
        <v>183</v>
      </c>
      <c r="C60" t="s">
        <v>178</v>
      </c>
      <c r="D60" t="s">
        <v>179</v>
      </c>
      <c r="E60" s="2">
        <v>9321.9199999999983</v>
      </c>
      <c r="F60" s="2">
        <v>8401.5400000000009</v>
      </c>
      <c r="G60" s="2">
        <v>8650.6299999999974</v>
      </c>
      <c r="H60" s="2">
        <v>3966.88</v>
      </c>
      <c r="I60" s="2">
        <v>4562.2100000000009</v>
      </c>
      <c r="J60" s="2">
        <v>3824.1000000000004</v>
      </c>
      <c r="K60" s="2">
        <v>1664.52</v>
      </c>
      <c r="L60" s="2">
        <v>40391.799999999996</v>
      </c>
      <c r="M60" t="s">
        <v>4400</v>
      </c>
      <c r="N60" t="s">
        <v>4400</v>
      </c>
    </row>
    <row r="61" spans="1:14" x14ac:dyDescent="0.4">
      <c r="A61" t="s">
        <v>184</v>
      </c>
      <c r="B61" t="s">
        <v>185</v>
      </c>
      <c r="C61" t="s">
        <v>186</v>
      </c>
      <c r="D61" t="s">
        <v>187</v>
      </c>
      <c r="E61" s="2">
        <v>2450</v>
      </c>
      <c r="F61" s="2">
        <v>2450</v>
      </c>
      <c r="G61" s="2">
        <v>3500</v>
      </c>
      <c r="H61" s="2">
        <v>4900</v>
      </c>
      <c r="I61" s="2">
        <v>2450</v>
      </c>
      <c r="J61" s="2">
        <v>3150</v>
      </c>
      <c r="K61" s="2">
        <v>700</v>
      </c>
      <c r="L61" s="2">
        <v>19600</v>
      </c>
      <c r="M61" t="s">
        <v>4400</v>
      </c>
      <c r="N61" t="s">
        <v>4400</v>
      </c>
    </row>
    <row r="62" spans="1:14" x14ac:dyDescent="0.4">
      <c r="A62" t="s">
        <v>188</v>
      </c>
      <c r="B62" t="s">
        <v>189</v>
      </c>
      <c r="C62" t="s">
        <v>186</v>
      </c>
      <c r="D62" t="s">
        <v>190</v>
      </c>
      <c r="E62" s="2">
        <v>920.06</v>
      </c>
      <c r="F62" s="2">
        <v>2857.84</v>
      </c>
      <c r="G62" s="2">
        <v>904.64</v>
      </c>
      <c r="H62" s="2">
        <v>2860.41</v>
      </c>
      <c r="I62" s="2">
        <v>2780.7399999999989</v>
      </c>
      <c r="J62" s="2">
        <v>1852.9699999999998</v>
      </c>
      <c r="K62" s="2">
        <v>979.17</v>
      </c>
      <c r="L62" s="2">
        <v>13155.830000000016</v>
      </c>
      <c r="M62" t="s">
        <v>4400</v>
      </c>
      <c r="N62" t="s">
        <v>4400</v>
      </c>
    </row>
    <row r="63" spans="1:14" x14ac:dyDescent="0.4">
      <c r="A63" t="s">
        <v>191</v>
      </c>
      <c r="B63" t="s">
        <v>192</v>
      </c>
      <c r="C63" t="s">
        <v>186</v>
      </c>
      <c r="D63" t="s">
        <v>187</v>
      </c>
      <c r="E63" s="2">
        <v>4144.3699999999981</v>
      </c>
      <c r="F63" s="2">
        <v>3620.6299999999983</v>
      </c>
      <c r="G63" s="2">
        <v>5039.0999999999985</v>
      </c>
      <c r="H63" s="2">
        <v>4270.6099999999988</v>
      </c>
      <c r="I63" s="2">
        <v>4212.9299999999985</v>
      </c>
      <c r="J63" s="2">
        <v>5075.5499999999993</v>
      </c>
      <c r="K63" s="2">
        <v>1934.85</v>
      </c>
      <c r="L63" s="2">
        <v>28298.039999999983</v>
      </c>
      <c r="M63" t="s">
        <v>4400</v>
      </c>
      <c r="N63" t="s">
        <v>4400</v>
      </c>
    </row>
    <row r="64" spans="1:14" x14ac:dyDescent="0.4">
      <c r="A64" t="s">
        <v>193</v>
      </c>
      <c r="B64" t="s">
        <v>194</v>
      </c>
      <c r="C64" t="s">
        <v>195</v>
      </c>
      <c r="D64" t="s">
        <v>196</v>
      </c>
      <c r="E64" s="2">
        <v>1439.7500000000002</v>
      </c>
      <c r="F64" s="2"/>
      <c r="G64" s="2"/>
      <c r="H64" s="2"/>
      <c r="I64" s="2"/>
      <c r="J64" s="2"/>
      <c r="K64" s="2"/>
      <c r="L64" s="2">
        <v>1439.7500000000002</v>
      </c>
      <c r="M64" t="s">
        <v>4400</v>
      </c>
      <c r="N64" t="s">
        <v>4407</v>
      </c>
    </row>
    <row r="65" spans="1:14" x14ac:dyDescent="0.4">
      <c r="A65" t="s">
        <v>197</v>
      </c>
      <c r="B65" t="s">
        <v>198</v>
      </c>
      <c r="C65" t="s">
        <v>199</v>
      </c>
      <c r="D65" t="s">
        <v>200</v>
      </c>
      <c r="E65" s="2">
        <v>2961.55</v>
      </c>
      <c r="F65" s="2">
        <v>2940.2899999999995</v>
      </c>
      <c r="G65" s="2">
        <v>2979.77</v>
      </c>
      <c r="H65" s="2">
        <v>2320.67</v>
      </c>
      <c r="I65" s="2">
        <v>3450.599999999999</v>
      </c>
      <c r="J65" s="2">
        <v>3936.5400000000004</v>
      </c>
      <c r="K65" s="2">
        <v>1819.45</v>
      </c>
      <c r="L65" s="2">
        <v>20408.870000000006</v>
      </c>
      <c r="M65" t="s">
        <v>4400</v>
      </c>
      <c r="N65" t="s">
        <v>4400</v>
      </c>
    </row>
    <row r="66" spans="1:14" x14ac:dyDescent="0.4">
      <c r="A66" t="s">
        <v>201</v>
      </c>
      <c r="B66" t="s">
        <v>202</v>
      </c>
      <c r="C66" t="s">
        <v>199</v>
      </c>
      <c r="D66" t="s">
        <v>203</v>
      </c>
      <c r="E66" s="2">
        <v>4674.83</v>
      </c>
      <c r="F66" s="2">
        <v>6008.66</v>
      </c>
      <c r="G66" s="2">
        <v>9403.6299999999992</v>
      </c>
      <c r="H66" s="2">
        <v>7185.7200000000012</v>
      </c>
      <c r="I66" s="2">
        <v>5821.05</v>
      </c>
      <c r="J66" s="2">
        <v>8203.4400000000023</v>
      </c>
      <c r="K66" s="2">
        <v>2924.6599999999989</v>
      </c>
      <c r="L66" s="2">
        <v>44221.9900000001</v>
      </c>
      <c r="M66" t="s">
        <v>4400</v>
      </c>
      <c r="N66" t="s">
        <v>4400</v>
      </c>
    </row>
    <row r="67" spans="1:14" x14ac:dyDescent="0.4">
      <c r="A67" t="s">
        <v>204</v>
      </c>
      <c r="B67" t="s">
        <v>205</v>
      </c>
      <c r="C67" t="s">
        <v>199</v>
      </c>
      <c r="D67" t="s">
        <v>206</v>
      </c>
      <c r="E67" s="2">
        <v>7347.6100000000033</v>
      </c>
      <c r="F67" s="2">
        <v>5476.4999999999991</v>
      </c>
      <c r="G67" s="2">
        <v>5506.8900000000021</v>
      </c>
      <c r="H67" s="2">
        <v>5455.2799999999979</v>
      </c>
      <c r="I67" s="2">
        <v>6697.590000000002</v>
      </c>
      <c r="J67" s="2">
        <v>5254.8099999999995</v>
      </c>
      <c r="K67" s="2">
        <v>2642.5899999999997</v>
      </c>
      <c r="L67" s="2">
        <v>38381.269999999953</v>
      </c>
      <c r="M67" t="s">
        <v>4400</v>
      </c>
      <c r="N67" t="s">
        <v>4400</v>
      </c>
    </row>
    <row r="68" spans="1:14" x14ac:dyDescent="0.4">
      <c r="A68" t="s">
        <v>207</v>
      </c>
      <c r="B68" t="s">
        <v>208</v>
      </c>
      <c r="C68" t="s">
        <v>199</v>
      </c>
      <c r="D68" t="s">
        <v>200</v>
      </c>
      <c r="E68" s="2">
        <v>5133.3599999999988</v>
      </c>
      <c r="F68" s="2">
        <v>5904.8600000000015</v>
      </c>
      <c r="G68" s="2">
        <v>7265.3899999999958</v>
      </c>
      <c r="H68" s="2">
        <v>8486.14</v>
      </c>
      <c r="I68" s="2">
        <v>6669.149999999996</v>
      </c>
      <c r="J68" s="2">
        <v>6797.65</v>
      </c>
      <c r="K68" s="2">
        <v>2860.4099999999994</v>
      </c>
      <c r="L68" s="2">
        <v>43116.960000000014</v>
      </c>
      <c r="M68" t="s">
        <v>4400</v>
      </c>
      <c r="N68" t="s">
        <v>4400</v>
      </c>
    </row>
    <row r="69" spans="1:14" x14ac:dyDescent="0.4">
      <c r="A69" t="s">
        <v>209</v>
      </c>
      <c r="B69" t="s">
        <v>210</v>
      </c>
      <c r="C69" t="s">
        <v>199</v>
      </c>
      <c r="D69" t="s">
        <v>211</v>
      </c>
      <c r="E69" s="2">
        <v>4606.3900000000003</v>
      </c>
      <c r="F69" s="2">
        <v>3801.0299999999993</v>
      </c>
      <c r="G69" s="2">
        <v>3736.7799999999993</v>
      </c>
      <c r="H69" s="2">
        <v>5384.15</v>
      </c>
      <c r="I69" s="2">
        <v>3688.0499999999993</v>
      </c>
      <c r="J69" s="2">
        <v>4104.0599999999995</v>
      </c>
      <c r="K69" s="2">
        <v>1806.7099999999996</v>
      </c>
      <c r="L69" s="2">
        <v>27127.170000000027</v>
      </c>
      <c r="M69" t="s">
        <v>4400</v>
      </c>
      <c r="N69" t="s">
        <v>4400</v>
      </c>
    </row>
    <row r="70" spans="1:14" x14ac:dyDescent="0.4">
      <c r="A70" t="s">
        <v>212</v>
      </c>
      <c r="B70" t="s">
        <v>213</v>
      </c>
      <c r="C70" t="s">
        <v>199</v>
      </c>
      <c r="D70" t="s">
        <v>214</v>
      </c>
      <c r="E70" s="2">
        <v>2366.9699999999998</v>
      </c>
      <c r="F70" s="2">
        <v>781.28000000000009</v>
      </c>
      <c r="G70" s="2">
        <v>2261.6</v>
      </c>
      <c r="H70" s="2">
        <v>3202.22</v>
      </c>
      <c r="I70" s="2">
        <v>3323.0099999999993</v>
      </c>
      <c r="J70" s="2">
        <v>4790.4799999999987</v>
      </c>
      <c r="K70" s="2">
        <v>2359.2599999999998</v>
      </c>
      <c r="L70" s="2">
        <v>19084.820000000022</v>
      </c>
      <c r="M70" t="s">
        <v>4400</v>
      </c>
      <c r="N70" t="s">
        <v>4400</v>
      </c>
    </row>
    <row r="71" spans="1:14" x14ac:dyDescent="0.4">
      <c r="A71" t="s">
        <v>215</v>
      </c>
      <c r="B71" t="s">
        <v>216</v>
      </c>
      <c r="C71" t="s">
        <v>199</v>
      </c>
      <c r="D71" t="s">
        <v>217</v>
      </c>
      <c r="E71" s="2">
        <v>5764.880000000001</v>
      </c>
      <c r="F71" s="2">
        <v>5236.45</v>
      </c>
      <c r="G71" s="2">
        <v>5719.47</v>
      </c>
      <c r="H71" s="2">
        <v>4218.92</v>
      </c>
      <c r="I71" s="2">
        <v>4124.87</v>
      </c>
      <c r="J71" s="2">
        <v>5831.7999999999993</v>
      </c>
      <c r="K71" s="2">
        <v>1117.76</v>
      </c>
      <c r="L71" s="2">
        <v>32014.149999999987</v>
      </c>
      <c r="M71" t="s">
        <v>4400</v>
      </c>
      <c r="N71" t="s">
        <v>4400</v>
      </c>
    </row>
    <row r="72" spans="1:14" x14ac:dyDescent="0.4">
      <c r="A72" t="s">
        <v>218</v>
      </c>
      <c r="B72" t="s">
        <v>219</v>
      </c>
      <c r="C72" t="s">
        <v>220</v>
      </c>
      <c r="D72" t="s">
        <v>221</v>
      </c>
      <c r="E72" s="2">
        <v>4130.84</v>
      </c>
      <c r="F72" s="2">
        <v>2921.94</v>
      </c>
      <c r="G72" s="2">
        <v>6752.12</v>
      </c>
      <c r="H72" s="2">
        <v>4543.8799999999992</v>
      </c>
      <c r="I72" s="2">
        <v>7104.51</v>
      </c>
      <c r="J72" s="2">
        <v>5282.0299999999979</v>
      </c>
      <c r="K72" s="2"/>
      <c r="L72" s="2">
        <v>30735.319999999978</v>
      </c>
      <c r="M72" t="s">
        <v>4400</v>
      </c>
      <c r="N72" t="s">
        <v>4406</v>
      </c>
    </row>
    <row r="73" spans="1:14" x14ac:dyDescent="0.4">
      <c r="A73" t="s">
        <v>222</v>
      </c>
      <c r="B73" t="s">
        <v>223</v>
      </c>
      <c r="C73" t="s">
        <v>220</v>
      </c>
      <c r="D73" t="s">
        <v>224</v>
      </c>
      <c r="E73" s="2">
        <v>874.74</v>
      </c>
      <c r="F73" s="2">
        <v>1706.9900000000002</v>
      </c>
      <c r="G73" s="2">
        <v>4057.9000000000005</v>
      </c>
      <c r="H73" s="2">
        <v>4777.7100000000009</v>
      </c>
      <c r="I73" s="2">
        <v>2335.75</v>
      </c>
      <c r="J73" s="2">
        <v>747.18000000000006</v>
      </c>
      <c r="K73" s="2">
        <v>1515.6499999999996</v>
      </c>
      <c r="L73" s="2">
        <v>16015.919999999989</v>
      </c>
      <c r="M73" t="s">
        <v>4400</v>
      </c>
      <c r="N73" t="s">
        <v>4400</v>
      </c>
    </row>
    <row r="74" spans="1:14" x14ac:dyDescent="0.4">
      <c r="A74" t="s">
        <v>225</v>
      </c>
      <c r="B74" t="s">
        <v>226</v>
      </c>
      <c r="C74" t="s">
        <v>227</v>
      </c>
      <c r="D74" t="s">
        <v>228</v>
      </c>
      <c r="E74" s="2">
        <v>12945.250000000002</v>
      </c>
      <c r="F74" s="2">
        <v>6348.1299999999992</v>
      </c>
      <c r="G74" s="2">
        <v>9267.09</v>
      </c>
      <c r="H74" s="2">
        <v>7897.1999999999989</v>
      </c>
      <c r="I74" s="2">
        <v>8125.01</v>
      </c>
      <c r="J74" s="2">
        <v>9917.0099999999966</v>
      </c>
      <c r="K74" s="2">
        <v>4048.7800000000007</v>
      </c>
      <c r="L74" s="2">
        <v>58548.469999999994</v>
      </c>
      <c r="M74" t="s">
        <v>4400</v>
      </c>
      <c r="N74" t="s">
        <v>4400</v>
      </c>
    </row>
    <row r="75" spans="1:14" x14ac:dyDescent="0.4">
      <c r="A75" t="s">
        <v>229</v>
      </c>
      <c r="B75" t="s">
        <v>230</v>
      </c>
      <c r="C75" t="s">
        <v>13</v>
      </c>
      <c r="D75" t="s">
        <v>231</v>
      </c>
      <c r="E75" s="2">
        <v>9971.5999999999985</v>
      </c>
      <c r="F75" s="2"/>
      <c r="G75" s="2"/>
      <c r="H75" s="2"/>
      <c r="I75" s="2"/>
      <c r="J75" s="2">
        <v>4011.7699999999995</v>
      </c>
      <c r="K75" s="2">
        <v>2269.31</v>
      </c>
      <c r="L75" s="2">
        <v>16252.680000000008</v>
      </c>
      <c r="M75" t="s">
        <v>4400</v>
      </c>
      <c r="N75" t="s">
        <v>4400</v>
      </c>
    </row>
    <row r="76" spans="1:14" x14ac:dyDescent="0.4">
      <c r="A76" t="s">
        <v>232</v>
      </c>
      <c r="B76" t="s">
        <v>233</v>
      </c>
      <c r="C76" t="s">
        <v>13</v>
      </c>
      <c r="D76" t="s">
        <v>234</v>
      </c>
      <c r="E76" s="2">
        <v>5072.420000000001</v>
      </c>
      <c r="F76" s="2">
        <v>4874.9999999999991</v>
      </c>
      <c r="G76" s="2">
        <v>6925.2300000000023</v>
      </c>
      <c r="H76" s="2">
        <v>4373.8200000000006</v>
      </c>
      <c r="I76" s="2">
        <v>5956.3000000000011</v>
      </c>
      <c r="J76" s="2">
        <v>4413.3100000000004</v>
      </c>
      <c r="K76" s="2">
        <v>2360.04</v>
      </c>
      <c r="L76" s="2">
        <v>33976.119999999974</v>
      </c>
      <c r="M76" t="s">
        <v>4400</v>
      </c>
      <c r="N76" t="s">
        <v>4400</v>
      </c>
    </row>
    <row r="77" spans="1:14" x14ac:dyDescent="0.4">
      <c r="A77" t="s">
        <v>235</v>
      </c>
      <c r="B77" t="s">
        <v>236</v>
      </c>
      <c r="C77" t="s">
        <v>13</v>
      </c>
      <c r="D77" t="s">
        <v>237</v>
      </c>
      <c r="E77" s="2">
        <v>4170.3900000000003</v>
      </c>
      <c r="F77" s="2">
        <v>2885.5399999999995</v>
      </c>
      <c r="G77" s="2">
        <v>2800.51</v>
      </c>
      <c r="H77" s="2">
        <v>5078.5399999999981</v>
      </c>
      <c r="I77" s="2">
        <v>3969.8899999999994</v>
      </c>
      <c r="J77" s="2">
        <v>3821.0499999999997</v>
      </c>
      <c r="K77" s="2">
        <v>1968.2300000000002</v>
      </c>
      <c r="L77" s="2">
        <v>24694.149999999972</v>
      </c>
      <c r="M77" t="s">
        <v>4400</v>
      </c>
      <c r="N77" t="s">
        <v>4400</v>
      </c>
    </row>
    <row r="78" spans="1:14" x14ac:dyDescent="0.4">
      <c r="A78" t="s">
        <v>238</v>
      </c>
      <c r="B78" t="s">
        <v>239</v>
      </c>
      <c r="C78" t="s">
        <v>240</v>
      </c>
      <c r="D78" t="s">
        <v>241</v>
      </c>
      <c r="E78" s="2">
        <v>3259.2099999999996</v>
      </c>
      <c r="F78" s="2">
        <v>3037.48</v>
      </c>
      <c r="G78" s="2"/>
      <c r="H78" s="2">
        <v>1813.4299999999996</v>
      </c>
      <c r="I78" s="2"/>
      <c r="J78" s="2">
        <v>853.52</v>
      </c>
      <c r="K78" s="2"/>
      <c r="L78" s="2">
        <v>8963.64</v>
      </c>
      <c r="M78" t="s">
        <v>4400</v>
      </c>
      <c r="N78" t="s">
        <v>4406</v>
      </c>
    </row>
    <row r="79" spans="1:14" x14ac:dyDescent="0.4">
      <c r="A79" t="s">
        <v>242</v>
      </c>
      <c r="B79" t="s">
        <v>243</v>
      </c>
      <c r="C79" t="s">
        <v>244</v>
      </c>
      <c r="D79" t="s">
        <v>245</v>
      </c>
      <c r="E79" s="2"/>
      <c r="F79" s="2"/>
      <c r="G79" s="2"/>
      <c r="H79" s="2"/>
      <c r="I79" s="2">
        <v>4112.6899999999996</v>
      </c>
      <c r="J79" s="2">
        <v>5856.0899999999983</v>
      </c>
      <c r="K79" s="2"/>
      <c r="L79" s="2">
        <v>9968.7799999999952</v>
      </c>
      <c r="M79" t="s">
        <v>4408</v>
      </c>
      <c r="N79" t="s">
        <v>4406</v>
      </c>
    </row>
    <row r="80" spans="1:14" x14ac:dyDescent="0.4">
      <c r="A80" t="s">
        <v>246</v>
      </c>
      <c r="B80" t="s">
        <v>247</v>
      </c>
      <c r="C80" t="s">
        <v>244</v>
      </c>
      <c r="D80" t="s">
        <v>248</v>
      </c>
      <c r="E80" s="2">
        <v>7927.73</v>
      </c>
      <c r="F80" s="2">
        <v>6509.24</v>
      </c>
      <c r="G80" s="2">
        <v>5622.380000000001</v>
      </c>
      <c r="H80" s="2">
        <v>9048.5300000000079</v>
      </c>
      <c r="I80" s="2">
        <v>6178.1399999999994</v>
      </c>
      <c r="J80" s="2">
        <v>5543.359999999996</v>
      </c>
      <c r="K80" s="2">
        <v>3395.8599999999997</v>
      </c>
      <c r="L80" s="2">
        <v>44225.239999999991</v>
      </c>
      <c r="M80" t="s">
        <v>4400</v>
      </c>
      <c r="N80" t="s">
        <v>4400</v>
      </c>
    </row>
    <row r="81" spans="1:14" x14ac:dyDescent="0.4">
      <c r="A81" t="s">
        <v>249</v>
      </c>
      <c r="B81" t="s">
        <v>250</v>
      </c>
      <c r="C81" t="s">
        <v>251</v>
      </c>
      <c r="D81" t="s">
        <v>252</v>
      </c>
      <c r="E81" s="2">
        <v>2748.91</v>
      </c>
      <c r="F81" s="2">
        <v>3490.05</v>
      </c>
      <c r="G81" s="2">
        <v>4486.3400000000011</v>
      </c>
      <c r="H81" s="2">
        <v>5643.6699999999992</v>
      </c>
      <c r="I81" s="2">
        <v>3669.2899999999991</v>
      </c>
      <c r="J81" s="2">
        <v>4124.9099999999989</v>
      </c>
      <c r="K81" s="2">
        <v>1491.41</v>
      </c>
      <c r="L81" s="2">
        <v>25654.579999999998</v>
      </c>
      <c r="M81" t="s">
        <v>4400</v>
      </c>
      <c r="N81" t="s">
        <v>4400</v>
      </c>
    </row>
    <row r="82" spans="1:14" x14ac:dyDescent="0.4">
      <c r="A82" t="s">
        <v>253</v>
      </c>
      <c r="B82" t="s">
        <v>254</v>
      </c>
      <c r="C82" t="s">
        <v>251</v>
      </c>
      <c r="D82" t="s">
        <v>255</v>
      </c>
      <c r="E82" s="2">
        <v>6205.32</v>
      </c>
      <c r="F82" s="2">
        <v>6393.6599999999989</v>
      </c>
      <c r="G82" s="2">
        <v>4218.8799999999992</v>
      </c>
      <c r="H82" s="2">
        <v>7550.84</v>
      </c>
      <c r="I82" s="2">
        <v>4795.9799999999996</v>
      </c>
      <c r="J82" s="2">
        <v>5442.9299999999994</v>
      </c>
      <c r="K82" s="2">
        <v>3046.5099999999993</v>
      </c>
      <c r="L82" s="2">
        <v>37654.120000000003</v>
      </c>
      <c r="M82" t="s">
        <v>4400</v>
      </c>
      <c r="N82" t="s">
        <v>4400</v>
      </c>
    </row>
    <row r="83" spans="1:14" x14ac:dyDescent="0.4">
      <c r="A83" t="s">
        <v>256</v>
      </c>
      <c r="B83" t="s">
        <v>257</v>
      </c>
      <c r="C83" t="s">
        <v>258</v>
      </c>
      <c r="D83" t="s">
        <v>259</v>
      </c>
      <c r="E83" s="2">
        <v>7824.3499999999995</v>
      </c>
      <c r="F83" s="2">
        <v>4920.6000000000004</v>
      </c>
      <c r="G83" s="2">
        <v>4738.3500000000004</v>
      </c>
      <c r="H83" s="2">
        <v>5436.95</v>
      </c>
      <c r="I83" s="2">
        <v>5682.94</v>
      </c>
      <c r="J83" s="2">
        <v>4398.2</v>
      </c>
      <c r="K83" s="2">
        <v>2126.1999999999998</v>
      </c>
      <c r="L83" s="2">
        <v>35127.589999999997</v>
      </c>
      <c r="M83" t="s">
        <v>4400</v>
      </c>
      <c r="N83" t="s">
        <v>4400</v>
      </c>
    </row>
    <row r="84" spans="1:14" x14ac:dyDescent="0.4">
      <c r="A84" t="s">
        <v>260</v>
      </c>
      <c r="B84" t="s">
        <v>261</v>
      </c>
      <c r="C84" t="s">
        <v>258</v>
      </c>
      <c r="D84" t="s">
        <v>259</v>
      </c>
      <c r="E84" s="2">
        <v>4197.78</v>
      </c>
      <c r="F84" s="2">
        <v>3742.1400000000003</v>
      </c>
      <c r="G84" s="2">
        <v>3939.56</v>
      </c>
      <c r="H84" s="2">
        <v>4015.4999999999986</v>
      </c>
      <c r="I84" s="2">
        <v>4212.9399999999987</v>
      </c>
      <c r="J84" s="2">
        <v>4343.5499999999993</v>
      </c>
      <c r="K84" s="2">
        <v>2436.0399999999991</v>
      </c>
      <c r="L84" s="2">
        <v>26887.510000000002</v>
      </c>
      <c r="M84" t="s">
        <v>4400</v>
      </c>
      <c r="N84" t="s">
        <v>4400</v>
      </c>
    </row>
    <row r="85" spans="1:14" x14ac:dyDescent="0.4">
      <c r="A85" t="s">
        <v>262</v>
      </c>
      <c r="B85" t="s">
        <v>263</v>
      </c>
      <c r="C85" t="s">
        <v>244</v>
      </c>
      <c r="D85" t="s">
        <v>264</v>
      </c>
      <c r="E85" s="2">
        <v>8224</v>
      </c>
      <c r="F85" s="2">
        <v>6335.0499999999975</v>
      </c>
      <c r="G85" s="2">
        <v>5751.6599999999989</v>
      </c>
      <c r="H85" s="2">
        <v>7954.1500000000024</v>
      </c>
      <c r="I85" s="2">
        <v>4219.9399999999996</v>
      </c>
      <c r="J85" s="2">
        <v>4240.5</v>
      </c>
      <c r="K85" s="2">
        <v>2063.7099999999996</v>
      </c>
      <c r="L85" s="2">
        <v>38789.01</v>
      </c>
      <c r="M85" t="s">
        <v>4400</v>
      </c>
      <c r="N85" t="s">
        <v>4400</v>
      </c>
    </row>
    <row r="86" spans="1:14" x14ac:dyDescent="0.4">
      <c r="A86" t="s">
        <v>265</v>
      </c>
      <c r="B86" t="s">
        <v>266</v>
      </c>
      <c r="C86" t="s">
        <v>267</v>
      </c>
      <c r="D86" t="s">
        <v>268</v>
      </c>
      <c r="E86" s="2">
        <v>5446.12</v>
      </c>
      <c r="F86" s="2">
        <v>4079.2500000000005</v>
      </c>
      <c r="G86" s="2">
        <v>4695.7900000000009</v>
      </c>
      <c r="H86" s="2">
        <v>8908.5799999999927</v>
      </c>
      <c r="I86" s="2">
        <v>4978.3000000000011</v>
      </c>
      <c r="J86" s="2">
        <v>4674.53</v>
      </c>
      <c r="K86" s="2">
        <v>2080.62</v>
      </c>
      <c r="L86" s="2">
        <v>34863.189999999988</v>
      </c>
      <c r="M86" t="s">
        <v>4400</v>
      </c>
      <c r="N86" t="s">
        <v>4400</v>
      </c>
    </row>
    <row r="87" spans="1:14" x14ac:dyDescent="0.4">
      <c r="A87" t="s">
        <v>269</v>
      </c>
      <c r="B87" t="s">
        <v>270</v>
      </c>
      <c r="C87" t="s">
        <v>267</v>
      </c>
      <c r="D87" t="s">
        <v>271</v>
      </c>
      <c r="E87" s="2">
        <v>3636.5499999999988</v>
      </c>
      <c r="F87" s="2">
        <v>2184.5</v>
      </c>
      <c r="G87" s="2">
        <v>2934.94</v>
      </c>
      <c r="H87" s="2">
        <v>1459.7599999999998</v>
      </c>
      <c r="I87" s="2">
        <v>3610.849999999999</v>
      </c>
      <c r="J87" s="2">
        <v>2898.9599999999996</v>
      </c>
      <c r="K87" s="2">
        <v>1423.7799999999997</v>
      </c>
      <c r="L87" s="2">
        <v>18149.340000000011</v>
      </c>
      <c r="M87" t="s">
        <v>4400</v>
      </c>
      <c r="N87" t="s">
        <v>4400</v>
      </c>
    </row>
    <row r="88" spans="1:14" x14ac:dyDescent="0.4">
      <c r="A88" t="s">
        <v>272</v>
      </c>
      <c r="B88" t="s">
        <v>273</v>
      </c>
      <c r="C88" t="s">
        <v>274</v>
      </c>
      <c r="D88" t="s">
        <v>275</v>
      </c>
      <c r="E88" s="2">
        <v>2554.5</v>
      </c>
      <c r="F88" s="2">
        <v>1287.8699999999999</v>
      </c>
      <c r="G88" s="2">
        <v>1072.1799999999998</v>
      </c>
      <c r="H88" s="2"/>
      <c r="I88" s="2"/>
      <c r="J88" s="2"/>
      <c r="K88" s="2"/>
      <c r="L88" s="2">
        <v>4914.5499999999993</v>
      </c>
      <c r="M88" t="s">
        <v>4400</v>
      </c>
      <c r="N88" t="s">
        <v>4403</v>
      </c>
    </row>
    <row r="89" spans="1:14" x14ac:dyDescent="0.4">
      <c r="A89" t="s">
        <v>276</v>
      </c>
      <c r="B89" t="s">
        <v>18</v>
      </c>
      <c r="C89" t="s">
        <v>19</v>
      </c>
      <c r="D89" t="s">
        <v>20</v>
      </c>
      <c r="E89" s="2">
        <v>12574.68</v>
      </c>
      <c r="F89" s="2">
        <v>6442.3499999999985</v>
      </c>
      <c r="G89" s="2">
        <v>6129.4999999999991</v>
      </c>
      <c r="H89" s="2">
        <v>10278.51</v>
      </c>
      <c r="I89" s="2">
        <v>5528.0899999999992</v>
      </c>
      <c r="J89" s="2">
        <v>4458.9400000000005</v>
      </c>
      <c r="K89" s="2">
        <v>2268.9299999999998</v>
      </c>
      <c r="L89" s="2">
        <v>47680.999999999985</v>
      </c>
      <c r="M89" t="s">
        <v>4400</v>
      </c>
      <c r="N89" t="s">
        <v>4400</v>
      </c>
    </row>
    <row r="90" spans="1:14" x14ac:dyDescent="0.4">
      <c r="A90" t="s">
        <v>277</v>
      </c>
      <c r="B90" t="s">
        <v>278</v>
      </c>
      <c r="C90" t="s">
        <v>279</v>
      </c>
      <c r="D90" t="s">
        <v>280</v>
      </c>
      <c r="E90" s="2">
        <v>724.74</v>
      </c>
      <c r="F90" s="2">
        <v>1449.48</v>
      </c>
      <c r="G90" s="2">
        <v>724.74</v>
      </c>
      <c r="H90" s="2">
        <v>2174.2199999999998</v>
      </c>
      <c r="I90" s="2">
        <v>1452.0500000000002</v>
      </c>
      <c r="J90" s="2">
        <v>1467.4699999999998</v>
      </c>
      <c r="K90" s="2">
        <v>740.16</v>
      </c>
      <c r="L90" s="2">
        <v>8732.8600000000024</v>
      </c>
      <c r="M90" t="s">
        <v>4400</v>
      </c>
      <c r="N90" t="s">
        <v>4400</v>
      </c>
    </row>
    <row r="91" spans="1:14" x14ac:dyDescent="0.4">
      <c r="A91" t="s">
        <v>281</v>
      </c>
      <c r="B91" t="s">
        <v>282</v>
      </c>
      <c r="C91" t="s">
        <v>279</v>
      </c>
      <c r="D91" t="s">
        <v>283</v>
      </c>
      <c r="E91" s="2">
        <v>5066.4400000000005</v>
      </c>
      <c r="F91" s="2">
        <v>4182.4399999999996</v>
      </c>
      <c r="G91" s="2">
        <v>4285.76</v>
      </c>
      <c r="H91" s="2">
        <v>4197.68</v>
      </c>
      <c r="I91" s="2">
        <v>3860.5099999999998</v>
      </c>
      <c r="J91" s="2">
        <v>3972.8799999999987</v>
      </c>
      <c r="K91" s="2">
        <v>1588.5699999999997</v>
      </c>
      <c r="L91" s="2">
        <v>27154.279999999981</v>
      </c>
      <c r="M91" t="s">
        <v>4400</v>
      </c>
      <c r="N91" t="s">
        <v>4400</v>
      </c>
    </row>
    <row r="92" spans="1:14" x14ac:dyDescent="0.4">
      <c r="A92" t="s">
        <v>284</v>
      </c>
      <c r="B92" t="s">
        <v>285</v>
      </c>
      <c r="C92" t="s">
        <v>279</v>
      </c>
      <c r="D92" t="s">
        <v>283</v>
      </c>
      <c r="E92" s="2">
        <v>6342.0100000000011</v>
      </c>
      <c r="F92" s="2">
        <v>5488.5299999999988</v>
      </c>
      <c r="G92" s="2">
        <v>5081.5399999999981</v>
      </c>
      <c r="H92" s="2">
        <v>4884.1499999999987</v>
      </c>
      <c r="I92" s="2">
        <v>4267.5199999999995</v>
      </c>
      <c r="J92" s="2">
        <v>4076.2099999999987</v>
      </c>
      <c r="K92" s="2">
        <v>2053.2900000000004</v>
      </c>
      <c r="L92" s="2">
        <v>32193.249999999971</v>
      </c>
      <c r="M92" t="s">
        <v>4400</v>
      </c>
      <c r="N92" t="s">
        <v>4400</v>
      </c>
    </row>
    <row r="93" spans="1:14" x14ac:dyDescent="0.4">
      <c r="A93" t="s">
        <v>286</v>
      </c>
      <c r="B93" t="s">
        <v>47</v>
      </c>
      <c r="C93" t="s">
        <v>48</v>
      </c>
      <c r="D93" t="s">
        <v>49</v>
      </c>
      <c r="E93" s="2">
        <v>3259.09</v>
      </c>
      <c r="F93" s="2">
        <v>2736.7200000000003</v>
      </c>
      <c r="G93" s="2">
        <v>3250.0400000000009</v>
      </c>
      <c r="H93" s="2">
        <v>1722.21</v>
      </c>
      <c r="I93" s="2">
        <v>2135.27</v>
      </c>
      <c r="J93" s="2">
        <v>5604.1100000000006</v>
      </c>
      <c r="K93" s="2">
        <v>2420.7900000000004</v>
      </c>
      <c r="L93" s="2">
        <v>21128.229999999996</v>
      </c>
      <c r="M93" t="s">
        <v>4400</v>
      </c>
      <c r="N93" t="s">
        <v>4400</v>
      </c>
    </row>
    <row r="94" spans="1:14" x14ac:dyDescent="0.4">
      <c r="A94" t="s">
        <v>287</v>
      </c>
      <c r="B94" t="s">
        <v>288</v>
      </c>
      <c r="C94" t="s">
        <v>39</v>
      </c>
      <c r="D94" t="s">
        <v>40</v>
      </c>
      <c r="E94" s="2">
        <v>5464.3400000000011</v>
      </c>
      <c r="F94" s="2">
        <v>6166.01</v>
      </c>
      <c r="G94" s="2">
        <v>4610.82</v>
      </c>
      <c r="H94" s="2">
        <v>6011.11</v>
      </c>
      <c r="I94" s="2">
        <v>4887.3099999999995</v>
      </c>
      <c r="J94" s="2">
        <v>3921.3700000000003</v>
      </c>
      <c r="K94" s="2">
        <v>1992.5899999999997</v>
      </c>
      <c r="L94" s="2">
        <v>33053.549999999996</v>
      </c>
      <c r="M94" t="s">
        <v>4400</v>
      </c>
      <c r="N94" t="s">
        <v>4400</v>
      </c>
    </row>
    <row r="95" spans="1:14" x14ac:dyDescent="0.4">
      <c r="A95" t="s">
        <v>289</v>
      </c>
      <c r="B95" t="s">
        <v>290</v>
      </c>
      <c r="C95" t="s">
        <v>291</v>
      </c>
      <c r="D95" t="s">
        <v>292</v>
      </c>
      <c r="E95" s="2">
        <v>2919.0399999999991</v>
      </c>
      <c r="F95" s="2">
        <v>732.05</v>
      </c>
      <c r="G95" s="2">
        <v>1470.1499999999996</v>
      </c>
      <c r="H95" s="2">
        <v>2296.3599999999997</v>
      </c>
      <c r="I95" s="2">
        <v>1467.1300000000003</v>
      </c>
      <c r="J95" s="2">
        <v>738.11999999999989</v>
      </c>
      <c r="K95" s="2">
        <v>738.11999999999989</v>
      </c>
      <c r="L95" s="2">
        <v>10360.970000000001</v>
      </c>
      <c r="M95" t="s">
        <v>4400</v>
      </c>
      <c r="N95" t="s">
        <v>4400</v>
      </c>
    </row>
    <row r="96" spans="1:14" x14ac:dyDescent="0.4">
      <c r="A96" t="s">
        <v>293</v>
      </c>
      <c r="B96" t="s">
        <v>294</v>
      </c>
      <c r="C96" t="s">
        <v>291</v>
      </c>
      <c r="D96" t="s">
        <v>295</v>
      </c>
      <c r="E96" s="2">
        <v>1694.8700000000003</v>
      </c>
      <c r="F96" s="2">
        <v>1588.5499999999997</v>
      </c>
      <c r="G96" s="2">
        <v>2314.5099999999993</v>
      </c>
      <c r="H96" s="2">
        <v>2524.0800000000004</v>
      </c>
      <c r="I96" s="2">
        <v>2390.4399999999991</v>
      </c>
      <c r="J96" s="2">
        <v>1612.85</v>
      </c>
      <c r="K96" s="2">
        <v>926.41</v>
      </c>
      <c r="L96" s="2">
        <v>13051.709999999997</v>
      </c>
      <c r="M96" t="s">
        <v>4400</v>
      </c>
      <c r="N96" t="s">
        <v>4400</v>
      </c>
    </row>
    <row r="97" spans="1:14" x14ac:dyDescent="0.4">
      <c r="A97" t="s">
        <v>296</v>
      </c>
      <c r="B97" t="s">
        <v>297</v>
      </c>
      <c r="C97" t="s">
        <v>291</v>
      </c>
      <c r="D97" t="s">
        <v>292</v>
      </c>
      <c r="E97" s="2">
        <v>5986.8000000000011</v>
      </c>
      <c r="F97" s="2">
        <v>3007.08</v>
      </c>
      <c r="G97" s="2">
        <v>4386.0700000000006</v>
      </c>
      <c r="H97" s="2">
        <v>6533.5499999999993</v>
      </c>
      <c r="I97" s="2">
        <v>4613.9000000000005</v>
      </c>
      <c r="J97" s="2">
        <v>5500.7999999999984</v>
      </c>
      <c r="K97" s="2">
        <v>4592.62</v>
      </c>
      <c r="L97" s="2">
        <v>34620.819999999956</v>
      </c>
      <c r="M97" t="s">
        <v>4400</v>
      </c>
      <c r="N97" t="s">
        <v>4400</v>
      </c>
    </row>
    <row r="98" spans="1:14" x14ac:dyDescent="0.4">
      <c r="A98" t="s">
        <v>298</v>
      </c>
      <c r="B98" t="s">
        <v>299</v>
      </c>
      <c r="C98" t="s">
        <v>291</v>
      </c>
      <c r="D98" t="s">
        <v>300</v>
      </c>
      <c r="E98" s="2">
        <v>3678.3099999999986</v>
      </c>
      <c r="F98" s="2">
        <v>3101.2</v>
      </c>
      <c r="G98" s="2">
        <v>3046.51</v>
      </c>
      <c r="H98" s="2">
        <v>3632.6999999999975</v>
      </c>
      <c r="I98" s="2">
        <v>2518</v>
      </c>
      <c r="J98" s="2">
        <v>4018.4699999999993</v>
      </c>
      <c r="K98" s="2">
        <v>1485.2900000000002</v>
      </c>
      <c r="L98" s="2">
        <v>21480.480000000021</v>
      </c>
      <c r="M98" t="s">
        <v>4400</v>
      </c>
      <c r="N98" t="s">
        <v>4400</v>
      </c>
    </row>
    <row r="99" spans="1:14" x14ac:dyDescent="0.4">
      <c r="A99" t="s">
        <v>301</v>
      </c>
      <c r="B99" t="s">
        <v>302</v>
      </c>
      <c r="C99" t="s">
        <v>303</v>
      </c>
      <c r="D99" t="s">
        <v>304</v>
      </c>
      <c r="E99" s="2">
        <v>4310.22</v>
      </c>
      <c r="F99" s="2">
        <v>4003.4400000000005</v>
      </c>
      <c r="G99" s="2">
        <v>7584.6100000000024</v>
      </c>
      <c r="H99" s="2">
        <v>8726.6400000000012</v>
      </c>
      <c r="I99" s="2">
        <v>7706.1300000000019</v>
      </c>
      <c r="J99" s="2">
        <v>6743.2300000000005</v>
      </c>
      <c r="K99" s="2">
        <v>6986.2600000000011</v>
      </c>
      <c r="L99" s="2">
        <v>46060.529999999955</v>
      </c>
      <c r="M99" t="s">
        <v>4400</v>
      </c>
      <c r="N99" t="s">
        <v>4400</v>
      </c>
    </row>
    <row r="100" spans="1:14" x14ac:dyDescent="0.4">
      <c r="A100" t="s">
        <v>305</v>
      </c>
      <c r="B100" t="s">
        <v>306</v>
      </c>
      <c r="C100" t="s">
        <v>303</v>
      </c>
      <c r="D100" t="s">
        <v>307</v>
      </c>
      <c r="E100" s="2"/>
      <c r="F100" s="2"/>
      <c r="G100" s="2"/>
      <c r="H100" s="2"/>
      <c r="I100" s="2"/>
      <c r="J100" s="2">
        <v>1819.4200000000003</v>
      </c>
      <c r="K100" s="2"/>
      <c r="L100" s="2">
        <v>1819.4200000000003</v>
      </c>
      <c r="M100" t="s">
        <v>4405</v>
      </c>
      <c r="N100" t="s">
        <v>4406</v>
      </c>
    </row>
    <row r="101" spans="1:14" x14ac:dyDescent="0.4">
      <c r="A101" t="s">
        <v>308</v>
      </c>
      <c r="B101" t="s">
        <v>309</v>
      </c>
      <c r="C101" t="s">
        <v>310</v>
      </c>
      <c r="D101" t="s">
        <v>311</v>
      </c>
      <c r="E101" s="2">
        <v>2996.6199999999985</v>
      </c>
      <c r="F101" s="2">
        <v>2950.3599999999997</v>
      </c>
      <c r="G101" s="2">
        <v>3677.6699999999992</v>
      </c>
      <c r="H101" s="2">
        <v>3364.1299999999987</v>
      </c>
      <c r="I101" s="2">
        <v>4279.0499999999993</v>
      </c>
      <c r="J101" s="2">
        <v>3137.9699999999993</v>
      </c>
      <c r="K101" s="2">
        <v>1978.8999999999996</v>
      </c>
      <c r="L101" s="2">
        <v>22384.700000000015</v>
      </c>
      <c r="M101" t="s">
        <v>4400</v>
      </c>
      <c r="N101" t="s">
        <v>4400</v>
      </c>
    </row>
    <row r="102" spans="1:14" x14ac:dyDescent="0.4">
      <c r="A102" t="s">
        <v>312</v>
      </c>
      <c r="B102" t="s">
        <v>313</v>
      </c>
      <c r="C102" t="s">
        <v>310</v>
      </c>
      <c r="D102" t="s">
        <v>314</v>
      </c>
      <c r="E102" s="2">
        <v>6077.920000000001</v>
      </c>
      <c r="F102" s="2">
        <v>780.62000000000012</v>
      </c>
      <c r="G102" s="2"/>
      <c r="H102" s="2"/>
      <c r="I102" s="2"/>
      <c r="J102" s="2"/>
      <c r="K102" s="2"/>
      <c r="L102" s="2">
        <v>6858.5400000000009</v>
      </c>
      <c r="M102" t="s">
        <v>4400</v>
      </c>
      <c r="N102" t="s">
        <v>4410</v>
      </c>
    </row>
    <row r="103" spans="1:14" x14ac:dyDescent="0.4">
      <c r="A103" t="s">
        <v>315</v>
      </c>
      <c r="B103" t="s">
        <v>316</v>
      </c>
      <c r="C103" t="s">
        <v>310</v>
      </c>
      <c r="D103" t="s">
        <v>317</v>
      </c>
      <c r="E103" s="2">
        <v>3175</v>
      </c>
      <c r="F103" s="2">
        <v>3170</v>
      </c>
      <c r="G103" s="2">
        <v>2848.2799999999997</v>
      </c>
      <c r="H103" s="2"/>
      <c r="I103" s="2"/>
      <c r="J103" s="2"/>
      <c r="K103" s="2"/>
      <c r="L103" s="2">
        <v>9193.2800000000007</v>
      </c>
      <c r="M103" t="s">
        <v>4400</v>
      </c>
      <c r="N103" t="s">
        <v>4403</v>
      </c>
    </row>
    <row r="104" spans="1:14" x14ac:dyDescent="0.4">
      <c r="A104" t="s">
        <v>318</v>
      </c>
      <c r="B104" t="s">
        <v>319</v>
      </c>
      <c r="C104" t="s">
        <v>310</v>
      </c>
      <c r="D104" t="s">
        <v>320</v>
      </c>
      <c r="E104" s="2">
        <v>6275.2300000000014</v>
      </c>
      <c r="F104" s="2">
        <v>6442.3200000000006</v>
      </c>
      <c r="G104" s="2">
        <v>1142.05</v>
      </c>
      <c r="H104" s="2">
        <v>5622.2400000000007</v>
      </c>
      <c r="I104" s="2">
        <v>4057.97</v>
      </c>
      <c r="J104" s="2">
        <v>3887.8999999999992</v>
      </c>
      <c r="K104" s="2">
        <v>1734.3699999999997</v>
      </c>
      <c r="L104" s="2">
        <v>29162.079999999929</v>
      </c>
      <c r="M104" t="s">
        <v>4400</v>
      </c>
      <c r="N104" t="s">
        <v>4400</v>
      </c>
    </row>
    <row r="105" spans="1:14" x14ac:dyDescent="0.4">
      <c r="A105" t="s">
        <v>321</v>
      </c>
      <c r="B105" t="s">
        <v>322</v>
      </c>
      <c r="C105" t="s">
        <v>310</v>
      </c>
      <c r="D105" t="s">
        <v>311</v>
      </c>
      <c r="E105" s="2">
        <v>9813.7300000000032</v>
      </c>
      <c r="F105" s="2">
        <v>8531.85</v>
      </c>
      <c r="G105" s="2">
        <v>9561.49</v>
      </c>
      <c r="H105" s="2">
        <v>8634.9500000000007</v>
      </c>
      <c r="I105" s="2">
        <v>8419.4299999999985</v>
      </c>
      <c r="J105" s="2">
        <v>9746.8299999999981</v>
      </c>
      <c r="K105" s="2">
        <v>3003.8999999999996</v>
      </c>
      <c r="L105" s="2">
        <v>57712.17999999992</v>
      </c>
      <c r="M105" t="s">
        <v>4400</v>
      </c>
      <c r="N105" t="s">
        <v>4400</v>
      </c>
    </row>
    <row r="106" spans="1:14" x14ac:dyDescent="0.4">
      <c r="A106" t="s">
        <v>323</v>
      </c>
      <c r="B106" t="s">
        <v>324</v>
      </c>
      <c r="C106" t="s">
        <v>310</v>
      </c>
      <c r="D106" t="s">
        <v>311</v>
      </c>
      <c r="E106" s="2">
        <v>11122.960000000001</v>
      </c>
      <c r="F106" s="2">
        <v>8262.5499999999975</v>
      </c>
      <c r="G106" s="2">
        <v>11433.930000000004</v>
      </c>
      <c r="H106" s="2">
        <v>8550.39</v>
      </c>
      <c r="I106" s="2">
        <v>7977.9399999999987</v>
      </c>
      <c r="J106" s="2">
        <v>3826.7299999999987</v>
      </c>
      <c r="K106" s="2">
        <v>3623.7</v>
      </c>
      <c r="L106" s="2">
        <v>54798.200000000033</v>
      </c>
      <c r="M106" t="s">
        <v>4400</v>
      </c>
      <c r="N106" t="s">
        <v>4400</v>
      </c>
    </row>
    <row r="107" spans="1:14" x14ac:dyDescent="0.4">
      <c r="A107" t="s">
        <v>325</v>
      </c>
      <c r="B107" t="s">
        <v>326</v>
      </c>
      <c r="C107" t="s">
        <v>310</v>
      </c>
      <c r="D107" t="s">
        <v>311</v>
      </c>
      <c r="E107" s="2">
        <v>3183.2199999999984</v>
      </c>
      <c r="F107" s="2">
        <v>3001.0100000000007</v>
      </c>
      <c r="G107" s="2">
        <v>2946.3400000000006</v>
      </c>
      <c r="H107" s="2">
        <v>3243.9500000000003</v>
      </c>
      <c r="I107" s="2">
        <v>3095.12</v>
      </c>
      <c r="J107" s="2">
        <v>2390.4500000000003</v>
      </c>
      <c r="K107" s="2">
        <v>880.85</v>
      </c>
      <c r="L107" s="2">
        <v>18740.939999999984</v>
      </c>
      <c r="M107" t="s">
        <v>4400</v>
      </c>
      <c r="N107" t="s">
        <v>4400</v>
      </c>
    </row>
    <row r="108" spans="1:14" x14ac:dyDescent="0.4">
      <c r="A108" t="s">
        <v>327</v>
      </c>
      <c r="B108" t="s">
        <v>328</v>
      </c>
      <c r="C108" t="s">
        <v>310</v>
      </c>
      <c r="D108" t="s">
        <v>320</v>
      </c>
      <c r="E108" s="2">
        <v>5443.0800000000008</v>
      </c>
      <c r="F108" s="2">
        <v>4310.09</v>
      </c>
      <c r="G108" s="2">
        <v>2982.7500000000005</v>
      </c>
      <c r="H108" s="2">
        <v>4708.0499999999993</v>
      </c>
      <c r="I108" s="2">
        <v>4671.5899999999992</v>
      </c>
      <c r="J108" s="2">
        <v>3429.25</v>
      </c>
      <c r="K108" s="2">
        <v>1722.2099999999998</v>
      </c>
      <c r="L108" s="2">
        <v>27267.019999999982</v>
      </c>
      <c r="M108" t="s">
        <v>4400</v>
      </c>
      <c r="N108" t="s">
        <v>4400</v>
      </c>
    </row>
    <row r="109" spans="1:14" x14ac:dyDescent="0.4">
      <c r="A109" t="s">
        <v>329</v>
      </c>
      <c r="B109" t="s">
        <v>330</v>
      </c>
      <c r="C109" t="s">
        <v>303</v>
      </c>
      <c r="D109" t="s">
        <v>331</v>
      </c>
      <c r="E109" s="2">
        <v>1946.9500000000005</v>
      </c>
      <c r="F109" s="2">
        <v>965.87999999999988</v>
      </c>
      <c r="G109" s="2">
        <v>1670.56</v>
      </c>
      <c r="H109" s="2">
        <v>1792.0500000000002</v>
      </c>
      <c r="I109" s="2"/>
      <c r="J109" s="2"/>
      <c r="K109" s="2"/>
      <c r="L109" s="2">
        <v>6375.4400000000023</v>
      </c>
      <c r="M109" t="s">
        <v>4400</v>
      </c>
      <c r="N109" t="s">
        <v>4402</v>
      </c>
    </row>
    <row r="110" spans="1:14" x14ac:dyDescent="0.4">
      <c r="A110" t="s">
        <v>332</v>
      </c>
      <c r="B110" t="s">
        <v>333</v>
      </c>
      <c r="C110" t="s">
        <v>303</v>
      </c>
      <c r="D110" t="s">
        <v>334</v>
      </c>
      <c r="E110" s="2">
        <v>4100.5399999999981</v>
      </c>
      <c r="F110" s="2">
        <v>2332.7499999999995</v>
      </c>
      <c r="G110" s="2">
        <v>3046.5099999999993</v>
      </c>
      <c r="H110" s="2">
        <v>3131.62</v>
      </c>
      <c r="I110" s="2">
        <v>3010.0799999999995</v>
      </c>
      <c r="J110" s="2">
        <v>4814.3299999999963</v>
      </c>
      <c r="K110" s="2">
        <v>1248.3800000000001</v>
      </c>
      <c r="L110" s="2">
        <v>21684.209999999985</v>
      </c>
      <c r="M110" t="s">
        <v>4400</v>
      </c>
      <c r="N110" t="s">
        <v>4400</v>
      </c>
    </row>
    <row r="111" spans="1:14" x14ac:dyDescent="0.4">
      <c r="A111" t="s">
        <v>335</v>
      </c>
      <c r="B111" t="s">
        <v>336</v>
      </c>
      <c r="C111" t="s">
        <v>337</v>
      </c>
      <c r="D111" t="s">
        <v>338</v>
      </c>
      <c r="E111" s="2">
        <v>719.88</v>
      </c>
      <c r="F111" s="2"/>
      <c r="G111" s="2"/>
      <c r="H111" s="2"/>
      <c r="I111" s="2"/>
      <c r="J111" s="2"/>
      <c r="K111" s="2"/>
      <c r="L111" s="2">
        <v>719.88</v>
      </c>
      <c r="M111" t="s">
        <v>4400</v>
      </c>
      <c r="N111" t="s">
        <v>4407</v>
      </c>
    </row>
    <row r="112" spans="1:14" x14ac:dyDescent="0.4">
      <c r="A112" t="s">
        <v>339</v>
      </c>
      <c r="B112" t="s">
        <v>340</v>
      </c>
      <c r="C112" t="s">
        <v>337</v>
      </c>
      <c r="D112" t="s">
        <v>341</v>
      </c>
      <c r="E112" s="2">
        <v>5555.4699999999993</v>
      </c>
      <c r="F112" s="2">
        <v>5752.8600000000006</v>
      </c>
      <c r="G112" s="2">
        <v>5066.3999999999987</v>
      </c>
      <c r="H112" s="2">
        <v>5342.880000000001</v>
      </c>
      <c r="I112" s="2">
        <v>3663.2100000000005</v>
      </c>
      <c r="J112" s="2">
        <v>3143.7900000000004</v>
      </c>
      <c r="K112" s="2"/>
      <c r="L112" s="2">
        <v>28524.609999999975</v>
      </c>
      <c r="M112" t="s">
        <v>4400</v>
      </c>
      <c r="N112" t="s">
        <v>4406</v>
      </c>
    </row>
    <row r="113" spans="1:14" x14ac:dyDescent="0.4">
      <c r="A113" t="s">
        <v>342</v>
      </c>
      <c r="B113" t="s">
        <v>343</v>
      </c>
      <c r="C113" t="s">
        <v>337</v>
      </c>
      <c r="D113" t="s">
        <v>344</v>
      </c>
      <c r="E113" s="2">
        <v>3553.9199999999992</v>
      </c>
      <c r="F113" s="2">
        <v>4203.9299999999994</v>
      </c>
      <c r="G113" s="2"/>
      <c r="H113" s="2"/>
      <c r="I113" s="2"/>
      <c r="J113" s="2"/>
      <c r="K113" s="2"/>
      <c r="L113" s="2">
        <v>7757.8500000000013</v>
      </c>
      <c r="M113" t="s">
        <v>4400</v>
      </c>
      <c r="N113" t="s">
        <v>4410</v>
      </c>
    </row>
    <row r="114" spans="1:14" x14ac:dyDescent="0.4">
      <c r="A114" t="s">
        <v>345</v>
      </c>
      <c r="B114" t="s">
        <v>343</v>
      </c>
      <c r="C114" t="s">
        <v>337</v>
      </c>
      <c r="D114" t="s">
        <v>344</v>
      </c>
      <c r="E114" s="2">
        <v>3083.0000000000005</v>
      </c>
      <c r="F114" s="2">
        <v>2193.0100000000002</v>
      </c>
      <c r="G114" s="2"/>
      <c r="H114" s="2"/>
      <c r="I114" s="2"/>
      <c r="J114" s="2"/>
      <c r="K114" s="2"/>
      <c r="L114" s="2">
        <v>5276.0099999999984</v>
      </c>
      <c r="M114" t="s">
        <v>4400</v>
      </c>
      <c r="N114" t="s">
        <v>4410</v>
      </c>
    </row>
    <row r="115" spans="1:14" x14ac:dyDescent="0.4">
      <c r="A115" t="s">
        <v>346</v>
      </c>
      <c r="B115" t="s">
        <v>336</v>
      </c>
      <c r="C115" t="s">
        <v>337</v>
      </c>
      <c r="D115" t="s">
        <v>347</v>
      </c>
      <c r="E115" s="2">
        <v>10117.559999999998</v>
      </c>
      <c r="F115" s="2">
        <v>8170.6500000000015</v>
      </c>
      <c r="G115" s="2">
        <v>9786.4799999999959</v>
      </c>
      <c r="H115" s="2">
        <v>8395.35</v>
      </c>
      <c r="I115" s="2">
        <v>8270.8700000000008</v>
      </c>
      <c r="J115" s="2">
        <v>7961.0899999999983</v>
      </c>
      <c r="K115" s="2">
        <v>3623.6199999999994</v>
      </c>
      <c r="L115" s="2">
        <v>56325.619999999959</v>
      </c>
      <c r="M115" t="s">
        <v>4400</v>
      </c>
      <c r="N115" t="s">
        <v>4400</v>
      </c>
    </row>
    <row r="116" spans="1:14" x14ac:dyDescent="0.4">
      <c r="A116" t="s">
        <v>348</v>
      </c>
      <c r="B116" t="s">
        <v>349</v>
      </c>
      <c r="C116" t="s">
        <v>350</v>
      </c>
      <c r="D116" t="s">
        <v>351</v>
      </c>
      <c r="E116" s="2">
        <v>3644.8899999999985</v>
      </c>
      <c r="F116" s="2">
        <v>4385.9799999999987</v>
      </c>
      <c r="G116" s="2">
        <v>4389.12</v>
      </c>
      <c r="H116" s="2">
        <v>4209.9000000000005</v>
      </c>
      <c r="I116" s="2">
        <v>4607.8100000000004</v>
      </c>
      <c r="J116" s="2">
        <v>6369.5599999999995</v>
      </c>
      <c r="K116" s="2">
        <v>2487.6800000000003</v>
      </c>
      <c r="L116" s="2">
        <v>30094.940000000024</v>
      </c>
      <c r="M116" t="s">
        <v>4400</v>
      </c>
      <c r="N116" t="s">
        <v>4400</v>
      </c>
    </row>
    <row r="117" spans="1:14" x14ac:dyDescent="0.4">
      <c r="A117" t="s">
        <v>352</v>
      </c>
      <c r="B117" t="s">
        <v>349</v>
      </c>
      <c r="C117" t="s">
        <v>350</v>
      </c>
      <c r="D117" t="s">
        <v>351</v>
      </c>
      <c r="E117" s="2">
        <v>2964.71</v>
      </c>
      <c r="F117" s="2">
        <v>3183.3500000000004</v>
      </c>
      <c r="G117" s="2">
        <v>3152.9700000000003</v>
      </c>
      <c r="H117" s="2">
        <v>3432.380000000001</v>
      </c>
      <c r="I117" s="2">
        <v>3350.37</v>
      </c>
      <c r="J117" s="2">
        <v>4109.7699999999995</v>
      </c>
      <c r="K117" s="2">
        <v>1634.1999999999998</v>
      </c>
      <c r="L117" s="2">
        <v>21827.749999999971</v>
      </c>
      <c r="M117" t="s">
        <v>4400</v>
      </c>
      <c r="N117" t="s">
        <v>4400</v>
      </c>
    </row>
    <row r="118" spans="1:14" x14ac:dyDescent="0.4">
      <c r="A118" t="s">
        <v>353</v>
      </c>
      <c r="B118" t="s">
        <v>349</v>
      </c>
      <c r="C118" t="s">
        <v>350</v>
      </c>
      <c r="D118" t="s">
        <v>351</v>
      </c>
      <c r="E118" s="2">
        <v>2934.26</v>
      </c>
      <c r="F118" s="2">
        <v>2919.09</v>
      </c>
      <c r="G118" s="2">
        <v>3429.2999999999997</v>
      </c>
      <c r="H118" s="2">
        <v>3863.7100000000005</v>
      </c>
      <c r="I118" s="2">
        <v>2563.66</v>
      </c>
      <c r="J118" s="2">
        <v>3678.2899999999991</v>
      </c>
      <c r="K118" s="2">
        <v>1755.62</v>
      </c>
      <c r="L118" s="2">
        <v>21143.930000000011</v>
      </c>
      <c r="M118" t="s">
        <v>4400</v>
      </c>
      <c r="N118" t="s">
        <v>4400</v>
      </c>
    </row>
    <row r="119" spans="1:14" x14ac:dyDescent="0.4">
      <c r="A119" t="s">
        <v>354</v>
      </c>
      <c r="B119" t="s">
        <v>355</v>
      </c>
      <c r="C119" t="s">
        <v>350</v>
      </c>
      <c r="D119" t="s">
        <v>356</v>
      </c>
      <c r="E119" s="2"/>
      <c r="F119" s="2"/>
      <c r="G119" s="2">
        <v>1476.18</v>
      </c>
      <c r="H119" s="2"/>
      <c r="I119" s="2"/>
      <c r="J119" s="2"/>
      <c r="K119" s="2"/>
      <c r="L119" s="2">
        <v>1476.18</v>
      </c>
      <c r="M119" t="s">
        <v>4411</v>
      </c>
      <c r="N119" t="s">
        <v>4403</v>
      </c>
    </row>
    <row r="120" spans="1:14" x14ac:dyDescent="0.4">
      <c r="A120" t="s">
        <v>357</v>
      </c>
      <c r="B120" t="s">
        <v>358</v>
      </c>
      <c r="C120" t="s">
        <v>359</v>
      </c>
      <c r="D120" t="s">
        <v>360</v>
      </c>
      <c r="E120" s="2">
        <v>1816.42</v>
      </c>
      <c r="F120" s="2">
        <v>1485.3199999999997</v>
      </c>
      <c r="G120" s="2">
        <v>2597.0100000000002</v>
      </c>
      <c r="H120" s="2">
        <v>2606.13</v>
      </c>
      <c r="I120" s="2">
        <v>2639.51</v>
      </c>
      <c r="J120" s="2">
        <v>3693.5799999999995</v>
      </c>
      <c r="K120" s="2">
        <v>1694.8799999999997</v>
      </c>
      <c r="L120" s="2">
        <v>16532.849999999991</v>
      </c>
      <c r="M120" t="s">
        <v>4400</v>
      </c>
      <c r="N120" t="s">
        <v>4400</v>
      </c>
    </row>
    <row r="121" spans="1:14" x14ac:dyDescent="0.4">
      <c r="A121" t="s">
        <v>361</v>
      </c>
      <c r="B121" t="s">
        <v>362</v>
      </c>
      <c r="C121" t="s">
        <v>363</v>
      </c>
      <c r="D121" t="s">
        <v>364</v>
      </c>
      <c r="E121" s="2">
        <v>4683.75</v>
      </c>
      <c r="F121" s="2">
        <v>4495.46</v>
      </c>
      <c r="G121" s="2">
        <v>4361.84</v>
      </c>
      <c r="H121" s="2">
        <v>5102.9599999999991</v>
      </c>
      <c r="I121" s="2">
        <v>4829.6100000000006</v>
      </c>
      <c r="J121" s="2">
        <v>3809.0199999999995</v>
      </c>
      <c r="K121" s="2">
        <v>3040.5000000000005</v>
      </c>
      <c r="L121" s="2">
        <v>30323.140000000007</v>
      </c>
      <c r="M121" t="s">
        <v>4400</v>
      </c>
      <c r="N121" t="s">
        <v>4400</v>
      </c>
    </row>
    <row r="122" spans="1:14" x14ac:dyDescent="0.4">
      <c r="A122" t="s">
        <v>365</v>
      </c>
      <c r="B122" t="s">
        <v>366</v>
      </c>
      <c r="C122" t="s">
        <v>363</v>
      </c>
      <c r="D122" t="s">
        <v>364</v>
      </c>
      <c r="E122" s="2">
        <v>13941.59</v>
      </c>
      <c r="F122" s="2">
        <v>14178.679999999998</v>
      </c>
      <c r="G122" s="2">
        <v>17674.589999999997</v>
      </c>
      <c r="H122" s="2">
        <v>24599.770000000004</v>
      </c>
      <c r="I122" s="2">
        <v>17361.71</v>
      </c>
      <c r="J122" s="2">
        <v>16362.430000000004</v>
      </c>
      <c r="K122" s="2">
        <v>7247.1799999999985</v>
      </c>
      <c r="L122" s="2">
        <v>111365.95000000001</v>
      </c>
      <c r="M122" t="s">
        <v>4400</v>
      </c>
      <c r="N122" t="s">
        <v>4400</v>
      </c>
    </row>
    <row r="123" spans="1:14" x14ac:dyDescent="0.4">
      <c r="A123" t="s">
        <v>367</v>
      </c>
      <c r="B123" t="s">
        <v>368</v>
      </c>
      <c r="C123" t="s">
        <v>363</v>
      </c>
      <c r="D123" t="s">
        <v>369</v>
      </c>
      <c r="E123" s="2">
        <v>5804.6600000000008</v>
      </c>
      <c r="F123" s="2">
        <v>3480.95</v>
      </c>
      <c r="G123" s="2">
        <v>6503.26</v>
      </c>
      <c r="H123" s="2">
        <v>10834.689999999999</v>
      </c>
      <c r="I123" s="2">
        <v>7204.9100000000008</v>
      </c>
      <c r="J123" s="2">
        <v>7566.44</v>
      </c>
      <c r="K123" s="2">
        <v>3496.17</v>
      </c>
      <c r="L123" s="2">
        <v>44891.08</v>
      </c>
      <c r="M123" t="s">
        <v>4400</v>
      </c>
      <c r="N123" t="s">
        <v>4400</v>
      </c>
    </row>
    <row r="124" spans="1:14" x14ac:dyDescent="0.4">
      <c r="A124" t="s">
        <v>370</v>
      </c>
      <c r="B124" t="s">
        <v>371</v>
      </c>
      <c r="C124" t="s">
        <v>363</v>
      </c>
      <c r="D124" t="s">
        <v>364</v>
      </c>
      <c r="E124" s="2">
        <v>8319.6899999999987</v>
      </c>
      <c r="F124" s="2">
        <v>5640.58</v>
      </c>
      <c r="G124" s="2">
        <v>8811.68</v>
      </c>
      <c r="H124" s="2">
        <v>9054.5700000000033</v>
      </c>
      <c r="I124" s="2">
        <v>6815.970000000003</v>
      </c>
      <c r="J124" s="2">
        <v>5634.4400000000014</v>
      </c>
      <c r="K124" s="2">
        <v>1494.42</v>
      </c>
      <c r="L124" s="2">
        <v>45771.349999999991</v>
      </c>
      <c r="M124" t="s">
        <v>4400</v>
      </c>
      <c r="N124" t="s">
        <v>4400</v>
      </c>
    </row>
    <row r="125" spans="1:14" x14ac:dyDescent="0.4">
      <c r="A125" t="s">
        <v>372</v>
      </c>
      <c r="B125" t="s">
        <v>373</v>
      </c>
      <c r="C125" t="s">
        <v>374</v>
      </c>
      <c r="D125" t="s">
        <v>375</v>
      </c>
      <c r="E125" s="2">
        <v>3347.2599999999998</v>
      </c>
      <c r="F125" s="2">
        <v>2581.84</v>
      </c>
      <c r="G125" s="2">
        <v>4534.9399999999996</v>
      </c>
      <c r="H125" s="2">
        <v>2587.92</v>
      </c>
      <c r="I125" s="2">
        <v>3332.0900000000006</v>
      </c>
      <c r="J125" s="2">
        <v>2193.0500000000002</v>
      </c>
      <c r="K125" s="2">
        <v>1770.8500000000001</v>
      </c>
      <c r="L125" s="2">
        <v>20347.949999999979</v>
      </c>
      <c r="M125" t="s">
        <v>4400</v>
      </c>
      <c r="N125" t="s">
        <v>4400</v>
      </c>
    </row>
    <row r="126" spans="1:14" x14ac:dyDescent="0.4">
      <c r="A126" t="s">
        <v>376</v>
      </c>
      <c r="B126" t="s">
        <v>377</v>
      </c>
      <c r="C126" t="s">
        <v>374</v>
      </c>
      <c r="D126" t="s">
        <v>375</v>
      </c>
      <c r="E126" s="2">
        <v>735.07999999999993</v>
      </c>
      <c r="F126" s="2">
        <v>1786.02</v>
      </c>
      <c r="G126" s="2">
        <v>738.09</v>
      </c>
      <c r="H126" s="2"/>
      <c r="I126" s="2"/>
      <c r="J126" s="2"/>
      <c r="K126" s="2"/>
      <c r="L126" s="2">
        <v>3259.1899999999996</v>
      </c>
      <c r="M126" t="s">
        <v>4400</v>
      </c>
      <c r="N126" t="s">
        <v>4403</v>
      </c>
    </row>
    <row r="127" spans="1:14" x14ac:dyDescent="0.4">
      <c r="A127" t="s">
        <v>378</v>
      </c>
      <c r="B127" t="s">
        <v>379</v>
      </c>
      <c r="C127" t="s">
        <v>374</v>
      </c>
      <c r="D127" t="s">
        <v>375</v>
      </c>
      <c r="E127" s="2">
        <v>996.28</v>
      </c>
      <c r="F127" s="2">
        <v>920.32999999999993</v>
      </c>
      <c r="G127" s="2"/>
      <c r="H127" s="2"/>
      <c r="I127" s="2">
        <v>1852.8</v>
      </c>
      <c r="J127" s="2">
        <v>750.22999999999979</v>
      </c>
      <c r="K127" s="2"/>
      <c r="L127" s="2">
        <v>4519.6399999999985</v>
      </c>
      <c r="M127" t="s">
        <v>4400</v>
      </c>
      <c r="N127" t="s">
        <v>4406</v>
      </c>
    </row>
    <row r="128" spans="1:14" x14ac:dyDescent="0.4">
      <c r="A128" t="s">
        <v>380</v>
      </c>
      <c r="B128" t="s">
        <v>381</v>
      </c>
      <c r="C128" t="s">
        <v>374</v>
      </c>
      <c r="D128" t="s">
        <v>375</v>
      </c>
      <c r="E128" s="2">
        <v>810.99</v>
      </c>
      <c r="F128" s="2"/>
      <c r="G128" s="2">
        <v>853.5200000000001</v>
      </c>
      <c r="H128" s="2">
        <v>2417.8099999999995</v>
      </c>
      <c r="I128" s="2">
        <v>741.1400000000001</v>
      </c>
      <c r="J128" s="2">
        <v>1476.2</v>
      </c>
      <c r="K128" s="2">
        <v>826.18</v>
      </c>
      <c r="L128" s="2">
        <v>7125.8399999999992</v>
      </c>
      <c r="M128" t="s">
        <v>4400</v>
      </c>
      <c r="N128" t="s">
        <v>4400</v>
      </c>
    </row>
    <row r="129" spans="1:14" x14ac:dyDescent="0.4">
      <c r="A129" t="s">
        <v>382</v>
      </c>
      <c r="B129" t="s">
        <v>383</v>
      </c>
      <c r="C129" t="s">
        <v>374</v>
      </c>
      <c r="D129" t="s">
        <v>384</v>
      </c>
      <c r="E129" s="2"/>
      <c r="F129" s="2"/>
      <c r="G129" s="2"/>
      <c r="H129" s="2">
        <v>1661.47</v>
      </c>
      <c r="I129" s="2">
        <v>5977.5499999999975</v>
      </c>
      <c r="J129" s="2">
        <v>6782.4699999999939</v>
      </c>
      <c r="K129" s="2">
        <v>2390.4299999999994</v>
      </c>
      <c r="L129" s="2">
        <v>16811.919999999987</v>
      </c>
      <c r="M129" t="s">
        <v>4409</v>
      </c>
      <c r="N129" t="s">
        <v>4400</v>
      </c>
    </row>
    <row r="130" spans="1:14" x14ac:dyDescent="0.4">
      <c r="A130" t="s">
        <v>385</v>
      </c>
      <c r="B130" t="s">
        <v>386</v>
      </c>
      <c r="C130" t="s">
        <v>374</v>
      </c>
      <c r="D130" t="s">
        <v>387</v>
      </c>
      <c r="E130" s="2"/>
      <c r="F130" s="2"/>
      <c r="G130" s="2"/>
      <c r="H130" s="2"/>
      <c r="I130" s="2">
        <v>807.96</v>
      </c>
      <c r="J130" s="2">
        <v>5798.56</v>
      </c>
      <c r="K130" s="2"/>
      <c r="L130" s="2">
        <v>6606.5199999999986</v>
      </c>
      <c r="M130" t="s">
        <v>4408</v>
      </c>
      <c r="N130" t="s">
        <v>4406</v>
      </c>
    </row>
    <row r="131" spans="1:14" x14ac:dyDescent="0.4">
      <c r="A131" t="s">
        <v>388</v>
      </c>
      <c r="B131" t="s">
        <v>389</v>
      </c>
      <c r="C131" t="s">
        <v>390</v>
      </c>
      <c r="D131" t="s">
        <v>391</v>
      </c>
      <c r="E131" s="2">
        <v>2269.0399999999995</v>
      </c>
      <c r="F131" s="2">
        <v>2673.02</v>
      </c>
      <c r="G131" s="2">
        <v>3596.4099999999994</v>
      </c>
      <c r="H131" s="2">
        <v>2864.3700000000003</v>
      </c>
      <c r="I131" s="2">
        <v>3326.0399999999995</v>
      </c>
      <c r="J131" s="2">
        <v>3927.5</v>
      </c>
      <c r="K131" s="2">
        <v>729</v>
      </c>
      <c r="L131" s="2">
        <v>19385.379999999986</v>
      </c>
      <c r="M131" t="s">
        <v>4400</v>
      </c>
      <c r="N131" t="s">
        <v>4400</v>
      </c>
    </row>
    <row r="132" spans="1:14" x14ac:dyDescent="0.4">
      <c r="A132" t="s">
        <v>392</v>
      </c>
      <c r="B132" t="s">
        <v>393</v>
      </c>
      <c r="C132" t="s">
        <v>390</v>
      </c>
      <c r="D132" t="s">
        <v>394</v>
      </c>
      <c r="E132" s="2">
        <v>2903.7299999999996</v>
      </c>
      <c r="F132" s="2">
        <v>3192.31</v>
      </c>
      <c r="G132" s="2">
        <v>4079.21</v>
      </c>
      <c r="H132" s="2">
        <v>2426.9000000000005</v>
      </c>
      <c r="I132" s="2"/>
      <c r="J132" s="2"/>
      <c r="K132" s="2"/>
      <c r="L132" s="2">
        <v>12602.149999999992</v>
      </c>
      <c r="M132" t="s">
        <v>4400</v>
      </c>
      <c r="N132" t="s">
        <v>4402</v>
      </c>
    </row>
    <row r="133" spans="1:14" x14ac:dyDescent="0.4">
      <c r="A133" t="s">
        <v>395</v>
      </c>
      <c r="B133" t="s">
        <v>396</v>
      </c>
      <c r="C133" t="s">
        <v>390</v>
      </c>
      <c r="D133" t="s">
        <v>394</v>
      </c>
      <c r="E133" s="2">
        <v>3280.3799999999992</v>
      </c>
      <c r="F133" s="2">
        <v>2979.6400000000003</v>
      </c>
      <c r="G133" s="2">
        <v>4170.32</v>
      </c>
      <c r="H133" s="2">
        <v>2672.89</v>
      </c>
      <c r="I133" s="2"/>
      <c r="J133" s="2"/>
      <c r="K133" s="2"/>
      <c r="L133" s="2">
        <v>13103.229999999987</v>
      </c>
      <c r="M133" t="s">
        <v>4400</v>
      </c>
      <c r="N133" t="s">
        <v>4402</v>
      </c>
    </row>
    <row r="134" spans="1:14" x14ac:dyDescent="0.4">
      <c r="A134" t="s">
        <v>397</v>
      </c>
      <c r="B134" t="s">
        <v>398</v>
      </c>
      <c r="C134" t="s">
        <v>390</v>
      </c>
      <c r="D134" t="s">
        <v>394</v>
      </c>
      <c r="E134" s="2">
        <v>7766.87</v>
      </c>
      <c r="F134" s="2">
        <v>5883.6500000000015</v>
      </c>
      <c r="G134" s="2">
        <v>6785.760000000002</v>
      </c>
      <c r="H134" s="2">
        <v>5777.2699999999995</v>
      </c>
      <c r="I134" s="2">
        <v>6475.8600000000006</v>
      </c>
      <c r="J134" s="2">
        <v>5294.3200000000006</v>
      </c>
      <c r="K134" s="2">
        <v>2979.7500000000005</v>
      </c>
      <c r="L134" s="2">
        <v>40963.479999999981</v>
      </c>
      <c r="M134" t="s">
        <v>4400</v>
      </c>
      <c r="N134" t="s">
        <v>4400</v>
      </c>
    </row>
    <row r="135" spans="1:14" x14ac:dyDescent="0.4">
      <c r="A135" t="s">
        <v>399</v>
      </c>
      <c r="B135" t="s">
        <v>398</v>
      </c>
      <c r="C135" t="s">
        <v>390</v>
      </c>
      <c r="D135" t="s">
        <v>394</v>
      </c>
      <c r="E135" s="2">
        <v>1087.42</v>
      </c>
      <c r="F135" s="2"/>
      <c r="G135" s="2">
        <v>1087.4199999999998</v>
      </c>
      <c r="H135" s="2">
        <v>3696.6199999999994</v>
      </c>
      <c r="I135" s="2">
        <v>996.27</v>
      </c>
      <c r="J135" s="2">
        <v>2001.69</v>
      </c>
      <c r="K135" s="2">
        <v>950.7</v>
      </c>
      <c r="L135" s="2">
        <v>9820.1199999999953</v>
      </c>
      <c r="M135" t="s">
        <v>4400</v>
      </c>
      <c r="N135" t="s">
        <v>4400</v>
      </c>
    </row>
    <row r="136" spans="1:14" x14ac:dyDescent="0.4">
      <c r="A136" t="s">
        <v>400</v>
      </c>
      <c r="B136" t="s">
        <v>401</v>
      </c>
      <c r="C136" t="s">
        <v>402</v>
      </c>
      <c r="D136" t="s">
        <v>403</v>
      </c>
      <c r="E136" s="2">
        <v>2676.0499999999993</v>
      </c>
      <c r="F136" s="2">
        <v>2296.3799999999992</v>
      </c>
      <c r="G136" s="2"/>
      <c r="H136" s="2"/>
      <c r="I136" s="2"/>
      <c r="J136" s="2"/>
      <c r="K136" s="2"/>
      <c r="L136" s="2">
        <v>4972.4299999999994</v>
      </c>
      <c r="M136" t="s">
        <v>4400</v>
      </c>
      <c r="N136" t="s">
        <v>4410</v>
      </c>
    </row>
    <row r="137" spans="1:14" x14ac:dyDescent="0.4">
      <c r="A137" t="s">
        <v>404</v>
      </c>
      <c r="B137" t="s">
        <v>401</v>
      </c>
      <c r="C137" t="s">
        <v>402</v>
      </c>
      <c r="D137" t="s">
        <v>403</v>
      </c>
      <c r="E137" s="2">
        <v>3626.71</v>
      </c>
      <c r="F137" s="2">
        <v>3517.3799999999997</v>
      </c>
      <c r="G137" s="2"/>
      <c r="H137" s="2"/>
      <c r="I137" s="2"/>
      <c r="J137" s="2"/>
      <c r="K137" s="2"/>
      <c r="L137" s="2">
        <v>7144.0899999999983</v>
      </c>
      <c r="M137" t="s">
        <v>4400</v>
      </c>
      <c r="N137" t="s">
        <v>4410</v>
      </c>
    </row>
    <row r="138" spans="1:14" x14ac:dyDescent="0.4">
      <c r="A138" t="s">
        <v>405</v>
      </c>
      <c r="B138" t="s">
        <v>406</v>
      </c>
      <c r="C138" t="s">
        <v>402</v>
      </c>
      <c r="D138" t="s">
        <v>403</v>
      </c>
      <c r="E138" s="2">
        <v>2651.6699999999996</v>
      </c>
      <c r="F138" s="2">
        <v>1749.5600000000002</v>
      </c>
      <c r="G138" s="2"/>
      <c r="H138" s="2"/>
      <c r="I138" s="2"/>
      <c r="J138" s="2"/>
      <c r="K138" s="2"/>
      <c r="L138" s="2">
        <v>4401.2299999999996</v>
      </c>
      <c r="M138" t="s">
        <v>4400</v>
      </c>
      <c r="N138" t="s">
        <v>4410</v>
      </c>
    </row>
    <row r="139" spans="1:14" x14ac:dyDescent="0.4">
      <c r="A139" t="s">
        <v>407</v>
      </c>
      <c r="B139" t="s">
        <v>406</v>
      </c>
      <c r="C139" t="s">
        <v>402</v>
      </c>
      <c r="D139" t="s">
        <v>403</v>
      </c>
      <c r="E139" s="2">
        <v>3620.639999999999</v>
      </c>
      <c r="F139" s="2">
        <v>2375.2699999999995</v>
      </c>
      <c r="G139" s="2">
        <v>3997.2799999999984</v>
      </c>
      <c r="H139" s="2">
        <v>2411.7599999999998</v>
      </c>
      <c r="I139" s="2">
        <v>3523.3799999999997</v>
      </c>
      <c r="J139" s="2">
        <v>4516.7299999999996</v>
      </c>
      <c r="K139" s="2">
        <v>2268.9899999999998</v>
      </c>
      <c r="L139" s="2">
        <v>22714.049999999967</v>
      </c>
      <c r="M139" t="s">
        <v>4400</v>
      </c>
      <c r="N139" t="s">
        <v>4400</v>
      </c>
    </row>
    <row r="140" spans="1:14" x14ac:dyDescent="0.4">
      <c r="A140" t="s">
        <v>408</v>
      </c>
      <c r="B140" t="s">
        <v>409</v>
      </c>
      <c r="C140" t="s">
        <v>410</v>
      </c>
      <c r="D140" t="s">
        <v>411</v>
      </c>
      <c r="E140" s="2">
        <v>1989.5200000000002</v>
      </c>
      <c r="F140" s="2">
        <v>1014.52</v>
      </c>
      <c r="G140" s="2"/>
      <c r="H140" s="2"/>
      <c r="I140" s="2"/>
      <c r="J140" s="2">
        <v>3341.2200000000003</v>
      </c>
      <c r="K140" s="2">
        <v>1822.5000000000002</v>
      </c>
      <c r="L140" s="2">
        <v>8167.7600000000029</v>
      </c>
      <c r="M140" t="s">
        <v>4400</v>
      </c>
      <c r="N140" t="s">
        <v>4400</v>
      </c>
    </row>
    <row r="141" spans="1:14" x14ac:dyDescent="0.4">
      <c r="A141" t="s">
        <v>412</v>
      </c>
      <c r="B141" t="s">
        <v>413</v>
      </c>
      <c r="C141" t="s">
        <v>410</v>
      </c>
      <c r="D141" t="s">
        <v>414</v>
      </c>
      <c r="E141" s="2">
        <v>3766.56</v>
      </c>
      <c r="F141" s="2">
        <v>3724.0600000000004</v>
      </c>
      <c r="G141" s="2">
        <v>4614.0700000000006</v>
      </c>
      <c r="H141" s="2">
        <v>4137.1500000000005</v>
      </c>
      <c r="I141" s="2">
        <v>2824.92</v>
      </c>
      <c r="J141" s="2"/>
      <c r="K141" s="2"/>
      <c r="L141" s="2">
        <v>19066.759999999984</v>
      </c>
      <c r="M141" t="s">
        <v>4400</v>
      </c>
      <c r="N141" t="s">
        <v>4401</v>
      </c>
    </row>
    <row r="142" spans="1:14" x14ac:dyDescent="0.4">
      <c r="A142" t="s">
        <v>415</v>
      </c>
      <c r="B142" t="s">
        <v>416</v>
      </c>
      <c r="C142" t="s">
        <v>410</v>
      </c>
      <c r="D142" t="s">
        <v>414</v>
      </c>
      <c r="E142" s="2">
        <v>1807.27</v>
      </c>
      <c r="F142" s="2">
        <v>3720.8500000000008</v>
      </c>
      <c r="G142" s="2">
        <v>4516.6899999999996</v>
      </c>
      <c r="H142" s="2">
        <v>3651.0599999999986</v>
      </c>
      <c r="I142" s="2">
        <v>2153.5300000000002</v>
      </c>
      <c r="J142" s="2">
        <v>3432.2900000000009</v>
      </c>
      <c r="K142" s="2">
        <v>826.16</v>
      </c>
      <c r="L142" s="2">
        <v>20107.849999999999</v>
      </c>
      <c r="M142" t="s">
        <v>4400</v>
      </c>
      <c r="N142" t="s">
        <v>4400</v>
      </c>
    </row>
    <row r="143" spans="1:14" x14ac:dyDescent="0.4">
      <c r="A143" t="s">
        <v>417</v>
      </c>
      <c r="B143" t="s">
        <v>418</v>
      </c>
      <c r="C143" t="s">
        <v>419</v>
      </c>
      <c r="D143" t="s">
        <v>420</v>
      </c>
      <c r="E143" s="2">
        <v>3116.4600000000005</v>
      </c>
      <c r="F143" s="2">
        <v>4261.5800000000008</v>
      </c>
      <c r="G143" s="2">
        <v>3973.0199999999995</v>
      </c>
      <c r="H143" s="2">
        <v>5090.8100000000004</v>
      </c>
      <c r="I143" s="2">
        <v>2830.94</v>
      </c>
      <c r="J143" s="2">
        <v>3736.1099999999997</v>
      </c>
      <c r="K143" s="2">
        <v>2095.86</v>
      </c>
      <c r="L143" s="2">
        <v>25104.779999999977</v>
      </c>
      <c r="M143" t="s">
        <v>4400</v>
      </c>
      <c r="N143" t="s">
        <v>4400</v>
      </c>
    </row>
    <row r="144" spans="1:14" x14ac:dyDescent="0.4">
      <c r="A144" t="s">
        <v>421</v>
      </c>
      <c r="B144" t="s">
        <v>422</v>
      </c>
      <c r="C144" t="s">
        <v>423</v>
      </c>
      <c r="D144" t="s">
        <v>424</v>
      </c>
      <c r="E144" s="2">
        <v>1731.3099999999997</v>
      </c>
      <c r="F144" s="2">
        <v>1500.4999999999995</v>
      </c>
      <c r="G144" s="2">
        <v>3079.9299999999985</v>
      </c>
      <c r="H144" s="2">
        <v>2524.0699999999993</v>
      </c>
      <c r="I144" s="2">
        <v>2241.6</v>
      </c>
      <c r="J144" s="2">
        <v>2350.9599999999996</v>
      </c>
      <c r="K144" s="2">
        <v>747.21999999999991</v>
      </c>
      <c r="L144" s="2">
        <v>14175.589999999993</v>
      </c>
      <c r="M144" t="s">
        <v>4400</v>
      </c>
      <c r="N144" t="s">
        <v>4400</v>
      </c>
    </row>
    <row r="145" spans="1:14" x14ac:dyDescent="0.4">
      <c r="A145" t="s">
        <v>425</v>
      </c>
      <c r="B145" t="s">
        <v>426</v>
      </c>
      <c r="C145" t="s">
        <v>423</v>
      </c>
      <c r="D145" t="s">
        <v>427</v>
      </c>
      <c r="E145" s="2">
        <v>1536.9499999999998</v>
      </c>
      <c r="F145" s="2"/>
      <c r="G145" s="2"/>
      <c r="H145" s="2"/>
      <c r="I145" s="2"/>
      <c r="J145" s="2"/>
      <c r="K145" s="2"/>
      <c r="L145" s="2">
        <v>1536.9499999999998</v>
      </c>
      <c r="M145" t="s">
        <v>4400</v>
      </c>
      <c r="N145" t="s">
        <v>4407</v>
      </c>
    </row>
    <row r="146" spans="1:14" x14ac:dyDescent="0.4">
      <c r="A146" t="s">
        <v>428</v>
      </c>
      <c r="B146" t="s">
        <v>429</v>
      </c>
      <c r="C146" t="s">
        <v>423</v>
      </c>
      <c r="D146" t="s">
        <v>430</v>
      </c>
      <c r="E146" s="2">
        <v>4966.0999999999995</v>
      </c>
      <c r="F146" s="2">
        <v>5330.6</v>
      </c>
      <c r="G146" s="2">
        <v>5087.6000000000004</v>
      </c>
      <c r="H146" s="2">
        <v>6682.2000000000007</v>
      </c>
      <c r="I146" s="2">
        <v>2657.6999999999994</v>
      </c>
      <c r="J146" s="2">
        <v>4085.2999999999993</v>
      </c>
      <c r="K146" s="2">
        <v>2946.2499999999995</v>
      </c>
      <c r="L146" s="2">
        <v>31755.749999999971</v>
      </c>
      <c r="M146" t="s">
        <v>4400</v>
      </c>
      <c r="N146" t="s">
        <v>4400</v>
      </c>
    </row>
    <row r="147" spans="1:14" x14ac:dyDescent="0.4">
      <c r="A147" t="s">
        <v>431</v>
      </c>
      <c r="B147" t="s">
        <v>432</v>
      </c>
      <c r="C147" t="s">
        <v>433</v>
      </c>
      <c r="D147" t="s">
        <v>434</v>
      </c>
      <c r="E147" s="2">
        <v>3912.1499999999992</v>
      </c>
      <c r="F147" s="2">
        <v>2618.2000000000003</v>
      </c>
      <c r="G147" s="2">
        <v>3990.3099999999995</v>
      </c>
      <c r="H147" s="2">
        <v>5300.2900000000009</v>
      </c>
      <c r="I147" s="2">
        <v>4419.42</v>
      </c>
      <c r="J147" s="2">
        <v>5087.6399999999994</v>
      </c>
      <c r="K147" s="2">
        <v>1753.9599999999996</v>
      </c>
      <c r="L147" s="2">
        <v>27081.969999999968</v>
      </c>
      <c r="M147" t="s">
        <v>4400</v>
      </c>
      <c r="N147" t="s">
        <v>4400</v>
      </c>
    </row>
    <row r="148" spans="1:14" x14ac:dyDescent="0.4">
      <c r="A148" t="s">
        <v>435</v>
      </c>
      <c r="B148" t="s">
        <v>436</v>
      </c>
      <c r="C148" t="s">
        <v>437</v>
      </c>
      <c r="D148" t="s">
        <v>438</v>
      </c>
      <c r="E148" s="2">
        <v>4434.5700000000006</v>
      </c>
      <c r="F148" s="2">
        <v>4124.68</v>
      </c>
      <c r="G148" s="2">
        <v>4091.3200000000006</v>
      </c>
      <c r="H148" s="2">
        <v>4865.8400000000011</v>
      </c>
      <c r="I148" s="2">
        <v>5251.5800000000008</v>
      </c>
      <c r="J148" s="2">
        <v>3489.96</v>
      </c>
      <c r="K148" s="2">
        <v>2360.0500000000002</v>
      </c>
      <c r="L148" s="2">
        <v>28617.999999999949</v>
      </c>
      <c r="M148" t="s">
        <v>4400</v>
      </c>
      <c r="N148" t="s">
        <v>4400</v>
      </c>
    </row>
    <row r="149" spans="1:14" x14ac:dyDescent="0.4">
      <c r="A149" t="s">
        <v>439</v>
      </c>
      <c r="B149" t="s">
        <v>440</v>
      </c>
      <c r="C149" t="s">
        <v>437</v>
      </c>
      <c r="D149" t="s">
        <v>438</v>
      </c>
      <c r="E149" s="2">
        <v>3101.2000000000003</v>
      </c>
      <c r="F149" s="2">
        <v>1464.0800000000002</v>
      </c>
      <c r="G149" s="2">
        <v>756.33</v>
      </c>
      <c r="H149" s="2"/>
      <c r="I149" s="2"/>
      <c r="J149" s="2"/>
      <c r="K149" s="2"/>
      <c r="L149" s="2">
        <v>5321.6099999999988</v>
      </c>
      <c r="M149" t="s">
        <v>4400</v>
      </c>
      <c r="N149" t="s">
        <v>4403</v>
      </c>
    </row>
    <row r="150" spans="1:14" x14ac:dyDescent="0.4">
      <c r="A150" t="s">
        <v>441</v>
      </c>
      <c r="B150" t="s">
        <v>442</v>
      </c>
      <c r="C150" t="s">
        <v>437</v>
      </c>
      <c r="D150" t="s">
        <v>438</v>
      </c>
      <c r="E150" s="2">
        <v>4103.53</v>
      </c>
      <c r="F150" s="2">
        <v>3808.9199999999992</v>
      </c>
      <c r="G150" s="2">
        <v>3055.6599999999994</v>
      </c>
      <c r="H150" s="2">
        <v>4012.4199999999996</v>
      </c>
      <c r="I150" s="2">
        <v>3520.36</v>
      </c>
      <c r="J150" s="2">
        <v>3395.84</v>
      </c>
      <c r="K150" s="2">
        <v>1032.73</v>
      </c>
      <c r="L150" s="2">
        <v>22929.460000000003</v>
      </c>
      <c r="M150" t="s">
        <v>4400</v>
      </c>
      <c r="N150" t="s">
        <v>4400</v>
      </c>
    </row>
    <row r="151" spans="1:14" x14ac:dyDescent="0.4">
      <c r="A151" t="s">
        <v>443</v>
      </c>
      <c r="B151" t="s">
        <v>444</v>
      </c>
      <c r="C151" t="s">
        <v>437</v>
      </c>
      <c r="D151" t="s">
        <v>438</v>
      </c>
      <c r="E151" s="2">
        <v>8059.5199999999986</v>
      </c>
      <c r="F151" s="2">
        <v>6121.7400000000007</v>
      </c>
      <c r="G151" s="2">
        <v>5474.0999999999985</v>
      </c>
      <c r="H151" s="2">
        <v>5985.5299999999988</v>
      </c>
      <c r="I151" s="2">
        <v>8912.76</v>
      </c>
      <c r="J151" s="2">
        <v>6992.97</v>
      </c>
      <c r="K151" s="2">
        <v>3163.6700000000005</v>
      </c>
      <c r="L151" s="2">
        <v>44710.290000000045</v>
      </c>
      <c r="M151" t="s">
        <v>4400</v>
      </c>
      <c r="N151" t="s">
        <v>4400</v>
      </c>
    </row>
    <row r="152" spans="1:14" x14ac:dyDescent="0.4">
      <c r="A152" t="s">
        <v>445</v>
      </c>
      <c r="B152" t="s">
        <v>446</v>
      </c>
      <c r="C152" t="s">
        <v>447</v>
      </c>
      <c r="D152" t="s">
        <v>448</v>
      </c>
      <c r="E152" s="2">
        <v>2226.4399999999996</v>
      </c>
      <c r="F152" s="2">
        <v>2347.92</v>
      </c>
      <c r="G152" s="2">
        <v>2985.7700000000009</v>
      </c>
      <c r="H152" s="2">
        <v>1533.9</v>
      </c>
      <c r="I152" s="2">
        <v>2347.9299999999998</v>
      </c>
      <c r="J152" s="2">
        <v>2326.6499999999996</v>
      </c>
      <c r="K152" s="2">
        <v>786.69999999999993</v>
      </c>
      <c r="L152" s="2">
        <v>14555.309999999985</v>
      </c>
      <c r="M152" t="s">
        <v>4400</v>
      </c>
      <c r="N152" t="s">
        <v>4400</v>
      </c>
    </row>
    <row r="153" spans="1:14" x14ac:dyDescent="0.4">
      <c r="A153" t="s">
        <v>449</v>
      </c>
      <c r="B153" t="s">
        <v>450</v>
      </c>
      <c r="C153" t="s">
        <v>447</v>
      </c>
      <c r="D153" t="s">
        <v>451</v>
      </c>
      <c r="E153" s="2">
        <v>4094.5000000000014</v>
      </c>
      <c r="F153" s="2">
        <v>3754.3400000000011</v>
      </c>
      <c r="G153" s="2">
        <v>4717.119999999999</v>
      </c>
      <c r="H153" s="2">
        <v>759.33999999999992</v>
      </c>
      <c r="I153" s="2"/>
      <c r="J153" s="2"/>
      <c r="K153" s="2"/>
      <c r="L153" s="2">
        <v>13325.299999999994</v>
      </c>
      <c r="M153" t="s">
        <v>4400</v>
      </c>
      <c r="N153" t="s">
        <v>4402</v>
      </c>
    </row>
    <row r="154" spans="1:14" x14ac:dyDescent="0.4">
      <c r="A154" t="s">
        <v>452</v>
      </c>
      <c r="B154" t="s">
        <v>453</v>
      </c>
      <c r="C154" t="s">
        <v>447</v>
      </c>
      <c r="D154" t="s">
        <v>448</v>
      </c>
      <c r="E154" s="2">
        <v>1509.62</v>
      </c>
      <c r="F154" s="2">
        <v>2423.869999999999</v>
      </c>
      <c r="G154" s="2">
        <v>1758.6499999999999</v>
      </c>
      <c r="H154" s="2">
        <v>1895.3400000000001</v>
      </c>
      <c r="I154" s="2">
        <v>3225.7300000000005</v>
      </c>
      <c r="J154" s="2">
        <v>2275.0300000000002</v>
      </c>
      <c r="K154" s="2">
        <v>1673.6199999999997</v>
      </c>
      <c r="L154" s="2">
        <v>14761.859999999981</v>
      </c>
      <c r="M154" t="s">
        <v>4400</v>
      </c>
      <c r="N154" t="s">
        <v>4400</v>
      </c>
    </row>
    <row r="155" spans="1:14" x14ac:dyDescent="0.4">
      <c r="A155" t="s">
        <v>454</v>
      </c>
      <c r="B155" t="s">
        <v>455</v>
      </c>
      <c r="C155" t="s">
        <v>447</v>
      </c>
      <c r="D155" t="s">
        <v>451</v>
      </c>
      <c r="E155" s="2">
        <v>2712.5</v>
      </c>
      <c r="F155" s="2">
        <v>2621.3900000000003</v>
      </c>
      <c r="G155" s="2">
        <v>2660.85</v>
      </c>
      <c r="H155" s="2">
        <v>5234.17</v>
      </c>
      <c r="I155" s="2">
        <v>7390.11</v>
      </c>
      <c r="J155" s="2">
        <v>3903.2300000000005</v>
      </c>
      <c r="K155" s="2">
        <v>777.6</v>
      </c>
      <c r="L155" s="2">
        <v>25299.849999999995</v>
      </c>
      <c r="M155" t="s">
        <v>4400</v>
      </c>
      <c r="N155" t="s">
        <v>4400</v>
      </c>
    </row>
    <row r="156" spans="1:14" x14ac:dyDescent="0.4">
      <c r="A156" t="s">
        <v>456</v>
      </c>
      <c r="B156" t="s">
        <v>457</v>
      </c>
      <c r="C156" t="s">
        <v>447</v>
      </c>
      <c r="D156" t="s">
        <v>448</v>
      </c>
      <c r="E156" s="2">
        <v>13185.799999999997</v>
      </c>
      <c r="F156" s="2">
        <v>14087.939999999999</v>
      </c>
      <c r="G156" s="2">
        <v>16627.259999999995</v>
      </c>
      <c r="H156" s="2">
        <v>13480.39</v>
      </c>
      <c r="I156" s="2">
        <v>12092.280000000002</v>
      </c>
      <c r="J156" s="2">
        <v>15977.239999999993</v>
      </c>
      <c r="K156" s="2">
        <v>6992.34</v>
      </c>
      <c r="L156" s="2">
        <v>92443.250000000029</v>
      </c>
      <c r="M156" t="s">
        <v>4400</v>
      </c>
      <c r="N156" t="s">
        <v>4400</v>
      </c>
    </row>
    <row r="157" spans="1:14" x14ac:dyDescent="0.4">
      <c r="A157" t="s">
        <v>458</v>
      </c>
      <c r="B157" t="s">
        <v>459</v>
      </c>
      <c r="C157" t="s">
        <v>447</v>
      </c>
      <c r="D157" t="s">
        <v>448</v>
      </c>
      <c r="E157" s="2">
        <v>2375.3000000000002</v>
      </c>
      <c r="F157" s="2">
        <v>2287.21</v>
      </c>
      <c r="G157" s="2">
        <v>3143.7700000000004</v>
      </c>
      <c r="H157" s="2">
        <v>2672.9500000000003</v>
      </c>
      <c r="I157" s="2">
        <v>2554.5100000000002</v>
      </c>
      <c r="J157" s="2">
        <v>2341.89</v>
      </c>
      <c r="K157" s="2"/>
      <c r="L157" s="2">
        <v>15375.629999999986</v>
      </c>
      <c r="M157" t="s">
        <v>4400</v>
      </c>
      <c r="N157" t="s">
        <v>4406</v>
      </c>
    </row>
    <row r="158" spans="1:14" x14ac:dyDescent="0.4">
      <c r="A158" t="s">
        <v>460</v>
      </c>
      <c r="B158" t="s">
        <v>461</v>
      </c>
      <c r="C158" t="s">
        <v>462</v>
      </c>
      <c r="D158" t="s">
        <v>463</v>
      </c>
      <c r="E158" s="2">
        <v>1840.6499999999999</v>
      </c>
      <c r="F158" s="2"/>
      <c r="G158" s="2"/>
      <c r="H158" s="2"/>
      <c r="I158" s="2"/>
      <c r="J158" s="2"/>
      <c r="K158" s="2"/>
      <c r="L158" s="2">
        <v>1840.6499999999999</v>
      </c>
      <c r="M158" t="s">
        <v>4400</v>
      </c>
      <c r="N158" t="s">
        <v>4407</v>
      </c>
    </row>
    <row r="159" spans="1:14" x14ac:dyDescent="0.4">
      <c r="A159" t="s">
        <v>464</v>
      </c>
      <c r="B159" t="s">
        <v>465</v>
      </c>
      <c r="C159" t="s">
        <v>27</v>
      </c>
      <c r="D159" t="s">
        <v>466</v>
      </c>
      <c r="E159" s="2">
        <v>4531.7700000000004</v>
      </c>
      <c r="F159" s="2">
        <v>4443.71</v>
      </c>
      <c r="G159" s="2">
        <v>3711.73</v>
      </c>
      <c r="H159" s="2">
        <v>3702.6100000000006</v>
      </c>
      <c r="I159" s="2">
        <v>4714.0300000000007</v>
      </c>
      <c r="J159" s="2">
        <v>1044.8300000000002</v>
      </c>
      <c r="K159" s="2">
        <v>1749.54</v>
      </c>
      <c r="L159" s="2">
        <v>23898.219999999936</v>
      </c>
      <c r="M159" t="s">
        <v>4400</v>
      </c>
      <c r="N159" t="s">
        <v>4400</v>
      </c>
    </row>
    <row r="160" spans="1:14" x14ac:dyDescent="0.4">
      <c r="A160" t="s">
        <v>467</v>
      </c>
      <c r="B160" t="s">
        <v>468</v>
      </c>
      <c r="C160" t="s">
        <v>31</v>
      </c>
      <c r="D160" t="s">
        <v>32</v>
      </c>
      <c r="E160" s="2">
        <v>4534.82</v>
      </c>
      <c r="F160" s="2">
        <v>3881.8799999999983</v>
      </c>
      <c r="G160" s="2">
        <v>4033.7699999999986</v>
      </c>
      <c r="H160" s="2">
        <v>4711.1099999999988</v>
      </c>
      <c r="I160" s="2">
        <v>4768.7999999999975</v>
      </c>
      <c r="J160" s="2">
        <v>3863.6599999999994</v>
      </c>
      <c r="K160" s="2">
        <v>2156.59</v>
      </c>
      <c r="L160" s="2">
        <v>27950.630000000037</v>
      </c>
      <c r="M160" t="s">
        <v>4400</v>
      </c>
      <c r="N160" t="s">
        <v>4400</v>
      </c>
    </row>
    <row r="161" spans="1:14" x14ac:dyDescent="0.4">
      <c r="A161" t="s">
        <v>469</v>
      </c>
      <c r="B161" t="s">
        <v>470</v>
      </c>
      <c r="C161" t="s">
        <v>31</v>
      </c>
      <c r="D161" t="s">
        <v>471</v>
      </c>
      <c r="E161" s="2">
        <v>5397.45</v>
      </c>
      <c r="F161" s="2">
        <v>3401.85</v>
      </c>
      <c r="G161" s="2">
        <v>5801.3499999999995</v>
      </c>
      <c r="H161" s="2">
        <v>7180.35</v>
      </c>
      <c r="I161" s="2">
        <v>3052.5599999999995</v>
      </c>
      <c r="J161" s="2">
        <v>3757.2399999999993</v>
      </c>
      <c r="K161" s="2">
        <v>2514.9</v>
      </c>
      <c r="L161" s="2">
        <v>31105.699999999986</v>
      </c>
      <c r="M161" t="s">
        <v>4400</v>
      </c>
      <c r="N161" t="s">
        <v>4400</v>
      </c>
    </row>
    <row r="162" spans="1:14" x14ac:dyDescent="0.4">
      <c r="A162" t="s">
        <v>472</v>
      </c>
      <c r="B162" t="s">
        <v>473</v>
      </c>
      <c r="C162" t="s">
        <v>31</v>
      </c>
      <c r="D162" t="s">
        <v>474</v>
      </c>
      <c r="E162" s="2">
        <v>3578.0499999999997</v>
      </c>
      <c r="F162" s="2">
        <v>3799.7599999999998</v>
      </c>
      <c r="G162" s="2">
        <v>3878.7200000000003</v>
      </c>
      <c r="H162" s="2">
        <v>3638.7800000000007</v>
      </c>
      <c r="I162" s="2">
        <v>4416.34</v>
      </c>
      <c r="J162" s="2">
        <v>3720.7999999999993</v>
      </c>
      <c r="K162" s="2">
        <v>1883.1799999999996</v>
      </c>
      <c r="L162" s="2">
        <v>24915.629999999986</v>
      </c>
      <c r="M162" t="s">
        <v>4400</v>
      </c>
      <c r="N162" t="s">
        <v>4400</v>
      </c>
    </row>
    <row r="163" spans="1:14" x14ac:dyDescent="0.4">
      <c r="A163" t="s">
        <v>475</v>
      </c>
      <c r="B163" t="s">
        <v>476</v>
      </c>
      <c r="C163" t="s">
        <v>31</v>
      </c>
      <c r="D163" t="s">
        <v>477</v>
      </c>
      <c r="E163" s="2">
        <v>1102.56</v>
      </c>
      <c r="F163" s="2"/>
      <c r="G163" s="2"/>
      <c r="H163" s="2">
        <v>820.0999999999998</v>
      </c>
      <c r="I163" s="2"/>
      <c r="J163" s="2"/>
      <c r="K163" s="2"/>
      <c r="L163" s="2">
        <v>1922.66</v>
      </c>
      <c r="M163" t="s">
        <v>4400</v>
      </c>
      <c r="N163" t="s">
        <v>4402</v>
      </c>
    </row>
    <row r="164" spans="1:14" x14ac:dyDescent="0.4">
      <c r="A164" t="s">
        <v>478</v>
      </c>
      <c r="B164" t="s">
        <v>479</v>
      </c>
      <c r="C164" t="s">
        <v>13</v>
      </c>
      <c r="D164" t="s">
        <v>14</v>
      </c>
      <c r="E164" s="2">
        <v>6828.4900000000016</v>
      </c>
      <c r="F164" s="2">
        <v>3037.74</v>
      </c>
      <c r="G164" s="2">
        <v>3256.1899999999996</v>
      </c>
      <c r="H164" s="2">
        <v>1721.8999999999996</v>
      </c>
      <c r="I164" s="2">
        <v>3849.86</v>
      </c>
      <c r="J164" s="2">
        <v>3207.3599999999997</v>
      </c>
      <c r="K164" s="2">
        <v>1950.63</v>
      </c>
      <c r="L164" s="2">
        <v>23852.170000000024</v>
      </c>
      <c r="M164" t="s">
        <v>4400</v>
      </c>
      <c r="N164" t="s">
        <v>4400</v>
      </c>
    </row>
    <row r="165" spans="1:14" x14ac:dyDescent="0.4">
      <c r="A165" t="s">
        <v>480</v>
      </c>
      <c r="B165" t="s">
        <v>481</v>
      </c>
      <c r="C165" t="s">
        <v>1</v>
      </c>
      <c r="D165" t="s">
        <v>2</v>
      </c>
      <c r="E165" s="2">
        <v>6989.2099999999955</v>
      </c>
      <c r="F165" s="2">
        <v>5412.78</v>
      </c>
      <c r="G165" s="2">
        <v>1187.6599999999999</v>
      </c>
      <c r="H165" s="2">
        <v>4115.78</v>
      </c>
      <c r="I165" s="2">
        <v>5813.7199999999975</v>
      </c>
      <c r="J165" s="2">
        <v>2830.92</v>
      </c>
      <c r="K165" s="2">
        <v>2751.94</v>
      </c>
      <c r="L165" s="2">
        <v>29102.009999999991</v>
      </c>
      <c r="M165" t="s">
        <v>4400</v>
      </c>
      <c r="N165" t="s">
        <v>4400</v>
      </c>
    </row>
    <row r="166" spans="1:14" x14ac:dyDescent="0.4">
      <c r="A166" t="s">
        <v>482</v>
      </c>
      <c r="B166" t="s">
        <v>483</v>
      </c>
      <c r="C166" t="s">
        <v>163</v>
      </c>
      <c r="D166" t="s">
        <v>164</v>
      </c>
      <c r="E166" s="2"/>
      <c r="F166" s="2"/>
      <c r="G166" s="2"/>
      <c r="H166" s="2"/>
      <c r="I166" s="2">
        <v>807.95</v>
      </c>
      <c r="J166" s="2"/>
      <c r="K166" s="2"/>
      <c r="L166" s="2">
        <v>807.95</v>
      </c>
      <c r="M166" t="s">
        <v>4408</v>
      </c>
      <c r="N166" t="s">
        <v>4401</v>
      </c>
    </row>
    <row r="167" spans="1:14" x14ac:dyDescent="0.4">
      <c r="A167" t="s">
        <v>484</v>
      </c>
      <c r="B167" t="s">
        <v>485</v>
      </c>
      <c r="C167" t="s">
        <v>291</v>
      </c>
      <c r="D167" t="s">
        <v>295</v>
      </c>
      <c r="E167" s="2"/>
      <c r="F167" s="2"/>
      <c r="G167" s="2"/>
      <c r="H167" s="2">
        <v>725.9</v>
      </c>
      <c r="I167" s="2">
        <v>2177.7000000000003</v>
      </c>
      <c r="J167" s="2">
        <v>2198.98</v>
      </c>
      <c r="K167" s="2">
        <v>1463.96</v>
      </c>
      <c r="L167" s="2">
        <v>6566.5399999999963</v>
      </c>
      <c r="M167" t="s">
        <v>4409</v>
      </c>
      <c r="N167" t="s">
        <v>4400</v>
      </c>
    </row>
    <row r="168" spans="1:14" x14ac:dyDescent="0.4">
      <c r="A168" t="s">
        <v>486</v>
      </c>
      <c r="B168" t="s">
        <v>340</v>
      </c>
      <c r="C168" t="s">
        <v>337</v>
      </c>
      <c r="D168" t="s">
        <v>487</v>
      </c>
      <c r="E168" s="2">
        <v>2967.62</v>
      </c>
      <c r="F168" s="2">
        <v>4118.8500000000004</v>
      </c>
      <c r="G168" s="2">
        <v>4219.05</v>
      </c>
      <c r="H168" s="2">
        <v>6163.03</v>
      </c>
      <c r="I168" s="2">
        <v>4331.47</v>
      </c>
      <c r="J168" s="2">
        <v>4468.119999999999</v>
      </c>
      <c r="K168" s="2">
        <v>1971.3400000000001</v>
      </c>
      <c r="L168" s="2">
        <v>28239.479999999996</v>
      </c>
      <c r="M168" t="s">
        <v>4400</v>
      </c>
      <c r="N168" t="s">
        <v>4400</v>
      </c>
    </row>
    <row r="169" spans="1:14" x14ac:dyDescent="0.4">
      <c r="A169" t="s">
        <v>488</v>
      </c>
      <c r="B169" t="s">
        <v>489</v>
      </c>
      <c r="C169" t="s">
        <v>96</v>
      </c>
      <c r="D169" t="s">
        <v>97</v>
      </c>
      <c r="E169" s="2">
        <v>1509.6100000000001</v>
      </c>
      <c r="F169" s="2">
        <v>3404.9799999999996</v>
      </c>
      <c r="G169" s="2">
        <v>3180.2499999999995</v>
      </c>
      <c r="H169" s="2">
        <v>3781.65</v>
      </c>
      <c r="I169" s="2">
        <v>3356.3799999999997</v>
      </c>
      <c r="J169" s="2">
        <v>798.82999999999981</v>
      </c>
      <c r="K169" s="2"/>
      <c r="L169" s="2">
        <v>16031.699999999983</v>
      </c>
      <c r="M169" t="s">
        <v>4400</v>
      </c>
      <c r="N169" t="s">
        <v>4406</v>
      </c>
    </row>
    <row r="170" spans="1:14" x14ac:dyDescent="0.4">
      <c r="A170" t="s">
        <v>490</v>
      </c>
      <c r="B170" t="s">
        <v>491</v>
      </c>
      <c r="C170" t="s">
        <v>96</v>
      </c>
      <c r="D170" t="s">
        <v>97</v>
      </c>
      <c r="E170" s="2">
        <v>2996.6200000000008</v>
      </c>
      <c r="F170" s="2">
        <v>3132.83</v>
      </c>
      <c r="G170" s="2">
        <v>3965.5099999999989</v>
      </c>
      <c r="H170" s="2">
        <v>3950.0899999999979</v>
      </c>
      <c r="I170" s="2">
        <v>2454.35</v>
      </c>
      <c r="J170" s="2">
        <v>2909.24</v>
      </c>
      <c r="K170" s="2">
        <v>1503.45</v>
      </c>
      <c r="L170" s="2">
        <v>20912.090000000018</v>
      </c>
      <c r="M170" t="s">
        <v>4400</v>
      </c>
      <c r="N170" t="s">
        <v>4400</v>
      </c>
    </row>
    <row r="171" spans="1:14" x14ac:dyDescent="0.4">
      <c r="A171" t="s">
        <v>492</v>
      </c>
      <c r="B171" t="s">
        <v>493</v>
      </c>
      <c r="C171" t="s">
        <v>5</v>
      </c>
      <c r="D171" t="s">
        <v>56</v>
      </c>
      <c r="E171" s="2">
        <v>5418.7800000000007</v>
      </c>
      <c r="F171" s="2">
        <v>7171.3500000000013</v>
      </c>
      <c r="G171" s="2">
        <v>7004.3000000000011</v>
      </c>
      <c r="H171" s="2">
        <v>10126.750000000004</v>
      </c>
      <c r="I171" s="2">
        <v>6478.86</v>
      </c>
      <c r="J171" s="2">
        <v>6132.6200000000017</v>
      </c>
      <c r="K171" s="2">
        <v>3730.0200000000009</v>
      </c>
      <c r="L171" s="2">
        <v>46062.679999999993</v>
      </c>
      <c r="M171" t="s">
        <v>4400</v>
      </c>
      <c r="N171" t="s">
        <v>4400</v>
      </c>
    </row>
    <row r="172" spans="1:14" x14ac:dyDescent="0.4">
      <c r="A172" t="s">
        <v>494</v>
      </c>
      <c r="B172" t="s">
        <v>495</v>
      </c>
      <c r="C172" t="s">
        <v>496</v>
      </c>
      <c r="D172" t="s">
        <v>497</v>
      </c>
      <c r="E172" s="2">
        <v>7827.5999999999985</v>
      </c>
      <c r="F172" s="2">
        <v>5667.9099999999971</v>
      </c>
      <c r="G172" s="2">
        <v>5731.71</v>
      </c>
      <c r="H172" s="2">
        <v>6925.43</v>
      </c>
      <c r="I172" s="2">
        <v>5683.0900000000011</v>
      </c>
      <c r="J172" s="2">
        <v>4938.9100000000017</v>
      </c>
      <c r="K172" s="2">
        <v>3726.9900000000002</v>
      </c>
      <c r="L172" s="2">
        <v>40501.64</v>
      </c>
      <c r="M172" t="s">
        <v>4400</v>
      </c>
      <c r="N172" t="s">
        <v>4400</v>
      </c>
    </row>
    <row r="173" spans="1:14" x14ac:dyDescent="0.4">
      <c r="A173" t="s">
        <v>498</v>
      </c>
      <c r="B173" t="s">
        <v>499</v>
      </c>
      <c r="C173" t="s">
        <v>60</v>
      </c>
      <c r="D173" t="s">
        <v>61</v>
      </c>
      <c r="E173" s="2">
        <v>2730.6999999999994</v>
      </c>
      <c r="F173" s="2">
        <v>3878.87</v>
      </c>
      <c r="G173" s="2">
        <v>990.21999999999991</v>
      </c>
      <c r="H173" s="2"/>
      <c r="I173" s="2"/>
      <c r="J173" s="2"/>
      <c r="K173" s="2"/>
      <c r="L173" s="2">
        <v>7599.79</v>
      </c>
      <c r="M173" t="s">
        <v>4400</v>
      </c>
      <c r="N173" t="s">
        <v>4403</v>
      </c>
    </row>
    <row r="174" spans="1:14" x14ac:dyDescent="0.4">
      <c r="A174" t="s">
        <v>500</v>
      </c>
      <c r="B174" t="s">
        <v>343</v>
      </c>
      <c r="C174" t="s">
        <v>337</v>
      </c>
      <c r="D174" t="s">
        <v>344</v>
      </c>
      <c r="E174" s="2">
        <v>4203.8899999999994</v>
      </c>
      <c r="F174" s="2">
        <v>3787.82</v>
      </c>
      <c r="G174" s="2"/>
      <c r="H174" s="2"/>
      <c r="I174" s="2"/>
      <c r="J174" s="2"/>
      <c r="K174" s="2"/>
      <c r="L174" s="2">
        <v>7991.7099999999991</v>
      </c>
      <c r="M174" t="s">
        <v>4400</v>
      </c>
      <c r="N174" t="s">
        <v>4410</v>
      </c>
    </row>
    <row r="175" spans="1:14" x14ac:dyDescent="0.4">
      <c r="A175" t="s">
        <v>501</v>
      </c>
      <c r="B175" t="s">
        <v>502</v>
      </c>
      <c r="C175" t="s">
        <v>310</v>
      </c>
      <c r="D175" t="s">
        <v>314</v>
      </c>
      <c r="E175" s="2">
        <v>2909.2399999999993</v>
      </c>
      <c r="F175" s="2"/>
      <c r="G175" s="2"/>
      <c r="H175" s="2">
        <v>1570.2699999999998</v>
      </c>
      <c r="I175" s="2">
        <v>2292.4399999999996</v>
      </c>
      <c r="J175" s="2">
        <v>3184.2299999999996</v>
      </c>
      <c r="K175" s="2">
        <v>1570.2699999999995</v>
      </c>
      <c r="L175" s="2">
        <v>11526.450000000035</v>
      </c>
      <c r="M175" t="s">
        <v>4400</v>
      </c>
      <c r="N175" t="s">
        <v>4400</v>
      </c>
    </row>
    <row r="176" spans="1:14" x14ac:dyDescent="0.4">
      <c r="A176" t="s">
        <v>503</v>
      </c>
      <c r="B176" t="s">
        <v>504</v>
      </c>
      <c r="C176" t="s">
        <v>291</v>
      </c>
      <c r="D176" t="s">
        <v>295</v>
      </c>
      <c r="E176" s="2">
        <v>7280.52</v>
      </c>
      <c r="F176" s="2">
        <v>6363.2500000000009</v>
      </c>
      <c r="G176" s="2">
        <v>2117.0499999999997</v>
      </c>
      <c r="H176" s="2">
        <v>2934.0899999999997</v>
      </c>
      <c r="I176" s="2">
        <v>3286.4000000000005</v>
      </c>
      <c r="J176" s="2"/>
      <c r="K176" s="2"/>
      <c r="L176" s="2">
        <v>21981.309999999987</v>
      </c>
      <c r="M176" t="s">
        <v>4400</v>
      </c>
      <c r="N176" t="s">
        <v>4401</v>
      </c>
    </row>
    <row r="177" spans="1:14" x14ac:dyDescent="0.4">
      <c r="A177" t="s">
        <v>505</v>
      </c>
      <c r="B177" t="s">
        <v>506</v>
      </c>
      <c r="C177" t="s">
        <v>1</v>
      </c>
      <c r="D177" t="s">
        <v>507</v>
      </c>
      <c r="E177" s="2"/>
      <c r="F177" s="2"/>
      <c r="G177" s="2">
        <v>1448.88</v>
      </c>
      <c r="H177" s="2">
        <v>5974.64</v>
      </c>
      <c r="I177" s="2">
        <v>4993.5000000000009</v>
      </c>
      <c r="J177" s="2">
        <v>4972.16</v>
      </c>
      <c r="K177" s="2"/>
      <c r="L177" s="2">
        <v>17389.179999999989</v>
      </c>
      <c r="M177" t="s">
        <v>4411</v>
      </c>
      <c r="N177" t="s">
        <v>4406</v>
      </c>
    </row>
    <row r="178" spans="1:14" x14ac:dyDescent="0.4">
      <c r="A178" t="s">
        <v>508</v>
      </c>
      <c r="B178" t="s">
        <v>509</v>
      </c>
      <c r="C178" t="s">
        <v>1</v>
      </c>
      <c r="D178" t="s">
        <v>85</v>
      </c>
      <c r="E178" s="2">
        <v>1011.52</v>
      </c>
      <c r="F178" s="2">
        <v>3083.059999999999</v>
      </c>
      <c r="G178" s="2">
        <v>2639.51</v>
      </c>
      <c r="H178" s="2"/>
      <c r="I178" s="2"/>
      <c r="J178" s="2"/>
      <c r="K178" s="2"/>
      <c r="L178" s="2">
        <v>6734.0899999999965</v>
      </c>
      <c r="M178" t="s">
        <v>4400</v>
      </c>
      <c r="N178" t="s">
        <v>4403</v>
      </c>
    </row>
    <row r="179" spans="1:14" x14ac:dyDescent="0.4">
      <c r="A179" t="s">
        <v>510</v>
      </c>
      <c r="B179" t="s">
        <v>511</v>
      </c>
      <c r="C179" t="s">
        <v>437</v>
      </c>
      <c r="D179" t="s">
        <v>512</v>
      </c>
      <c r="E179" s="2">
        <v>4054.9999999999991</v>
      </c>
      <c r="F179" s="2">
        <v>3520.4099999999994</v>
      </c>
      <c r="G179" s="2">
        <v>2697.27</v>
      </c>
      <c r="H179" s="2">
        <v>3499.2200000000003</v>
      </c>
      <c r="I179" s="2">
        <v>5819.84</v>
      </c>
      <c r="J179" s="2">
        <v>4389.1500000000005</v>
      </c>
      <c r="K179" s="2">
        <v>2618.2799999999997</v>
      </c>
      <c r="L179" s="2">
        <v>26599.169999999995</v>
      </c>
      <c r="M179" t="s">
        <v>4400</v>
      </c>
      <c r="N179" t="s">
        <v>4400</v>
      </c>
    </row>
    <row r="180" spans="1:14" x14ac:dyDescent="0.4">
      <c r="A180" t="s">
        <v>513</v>
      </c>
      <c r="B180" t="s">
        <v>514</v>
      </c>
      <c r="C180" t="s">
        <v>447</v>
      </c>
      <c r="D180" t="s">
        <v>515</v>
      </c>
      <c r="E180" s="2">
        <v>5063.4100000000008</v>
      </c>
      <c r="F180" s="2">
        <v>5060.4199999999983</v>
      </c>
      <c r="G180" s="2">
        <v>7526.8399999999974</v>
      </c>
      <c r="H180" s="2">
        <v>5941.2799999999979</v>
      </c>
      <c r="I180" s="2">
        <v>5528.1799999999985</v>
      </c>
      <c r="J180" s="2">
        <v>5995.97</v>
      </c>
      <c r="K180" s="2">
        <v>2505.8999999999996</v>
      </c>
      <c r="L180" s="2">
        <v>37622.000000000044</v>
      </c>
      <c r="M180" t="s">
        <v>4400</v>
      </c>
      <c r="N180" t="s">
        <v>4400</v>
      </c>
    </row>
    <row r="181" spans="1:14" x14ac:dyDescent="0.4">
      <c r="A181" t="s">
        <v>516</v>
      </c>
      <c r="B181" t="s">
        <v>517</v>
      </c>
      <c r="C181" t="s">
        <v>267</v>
      </c>
      <c r="D181" t="s">
        <v>518</v>
      </c>
      <c r="E181" s="2">
        <v>11609.089999999993</v>
      </c>
      <c r="F181" s="2">
        <v>8382.2899999999991</v>
      </c>
      <c r="G181" s="2">
        <v>8941.029999999997</v>
      </c>
      <c r="H181" s="2">
        <v>12551.880000000006</v>
      </c>
      <c r="I181" s="2">
        <v>9416.4799999999977</v>
      </c>
      <c r="J181" s="2">
        <v>9303.399999999996</v>
      </c>
      <c r="K181" s="2">
        <v>5804.5999999999995</v>
      </c>
      <c r="L181" s="2">
        <v>66008.770000000106</v>
      </c>
      <c r="M181" t="s">
        <v>4400</v>
      </c>
      <c r="N181" t="s">
        <v>4400</v>
      </c>
    </row>
    <row r="182" spans="1:14" x14ac:dyDescent="0.4">
      <c r="A182" t="s">
        <v>519</v>
      </c>
      <c r="B182" t="s">
        <v>520</v>
      </c>
      <c r="C182" t="s">
        <v>113</v>
      </c>
      <c r="D182" t="s">
        <v>117</v>
      </c>
      <c r="E182" s="2">
        <v>5983.5700000000015</v>
      </c>
      <c r="F182" s="2">
        <v>2196.0199999999995</v>
      </c>
      <c r="G182" s="2">
        <v>4972.13</v>
      </c>
      <c r="H182" s="2">
        <v>4398.12</v>
      </c>
      <c r="I182" s="2">
        <v>6961.6500000000015</v>
      </c>
      <c r="J182" s="2">
        <v>5534.090000000002</v>
      </c>
      <c r="K182" s="2">
        <v>2132.2200000000003</v>
      </c>
      <c r="L182" s="2">
        <v>32177.799999999974</v>
      </c>
      <c r="M182" t="s">
        <v>4400</v>
      </c>
      <c r="N182" t="s">
        <v>4400</v>
      </c>
    </row>
    <row r="183" spans="1:14" x14ac:dyDescent="0.4">
      <c r="A183" t="s">
        <v>521</v>
      </c>
      <c r="B183" t="s">
        <v>522</v>
      </c>
      <c r="C183" t="s">
        <v>13</v>
      </c>
      <c r="D183" t="s">
        <v>523</v>
      </c>
      <c r="E183" s="2">
        <v>17948.879999999997</v>
      </c>
      <c r="F183" s="2">
        <v>12022.460000000003</v>
      </c>
      <c r="G183" s="2">
        <v>13369.14000000001</v>
      </c>
      <c r="H183" s="2">
        <v>14780.070000000014</v>
      </c>
      <c r="I183" s="2">
        <v>11786.020000000008</v>
      </c>
      <c r="J183" s="2">
        <v>11472.480000000007</v>
      </c>
      <c r="K183" s="2">
        <v>5196.5399999999991</v>
      </c>
      <c r="L183" s="2">
        <v>86575.589999999807</v>
      </c>
      <c r="M183" t="s">
        <v>4400</v>
      </c>
      <c r="N183" t="s">
        <v>4400</v>
      </c>
    </row>
    <row r="184" spans="1:14" x14ac:dyDescent="0.4">
      <c r="A184" t="s">
        <v>524</v>
      </c>
      <c r="B184" t="s">
        <v>525</v>
      </c>
      <c r="C184" t="s">
        <v>240</v>
      </c>
      <c r="D184" t="s">
        <v>241</v>
      </c>
      <c r="E184" s="2">
        <v>1652.5099999999998</v>
      </c>
      <c r="F184" s="2">
        <v>1495.74</v>
      </c>
      <c r="G184" s="2"/>
      <c r="H184" s="2">
        <v>1878.67</v>
      </c>
      <c r="I184" s="2">
        <v>791.56000000000006</v>
      </c>
      <c r="J184" s="2">
        <v>729.88</v>
      </c>
      <c r="K184" s="2">
        <v>742.7299999999999</v>
      </c>
      <c r="L184" s="2">
        <v>7291.0899999999965</v>
      </c>
      <c r="M184" t="s">
        <v>4400</v>
      </c>
      <c r="N184" t="s">
        <v>4400</v>
      </c>
    </row>
    <row r="185" spans="1:14" x14ac:dyDescent="0.4">
      <c r="A185" t="s">
        <v>526</v>
      </c>
      <c r="B185" t="s">
        <v>166</v>
      </c>
      <c r="C185" t="s">
        <v>167</v>
      </c>
      <c r="D185" t="s">
        <v>527</v>
      </c>
      <c r="E185" s="2">
        <v>820.11999999999989</v>
      </c>
      <c r="F185" s="2"/>
      <c r="G185" s="2"/>
      <c r="H185" s="2"/>
      <c r="I185" s="2"/>
      <c r="J185" s="2"/>
      <c r="K185" s="2"/>
      <c r="L185" s="2">
        <v>820.11999999999989</v>
      </c>
      <c r="M185" t="s">
        <v>4400</v>
      </c>
      <c r="N185" t="s">
        <v>4407</v>
      </c>
    </row>
    <row r="186" spans="1:14" x14ac:dyDescent="0.4">
      <c r="A186" t="s">
        <v>528</v>
      </c>
      <c r="B186" t="s">
        <v>529</v>
      </c>
      <c r="C186" t="s">
        <v>310</v>
      </c>
      <c r="D186" t="s">
        <v>314</v>
      </c>
      <c r="E186" s="2"/>
      <c r="F186" s="2"/>
      <c r="G186" s="2"/>
      <c r="H186" s="2">
        <v>2329.65</v>
      </c>
      <c r="I186" s="2"/>
      <c r="J186" s="2"/>
      <c r="K186" s="2"/>
      <c r="L186" s="2">
        <v>2329.65</v>
      </c>
      <c r="M186" t="s">
        <v>4409</v>
      </c>
      <c r="N186" t="s">
        <v>4402</v>
      </c>
    </row>
    <row r="187" spans="1:14" x14ac:dyDescent="0.4">
      <c r="A187" t="s">
        <v>530</v>
      </c>
      <c r="B187" t="s">
        <v>531</v>
      </c>
      <c r="C187" t="s">
        <v>363</v>
      </c>
      <c r="D187" t="s">
        <v>364</v>
      </c>
      <c r="E187" s="2">
        <v>4610.78</v>
      </c>
      <c r="F187" s="2">
        <v>2873.34</v>
      </c>
      <c r="G187" s="2">
        <v>4683.6399999999994</v>
      </c>
      <c r="H187" s="2">
        <v>5406.579999999999</v>
      </c>
      <c r="I187" s="2">
        <v>4659.3999999999987</v>
      </c>
      <c r="J187" s="2">
        <v>4786.9599999999991</v>
      </c>
      <c r="K187" s="2">
        <v>2326.62</v>
      </c>
      <c r="L187" s="2">
        <v>29347.320000000003</v>
      </c>
      <c r="M187" t="s">
        <v>4400</v>
      </c>
      <c r="N187" t="s">
        <v>4400</v>
      </c>
    </row>
    <row r="188" spans="1:14" x14ac:dyDescent="0.4">
      <c r="A188" t="s">
        <v>532</v>
      </c>
      <c r="B188" t="s">
        <v>533</v>
      </c>
      <c r="C188" t="s">
        <v>363</v>
      </c>
      <c r="D188" t="s">
        <v>364</v>
      </c>
      <c r="E188" s="2">
        <v>6745.6500000000024</v>
      </c>
      <c r="F188" s="2">
        <v>5054.34</v>
      </c>
      <c r="G188" s="2">
        <v>4264.6000000000004</v>
      </c>
      <c r="H188" s="2">
        <v>4386.1400000000003</v>
      </c>
      <c r="I188" s="2">
        <v>4750.6500000000005</v>
      </c>
      <c r="J188" s="2">
        <v>4817.46</v>
      </c>
      <c r="K188" s="2">
        <v>2290.2800000000002</v>
      </c>
      <c r="L188" s="2">
        <v>32309.119999999977</v>
      </c>
      <c r="M188" t="s">
        <v>4400</v>
      </c>
      <c r="N188" t="s">
        <v>4400</v>
      </c>
    </row>
    <row r="189" spans="1:14" x14ac:dyDescent="0.4">
      <c r="A189" t="s">
        <v>534</v>
      </c>
      <c r="B189" t="s">
        <v>535</v>
      </c>
      <c r="C189" t="s">
        <v>258</v>
      </c>
      <c r="D189" t="s">
        <v>536</v>
      </c>
      <c r="E189" s="2">
        <v>4877.8600000000015</v>
      </c>
      <c r="F189" s="2">
        <v>4682.54</v>
      </c>
      <c r="G189" s="2">
        <v>5671.9900000000016</v>
      </c>
      <c r="H189" s="2">
        <v>6440.42</v>
      </c>
      <c r="I189" s="2">
        <v>5662.04</v>
      </c>
      <c r="J189" s="2">
        <v>4746.7899999999991</v>
      </c>
      <c r="K189" s="2">
        <v>2392.6699999999996</v>
      </c>
      <c r="L189" s="2">
        <v>34474.310000000056</v>
      </c>
      <c r="M189" t="s">
        <v>4400</v>
      </c>
      <c r="N189" t="s">
        <v>4400</v>
      </c>
    </row>
    <row r="190" spans="1:14" x14ac:dyDescent="0.4">
      <c r="A190" t="s">
        <v>537</v>
      </c>
      <c r="B190" t="s">
        <v>538</v>
      </c>
      <c r="C190" t="s">
        <v>19</v>
      </c>
      <c r="D190" t="s">
        <v>539</v>
      </c>
      <c r="E190" s="2">
        <v>3544.7100000000009</v>
      </c>
      <c r="F190" s="2">
        <v>4738.3500000000004</v>
      </c>
      <c r="G190" s="2">
        <v>4103.5600000000004</v>
      </c>
      <c r="H190" s="2">
        <v>3711.7300000000005</v>
      </c>
      <c r="I190" s="2">
        <v>5011.7400000000007</v>
      </c>
      <c r="J190" s="2">
        <v>2809.62</v>
      </c>
      <c r="K190" s="2">
        <v>732.04000000000008</v>
      </c>
      <c r="L190" s="2">
        <v>24651.749999999956</v>
      </c>
      <c r="M190" t="s">
        <v>4400</v>
      </c>
      <c r="N190" t="s">
        <v>4400</v>
      </c>
    </row>
    <row r="191" spans="1:14" x14ac:dyDescent="0.4">
      <c r="A191" t="s">
        <v>540</v>
      </c>
      <c r="B191" t="s">
        <v>541</v>
      </c>
      <c r="C191" t="s">
        <v>542</v>
      </c>
      <c r="D191" t="s">
        <v>543</v>
      </c>
      <c r="E191" s="2">
        <v>4045.7999999999988</v>
      </c>
      <c r="F191" s="2">
        <v>5184.8599999999997</v>
      </c>
      <c r="G191" s="2">
        <v>9142.5399999999972</v>
      </c>
      <c r="H191" s="2">
        <v>5582.7</v>
      </c>
      <c r="I191" s="2">
        <v>3644.8599999999997</v>
      </c>
      <c r="J191" s="2">
        <v>4100.4800000000005</v>
      </c>
      <c r="K191" s="2">
        <v>1099.54</v>
      </c>
      <c r="L191" s="2">
        <v>32800.779999999977</v>
      </c>
      <c r="M191" t="s">
        <v>4400</v>
      </c>
      <c r="N191" t="s">
        <v>4400</v>
      </c>
    </row>
    <row r="192" spans="1:14" x14ac:dyDescent="0.4">
      <c r="A192" t="s">
        <v>544</v>
      </c>
      <c r="B192" t="s">
        <v>144</v>
      </c>
      <c r="C192" t="s">
        <v>64</v>
      </c>
      <c r="D192" t="s">
        <v>545</v>
      </c>
      <c r="E192" s="2">
        <v>3477.8700000000003</v>
      </c>
      <c r="F192" s="2">
        <v>2001.65</v>
      </c>
      <c r="G192" s="2">
        <v>2666.9</v>
      </c>
      <c r="H192" s="2"/>
      <c r="I192" s="2"/>
      <c r="J192" s="2">
        <v>1148.1300000000001</v>
      </c>
      <c r="K192" s="2">
        <v>1855.83</v>
      </c>
      <c r="L192" s="2">
        <v>11150.379999999994</v>
      </c>
      <c r="M192" t="s">
        <v>4400</v>
      </c>
      <c r="N192" t="s">
        <v>4400</v>
      </c>
    </row>
    <row r="193" spans="1:14" x14ac:dyDescent="0.4">
      <c r="A193" t="s">
        <v>546</v>
      </c>
      <c r="B193" t="s">
        <v>547</v>
      </c>
      <c r="C193" t="s">
        <v>437</v>
      </c>
      <c r="D193" t="s">
        <v>438</v>
      </c>
      <c r="E193" s="2">
        <v>5723.3900000000012</v>
      </c>
      <c r="F193" s="2">
        <v>4620.8599999999988</v>
      </c>
      <c r="G193" s="2">
        <v>5725.96</v>
      </c>
      <c r="H193" s="2">
        <v>6568.9200000000028</v>
      </c>
      <c r="I193" s="2">
        <v>6442.9900000000016</v>
      </c>
      <c r="J193" s="2">
        <v>4823.8900000000003</v>
      </c>
      <c r="K193" s="2">
        <v>2932.37</v>
      </c>
      <c r="L193" s="2">
        <v>36838.380000000012</v>
      </c>
      <c r="M193" t="s">
        <v>4400</v>
      </c>
      <c r="N193" t="s">
        <v>4400</v>
      </c>
    </row>
    <row r="194" spans="1:14" x14ac:dyDescent="0.4">
      <c r="A194" t="s">
        <v>548</v>
      </c>
      <c r="B194" t="s">
        <v>549</v>
      </c>
      <c r="C194" t="s">
        <v>113</v>
      </c>
      <c r="D194" t="s">
        <v>120</v>
      </c>
      <c r="E194" s="2">
        <v>8140.2799999999988</v>
      </c>
      <c r="F194" s="2">
        <v>5856.1299999999983</v>
      </c>
      <c r="G194" s="2">
        <v>6007.9799999999987</v>
      </c>
      <c r="H194" s="2">
        <v>5039.0200000000004</v>
      </c>
      <c r="I194" s="2">
        <v>5096.8099999999977</v>
      </c>
      <c r="J194" s="2">
        <v>4425.53</v>
      </c>
      <c r="K194" s="2">
        <v>2751.93</v>
      </c>
      <c r="L194" s="2">
        <v>37317.679999999986</v>
      </c>
      <c r="M194" t="s">
        <v>4400</v>
      </c>
      <c r="N194" t="s">
        <v>4400</v>
      </c>
    </row>
    <row r="195" spans="1:14" x14ac:dyDescent="0.4">
      <c r="A195" t="s">
        <v>550</v>
      </c>
      <c r="B195" t="s">
        <v>551</v>
      </c>
      <c r="C195" t="s">
        <v>437</v>
      </c>
      <c r="D195" t="s">
        <v>552</v>
      </c>
      <c r="E195" s="2">
        <v>3433.3800000000006</v>
      </c>
      <c r="F195" s="2">
        <v>1520</v>
      </c>
      <c r="G195" s="2">
        <v>1658.41</v>
      </c>
      <c r="H195" s="2">
        <v>3790.6800000000003</v>
      </c>
      <c r="I195" s="2">
        <v>2247.6800000000003</v>
      </c>
      <c r="J195" s="2">
        <v>1640.21</v>
      </c>
      <c r="K195" s="2">
        <v>2773.1600000000003</v>
      </c>
      <c r="L195" s="2">
        <v>17063.51999999999</v>
      </c>
      <c r="M195" t="s">
        <v>4400</v>
      </c>
      <c r="N195" t="s">
        <v>4400</v>
      </c>
    </row>
    <row r="196" spans="1:14" x14ac:dyDescent="0.4">
      <c r="A196" t="s">
        <v>553</v>
      </c>
      <c r="B196" t="s">
        <v>554</v>
      </c>
      <c r="C196" t="s">
        <v>91</v>
      </c>
      <c r="D196" t="s">
        <v>555</v>
      </c>
      <c r="E196" s="2">
        <v>4683.6299999999992</v>
      </c>
      <c r="F196" s="2">
        <v>7800.0600000000013</v>
      </c>
      <c r="G196" s="2">
        <v>9780.44</v>
      </c>
      <c r="H196" s="2">
        <v>6311.7299999999987</v>
      </c>
      <c r="I196" s="2">
        <v>6369.45</v>
      </c>
      <c r="J196" s="2">
        <v>5834.7800000000007</v>
      </c>
      <c r="K196" s="2">
        <v>1992.5299999999997</v>
      </c>
      <c r="L196" s="2">
        <v>42772.619999999959</v>
      </c>
      <c r="M196" t="s">
        <v>4400</v>
      </c>
      <c r="N196" t="s">
        <v>4400</v>
      </c>
    </row>
    <row r="197" spans="1:14" x14ac:dyDescent="0.4">
      <c r="A197" t="s">
        <v>556</v>
      </c>
      <c r="B197" t="s">
        <v>557</v>
      </c>
      <c r="C197" t="s">
        <v>178</v>
      </c>
      <c r="D197" t="s">
        <v>558</v>
      </c>
      <c r="E197" s="2">
        <v>3844.72</v>
      </c>
      <c r="F197" s="2">
        <v>2878.4</v>
      </c>
      <c r="G197" s="2">
        <v>4240.4999999999991</v>
      </c>
      <c r="H197" s="2">
        <v>3487.49</v>
      </c>
      <c r="I197" s="2"/>
      <c r="J197" s="2"/>
      <c r="K197" s="2"/>
      <c r="L197" s="2">
        <v>14451.110000000011</v>
      </c>
      <c r="M197" t="s">
        <v>4400</v>
      </c>
      <c r="N197" t="s">
        <v>4402</v>
      </c>
    </row>
    <row r="198" spans="1:14" x14ac:dyDescent="0.4">
      <c r="A198" t="s">
        <v>559</v>
      </c>
      <c r="B198" t="s">
        <v>560</v>
      </c>
      <c r="C198" t="s">
        <v>423</v>
      </c>
      <c r="D198" t="s">
        <v>561</v>
      </c>
      <c r="E198" s="2">
        <v>3790.64</v>
      </c>
      <c r="F198" s="2">
        <v>3969.85</v>
      </c>
      <c r="G198" s="2">
        <v>5169.6199999999963</v>
      </c>
      <c r="H198" s="2">
        <v>3775.4499999999994</v>
      </c>
      <c r="I198" s="2">
        <v>3511.2000000000003</v>
      </c>
      <c r="J198" s="2">
        <v>3389.7200000000007</v>
      </c>
      <c r="K198" s="2">
        <v>1877.1000000000004</v>
      </c>
      <c r="L198" s="2">
        <v>25483.580000000049</v>
      </c>
      <c r="M198" t="s">
        <v>4400</v>
      </c>
      <c r="N198" t="s">
        <v>4400</v>
      </c>
    </row>
    <row r="199" spans="1:14" x14ac:dyDescent="0.4">
      <c r="A199" t="s">
        <v>562</v>
      </c>
      <c r="B199" t="s">
        <v>563</v>
      </c>
      <c r="C199" t="s">
        <v>410</v>
      </c>
      <c r="D199" t="s">
        <v>414</v>
      </c>
      <c r="E199" s="2">
        <v>6147.77</v>
      </c>
      <c r="F199" s="2">
        <v>5865.2899999999991</v>
      </c>
      <c r="G199" s="2">
        <v>6275.3600000000006</v>
      </c>
      <c r="H199" s="2">
        <v>8486.59</v>
      </c>
      <c r="I199" s="2">
        <v>6585.1400000000021</v>
      </c>
      <c r="J199" s="2">
        <v>5361.09</v>
      </c>
      <c r="K199" s="2">
        <v>2284.16</v>
      </c>
      <c r="L199" s="2">
        <v>41005.4</v>
      </c>
      <c r="M199" t="s">
        <v>4400</v>
      </c>
      <c r="N199" t="s">
        <v>4400</v>
      </c>
    </row>
    <row r="200" spans="1:14" x14ac:dyDescent="0.4">
      <c r="A200" t="s">
        <v>564</v>
      </c>
      <c r="B200" t="s">
        <v>565</v>
      </c>
      <c r="C200" t="s">
        <v>433</v>
      </c>
      <c r="D200" t="s">
        <v>566</v>
      </c>
      <c r="E200" s="2"/>
      <c r="F200" s="2"/>
      <c r="G200" s="2"/>
      <c r="H200" s="2"/>
      <c r="I200" s="2"/>
      <c r="J200" s="2"/>
      <c r="K200" s="2">
        <v>753.28000000000009</v>
      </c>
      <c r="L200" s="2">
        <v>753.28000000000009</v>
      </c>
      <c r="M200" t="s">
        <v>4404</v>
      </c>
      <c r="N200" t="s">
        <v>4400</v>
      </c>
    </row>
    <row r="201" spans="1:14" x14ac:dyDescent="0.4">
      <c r="A201" t="s">
        <v>567</v>
      </c>
      <c r="B201" t="s">
        <v>568</v>
      </c>
      <c r="C201" t="s">
        <v>220</v>
      </c>
      <c r="D201" t="s">
        <v>569</v>
      </c>
      <c r="E201" s="2"/>
      <c r="F201" s="2"/>
      <c r="G201" s="2"/>
      <c r="H201" s="2">
        <v>862.62000000000012</v>
      </c>
      <c r="I201" s="2"/>
      <c r="J201" s="2">
        <v>902.1099999999999</v>
      </c>
      <c r="K201" s="2">
        <v>765.42000000000007</v>
      </c>
      <c r="L201" s="2">
        <v>2530.15</v>
      </c>
      <c r="M201" t="s">
        <v>4409</v>
      </c>
      <c r="N201" t="s">
        <v>4400</v>
      </c>
    </row>
    <row r="202" spans="1:14" x14ac:dyDescent="0.4">
      <c r="A202" t="s">
        <v>570</v>
      </c>
      <c r="B202" t="s">
        <v>571</v>
      </c>
      <c r="C202" t="s">
        <v>423</v>
      </c>
      <c r="D202" t="s">
        <v>427</v>
      </c>
      <c r="E202" s="2">
        <v>7535.9000000000005</v>
      </c>
      <c r="F202" s="2">
        <v>5306.369999999999</v>
      </c>
      <c r="G202" s="2">
        <v>5585.869999999999</v>
      </c>
      <c r="H202" s="2">
        <v>9060.6800000000021</v>
      </c>
      <c r="I202" s="2">
        <v>7611.7799999999988</v>
      </c>
      <c r="J202" s="2">
        <v>6093.0999999999995</v>
      </c>
      <c r="K202" s="2">
        <v>4914.5599999999995</v>
      </c>
      <c r="L202" s="2">
        <v>46108.259999999966</v>
      </c>
      <c r="M202" t="s">
        <v>4400</v>
      </c>
      <c r="N202" t="s">
        <v>4400</v>
      </c>
    </row>
    <row r="203" spans="1:14" x14ac:dyDescent="0.4">
      <c r="A203" t="s">
        <v>572</v>
      </c>
      <c r="B203" t="s">
        <v>573</v>
      </c>
      <c r="C203" t="s">
        <v>303</v>
      </c>
      <c r="D203" t="s">
        <v>304</v>
      </c>
      <c r="E203" s="2">
        <v>2293.2200000000003</v>
      </c>
      <c r="F203" s="2">
        <v>3319.89</v>
      </c>
      <c r="G203" s="2">
        <v>2843.0099999999998</v>
      </c>
      <c r="H203" s="2">
        <v>3948.6099999999997</v>
      </c>
      <c r="I203" s="2">
        <v>2879.4900000000002</v>
      </c>
      <c r="J203" s="2">
        <v>962.85</v>
      </c>
      <c r="K203" s="2">
        <v>938.55</v>
      </c>
      <c r="L203" s="2">
        <v>17185.619999999974</v>
      </c>
      <c r="M203" t="s">
        <v>4400</v>
      </c>
      <c r="N203" t="s">
        <v>4400</v>
      </c>
    </row>
    <row r="204" spans="1:14" x14ac:dyDescent="0.4">
      <c r="A204" t="s">
        <v>574</v>
      </c>
      <c r="B204" t="s">
        <v>575</v>
      </c>
      <c r="C204" t="s">
        <v>363</v>
      </c>
      <c r="D204" t="s">
        <v>576</v>
      </c>
      <c r="E204" s="2">
        <v>12915.220000000001</v>
      </c>
      <c r="F204" s="2">
        <v>5904.75</v>
      </c>
      <c r="G204" s="2">
        <v>14394.590000000006</v>
      </c>
      <c r="H204" s="2">
        <v>25666.229999999996</v>
      </c>
      <c r="I204" s="2">
        <v>12468.59</v>
      </c>
      <c r="J204" s="2">
        <v>12344.030000000002</v>
      </c>
      <c r="K204" s="2">
        <v>5995.83</v>
      </c>
      <c r="L204" s="2">
        <v>89689.240000000034</v>
      </c>
      <c r="M204" t="s">
        <v>4400</v>
      </c>
      <c r="N204" t="s">
        <v>4400</v>
      </c>
    </row>
    <row r="205" spans="1:14" x14ac:dyDescent="0.4">
      <c r="A205" t="s">
        <v>577</v>
      </c>
      <c r="B205" t="s">
        <v>578</v>
      </c>
      <c r="C205" t="s">
        <v>244</v>
      </c>
      <c r="D205" t="s">
        <v>248</v>
      </c>
      <c r="E205" s="2">
        <v>2369.1999999999998</v>
      </c>
      <c r="F205" s="2">
        <v>1433.65</v>
      </c>
      <c r="G205" s="2">
        <v>1251.4000000000001</v>
      </c>
      <c r="H205" s="2">
        <v>2156.5500000000002</v>
      </c>
      <c r="I205" s="2">
        <v>941.59999999999991</v>
      </c>
      <c r="J205" s="2">
        <v>1321.3</v>
      </c>
      <c r="K205" s="2">
        <v>1473.1499999999999</v>
      </c>
      <c r="L205" s="2">
        <v>10946.85</v>
      </c>
      <c r="M205" t="s">
        <v>4400</v>
      </c>
      <c r="N205" t="s">
        <v>4400</v>
      </c>
    </row>
    <row r="206" spans="1:14" x14ac:dyDescent="0.4">
      <c r="A206" t="s">
        <v>579</v>
      </c>
      <c r="B206" t="s">
        <v>580</v>
      </c>
      <c r="C206" t="s">
        <v>410</v>
      </c>
      <c r="D206" t="s">
        <v>581</v>
      </c>
      <c r="E206" s="2">
        <v>3162.0000000000005</v>
      </c>
      <c r="F206" s="2"/>
      <c r="G206" s="2">
        <v>4276.7300000000005</v>
      </c>
      <c r="H206" s="2">
        <v>2357.0399999999995</v>
      </c>
      <c r="I206" s="2">
        <v>1606.7799999999997</v>
      </c>
      <c r="J206" s="2">
        <v>1345.5500000000002</v>
      </c>
      <c r="K206" s="2">
        <v>1117.79</v>
      </c>
      <c r="L206" s="2">
        <v>13865.889999999994</v>
      </c>
      <c r="M206" t="s">
        <v>4400</v>
      </c>
      <c r="N206" t="s">
        <v>4400</v>
      </c>
    </row>
    <row r="207" spans="1:14" x14ac:dyDescent="0.4">
      <c r="A207" t="s">
        <v>582</v>
      </c>
      <c r="B207" t="s">
        <v>583</v>
      </c>
      <c r="C207" t="s">
        <v>390</v>
      </c>
      <c r="D207" t="s">
        <v>394</v>
      </c>
      <c r="E207" s="2">
        <v>2457.2400000000002</v>
      </c>
      <c r="F207" s="2">
        <v>3058.67</v>
      </c>
      <c r="G207" s="2">
        <v>4282.7</v>
      </c>
      <c r="H207" s="2">
        <v>2448.14</v>
      </c>
      <c r="I207" s="2"/>
      <c r="J207" s="2"/>
      <c r="K207" s="2"/>
      <c r="L207" s="2">
        <v>12246.749999999998</v>
      </c>
      <c r="M207" t="s">
        <v>4400</v>
      </c>
      <c r="N207" t="s">
        <v>4402</v>
      </c>
    </row>
    <row r="208" spans="1:14" x14ac:dyDescent="0.4">
      <c r="A208" t="s">
        <v>584</v>
      </c>
      <c r="B208" t="s">
        <v>401</v>
      </c>
      <c r="C208" t="s">
        <v>402</v>
      </c>
      <c r="D208" t="s">
        <v>403</v>
      </c>
      <c r="E208" s="2"/>
      <c r="F208" s="2">
        <v>1451.95</v>
      </c>
      <c r="G208" s="2"/>
      <c r="H208" s="2"/>
      <c r="I208" s="2"/>
      <c r="J208" s="2"/>
      <c r="K208" s="2"/>
      <c r="L208" s="2">
        <v>1451.95</v>
      </c>
      <c r="M208" t="s">
        <v>4412</v>
      </c>
      <c r="N208" t="s">
        <v>4410</v>
      </c>
    </row>
    <row r="209" spans="1:14" x14ac:dyDescent="0.4">
      <c r="A209" t="s">
        <v>585</v>
      </c>
      <c r="B209" t="s">
        <v>586</v>
      </c>
      <c r="C209" t="s">
        <v>587</v>
      </c>
      <c r="D209" t="s">
        <v>588</v>
      </c>
      <c r="E209" s="2">
        <v>2423.8600000000006</v>
      </c>
      <c r="F209" s="2">
        <v>2970.5900000000006</v>
      </c>
      <c r="G209" s="2">
        <v>3037.3999999999992</v>
      </c>
      <c r="H209" s="2">
        <v>4571.32</v>
      </c>
      <c r="I209" s="2">
        <v>3459.6499999999996</v>
      </c>
      <c r="J209" s="2">
        <v>3799.8300000000004</v>
      </c>
      <c r="K209" s="2">
        <v>1801.2000000000003</v>
      </c>
      <c r="L209" s="2">
        <v>22063.850000000009</v>
      </c>
      <c r="M209" t="s">
        <v>4400</v>
      </c>
      <c r="N209" t="s">
        <v>4400</v>
      </c>
    </row>
    <row r="210" spans="1:14" x14ac:dyDescent="0.4">
      <c r="A210" t="s">
        <v>589</v>
      </c>
      <c r="B210" t="s">
        <v>590</v>
      </c>
      <c r="C210" t="s">
        <v>31</v>
      </c>
      <c r="D210" t="s">
        <v>591</v>
      </c>
      <c r="E210" s="2">
        <v>4504.6200000000008</v>
      </c>
      <c r="F210" s="2">
        <v>3438.4599999999996</v>
      </c>
      <c r="G210" s="2">
        <v>3480.9799999999991</v>
      </c>
      <c r="H210" s="2">
        <v>3544.74</v>
      </c>
      <c r="I210" s="2">
        <v>4061.2000000000007</v>
      </c>
      <c r="J210" s="2">
        <v>3241.0500000000006</v>
      </c>
      <c r="K210" s="2">
        <v>1515.7199999999998</v>
      </c>
      <c r="L210" s="2">
        <v>23786.769999999979</v>
      </c>
      <c r="M210" t="s">
        <v>4400</v>
      </c>
      <c r="N210" t="s">
        <v>4400</v>
      </c>
    </row>
    <row r="211" spans="1:14" x14ac:dyDescent="0.4">
      <c r="A211" t="s">
        <v>592</v>
      </c>
      <c r="B211" t="s">
        <v>593</v>
      </c>
      <c r="C211" t="s">
        <v>350</v>
      </c>
      <c r="D211" t="s">
        <v>351</v>
      </c>
      <c r="E211" s="2">
        <v>2439.1099999999997</v>
      </c>
      <c r="F211" s="2">
        <v>3313.9399999999991</v>
      </c>
      <c r="G211" s="2">
        <v>3326</v>
      </c>
      <c r="H211" s="2">
        <v>3824.1</v>
      </c>
      <c r="I211" s="2">
        <v>3590.2599999999993</v>
      </c>
      <c r="J211" s="2">
        <v>4847.71</v>
      </c>
      <c r="K211" s="2">
        <v>1931.8000000000002</v>
      </c>
      <c r="L211" s="2">
        <v>23272.919999999973</v>
      </c>
      <c r="M211" t="s">
        <v>4400</v>
      </c>
      <c r="N211" t="s">
        <v>4400</v>
      </c>
    </row>
    <row r="212" spans="1:14" x14ac:dyDescent="0.4">
      <c r="A212" t="s">
        <v>594</v>
      </c>
      <c r="B212" t="s">
        <v>595</v>
      </c>
      <c r="C212" t="s">
        <v>279</v>
      </c>
      <c r="D212" t="s">
        <v>596</v>
      </c>
      <c r="E212" s="2"/>
      <c r="F212" s="2"/>
      <c r="G212" s="2"/>
      <c r="H212" s="2">
        <v>1788.7200000000003</v>
      </c>
      <c r="I212" s="2">
        <v>2690.79</v>
      </c>
      <c r="J212" s="2"/>
      <c r="K212" s="2">
        <v>907.21</v>
      </c>
      <c r="L212" s="2">
        <v>5386.7200000000012</v>
      </c>
      <c r="M212" t="s">
        <v>4409</v>
      </c>
      <c r="N212" t="s">
        <v>4400</v>
      </c>
    </row>
    <row r="213" spans="1:14" x14ac:dyDescent="0.4">
      <c r="A213" t="s">
        <v>597</v>
      </c>
      <c r="B213" t="s">
        <v>598</v>
      </c>
      <c r="C213" t="s">
        <v>186</v>
      </c>
      <c r="D213" t="s">
        <v>599</v>
      </c>
      <c r="E213" s="2">
        <v>1693.6299999999997</v>
      </c>
      <c r="F213" s="2">
        <v>3165.3600000000006</v>
      </c>
      <c r="G213" s="2">
        <v>2290.2199999999998</v>
      </c>
      <c r="H213" s="2"/>
      <c r="I213" s="2"/>
      <c r="J213" s="2"/>
      <c r="K213" s="2"/>
      <c r="L213" s="2">
        <v>7149.2099999999919</v>
      </c>
      <c r="M213" t="s">
        <v>4400</v>
      </c>
      <c r="N213" t="s">
        <v>4403</v>
      </c>
    </row>
    <row r="214" spans="1:14" x14ac:dyDescent="0.4">
      <c r="A214" t="s">
        <v>600</v>
      </c>
      <c r="B214" t="s">
        <v>601</v>
      </c>
      <c r="C214" t="s">
        <v>602</v>
      </c>
      <c r="D214" t="s">
        <v>603</v>
      </c>
      <c r="E214" s="2">
        <v>2165.75</v>
      </c>
      <c r="F214" s="2">
        <v>1461.05</v>
      </c>
      <c r="G214" s="2">
        <v>3663.2499999999995</v>
      </c>
      <c r="H214" s="2">
        <v>2943.3599999999997</v>
      </c>
      <c r="I214" s="2">
        <v>2202.19</v>
      </c>
      <c r="J214" s="2">
        <v>2183.9700000000003</v>
      </c>
      <c r="K214" s="2">
        <v>1488.38</v>
      </c>
      <c r="L214" s="2">
        <v>16107.949999999997</v>
      </c>
      <c r="M214" t="s">
        <v>4400</v>
      </c>
      <c r="N214" t="s">
        <v>4400</v>
      </c>
    </row>
    <row r="215" spans="1:14" x14ac:dyDescent="0.4">
      <c r="A215" t="s">
        <v>604</v>
      </c>
      <c r="B215" t="s">
        <v>605</v>
      </c>
      <c r="C215" t="s">
        <v>159</v>
      </c>
      <c r="D215" t="s">
        <v>606</v>
      </c>
      <c r="E215" s="2">
        <v>4747.4299999999985</v>
      </c>
      <c r="F215" s="2">
        <v>4130.84</v>
      </c>
      <c r="G215" s="2">
        <v>6676.1499999999969</v>
      </c>
      <c r="H215" s="2">
        <v>5190.8599999999979</v>
      </c>
      <c r="I215" s="2">
        <v>5582.7199999999993</v>
      </c>
      <c r="J215" s="2">
        <v>4416.3799999999983</v>
      </c>
      <c r="K215" s="2">
        <v>2159.5899999999997</v>
      </c>
      <c r="L215" s="2">
        <v>32903.969999999987</v>
      </c>
      <c r="M215" t="s">
        <v>4400</v>
      </c>
      <c r="N215" t="s">
        <v>4400</v>
      </c>
    </row>
    <row r="216" spans="1:14" x14ac:dyDescent="0.4">
      <c r="A216" t="s">
        <v>607</v>
      </c>
      <c r="B216" t="s">
        <v>608</v>
      </c>
      <c r="C216" t="s">
        <v>402</v>
      </c>
      <c r="D216" t="s">
        <v>609</v>
      </c>
      <c r="E216" s="2">
        <v>3049.68</v>
      </c>
      <c r="F216" s="2">
        <v>2448.2199999999998</v>
      </c>
      <c r="G216" s="2">
        <v>3878.9299999999994</v>
      </c>
      <c r="H216" s="2">
        <v>2870.47</v>
      </c>
      <c r="I216" s="2">
        <v>2700.37</v>
      </c>
      <c r="J216" s="2">
        <v>3815.0899999999997</v>
      </c>
      <c r="K216" s="2">
        <v>1348.67</v>
      </c>
      <c r="L216" s="2">
        <v>20111.430000000004</v>
      </c>
      <c r="M216" t="s">
        <v>4400</v>
      </c>
      <c r="N216" t="s">
        <v>4400</v>
      </c>
    </row>
    <row r="217" spans="1:14" x14ac:dyDescent="0.4">
      <c r="A217" t="s">
        <v>610</v>
      </c>
      <c r="B217" t="s">
        <v>611</v>
      </c>
      <c r="C217" t="s">
        <v>199</v>
      </c>
      <c r="D217" t="s">
        <v>612</v>
      </c>
      <c r="E217" s="2"/>
      <c r="F217" s="2"/>
      <c r="G217" s="2"/>
      <c r="H217" s="2"/>
      <c r="I217" s="2"/>
      <c r="J217" s="2">
        <v>3397.5399999999986</v>
      </c>
      <c r="K217" s="2">
        <v>1475.1799999999998</v>
      </c>
      <c r="L217" s="2">
        <v>4872.7199999999984</v>
      </c>
      <c r="M217" t="s">
        <v>4405</v>
      </c>
      <c r="N217" t="s">
        <v>4400</v>
      </c>
    </row>
    <row r="218" spans="1:14" x14ac:dyDescent="0.4">
      <c r="A218" t="s">
        <v>613</v>
      </c>
      <c r="B218" t="s">
        <v>614</v>
      </c>
      <c r="C218" t="s">
        <v>113</v>
      </c>
      <c r="D218" t="s">
        <v>615</v>
      </c>
      <c r="E218" s="2">
        <v>3181.6599999999994</v>
      </c>
      <c r="F218" s="2">
        <v>4754.4999999999982</v>
      </c>
      <c r="G218" s="2">
        <v>2007.1699999999996</v>
      </c>
      <c r="H218" s="2">
        <v>827.54</v>
      </c>
      <c r="I218" s="2">
        <v>1010.0099999999999</v>
      </c>
      <c r="J218" s="2">
        <v>1010.0099999999999</v>
      </c>
      <c r="K218" s="2"/>
      <c r="L218" s="2">
        <v>12790.89000000001</v>
      </c>
      <c r="M218" t="s">
        <v>4400</v>
      </c>
      <c r="N218" t="s">
        <v>4406</v>
      </c>
    </row>
    <row r="219" spans="1:14" x14ac:dyDescent="0.4">
      <c r="A219" t="s">
        <v>616</v>
      </c>
      <c r="B219" t="s">
        <v>617</v>
      </c>
      <c r="C219" t="s">
        <v>163</v>
      </c>
      <c r="D219" t="s">
        <v>618</v>
      </c>
      <c r="E219" s="2">
        <v>7484.1200000000008</v>
      </c>
      <c r="F219" s="2">
        <v>4322.25</v>
      </c>
      <c r="G219" s="2">
        <v>7405.2600000000011</v>
      </c>
      <c r="H219" s="2">
        <v>6251.0199999999995</v>
      </c>
      <c r="I219" s="2">
        <v>6579.07</v>
      </c>
      <c r="J219" s="2">
        <v>4137.0499999999993</v>
      </c>
      <c r="K219" s="2">
        <v>1327.37</v>
      </c>
      <c r="L219" s="2">
        <v>37506.14</v>
      </c>
      <c r="M219" t="s">
        <v>4400</v>
      </c>
      <c r="N219" t="s">
        <v>4400</v>
      </c>
    </row>
    <row r="220" spans="1:14" x14ac:dyDescent="0.4">
      <c r="A220" t="s">
        <v>619</v>
      </c>
      <c r="B220" t="s">
        <v>620</v>
      </c>
      <c r="C220" t="s">
        <v>251</v>
      </c>
      <c r="D220" t="s">
        <v>255</v>
      </c>
      <c r="E220" s="2">
        <v>3462.5999999999995</v>
      </c>
      <c r="F220" s="2">
        <v>4328.2499999999991</v>
      </c>
      <c r="G220" s="2">
        <v>3811.8999999999992</v>
      </c>
      <c r="H220" s="2">
        <v>7153</v>
      </c>
      <c r="I220" s="2">
        <v>4145.9999999999991</v>
      </c>
      <c r="J220" s="2">
        <v>5284.9999999999991</v>
      </c>
      <c r="K220" s="2">
        <v>2141.35</v>
      </c>
      <c r="L220" s="2">
        <v>30328.100000000006</v>
      </c>
      <c r="M220" t="s">
        <v>4400</v>
      </c>
      <c r="N220" t="s">
        <v>4400</v>
      </c>
    </row>
    <row r="221" spans="1:14" x14ac:dyDescent="0.4">
      <c r="A221" t="s">
        <v>621</v>
      </c>
      <c r="B221" t="s">
        <v>622</v>
      </c>
      <c r="C221" t="s">
        <v>163</v>
      </c>
      <c r="D221" t="s">
        <v>618</v>
      </c>
      <c r="E221" s="2">
        <v>4024.54</v>
      </c>
      <c r="F221" s="2">
        <v>4422.4600000000009</v>
      </c>
      <c r="G221" s="2">
        <v>4328.3200000000006</v>
      </c>
      <c r="H221" s="2">
        <v>5108.9099999999989</v>
      </c>
      <c r="I221" s="2">
        <v>6244.8900000000012</v>
      </c>
      <c r="J221" s="2">
        <v>5048.17</v>
      </c>
      <c r="K221" s="2">
        <v>2159.5999999999995</v>
      </c>
      <c r="L221" s="2">
        <v>31336.889999999956</v>
      </c>
      <c r="M221" t="s">
        <v>4400</v>
      </c>
      <c r="N221" t="s">
        <v>4400</v>
      </c>
    </row>
    <row r="222" spans="1:14" x14ac:dyDescent="0.4">
      <c r="A222" t="s">
        <v>623</v>
      </c>
      <c r="B222" t="s">
        <v>624</v>
      </c>
      <c r="C222" t="s">
        <v>159</v>
      </c>
      <c r="D222" t="s">
        <v>160</v>
      </c>
      <c r="E222" s="2">
        <v>1661.4800000000002</v>
      </c>
      <c r="F222" s="2">
        <v>1713.0800000000002</v>
      </c>
      <c r="G222" s="2">
        <v>765.43000000000018</v>
      </c>
      <c r="H222" s="2">
        <v>719.88000000000011</v>
      </c>
      <c r="I222" s="2"/>
      <c r="J222" s="2"/>
      <c r="K222" s="2"/>
      <c r="L222" s="2">
        <v>4859.8700000000008</v>
      </c>
      <c r="M222" t="s">
        <v>4400</v>
      </c>
      <c r="N222" t="s">
        <v>4402</v>
      </c>
    </row>
    <row r="223" spans="1:14" x14ac:dyDescent="0.4">
      <c r="A223" t="s">
        <v>625</v>
      </c>
      <c r="B223" t="s">
        <v>626</v>
      </c>
      <c r="C223" t="s">
        <v>27</v>
      </c>
      <c r="D223" t="s">
        <v>627</v>
      </c>
      <c r="E223" s="2">
        <v>2375.2400000000002</v>
      </c>
      <c r="F223" s="2"/>
      <c r="G223" s="2"/>
      <c r="H223" s="2"/>
      <c r="I223" s="2"/>
      <c r="J223" s="2"/>
      <c r="K223" s="2"/>
      <c r="L223" s="2">
        <v>2375.2400000000002</v>
      </c>
      <c r="M223" t="s">
        <v>4400</v>
      </c>
      <c r="N223" t="s">
        <v>4407</v>
      </c>
    </row>
    <row r="224" spans="1:14" x14ac:dyDescent="0.4">
      <c r="A224" t="s">
        <v>628</v>
      </c>
      <c r="B224" t="s">
        <v>629</v>
      </c>
      <c r="C224" t="s">
        <v>64</v>
      </c>
      <c r="D224" t="s">
        <v>630</v>
      </c>
      <c r="E224" s="2"/>
      <c r="F224" s="2">
        <v>2068.41</v>
      </c>
      <c r="G224" s="2">
        <v>2879.4199999999996</v>
      </c>
      <c r="H224" s="2">
        <v>2764.06</v>
      </c>
      <c r="I224" s="2"/>
      <c r="J224" s="2">
        <v>5169.4999999999991</v>
      </c>
      <c r="K224" s="2">
        <v>3833.08</v>
      </c>
      <c r="L224" s="2">
        <v>16714.46999999999</v>
      </c>
      <c r="M224" t="s">
        <v>4412</v>
      </c>
      <c r="N224" t="s">
        <v>4400</v>
      </c>
    </row>
    <row r="225" spans="1:14" x14ac:dyDescent="0.4">
      <c r="A225" t="s">
        <v>631</v>
      </c>
      <c r="B225" t="s">
        <v>632</v>
      </c>
      <c r="C225" t="s">
        <v>447</v>
      </c>
      <c r="D225" t="s">
        <v>633</v>
      </c>
      <c r="E225" s="2">
        <v>8326.5300000000007</v>
      </c>
      <c r="F225" s="2">
        <v>7411.2099999999991</v>
      </c>
      <c r="G225" s="2">
        <v>10299.729999999996</v>
      </c>
      <c r="H225" s="2">
        <v>11848.799999999997</v>
      </c>
      <c r="I225" s="2">
        <v>8131.0599999999968</v>
      </c>
      <c r="J225" s="2">
        <v>8717.2799999999988</v>
      </c>
      <c r="K225" s="2">
        <v>2764.0400000000004</v>
      </c>
      <c r="L225" s="2">
        <v>57498.650000000045</v>
      </c>
      <c r="M225" t="s">
        <v>4400</v>
      </c>
      <c r="N225" t="s">
        <v>4400</v>
      </c>
    </row>
    <row r="226" spans="1:14" x14ac:dyDescent="0.4">
      <c r="A226" t="s">
        <v>634</v>
      </c>
      <c r="B226" t="s">
        <v>230</v>
      </c>
      <c r="C226" t="s">
        <v>13</v>
      </c>
      <c r="D226" t="s">
        <v>635</v>
      </c>
      <c r="E226" s="2">
        <v>5276.2099999999991</v>
      </c>
      <c r="F226" s="2"/>
      <c r="G226" s="2"/>
      <c r="H226" s="2"/>
      <c r="I226" s="2"/>
      <c r="J226" s="2">
        <v>4882.9999999999982</v>
      </c>
      <c r="K226" s="2">
        <v>2040.5799999999995</v>
      </c>
      <c r="L226" s="2">
        <v>12199.789999999997</v>
      </c>
      <c r="M226" t="s">
        <v>4400</v>
      </c>
      <c r="N226" t="s">
        <v>4400</v>
      </c>
    </row>
    <row r="227" spans="1:14" x14ac:dyDescent="0.4">
      <c r="A227" t="s">
        <v>636</v>
      </c>
      <c r="B227" t="s">
        <v>637</v>
      </c>
      <c r="C227" t="s">
        <v>310</v>
      </c>
      <c r="D227" t="s">
        <v>311</v>
      </c>
      <c r="E227" s="2">
        <v>19496.719999999998</v>
      </c>
      <c r="F227" s="2">
        <v>13094.069999999998</v>
      </c>
      <c r="G227" s="2">
        <v>14214.960000000001</v>
      </c>
      <c r="H227" s="2">
        <v>14733.650000000007</v>
      </c>
      <c r="I227" s="2">
        <v>15290.150000000001</v>
      </c>
      <c r="J227" s="2">
        <v>14135.740000000002</v>
      </c>
      <c r="K227" s="2">
        <v>10199.520000000002</v>
      </c>
      <c r="L227" s="2">
        <v>101164.81000000003</v>
      </c>
      <c r="M227" t="s">
        <v>4400</v>
      </c>
      <c r="N227" t="s">
        <v>4400</v>
      </c>
    </row>
    <row r="228" spans="1:14" x14ac:dyDescent="0.4">
      <c r="A228" t="s">
        <v>638</v>
      </c>
      <c r="B228" t="s">
        <v>639</v>
      </c>
      <c r="C228" t="s">
        <v>172</v>
      </c>
      <c r="D228" t="s">
        <v>173</v>
      </c>
      <c r="E228" s="2">
        <v>2232.4499999999994</v>
      </c>
      <c r="F228" s="2">
        <v>926.38000000000011</v>
      </c>
      <c r="G228" s="2">
        <v>2885.4599999999996</v>
      </c>
      <c r="H228" s="2">
        <v>2390.37</v>
      </c>
      <c r="I228" s="2">
        <v>1840.61</v>
      </c>
      <c r="J228" s="2">
        <v>2375.17</v>
      </c>
      <c r="K228" s="2">
        <v>2113.9799999999996</v>
      </c>
      <c r="L228" s="2">
        <v>14764.420000000006</v>
      </c>
      <c r="M228" t="s">
        <v>4400</v>
      </c>
      <c r="N228" t="s">
        <v>4400</v>
      </c>
    </row>
    <row r="229" spans="1:14" x14ac:dyDescent="0.4">
      <c r="A229" t="s">
        <v>640</v>
      </c>
      <c r="B229" t="s">
        <v>641</v>
      </c>
      <c r="C229" t="s">
        <v>52</v>
      </c>
      <c r="D229" t="s">
        <v>642</v>
      </c>
      <c r="E229" s="2">
        <v>9100.3700000000008</v>
      </c>
      <c r="F229" s="2">
        <v>7974.7099999999991</v>
      </c>
      <c r="G229" s="2">
        <v>9678.619999999999</v>
      </c>
      <c r="H229" s="2">
        <v>10503.590000000004</v>
      </c>
      <c r="I229" s="2">
        <v>9120.93</v>
      </c>
      <c r="J229" s="2">
        <v>6625.4599999999982</v>
      </c>
      <c r="K229" s="2">
        <v>3528.6099999999992</v>
      </c>
      <c r="L229" s="2">
        <v>56532.290000000037</v>
      </c>
      <c r="M229" t="s">
        <v>4400</v>
      </c>
      <c r="N229" t="s">
        <v>4400</v>
      </c>
    </row>
    <row r="230" spans="1:14" x14ac:dyDescent="0.4">
      <c r="A230" t="s">
        <v>643</v>
      </c>
      <c r="B230" t="s">
        <v>644</v>
      </c>
      <c r="C230" t="s">
        <v>64</v>
      </c>
      <c r="D230" t="s">
        <v>645</v>
      </c>
      <c r="E230" s="2">
        <v>8987.41</v>
      </c>
      <c r="F230" s="2">
        <v>7298.6799999999985</v>
      </c>
      <c r="G230" s="2">
        <v>9810.5299999999952</v>
      </c>
      <c r="H230" s="2">
        <v>8750.4499999999989</v>
      </c>
      <c r="I230" s="2">
        <v>10153.689999999999</v>
      </c>
      <c r="J230" s="2">
        <v>8878.0299999999952</v>
      </c>
      <c r="K230" s="2">
        <v>4483.05</v>
      </c>
      <c r="L230" s="2">
        <v>58361.84</v>
      </c>
      <c r="M230" t="s">
        <v>4400</v>
      </c>
      <c r="N230" t="s">
        <v>4400</v>
      </c>
    </row>
    <row r="231" spans="1:14" x14ac:dyDescent="0.4">
      <c r="A231" t="s">
        <v>646</v>
      </c>
      <c r="B231" t="s">
        <v>647</v>
      </c>
      <c r="C231" t="s">
        <v>291</v>
      </c>
      <c r="D231" t="s">
        <v>295</v>
      </c>
      <c r="E231" s="2">
        <v>3034.5799999999995</v>
      </c>
      <c r="F231" s="2">
        <v>3453.6999999999994</v>
      </c>
      <c r="G231" s="2">
        <v>7217.1399999999994</v>
      </c>
      <c r="H231" s="2">
        <v>5750</v>
      </c>
      <c r="I231" s="2">
        <v>4319.2400000000007</v>
      </c>
      <c r="J231" s="2">
        <v>4373.9400000000005</v>
      </c>
      <c r="K231" s="2">
        <v>2478.6600000000003</v>
      </c>
      <c r="L231" s="2">
        <v>30627.260000000017</v>
      </c>
      <c r="M231" t="s">
        <v>4400</v>
      </c>
      <c r="N231" t="s">
        <v>4400</v>
      </c>
    </row>
    <row r="232" spans="1:14" x14ac:dyDescent="0.4">
      <c r="A232" t="s">
        <v>648</v>
      </c>
      <c r="B232" t="s">
        <v>649</v>
      </c>
      <c r="C232" t="s">
        <v>390</v>
      </c>
      <c r="D232" t="s">
        <v>650</v>
      </c>
      <c r="E232" s="2">
        <v>1506.5100000000002</v>
      </c>
      <c r="F232" s="2">
        <v>1609.8200000000002</v>
      </c>
      <c r="G232" s="2">
        <v>1527.8000000000002</v>
      </c>
      <c r="H232" s="2"/>
      <c r="I232" s="2"/>
      <c r="J232" s="2"/>
      <c r="K232" s="2"/>
      <c r="L232" s="2">
        <v>4644.1299999999992</v>
      </c>
      <c r="M232" t="s">
        <v>4400</v>
      </c>
      <c r="N232" t="s">
        <v>4403</v>
      </c>
    </row>
    <row r="233" spans="1:14" x14ac:dyDescent="0.4">
      <c r="A233" t="s">
        <v>651</v>
      </c>
      <c r="B233" t="s">
        <v>652</v>
      </c>
      <c r="C233" t="s">
        <v>103</v>
      </c>
      <c r="D233" t="s">
        <v>653</v>
      </c>
      <c r="E233" s="2">
        <v>7535.3900000000021</v>
      </c>
      <c r="F233" s="2">
        <v>7127.0700000000024</v>
      </c>
      <c r="G233" s="2">
        <v>9997.0000000000018</v>
      </c>
      <c r="H233" s="2">
        <v>8614.6800000000021</v>
      </c>
      <c r="I233" s="2">
        <v>7629.5700000000024</v>
      </c>
      <c r="J233" s="2">
        <v>7357.8099999999977</v>
      </c>
      <c r="K233" s="2">
        <v>3711.27</v>
      </c>
      <c r="L233" s="2">
        <v>51972.789999999986</v>
      </c>
      <c r="M233" t="s">
        <v>4400</v>
      </c>
      <c r="N233" t="s">
        <v>4400</v>
      </c>
    </row>
    <row r="234" spans="1:14" x14ac:dyDescent="0.4">
      <c r="A234" t="s">
        <v>654</v>
      </c>
      <c r="B234" t="s">
        <v>655</v>
      </c>
      <c r="C234" t="s">
        <v>291</v>
      </c>
      <c r="D234" t="s">
        <v>295</v>
      </c>
      <c r="E234" s="2">
        <v>4161.3099999999986</v>
      </c>
      <c r="F234" s="2">
        <v>3113.41</v>
      </c>
      <c r="G234" s="2">
        <v>2909.9499999999994</v>
      </c>
      <c r="H234" s="2">
        <v>1457.9900000000002</v>
      </c>
      <c r="I234" s="2"/>
      <c r="J234" s="2"/>
      <c r="K234" s="2"/>
      <c r="L234" s="2">
        <v>11642.659999999991</v>
      </c>
      <c r="M234" t="s">
        <v>4400</v>
      </c>
      <c r="N234" t="s">
        <v>4402</v>
      </c>
    </row>
    <row r="235" spans="1:14" x14ac:dyDescent="0.4">
      <c r="A235" t="s">
        <v>656</v>
      </c>
      <c r="B235" t="s">
        <v>657</v>
      </c>
      <c r="C235" t="s">
        <v>195</v>
      </c>
      <c r="D235" t="s">
        <v>196</v>
      </c>
      <c r="E235" s="2">
        <v>2721.59</v>
      </c>
      <c r="F235" s="2">
        <v>3262.26</v>
      </c>
      <c r="G235" s="2">
        <v>3702.6800000000003</v>
      </c>
      <c r="H235" s="2">
        <v>4920.67</v>
      </c>
      <c r="I235" s="2">
        <v>4744.4399999999996</v>
      </c>
      <c r="J235" s="2">
        <v>4495.3599999999997</v>
      </c>
      <c r="K235" s="2">
        <v>2730.6699999999996</v>
      </c>
      <c r="L235" s="2">
        <v>26577.66999999998</v>
      </c>
      <c r="M235" t="s">
        <v>4400</v>
      </c>
      <c r="N235" t="s">
        <v>4400</v>
      </c>
    </row>
    <row r="236" spans="1:14" x14ac:dyDescent="0.4">
      <c r="A236" t="s">
        <v>658</v>
      </c>
      <c r="B236" t="s">
        <v>659</v>
      </c>
      <c r="C236" t="s">
        <v>410</v>
      </c>
      <c r="D236" t="s">
        <v>660</v>
      </c>
      <c r="E236" s="2">
        <v>2056.35</v>
      </c>
      <c r="F236" s="2">
        <v>2903.809999999999</v>
      </c>
      <c r="G236" s="2">
        <v>3082.99</v>
      </c>
      <c r="H236" s="2">
        <v>2308.4499999999998</v>
      </c>
      <c r="I236" s="2">
        <v>5579.8</v>
      </c>
      <c r="J236" s="2">
        <v>4319.2699999999995</v>
      </c>
      <c r="K236" s="2">
        <v>1950.0499999999997</v>
      </c>
      <c r="L236" s="2">
        <v>22200.719999999987</v>
      </c>
      <c r="M236" t="s">
        <v>4400</v>
      </c>
      <c r="N236" t="s">
        <v>4400</v>
      </c>
    </row>
    <row r="237" spans="1:14" x14ac:dyDescent="0.4">
      <c r="A237" t="s">
        <v>661</v>
      </c>
      <c r="B237" t="s">
        <v>662</v>
      </c>
      <c r="C237" t="s">
        <v>1</v>
      </c>
      <c r="D237" t="s">
        <v>507</v>
      </c>
      <c r="E237" s="2">
        <v>8534.8700000000008</v>
      </c>
      <c r="F237" s="2">
        <v>5002.4399999999996</v>
      </c>
      <c r="G237" s="2">
        <v>8048.8600000000006</v>
      </c>
      <c r="H237" s="2">
        <v>6931.130000000001</v>
      </c>
      <c r="I237" s="2">
        <v>7714.7900000000018</v>
      </c>
      <c r="J237" s="2">
        <v>6417.85</v>
      </c>
      <c r="K237" s="2">
        <v>3423.05</v>
      </c>
      <c r="L237" s="2">
        <v>46072.99000000002</v>
      </c>
      <c r="M237" t="s">
        <v>4400</v>
      </c>
      <c r="N237" t="s">
        <v>4400</v>
      </c>
    </row>
    <row r="238" spans="1:14" x14ac:dyDescent="0.4">
      <c r="A238" t="s">
        <v>663</v>
      </c>
      <c r="B238" t="s">
        <v>664</v>
      </c>
      <c r="C238" t="s">
        <v>195</v>
      </c>
      <c r="D238" t="s">
        <v>665</v>
      </c>
      <c r="E238" s="2">
        <v>3095.2000000000003</v>
      </c>
      <c r="F238" s="2">
        <v>2994.9800000000009</v>
      </c>
      <c r="G238" s="2">
        <v>3997.3299999999995</v>
      </c>
      <c r="H238" s="2">
        <v>3383.77</v>
      </c>
      <c r="I238" s="2">
        <v>3417.19</v>
      </c>
      <c r="J238" s="2">
        <v>4222.1100000000006</v>
      </c>
      <c r="K238" s="2">
        <v>1807.2999999999997</v>
      </c>
      <c r="L238" s="2">
        <v>22917.88</v>
      </c>
      <c r="M238" t="s">
        <v>4400</v>
      </c>
      <c r="N238" t="s">
        <v>4400</v>
      </c>
    </row>
    <row r="239" spans="1:14" x14ac:dyDescent="0.4">
      <c r="A239" t="s">
        <v>666</v>
      </c>
      <c r="B239" t="s">
        <v>667</v>
      </c>
      <c r="C239" t="s">
        <v>199</v>
      </c>
      <c r="D239" t="s">
        <v>217</v>
      </c>
      <c r="E239" s="2">
        <v>3453.56</v>
      </c>
      <c r="F239" s="2">
        <v>1834.6699999999996</v>
      </c>
      <c r="G239" s="2"/>
      <c r="H239" s="2"/>
      <c r="I239" s="2"/>
      <c r="J239" s="2"/>
      <c r="K239" s="2"/>
      <c r="L239" s="2">
        <v>5288.23</v>
      </c>
      <c r="M239" t="s">
        <v>4400</v>
      </c>
      <c r="N239" t="s">
        <v>4410</v>
      </c>
    </row>
    <row r="240" spans="1:14" x14ac:dyDescent="0.4">
      <c r="A240" t="s">
        <v>668</v>
      </c>
      <c r="B240" t="s">
        <v>669</v>
      </c>
      <c r="C240" t="s">
        <v>199</v>
      </c>
      <c r="D240" t="s">
        <v>214</v>
      </c>
      <c r="E240" s="2">
        <v>2413.23</v>
      </c>
      <c r="F240" s="2">
        <v>799.2700000000001</v>
      </c>
      <c r="G240" s="2">
        <v>1973.7599999999998</v>
      </c>
      <c r="H240" s="2">
        <v>1053.7</v>
      </c>
      <c r="I240" s="2">
        <v>2279.5899999999997</v>
      </c>
      <c r="J240" s="2">
        <v>2027.7299999999996</v>
      </c>
      <c r="K240" s="2"/>
      <c r="L240" s="2">
        <v>10547.280000000008</v>
      </c>
      <c r="M240" t="s">
        <v>4400</v>
      </c>
      <c r="N240" t="s">
        <v>4406</v>
      </c>
    </row>
    <row r="241" spans="1:14" x14ac:dyDescent="0.4">
      <c r="A241" t="s">
        <v>670</v>
      </c>
      <c r="B241" t="s">
        <v>671</v>
      </c>
      <c r="C241" t="s">
        <v>186</v>
      </c>
      <c r="D241" t="s">
        <v>187</v>
      </c>
      <c r="E241" s="2">
        <v>3860.5600000000004</v>
      </c>
      <c r="F241" s="2">
        <v>3985.1</v>
      </c>
      <c r="G241" s="2">
        <v>4082.2800000000011</v>
      </c>
      <c r="H241" s="2">
        <v>3754.28</v>
      </c>
      <c r="I241" s="2">
        <v>1928.7599999999998</v>
      </c>
      <c r="J241" s="2">
        <v>4061.0300000000011</v>
      </c>
      <c r="K241" s="2">
        <v>1014.49</v>
      </c>
      <c r="L241" s="2">
        <v>22686.499999999975</v>
      </c>
      <c r="M241" t="s">
        <v>4400</v>
      </c>
      <c r="N241" t="s">
        <v>4400</v>
      </c>
    </row>
    <row r="242" spans="1:14" x14ac:dyDescent="0.4">
      <c r="A242" t="s">
        <v>672</v>
      </c>
      <c r="B242" t="s">
        <v>673</v>
      </c>
      <c r="C242" t="s">
        <v>674</v>
      </c>
      <c r="D242" t="s">
        <v>675</v>
      </c>
      <c r="E242" s="2">
        <v>1719.14</v>
      </c>
      <c r="F242" s="2">
        <v>3222.6699999999996</v>
      </c>
      <c r="G242" s="2">
        <v>3310.7300000000009</v>
      </c>
      <c r="H242" s="2">
        <v>3362.3700000000008</v>
      </c>
      <c r="I242" s="2">
        <v>2709.34</v>
      </c>
      <c r="J242" s="2">
        <v>1925.7</v>
      </c>
      <c r="K242" s="2"/>
      <c r="L242" s="2">
        <v>16249.949999999977</v>
      </c>
      <c r="M242" t="s">
        <v>4400</v>
      </c>
      <c r="N242" t="s">
        <v>4406</v>
      </c>
    </row>
    <row r="243" spans="1:14" x14ac:dyDescent="0.4">
      <c r="A243" t="s">
        <v>676</v>
      </c>
      <c r="B243" t="s">
        <v>677</v>
      </c>
      <c r="C243" t="s">
        <v>587</v>
      </c>
      <c r="D243" t="s">
        <v>678</v>
      </c>
      <c r="E243" s="2">
        <v>3341.16</v>
      </c>
      <c r="F243" s="2">
        <v>3104.2299999999996</v>
      </c>
      <c r="G243" s="2">
        <v>1910.54</v>
      </c>
      <c r="H243" s="2"/>
      <c r="I243" s="2"/>
      <c r="J243" s="2"/>
      <c r="K243" s="2"/>
      <c r="L243" s="2">
        <v>8355.9299999999876</v>
      </c>
      <c r="M243" t="s">
        <v>4400</v>
      </c>
      <c r="N243" t="s">
        <v>4403</v>
      </c>
    </row>
    <row r="244" spans="1:14" x14ac:dyDescent="0.4">
      <c r="A244" t="s">
        <v>679</v>
      </c>
      <c r="B244" t="s">
        <v>680</v>
      </c>
      <c r="C244" t="s">
        <v>19</v>
      </c>
      <c r="D244" t="s">
        <v>681</v>
      </c>
      <c r="E244" s="2">
        <v>728.97</v>
      </c>
      <c r="F244" s="2"/>
      <c r="G244" s="2">
        <v>1460.9699999999998</v>
      </c>
      <c r="H244" s="2"/>
      <c r="I244" s="2"/>
      <c r="J244" s="2"/>
      <c r="K244" s="2"/>
      <c r="L244" s="2">
        <v>2189.9399999999996</v>
      </c>
      <c r="M244" t="s">
        <v>4400</v>
      </c>
      <c r="N244" t="s">
        <v>4403</v>
      </c>
    </row>
    <row r="245" spans="1:14" x14ac:dyDescent="0.4">
      <c r="A245" t="s">
        <v>682</v>
      </c>
      <c r="B245" t="s">
        <v>683</v>
      </c>
      <c r="C245" t="s">
        <v>363</v>
      </c>
      <c r="D245" t="s">
        <v>364</v>
      </c>
      <c r="E245" s="2">
        <v>4279.55</v>
      </c>
      <c r="F245" s="2">
        <v>3474.6599999999994</v>
      </c>
      <c r="G245" s="2">
        <v>5087.4699999999993</v>
      </c>
      <c r="H245" s="2">
        <v>4753.369999999999</v>
      </c>
      <c r="I245" s="2">
        <v>5133.0200000000004</v>
      </c>
      <c r="J245" s="2">
        <v>3805.7099999999996</v>
      </c>
      <c r="K245" s="2">
        <v>1986.3799999999997</v>
      </c>
      <c r="L245" s="2">
        <v>28520.160000000018</v>
      </c>
      <c r="M245" t="s">
        <v>4400</v>
      </c>
      <c r="N245" t="s">
        <v>4400</v>
      </c>
    </row>
    <row r="246" spans="1:14" x14ac:dyDescent="0.4">
      <c r="A246" t="s">
        <v>684</v>
      </c>
      <c r="B246" t="s">
        <v>685</v>
      </c>
      <c r="C246" t="s">
        <v>310</v>
      </c>
      <c r="D246" t="s">
        <v>311</v>
      </c>
      <c r="E246" s="2">
        <v>3122.5499999999988</v>
      </c>
      <c r="F246" s="2">
        <v>3158.5299999999993</v>
      </c>
      <c r="G246" s="2">
        <v>3986.0699999999988</v>
      </c>
      <c r="H246" s="2">
        <v>3161.099999999999</v>
      </c>
      <c r="I246" s="2">
        <v>3795.8899999999985</v>
      </c>
      <c r="J246" s="2">
        <v>3721.3599999999983</v>
      </c>
      <c r="K246" s="2">
        <v>938.05</v>
      </c>
      <c r="L246" s="2">
        <v>21883.550000000036</v>
      </c>
      <c r="M246" t="s">
        <v>4400</v>
      </c>
      <c r="N246" t="s">
        <v>4400</v>
      </c>
    </row>
    <row r="247" spans="1:14" x14ac:dyDescent="0.4">
      <c r="A247" t="s">
        <v>686</v>
      </c>
      <c r="B247" t="s">
        <v>687</v>
      </c>
      <c r="C247" t="s">
        <v>291</v>
      </c>
      <c r="D247" t="s">
        <v>295</v>
      </c>
      <c r="E247" s="2">
        <v>2217.39</v>
      </c>
      <c r="F247" s="2">
        <v>1640.2699999999998</v>
      </c>
      <c r="G247" s="2">
        <v>2202.19</v>
      </c>
      <c r="H247" s="2">
        <v>889.99</v>
      </c>
      <c r="I247" s="2">
        <v>3186.29</v>
      </c>
      <c r="J247" s="2">
        <v>2481.65</v>
      </c>
      <c r="K247" s="2">
        <v>1749.58</v>
      </c>
      <c r="L247" s="2">
        <v>14367.35999999999</v>
      </c>
      <c r="M247" t="s">
        <v>4400</v>
      </c>
      <c r="N247" t="s">
        <v>4400</v>
      </c>
    </row>
    <row r="248" spans="1:14" x14ac:dyDescent="0.4">
      <c r="A248" t="s">
        <v>688</v>
      </c>
      <c r="B248" t="s">
        <v>689</v>
      </c>
      <c r="C248" t="s">
        <v>199</v>
      </c>
      <c r="D248" t="s">
        <v>690</v>
      </c>
      <c r="E248" s="2">
        <v>5737.6799999999967</v>
      </c>
      <c r="F248" s="2">
        <v>6260.0999999999967</v>
      </c>
      <c r="G248" s="2">
        <v>6487.9299999999976</v>
      </c>
      <c r="H248" s="2">
        <v>5737.6899999999978</v>
      </c>
      <c r="I248" s="2">
        <v>6472.7399999999971</v>
      </c>
      <c r="J248" s="2">
        <v>4981.4699999999993</v>
      </c>
      <c r="K248" s="2">
        <v>2381.3800000000006</v>
      </c>
      <c r="L248" s="2">
        <v>38058.989999999983</v>
      </c>
      <c r="M248" t="s">
        <v>4400</v>
      </c>
      <c r="N248" t="s">
        <v>4400</v>
      </c>
    </row>
    <row r="249" spans="1:14" x14ac:dyDescent="0.4">
      <c r="A249" t="s">
        <v>691</v>
      </c>
      <c r="B249" t="s">
        <v>692</v>
      </c>
      <c r="C249" t="s">
        <v>9</v>
      </c>
      <c r="D249" t="s">
        <v>693</v>
      </c>
      <c r="E249" s="2">
        <v>3857.65</v>
      </c>
      <c r="F249" s="2">
        <v>3234.95</v>
      </c>
      <c r="G249" s="2">
        <v>4222.130000000001</v>
      </c>
      <c r="H249" s="2">
        <v>4367.91</v>
      </c>
      <c r="I249" s="2">
        <v>4073.2699999999995</v>
      </c>
      <c r="J249" s="2">
        <v>3635.84</v>
      </c>
      <c r="K249" s="2">
        <v>3186.3100000000004</v>
      </c>
      <c r="L249" s="2">
        <v>26578.059999999994</v>
      </c>
      <c r="M249" t="s">
        <v>4400</v>
      </c>
      <c r="N249" t="s">
        <v>4400</v>
      </c>
    </row>
    <row r="250" spans="1:14" x14ac:dyDescent="0.4">
      <c r="A250" t="s">
        <v>694</v>
      </c>
      <c r="B250" t="s">
        <v>695</v>
      </c>
      <c r="C250" t="s">
        <v>696</v>
      </c>
      <c r="D250" t="s">
        <v>697</v>
      </c>
      <c r="E250" s="2">
        <v>6035.409999999998</v>
      </c>
      <c r="F250" s="2">
        <v>7390.1599999999989</v>
      </c>
      <c r="G250" s="2">
        <v>13268.839999999995</v>
      </c>
      <c r="H250" s="2">
        <v>6488.01</v>
      </c>
      <c r="I250" s="2">
        <v>6415.130000000001</v>
      </c>
      <c r="J250" s="2">
        <v>8605.17</v>
      </c>
      <c r="K250" s="2">
        <v>4088.4399999999996</v>
      </c>
      <c r="L250" s="2">
        <v>52291.159999999989</v>
      </c>
      <c r="M250" t="s">
        <v>4400</v>
      </c>
      <c r="N250" t="s">
        <v>4400</v>
      </c>
    </row>
    <row r="251" spans="1:14" x14ac:dyDescent="0.4">
      <c r="A251" t="s">
        <v>698</v>
      </c>
      <c r="B251" t="s">
        <v>525</v>
      </c>
      <c r="C251" t="s">
        <v>240</v>
      </c>
      <c r="D251" t="s">
        <v>699</v>
      </c>
      <c r="E251" s="2">
        <v>837.81999999999994</v>
      </c>
      <c r="F251" s="2"/>
      <c r="G251" s="2"/>
      <c r="H251" s="2"/>
      <c r="I251" s="2"/>
      <c r="J251" s="2"/>
      <c r="K251" s="2"/>
      <c r="L251" s="2">
        <v>837.81999999999994</v>
      </c>
      <c r="M251" t="s">
        <v>4400</v>
      </c>
      <c r="N251" t="s">
        <v>4407</v>
      </c>
    </row>
    <row r="252" spans="1:14" x14ac:dyDescent="0.4">
      <c r="A252" t="s">
        <v>700</v>
      </c>
      <c r="B252" t="s">
        <v>701</v>
      </c>
      <c r="C252" t="s">
        <v>310</v>
      </c>
      <c r="D252" t="s">
        <v>311</v>
      </c>
      <c r="E252" s="2">
        <v>738.09</v>
      </c>
      <c r="F252" s="2"/>
      <c r="G252" s="2"/>
      <c r="H252" s="2"/>
      <c r="I252" s="2"/>
      <c r="J252" s="2"/>
      <c r="K252" s="2"/>
      <c r="L252" s="2">
        <v>738.09</v>
      </c>
      <c r="M252" t="s">
        <v>4400</v>
      </c>
      <c r="N252" t="s">
        <v>4407</v>
      </c>
    </row>
    <row r="253" spans="1:14" x14ac:dyDescent="0.4">
      <c r="A253" t="s">
        <v>702</v>
      </c>
      <c r="B253" t="s">
        <v>703</v>
      </c>
      <c r="C253" t="s">
        <v>291</v>
      </c>
      <c r="D253" t="s">
        <v>295</v>
      </c>
      <c r="E253" s="2">
        <v>3432.2899999999995</v>
      </c>
      <c r="F253" s="2">
        <v>3383.6099999999997</v>
      </c>
      <c r="G253" s="2">
        <v>3489.9399999999996</v>
      </c>
      <c r="H253" s="2">
        <v>4449.74</v>
      </c>
      <c r="I253" s="2">
        <v>2678.95</v>
      </c>
      <c r="J253" s="2">
        <v>3453.47</v>
      </c>
      <c r="K253" s="2">
        <v>1734.3300000000002</v>
      </c>
      <c r="L253" s="2">
        <v>22622.329999999987</v>
      </c>
      <c r="M253" t="s">
        <v>4400</v>
      </c>
      <c r="N253" t="s">
        <v>4400</v>
      </c>
    </row>
    <row r="254" spans="1:14" x14ac:dyDescent="0.4">
      <c r="A254" t="s">
        <v>704</v>
      </c>
      <c r="B254" t="s">
        <v>705</v>
      </c>
      <c r="C254" t="s">
        <v>291</v>
      </c>
      <c r="D254" t="s">
        <v>295</v>
      </c>
      <c r="E254" s="2">
        <v>4501.3200000000006</v>
      </c>
      <c r="F254" s="2">
        <v>4753.43</v>
      </c>
      <c r="G254" s="2">
        <v>4382.88</v>
      </c>
      <c r="H254" s="2"/>
      <c r="I254" s="2"/>
      <c r="J254" s="2"/>
      <c r="K254" s="2"/>
      <c r="L254" s="2">
        <v>13637.630000000005</v>
      </c>
      <c r="M254" t="s">
        <v>4400</v>
      </c>
      <c r="N254" t="s">
        <v>4403</v>
      </c>
    </row>
    <row r="255" spans="1:14" x14ac:dyDescent="0.4">
      <c r="A255" t="s">
        <v>706</v>
      </c>
      <c r="B255" t="s">
        <v>707</v>
      </c>
      <c r="C255" t="s">
        <v>64</v>
      </c>
      <c r="D255" t="s">
        <v>708</v>
      </c>
      <c r="E255" s="2">
        <v>4665.63</v>
      </c>
      <c r="F255" s="2">
        <v>1846.73</v>
      </c>
      <c r="G255" s="2"/>
      <c r="H255" s="2"/>
      <c r="I255" s="2"/>
      <c r="J255" s="2">
        <v>1811.85</v>
      </c>
      <c r="K255" s="2">
        <v>1824.6999999999998</v>
      </c>
      <c r="L255" s="2">
        <v>10148.910000000002</v>
      </c>
      <c r="M255" t="s">
        <v>4400</v>
      </c>
      <c r="N255" t="s">
        <v>4400</v>
      </c>
    </row>
    <row r="256" spans="1:14" x14ac:dyDescent="0.4">
      <c r="A256" t="s">
        <v>709</v>
      </c>
      <c r="B256" t="s">
        <v>710</v>
      </c>
      <c r="C256" t="s">
        <v>423</v>
      </c>
      <c r="D256" t="s">
        <v>424</v>
      </c>
      <c r="E256" s="2">
        <v>1533.9099999999999</v>
      </c>
      <c r="F256" s="2"/>
      <c r="G256" s="2"/>
      <c r="H256" s="2"/>
      <c r="I256" s="2"/>
      <c r="J256" s="2"/>
      <c r="K256" s="2"/>
      <c r="L256" s="2">
        <v>1533.9099999999999</v>
      </c>
      <c r="M256" t="s">
        <v>4400</v>
      </c>
      <c r="N256" t="s">
        <v>4407</v>
      </c>
    </row>
    <row r="257" spans="1:14" x14ac:dyDescent="0.4">
      <c r="A257" t="s">
        <v>711</v>
      </c>
      <c r="B257" t="s">
        <v>712</v>
      </c>
      <c r="C257" t="s">
        <v>496</v>
      </c>
      <c r="D257" t="s">
        <v>713</v>
      </c>
      <c r="E257" s="2"/>
      <c r="F257" s="2"/>
      <c r="G257" s="2">
        <v>1509.6200000000001</v>
      </c>
      <c r="H257" s="2">
        <v>7508.5999999999967</v>
      </c>
      <c r="I257" s="2">
        <v>5090.8599999999988</v>
      </c>
      <c r="J257" s="2">
        <v>4580.5499999999993</v>
      </c>
      <c r="K257" s="2">
        <v>2390.52</v>
      </c>
      <c r="L257" s="2">
        <v>21080.150000000005</v>
      </c>
      <c r="M257" t="s">
        <v>4411</v>
      </c>
      <c r="N257" t="s">
        <v>4400</v>
      </c>
    </row>
    <row r="258" spans="1:14" x14ac:dyDescent="0.4">
      <c r="A258" t="s">
        <v>714</v>
      </c>
      <c r="B258" t="s">
        <v>715</v>
      </c>
      <c r="C258" t="s">
        <v>52</v>
      </c>
      <c r="D258" t="s">
        <v>150</v>
      </c>
      <c r="E258" s="2">
        <v>4012.4199999999996</v>
      </c>
      <c r="F258" s="2">
        <v>2852.15</v>
      </c>
      <c r="G258" s="2">
        <v>4893.2999999999984</v>
      </c>
      <c r="H258" s="2">
        <v>4966.1699999999983</v>
      </c>
      <c r="I258" s="2">
        <v>5746.7799999999988</v>
      </c>
      <c r="J258" s="2">
        <v>7481.1999999999962</v>
      </c>
      <c r="K258" s="2">
        <v>2615.25</v>
      </c>
      <c r="L258" s="2">
        <v>32567.269999999986</v>
      </c>
      <c r="M258" t="s">
        <v>4400</v>
      </c>
      <c r="N258" t="s">
        <v>4400</v>
      </c>
    </row>
    <row r="259" spans="1:14" x14ac:dyDescent="0.4">
      <c r="A259" t="s">
        <v>716</v>
      </c>
      <c r="B259" t="s">
        <v>717</v>
      </c>
      <c r="C259" t="s">
        <v>199</v>
      </c>
      <c r="D259" t="s">
        <v>612</v>
      </c>
      <c r="E259" s="2">
        <v>2549.4399999999991</v>
      </c>
      <c r="F259" s="2">
        <v>2387.5300000000002</v>
      </c>
      <c r="G259" s="2">
        <v>1020.2899999999997</v>
      </c>
      <c r="H259" s="2">
        <v>1405.7899999999997</v>
      </c>
      <c r="I259" s="2">
        <v>3101.9899999999993</v>
      </c>
      <c r="J259" s="2">
        <v>3307.5899999999992</v>
      </c>
      <c r="K259" s="2"/>
      <c r="L259" s="2">
        <v>13772.630000000006</v>
      </c>
      <c r="M259" t="s">
        <v>4400</v>
      </c>
      <c r="N259" t="s">
        <v>4406</v>
      </c>
    </row>
    <row r="260" spans="1:14" x14ac:dyDescent="0.4">
      <c r="A260" t="s">
        <v>718</v>
      </c>
      <c r="B260" t="s">
        <v>719</v>
      </c>
      <c r="C260" t="s">
        <v>60</v>
      </c>
      <c r="D260" t="s">
        <v>720</v>
      </c>
      <c r="E260" s="2">
        <v>6727.8399999999965</v>
      </c>
      <c r="F260" s="2">
        <v>3842.32</v>
      </c>
      <c r="G260" s="2">
        <v>3168.03</v>
      </c>
      <c r="H260" s="2">
        <v>4376.93</v>
      </c>
      <c r="I260" s="2">
        <v>3338.1</v>
      </c>
      <c r="J260" s="2">
        <v>847.43000000000006</v>
      </c>
      <c r="K260" s="2">
        <v>1518.7099999999998</v>
      </c>
      <c r="L260" s="2">
        <v>23819.359999999964</v>
      </c>
      <c r="M260" t="s">
        <v>4400</v>
      </c>
      <c r="N260" t="s">
        <v>4400</v>
      </c>
    </row>
    <row r="261" spans="1:14" x14ac:dyDescent="0.4">
      <c r="A261" t="s">
        <v>721</v>
      </c>
      <c r="B261" t="s">
        <v>722</v>
      </c>
      <c r="C261" t="s">
        <v>60</v>
      </c>
      <c r="D261" t="s">
        <v>61</v>
      </c>
      <c r="E261" s="2">
        <v>3532.5499999999997</v>
      </c>
      <c r="F261" s="2">
        <v>780.58999999999992</v>
      </c>
      <c r="G261" s="2"/>
      <c r="H261" s="2"/>
      <c r="I261" s="2"/>
      <c r="J261" s="2"/>
      <c r="K261" s="2"/>
      <c r="L261" s="2">
        <v>4313.1399999999994</v>
      </c>
      <c r="M261" t="s">
        <v>4400</v>
      </c>
      <c r="N261" t="s">
        <v>4410</v>
      </c>
    </row>
    <row r="262" spans="1:14" x14ac:dyDescent="0.4">
      <c r="A262" t="s">
        <v>723</v>
      </c>
      <c r="B262" t="s">
        <v>724</v>
      </c>
      <c r="C262" t="s">
        <v>31</v>
      </c>
      <c r="D262" t="s">
        <v>471</v>
      </c>
      <c r="E262" s="2">
        <v>2144.37</v>
      </c>
      <c r="F262" s="2">
        <v>713.78</v>
      </c>
      <c r="G262" s="2">
        <v>2147.3999999999996</v>
      </c>
      <c r="H262" s="2">
        <v>744.14999999999986</v>
      </c>
      <c r="I262" s="2"/>
      <c r="J262" s="2"/>
      <c r="K262" s="2"/>
      <c r="L262" s="2">
        <v>5749.7000000000007</v>
      </c>
      <c r="M262" t="s">
        <v>4400</v>
      </c>
      <c r="N262" t="s">
        <v>4402</v>
      </c>
    </row>
    <row r="263" spans="1:14" x14ac:dyDescent="0.4">
      <c r="A263" t="s">
        <v>725</v>
      </c>
      <c r="B263" t="s">
        <v>726</v>
      </c>
      <c r="C263" t="s">
        <v>199</v>
      </c>
      <c r="D263" t="s">
        <v>727</v>
      </c>
      <c r="E263" s="2">
        <v>6642.7099999999982</v>
      </c>
      <c r="F263" s="2">
        <v>6266.08</v>
      </c>
      <c r="G263" s="2">
        <v>9388.4699999999993</v>
      </c>
      <c r="H263" s="2">
        <v>7377.72</v>
      </c>
      <c r="I263" s="2">
        <v>6554.59</v>
      </c>
      <c r="J263" s="2">
        <v>6697.4099999999989</v>
      </c>
      <c r="K263" s="2">
        <v>5275.9000000000005</v>
      </c>
      <c r="L263" s="2">
        <v>48202.880000000092</v>
      </c>
      <c r="M263" t="s">
        <v>4400</v>
      </c>
      <c r="N263" t="s">
        <v>4400</v>
      </c>
    </row>
    <row r="264" spans="1:14" x14ac:dyDescent="0.4">
      <c r="A264" t="s">
        <v>728</v>
      </c>
      <c r="B264" t="s">
        <v>729</v>
      </c>
      <c r="C264" t="s">
        <v>13</v>
      </c>
      <c r="D264" t="s">
        <v>14</v>
      </c>
      <c r="E264" s="2">
        <v>5140.0000000000009</v>
      </c>
      <c r="F264" s="2">
        <v>4970.38</v>
      </c>
      <c r="G264" s="2">
        <v>4816.18</v>
      </c>
      <c r="H264" s="2">
        <v>5502.3700000000008</v>
      </c>
      <c r="I264" s="2">
        <v>3477.2100000000014</v>
      </c>
      <c r="J264" s="2">
        <v>4147.9800000000014</v>
      </c>
      <c r="K264" s="2">
        <v>1896.66</v>
      </c>
      <c r="L264" s="2">
        <v>29950.780000000064</v>
      </c>
      <c r="M264" t="s">
        <v>4400</v>
      </c>
      <c r="N264" t="s">
        <v>4400</v>
      </c>
    </row>
    <row r="265" spans="1:14" x14ac:dyDescent="0.4">
      <c r="A265" t="s">
        <v>730</v>
      </c>
      <c r="B265" t="s">
        <v>731</v>
      </c>
      <c r="C265" t="s">
        <v>258</v>
      </c>
      <c r="D265" t="s">
        <v>259</v>
      </c>
      <c r="E265" s="2">
        <v>5925.9399999999978</v>
      </c>
      <c r="F265" s="2">
        <v>4392.0599999999995</v>
      </c>
      <c r="G265" s="2">
        <v>3805.8800000000006</v>
      </c>
      <c r="H265" s="2">
        <v>4507.49</v>
      </c>
      <c r="I265" s="2">
        <v>4185.53</v>
      </c>
      <c r="J265" s="2">
        <v>4267.5400000000009</v>
      </c>
      <c r="K265" s="2">
        <v>1895.3400000000001</v>
      </c>
      <c r="L265" s="2">
        <v>28979.779999999995</v>
      </c>
      <c r="M265" t="s">
        <v>4400</v>
      </c>
      <c r="N265" t="s">
        <v>4400</v>
      </c>
    </row>
    <row r="266" spans="1:14" x14ac:dyDescent="0.4">
      <c r="A266" t="s">
        <v>732</v>
      </c>
      <c r="B266" t="s">
        <v>733</v>
      </c>
      <c r="C266" t="s">
        <v>159</v>
      </c>
      <c r="D266" t="s">
        <v>160</v>
      </c>
      <c r="E266" s="2">
        <v>4383.07</v>
      </c>
      <c r="F266" s="2">
        <v>6008.1199999999981</v>
      </c>
      <c r="G266" s="2">
        <v>6867.85</v>
      </c>
      <c r="H266" s="2">
        <v>4049.0299999999997</v>
      </c>
      <c r="I266" s="2">
        <v>4364.9799999999996</v>
      </c>
      <c r="J266" s="2">
        <v>5276.19</v>
      </c>
      <c r="K266" s="2">
        <v>2187.0099999999998</v>
      </c>
      <c r="L266" s="2">
        <v>33136.250000000007</v>
      </c>
      <c r="M266" t="s">
        <v>4400</v>
      </c>
      <c r="N266" t="s">
        <v>4400</v>
      </c>
    </row>
    <row r="267" spans="1:14" x14ac:dyDescent="0.4">
      <c r="A267" t="s">
        <v>734</v>
      </c>
      <c r="B267" t="s">
        <v>158</v>
      </c>
      <c r="C267" t="s">
        <v>159</v>
      </c>
      <c r="D267" t="s">
        <v>160</v>
      </c>
      <c r="E267" s="2">
        <v>3329.02</v>
      </c>
      <c r="F267" s="2">
        <v>3186.2900000000009</v>
      </c>
      <c r="G267" s="2">
        <v>4395.1900000000005</v>
      </c>
      <c r="H267" s="2">
        <v>3207.5400000000004</v>
      </c>
      <c r="I267" s="2">
        <v>4149.16</v>
      </c>
      <c r="J267" s="2">
        <v>3945.6300000000006</v>
      </c>
      <c r="K267" s="2">
        <v>1661.4799999999998</v>
      </c>
      <c r="L267" s="2">
        <v>23874.309999999972</v>
      </c>
      <c r="M267" t="s">
        <v>4400</v>
      </c>
      <c r="N267" t="s">
        <v>4400</v>
      </c>
    </row>
    <row r="268" spans="1:14" x14ac:dyDescent="0.4">
      <c r="A268" t="s">
        <v>735</v>
      </c>
      <c r="B268" t="s">
        <v>736</v>
      </c>
      <c r="C268" t="s">
        <v>542</v>
      </c>
      <c r="D268" t="s">
        <v>737</v>
      </c>
      <c r="E268" s="2">
        <v>2918.99</v>
      </c>
      <c r="F268" s="2">
        <v>2922.03</v>
      </c>
      <c r="G268" s="2">
        <v>3617.5999999999995</v>
      </c>
      <c r="H268" s="2">
        <v>2979.7399999999993</v>
      </c>
      <c r="I268" s="2">
        <v>2918.97</v>
      </c>
      <c r="J268" s="2">
        <v>2903.82</v>
      </c>
      <c r="K268" s="2">
        <v>923.3900000000001</v>
      </c>
      <c r="L268" s="2">
        <v>19184.539999999983</v>
      </c>
      <c r="M268" t="s">
        <v>4400</v>
      </c>
      <c r="N268" t="s">
        <v>4400</v>
      </c>
    </row>
    <row r="269" spans="1:14" x14ac:dyDescent="0.4">
      <c r="A269" t="s">
        <v>738</v>
      </c>
      <c r="B269" t="s">
        <v>739</v>
      </c>
      <c r="C269" t="s">
        <v>5</v>
      </c>
      <c r="D269" t="s">
        <v>740</v>
      </c>
      <c r="E269" s="2"/>
      <c r="F269" s="2">
        <v>1442.77</v>
      </c>
      <c r="G269" s="2">
        <v>2189.9699999999998</v>
      </c>
      <c r="H269" s="2">
        <v>2220.3099999999995</v>
      </c>
      <c r="I269" s="2">
        <v>1476.1599999999999</v>
      </c>
      <c r="J269" s="2">
        <v>1637.1699999999996</v>
      </c>
      <c r="K269" s="2">
        <v>899.06000000000006</v>
      </c>
      <c r="L269" s="2">
        <v>9865.4399999999951</v>
      </c>
      <c r="M269" t="s">
        <v>4412</v>
      </c>
      <c r="N269" t="s">
        <v>4400</v>
      </c>
    </row>
    <row r="270" spans="1:14" x14ac:dyDescent="0.4">
      <c r="A270" t="s">
        <v>741</v>
      </c>
      <c r="B270" t="s">
        <v>455</v>
      </c>
      <c r="C270" t="s">
        <v>447</v>
      </c>
      <c r="D270" t="s">
        <v>742</v>
      </c>
      <c r="E270" s="2">
        <v>4841.63</v>
      </c>
      <c r="F270" s="2">
        <v>4519.6099999999997</v>
      </c>
      <c r="G270" s="2">
        <v>4549.9199999999992</v>
      </c>
      <c r="H270" s="2">
        <v>4474.0599999999986</v>
      </c>
      <c r="I270" s="2">
        <v>3669.15</v>
      </c>
      <c r="J270" s="2">
        <v>3186.2299999999996</v>
      </c>
      <c r="K270" s="2">
        <v>1925.6599999999999</v>
      </c>
      <c r="L270" s="2">
        <v>27166.259999999977</v>
      </c>
      <c r="M270" t="s">
        <v>4400</v>
      </c>
      <c r="N270" t="s">
        <v>4400</v>
      </c>
    </row>
    <row r="271" spans="1:14" x14ac:dyDescent="0.4">
      <c r="A271" t="s">
        <v>743</v>
      </c>
      <c r="B271" t="s">
        <v>744</v>
      </c>
      <c r="C271" t="s">
        <v>291</v>
      </c>
      <c r="D271" t="s">
        <v>745</v>
      </c>
      <c r="E271" s="2">
        <v>2274.9899999999998</v>
      </c>
      <c r="F271" s="2">
        <v>2882.5</v>
      </c>
      <c r="G271" s="2">
        <v>4601.6699999999992</v>
      </c>
      <c r="H271" s="2">
        <v>2727.5799999999995</v>
      </c>
      <c r="I271" s="2">
        <v>2776.16</v>
      </c>
      <c r="J271" s="2">
        <v>4045.7799999999988</v>
      </c>
      <c r="K271" s="2">
        <v>1861.9299999999998</v>
      </c>
      <c r="L271" s="2">
        <v>21170.609999999979</v>
      </c>
      <c r="M271" t="s">
        <v>4400</v>
      </c>
      <c r="N271" t="s">
        <v>4400</v>
      </c>
    </row>
    <row r="272" spans="1:14" x14ac:dyDescent="0.4">
      <c r="A272" t="s">
        <v>746</v>
      </c>
      <c r="B272" t="s">
        <v>747</v>
      </c>
      <c r="C272" t="s">
        <v>447</v>
      </c>
      <c r="D272" t="s">
        <v>748</v>
      </c>
      <c r="E272" s="2">
        <v>7921.6899999999987</v>
      </c>
      <c r="F272" s="2">
        <v>5108.9899999999989</v>
      </c>
      <c r="G272" s="2">
        <v>8808.5399999999991</v>
      </c>
      <c r="H272" s="2">
        <v>4756.579999999999</v>
      </c>
      <c r="I272" s="2">
        <v>1889.26</v>
      </c>
      <c r="J272" s="2">
        <v>3732.9900000000002</v>
      </c>
      <c r="K272" s="2">
        <v>2694.1800000000003</v>
      </c>
      <c r="L272" s="2">
        <v>34912.230000000047</v>
      </c>
      <c r="M272" t="s">
        <v>4400</v>
      </c>
      <c r="N272" t="s">
        <v>4400</v>
      </c>
    </row>
    <row r="273" spans="1:14" x14ac:dyDescent="0.4">
      <c r="A273" t="s">
        <v>749</v>
      </c>
      <c r="B273" t="s">
        <v>750</v>
      </c>
      <c r="C273" t="s">
        <v>433</v>
      </c>
      <c r="D273" t="s">
        <v>751</v>
      </c>
      <c r="E273" s="2">
        <v>3729.8799999999997</v>
      </c>
      <c r="F273" s="2">
        <v>3766.3000000000006</v>
      </c>
      <c r="G273" s="2">
        <v>5777.0000000000018</v>
      </c>
      <c r="H273" s="2">
        <v>7161.9799999999987</v>
      </c>
      <c r="I273" s="2">
        <v>9619.17</v>
      </c>
      <c r="J273" s="2">
        <v>7927.4800000000005</v>
      </c>
      <c r="K273" s="2">
        <v>4106.4900000000007</v>
      </c>
      <c r="L273" s="2">
        <v>42088.299999999996</v>
      </c>
      <c r="M273" t="s">
        <v>4400</v>
      </c>
      <c r="N273" t="s">
        <v>4400</v>
      </c>
    </row>
    <row r="274" spans="1:14" x14ac:dyDescent="0.4">
      <c r="A274" t="s">
        <v>752</v>
      </c>
      <c r="B274" t="s">
        <v>343</v>
      </c>
      <c r="C274" t="s">
        <v>337</v>
      </c>
      <c r="D274" t="s">
        <v>344</v>
      </c>
      <c r="E274" s="2">
        <v>4446.869999999999</v>
      </c>
      <c r="F274" s="2">
        <v>3104.31</v>
      </c>
      <c r="G274" s="2"/>
      <c r="H274" s="2"/>
      <c r="I274" s="2"/>
      <c r="J274" s="2"/>
      <c r="K274" s="2"/>
      <c r="L274" s="2">
        <v>7551.1799999999967</v>
      </c>
      <c r="M274" t="s">
        <v>4400</v>
      </c>
      <c r="N274" t="s">
        <v>4410</v>
      </c>
    </row>
    <row r="275" spans="1:14" x14ac:dyDescent="0.4">
      <c r="A275" t="s">
        <v>753</v>
      </c>
      <c r="B275" t="s">
        <v>754</v>
      </c>
      <c r="C275" t="s">
        <v>755</v>
      </c>
      <c r="D275" t="s">
        <v>756</v>
      </c>
      <c r="E275" s="2">
        <v>3736.05</v>
      </c>
      <c r="F275" s="2">
        <v>2879.4499999999994</v>
      </c>
      <c r="G275" s="2">
        <v>3201.4500000000003</v>
      </c>
      <c r="H275" s="2">
        <v>2265.9299999999994</v>
      </c>
      <c r="I275" s="2">
        <v>4152.1799999999985</v>
      </c>
      <c r="J275" s="2">
        <v>2970.5999999999995</v>
      </c>
      <c r="K275" s="2">
        <v>956.79</v>
      </c>
      <c r="L275" s="2">
        <v>20162.449999999979</v>
      </c>
      <c r="M275" t="s">
        <v>4400</v>
      </c>
      <c r="N275" t="s">
        <v>4400</v>
      </c>
    </row>
    <row r="276" spans="1:14" x14ac:dyDescent="0.4">
      <c r="A276" t="s">
        <v>757</v>
      </c>
      <c r="B276" t="s">
        <v>758</v>
      </c>
      <c r="C276" t="s">
        <v>109</v>
      </c>
      <c r="D276" t="s">
        <v>110</v>
      </c>
      <c r="E276" s="2">
        <v>7162.1499999999987</v>
      </c>
      <c r="F276" s="2">
        <v>7259.2899999999972</v>
      </c>
      <c r="G276" s="2">
        <v>7459.7999999999993</v>
      </c>
      <c r="H276" s="2">
        <v>9033.1300000000028</v>
      </c>
      <c r="I276" s="2">
        <v>11128.960000000001</v>
      </c>
      <c r="J276" s="2">
        <v>5716.3700000000008</v>
      </c>
      <c r="K276" s="2">
        <v>3465.5999999999995</v>
      </c>
      <c r="L276" s="2">
        <v>51225.3</v>
      </c>
      <c r="M276" t="s">
        <v>4400</v>
      </c>
      <c r="N276" t="s">
        <v>4400</v>
      </c>
    </row>
    <row r="277" spans="1:14" x14ac:dyDescent="0.4">
      <c r="A277" t="s">
        <v>759</v>
      </c>
      <c r="B277" t="s">
        <v>760</v>
      </c>
      <c r="C277" t="s">
        <v>359</v>
      </c>
      <c r="D277" t="s">
        <v>360</v>
      </c>
      <c r="E277" s="2"/>
      <c r="F277" s="2"/>
      <c r="G277" s="2"/>
      <c r="H277" s="2">
        <v>5831.7100000000009</v>
      </c>
      <c r="I277" s="2">
        <v>3981.9900000000002</v>
      </c>
      <c r="J277" s="2">
        <v>3851.3699999999994</v>
      </c>
      <c r="K277" s="2">
        <v>1825.4799999999998</v>
      </c>
      <c r="L277" s="2">
        <v>15490.549999999992</v>
      </c>
      <c r="M277" t="s">
        <v>4409</v>
      </c>
      <c r="N277" t="s">
        <v>4400</v>
      </c>
    </row>
    <row r="278" spans="1:14" x14ac:dyDescent="0.4">
      <c r="A278" t="s">
        <v>761</v>
      </c>
      <c r="B278" t="s">
        <v>762</v>
      </c>
      <c r="C278" t="s">
        <v>113</v>
      </c>
      <c r="D278" t="s">
        <v>114</v>
      </c>
      <c r="E278" s="2">
        <v>3849.8599999999997</v>
      </c>
      <c r="F278" s="2">
        <v>3872.9899999999993</v>
      </c>
      <c r="G278" s="2">
        <v>3448.9399999999991</v>
      </c>
      <c r="H278" s="2">
        <v>3770.1899999999987</v>
      </c>
      <c r="I278" s="2">
        <v>2945.2200000000003</v>
      </c>
      <c r="J278" s="2">
        <v>3058.2999999999993</v>
      </c>
      <c r="K278" s="2">
        <v>1495.7400000000002</v>
      </c>
      <c r="L278" s="2">
        <v>22441.240000000053</v>
      </c>
      <c r="M278" t="s">
        <v>4400</v>
      </c>
      <c r="N278" t="s">
        <v>4400</v>
      </c>
    </row>
    <row r="279" spans="1:14" x14ac:dyDescent="0.4">
      <c r="A279" t="s">
        <v>763</v>
      </c>
      <c r="B279" t="s">
        <v>764</v>
      </c>
      <c r="C279" t="s">
        <v>159</v>
      </c>
      <c r="D279" t="s">
        <v>765</v>
      </c>
      <c r="E279" s="2"/>
      <c r="F279" s="2"/>
      <c r="G279" s="2">
        <v>2138.3900000000003</v>
      </c>
      <c r="H279" s="2">
        <v>4671.58</v>
      </c>
      <c r="I279" s="2">
        <v>4088.4999999999995</v>
      </c>
      <c r="J279" s="2">
        <v>3945.7400000000002</v>
      </c>
      <c r="K279" s="2">
        <v>1874.1499999999999</v>
      </c>
      <c r="L279" s="2">
        <v>16718.360000000004</v>
      </c>
      <c r="M279" t="s">
        <v>4411</v>
      </c>
      <c r="N279" t="s">
        <v>4400</v>
      </c>
    </row>
    <row r="280" spans="1:14" x14ac:dyDescent="0.4">
      <c r="A280" t="s">
        <v>766</v>
      </c>
      <c r="B280" t="s">
        <v>767</v>
      </c>
      <c r="C280" t="s">
        <v>78</v>
      </c>
      <c r="D280" t="s">
        <v>768</v>
      </c>
      <c r="E280" s="2">
        <v>1497.4299999999998</v>
      </c>
      <c r="F280" s="2">
        <v>756.32999999999993</v>
      </c>
      <c r="G280" s="2">
        <v>1558.22</v>
      </c>
      <c r="H280" s="2">
        <v>1652.39</v>
      </c>
      <c r="I280" s="2">
        <v>823.16000000000008</v>
      </c>
      <c r="J280" s="2">
        <v>1500.5099999999998</v>
      </c>
      <c r="K280" s="2"/>
      <c r="L280" s="2">
        <v>7788.0400000000054</v>
      </c>
      <c r="M280" t="s">
        <v>4400</v>
      </c>
      <c r="N280" t="s">
        <v>4406</v>
      </c>
    </row>
    <row r="281" spans="1:14" x14ac:dyDescent="0.4">
      <c r="A281" t="s">
        <v>769</v>
      </c>
      <c r="B281" t="s">
        <v>770</v>
      </c>
      <c r="C281" t="s">
        <v>410</v>
      </c>
      <c r="D281" t="s">
        <v>414</v>
      </c>
      <c r="E281" s="2">
        <v>4036.7800000000011</v>
      </c>
      <c r="F281" s="2">
        <v>4255.4699999999993</v>
      </c>
      <c r="G281" s="2">
        <v>6114.36</v>
      </c>
      <c r="H281" s="2">
        <v>5728.61</v>
      </c>
      <c r="I281" s="2">
        <v>4656.3900000000003</v>
      </c>
      <c r="J281" s="2">
        <v>5497.75</v>
      </c>
      <c r="K281" s="2">
        <v>1099.55</v>
      </c>
      <c r="L281" s="2">
        <v>31388.909999999949</v>
      </c>
      <c r="M281" t="s">
        <v>4400</v>
      </c>
      <c r="N281" t="s">
        <v>4400</v>
      </c>
    </row>
    <row r="282" spans="1:14" x14ac:dyDescent="0.4">
      <c r="A282" t="s">
        <v>771</v>
      </c>
      <c r="B282" t="s">
        <v>772</v>
      </c>
      <c r="C282" t="s">
        <v>363</v>
      </c>
      <c r="D282" t="s">
        <v>364</v>
      </c>
      <c r="E282" s="2">
        <v>5309.5400000000009</v>
      </c>
      <c r="F282" s="2">
        <v>3277.4699999999993</v>
      </c>
      <c r="G282" s="2">
        <v>4304.0899999999992</v>
      </c>
      <c r="H282" s="2">
        <v>4431.6600000000008</v>
      </c>
      <c r="I282" s="2">
        <v>3007.0600000000009</v>
      </c>
      <c r="J282" s="2">
        <v>4301.04</v>
      </c>
      <c r="K282" s="2">
        <v>768.48</v>
      </c>
      <c r="L282" s="2">
        <v>25399.339999999975</v>
      </c>
      <c r="M282" t="s">
        <v>4400</v>
      </c>
      <c r="N282" t="s">
        <v>4400</v>
      </c>
    </row>
    <row r="283" spans="1:14" x14ac:dyDescent="0.4">
      <c r="A283" t="s">
        <v>773</v>
      </c>
      <c r="B283" t="s">
        <v>774</v>
      </c>
      <c r="C283" t="s">
        <v>359</v>
      </c>
      <c r="D283" t="s">
        <v>360</v>
      </c>
      <c r="E283" s="2">
        <v>3067.82</v>
      </c>
      <c r="F283" s="2">
        <v>1135.98</v>
      </c>
      <c r="G283" s="2">
        <v>1865.03</v>
      </c>
      <c r="H283" s="2">
        <v>3912.22</v>
      </c>
      <c r="I283" s="2">
        <v>4389.130000000001</v>
      </c>
      <c r="J283" s="2">
        <v>3493.02</v>
      </c>
      <c r="K283" s="2">
        <v>1998.6799999999998</v>
      </c>
      <c r="L283" s="2">
        <v>19861.879999999986</v>
      </c>
      <c r="M283" t="s">
        <v>4400</v>
      </c>
      <c r="N283" t="s">
        <v>4400</v>
      </c>
    </row>
    <row r="284" spans="1:14" x14ac:dyDescent="0.4">
      <c r="A284" t="s">
        <v>775</v>
      </c>
      <c r="B284" t="s">
        <v>776</v>
      </c>
      <c r="C284" t="s">
        <v>423</v>
      </c>
      <c r="D284" t="s">
        <v>777</v>
      </c>
      <c r="E284" s="2">
        <v>7848.7900000000018</v>
      </c>
      <c r="F284" s="2">
        <v>6500.1300000000019</v>
      </c>
      <c r="G284" s="2">
        <v>4859.920000000001</v>
      </c>
      <c r="H284" s="2"/>
      <c r="I284" s="2"/>
      <c r="J284" s="2"/>
      <c r="K284" s="2"/>
      <c r="L284" s="2">
        <v>19208.839999999975</v>
      </c>
      <c r="M284" t="s">
        <v>4400</v>
      </c>
      <c r="N284" t="s">
        <v>4403</v>
      </c>
    </row>
    <row r="285" spans="1:14" x14ac:dyDescent="0.4">
      <c r="A285" t="s">
        <v>778</v>
      </c>
      <c r="B285" t="s">
        <v>779</v>
      </c>
      <c r="C285" t="s">
        <v>390</v>
      </c>
      <c r="D285" t="s">
        <v>394</v>
      </c>
      <c r="E285" s="2">
        <v>4510.46</v>
      </c>
      <c r="F285" s="2">
        <v>4176.3999999999996</v>
      </c>
      <c r="G285" s="2">
        <v>6001.880000000001</v>
      </c>
      <c r="H285" s="2">
        <v>3076.8700000000003</v>
      </c>
      <c r="I285" s="2"/>
      <c r="J285" s="2"/>
      <c r="K285" s="2"/>
      <c r="L285" s="2">
        <v>17765.609999999993</v>
      </c>
      <c r="M285" t="s">
        <v>4400</v>
      </c>
      <c r="N285" t="s">
        <v>4402</v>
      </c>
    </row>
    <row r="286" spans="1:14" x14ac:dyDescent="0.4">
      <c r="A286" t="s">
        <v>780</v>
      </c>
      <c r="B286" t="s">
        <v>781</v>
      </c>
      <c r="C286" t="s">
        <v>113</v>
      </c>
      <c r="D286" t="s">
        <v>114</v>
      </c>
      <c r="E286" s="2"/>
      <c r="F286" s="2"/>
      <c r="G286" s="2"/>
      <c r="H286" s="2">
        <v>2080.5899999999992</v>
      </c>
      <c r="I286" s="2"/>
      <c r="J286" s="2"/>
      <c r="K286" s="2"/>
      <c r="L286" s="2">
        <v>2080.5899999999992</v>
      </c>
      <c r="M286" t="s">
        <v>4409</v>
      </c>
      <c r="N286" t="s">
        <v>4402</v>
      </c>
    </row>
    <row r="287" spans="1:14" x14ac:dyDescent="0.4">
      <c r="A287" t="s">
        <v>782</v>
      </c>
      <c r="B287" t="s">
        <v>783</v>
      </c>
      <c r="C287" t="s">
        <v>447</v>
      </c>
      <c r="D287" t="s">
        <v>784</v>
      </c>
      <c r="E287" s="2"/>
      <c r="F287" s="2"/>
      <c r="G287" s="2">
        <v>719.86000000000013</v>
      </c>
      <c r="H287" s="2">
        <v>1442.76</v>
      </c>
      <c r="I287" s="2">
        <v>1464.0100000000002</v>
      </c>
      <c r="J287" s="2">
        <v>741.13</v>
      </c>
      <c r="K287" s="2"/>
      <c r="L287" s="2">
        <v>4367.7599999999984</v>
      </c>
      <c r="M287" t="s">
        <v>4411</v>
      </c>
      <c r="N287" t="s">
        <v>4406</v>
      </c>
    </row>
    <row r="288" spans="1:14" x14ac:dyDescent="0.4">
      <c r="A288" t="s">
        <v>785</v>
      </c>
      <c r="B288" t="s">
        <v>786</v>
      </c>
      <c r="C288" t="s">
        <v>31</v>
      </c>
      <c r="D288" t="s">
        <v>471</v>
      </c>
      <c r="E288" s="2">
        <v>1889.26</v>
      </c>
      <c r="F288" s="2">
        <v>2630.4199999999996</v>
      </c>
      <c r="G288" s="2">
        <v>2803.58</v>
      </c>
      <c r="H288" s="2">
        <v>2937.1699999999992</v>
      </c>
      <c r="I288" s="2">
        <v>2782.2799999999993</v>
      </c>
      <c r="J288" s="2">
        <v>1846.76</v>
      </c>
      <c r="K288" s="2">
        <v>1691.83</v>
      </c>
      <c r="L288" s="2">
        <v>16581.299999999977</v>
      </c>
      <c r="M288" t="s">
        <v>4400</v>
      </c>
      <c r="N288" t="s">
        <v>4400</v>
      </c>
    </row>
    <row r="289" spans="1:14" x14ac:dyDescent="0.4">
      <c r="A289" t="s">
        <v>787</v>
      </c>
      <c r="B289" t="s">
        <v>788</v>
      </c>
      <c r="C289" t="s">
        <v>52</v>
      </c>
      <c r="D289" t="s">
        <v>53</v>
      </c>
      <c r="E289" s="2">
        <v>3872.99</v>
      </c>
      <c r="F289" s="2">
        <v>1619.1000000000001</v>
      </c>
      <c r="G289" s="2">
        <v>2965.7799999999988</v>
      </c>
      <c r="H289" s="2">
        <v>4207.0899999999992</v>
      </c>
      <c r="I289" s="2">
        <v>1477.7499999999998</v>
      </c>
      <c r="J289" s="2"/>
      <c r="K289" s="2"/>
      <c r="L289" s="2">
        <v>14142.710000000014</v>
      </c>
      <c r="M289" t="s">
        <v>4400</v>
      </c>
      <c r="N289" t="s">
        <v>4401</v>
      </c>
    </row>
    <row r="290" spans="1:14" x14ac:dyDescent="0.4">
      <c r="A290" t="s">
        <v>789</v>
      </c>
      <c r="B290" t="s">
        <v>790</v>
      </c>
      <c r="C290" t="s">
        <v>791</v>
      </c>
      <c r="D290" t="s">
        <v>792</v>
      </c>
      <c r="E290" s="2">
        <v>6099.0599999999959</v>
      </c>
      <c r="F290" s="2">
        <v>2918.9400000000005</v>
      </c>
      <c r="G290" s="2">
        <v>1217.99</v>
      </c>
      <c r="H290" s="2">
        <v>4149.0899999999983</v>
      </c>
      <c r="I290" s="2">
        <v>1190.67</v>
      </c>
      <c r="J290" s="2"/>
      <c r="K290" s="2"/>
      <c r="L290" s="2">
        <v>15575.749999999996</v>
      </c>
      <c r="M290" t="s">
        <v>4400</v>
      </c>
      <c r="N290" t="s">
        <v>4401</v>
      </c>
    </row>
    <row r="291" spans="1:14" x14ac:dyDescent="0.4">
      <c r="A291" t="s">
        <v>793</v>
      </c>
      <c r="B291" t="s">
        <v>794</v>
      </c>
      <c r="C291" t="s">
        <v>27</v>
      </c>
      <c r="D291" t="s">
        <v>466</v>
      </c>
      <c r="E291" s="2">
        <v>3647.8999999999987</v>
      </c>
      <c r="F291" s="2"/>
      <c r="G291" s="2"/>
      <c r="H291" s="2"/>
      <c r="I291" s="2"/>
      <c r="J291" s="2"/>
      <c r="K291" s="2"/>
      <c r="L291" s="2">
        <v>3647.8999999999987</v>
      </c>
      <c r="M291" t="s">
        <v>4400</v>
      </c>
      <c r="N291" t="s">
        <v>4407</v>
      </c>
    </row>
    <row r="292" spans="1:14" x14ac:dyDescent="0.4">
      <c r="A292" t="s">
        <v>795</v>
      </c>
      <c r="B292" t="s">
        <v>796</v>
      </c>
      <c r="C292" t="s">
        <v>220</v>
      </c>
      <c r="D292" t="s">
        <v>797</v>
      </c>
      <c r="E292" s="2">
        <v>780.65000000000009</v>
      </c>
      <c r="F292" s="2">
        <v>914.29</v>
      </c>
      <c r="G292" s="2">
        <v>1713.1600000000003</v>
      </c>
      <c r="H292" s="2"/>
      <c r="I292" s="2">
        <v>2001.6999999999996</v>
      </c>
      <c r="J292" s="2">
        <v>2041.1399999999999</v>
      </c>
      <c r="K292" s="2"/>
      <c r="L292" s="2">
        <v>7450.9400000000014</v>
      </c>
      <c r="M292" t="s">
        <v>4400</v>
      </c>
      <c r="N292" t="s">
        <v>4406</v>
      </c>
    </row>
    <row r="293" spans="1:14" x14ac:dyDescent="0.4">
      <c r="A293" t="s">
        <v>798</v>
      </c>
      <c r="B293" t="s">
        <v>799</v>
      </c>
      <c r="C293" t="s">
        <v>64</v>
      </c>
      <c r="D293" t="s">
        <v>630</v>
      </c>
      <c r="E293" s="2"/>
      <c r="F293" s="2">
        <v>783.63000000000011</v>
      </c>
      <c r="G293" s="2"/>
      <c r="H293" s="2"/>
      <c r="I293" s="2"/>
      <c r="J293" s="2"/>
      <c r="K293" s="2"/>
      <c r="L293" s="2">
        <v>783.63000000000011</v>
      </c>
      <c r="M293" t="s">
        <v>4412</v>
      </c>
      <c r="N293" t="s">
        <v>4410</v>
      </c>
    </row>
    <row r="294" spans="1:14" x14ac:dyDescent="0.4">
      <c r="A294" t="s">
        <v>800</v>
      </c>
      <c r="B294" t="s">
        <v>801</v>
      </c>
      <c r="C294" t="s">
        <v>542</v>
      </c>
      <c r="D294" t="s">
        <v>802</v>
      </c>
      <c r="E294" s="2">
        <v>3952.6599999999985</v>
      </c>
      <c r="F294" s="2">
        <v>3492.6299999999987</v>
      </c>
      <c r="G294" s="2">
        <v>4572.03</v>
      </c>
      <c r="H294" s="2">
        <v>3597.9999999999986</v>
      </c>
      <c r="I294" s="2">
        <v>3227.9199999999987</v>
      </c>
      <c r="J294" s="2">
        <v>4034.8999999999983</v>
      </c>
      <c r="K294" s="2">
        <v>1490.6</v>
      </c>
      <c r="L294" s="2">
        <v>24368.740000000049</v>
      </c>
      <c r="M294" t="s">
        <v>4400</v>
      </c>
      <c r="N294" t="s">
        <v>4400</v>
      </c>
    </row>
    <row r="295" spans="1:14" x14ac:dyDescent="0.4">
      <c r="A295" t="s">
        <v>803</v>
      </c>
      <c r="B295" t="s">
        <v>804</v>
      </c>
      <c r="C295" t="s">
        <v>113</v>
      </c>
      <c r="D295" t="s">
        <v>805</v>
      </c>
      <c r="E295" s="2">
        <v>1615.8999999999999</v>
      </c>
      <c r="F295" s="2">
        <v>1707.0399999999997</v>
      </c>
      <c r="G295" s="2">
        <v>892.97999999999979</v>
      </c>
      <c r="H295" s="2">
        <v>932.4699999999998</v>
      </c>
      <c r="I295" s="2"/>
      <c r="J295" s="2"/>
      <c r="K295" s="2"/>
      <c r="L295" s="2">
        <v>5148.3899999999967</v>
      </c>
      <c r="M295" t="s">
        <v>4400</v>
      </c>
      <c r="N295" t="s">
        <v>4402</v>
      </c>
    </row>
    <row r="296" spans="1:14" x14ac:dyDescent="0.4">
      <c r="A296" t="s">
        <v>806</v>
      </c>
      <c r="B296" t="s">
        <v>807</v>
      </c>
      <c r="C296" t="s">
        <v>64</v>
      </c>
      <c r="D296" t="s">
        <v>808</v>
      </c>
      <c r="E296" s="2"/>
      <c r="F296" s="2"/>
      <c r="G296" s="2"/>
      <c r="H296" s="2">
        <v>1005.3900000000001</v>
      </c>
      <c r="I296" s="2">
        <v>1485.3300000000002</v>
      </c>
      <c r="J296" s="2">
        <v>1904.46</v>
      </c>
      <c r="K296" s="2"/>
      <c r="L296" s="2">
        <v>4395.18</v>
      </c>
      <c r="M296" t="s">
        <v>4409</v>
      </c>
      <c r="N296" t="s">
        <v>4406</v>
      </c>
    </row>
    <row r="297" spans="1:14" x14ac:dyDescent="0.4">
      <c r="A297" t="s">
        <v>809</v>
      </c>
      <c r="B297" t="s">
        <v>810</v>
      </c>
      <c r="C297" t="s">
        <v>374</v>
      </c>
      <c r="D297" t="s">
        <v>811</v>
      </c>
      <c r="E297" s="2">
        <v>1439.73</v>
      </c>
      <c r="F297" s="2"/>
      <c r="G297" s="2"/>
      <c r="H297" s="2"/>
      <c r="I297" s="2"/>
      <c r="J297" s="2"/>
      <c r="K297" s="2"/>
      <c r="L297" s="2">
        <v>1439.73</v>
      </c>
      <c r="M297" t="s">
        <v>4400</v>
      </c>
      <c r="N297" t="s">
        <v>4407</v>
      </c>
    </row>
    <row r="298" spans="1:14" x14ac:dyDescent="0.4">
      <c r="A298" t="s">
        <v>812</v>
      </c>
      <c r="B298" t="s">
        <v>813</v>
      </c>
      <c r="C298" t="s">
        <v>410</v>
      </c>
      <c r="D298" t="s">
        <v>414</v>
      </c>
      <c r="E298" s="2">
        <v>3997.3299999999995</v>
      </c>
      <c r="F298" s="2">
        <v>847.48</v>
      </c>
      <c r="G298" s="2"/>
      <c r="H298" s="2"/>
      <c r="I298" s="2"/>
      <c r="J298" s="2"/>
      <c r="K298" s="2"/>
      <c r="L298" s="2">
        <v>4844.8100000000004</v>
      </c>
      <c r="M298" t="s">
        <v>4400</v>
      </c>
      <c r="N298" t="s">
        <v>4410</v>
      </c>
    </row>
    <row r="299" spans="1:14" x14ac:dyDescent="0.4">
      <c r="A299" t="s">
        <v>814</v>
      </c>
      <c r="B299" t="s">
        <v>815</v>
      </c>
      <c r="C299" t="s">
        <v>27</v>
      </c>
      <c r="D299" t="s">
        <v>28</v>
      </c>
      <c r="E299" s="2">
        <v>3954.6400000000008</v>
      </c>
      <c r="F299" s="2">
        <v>4595.53</v>
      </c>
      <c r="G299" s="2">
        <v>5382.2199999999984</v>
      </c>
      <c r="H299" s="2">
        <v>4495.2999999999984</v>
      </c>
      <c r="I299" s="2">
        <v>4249.28</v>
      </c>
      <c r="J299" s="2">
        <v>4774.76</v>
      </c>
      <c r="K299" s="2">
        <v>2186.9200000000005</v>
      </c>
      <c r="L299" s="2">
        <v>29638.650000000031</v>
      </c>
      <c r="M299" t="s">
        <v>4400</v>
      </c>
      <c r="N299" t="s">
        <v>4400</v>
      </c>
    </row>
    <row r="300" spans="1:14" x14ac:dyDescent="0.4">
      <c r="A300" t="s">
        <v>816</v>
      </c>
      <c r="B300" t="s">
        <v>817</v>
      </c>
      <c r="C300" t="s">
        <v>178</v>
      </c>
      <c r="D300" t="s">
        <v>558</v>
      </c>
      <c r="E300" s="2">
        <v>1740.42</v>
      </c>
      <c r="F300" s="2">
        <v>801.87</v>
      </c>
      <c r="G300" s="2">
        <v>810.99000000000012</v>
      </c>
      <c r="H300" s="2">
        <v>953.7</v>
      </c>
      <c r="I300" s="2">
        <v>2050.2299999999996</v>
      </c>
      <c r="J300" s="2">
        <v>874.77</v>
      </c>
      <c r="K300" s="2">
        <v>2092.77</v>
      </c>
      <c r="L300" s="2">
        <v>9324.7499999999982</v>
      </c>
      <c r="M300" t="s">
        <v>4400</v>
      </c>
      <c r="N300" t="s">
        <v>4400</v>
      </c>
    </row>
    <row r="301" spans="1:14" x14ac:dyDescent="0.4">
      <c r="A301" t="s">
        <v>818</v>
      </c>
      <c r="B301" t="s">
        <v>819</v>
      </c>
      <c r="C301" t="s">
        <v>437</v>
      </c>
      <c r="D301" t="s">
        <v>438</v>
      </c>
      <c r="E301" s="2">
        <v>2457.3199999999993</v>
      </c>
      <c r="F301" s="2">
        <v>2202.1399999999994</v>
      </c>
      <c r="G301" s="2">
        <v>2083.6999999999998</v>
      </c>
      <c r="H301" s="2">
        <v>1959.1699999999996</v>
      </c>
      <c r="I301" s="2">
        <v>1868.0499999999993</v>
      </c>
      <c r="J301" s="2">
        <v>2080.6600000000003</v>
      </c>
      <c r="K301" s="2">
        <v>883.8900000000001</v>
      </c>
      <c r="L301" s="2">
        <v>13534.929999999997</v>
      </c>
      <c r="M301" t="s">
        <v>4400</v>
      </c>
      <c r="N301" t="s">
        <v>4400</v>
      </c>
    </row>
    <row r="302" spans="1:14" x14ac:dyDescent="0.4">
      <c r="A302" t="s">
        <v>820</v>
      </c>
      <c r="B302" t="s">
        <v>821</v>
      </c>
      <c r="C302" t="s">
        <v>1</v>
      </c>
      <c r="D302" t="s">
        <v>85</v>
      </c>
      <c r="E302" s="2">
        <v>8708.3899999999976</v>
      </c>
      <c r="F302" s="2">
        <v>6518.3299999999981</v>
      </c>
      <c r="G302" s="2">
        <v>6269.2399999999989</v>
      </c>
      <c r="H302" s="2">
        <v>6159.8899999999994</v>
      </c>
      <c r="I302" s="2">
        <v>7131.8699999999981</v>
      </c>
      <c r="J302" s="2">
        <v>4607.7699999999995</v>
      </c>
      <c r="K302" s="2">
        <v>2551.4300000000003</v>
      </c>
      <c r="L302" s="2">
        <v>41946.919999999925</v>
      </c>
      <c r="M302" t="s">
        <v>4400</v>
      </c>
      <c r="N302" t="s">
        <v>4400</v>
      </c>
    </row>
    <row r="303" spans="1:14" x14ac:dyDescent="0.4">
      <c r="A303" t="s">
        <v>822</v>
      </c>
      <c r="B303" t="s">
        <v>762</v>
      </c>
      <c r="C303" t="s">
        <v>113</v>
      </c>
      <c r="D303" t="s">
        <v>120</v>
      </c>
      <c r="E303" s="2">
        <v>4451.24</v>
      </c>
      <c r="F303" s="2">
        <v>3924.389999999999</v>
      </c>
      <c r="G303" s="2">
        <v>3256.1899999999987</v>
      </c>
      <c r="H303" s="2">
        <v>3145.68</v>
      </c>
      <c r="I303" s="2">
        <v>4050.3199999999997</v>
      </c>
      <c r="J303" s="2">
        <v>3202.2199999999989</v>
      </c>
      <c r="K303" s="2">
        <v>1629.3799999999999</v>
      </c>
      <c r="L303" s="2">
        <v>23659.420000000046</v>
      </c>
      <c r="M303" t="s">
        <v>4400</v>
      </c>
      <c r="N303" t="s">
        <v>4400</v>
      </c>
    </row>
    <row r="304" spans="1:14" x14ac:dyDescent="0.4">
      <c r="A304" t="s">
        <v>823</v>
      </c>
      <c r="B304" t="s">
        <v>824</v>
      </c>
      <c r="C304" t="s">
        <v>103</v>
      </c>
      <c r="D304" t="s">
        <v>104</v>
      </c>
      <c r="E304" s="2">
        <v>6691.329999999999</v>
      </c>
      <c r="F304" s="2">
        <v>6515.1299999999983</v>
      </c>
      <c r="G304" s="2">
        <v>6882.7</v>
      </c>
      <c r="H304" s="2">
        <v>4598.5999999999995</v>
      </c>
      <c r="I304" s="2">
        <v>6202.3599999999979</v>
      </c>
      <c r="J304" s="2">
        <v>4783.87</v>
      </c>
      <c r="K304" s="2">
        <v>2961.4400000000005</v>
      </c>
      <c r="L304" s="2">
        <v>38635.43</v>
      </c>
      <c r="M304" t="s">
        <v>4400</v>
      </c>
      <c r="N304" t="s">
        <v>4400</v>
      </c>
    </row>
    <row r="305" spans="1:14" x14ac:dyDescent="0.4">
      <c r="A305" t="s">
        <v>825</v>
      </c>
      <c r="B305" t="s">
        <v>826</v>
      </c>
      <c r="C305" t="s">
        <v>291</v>
      </c>
      <c r="D305" t="s">
        <v>292</v>
      </c>
      <c r="E305" s="2">
        <v>4282.8500000000004</v>
      </c>
      <c r="F305" s="2">
        <v>3028.38</v>
      </c>
      <c r="G305" s="2">
        <v>3796.83</v>
      </c>
      <c r="H305" s="2">
        <v>2949.3999999999996</v>
      </c>
      <c r="I305" s="2">
        <v>3052.6699999999996</v>
      </c>
      <c r="J305" s="2">
        <v>3213.6799999999994</v>
      </c>
      <c r="K305" s="2">
        <v>2290.3000000000002</v>
      </c>
      <c r="L305" s="2">
        <v>22614.109999999993</v>
      </c>
      <c r="M305" t="s">
        <v>4400</v>
      </c>
      <c r="N305" t="s">
        <v>4400</v>
      </c>
    </row>
    <row r="306" spans="1:14" x14ac:dyDescent="0.4">
      <c r="A306" t="s">
        <v>827</v>
      </c>
      <c r="B306" t="s">
        <v>828</v>
      </c>
      <c r="C306" t="s">
        <v>13</v>
      </c>
      <c r="D306" t="s">
        <v>14</v>
      </c>
      <c r="E306" s="2">
        <v>3119.4899999999993</v>
      </c>
      <c r="F306" s="2">
        <v>3705.65</v>
      </c>
      <c r="G306" s="2"/>
      <c r="H306" s="2"/>
      <c r="I306" s="2"/>
      <c r="J306" s="2"/>
      <c r="K306" s="2"/>
      <c r="L306" s="2">
        <v>6825.1399999999994</v>
      </c>
      <c r="M306" t="s">
        <v>4400</v>
      </c>
      <c r="N306" t="s">
        <v>4410</v>
      </c>
    </row>
    <row r="307" spans="1:14" x14ac:dyDescent="0.4">
      <c r="A307" t="s">
        <v>829</v>
      </c>
      <c r="B307" t="s">
        <v>830</v>
      </c>
      <c r="C307" t="s">
        <v>159</v>
      </c>
      <c r="D307" t="s">
        <v>160</v>
      </c>
      <c r="E307" s="2"/>
      <c r="F307" s="2"/>
      <c r="G307" s="2">
        <v>741.12999999999988</v>
      </c>
      <c r="H307" s="2">
        <v>747.21</v>
      </c>
      <c r="I307" s="2">
        <v>889.97</v>
      </c>
      <c r="J307" s="2"/>
      <c r="K307" s="2">
        <v>814.03</v>
      </c>
      <c r="L307" s="2">
        <v>3192.34</v>
      </c>
      <c r="M307" t="s">
        <v>4411</v>
      </c>
      <c r="N307" t="s">
        <v>4400</v>
      </c>
    </row>
    <row r="308" spans="1:14" x14ac:dyDescent="0.4">
      <c r="A308" t="s">
        <v>831</v>
      </c>
      <c r="B308" t="s">
        <v>832</v>
      </c>
      <c r="C308" t="s">
        <v>159</v>
      </c>
      <c r="D308" t="s">
        <v>833</v>
      </c>
      <c r="E308" s="2">
        <v>6087.0399999999991</v>
      </c>
      <c r="F308" s="2">
        <v>6208.5199999999995</v>
      </c>
      <c r="G308" s="2">
        <v>7800.11</v>
      </c>
      <c r="H308" s="2">
        <v>4626.01</v>
      </c>
      <c r="I308" s="2">
        <v>6038.4</v>
      </c>
      <c r="J308" s="2">
        <v>7730.2400000000007</v>
      </c>
      <c r="K308" s="2">
        <v>3116.3899999999994</v>
      </c>
      <c r="L308" s="2">
        <v>41606.709999999934</v>
      </c>
      <c r="M308" t="s">
        <v>4400</v>
      </c>
      <c r="N308" t="s">
        <v>4400</v>
      </c>
    </row>
    <row r="309" spans="1:14" x14ac:dyDescent="0.4">
      <c r="A309" t="s">
        <v>834</v>
      </c>
      <c r="B309" t="s">
        <v>835</v>
      </c>
      <c r="C309" t="s">
        <v>542</v>
      </c>
      <c r="D309" t="s">
        <v>802</v>
      </c>
      <c r="E309" s="2">
        <v>1530.8700000000001</v>
      </c>
      <c r="F309" s="2">
        <v>1506.58</v>
      </c>
      <c r="G309" s="2">
        <v>3043.5299999999997</v>
      </c>
      <c r="H309" s="2">
        <v>3004.0399999999995</v>
      </c>
      <c r="I309" s="2">
        <v>2311.4900000000002</v>
      </c>
      <c r="J309" s="2">
        <v>3805.88</v>
      </c>
      <c r="K309" s="2">
        <v>780.62000000000012</v>
      </c>
      <c r="L309" s="2">
        <v>15983.010000000004</v>
      </c>
      <c r="M309" t="s">
        <v>4400</v>
      </c>
      <c r="N309" t="s">
        <v>4400</v>
      </c>
    </row>
    <row r="310" spans="1:14" x14ac:dyDescent="0.4">
      <c r="A310" t="s">
        <v>836</v>
      </c>
      <c r="B310" t="s">
        <v>837</v>
      </c>
      <c r="C310" t="s">
        <v>423</v>
      </c>
      <c r="D310" t="s">
        <v>838</v>
      </c>
      <c r="E310" s="2">
        <v>3638.8199999999983</v>
      </c>
      <c r="F310" s="2">
        <v>2159.6</v>
      </c>
      <c r="G310" s="2">
        <v>3529.44</v>
      </c>
      <c r="H310" s="2">
        <v>2271.96</v>
      </c>
      <c r="I310" s="2"/>
      <c r="J310" s="2"/>
      <c r="K310" s="2"/>
      <c r="L310" s="2">
        <v>11599.819999999994</v>
      </c>
      <c r="M310" t="s">
        <v>4400</v>
      </c>
      <c r="N310" t="s">
        <v>4402</v>
      </c>
    </row>
    <row r="311" spans="1:14" x14ac:dyDescent="0.4">
      <c r="A311" t="s">
        <v>839</v>
      </c>
      <c r="B311" t="s">
        <v>840</v>
      </c>
      <c r="C311" t="s">
        <v>78</v>
      </c>
      <c r="D311" t="s">
        <v>841</v>
      </c>
      <c r="E311" s="2">
        <v>5797.9200000000028</v>
      </c>
      <c r="F311" s="2">
        <v>5779.9300000000012</v>
      </c>
      <c r="G311" s="2">
        <v>7188.29</v>
      </c>
      <c r="H311" s="2">
        <v>5810.7700000000041</v>
      </c>
      <c r="I311" s="2">
        <v>6692.2800000000007</v>
      </c>
      <c r="J311" s="2">
        <v>2862.98</v>
      </c>
      <c r="K311" s="2">
        <v>1783.5799999999997</v>
      </c>
      <c r="L311" s="2">
        <v>35915.750000000073</v>
      </c>
      <c r="M311" t="s">
        <v>4400</v>
      </c>
      <c r="N311" t="s">
        <v>4400</v>
      </c>
    </row>
    <row r="312" spans="1:14" x14ac:dyDescent="0.4">
      <c r="A312" t="s">
        <v>842</v>
      </c>
      <c r="B312" t="s">
        <v>843</v>
      </c>
      <c r="C312" t="s">
        <v>31</v>
      </c>
      <c r="D312" t="s">
        <v>844</v>
      </c>
      <c r="E312" s="2">
        <v>4656.38</v>
      </c>
      <c r="F312" s="2">
        <v>3544.6600000000003</v>
      </c>
      <c r="G312" s="2">
        <v>4522.67</v>
      </c>
      <c r="H312" s="2">
        <v>8310.3699999999972</v>
      </c>
      <c r="I312" s="2">
        <v>4547.0000000000009</v>
      </c>
      <c r="J312" s="2">
        <v>4486.26</v>
      </c>
      <c r="K312" s="2">
        <v>3587.2100000000005</v>
      </c>
      <c r="L312" s="2">
        <v>33654.549999999981</v>
      </c>
      <c r="M312" t="s">
        <v>4400</v>
      </c>
      <c r="N312" t="s">
        <v>4400</v>
      </c>
    </row>
    <row r="313" spans="1:14" x14ac:dyDescent="0.4">
      <c r="A313" t="s">
        <v>845</v>
      </c>
      <c r="B313" t="s">
        <v>846</v>
      </c>
      <c r="C313" t="s">
        <v>64</v>
      </c>
      <c r="D313" t="s">
        <v>708</v>
      </c>
      <c r="E313" s="2"/>
      <c r="F313" s="2"/>
      <c r="G313" s="2"/>
      <c r="H313" s="2"/>
      <c r="I313" s="2"/>
      <c r="J313" s="2">
        <v>975</v>
      </c>
      <c r="K313" s="2"/>
      <c r="L313" s="2">
        <v>975</v>
      </c>
      <c r="M313" t="s">
        <v>4405</v>
      </c>
      <c r="N313" t="s">
        <v>4406</v>
      </c>
    </row>
    <row r="314" spans="1:14" x14ac:dyDescent="0.4">
      <c r="A314" t="s">
        <v>847</v>
      </c>
      <c r="B314" t="s">
        <v>848</v>
      </c>
      <c r="C314" t="s">
        <v>291</v>
      </c>
      <c r="D314" t="s">
        <v>295</v>
      </c>
      <c r="E314" s="2">
        <v>744.17000000000007</v>
      </c>
      <c r="F314" s="2">
        <v>844.41</v>
      </c>
      <c r="G314" s="2"/>
      <c r="H314" s="2">
        <v>2256.8399999999992</v>
      </c>
      <c r="I314" s="2">
        <v>1482.2999999999997</v>
      </c>
      <c r="J314" s="2">
        <v>1503.5800000000002</v>
      </c>
      <c r="K314" s="2">
        <v>1609.8999999999999</v>
      </c>
      <c r="L314" s="2">
        <v>8441.1999999999989</v>
      </c>
      <c r="M314" t="s">
        <v>4400</v>
      </c>
      <c r="N314" t="s">
        <v>4400</v>
      </c>
    </row>
    <row r="315" spans="1:14" x14ac:dyDescent="0.4">
      <c r="A315" t="s">
        <v>849</v>
      </c>
      <c r="B315" t="s">
        <v>850</v>
      </c>
      <c r="C315" t="s">
        <v>199</v>
      </c>
      <c r="D315" t="s">
        <v>203</v>
      </c>
      <c r="E315" s="2">
        <v>2726.77</v>
      </c>
      <c r="F315" s="2">
        <v>3158.5299999999997</v>
      </c>
      <c r="G315" s="2">
        <v>4315.03</v>
      </c>
      <c r="H315" s="2">
        <v>3448.94</v>
      </c>
      <c r="I315" s="2">
        <v>3973.2200000000003</v>
      </c>
      <c r="J315" s="2">
        <v>5052.62</v>
      </c>
      <c r="K315" s="2">
        <v>1930.07</v>
      </c>
      <c r="L315" s="2">
        <v>24605.18</v>
      </c>
      <c r="M315" t="s">
        <v>4400</v>
      </c>
      <c r="N315" t="s">
        <v>4400</v>
      </c>
    </row>
    <row r="316" spans="1:14" x14ac:dyDescent="0.4">
      <c r="A316" t="s">
        <v>851</v>
      </c>
      <c r="B316" t="s">
        <v>852</v>
      </c>
      <c r="C316" t="s">
        <v>5</v>
      </c>
      <c r="D316" t="s">
        <v>6</v>
      </c>
      <c r="E316" s="2">
        <v>2107.9499999999998</v>
      </c>
      <c r="F316" s="2">
        <v>4070.1600000000003</v>
      </c>
      <c r="G316" s="2">
        <v>2238.5799999999995</v>
      </c>
      <c r="H316" s="2">
        <v>3444.4599999999996</v>
      </c>
      <c r="I316" s="2">
        <v>2408.6900000000005</v>
      </c>
      <c r="J316" s="2">
        <v>1281.8</v>
      </c>
      <c r="K316" s="2">
        <v>1324.32</v>
      </c>
      <c r="L316" s="2">
        <v>16875.959999999992</v>
      </c>
      <c r="M316" t="s">
        <v>4400</v>
      </c>
      <c r="N316" t="s">
        <v>4400</v>
      </c>
    </row>
    <row r="317" spans="1:14" x14ac:dyDescent="0.4">
      <c r="A317" t="s">
        <v>853</v>
      </c>
      <c r="B317" t="s">
        <v>854</v>
      </c>
      <c r="C317" t="s">
        <v>96</v>
      </c>
      <c r="D317" t="s">
        <v>97</v>
      </c>
      <c r="E317" s="2">
        <v>1697.9099999999996</v>
      </c>
      <c r="F317" s="2">
        <v>2350.9500000000003</v>
      </c>
      <c r="G317" s="2">
        <v>3939.4699999999993</v>
      </c>
      <c r="H317" s="2">
        <v>2751.87</v>
      </c>
      <c r="I317" s="2">
        <v>2800.4799999999996</v>
      </c>
      <c r="J317" s="2">
        <v>905.14</v>
      </c>
      <c r="K317" s="2">
        <v>902.12</v>
      </c>
      <c r="L317" s="2">
        <v>15347.939999999995</v>
      </c>
      <c r="M317" t="s">
        <v>4400</v>
      </c>
      <c r="N317" t="s">
        <v>4400</v>
      </c>
    </row>
    <row r="318" spans="1:14" x14ac:dyDescent="0.4">
      <c r="A318" t="s">
        <v>855</v>
      </c>
      <c r="B318" t="s">
        <v>856</v>
      </c>
      <c r="C318" t="s">
        <v>390</v>
      </c>
      <c r="D318" t="s">
        <v>857</v>
      </c>
      <c r="E318" s="2">
        <v>3684.4599999999996</v>
      </c>
      <c r="F318" s="2">
        <v>3186.3199999999997</v>
      </c>
      <c r="G318" s="2">
        <v>2196.0899999999997</v>
      </c>
      <c r="H318" s="2">
        <v>753.29</v>
      </c>
      <c r="I318" s="2">
        <v>1448.88</v>
      </c>
      <c r="J318" s="2">
        <v>2068.5299999999997</v>
      </c>
      <c r="K318" s="2">
        <v>722.92000000000007</v>
      </c>
      <c r="L318" s="2">
        <v>14060.489999999996</v>
      </c>
      <c r="M318" t="s">
        <v>4400</v>
      </c>
      <c r="N318" t="s">
        <v>4400</v>
      </c>
    </row>
    <row r="319" spans="1:14" x14ac:dyDescent="0.4">
      <c r="A319" t="s">
        <v>858</v>
      </c>
      <c r="B319" t="s">
        <v>859</v>
      </c>
      <c r="C319" t="s">
        <v>860</v>
      </c>
      <c r="D319" t="s">
        <v>861</v>
      </c>
      <c r="E319" s="2">
        <v>9148</v>
      </c>
      <c r="F319" s="2">
        <v>9168</v>
      </c>
      <c r="G319" s="2">
        <v>9168</v>
      </c>
      <c r="H319" s="2">
        <v>11460</v>
      </c>
      <c r="I319" s="2">
        <v>9168</v>
      </c>
      <c r="J319" s="2">
        <v>8958</v>
      </c>
      <c r="K319" s="2">
        <v>6876</v>
      </c>
      <c r="L319" s="2">
        <v>63946</v>
      </c>
      <c r="M319" t="s">
        <v>4400</v>
      </c>
      <c r="N319" t="s">
        <v>4400</v>
      </c>
    </row>
    <row r="320" spans="1:14" x14ac:dyDescent="0.4">
      <c r="A320" t="s">
        <v>862</v>
      </c>
      <c r="B320" t="s">
        <v>863</v>
      </c>
      <c r="C320" t="s">
        <v>279</v>
      </c>
      <c r="D320" t="s">
        <v>280</v>
      </c>
      <c r="E320" s="2">
        <v>4789.91</v>
      </c>
      <c r="F320" s="2">
        <v>4300.9699999999993</v>
      </c>
      <c r="G320" s="2">
        <v>4902.26</v>
      </c>
      <c r="H320" s="2">
        <v>4489.22</v>
      </c>
      <c r="I320" s="2">
        <v>4756.53</v>
      </c>
      <c r="J320" s="2">
        <v>9385.56</v>
      </c>
      <c r="K320" s="2">
        <v>2436.0099999999998</v>
      </c>
      <c r="L320" s="2">
        <v>35060.460000000014</v>
      </c>
      <c r="M320" t="s">
        <v>4400</v>
      </c>
      <c r="N320" t="s">
        <v>4400</v>
      </c>
    </row>
    <row r="321" spans="1:14" x14ac:dyDescent="0.4">
      <c r="A321" t="s">
        <v>864</v>
      </c>
      <c r="B321" t="s">
        <v>865</v>
      </c>
      <c r="C321" t="s">
        <v>19</v>
      </c>
      <c r="D321" t="s">
        <v>20</v>
      </c>
      <c r="E321" s="2">
        <v>774.54000000000008</v>
      </c>
      <c r="F321" s="2"/>
      <c r="G321" s="2">
        <v>738.09</v>
      </c>
      <c r="H321" s="2">
        <v>719.88</v>
      </c>
      <c r="I321" s="2"/>
      <c r="J321" s="2"/>
      <c r="K321" s="2">
        <v>814.05</v>
      </c>
      <c r="L321" s="2">
        <v>3046.56</v>
      </c>
      <c r="M321" t="s">
        <v>4400</v>
      </c>
      <c r="N321" t="s">
        <v>4400</v>
      </c>
    </row>
    <row r="322" spans="1:14" x14ac:dyDescent="0.4">
      <c r="A322" t="s">
        <v>866</v>
      </c>
      <c r="B322" t="s">
        <v>867</v>
      </c>
      <c r="C322" t="s">
        <v>91</v>
      </c>
      <c r="D322" t="s">
        <v>868</v>
      </c>
      <c r="E322" s="2">
        <v>758.15000000000009</v>
      </c>
      <c r="F322" s="2"/>
      <c r="G322" s="2"/>
      <c r="H322" s="2"/>
      <c r="I322" s="2"/>
      <c r="J322" s="2"/>
      <c r="K322" s="2"/>
      <c r="L322" s="2">
        <v>758.15000000000009</v>
      </c>
      <c r="M322" t="s">
        <v>4400</v>
      </c>
      <c r="N322" t="s">
        <v>4407</v>
      </c>
    </row>
    <row r="323" spans="1:14" x14ac:dyDescent="0.4">
      <c r="A323" t="s">
        <v>869</v>
      </c>
      <c r="B323" t="s">
        <v>870</v>
      </c>
      <c r="C323" t="s">
        <v>5</v>
      </c>
      <c r="D323" t="s">
        <v>6</v>
      </c>
      <c r="E323" s="2">
        <v>10576.349999999999</v>
      </c>
      <c r="F323" s="2">
        <v>8457.5400000000027</v>
      </c>
      <c r="G323" s="2">
        <v>6838</v>
      </c>
      <c r="H323" s="2">
        <v>8850.8000000000029</v>
      </c>
      <c r="I323" s="2">
        <v>7371.43</v>
      </c>
      <c r="J323" s="2">
        <v>10281.090000000004</v>
      </c>
      <c r="K323" s="2">
        <v>2727.47</v>
      </c>
      <c r="L323" s="2">
        <v>55102.679999999971</v>
      </c>
      <c r="M323" t="s">
        <v>4400</v>
      </c>
      <c r="N323" t="s">
        <v>4400</v>
      </c>
    </row>
    <row r="324" spans="1:14" x14ac:dyDescent="0.4">
      <c r="A324" t="s">
        <v>871</v>
      </c>
      <c r="B324" t="s">
        <v>872</v>
      </c>
      <c r="C324" t="s">
        <v>31</v>
      </c>
      <c r="D324" t="s">
        <v>477</v>
      </c>
      <c r="E324" s="2">
        <v>3079.9599999999996</v>
      </c>
      <c r="F324" s="2">
        <v>7150.1400000000012</v>
      </c>
      <c r="G324" s="2">
        <v>6551.7500000000009</v>
      </c>
      <c r="H324" s="2">
        <v>7153.17</v>
      </c>
      <c r="I324" s="2">
        <v>8046.2100000000019</v>
      </c>
      <c r="J324" s="2">
        <v>5819.6900000000005</v>
      </c>
      <c r="K324" s="2">
        <v>2946.3199999999997</v>
      </c>
      <c r="L324" s="2">
        <v>40747.24</v>
      </c>
      <c r="M324" t="s">
        <v>4400</v>
      </c>
      <c r="N324" t="s">
        <v>4400</v>
      </c>
    </row>
    <row r="325" spans="1:14" x14ac:dyDescent="0.4">
      <c r="A325" t="s">
        <v>873</v>
      </c>
      <c r="B325" t="s">
        <v>874</v>
      </c>
      <c r="C325" t="s">
        <v>402</v>
      </c>
      <c r="D325" t="s">
        <v>875</v>
      </c>
      <c r="E325" s="2">
        <v>747.86999999999989</v>
      </c>
      <c r="F325" s="2">
        <v>742.73</v>
      </c>
      <c r="G325" s="2">
        <v>850.67000000000007</v>
      </c>
      <c r="H325" s="2">
        <v>2855.2699999999995</v>
      </c>
      <c r="I325" s="2">
        <v>2333.56</v>
      </c>
      <c r="J325" s="2">
        <v>1233.5999999999999</v>
      </c>
      <c r="K325" s="2"/>
      <c r="L325" s="2">
        <v>8763.6999999999989</v>
      </c>
      <c r="M325" t="s">
        <v>4400</v>
      </c>
      <c r="N325" t="s">
        <v>4406</v>
      </c>
    </row>
    <row r="326" spans="1:14" x14ac:dyDescent="0.4">
      <c r="A326" t="s">
        <v>876</v>
      </c>
      <c r="B326" t="s">
        <v>877</v>
      </c>
      <c r="C326" t="s">
        <v>244</v>
      </c>
      <c r="D326" t="s">
        <v>264</v>
      </c>
      <c r="E326" s="2">
        <v>2253.7899999999995</v>
      </c>
      <c r="F326" s="2">
        <v>4559.2100000000009</v>
      </c>
      <c r="G326" s="2">
        <v>5695.1999999999989</v>
      </c>
      <c r="H326" s="2">
        <v>6715.7100000000009</v>
      </c>
      <c r="I326" s="2">
        <v>8677.84</v>
      </c>
      <c r="J326" s="2">
        <v>5956.3799999999992</v>
      </c>
      <c r="K326" s="2">
        <v>2724.5699999999993</v>
      </c>
      <c r="L326" s="2">
        <v>36582.699999999939</v>
      </c>
      <c r="M326" t="s">
        <v>4400</v>
      </c>
      <c r="N326" t="s">
        <v>4400</v>
      </c>
    </row>
    <row r="327" spans="1:14" x14ac:dyDescent="0.4">
      <c r="A327" t="s">
        <v>878</v>
      </c>
      <c r="B327" t="s">
        <v>879</v>
      </c>
      <c r="C327" t="s">
        <v>186</v>
      </c>
      <c r="D327" t="s">
        <v>187</v>
      </c>
      <c r="E327" s="2">
        <v>7757.3200000000006</v>
      </c>
      <c r="F327" s="2">
        <v>5831.67</v>
      </c>
      <c r="G327" s="2">
        <v>7629.7800000000016</v>
      </c>
      <c r="H327" s="2">
        <v>7001.05</v>
      </c>
      <c r="I327" s="2">
        <v>5221.1600000000017</v>
      </c>
      <c r="J327" s="2">
        <v>6229.550000000002</v>
      </c>
      <c r="K327" s="2">
        <v>2782.2000000000007</v>
      </c>
      <c r="L327" s="2">
        <v>42452.730000000025</v>
      </c>
      <c r="M327" t="s">
        <v>4400</v>
      </c>
      <c r="N327" t="s">
        <v>4400</v>
      </c>
    </row>
    <row r="328" spans="1:14" x14ac:dyDescent="0.4">
      <c r="A328" t="s">
        <v>880</v>
      </c>
      <c r="B328" t="s">
        <v>881</v>
      </c>
      <c r="C328" t="s">
        <v>1</v>
      </c>
      <c r="D328" t="s">
        <v>82</v>
      </c>
      <c r="E328" s="2">
        <v>2627.3499999999985</v>
      </c>
      <c r="F328" s="2">
        <v>2247.6699999999996</v>
      </c>
      <c r="G328" s="2">
        <v>4632.0300000000007</v>
      </c>
      <c r="H328" s="2">
        <v>5531.0999999999976</v>
      </c>
      <c r="I328" s="2">
        <v>4203.7499999999991</v>
      </c>
      <c r="J328" s="2">
        <v>3444.4100000000012</v>
      </c>
      <c r="K328" s="2">
        <v>1846.73</v>
      </c>
      <c r="L328" s="2">
        <v>24533.039999999994</v>
      </c>
      <c r="M328" t="s">
        <v>4400</v>
      </c>
      <c r="N328" t="s">
        <v>4400</v>
      </c>
    </row>
    <row r="329" spans="1:14" x14ac:dyDescent="0.4">
      <c r="A329" t="s">
        <v>882</v>
      </c>
      <c r="B329" t="s">
        <v>883</v>
      </c>
      <c r="C329" t="s">
        <v>884</v>
      </c>
      <c r="D329" t="s">
        <v>885</v>
      </c>
      <c r="E329" s="2">
        <v>756.32000000000016</v>
      </c>
      <c r="F329" s="2">
        <v>889.99</v>
      </c>
      <c r="G329" s="2">
        <v>1816.43</v>
      </c>
      <c r="H329" s="2">
        <v>944.63</v>
      </c>
      <c r="I329" s="2">
        <v>1148.1300000000001</v>
      </c>
      <c r="J329" s="2">
        <v>1038.79</v>
      </c>
      <c r="K329" s="2">
        <v>1202.82</v>
      </c>
      <c r="L329" s="2">
        <v>7797.1100000000033</v>
      </c>
      <c r="M329" t="s">
        <v>4400</v>
      </c>
      <c r="N329" t="s">
        <v>4400</v>
      </c>
    </row>
    <row r="330" spans="1:14" x14ac:dyDescent="0.4">
      <c r="A330" t="s">
        <v>886</v>
      </c>
      <c r="B330" t="s">
        <v>887</v>
      </c>
      <c r="C330" t="s">
        <v>437</v>
      </c>
      <c r="D330" t="s">
        <v>512</v>
      </c>
      <c r="E330" s="2">
        <v>2454.1299999999997</v>
      </c>
      <c r="F330" s="2">
        <v>2399.4699999999998</v>
      </c>
      <c r="G330" s="2">
        <v>3210.4600000000005</v>
      </c>
      <c r="H330" s="2">
        <v>2505.81</v>
      </c>
      <c r="I330" s="2">
        <v>3313.7000000000003</v>
      </c>
      <c r="J330" s="2">
        <v>1567.23</v>
      </c>
      <c r="K330" s="2">
        <v>1816.3</v>
      </c>
      <c r="L330" s="2">
        <v>17267.099999999991</v>
      </c>
      <c r="M330" t="s">
        <v>4400</v>
      </c>
      <c r="N330" t="s">
        <v>4400</v>
      </c>
    </row>
    <row r="331" spans="1:14" x14ac:dyDescent="0.4">
      <c r="A331" t="s">
        <v>888</v>
      </c>
      <c r="B331" t="s">
        <v>889</v>
      </c>
      <c r="C331" t="s">
        <v>96</v>
      </c>
      <c r="D331" t="s">
        <v>97</v>
      </c>
      <c r="E331" s="2">
        <v>3022.1600000000003</v>
      </c>
      <c r="F331" s="2">
        <v>2332.65</v>
      </c>
      <c r="G331" s="2">
        <v>1804.15</v>
      </c>
      <c r="H331" s="2">
        <v>3371.3799999999997</v>
      </c>
      <c r="I331" s="2">
        <v>2332.6400000000003</v>
      </c>
      <c r="J331" s="2">
        <v>3137.5499999999997</v>
      </c>
      <c r="K331" s="2">
        <v>1840.62</v>
      </c>
      <c r="L331" s="2">
        <v>17841.149999999991</v>
      </c>
      <c r="M331" t="s">
        <v>4400</v>
      </c>
      <c r="N331" t="s">
        <v>4400</v>
      </c>
    </row>
    <row r="332" spans="1:14" x14ac:dyDescent="0.4">
      <c r="A332" t="s">
        <v>890</v>
      </c>
      <c r="B332" t="s">
        <v>891</v>
      </c>
      <c r="C332" t="s">
        <v>123</v>
      </c>
      <c r="D332" t="s">
        <v>129</v>
      </c>
      <c r="E332" s="2">
        <v>5184.9500000000007</v>
      </c>
      <c r="F332" s="2">
        <v>1770.7899999999997</v>
      </c>
      <c r="G332" s="2">
        <v>3616.0399999999991</v>
      </c>
      <c r="H332" s="2">
        <v>4577.17</v>
      </c>
      <c r="I332" s="2">
        <v>2454.3499999999995</v>
      </c>
      <c r="J332" s="2">
        <v>2749.8999999999996</v>
      </c>
      <c r="K332" s="2">
        <v>1701.3399999999997</v>
      </c>
      <c r="L332" s="2">
        <v>22054.540000000015</v>
      </c>
      <c r="M332" t="s">
        <v>4400</v>
      </c>
      <c r="N332" t="s">
        <v>4400</v>
      </c>
    </row>
    <row r="333" spans="1:14" x14ac:dyDescent="0.4">
      <c r="A333" t="s">
        <v>892</v>
      </c>
      <c r="B333" t="s">
        <v>893</v>
      </c>
      <c r="C333" t="s">
        <v>602</v>
      </c>
      <c r="D333" t="s">
        <v>894</v>
      </c>
      <c r="E333" s="2">
        <v>7629.9600000000019</v>
      </c>
      <c r="F333" s="2">
        <v>7985.4000000000024</v>
      </c>
      <c r="G333" s="2">
        <v>11071.489999999998</v>
      </c>
      <c r="H333" s="2">
        <v>8422.8099999999977</v>
      </c>
      <c r="I333" s="2">
        <v>8164.6199999999981</v>
      </c>
      <c r="J333" s="2">
        <v>7763.7199999999993</v>
      </c>
      <c r="K333" s="2">
        <v>3374.5999999999995</v>
      </c>
      <c r="L333" s="2">
        <v>54412.600000000006</v>
      </c>
      <c r="M333" t="s">
        <v>4400</v>
      </c>
      <c r="N333" t="s">
        <v>4400</v>
      </c>
    </row>
    <row r="334" spans="1:14" x14ac:dyDescent="0.4">
      <c r="A334" t="s">
        <v>895</v>
      </c>
      <c r="B334" t="s">
        <v>896</v>
      </c>
      <c r="C334" t="s">
        <v>199</v>
      </c>
      <c r="D334" t="s">
        <v>612</v>
      </c>
      <c r="E334" s="2">
        <v>1846.7900000000002</v>
      </c>
      <c r="F334" s="2">
        <v>2584.88</v>
      </c>
      <c r="G334" s="2">
        <v>1868.0099999999998</v>
      </c>
      <c r="H334" s="2">
        <v>950.71</v>
      </c>
      <c r="I334" s="2">
        <v>2827.81</v>
      </c>
      <c r="J334" s="2">
        <v>3237.8800000000006</v>
      </c>
      <c r="K334" s="2">
        <v>1755.6399999999996</v>
      </c>
      <c r="L334" s="2">
        <v>15071.719999999985</v>
      </c>
      <c r="M334" t="s">
        <v>4400</v>
      </c>
      <c r="N334" t="s">
        <v>4400</v>
      </c>
    </row>
    <row r="335" spans="1:14" x14ac:dyDescent="0.4">
      <c r="A335" t="s">
        <v>897</v>
      </c>
      <c r="B335" t="s">
        <v>898</v>
      </c>
      <c r="C335" t="s">
        <v>78</v>
      </c>
      <c r="D335" t="s">
        <v>768</v>
      </c>
      <c r="E335" s="2">
        <v>3550.7299999999996</v>
      </c>
      <c r="F335" s="2">
        <v>3231.7700000000004</v>
      </c>
      <c r="G335" s="2">
        <v>3313.7899999999995</v>
      </c>
      <c r="H335" s="2">
        <v>4070.1299999999992</v>
      </c>
      <c r="I335" s="2">
        <v>3441.3900000000008</v>
      </c>
      <c r="J335" s="2">
        <v>3529.4599999999996</v>
      </c>
      <c r="K335" s="2">
        <v>1515.6699999999998</v>
      </c>
      <c r="L335" s="2">
        <v>22652.939999999966</v>
      </c>
      <c r="M335" t="s">
        <v>4400</v>
      </c>
      <c r="N335" t="s">
        <v>4400</v>
      </c>
    </row>
    <row r="336" spans="1:14" x14ac:dyDescent="0.4">
      <c r="A336" t="s">
        <v>899</v>
      </c>
      <c r="B336" t="s">
        <v>900</v>
      </c>
      <c r="C336" t="s">
        <v>9</v>
      </c>
      <c r="D336" t="s">
        <v>901</v>
      </c>
      <c r="E336" s="2">
        <v>7131.7500000000009</v>
      </c>
      <c r="F336" s="2">
        <v>7160.02</v>
      </c>
      <c r="G336" s="2">
        <v>7319.36</v>
      </c>
      <c r="H336" s="2">
        <v>5232.5199999999995</v>
      </c>
      <c r="I336" s="2">
        <v>4918.9799999999987</v>
      </c>
      <c r="J336" s="2">
        <v>5186.2599999999984</v>
      </c>
      <c r="K336" s="2">
        <v>1809.2800000000002</v>
      </c>
      <c r="L336" s="2">
        <v>38758.170000000049</v>
      </c>
      <c r="M336" t="s">
        <v>4400</v>
      </c>
      <c r="N336" t="s">
        <v>4400</v>
      </c>
    </row>
    <row r="337" spans="1:14" x14ac:dyDescent="0.4">
      <c r="A337" t="s">
        <v>902</v>
      </c>
      <c r="B337" t="s">
        <v>903</v>
      </c>
      <c r="C337" t="s">
        <v>96</v>
      </c>
      <c r="D337" t="s">
        <v>904</v>
      </c>
      <c r="E337" s="2">
        <v>5181.9299999999994</v>
      </c>
      <c r="F337" s="2">
        <v>2894.7099999999996</v>
      </c>
      <c r="G337" s="2">
        <v>4003.3600000000006</v>
      </c>
      <c r="H337" s="2">
        <v>4130.38</v>
      </c>
      <c r="I337" s="2">
        <v>3900.0499999999997</v>
      </c>
      <c r="J337" s="2">
        <v>1916.59</v>
      </c>
      <c r="K337" s="2">
        <v>1810.2800000000002</v>
      </c>
      <c r="L337" s="2">
        <v>23837.300000000003</v>
      </c>
      <c r="M337" t="s">
        <v>4400</v>
      </c>
      <c r="N337" t="s">
        <v>4400</v>
      </c>
    </row>
    <row r="338" spans="1:14" x14ac:dyDescent="0.4">
      <c r="A338" t="s">
        <v>905</v>
      </c>
      <c r="B338" t="s">
        <v>906</v>
      </c>
      <c r="C338" t="s">
        <v>78</v>
      </c>
      <c r="D338" t="s">
        <v>907</v>
      </c>
      <c r="E338" s="2">
        <v>2032.0299999999997</v>
      </c>
      <c r="F338" s="2">
        <v>2232.4799999999996</v>
      </c>
      <c r="G338" s="2">
        <v>3089.02</v>
      </c>
      <c r="H338" s="2">
        <v>2016.8399999999997</v>
      </c>
      <c r="I338" s="2">
        <v>3171.04</v>
      </c>
      <c r="J338" s="2">
        <v>3086.0000000000005</v>
      </c>
      <c r="K338" s="2">
        <v>2132.2600000000002</v>
      </c>
      <c r="L338" s="2">
        <v>17759.669999999987</v>
      </c>
      <c r="M338" t="s">
        <v>4400</v>
      </c>
      <c r="N338" t="s">
        <v>4400</v>
      </c>
    </row>
    <row r="339" spans="1:14" x14ac:dyDescent="0.4">
      <c r="A339" t="s">
        <v>908</v>
      </c>
      <c r="B339" t="s">
        <v>909</v>
      </c>
      <c r="C339" t="s">
        <v>227</v>
      </c>
      <c r="D339" t="s">
        <v>910</v>
      </c>
      <c r="E339" s="2">
        <v>3748.2199999999984</v>
      </c>
      <c r="F339" s="2">
        <v>3614.5299999999993</v>
      </c>
      <c r="G339" s="2">
        <v>2597.02</v>
      </c>
      <c r="H339" s="2">
        <v>3626.6899999999991</v>
      </c>
      <c r="I339" s="2">
        <v>3742.18</v>
      </c>
      <c r="J339" s="2">
        <v>4729.329999999999</v>
      </c>
      <c r="K339" s="2">
        <v>896.06000000000006</v>
      </c>
      <c r="L339" s="2">
        <v>22954.029999999992</v>
      </c>
      <c r="M339" t="s">
        <v>4400</v>
      </c>
      <c r="N339" t="s">
        <v>4400</v>
      </c>
    </row>
    <row r="340" spans="1:14" x14ac:dyDescent="0.4">
      <c r="A340" t="s">
        <v>911</v>
      </c>
      <c r="B340" t="s">
        <v>912</v>
      </c>
      <c r="C340" t="s">
        <v>9</v>
      </c>
      <c r="D340" t="s">
        <v>913</v>
      </c>
      <c r="E340" s="2">
        <v>9850.2799999999988</v>
      </c>
      <c r="F340" s="2">
        <v>10351.410000000002</v>
      </c>
      <c r="G340" s="2">
        <v>5877.3</v>
      </c>
      <c r="H340" s="2">
        <v>8383.2100000000009</v>
      </c>
      <c r="I340" s="2">
        <v>6645.8799999999992</v>
      </c>
      <c r="J340" s="2">
        <v>9030.2300000000014</v>
      </c>
      <c r="K340" s="2">
        <v>4085.2799999999988</v>
      </c>
      <c r="L340" s="2">
        <v>54223.589999999938</v>
      </c>
      <c r="M340" t="s">
        <v>4400</v>
      </c>
      <c r="N340" t="s">
        <v>4400</v>
      </c>
    </row>
    <row r="341" spans="1:14" x14ac:dyDescent="0.4">
      <c r="A341" t="s">
        <v>914</v>
      </c>
      <c r="B341" t="s">
        <v>915</v>
      </c>
      <c r="C341" t="s">
        <v>447</v>
      </c>
      <c r="D341" t="s">
        <v>784</v>
      </c>
      <c r="E341" s="2"/>
      <c r="F341" s="2">
        <v>1649.37</v>
      </c>
      <c r="G341" s="2">
        <v>1570.3999999999999</v>
      </c>
      <c r="H341" s="2">
        <v>1476.23</v>
      </c>
      <c r="I341" s="2">
        <v>2695.2499999999995</v>
      </c>
      <c r="J341" s="2">
        <v>798.87</v>
      </c>
      <c r="K341" s="2">
        <v>817.1</v>
      </c>
      <c r="L341" s="2">
        <v>9007.2199999999993</v>
      </c>
      <c r="M341" t="s">
        <v>4412</v>
      </c>
      <c r="N341" t="s">
        <v>4400</v>
      </c>
    </row>
    <row r="342" spans="1:14" x14ac:dyDescent="0.4">
      <c r="A342" t="s">
        <v>916</v>
      </c>
      <c r="B342" t="s">
        <v>917</v>
      </c>
      <c r="C342" t="s">
        <v>220</v>
      </c>
      <c r="D342" t="s">
        <v>221</v>
      </c>
      <c r="E342" s="2">
        <v>5458.2599999999993</v>
      </c>
      <c r="F342" s="2">
        <v>4613.83</v>
      </c>
      <c r="G342" s="2">
        <v>5039.0099999999993</v>
      </c>
      <c r="H342" s="2">
        <v>3963.7499999999995</v>
      </c>
      <c r="I342" s="2">
        <v>3857.44</v>
      </c>
      <c r="J342" s="2">
        <v>3991.08</v>
      </c>
      <c r="K342" s="2">
        <v>2044.1499999999996</v>
      </c>
      <c r="L342" s="2">
        <v>28967.51999999996</v>
      </c>
      <c r="M342" t="s">
        <v>4400</v>
      </c>
      <c r="N342" t="s">
        <v>4400</v>
      </c>
    </row>
    <row r="343" spans="1:14" x14ac:dyDescent="0.4">
      <c r="A343" t="s">
        <v>918</v>
      </c>
      <c r="B343" t="s">
        <v>340</v>
      </c>
      <c r="C343" t="s">
        <v>337</v>
      </c>
      <c r="D343" t="s">
        <v>347</v>
      </c>
      <c r="E343" s="2">
        <v>6250.9600000000009</v>
      </c>
      <c r="F343" s="2">
        <v>8817.5199999999986</v>
      </c>
      <c r="G343" s="2">
        <v>7411.29</v>
      </c>
      <c r="H343" s="2">
        <v>5397.4800000000005</v>
      </c>
      <c r="I343" s="2">
        <v>8316.41</v>
      </c>
      <c r="J343" s="2">
        <v>6931.3999999999978</v>
      </c>
      <c r="K343" s="2">
        <v>2347.91</v>
      </c>
      <c r="L343" s="2">
        <v>45472.970000000008</v>
      </c>
      <c r="M343" t="s">
        <v>4400</v>
      </c>
      <c r="N343" t="s">
        <v>4400</v>
      </c>
    </row>
    <row r="344" spans="1:14" x14ac:dyDescent="0.4">
      <c r="A344" t="s">
        <v>919</v>
      </c>
      <c r="B344" t="s">
        <v>920</v>
      </c>
      <c r="C344" t="s">
        <v>199</v>
      </c>
      <c r="D344" t="s">
        <v>203</v>
      </c>
      <c r="E344" s="2">
        <v>2996.619999999999</v>
      </c>
      <c r="F344" s="2">
        <v>3502.91</v>
      </c>
      <c r="G344" s="2">
        <v>4697.9599999999991</v>
      </c>
      <c r="H344" s="2">
        <v>2862.9799999999991</v>
      </c>
      <c r="I344" s="2">
        <v>3464.3599999999997</v>
      </c>
      <c r="J344" s="2">
        <v>5122.0100000000011</v>
      </c>
      <c r="K344" s="2">
        <v>1783.5799999999997</v>
      </c>
      <c r="L344" s="2">
        <v>24430.419999999991</v>
      </c>
      <c r="M344" t="s">
        <v>4400</v>
      </c>
      <c r="N344" t="s">
        <v>4400</v>
      </c>
    </row>
    <row r="345" spans="1:14" x14ac:dyDescent="0.4">
      <c r="A345" t="s">
        <v>921</v>
      </c>
      <c r="B345" t="s">
        <v>922</v>
      </c>
      <c r="C345" t="s">
        <v>359</v>
      </c>
      <c r="D345" t="s">
        <v>360</v>
      </c>
      <c r="E345" s="2">
        <v>4176.369999999999</v>
      </c>
      <c r="F345" s="2">
        <v>4464.95</v>
      </c>
      <c r="G345" s="2">
        <v>4355.58</v>
      </c>
      <c r="H345" s="2">
        <v>5652.56</v>
      </c>
      <c r="I345" s="2">
        <v>2493.6899999999996</v>
      </c>
      <c r="J345" s="2"/>
      <c r="K345" s="2"/>
      <c r="L345" s="2">
        <v>21143.149999999987</v>
      </c>
      <c r="M345" t="s">
        <v>4400</v>
      </c>
      <c r="N345" t="s">
        <v>4401</v>
      </c>
    </row>
    <row r="346" spans="1:14" x14ac:dyDescent="0.4">
      <c r="A346" t="s">
        <v>923</v>
      </c>
      <c r="B346" t="s">
        <v>924</v>
      </c>
      <c r="C346" t="s">
        <v>27</v>
      </c>
      <c r="D346" t="s">
        <v>925</v>
      </c>
      <c r="E346" s="2">
        <v>719.87</v>
      </c>
      <c r="F346" s="2">
        <v>1476.1799999999998</v>
      </c>
      <c r="G346" s="2">
        <v>747.19999999999993</v>
      </c>
      <c r="H346" s="2">
        <v>914.25</v>
      </c>
      <c r="I346" s="2">
        <v>1722.2200000000003</v>
      </c>
      <c r="J346" s="2"/>
      <c r="K346" s="2"/>
      <c r="L346" s="2">
        <v>5579.7199999999948</v>
      </c>
      <c r="M346" t="s">
        <v>4400</v>
      </c>
      <c r="N346" t="s">
        <v>4401</v>
      </c>
    </row>
    <row r="347" spans="1:14" x14ac:dyDescent="0.4">
      <c r="A347" t="s">
        <v>926</v>
      </c>
      <c r="B347" t="s">
        <v>927</v>
      </c>
      <c r="C347" t="s">
        <v>220</v>
      </c>
      <c r="D347" t="s">
        <v>928</v>
      </c>
      <c r="E347" s="2">
        <v>7620.8699999999981</v>
      </c>
      <c r="F347" s="2">
        <v>6281.3599999999988</v>
      </c>
      <c r="G347" s="2">
        <v>1536.9199999999998</v>
      </c>
      <c r="H347" s="2"/>
      <c r="I347" s="2">
        <v>6284.37</v>
      </c>
      <c r="J347" s="2">
        <v>6563.7199999999984</v>
      </c>
      <c r="K347" s="2">
        <v>2636.4500000000003</v>
      </c>
      <c r="L347" s="2">
        <v>30923.689999999973</v>
      </c>
      <c r="M347" t="s">
        <v>4400</v>
      </c>
      <c r="N347" t="s">
        <v>4400</v>
      </c>
    </row>
    <row r="348" spans="1:14" x14ac:dyDescent="0.4">
      <c r="A348" t="s">
        <v>929</v>
      </c>
      <c r="B348" t="s">
        <v>930</v>
      </c>
      <c r="C348" t="s">
        <v>163</v>
      </c>
      <c r="D348" t="s">
        <v>931</v>
      </c>
      <c r="E348" s="2">
        <v>4302.1799999999994</v>
      </c>
      <c r="F348" s="2">
        <v>3030.0300000000007</v>
      </c>
      <c r="G348" s="2">
        <v>2970.9200000000005</v>
      </c>
      <c r="H348" s="2">
        <v>2919.52</v>
      </c>
      <c r="I348" s="2">
        <v>3890.9799999999991</v>
      </c>
      <c r="J348" s="2">
        <v>3441.2300000000005</v>
      </c>
      <c r="K348" s="2">
        <v>1814.4199999999996</v>
      </c>
      <c r="L348" s="2">
        <v>22369.280000000035</v>
      </c>
      <c r="M348" t="s">
        <v>4400</v>
      </c>
      <c r="N348" t="s">
        <v>4400</v>
      </c>
    </row>
    <row r="349" spans="1:14" x14ac:dyDescent="0.4">
      <c r="A349" t="s">
        <v>932</v>
      </c>
      <c r="B349" t="s">
        <v>933</v>
      </c>
      <c r="C349" t="s">
        <v>496</v>
      </c>
      <c r="D349" t="s">
        <v>934</v>
      </c>
      <c r="E349" s="2">
        <v>3991.23</v>
      </c>
      <c r="F349" s="2">
        <v>2341.9100000000003</v>
      </c>
      <c r="G349" s="2">
        <v>2211.3000000000002</v>
      </c>
      <c r="H349" s="2">
        <v>735.09</v>
      </c>
      <c r="I349" s="2">
        <v>1488.3899999999999</v>
      </c>
      <c r="J349" s="2">
        <v>2533.29</v>
      </c>
      <c r="K349" s="2">
        <v>783.68000000000006</v>
      </c>
      <c r="L349" s="2">
        <v>14084.889999999996</v>
      </c>
      <c r="M349" t="s">
        <v>4400</v>
      </c>
      <c r="N349" t="s">
        <v>4400</v>
      </c>
    </row>
    <row r="350" spans="1:14" x14ac:dyDescent="0.4">
      <c r="A350" t="s">
        <v>935</v>
      </c>
      <c r="B350" t="s">
        <v>936</v>
      </c>
      <c r="C350" t="s">
        <v>103</v>
      </c>
      <c r="D350" t="s">
        <v>104</v>
      </c>
      <c r="E350" s="2">
        <v>4021.6900000000005</v>
      </c>
      <c r="F350" s="2">
        <v>3095.25</v>
      </c>
      <c r="G350" s="2">
        <v>4981.5300000000007</v>
      </c>
      <c r="H350" s="2">
        <v>4258.5899999999992</v>
      </c>
      <c r="I350" s="2">
        <v>4210.0200000000004</v>
      </c>
      <c r="J350" s="2">
        <v>5327.83</v>
      </c>
      <c r="K350" s="2">
        <v>2180.94</v>
      </c>
      <c r="L350" s="2">
        <v>28075.849999999991</v>
      </c>
      <c r="M350" t="s">
        <v>4400</v>
      </c>
      <c r="N350" t="s">
        <v>4400</v>
      </c>
    </row>
    <row r="351" spans="1:14" x14ac:dyDescent="0.4">
      <c r="A351" t="s">
        <v>937</v>
      </c>
      <c r="B351" t="s">
        <v>938</v>
      </c>
      <c r="C351" t="s">
        <v>939</v>
      </c>
      <c r="D351" t="s">
        <v>940</v>
      </c>
      <c r="E351" s="2">
        <v>9013.7599999999948</v>
      </c>
      <c r="F351" s="2">
        <v>6427.94</v>
      </c>
      <c r="G351" s="2">
        <v>5968.49</v>
      </c>
      <c r="H351" s="2">
        <v>9197.3100000000013</v>
      </c>
      <c r="I351" s="2">
        <v>7134.9099999999971</v>
      </c>
      <c r="J351" s="2">
        <v>5862.239999999998</v>
      </c>
      <c r="K351" s="2">
        <v>2776.21</v>
      </c>
      <c r="L351" s="2">
        <v>46380.859999999993</v>
      </c>
      <c r="M351" t="s">
        <v>4400</v>
      </c>
      <c r="N351" t="s">
        <v>4400</v>
      </c>
    </row>
    <row r="352" spans="1:14" x14ac:dyDescent="0.4">
      <c r="A352" t="s">
        <v>941</v>
      </c>
      <c r="B352" t="s">
        <v>942</v>
      </c>
      <c r="C352" t="s">
        <v>310</v>
      </c>
      <c r="D352" t="s">
        <v>314</v>
      </c>
      <c r="E352" s="2">
        <v>4225.1199999999981</v>
      </c>
      <c r="F352" s="2">
        <v>3207.59</v>
      </c>
      <c r="G352" s="2">
        <v>3076.9999999999995</v>
      </c>
      <c r="H352" s="2">
        <v>3948.77</v>
      </c>
      <c r="I352" s="2">
        <v>4367.9199999999992</v>
      </c>
      <c r="J352" s="2">
        <v>2587.9700000000003</v>
      </c>
      <c r="K352" s="2">
        <v>1834.6599999999999</v>
      </c>
      <c r="L352" s="2">
        <v>23249.030000000017</v>
      </c>
      <c r="M352" t="s">
        <v>4400</v>
      </c>
      <c r="N352" t="s">
        <v>4400</v>
      </c>
    </row>
    <row r="353" spans="1:14" x14ac:dyDescent="0.4">
      <c r="A353" t="s">
        <v>943</v>
      </c>
      <c r="B353" t="s">
        <v>944</v>
      </c>
      <c r="C353" t="s">
        <v>258</v>
      </c>
      <c r="D353" t="s">
        <v>259</v>
      </c>
      <c r="E353" s="2">
        <v>2836.9500000000003</v>
      </c>
      <c r="F353" s="2">
        <v>2432.94</v>
      </c>
      <c r="G353" s="2">
        <v>4033.6399999999985</v>
      </c>
      <c r="H353" s="2">
        <v>5272.9299999999994</v>
      </c>
      <c r="I353" s="2">
        <v>4695.869999999999</v>
      </c>
      <c r="J353" s="2">
        <v>3887.9199999999996</v>
      </c>
      <c r="K353" s="2">
        <v>1843.7199999999998</v>
      </c>
      <c r="L353" s="2">
        <v>25003.97</v>
      </c>
      <c r="M353" t="s">
        <v>4400</v>
      </c>
      <c r="N353" t="s">
        <v>4400</v>
      </c>
    </row>
    <row r="354" spans="1:14" x14ac:dyDescent="0.4">
      <c r="A354" t="s">
        <v>945</v>
      </c>
      <c r="B354" t="s">
        <v>946</v>
      </c>
      <c r="C354" t="s">
        <v>1</v>
      </c>
      <c r="D354" t="s">
        <v>88</v>
      </c>
      <c r="E354" s="2">
        <v>1516.2999999999997</v>
      </c>
      <c r="F354" s="2">
        <v>1482.89</v>
      </c>
      <c r="G354" s="2">
        <v>1508.5900000000001</v>
      </c>
      <c r="H354" s="2">
        <v>1583.1199999999997</v>
      </c>
      <c r="I354" s="2">
        <v>1490.6</v>
      </c>
      <c r="J354" s="2">
        <v>2230.7599999999998</v>
      </c>
      <c r="K354" s="2">
        <v>729.88000000000011</v>
      </c>
      <c r="L354" s="2">
        <v>10542.140000000001</v>
      </c>
      <c r="M354" t="s">
        <v>4400</v>
      </c>
      <c r="N354" t="s">
        <v>4400</v>
      </c>
    </row>
    <row r="355" spans="1:14" x14ac:dyDescent="0.4">
      <c r="A355" t="s">
        <v>947</v>
      </c>
      <c r="B355" t="s">
        <v>948</v>
      </c>
      <c r="C355" t="s">
        <v>447</v>
      </c>
      <c r="D355" t="s">
        <v>784</v>
      </c>
      <c r="E355" s="2">
        <v>1788.98</v>
      </c>
      <c r="F355" s="2">
        <v>4203.7400000000007</v>
      </c>
      <c r="G355" s="2"/>
      <c r="H355" s="2">
        <v>2199.08</v>
      </c>
      <c r="I355" s="2">
        <v>1470.1100000000001</v>
      </c>
      <c r="J355" s="2">
        <v>2979.7299999999987</v>
      </c>
      <c r="K355" s="2"/>
      <c r="L355" s="2">
        <v>12641.639999999992</v>
      </c>
      <c r="M355" t="s">
        <v>4400</v>
      </c>
      <c r="N355" t="s">
        <v>4406</v>
      </c>
    </row>
    <row r="356" spans="1:14" x14ac:dyDescent="0.4">
      <c r="A356" t="s">
        <v>949</v>
      </c>
      <c r="B356" t="s">
        <v>950</v>
      </c>
      <c r="C356" t="s">
        <v>60</v>
      </c>
      <c r="D356" t="s">
        <v>951</v>
      </c>
      <c r="E356" s="2">
        <v>2706.3900000000003</v>
      </c>
      <c r="F356" s="2">
        <v>3520.3900000000003</v>
      </c>
      <c r="G356" s="2">
        <v>3957.82</v>
      </c>
      <c r="H356" s="2">
        <v>4981.4000000000005</v>
      </c>
      <c r="I356" s="2">
        <v>3632.78</v>
      </c>
      <c r="J356" s="2">
        <v>2521.04</v>
      </c>
      <c r="K356" s="2"/>
      <c r="L356" s="2">
        <v>21319.819999999982</v>
      </c>
      <c r="M356" t="s">
        <v>4400</v>
      </c>
      <c r="N356" t="s">
        <v>4406</v>
      </c>
    </row>
    <row r="357" spans="1:14" x14ac:dyDescent="0.4">
      <c r="A357" t="s">
        <v>952</v>
      </c>
      <c r="B357" t="s">
        <v>953</v>
      </c>
      <c r="C357" t="s">
        <v>291</v>
      </c>
      <c r="D357" t="s">
        <v>295</v>
      </c>
      <c r="E357" s="2">
        <v>899.1099999999999</v>
      </c>
      <c r="F357" s="2"/>
      <c r="G357" s="2"/>
      <c r="H357" s="2">
        <v>1849.82</v>
      </c>
      <c r="I357" s="2">
        <v>1858.9500000000003</v>
      </c>
      <c r="J357" s="2">
        <v>1072.25</v>
      </c>
      <c r="K357" s="2"/>
      <c r="L357" s="2">
        <v>5680.13</v>
      </c>
      <c r="M357" t="s">
        <v>4400</v>
      </c>
      <c r="N357" t="s">
        <v>4406</v>
      </c>
    </row>
    <row r="358" spans="1:14" x14ac:dyDescent="0.4">
      <c r="A358" t="s">
        <v>954</v>
      </c>
      <c r="B358" t="s">
        <v>955</v>
      </c>
      <c r="C358" t="s">
        <v>186</v>
      </c>
      <c r="D358" t="s">
        <v>956</v>
      </c>
      <c r="E358" s="2">
        <v>4018.5299999999997</v>
      </c>
      <c r="F358" s="2">
        <v>2997.9599999999996</v>
      </c>
      <c r="G358" s="2">
        <v>3887.9299999999994</v>
      </c>
      <c r="H358" s="2">
        <v>2691.19</v>
      </c>
      <c r="I358" s="2">
        <v>2976.7099999999996</v>
      </c>
      <c r="J358" s="2">
        <v>725.95</v>
      </c>
      <c r="K358" s="2"/>
      <c r="L358" s="2">
        <v>17298.26999999999</v>
      </c>
      <c r="M358" t="s">
        <v>4400</v>
      </c>
      <c r="N358" t="s">
        <v>4406</v>
      </c>
    </row>
    <row r="359" spans="1:14" x14ac:dyDescent="0.4">
      <c r="A359" t="s">
        <v>957</v>
      </c>
      <c r="B359" t="s">
        <v>958</v>
      </c>
      <c r="C359" t="s">
        <v>220</v>
      </c>
      <c r="D359" t="s">
        <v>797</v>
      </c>
      <c r="E359" s="2">
        <v>3751.07</v>
      </c>
      <c r="F359" s="2">
        <v>4832.3899999999994</v>
      </c>
      <c r="G359" s="2">
        <v>5464.1499999999987</v>
      </c>
      <c r="H359" s="2">
        <v>7963.909999999998</v>
      </c>
      <c r="I359" s="2">
        <v>5512.76</v>
      </c>
      <c r="J359" s="2">
        <v>5591.76</v>
      </c>
      <c r="K359" s="2">
        <v>3085.9399999999996</v>
      </c>
      <c r="L359" s="2">
        <v>36201.979999999974</v>
      </c>
      <c r="M359" t="s">
        <v>4400</v>
      </c>
      <c r="N359" t="s">
        <v>4400</v>
      </c>
    </row>
    <row r="360" spans="1:14" x14ac:dyDescent="0.4">
      <c r="A360" t="s">
        <v>959</v>
      </c>
      <c r="B360" t="s">
        <v>960</v>
      </c>
      <c r="C360" t="s">
        <v>410</v>
      </c>
      <c r="D360" t="s">
        <v>411</v>
      </c>
      <c r="E360" s="2">
        <v>1707.08</v>
      </c>
      <c r="F360" s="2">
        <v>3095.1499999999992</v>
      </c>
      <c r="G360" s="2">
        <v>4021.66</v>
      </c>
      <c r="H360" s="2">
        <v>3784.6999999999994</v>
      </c>
      <c r="I360" s="2">
        <v>4097.5700000000006</v>
      </c>
      <c r="J360" s="2">
        <v>2168.7400000000002</v>
      </c>
      <c r="K360" s="2">
        <v>2035.12</v>
      </c>
      <c r="L360" s="2">
        <v>20910.019999999997</v>
      </c>
      <c r="M360" t="s">
        <v>4400</v>
      </c>
      <c r="N360" t="s">
        <v>4400</v>
      </c>
    </row>
    <row r="361" spans="1:14" x14ac:dyDescent="0.4">
      <c r="A361" t="s">
        <v>961</v>
      </c>
      <c r="B361" t="s">
        <v>962</v>
      </c>
      <c r="C361" t="s">
        <v>31</v>
      </c>
      <c r="D361" t="s">
        <v>963</v>
      </c>
      <c r="E361" s="2">
        <v>4437.7400000000007</v>
      </c>
      <c r="F361" s="2">
        <v>5192.03</v>
      </c>
      <c r="G361" s="2">
        <v>6536.62</v>
      </c>
      <c r="H361" s="2">
        <v>4361.8300000000008</v>
      </c>
      <c r="I361" s="2">
        <v>4134.0900000000011</v>
      </c>
      <c r="J361" s="2">
        <v>7080.3700000000008</v>
      </c>
      <c r="K361" s="2">
        <v>4149.1400000000003</v>
      </c>
      <c r="L361" s="2">
        <v>35891.819999999978</v>
      </c>
      <c r="M361" t="s">
        <v>4400</v>
      </c>
      <c r="N361" t="s">
        <v>4400</v>
      </c>
    </row>
    <row r="362" spans="1:14" x14ac:dyDescent="0.4">
      <c r="A362" t="s">
        <v>964</v>
      </c>
      <c r="B362" t="s">
        <v>965</v>
      </c>
      <c r="C362" t="s">
        <v>966</v>
      </c>
      <c r="D362" t="s">
        <v>967</v>
      </c>
      <c r="E362" s="2">
        <v>1567.6999999999998</v>
      </c>
      <c r="F362" s="2">
        <v>1444.3400000000001</v>
      </c>
      <c r="G362" s="2">
        <v>1536.8600000000001</v>
      </c>
      <c r="H362" s="2"/>
      <c r="I362" s="2"/>
      <c r="J362" s="2"/>
      <c r="K362" s="2"/>
      <c r="L362" s="2">
        <v>4548.8999999999996</v>
      </c>
      <c r="M362" t="s">
        <v>4400</v>
      </c>
      <c r="N362" t="s">
        <v>4403</v>
      </c>
    </row>
    <row r="363" spans="1:14" x14ac:dyDescent="0.4">
      <c r="A363" t="s">
        <v>968</v>
      </c>
      <c r="B363" t="s">
        <v>969</v>
      </c>
      <c r="C363" t="s">
        <v>496</v>
      </c>
      <c r="D363" t="s">
        <v>713</v>
      </c>
      <c r="E363" s="2"/>
      <c r="F363" s="2"/>
      <c r="G363" s="2"/>
      <c r="H363" s="2"/>
      <c r="I363" s="2"/>
      <c r="J363" s="2">
        <v>2332.71</v>
      </c>
      <c r="K363" s="2"/>
      <c r="L363" s="2">
        <v>2332.71</v>
      </c>
      <c r="M363" t="s">
        <v>4405</v>
      </c>
      <c r="N363" t="s">
        <v>4406</v>
      </c>
    </row>
    <row r="364" spans="1:14" x14ac:dyDescent="0.4">
      <c r="A364" t="s">
        <v>970</v>
      </c>
      <c r="B364" t="s">
        <v>971</v>
      </c>
      <c r="C364" t="s">
        <v>31</v>
      </c>
      <c r="D364" t="s">
        <v>972</v>
      </c>
      <c r="E364" s="2"/>
      <c r="F364" s="2">
        <v>1060.07</v>
      </c>
      <c r="G364" s="2">
        <v>1704.0000000000002</v>
      </c>
      <c r="H364" s="2">
        <v>2469.44</v>
      </c>
      <c r="I364" s="2">
        <v>798.84999999999991</v>
      </c>
      <c r="J364" s="2"/>
      <c r="K364" s="2">
        <v>1032.75</v>
      </c>
      <c r="L364" s="2">
        <v>7065.1099999999942</v>
      </c>
      <c r="M364" t="s">
        <v>4412</v>
      </c>
      <c r="N364" t="s">
        <v>4400</v>
      </c>
    </row>
    <row r="365" spans="1:14" x14ac:dyDescent="0.4">
      <c r="A365" t="s">
        <v>973</v>
      </c>
      <c r="B365" t="s">
        <v>974</v>
      </c>
      <c r="C365" t="s">
        <v>52</v>
      </c>
      <c r="D365" t="s">
        <v>150</v>
      </c>
      <c r="E365" s="2">
        <v>3623.6999999999989</v>
      </c>
      <c r="F365" s="2">
        <v>3430.9499999999985</v>
      </c>
      <c r="G365" s="2">
        <v>5060.3299999999981</v>
      </c>
      <c r="H365" s="2">
        <v>4741.6500000000005</v>
      </c>
      <c r="I365" s="2">
        <v>4425.5399999999991</v>
      </c>
      <c r="J365" s="2">
        <v>5538.35</v>
      </c>
      <c r="K365" s="2">
        <v>2978.6299999999992</v>
      </c>
      <c r="L365" s="2">
        <v>29799.149999999987</v>
      </c>
      <c r="M365" t="s">
        <v>4400</v>
      </c>
      <c r="N365" t="s">
        <v>4400</v>
      </c>
    </row>
    <row r="366" spans="1:14" x14ac:dyDescent="0.4">
      <c r="A366" t="s">
        <v>975</v>
      </c>
      <c r="B366" t="s">
        <v>976</v>
      </c>
      <c r="C366" t="s">
        <v>279</v>
      </c>
      <c r="D366" t="s">
        <v>280</v>
      </c>
      <c r="E366" s="2">
        <v>4733.9400000000014</v>
      </c>
      <c r="F366" s="2">
        <v>5404.71</v>
      </c>
      <c r="G366" s="2">
        <v>6183.420000000001</v>
      </c>
      <c r="H366" s="2">
        <v>6892.7400000000016</v>
      </c>
      <c r="I366" s="2">
        <v>7303.9400000000023</v>
      </c>
      <c r="J366" s="2">
        <v>4911.2699999999995</v>
      </c>
      <c r="K366" s="2">
        <v>2063.71</v>
      </c>
      <c r="L366" s="2">
        <v>37493.729999999989</v>
      </c>
      <c r="M366" t="s">
        <v>4400</v>
      </c>
      <c r="N366" t="s">
        <v>4400</v>
      </c>
    </row>
    <row r="367" spans="1:14" x14ac:dyDescent="0.4">
      <c r="A367" t="s">
        <v>977</v>
      </c>
      <c r="B367" t="s">
        <v>978</v>
      </c>
      <c r="C367" t="s">
        <v>310</v>
      </c>
      <c r="D367" t="s">
        <v>311</v>
      </c>
      <c r="E367" s="2">
        <v>3168.1099999999992</v>
      </c>
      <c r="F367" s="2">
        <v>2985.8300000000004</v>
      </c>
      <c r="G367" s="2">
        <v>3110.3499999999995</v>
      </c>
      <c r="H367" s="2">
        <v>3380.6999999999994</v>
      </c>
      <c r="I367" s="2">
        <v>2244.6699999999996</v>
      </c>
      <c r="J367" s="2">
        <v>3216.6999999999985</v>
      </c>
      <c r="K367" s="2">
        <v>844.40000000000009</v>
      </c>
      <c r="L367" s="2">
        <v>18950.759999999991</v>
      </c>
      <c r="M367" t="s">
        <v>4400</v>
      </c>
      <c r="N367" t="s">
        <v>4400</v>
      </c>
    </row>
    <row r="368" spans="1:14" x14ac:dyDescent="0.4">
      <c r="A368" t="s">
        <v>979</v>
      </c>
      <c r="B368" t="s">
        <v>980</v>
      </c>
      <c r="C368" t="s">
        <v>60</v>
      </c>
      <c r="D368" t="s">
        <v>61</v>
      </c>
      <c r="E368" s="2">
        <v>2238.6799999999998</v>
      </c>
      <c r="F368" s="2">
        <v>1503.5700000000002</v>
      </c>
      <c r="G368" s="2">
        <v>1467.1100000000001</v>
      </c>
      <c r="H368" s="2"/>
      <c r="I368" s="2"/>
      <c r="J368" s="2"/>
      <c r="K368" s="2"/>
      <c r="L368" s="2">
        <v>5209.3599999999997</v>
      </c>
      <c r="M368" t="s">
        <v>4400</v>
      </c>
      <c r="N368" t="s">
        <v>4403</v>
      </c>
    </row>
    <row r="369" spans="1:14" x14ac:dyDescent="0.4">
      <c r="A369" t="s">
        <v>981</v>
      </c>
      <c r="B369" t="s">
        <v>982</v>
      </c>
      <c r="C369" t="s">
        <v>447</v>
      </c>
      <c r="D369" t="s">
        <v>784</v>
      </c>
      <c r="E369" s="2">
        <v>4610.579999999999</v>
      </c>
      <c r="F369" s="2">
        <v>4117.1400000000003</v>
      </c>
      <c r="G369" s="2">
        <v>2313</v>
      </c>
      <c r="H369" s="2">
        <v>3330.72</v>
      </c>
      <c r="I369" s="2">
        <v>4826.4599999999991</v>
      </c>
      <c r="J369" s="2">
        <v>4181.3899999999994</v>
      </c>
      <c r="K369" s="2">
        <v>3071.15</v>
      </c>
      <c r="L369" s="2">
        <v>26450.440000000035</v>
      </c>
      <c r="M369" t="s">
        <v>4400</v>
      </c>
      <c r="N369" t="s">
        <v>4400</v>
      </c>
    </row>
    <row r="370" spans="1:14" x14ac:dyDescent="0.4">
      <c r="A370" t="s">
        <v>983</v>
      </c>
      <c r="B370" t="s">
        <v>984</v>
      </c>
      <c r="C370" t="s">
        <v>64</v>
      </c>
      <c r="D370" t="s">
        <v>985</v>
      </c>
      <c r="E370" s="2">
        <v>7378.0699999999988</v>
      </c>
      <c r="F370" s="2">
        <v>5233.6099999999997</v>
      </c>
      <c r="G370" s="2">
        <v>10363.819999999998</v>
      </c>
      <c r="H370" s="2">
        <v>7763.7299999999977</v>
      </c>
      <c r="I370" s="2">
        <v>9695.529999999997</v>
      </c>
      <c r="J370" s="2">
        <v>8720.5399999999936</v>
      </c>
      <c r="K370" s="2">
        <v>4829.54</v>
      </c>
      <c r="L370" s="2">
        <v>53984.839999999989</v>
      </c>
      <c r="M370" t="s">
        <v>4400</v>
      </c>
      <c r="N370" t="s">
        <v>4400</v>
      </c>
    </row>
    <row r="371" spans="1:14" x14ac:dyDescent="0.4">
      <c r="A371" t="s">
        <v>986</v>
      </c>
      <c r="B371" t="s">
        <v>987</v>
      </c>
      <c r="C371" t="s">
        <v>267</v>
      </c>
      <c r="D371" t="s">
        <v>988</v>
      </c>
      <c r="E371" s="2"/>
      <c r="F371" s="2"/>
      <c r="G371" s="2"/>
      <c r="H371" s="2"/>
      <c r="I371" s="2">
        <v>1069.1200000000001</v>
      </c>
      <c r="J371" s="2">
        <v>2567.4299999999994</v>
      </c>
      <c r="K371" s="2">
        <v>2125.3900000000003</v>
      </c>
      <c r="L371" s="2">
        <v>5761.9400000000014</v>
      </c>
      <c r="M371" t="s">
        <v>4408</v>
      </c>
      <c r="N371" t="s">
        <v>4400</v>
      </c>
    </row>
    <row r="372" spans="1:14" x14ac:dyDescent="0.4">
      <c r="A372" t="s">
        <v>989</v>
      </c>
      <c r="B372" t="s">
        <v>990</v>
      </c>
      <c r="C372" t="s">
        <v>96</v>
      </c>
      <c r="D372" t="s">
        <v>991</v>
      </c>
      <c r="E372" s="2">
        <v>4340.66</v>
      </c>
      <c r="F372" s="2">
        <v>4635.25</v>
      </c>
      <c r="G372" s="2">
        <v>4553.17</v>
      </c>
      <c r="H372" s="2">
        <v>5078.6399999999994</v>
      </c>
      <c r="I372" s="2">
        <v>3884.9399999999996</v>
      </c>
      <c r="J372" s="2">
        <v>3511.3399999999983</v>
      </c>
      <c r="K372" s="2">
        <v>1770.87</v>
      </c>
      <c r="L372" s="2">
        <v>27774.869999999992</v>
      </c>
      <c r="M372" t="s">
        <v>4400</v>
      </c>
      <c r="N372" t="s">
        <v>4400</v>
      </c>
    </row>
    <row r="373" spans="1:14" x14ac:dyDescent="0.4">
      <c r="A373" t="s">
        <v>992</v>
      </c>
      <c r="B373" t="s">
        <v>993</v>
      </c>
      <c r="C373" t="s">
        <v>178</v>
      </c>
      <c r="D373" t="s">
        <v>179</v>
      </c>
      <c r="E373" s="2">
        <v>1007.4399999999998</v>
      </c>
      <c r="F373" s="2">
        <v>1737.32</v>
      </c>
      <c r="G373" s="2">
        <v>1742.46</v>
      </c>
      <c r="H373" s="2">
        <v>1734.75</v>
      </c>
      <c r="I373" s="2">
        <v>804.40999999999985</v>
      </c>
      <c r="J373" s="2">
        <v>2783.3099999999995</v>
      </c>
      <c r="K373" s="2"/>
      <c r="L373" s="2">
        <v>9809.6900000000041</v>
      </c>
      <c r="M373" t="s">
        <v>4400</v>
      </c>
      <c r="N373" t="s">
        <v>4406</v>
      </c>
    </row>
    <row r="374" spans="1:14" x14ac:dyDescent="0.4">
      <c r="A374" t="s">
        <v>994</v>
      </c>
      <c r="B374" t="s">
        <v>995</v>
      </c>
      <c r="C374" t="s">
        <v>251</v>
      </c>
      <c r="D374" t="s">
        <v>252</v>
      </c>
      <c r="E374" s="2">
        <v>5376.2800000000007</v>
      </c>
      <c r="F374" s="2">
        <v>5005.6600000000026</v>
      </c>
      <c r="G374" s="2">
        <v>7338.3999999999987</v>
      </c>
      <c r="H374" s="2">
        <v>5288.13</v>
      </c>
      <c r="I374" s="2">
        <v>4516.59</v>
      </c>
      <c r="J374" s="2">
        <v>5555.37</v>
      </c>
      <c r="K374" s="2">
        <v>2584.7899999999995</v>
      </c>
      <c r="L374" s="2">
        <v>35665.219999999965</v>
      </c>
      <c r="M374" t="s">
        <v>4400</v>
      </c>
      <c r="N374" t="s">
        <v>4400</v>
      </c>
    </row>
    <row r="375" spans="1:14" x14ac:dyDescent="0.4">
      <c r="A375" t="s">
        <v>996</v>
      </c>
      <c r="B375" t="s">
        <v>754</v>
      </c>
      <c r="C375" t="s">
        <v>755</v>
      </c>
      <c r="D375" t="s">
        <v>997</v>
      </c>
      <c r="E375" s="2">
        <v>4033.7000000000016</v>
      </c>
      <c r="F375" s="2">
        <v>3663.150000000001</v>
      </c>
      <c r="G375" s="2">
        <v>3857.5600000000009</v>
      </c>
      <c r="H375" s="2">
        <v>2469.4100000000003</v>
      </c>
      <c r="I375" s="2">
        <v>2630.3599999999997</v>
      </c>
      <c r="J375" s="2">
        <v>1461</v>
      </c>
      <c r="K375" s="2">
        <v>735.05</v>
      </c>
      <c r="L375" s="2">
        <v>18850.229999999963</v>
      </c>
      <c r="M375" t="s">
        <v>4400</v>
      </c>
      <c r="N375" t="s">
        <v>4400</v>
      </c>
    </row>
    <row r="376" spans="1:14" x14ac:dyDescent="0.4">
      <c r="A376" t="s">
        <v>998</v>
      </c>
      <c r="B376" t="s">
        <v>883</v>
      </c>
      <c r="C376" t="s">
        <v>437</v>
      </c>
      <c r="D376" t="s">
        <v>438</v>
      </c>
      <c r="E376" s="2">
        <v>2193.0200000000004</v>
      </c>
      <c r="F376" s="2">
        <v>3708.7200000000003</v>
      </c>
      <c r="G376" s="2">
        <v>2818.69</v>
      </c>
      <c r="H376" s="2">
        <v>2363.0800000000004</v>
      </c>
      <c r="I376" s="2">
        <v>3119.4199999999996</v>
      </c>
      <c r="J376" s="2">
        <v>3025.23</v>
      </c>
      <c r="K376" s="2">
        <v>923.36</v>
      </c>
      <c r="L376" s="2">
        <v>18151.520000000004</v>
      </c>
      <c r="M376" t="s">
        <v>4400</v>
      </c>
      <c r="N376" t="s">
        <v>4400</v>
      </c>
    </row>
    <row r="377" spans="1:14" x14ac:dyDescent="0.4">
      <c r="A377" t="s">
        <v>999</v>
      </c>
      <c r="B377" t="s">
        <v>1000</v>
      </c>
      <c r="C377" t="s">
        <v>113</v>
      </c>
      <c r="D377" t="s">
        <v>117</v>
      </c>
      <c r="E377" s="2"/>
      <c r="F377" s="2"/>
      <c r="G377" s="2"/>
      <c r="H377" s="2"/>
      <c r="I377" s="2"/>
      <c r="J377" s="2">
        <v>2423.81</v>
      </c>
      <c r="K377" s="2"/>
      <c r="L377" s="2">
        <v>2423.81</v>
      </c>
      <c r="M377" t="s">
        <v>4405</v>
      </c>
      <c r="N377" t="s">
        <v>4406</v>
      </c>
    </row>
    <row r="378" spans="1:14" x14ac:dyDescent="0.4">
      <c r="A378" t="s">
        <v>1001</v>
      </c>
      <c r="B378" t="s">
        <v>401</v>
      </c>
      <c r="C378" t="s">
        <v>402</v>
      </c>
      <c r="D378" t="s">
        <v>403</v>
      </c>
      <c r="E378" s="2">
        <v>729.00999999999988</v>
      </c>
      <c r="F378" s="2">
        <v>1470.15</v>
      </c>
      <c r="G378" s="2"/>
      <c r="H378" s="2"/>
      <c r="I378" s="2"/>
      <c r="J378" s="2"/>
      <c r="K378" s="2"/>
      <c r="L378" s="2">
        <v>2199.16</v>
      </c>
      <c r="M378" t="s">
        <v>4400</v>
      </c>
      <c r="N378" t="s">
        <v>4410</v>
      </c>
    </row>
    <row r="379" spans="1:14" x14ac:dyDescent="0.4">
      <c r="A379" t="s">
        <v>1002</v>
      </c>
      <c r="B379" t="s">
        <v>1003</v>
      </c>
      <c r="C379" t="s">
        <v>172</v>
      </c>
      <c r="D379" t="s">
        <v>173</v>
      </c>
      <c r="E379" s="2"/>
      <c r="F379" s="2"/>
      <c r="G379" s="2"/>
      <c r="H379" s="2"/>
      <c r="I379" s="2">
        <v>929.46</v>
      </c>
      <c r="J379" s="2"/>
      <c r="K379" s="2"/>
      <c r="L379" s="2">
        <v>929.46</v>
      </c>
      <c r="M379" t="s">
        <v>4408</v>
      </c>
      <c r="N379" t="s">
        <v>4401</v>
      </c>
    </row>
    <row r="380" spans="1:14" x14ac:dyDescent="0.4">
      <c r="A380" t="s">
        <v>1004</v>
      </c>
      <c r="B380" t="s">
        <v>1005</v>
      </c>
      <c r="C380" t="s">
        <v>19</v>
      </c>
      <c r="D380" t="s">
        <v>20</v>
      </c>
      <c r="E380" s="2">
        <v>5345.9</v>
      </c>
      <c r="F380" s="2"/>
      <c r="G380" s="2">
        <v>4984.4800000000005</v>
      </c>
      <c r="H380" s="2">
        <v>8161.5899999999992</v>
      </c>
      <c r="I380" s="2">
        <v>4489.3400000000011</v>
      </c>
      <c r="J380" s="2">
        <v>2709.43</v>
      </c>
      <c r="K380" s="2"/>
      <c r="L380" s="2">
        <v>25690.739999999976</v>
      </c>
      <c r="M380" t="s">
        <v>4400</v>
      </c>
      <c r="N380" t="s">
        <v>4406</v>
      </c>
    </row>
    <row r="381" spans="1:14" x14ac:dyDescent="0.4">
      <c r="A381" t="s">
        <v>1006</v>
      </c>
      <c r="B381" t="s">
        <v>1007</v>
      </c>
      <c r="C381" t="s">
        <v>19</v>
      </c>
      <c r="D381" t="s">
        <v>681</v>
      </c>
      <c r="E381" s="2"/>
      <c r="F381" s="2"/>
      <c r="G381" s="2">
        <v>2508.9999999999995</v>
      </c>
      <c r="H381" s="2">
        <v>2272.0399999999995</v>
      </c>
      <c r="I381" s="2">
        <v>2575.83</v>
      </c>
      <c r="J381" s="2">
        <v>1512.6699999999998</v>
      </c>
      <c r="K381" s="2">
        <v>1573.3899999999996</v>
      </c>
      <c r="L381" s="2">
        <v>10442.93</v>
      </c>
      <c r="M381" t="s">
        <v>4411</v>
      </c>
      <c r="N381" t="s">
        <v>4400</v>
      </c>
    </row>
    <row r="382" spans="1:14" x14ac:dyDescent="0.4">
      <c r="A382" t="s">
        <v>1008</v>
      </c>
      <c r="B382" t="s">
        <v>1009</v>
      </c>
      <c r="C382" t="s">
        <v>96</v>
      </c>
      <c r="D382" t="s">
        <v>1010</v>
      </c>
      <c r="E382" s="2">
        <v>3170</v>
      </c>
      <c r="F382" s="2">
        <v>1740</v>
      </c>
      <c r="G382" s="2">
        <v>1740</v>
      </c>
      <c r="H382" s="2">
        <v>1539.9600000000003</v>
      </c>
      <c r="I382" s="2">
        <v>1825.48</v>
      </c>
      <c r="J382" s="2">
        <v>950.71</v>
      </c>
      <c r="K382" s="2">
        <v>911.22</v>
      </c>
      <c r="L382" s="2">
        <v>11877.369999999999</v>
      </c>
      <c r="M382" t="s">
        <v>4400</v>
      </c>
      <c r="N382" t="s">
        <v>4400</v>
      </c>
    </row>
    <row r="383" spans="1:14" x14ac:dyDescent="0.4">
      <c r="A383" t="s">
        <v>1011</v>
      </c>
      <c r="B383" t="s">
        <v>1012</v>
      </c>
      <c r="C383" t="s">
        <v>310</v>
      </c>
      <c r="D383" t="s">
        <v>1013</v>
      </c>
      <c r="E383" s="2">
        <v>2922.0200000000004</v>
      </c>
      <c r="F383" s="2">
        <v>1439.74</v>
      </c>
      <c r="G383" s="2"/>
      <c r="H383" s="2"/>
      <c r="I383" s="2"/>
      <c r="J383" s="2"/>
      <c r="K383" s="2"/>
      <c r="L383" s="2">
        <v>4361.76</v>
      </c>
      <c r="M383" t="s">
        <v>4400</v>
      </c>
      <c r="N383" t="s">
        <v>4410</v>
      </c>
    </row>
    <row r="384" spans="1:14" x14ac:dyDescent="0.4">
      <c r="A384" t="s">
        <v>1014</v>
      </c>
      <c r="B384" t="s">
        <v>1015</v>
      </c>
      <c r="C384" t="s">
        <v>447</v>
      </c>
      <c r="D384" t="s">
        <v>1016</v>
      </c>
      <c r="E384" s="2">
        <v>1953.07</v>
      </c>
      <c r="F384" s="2">
        <v>1609.85</v>
      </c>
      <c r="G384" s="2">
        <v>1667.5400000000002</v>
      </c>
      <c r="H384" s="2">
        <v>1479.21</v>
      </c>
      <c r="I384" s="2">
        <v>807.93999999999983</v>
      </c>
      <c r="J384" s="2">
        <v>732.0200000000001</v>
      </c>
      <c r="K384" s="2"/>
      <c r="L384" s="2">
        <v>8249.6299999999956</v>
      </c>
      <c r="M384" t="s">
        <v>4400</v>
      </c>
      <c r="N384" t="s">
        <v>4406</v>
      </c>
    </row>
    <row r="385" spans="1:14" x14ac:dyDescent="0.4">
      <c r="A385" t="s">
        <v>1017</v>
      </c>
      <c r="B385" t="s">
        <v>1018</v>
      </c>
      <c r="C385" t="s">
        <v>103</v>
      </c>
      <c r="D385" t="s">
        <v>1019</v>
      </c>
      <c r="E385" s="2">
        <v>1457.9299999999998</v>
      </c>
      <c r="F385" s="2">
        <v>1460.9799999999998</v>
      </c>
      <c r="G385" s="2">
        <v>2363.1</v>
      </c>
      <c r="H385" s="2">
        <v>750.23</v>
      </c>
      <c r="I385" s="2">
        <v>1518.6599999999999</v>
      </c>
      <c r="J385" s="2">
        <v>1460.9599999999996</v>
      </c>
      <c r="K385" s="2">
        <v>801.86000000000013</v>
      </c>
      <c r="L385" s="2">
        <v>9813.7199999999975</v>
      </c>
      <c r="M385" t="s">
        <v>4400</v>
      </c>
      <c r="N385" t="s">
        <v>4400</v>
      </c>
    </row>
    <row r="386" spans="1:14" x14ac:dyDescent="0.4">
      <c r="A386" t="s">
        <v>1020</v>
      </c>
      <c r="B386" t="s">
        <v>1021</v>
      </c>
      <c r="C386" t="s">
        <v>27</v>
      </c>
      <c r="D386" t="s">
        <v>1022</v>
      </c>
      <c r="E386" s="2">
        <v>1877.09</v>
      </c>
      <c r="F386" s="2"/>
      <c r="G386" s="2">
        <v>2232.4699999999998</v>
      </c>
      <c r="H386" s="2">
        <v>5233.4699999999984</v>
      </c>
      <c r="I386" s="2">
        <v>2153.4999999999995</v>
      </c>
      <c r="J386" s="2">
        <v>3331.9999999999995</v>
      </c>
      <c r="K386" s="2">
        <v>2405.6099999999997</v>
      </c>
      <c r="L386" s="2">
        <v>17234.139999999992</v>
      </c>
      <c r="M386" t="s">
        <v>4400</v>
      </c>
      <c r="N386" t="s">
        <v>4400</v>
      </c>
    </row>
    <row r="387" spans="1:14" x14ac:dyDescent="0.4">
      <c r="A387" t="s">
        <v>1023</v>
      </c>
      <c r="B387" t="s">
        <v>1024</v>
      </c>
      <c r="C387" t="s">
        <v>123</v>
      </c>
      <c r="D387" t="s">
        <v>1025</v>
      </c>
      <c r="E387" s="2">
        <v>1837.6699999999998</v>
      </c>
      <c r="F387" s="2"/>
      <c r="G387" s="2">
        <v>2754.97</v>
      </c>
      <c r="H387" s="2">
        <v>868.74000000000012</v>
      </c>
      <c r="I387" s="2">
        <v>2560.6</v>
      </c>
      <c r="J387" s="2"/>
      <c r="K387" s="2"/>
      <c r="L387" s="2">
        <v>8021.9799999999959</v>
      </c>
      <c r="M387" t="s">
        <v>4400</v>
      </c>
      <c r="N387" t="s">
        <v>4401</v>
      </c>
    </row>
    <row r="388" spans="1:14" x14ac:dyDescent="0.4">
      <c r="A388" t="s">
        <v>1026</v>
      </c>
      <c r="B388" t="s">
        <v>1027</v>
      </c>
      <c r="C388" t="s">
        <v>310</v>
      </c>
      <c r="D388" t="s">
        <v>317</v>
      </c>
      <c r="E388" s="2">
        <v>2669.9100000000003</v>
      </c>
      <c r="F388" s="2">
        <v>2593.9699999999998</v>
      </c>
      <c r="G388" s="2">
        <v>2423.8799999999997</v>
      </c>
      <c r="H388" s="2">
        <v>1625.03</v>
      </c>
      <c r="I388" s="2">
        <v>2420.8399999999997</v>
      </c>
      <c r="J388" s="2">
        <v>3025.2800000000007</v>
      </c>
      <c r="K388" s="2">
        <v>1512.6400000000003</v>
      </c>
      <c r="L388" s="2">
        <v>16271.549999999974</v>
      </c>
      <c r="M388" t="s">
        <v>4400</v>
      </c>
      <c r="N388" t="s">
        <v>4400</v>
      </c>
    </row>
    <row r="389" spans="1:14" x14ac:dyDescent="0.4">
      <c r="A389" t="s">
        <v>1028</v>
      </c>
      <c r="B389" t="s">
        <v>1029</v>
      </c>
      <c r="C389" t="s">
        <v>1</v>
      </c>
      <c r="D389" t="s">
        <v>1030</v>
      </c>
      <c r="E389" s="2">
        <v>7432.5000000000009</v>
      </c>
      <c r="F389" s="2">
        <v>7620.8399999999983</v>
      </c>
      <c r="G389" s="2">
        <v>6782.5299999999952</v>
      </c>
      <c r="H389" s="2">
        <v>6639.7799999999979</v>
      </c>
      <c r="I389" s="2">
        <v>5843.9599999999991</v>
      </c>
      <c r="J389" s="2">
        <v>6600.279999999997</v>
      </c>
      <c r="K389" s="2">
        <v>2685.0699999999993</v>
      </c>
      <c r="L389" s="2">
        <v>43604.959999999999</v>
      </c>
      <c r="M389" t="s">
        <v>4400</v>
      </c>
      <c r="N389" t="s">
        <v>4400</v>
      </c>
    </row>
    <row r="390" spans="1:14" x14ac:dyDescent="0.4">
      <c r="A390" t="s">
        <v>1031</v>
      </c>
      <c r="B390" t="s">
        <v>1032</v>
      </c>
      <c r="C390" t="s">
        <v>64</v>
      </c>
      <c r="D390" t="s">
        <v>1033</v>
      </c>
      <c r="E390" s="2">
        <v>5283.920000000001</v>
      </c>
      <c r="F390" s="2">
        <v>5746.520000000005</v>
      </c>
      <c r="G390" s="2">
        <v>4993.5100000000029</v>
      </c>
      <c r="H390" s="2">
        <v>4975.5199999999995</v>
      </c>
      <c r="I390" s="2">
        <v>6404.4399999999987</v>
      </c>
      <c r="J390" s="2">
        <v>5147.71</v>
      </c>
      <c r="K390" s="2">
        <v>1346.6799999999998</v>
      </c>
      <c r="L390" s="2">
        <v>33898.299999999981</v>
      </c>
      <c r="M390" t="s">
        <v>4400</v>
      </c>
      <c r="N390" t="s">
        <v>4400</v>
      </c>
    </row>
    <row r="391" spans="1:14" x14ac:dyDescent="0.4">
      <c r="A391" t="s">
        <v>1034</v>
      </c>
      <c r="B391" t="s">
        <v>1035</v>
      </c>
      <c r="C391" t="s">
        <v>31</v>
      </c>
      <c r="D391" t="s">
        <v>471</v>
      </c>
      <c r="E391" s="2">
        <v>3435.4699999999993</v>
      </c>
      <c r="F391" s="2">
        <v>3672.4100000000003</v>
      </c>
      <c r="G391" s="2">
        <v>3730.0800000000004</v>
      </c>
      <c r="H391" s="2">
        <v>3526.6300000000006</v>
      </c>
      <c r="I391" s="2">
        <v>3462.79</v>
      </c>
      <c r="J391" s="2">
        <v>2581.8799999999997</v>
      </c>
      <c r="K391" s="2">
        <v>1855.9299999999998</v>
      </c>
      <c r="L391" s="2">
        <v>22265.189999999991</v>
      </c>
      <c r="M391" t="s">
        <v>4400</v>
      </c>
      <c r="N391" t="s">
        <v>4400</v>
      </c>
    </row>
    <row r="392" spans="1:14" x14ac:dyDescent="0.4">
      <c r="A392" t="s">
        <v>1036</v>
      </c>
      <c r="B392" t="s">
        <v>1037</v>
      </c>
      <c r="C392" t="s">
        <v>19</v>
      </c>
      <c r="D392" t="s">
        <v>20</v>
      </c>
      <c r="E392" s="2">
        <v>15196.179999999998</v>
      </c>
      <c r="F392" s="2">
        <v>11274.829999999996</v>
      </c>
      <c r="G392" s="2">
        <v>11171.590000000002</v>
      </c>
      <c r="H392" s="2">
        <v>13079.059999999992</v>
      </c>
      <c r="I392" s="2">
        <v>13877.88999999999</v>
      </c>
      <c r="J392" s="2">
        <v>11080.439999999995</v>
      </c>
      <c r="K392" s="2">
        <v>5318.4700000000012</v>
      </c>
      <c r="L392" s="2">
        <v>80998.460000000108</v>
      </c>
      <c r="M392" t="s">
        <v>4400</v>
      </c>
      <c r="N392" t="s">
        <v>4400</v>
      </c>
    </row>
    <row r="393" spans="1:14" x14ac:dyDescent="0.4">
      <c r="A393" t="s">
        <v>1038</v>
      </c>
      <c r="B393" t="s">
        <v>1039</v>
      </c>
      <c r="C393" t="s">
        <v>496</v>
      </c>
      <c r="D393" t="s">
        <v>713</v>
      </c>
      <c r="E393" s="2">
        <v>10360.349999999997</v>
      </c>
      <c r="F393" s="2">
        <v>5764.8500000000013</v>
      </c>
      <c r="G393" s="2">
        <v>5752.6900000000005</v>
      </c>
      <c r="H393" s="2">
        <v>10080.879999999996</v>
      </c>
      <c r="I393" s="2">
        <v>7808.9400000000023</v>
      </c>
      <c r="J393" s="2">
        <v>8054.9700000000012</v>
      </c>
      <c r="K393" s="2">
        <v>2991.76</v>
      </c>
      <c r="L393" s="2">
        <v>50814.439999999981</v>
      </c>
      <c r="M393" t="s">
        <v>4400</v>
      </c>
      <c r="N393" t="s">
        <v>4400</v>
      </c>
    </row>
    <row r="394" spans="1:14" x14ac:dyDescent="0.4">
      <c r="A394" t="s">
        <v>1040</v>
      </c>
      <c r="B394" t="s">
        <v>1041</v>
      </c>
      <c r="C394" t="s">
        <v>172</v>
      </c>
      <c r="D394" t="s">
        <v>173</v>
      </c>
      <c r="E394" s="2">
        <v>3532.52</v>
      </c>
      <c r="F394" s="2">
        <v>3532.6100000000006</v>
      </c>
      <c r="G394" s="2">
        <v>4510.5800000000008</v>
      </c>
      <c r="H394" s="2">
        <v>2940.23</v>
      </c>
      <c r="I394" s="2">
        <v>3265.2300000000005</v>
      </c>
      <c r="J394" s="2">
        <v>3845.3699999999994</v>
      </c>
      <c r="K394" s="2">
        <v>1643.2299999999998</v>
      </c>
      <c r="L394" s="2">
        <v>23269.769999999993</v>
      </c>
      <c r="M394" t="s">
        <v>4400</v>
      </c>
      <c r="N394" t="s">
        <v>4400</v>
      </c>
    </row>
    <row r="395" spans="1:14" x14ac:dyDescent="0.4">
      <c r="A395" t="s">
        <v>1042</v>
      </c>
      <c r="B395" t="s">
        <v>1043</v>
      </c>
      <c r="C395" t="s">
        <v>64</v>
      </c>
      <c r="D395" t="s">
        <v>71</v>
      </c>
      <c r="E395" s="2">
        <v>938.58000000000015</v>
      </c>
      <c r="F395" s="2">
        <v>972.02</v>
      </c>
      <c r="G395" s="2"/>
      <c r="H395" s="2">
        <v>1163.3500000000001</v>
      </c>
      <c r="I395" s="2">
        <v>1060.0899999999999</v>
      </c>
      <c r="J395" s="2"/>
      <c r="K395" s="2">
        <v>798.86</v>
      </c>
      <c r="L395" s="2">
        <v>4932.8999999999987</v>
      </c>
      <c r="M395" t="s">
        <v>4400</v>
      </c>
      <c r="N395" t="s">
        <v>4400</v>
      </c>
    </row>
    <row r="396" spans="1:14" x14ac:dyDescent="0.4">
      <c r="A396" t="s">
        <v>1044</v>
      </c>
      <c r="B396" t="s">
        <v>1045</v>
      </c>
      <c r="C396" t="s">
        <v>423</v>
      </c>
      <c r="D396" t="s">
        <v>430</v>
      </c>
      <c r="E396" s="2"/>
      <c r="F396" s="2"/>
      <c r="G396" s="2"/>
      <c r="H396" s="2">
        <v>1755.6599999999999</v>
      </c>
      <c r="I396" s="2">
        <v>4298.1200000000008</v>
      </c>
      <c r="J396" s="2">
        <v>3632.96</v>
      </c>
      <c r="K396" s="2">
        <v>2108.08</v>
      </c>
      <c r="L396" s="2">
        <v>11794.820000000002</v>
      </c>
      <c r="M396" t="s">
        <v>4409</v>
      </c>
      <c r="N396" t="s">
        <v>4400</v>
      </c>
    </row>
    <row r="397" spans="1:14" x14ac:dyDescent="0.4">
      <c r="A397" t="s">
        <v>1046</v>
      </c>
      <c r="B397" t="s">
        <v>1047</v>
      </c>
      <c r="C397" t="s">
        <v>220</v>
      </c>
      <c r="D397" t="s">
        <v>221</v>
      </c>
      <c r="E397" s="2">
        <v>2946.16</v>
      </c>
      <c r="F397" s="2">
        <v>4012.26</v>
      </c>
      <c r="G397" s="2">
        <v>1503.45</v>
      </c>
      <c r="H397" s="2">
        <v>2949.2</v>
      </c>
      <c r="I397" s="2">
        <v>3675.13</v>
      </c>
      <c r="J397" s="2">
        <v>2202.0399999999995</v>
      </c>
      <c r="K397" s="2">
        <v>1582.4199999999998</v>
      </c>
      <c r="L397" s="2">
        <v>18870.659999999989</v>
      </c>
      <c r="M397" t="s">
        <v>4400</v>
      </c>
      <c r="N397" t="s">
        <v>4400</v>
      </c>
    </row>
    <row r="398" spans="1:14" x14ac:dyDescent="0.4">
      <c r="A398" t="s">
        <v>1048</v>
      </c>
      <c r="B398" t="s">
        <v>1049</v>
      </c>
      <c r="C398" t="s">
        <v>167</v>
      </c>
      <c r="D398" t="s">
        <v>1050</v>
      </c>
      <c r="E398" s="2">
        <v>1038.78</v>
      </c>
      <c r="F398" s="2"/>
      <c r="G398" s="2">
        <v>2442.09</v>
      </c>
      <c r="H398" s="2">
        <v>1117.76</v>
      </c>
      <c r="I398" s="2">
        <v>1290.8899999999999</v>
      </c>
      <c r="J398" s="2">
        <v>1218.02</v>
      </c>
      <c r="K398" s="2">
        <v>1460.9499999999998</v>
      </c>
      <c r="L398" s="2">
        <v>8568.489999999998</v>
      </c>
      <c r="M398" t="s">
        <v>4400</v>
      </c>
      <c r="N398" t="s">
        <v>4400</v>
      </c>
    </row>
    <row r="399" spans="1:14" x14ac:dyDescent="0.4">
      <c r="A399" t="s">
        <v>1051</v>
      </c>
      <c r="B399" t="s">
        <v>1052</v>
      </c>
      <c r="C399" t="s">
        <v>447</v>
      </c>
      <c r="D399" t="s">
        <v>1053</v>
      </c>
      <c r="E399" s="2"/>
      <c r="F399" s="2"/>
      <c r="G399" s="2"/>
      <c r="H399" s="2"/>
      <c r="I399" s="2">
        <v>1242.32</v>
      </c>
      <c r="J399" s="2"/>
      <c r="K399" s="2">
        <v>1053.97</v>
      </c>
      <c r="L399" s="2">
        <v>2296.2899999999995</v>
      </c>
      <c r="M399" t="s">
        <v>4408</v>
      </c>
      <c r="N399" t="s">
        <v>4400</v>
      </c>
    </row>
    <row r="400" spans="1:14" x14ac:dyDescent="0.4">
      <c r="A400" t="s">
        <v>1054</v>
      </c>
      <c r="B400" t="s">
        <v>1055</v>
      </c>
      <c r="C400" t="s">
        <v>39</v>
      </c>
      <c r="D400" t="s">
        <v>1056</v>
      </c>
      <c r="E400" s="2">
        <v>14953.380000000001</v>
      </c>
      <c r="F400" s="2">
        <v>9622.6200000000026</v>
      </c>
      <c r="G400" s="2">
        <v>12085.97</v>
      </c>
      <c r="H400" s="2">
        <v>14367.089999999995</v>
      </c>
      <c r="I400" s="2">
        <v>13386.039999999999</v>
      </c>
      <c r="J400" s="2">
        <v>8362.0999999999985</v>
      </c>
      <c r="K400" s="2">
        <v>3805.92</v>
      </c>
      <c r="L400" s="2">
        <v>76583.12000000001</v>
      </c>
      <c r="M400" t="s">
        <v>4400</v>
      </c>
      <c r="N400" t="s">
        <v>4400</v>
      </c>
    </row>
    <row r="401" spans="1:14" x14ac:dyDescent="0.4">
      <c r="A401" t="s">
        <v>1057</v>
      </c>
      <c r="B401" t="s">
        <v>1058</v>
      </c>
      <c r="C401" t="s">
        <v>5</v>
      </c>
      <c r="D401" t="s">
        <v>1059</v>
      </c>
      <c r="E401" s="2">
        <v>3945.6399999999994</v>
      </c>
      <c r="F401" s="2">
        <v>1649.3399999999997</v>
      </c>
      <c r="G401" s="2">
        <v>1324.3499999999997</v>
      </c>
      <c r="H401" s="2"/>
      <c r="I401" s="2">
        <v>1190.6899999999998</v>
      </c>
      <c r="J401" s="2">
        <v>1412.4299999999998</v>
      </c>
      <c r="K401" s="2">
        <v>1327.3999999999999</v>
      </c>
      <c r="L401" s="2">
        <v>10849.849999999997</v>
      </c>
      <c r="M401" t="s">
        <v>4400</v>
      </c>
      <c r="N401" t="s">
        <v>4400</v>
      </c>
    </row>
    <row r="402" spans="1:14" x14ac:dyDescent="0.4">
      <c r="A402" t="s">
        <v>1060</v>
      </c>
      <c r="B402" t="s">
        <v>1061</v>
      </c>
      <c r="C402" t="s">
        <v>447</v>
      </c>
      <c r="D402" t="s">
        <v>448</v>
      </c>
      <c r="E402" s="2">
        <v>1886.2399999999996</v>
      </c>
      <c r="F402" s="2">
        <v>1877.1299999999999</v>
      </c>
      <c r="G402" s="2">
        <v>2569.6499999999996</v>
      </c>
      <c r="H402" s="2">
        <v>2393.4699999999993</v>
      </c>
      <c r="I402" s="2">
        <v>1747.3099999999997</v>
      </c>
      <c r="J402" s="2">
        <v>2508.3500000000004</v>
      </c>
      <c r="K402" s="2">
        <v>735.05000000000007</v>
      </c>
      <c r="L402" s="2">
        <v>13717.200000000004</v>
      </c>
      <c r="M402" t="s">
        <v>4400</v>
      </c>
      <c r="N402" t="s">
        <v>4400</v>
      </c>
    </row>
    <row r="403" spans="1:14" x14ac:dyDescent="0.4">
      <c r="A403" t="s">
        <v>1062</v>
      </c>
      <c r="B403" t="s">
        <v>141</v>
      </c>
      <c r="C403" t="s">
        <v>52</v>
      </c>
      <c r="D403" t="s">
        <v>153</v>
      </c>
      <c r="E403" s="2">
        <v>3565.9</v>
      </c>
      <c r="F403" s="2">
        <v>2262.8700000000003</v>
      </c>
      <c r="G403" s="2">
        <v>2405.63</v>
      </c>
      <c r="H403" s="2">
        <v>2770.11</v>
      </c>
      <c r="I403" s="2">
        <v>2627.32</v>
      </c>
      <c r="J403" s="2">
        <v>2709.34</v>
      </c>
      <c r="K403" s="2">
        <v>905.1400000000001</v>
      </c>
      <c r="L403" s="2">
        <v>17246.309999999994</v>
      </c>
      <c r="M403" t="s">
        <v>4400</v>
      </c>
      <c r="N403" t="s">
        <v>4400</v>
      </c>
    </row>
    <row r="404" spans="1:14" x14ac:dyDescent="0.4">
      <c r="A404" t="s">
        <v>1063</v>
      </c>
      <c r="B404" t="s">
        <v>1064</v>
      </c>
      <c r="C404" t="s">
        <v>113</v>
      </c>
      <c r="D404" t="s">
        <v>1065</v>
      </c>
      <c r="E404" s="2">
        <v>2909.89</v>
      </c>
      <c r="F404" s="2">
        <v>2879.5199999999991</v>
      </c>
      <c r="G404" s="2">
        <v>3629.7699999999991</v>
      </c>
      <c r="H404" s="2">
        <v>2196.0899999999997</v>
      </c>
      <c r="I404" s="2">
        <v>2958.4900000000002</v>
      </c>
      <c r="J404" s="2">
        <v>3833.2399999999989</v>
      </c>
      <c r="K404" s="2">
        <v>1543</v>
      </c>
      <c r="L404" s="2">
        <v>19949.999999999996</v>
      </c>
      <c r="M404" t="s">
        <v>4400</v>
      </c>
      <c r="N404" t="s">
        <v>4400</v>
      </c>
    </row>
    <row r="405" spans="1:14" x14ac:dyDescent="0.4">
      <c r="A405" t="s">
        <v>1066</v>
      </c>
      <c r="B405" t="s">
        <v>1067</v>
      </c>
      <c r="C405" t="s">
        <v>437</v>
      </c>
      <c r="D405" t="s">
        <v>552</v>
      </c>
      <c r="E405" s="2">
        <v>722.93000000000006</v>
      </c>
      <c r="F405" s="2">
        <v>1038.82</v>
      </c>
      <c r="G405" s="2">
        <v>729.00000000000011</v>
      </c>
      <c r="H405" s="2">
        <v>2505.9300000000003</v>
      </c>
      <c r="I405" s="2">
        <v>2530.2199999999998</v>
      </c>
      <c r="J405" s="2">
        <v>1497.49</v>
      </c>
      <c r="K405" s="2"/>
      <c r="L405" s="2">
        <v>9024.39</v>
      </c>
      <c r="M405" t="s">
        <v>4400</v>
      </c>
      <c r="N405" t="s">
        <v>4406</v>
      </c>
    </row>
    <row r="406" spans="1:14" x14ac:dyDescent="0.4">
      <c r="A406" t="s">
        <v>1068</v>
      </c>
      <c r="B406" t="s">
        <v>1069</v>
      </c>
      <c r="C406" t="s">
        <v>1</v>
      </c>
      <c r="D406" t="s">
        <v>1030</v>
      </c>
      <c r="E406" s="2">
        <v>719.85</v>
      </c>
      <c r="F406" s="2"/>
      <c r="G406" s="2"/>
      <c r="H406" s="2"/>
      <c r="I406" s="2"/>
      <c r="J406" s="2"/>
      <c r="K406" s="2"/>
      <c r="L406" s="2">
        <v>719.85</v>
      </c>
      <c r="M406" t="s">
        <v>4400</v>
      </c>
      <c r="N406" t="s">
        <v>4407</v>
      </c>
    </row>
    <row r="407" spans="1:14" x14ac:dyDescent="0.4">
      <c r="A407" t="s">
        <v>1070</v>
      </c>
      <c r="B407" t="s">
        <v>962</v>
      </c>
      <c r="C407" t="s">
        <v>31</v>
      </c>
      <c r="D407" t="s">
        <v>477</v>
      </c>
      <c r="E407" s="2">
        <v>12319.250000000004</v>
      </c>
      <c r="F407" s="2">
        <v>11887.000000000005</v>
      </c>
      <c r="G407" s="2">
        <v>10017.410000000005</v>
      </c>
      <c r="H407" s="2">
        <v>12676.190000000004</v>
      </c>
      <c r="I407" s="2">
        <v>10976.220000000003</v>
      </c>
      <c r="J407" s="2">
        <v>14457.380000000006</v>
      </c>
      <c r="K407" s="2">
        <v>5257.7100000000009</v>
      </c>
      <c r="L407" s="2">
        <v>77591.159999999989</v>
      </c>
      <c r="M407" t="s">
        <v>4400</v>
      </c>
      <c r="N407" t="s">
        <v>4400</v>
      </c>
    </row>
    <row r="408" spans="1:14" x14ac:dyDescent="0.4">
      <c r="A408" t="s">
        <v>1071</v>
      </c>
      <c r="B408" t="s">
        <v>1072</v>
      </c>
      <c r="C408" t="s">
        <v>310</v>
      </c>
      <c r="D408" t="s">
        <v>314</v>
      </c>
      <c r="E408" s="2">
        <v>947.65000000000009</v>
      </c>
      <c r="F408" s="2"/>
      <c r="G408" s="2"/>
      <c r="H408" s="2"/>
      <c r="I408" s="2"/>
      <c r="J408" s="2"/>
      <c r="K408" s="2"/>
      <c r="L408" s="2">
        <v>947.65000000000009</v>
      </c>
      <c r="M408" t="s">
        <v>4400</v>
      </c>
      <c r="N408" t="s">
        <v>4407</v>
      </c>
    </row>
    <row r="409" spans="1:14" x14ac:dyDescent="0.4">
      <c r="A409" t="s">
        <v>1073</v>
      </c>
      <c r="B409" t="s">
        <v>141</v>
      </c>
      <c r="C409" t="s">
        <v>437</v>
      </c>
      <c r="D409" t="s">
        <v>1074</v>
      </c>
      <c r="E409" s="2">
        <v>4199.3799999999992</v>
      </c>
      <c r="F409" s="2">
        <v>2868.12</v>
      </c>
      <c r="G409" s="2">
        <v>2536.5899999999997</v>
      </c>
      <c r="H409" s="2">
        <v>7941.3</v>
      </c>
      <c r="I409" s="2">
        <v>4518.0600000000004</v>
      </c>
      <c r="J409" s="2">
        <v>3829.2999999999993</v>
      </c>
      <c r="K409" s="2">
        <v>1521.44</v>
      </c>
      <c r="L409" s="2">
        <v>27414.190000000017</v>
      </c>
      <c r="M409" t="s">
        <v>4400</v>
      </c>
      <c r="N409" t="s">
        <v>4400</v>
      </c>
    </row>
    <row r="410" spans="1:14" x14ac:dyDescent="0.4">
      <c r="A410" t="s">
        <v>1075</v>
      </c>
      <c r="B410" t="s">
        <v>1076</v>
      </c>
      <c r="C410" t="s">
        <v>199</v>
      </c>
      <c r="D410" t="s">
        <v>203</v>
      </c>
      <c r="E410" s="2">
        <v>4099.1499999999987</v>
      </c>
      <c r="F410" s="2">
        <v>4250.7799999999979</v>
      </c>
      <c r="G410" s="2">
        <v>5638.5799999999981</v>
      </c>
      <c r="H410" s="2">
        <v>4831.6000000000004</v>
      </c>
      <c r="I410" s="2">
        <v>4392.1299999999992</v>
      </c>
      <c r="J410" s="2">
        <v>5438.1199999999972</v>
      </c>
      <c r="K410" s="2">
        <v>1953.1999999999994</v>
      </c>
      <c r="L410" s="2">
        <v>30603.560000000078</v>
      </c>
      <c r="M410" t="s">
        <v>4400</v>
      </c>
      <c r="N410" t="s">
        <v>4400</v>
      </c>
    </row>
    <row r="411" spans="1:14" x14ac:dyDescent="0.4">
      <c r="A411" t="s">
        <v>1077</v>
      </c>
      <c r="B411" t="s">
        <v>1078</v>
      </c>
      <c r="C411" t="s">
        <v>447</v>
      </c>
      <c r="D411" t="s">
        <v>448</v>
      </c>
      <c r="E411" s="2">
        <v>3887.94</v>
      </c>
      <c r="F411" s="2">
        <v>2751.93</v>
      </c>
      <c r="G411" s="2">
        <v>4073.2700000000009</v>
      </c>
      <c r="H411" s="2">
        <v>4498.62</v>
      </c>
      <c r="I411" s="2">
        <v>4188.7100000000019</v>
      </c>
      <c r="J411" s="2">
        <v>3730.1000000000008</v>
      </c>
      <c r="K411" s="2">
        <v>1965.2699999999998</v>
      </c>
      <c r="L411" s="2">
        <v>25095.840000000011</v>
      </c>
      <c r="M411" t="s">
        <v>4400</v>
      </c>
      <c r="N411" t="s">
        <v>4400</v>
      </c>
    </row>
    <row r="412" spans="1:14" x14ac:dyDescent="0.4">
      <c r="A412" t="s">
        <v>1079</v>
      </c>
      <c r="B412" t="s">
        <v>1080</v>
      </c>
      <c r="C412" t="s">
        <v>91</v>
      </c>
      <c r="D412" t="s">
        <v>92</v>
      </c>
      <c r="E412" s="2"/>
      <c r="F412" s="2">
        <v>2193.0700000000002</v>
      </c>
      <c r="G412" s="2">
        <v>4206.93</v>
      </c>
      <c r="H412" s="2">
        <v>5327.7</v>
      </c>
      <c r="I412" s="2">
        <v>3963.8099999999995</v>
      </c>
      <c r="J412" s="2">
        <v>3417.1200000000003</v>
      </c>
      <c r="K412" s="2">
        <v>1716.2</v>
      </c>
      <c r="L412" s="2">
        <v>20824.830000000005</v>
      </c>
      <c r="M412" t="s">
        <v>4412</v>
      </c>
      <c r="N412" t="s">
        <v>4400</v>
      </c>
    </row>
    <row r="413" spans="1:14" x14ac:dyDescent="0.4">
      <c r="A413" t="s">
        <v>1081</v>
      </c>
      <c r="B413" t="s">
        <v>1082</v>
      </c>
      <c r="C413" t="s">
        <v>240</v>
      </c>
      <c r="D413" t="s">
        <v>1083</v>
      </c>
      <c r="E413" s="2"/>
      <c r="F413" s="2"/>
      <c r="G413" s="2">
        <v>786.42</v>
      </c>
      <c r="H413" s="2">
        <v>3050.59</v>
      </c>
      <c r="I413" s="2">
        <v>3762.48</v>
      </c>
      <c r="J413" s="2">
        <v>3127.69</v>
      </c>
      <c r="K413" s="2">
        <v>1968.6200000000003</v>
      </c>
      <c r="L413" s="2">
        <v>12695.800000000005</v>
      </c>
      <c r="M413" t="s">
        <v>4411</v>
      </c>
      <c r="N413" t="s">
        <v>4400</v>
      </c>
    </row>
    <row r="414" spans="1:14" x14ac:dyDescent="0.4">
      <c r="A414" t="s">
        <v>1084</v>
      </c>
      <c r="B414" t="s">
        <v>1085</v>
      </c>
      <c r="C414" t="s">
        <v>310</v>
      </c>
      <c r="D414" t="s">
        <v>314</v>
      </c>
      <c r="E414" s="2">
        <v>3289.559999999999</v>
      </c>
      <c r="F414" s="2">
        <v>3739.0799999999995</v>
      </c>
      <c r="G414" s="2">
        <v>3772.4799999999991</v>
      </c>
      <c r="H414" s="2">
        <v>5230.4499999999962</v>
      </c>
      <c r="I414" s="2">
        <v>3365.4599999999996</v>
      </c>
      <c r="J414" s="2">
        <v>3632.75</v>
      </c>
      <c r="K414" s="2">
        <v>1907.47</v>
      </c>
      <c r="L414" s="2">
        <v>24937.249999999993</v>
      </c>
      <c r="M414" t="s">
        <v>4400</v>
      </c>
      <c r="N414" t="s">
        <v>4400</v>
      </c>
    </row>
    <row r="415" spans="1:14" x14ac:dyDescent="0.4">
      <c r="A415" t="s">
        <v>1086</v>
      </c>
      <c r="B415" t="s">
        <v>762</v>
      </c>
      <c r="C415" t="s">
        <v>113</v>
      </c>
      <c r="D415" t="s">
        <v>1087</v>
      </c>
      <c r="E415" s="2">
        <v>6342.7599999999984</v>
      </c>
      <c r="F415" s="2">
        <v>5887.869999999999</v>
      </c>
      <c r="G415" s="2">
        <v>5502.3700000000008</v>
      </c>
      <c r="H415" s="2">
        <v>5661.7099999999982</v>
      </c>
      <c r="I415" s="2">
        <v>5188.83</v>
      </c>
      <c r="J415" s="2">
        <v>6990.4</v>
      </c>
      <c r="K415" s="2">
        <v>3030.0300000000007</v>
      </c>
      <c r="L415" s="2">
        <v>38603.970000000096</v>
      </c>
      <c r="M415" t="s">
        <v>4400</v>
      </c>
      <c r="N415" t="s">
        <v>4400</v>
      </c>
    </row>
    <row r="416" spans="1:14" x14ac:dyDescent="0.4">
      <c r="A416" t="s">
        <v>1088</v>
      </c>
      <c r="B416" t="s">
        <v>1089</v>
      </c>
      <c r="C416" t="s">
        <v>363</v>
      </c>
      <c r="D416" t="s">
        <v>369</v>
      </c>
      <c r="E416" s="2">
        <v>1464.05</v>
      </c>
      <c r="F416" s="2">
        <v>1461.0200000000002</v>
      </c>
      <c r="G416" s="2">
        <v>2165.7100000000005</v>
      </c>
      <c r="H416" s="2">
        <v>4118.7800000000007</v>
      </c>
      <c r="I416" s="2">
        <v>2420.8399999999997</v>
      </c>
      <c r="J416" s="2">
        <v>1464.0400000000002</v>
      </c>
      <c r="K416" s="2">
        <v>1461.0099999999998</v>
      </c>
      <c r="L416" s="2">
        <v>14555.449999999995</v>
      </c>
      <c r="M416" t="s">
        <v>4400</v>
      </c>
      <c r="N416" t="s">
        <v>4400</v>
      </c>
    </row>
    <row r="417" spans="1:14" x14ac:dyDescent="0.4">
      <c r="A417" t="s">
        <v>1090</v>
      </c>
      <c r="B417" t="s">
        <v>1091</v>
      </c>
      <c r="C417" t="s">
        <v>52</v>
      </c>
      <c r="D417" t="s">
        <v>642</v>
      </c>
      <c r="E417" s="2">
        <v>8838.230000000005</v>
      </c>
      <c r="F417" s="2">
        <v>7540.3800000000028</v>
      </c>
      <c r="G417" s="2">
        <v>6825.9200000000028</v>
      </c>
      <c r="H417" s="2">
        <v>7560.9400000000014</v>
      </c>
      <c r="I417" s="2">
        <v>8224.0000000000055</v>
      </c>
      <c r="J417" s="2">
        <v>6735.9700000000039</v>
      </c>
      <c r="K417" s="2">
        <v>3197.079999999999</v>
      </c>
      <c r="L417" s="2">
        <v>48922.519999999866</v>
      </c>
      <c r="M417" t="s">
        <v>4400</v>
      </c>
      <c r="N417" t="s">
        <v>4400</v>
      </c>
    </row>
    <row r="418" spans="1:14" x14ac:dyDescent="0.4">
      <c r="A418" t="s">
        <v>1092</v>
      </c>
      <c r="B418" t="s">
        <v>1093</v>
      </c>
      <c r="C418" t="s">
        <v>447</v>
      </c>
      <c r="D418" t="s">
        <v>784</v>
      </c>
      <c r="E418" s="2">
        <v>3781.5699999999997</v>
      </c>
      <c r="F418" s="2">
        <v>2132.2199999999998</v>
      </c>
      <c r="G418" s="2">
        <v>3426.1499999999992</v>
      </c>
      <c r="H418" s="2">
        <v>1457.9699999999998</v>
      </c>
      <c r="I418" s="2"/>
      <c r="J418" s="2"/>
      <c r="K418" s="2"/>
      <c r="L418" s="2">
        <v>10797.909999999993</v>
      </c>
      <c r="M418" t="s">
        <v>4400</v>
      </c>
      <c r="N418" t="s">
        <v>4402</v>
      </c>
    </row>
    <row r="419" spans="1:14" x14ac:dyDescent="0.4">
      <c r="A419" t="s">
        <v>1094</v>
      </c>
      <c r="B419" t="s">
        <v>1095</v>
      </c>
      <c r="C419" t="s">
        <v>60</v>
      </c>
      <c r="D419" t="s">
        <v>61</v>
      </c>
      <c r="E419" s="2">
        <v>3824.12</v>
      </c>
      <c r="F419" s="2">
        <v>3332.1299999999997</v>
      </c>
      <c r="G419" s="2">
        <v>3134.66</v>
      </c>
      <c r="H419" s="2"/>
      <c r="I419" s="2"/>
      <c r="J419" s="2"/>
      <c r="K419" s="2"/>
      <c r="L419" s="2">
        <v>10290.91</v>
      </c>
      <c r="M419" t="s">
        <v>4400</v>
      </c>
      <c r="N419" t="s">
        <v>4403</v>
      </c>
    </row>
    <row r="420" spans="1:14" x14ac:dyDescent="0.4">
      <c r="A420" t="s">
        <v>1096</v>
      </c>
      <c r="B420" t="s">
        <v>955</v>
      </c>
      <c r="C420" t="s">
        <v>186</v>
      </c>
      <c r="D420" t="s">
        <v>956</v>
      </c>
      <c r="E420" s="2">
        <v>3477.8599999999997</v>
      </c>
      <c r="F420" s="2">
        <v>1649.34</v>
      </c>
      <c r="G420" s="2">
        <v>2609.1800000000003</v>
      </c>
      <c r="H420" s="2">
        <v>1871.05</v>
      </c>
      <c r="I420" s="2">
        <v>1038.81</v>
      </c>
      <c r="J420" s="2">
        <v>4783.9999999999991</v>
      </c>
      <c r="K420" s="2">
        <v>1761.73</v>
      </c>
      <c r="L420" s="2">
        <v>17191.96999999999</v>
      </c>
      <c r="M420" t="s">
        <v>4400</v>
      </c>
      <c r="N420" t="s">
        <v>4400</v>
      </c>
    </row>
    <row r="421" spans="1:14" x14ac:dyDescent="0.4">
      <c r="A421" t="s">
        <v>1097</v>
      </c>
      <c r="B421" t="s">
        <v>1098</v>
      </c>
      <c r="C421" t="s">
        <v>19</v>
      </c>
      <c r="D421" t="s">
        <v>539</v>
      </c>
      <c r="E421" s="2">
        <v>1497.4599999999998</v>
      </c>
      <c r="F421" s="2">
        <v>3016.2000000000003</v>
      </c>
      <c r="G421" s="2">
        <v>2417.7999999999997</v>
      </c>
      <c r="H421" s="2">
        <v>2560.5199999999995</v>
      </c>
      <c r="I421" s="2">
        <v>3453.5599999999995</v>
      </c>
      <c r="J421" s="2">
        <v>1503.53</v>
      </c>
      <c r="K421" s="2">
        <v>1643.2700000000002</v>
      </c>
      <c r="L421" s="2">
        <v>16092.339999999987</v>
      </c>
      <c r="M421" t="s">
        <v>4400</v>
      </c>
      <c r="N421" t="s">
        <v>4400</v>
      </c>
    </row>
    <row r="422" spans="1:14" x14ac:dyDescent="0.4">
      <c r="A422" t="s">
        <v>1099</v>
      </c>
      <c r="B422" t="s">
        <v>1032</v>
      </c>
      <c r="C422" t="s">
        <v>1</v>
      </c>
      <c r="D422" t="s">
        <v>1030</v>
      </c>
      <c r="E422" s="2">
        <v>5291.630000000001</v>
      </c>
      <c r="F422" s="2">
        <v>4983.2300000000014</v>
      </c>
      <c r="G422" s="2">
        <v>6108.8900000000031</v>
      </c>
      <c r="H422" s="2">
        <v>4613.1500000000015</v>
      </c>
      <c r="I422" s="2">
        <v>3988.6400000000003</v>
      </c>
      <c r="J422" s="2">
        <v>4548.9000000000015</v>
      </c>
      <c r="K422" s="2">
        <v>1472.6100000000001</v>
      </c>
      <c r="L422" s="2">
        <v>31007.05000000009</v>
      </c>
      <c r="M422" t="s">
        <v>4400</v>
      </c>
      <c r="N422" t="s">
        <v>4400</v>
      </c>
    </row>
    <row r="423" spans="1:14" x14ac:dyDescent="0.4">
      <c r="A423" t="s">
        <v>1100</v>
      </c>
      <c r="B423" t="s">
        <v>1101</v>
      </c>
      <c r="C423" t="s">
        <v>310</v>
      </c>
      <c r="D423" t="s">
        <v>1102</v>
      </c>
      <c r="E423" s="2"/>
      <c r="F423" s="2">
        <v>5145.4100000000017</v>
      </c>
      <c r="G423" s="2">
        <v>4395.1499999999987</v>
      </c>
      <c r="H423" s="2">
        <v>5512.8899999999985</v>
      </c>
      <c r="I423" s="2">
        <v>5230.4599999999991</v>
      </c>
      <c r="J423" s="2">
        <v>3571.9800000000005</v>
      </c>
      <c r="K423" s="2">
        <v>1178.52</v>
      </c>
      <c r="L423" s="2">
        <v>25034.409999999989</v>
      </c>
      <c r="M423" t="s">
        <v>4412</v>
      </c>
      <c r="N423" t="s">
        <v>4400</v>
      </c>
    </row>
    <row r="424" spans="1:14" x14ac:dyDescent="0.4">
      <c r="A424" t="s">
        <v>1103</v>
      </c>
      <c r="B424" t="s">
        <v>1104</v>
      </c>
      <c r="C424" t="s">
        <v>19</v>
      </c>
      <c r="D424" t="s">
        <v>681</v>
      </c>
      <c r="E424" s="2">
        <v>4461.9500000000007</v>
      </c>
      <c r="F424" s="2">
        <v>4446.75</v>
      </c>
      <c r="G424" s="2">
        <v>4865.880000000001</v>
      </c>
      <c r="H424" s="2">
        <v>5637.3500000000022</v>
      </c>
      <c r="I424" s="2">
        <v>4613.7700000000004</v>
      </c>
      <c r="J424" s="2">
        <v>5928.9500000000025</v>
      </c>
      <c r="K424" s="2">
        <v>2080.6</v>
      </c>
      <c r="L424" s="2">
        <v>32035.249999999924</v>
      </c>
      <c r="M424" t="s">
        <v>4400</v>
      </c>
      <c r="N424" t="s">
        <v>4400</v>
      </c>
    </row>
    <row r="425" spans="1:14" x14ac:dyDescent="0.4">
      <c r="A425" t="s">
        <v>1105</v>
      </c>
      <c r="B425" t="s">
        <v>1106</v>
      </c>
      <c r="C425" t="s">
        <v>78</v>
      </c>
      <c r="D425" t="s">
        <v>79</v>
      </c>
      <c r="E425" s="2">
        <v>4832.6900000000014</v>
      </c>
      <c r="F425" s="2">
        <v>2688.21</v>
      </c>
      <c r="G425" s="2">
        <v>3462.7799999999997</v>
      </c>
      <c r="H425" s="2">
        <v>3635.9300000000003</v>
      </c>
      <c r="I425" s="2">
        <v>3675.4</v>
      </c>
      <c r="J425" s="2">
        <v>2830.93</v>
      </c>
      <c r="K425" s="2">
        <v>1947.0399999999997</v>
      </c>
      <c r="L425" s="2">
        <v>23072.980000000025</v>
      </c>
      <c r="M425" t="s">
        <v>4400</v>
      </c>
      <c r="N425" t="s">
        <v>4400</v>
      </c>
    </row>
    <row r="426" spans="1:14" x14ac:dyDescent="0.4">
      <c r="A426" t="s">
        <v>1107</v>
      </c>
      <c r="B426" t="s">
        <v>657</v>
      </c>
      <c r="C426" t="s">
        <v>195</v>
      </c>
      <c r="D426" t="s">
        <v>665</v>
      </c>
      <c r="E426" s="2"/>
      <c r="F426" s="2"/>
      <c r="G426" s="2"/>
      <c r="H426" s="2"/>
      <c r="I426" s="2">
        <v>880.85</v>
      </c>
      <c r="J426" s="2"/>
      <c r="K426" s="2">
        <v>801.9</v>
      </c>
      <c r="L426" s="2">
        <v>1682.7499999999998</v>
      </c>
      <c r="M426" t="s">
        <v>4408</v>
      </c>
      <c r="N426" t="s">
        <v>4400</v>
      </c>
    </row>
    <row r="427" spans="1:14" x14ac:dyDescent="0.4">
      <c r="A427" t="s">
        <v>1108</v>
      </c>
      <c r="B427" t="s">
        <v>1109</v>
      </c>
      <c r="C427" t="s">
        <v>109</v>
      </c>
      <c r="D427" t="s">
        <v>110</v>
      </c>
      <c r="E427" s="2">
        <v>8893.6799999999985</v>
      </c>
      <c r="F427" s="2">
        <v>5604.1699999999992</v>
      </c>
      <c r="G427" s="2">
        <v>5947.3899999999994</v>
      </c>
      <c r="H427" s="2">
        <v>8146.5200000000013</v>
      </c>
      <c r="I427" s="2">
        <v>7450.8800000000019</v>
      </c>
      <c r="J427" s="2">
        <v>6469.7999999999993</v>
      </c>
      <c r="K427" s="2">
        <v>2524.130000000001</v>
      </c>
      <c r="L427" s="2">
        <v>45036.569999999934</v>
      </c>
      <c r="M427" t="s">
        <v>4400</v>
      </c>
      <c r="N427" t="s">
        <v>4400</v>
      </c>
    </row>
    <row r="428" spans="1:14" x14ac:dyDescent="0.4">
      <c r="A428" t="s">
        <v>1110</v>
      </c>
      <c r="B428" t="s">
        <v>1111</v>
      </c>
      <c r="C428" t="s">
        <v>64</v>
      </c>
      <c r="D428" t="s">
        <v>1112</v>
      </c>
      <c r="E428" s="2">
        <v>5278.89</v>
      </c>
      <c r="F428" s="2">
        <v>4683.5000000000018</v>
      </c>
      <c r="G428" s="2">
        <v>4880.93</v>
      </c>
      <c r="H428" s="2">
        <v>4786.76</v>
      </c>
      <c r="I428" s="2">
        <v>4416.2</v>
      </c>
      <c r="J428" s="2">
        <v>4355.4399999999996</v>
      </c>
      <c r="K428" s="2">
        <v>2189.92</v>
      </c>
      <c r="L428" s="2">
        <v>30591.639999999959</v>
      </c>
      <c r="M428" t="s">
        <v>4400</v>
      </c>
      <c r="N428" t="s">
        <v>4400</v>
      </c>
    </row>
    <row r="429" spans="1:14" x14ac:dyDescent="0.4">
      <c r="A429" t="s">
        <v>1113</v>
      </c>
      <c r="B429" t="s">
        <v>1114</v>
      </c>
      <c r="C429" t="s">
        <v>178</v>
      </c>
      <c r="D429" t="s">
        <v>179</v>
      </c>
      <c r="E429" s="2">
        <v>9115.42</v>
      </c>
      <c r="F429" s="2">
        <v>8119.11</v>
      </c>
      <c r="G429" s="2">
        <v>2244.6799999999998</v>
      </c>
      <c r="H429" s="2"/>
      <c r="I429" s="2"/>
      <c r="J429" s="2"/>
      <c r="K429" s="2"/>
      <c r="L429" s="2">
        <v>19479.209999999992</v>
      </c>
      <c r="M429" t="s">
        <v>4400</v>
      </c>
      <c r="N429" t="s">
        <v>4403</v>
      </c>
    </row>
    <row r="430" spans="1:14" x14ac:dyDescent="0.4">
      <c r="A430" t="s">
        <v>1115</v>
      </c>
      <c r="B430" t="s">
        <v>1116</v>
      </c>
      <c r="C430" t="s">
        <v>240</v>
      </c>
      <c r="D430" t="s">
        <v>1117</v>
      </c>
      <c r="E430" s="2">
        <v>1913.5199999999998</v>
      </c>
      <c r="F430" s="2">
        <v>1874.03</v>
      </c>
      <c r="G430" s="2">
        <v>956.76</v>
      </c>
      <c r="H430" s="2">
        <v>789.71</v>
      </c>
      <c r="I430" s="2"/>
      <c r="J430" s="2"/>
      <c r="K430" s="2"/>
      <c r="L430" s="2">
        <v>5534.0199999999995</v>
      </c>
      <c r="M430" t="s">
        <v>4400</v>
      </c>
      <c r="N430" t="s">
        <v>4402</v>
      </c>
    </row>
    <row r="431" spans="1:14" x14ac:dyDescent="0.4">
      <c r="A431" t="s">
        <v>1118</v>
      </c>
      <c r="B431" t="s">
        <v>1119</v>
      </c>
      <c r="C431" t="s">
        <v>103</v>
      </c>
      <c r="D431" t="s">
        <v>653</v>
      </c>
      <c r="E431" s="2">
        <v>5300.3</v>
      </c>
      <c r="F431" s="2">
        <v>4708</v>
      </c>
      <c r="G431" s="2">
        <v>6332.9999999999991</v>
      </c>
      <c r="H431" s="2">
        <v>4282.7</v>
      </c>
      <c r="I431" s="2">
        <v>4221.9500000000007</v>
      </c>
      <c r="J431" s="2">
        <v>7614.75</v>
      </c>
      <c r="K431" s="2">
        <v>2627.35</v>
      </c>
      <c r="L431" s="2">
        <v>35088.050000000003</v>
      </c>
      <c r="M431" t="s">
        <v>4400</v>
      </c>
      <c r="N431" t="s">
        <v>4400</v>
      </c>
    </row>
    <row r="432" spans="1:14" x14ac:dyDescent="0.4">
      <c r="A432" t="s">
        <v>1120</v>
      </c>
      <c r="B432" t="s">
        <v>1121</v>
      </c>
      <c r="C432" t="s">
        <v>258</v>
      </c>
      <c r="D432" t="s">
        <v>259</v>
      </c>
      <c r="E432" s="2">
        <v>2542.33</v>
      </c>
      <c r="F432" s="2">
        <v>3398.91</v>
      </c>
      <c r="G432" s="2">
        <v>3013.14</v>
      </c>
      <c r="H432" s="2">
        <v>4243.2700000000004</v>
      </c>
      <c r="I432" s="2">
        <v>1956.0900000000001</v>
      </c>
      <c r="J432" s="2">
        <v>1925.7299999999996</v>
      </c>
      <c r="K432" s="2">
        <v>1871.0499999999997</v>
      </c>
      <c r="L432" s="2">
        <v>18950.519999999968</v>
      </c>
      <c r="M432" t="s">
        <v>4400</v>
      </c>
      <c r="N432" t="s">
        <v>4400</v>
      </c>
    </row>
    <row r="433" spans="1:14" x14ac:dyDescent="0.4">
      <c r="A433" t="s">
        <v>1122</v>
      </c>
      <c r="B433" t="s">
        <v>1123</v>
      </c>
      <c r="C433" t="s">
        <v>5</v>
      </c>
      <c r="D433" t="s">
        <v>740</v>
      </c>
      <c r="E433" s="2">
        <v>4935.8999999999996</v>
      </c>
      <c r="F433" s="2">
        <v>4334.3500000000004</v>
      </c>
      <c r="G433" s="2">
        <v>2521.0499999999997</v>
      </c>
      <c r="H433" s="2">
        <v>2448.0899999999997</v>
      </c>
      <c r="I433" s="2">
        <v>1245.3599999999999</v>
      </c>
      <c r="J433" s="2">
        <v>1251.4000000000001</v>
      </c>
      <c r="K433" s="2"/>
      <c r="L433" s="2">
        <v>16736.150000000005</v>
      </c>
      <c r="M433" t="s">
        <v>4400</v>
      </c>
      <c r="N433" t="s">
        <v>4406</v>
      </c>
    </row>
    <row r="434" spans="1:14" x14ac:dyDescent="0.4">
      <c r="A434" t="s">
        <v>1124</v>
      </c>
      <c r="B434" t="s">
        <v>1125</v>
      </c>
      <c r="C434" t="s">
        <v>279</v>
      </c>
      <c r="D434" t="s">
        <v>280</v>
      </c>
      <c r="E434" s="2">
        <v>4316.1499999999996</v>
      </c>
      <c r="F434" s="2">
        <v>4896.29</v>
      </c>
      <c r="G434" s="2">
        <v>4060.9599999999996</v>
      </c>
      <c r="H434" s="2">
        <v>3174.0599999999981</v>
      </c>
      <c r="I434" s="2">
        <v>3979.0499999999988</v>
      </c>
      <c r="J434" s="2">
        <v>5774.0799999999972</v>
      </c>
      <c r="K434" s="2">
        <v>3350.19</v>
      </c>
      <c r="L434" s="2">
        <v>29550.779999999992</v>
      </c>
      <c r="M434" t="s">
        <v>4400</v>
      </c>
      <c r="N434" t="s">
        <v>4400</v>
      </c>
    </row>
    <row r="435" spans="1:14" x14ac:dyDescent="0.4">
      <c r="A435" t="s">
        <v>1126</v>
      </c>
      <c r="B435" t="s">
        <v>1127</v>
      </c>
      <c r="C435" t="s">
        <v>496</v>
      </c>
      <c r="D435" t="s">
        <v>1128</v>
      </c>
      <c r="E435" s="2">
        <v>3872.6999999999989</v>
      </c>
      <c r="F435" s="2">
        <v>4015.4599999999996</v>
      </c>
      <c r="G435" s="2">
        <v>3942.5599999999995</v>
      </c>
      <c r="H435" s="2">
        <v>7040.7800000000007</v>
      </c>
      <c r="I435" s="2">
        <v>4613.8600000000006</v>
      </c>
      <c r="J435" s="2">
        <v>4492.38</v>
      </c>
      <c r="K435" s="2">
        <v>2205.1800000000003</v>
      </c>
      <c r="L435" s="2">
        <v>30182.919999999958</v>
      </c>
      <c r="M435" t="s">
        <v>4400</v>
      </c>
      <c r="N435" t="s">
        <v>4400</v>
      </c>
    </row>
    <row r="436" spans="1:14" x14ac:dyDescent="0.4">
      <c r="A436" t="s">
        <v>1129</v>
      </c>
      <c r="B436" t="s">
        <v>1130</v>
      </c>
      <c r="C436" t="s">
        <v>195</v>
      </c>
      <c r="D436" t="s">
        <v>1131</v>
      </c>
      <c r="E436" s="2">
        <v>5105.8099999999995</v>
      </c>
      <c r="F436" s="2">
        <v>3660.0199999999991</v>
      </c>
      <c r="G436" s="2">
        <v>5874.3700000000008</v>
      </c>
      <c r="H436" s="2">
        <v>5160.5300000000007</v>
      </c>
      <c r="I436" s="2">
        <v>4045.8599999999997</v>
      </c>
      <c r="J436" s="2">
        <v>6393.7599999999993</v>
      </c>
      <c r="K436" s="2">
        <v>2466.3599999999997</v>
      </c>
      <c r="L436" s="2">
        <v>32706.709999999995</v>
      </c>
      <c r="M436" t="s">
        <v>4400</v>
      </c>
      <c r="N436" t="s">
        <v>4400</v>
      </c>
    </row>
    <row r="437" spans="1:14" x14ac:dyDescent="0.4">
      <c r="A437" t="s">
        <v>1132</v>
      </c>
      <c r="B437" t="s">
        <v>1133</v>
      </c>
      <c r="C437" t="s">
        <v>860</v>
      </c>
      <c r="D437" t="s">
        <v>1134</v>
      </c>
      <c r="E437" s="2">
        <v>4650.26</v>
      </c>
      <c r="F437" s="2">
        <v>4142.9799999999996</v>
      </c>
      <c r="G437" s="2">
        <v>6493.8899999999985</v>
      </c>
      <c r="H437" s="2">
        <v>4990.4500000000007</v>
      </c>
      <c r="I437" s="2">
        <v>2970.5699999999997</v>
      </c>
      <c r="J437" s="2">
        <v>4878.0399999999981</v>
      </c>
      <c r="K437" s="2">
        <v>2593.9300000000003</v>
      </c>
      <c r="L437" s="2">
        <v>30720.119999999952</v>
      </c>
      <c r="M437" t="s">
        <v>4400</v>
      </c>
      <c r="N437" t="s">
        <v>4400</v>
      </c>
    </row>
    <row r="438" spans="1:14" x14ac:dyDescent="0.4">
      <c r="A438" t="s">
        <v>1135</v>
      </c>
      <c r="B438" t="s">
        <v>1136</v>
      </c>
      <c r="C438" t="s">
        <v>178</v>
      </c>
      <c r="D438" t="s">
        <v>558</v>
      </c>
      <c r="E438" s="2">
        <v>2940.17</v>
      </c>
      <c r="F438" s="2">
        <v>4024.5200000000009</v>
      </c>
      <c r="G438" s="2">
        <v>5099.7</v>
      </c>
      <c r="H438" s="2">
        <v>3310.6900000000005</v>
      </c>
      <c r="I438" s="2">
        <v>3523.3700000000003</v>
      </c>
      <c r="J438" s="2">
        <v>3824.0600000000004</v>
      </c>
      <c r="K438" s="2">
        <v>2244.65</v>
      </c>
      <c r="L438" s="2">
        <v>24967.160000000014</v>
      </c>
      <c r="M438" t="s">
        <v>4400</v>
      </c>
      <c r="N438" t="s">
        <v>4400</v>
      </c>
    </row>
    <row r="439" spans="1:14" x14ac:dyDescent="0.4">
      <c r="A439" t="s">
        <v>1137</v>
      </c>
      <c r="B439" t="s">
        <v>328</v>
      </c>
      <c r="C439" t="s">
        <v>310</v>
      </c>
      <c r="D439" t="s">
        <v>317</v>
      </c>
      <c r="E439" s="2">
        <v>3277.4299999999989</v>
      </c>
      <c r="F439" s="2">
        <v>2979.7799999999993</v>
      </c>
      <c r="G439" s="2">
        <v>3001.06</v>
      </c>
      <c r="H439" s="2">
        <v>2651.73</v>
      </c>
      <c r="I439" s="2">
        <v>3708.7799999999997</v>
      </c>
      <c r="J439" s="2">
        <v>2217.3699999999994</v>
      </c>
      <c r="K439" s="2">
        <v>1464.0799999999997</v>
      </c>
      <c r="L439" s="2">
        <v>19300.229999999985</v>
      </c>
      <c r="M439" t="s">
        <v>4400</v>
      </c>
      <c r="N439" t="s">
        <v>4400</v>
      </c>
    </row>
    <row r="440" spans="1:14" x14ac:dyDescent="0.4">
      <c r="A440" t="s">
        <v>1138</v>
      </c>
      <c r="B440" t="s">
        <v>1139</v>
      </c>
      <c r="C440" t="s">
        <v>310</v>
      </c>
      <c r="D440" t="s">
        <v>1140</v>
      </c>
      <c r="E440" s="2">
        <v>5962.4800000000014</v>
      </c>
      <c r="F440" s="2">
        <v>3763.3400000000006</v>
      </c>
      <c r="G440" s="2">
        <v>4140.0000000000009</v>
      </c>
      <c r="H440" s="2">
        <v>5239.59</v>
      </c>
      <c r="I440" s="2">
        <v>5728.6500000000005</v>
      </c>
      <c r="J440" s="2">
        <v>3966.9100000000012</v>
      </c>
      <c r="K440" s="2">
        <v>2727.65</v>
      </c>
      <c r="L440" s="2">
        <v>31528.619999999988</v>
      </c>
      <c r="M440" t="s">
        <v>4400</v>
      </c>
      <c r="N440" t="s">
        <v>4400</v>
      </c>
    </row>
    <row r="441" spans="1:14" x14ac:dyDescent="0.4">
      <c r="A441" t="s">
        <v>1141</v>
      </c>
      <c r="B441" t="s">
        <v>1142</v>
      </c>
      <c r="C441" t="s">
        <v>64</v>
      </c>
      <c r="D441" t="s">
        <v>1143</v>
      </c>
      <c r="E441" s="2"/>
      <c r="F441" s="2"/>
      <c r="G441" s="2">
        <v>2317.5199999999995</v>
      </c>
      <c r="H441" s="2">
        <v>4027.55</v>
      </c>
      <c r="I441" s="2">
        <v>5606.96</v>
      </c>
      <c r="J441" s="2">
        <v>4525.66</v>
      </c>
      <c r="K441" s="2">
        <v>2514.92</v>
      </c>
      <c r="L441" s="2">
        <v>18992.609999999997</v>
      </c>
      <c r="M441" t="s">
        <v>4411</v>
      </c>
      <c r="N441" t="s">
        <v>4400</v>
      </c>
    </row>
    <row r="442" spans="1:14" x14ac:dyDescent="0.4">
      <c r="A442" t="s">
        <v>1144</v>
      </c>
      <c r="B442" t="s">
        <v>1145</v>
      </c>
      <c r="C442" t="s">
        <v>5</v>
      </c>
      <c r="D442" t="s">
        <v>132</v>
      </c>
      <c r="E442" s="2">
        <v>777.6</v>
      </c>
      <c r="F442" s="2">
        <v>1628.1</v>
      </c>
      <c r="G442" s="2">
        <v>1579.5</v>
      </c>
      <c r="H442" s="2">
        <v>729</v>
      </c>
      <c r="I442" s="2"/>
      <c r="J442" s="2"/>
      <c r="K442" s="2"/>
      <c r="L442" s="2">
        <v>4714.2</v>
      </c>
      <c r="M442" t="s">
        <v>4400</v>
      </c>
      <c r="N442" t="s">
        <v>4402</v>
      </c>
    </row>
    <row r="443" spans="1:14" x14ac:dyDescent="0.4">
      <c r="A443" t="s">
        <v>1146</v>
      </c>
      <c r="B443" t="s">
        <v>1147</v>
      </c>
      <c r="C443" t="s">
        <v>113</v>
      </c>
      <c r="D443" t="s">
        <v>1148</v>
      </c>
      <c r="E443" s="2">
        <v>908.18999999999994</v>
      </c>
      <c r="F443" s="2">
        <v>1029.6699999999998</v>
      </c>
      <c r="G443" s="2"/>
      <c r="H443" s="2"/>
      <c r="I443" s="2">
        <v>777.57999999999993</v>
      </c>
      <c r="J443" s="2">
        <v>2855.1199999999994</v>
      </c>
      <c r="K443" s="2">
        <v>832.24</v>
      </c>
      <c r="L443" s="2">
        <v>6402.7999999999947</v>
      </c>
      <c r="M443" t="s">
        <v>4400</v>
      </c>
      <c r="N443" t="s">
        <v>4400</v>
      </c>
    </row>
    <row r="444" spans="1:14" x14ac:dyDescent="0.4">
      <c r="A444" t="s">
        <v>1149</v>
      </c>
      <c r="B444" t="s">
        <v>1150</v>
      </c>
      <c r="C444" t="s">
        <v>279</v>
      </c>
      <c r="D444" t="s">
        <v>280</v>
      </c>
      <c r="E444" s="2">
        <v>3107.25</v>
      </c>
      <c r="F444" s="2">
        <v>3447.4599999999996</v>
      </c>
      <c r="G444" s="2">
        <v>3942.5599999999995</v>
      </c>
      <c r="H444" s="2">
        <v>2208.19</v>
      </c>
      <c r="I444" s="2">
        <v>3897.0200000000004</v>
      </c>
      <c r="J444" s="2">
        <v>3599.31</v>
      </c>
      <c r="K444" s="2">
        <v>1688.8000000000002</v>
      </c>
      <c r="L444" s="2">
        <v>21890.589999999993</v>
      </c>
      <c r="M444" t="s">
        <v>4400</v>
      </c>
      <c r="N444" t="s">
        <v>4400</v>
      </c>
    </row>
    <row r="445" spans="1:14" x14ac:dyDescent="0.4">
      <c r="A445" t="s">
        <v>1151</v>
      </c>
      <c r="B445" t="s">
        <v>429</v>
      </c>
      <c r="C445" t="s">
        <v>423</v>
      </c>
      <c r="D445" t="s">
        <v>430</v>
      </c>
      <c r="E445" s="2">
        <v>5740.6500000000005</v>
      </c>
      <c r="F445" s="2">
        <v>4950.95</v>
      </c>
      <c r="G445" s="2">
        <v>5619.1500000000005</v>
      </c>
      <c r="H445" s="2">
        <v>6864.4500000000016</v>
      </c>
      <c r="I445" s="2">
        <v>3644.8999999999996</v>
      </c>
      <c r="J445" s="2">
        <v>4161.1999999999989</v>
      </c>
      <c r="K445" s="2">
        <v>2733.6499999999996</v>
      </c>
      <c r="L445" s="2">
        <v>33714.949999999968</v>
      </c>
      <c r="M445" t="s">
        <v>4400</v>
      </c>
      <c r="N445" t="s">
        <v>4400</v>
      </c>
    </row>
    <row r="446" spans="1:14" x14ac:dyDescent="0.4">
      <c r="A446" t="s">
        <v>1152</v>
      </c>
      <c r="B446" t="s">
        <v>1153</v>
      </c>
      <c r="C446" t="s">
        <v>291</v>
      </c>
      <c r="D446" t="s">
        <v>745</v>
      </c>
      <c r="E446" s="2">
        <v>3013.2099999999996</v>
      </c>
      <c r="F446" s="2">
        <v>3280.5099999999998</v>
      </c>
      <c r="G446" s="2">
        <v>3526.5600000000004</v>
      </c>
      <c r="H446" s="2">
        <v>4954.17</v>
      </c>
      <c r="I446" s="2">
        <v>3155.97</v>
      </c>
      <c r="J446" s="2">
        <v>1764.7800000000002</v>
      </c>
      <c r="K446" s="2">
        <v>899.09</v>
      </c>
      <c r="L446" s="2">
        <v>20594.289999999979</v>
      </c>
      <c r="M446" t="s">
        <v>4400</v>
      </c>
      <c r="N446" t="s">
        <v>4400</v>
      </c>
    </row>
    <row r="447" spans="1:14" x14ac:dyDescent="0.4">
      <c r="A447" t="s">
        <v>1154</v>
      </c>
      <c r="B447" t="s">
        <v>1155</v>
      </c>
      <c r="C447" t="s">
        <v>303</v>
      </c>
      <c r="D447" t="s">
        <v>1156</v>
      </c>
      <c r="E447" s="2">
        <v>2818.7899999999991</v>
      </c>
      <c r="F447" s="2">
        <v>3514.3199999999997</v>
      </c>
      <c r="G447" s="2">
        <v>3666.2099999999991</v>
      </c>
      <c r="H447" s="2">
        <v>3766.4299999999994</v>
      </c>
      <c r="I447" s="2">
        <v>3061.83</v>
      </c>
      <c r="J447" s="2">
        <v>1494.44</v>
      </c>
      <c r="K447" s="2">
        <v>2220.4</v>
      </c>
      <c r="L447" s="2">
        <v>20542.419999999962</v>
      </c>
      <c r="M447" t="s">
        <v>4400</v>
      </c>
      <c r="N447" t="s">
        <v>4400</v>
      </c>
    </row>
    <row r="448" spans="1:14" x14ac:dyDescent="0.4">
      <c r="A448" t="s">
        <v>1157</v>
      </c>
      <c r="B448" t="s">
        <v>1158</v>
      </c>
      <c r="C448" t="s">
        <v>199</v>
      </c>
      <c r="D448" t="s">
        <v>727</v>
      </c>
      <c r="E448" s="2">
        <v>3669.15</v>
      </c>
      <c r="F448" s="2">
        <v>3347.1899999999996</v>
      </c>
      <c r="G448" s="2">
        <v>2757.94</v>
      </c>
      <c r="H448" s="2">
        <v>3240.8800000000006</v>
      </c>
      <c r="I448" s="2">
        <v>3161.8799999999997</v>
      </c>
      <c r="J448" s="2">
        <v>2876.4199999999992</v>
      </c>
      <c r="K448" s="2">
        <v>1178.4999999999998</v>
      </c>
      <c r="L448" s="2">
        <v>20231.95999999997</v>
      </c>
      <c r="M448" t="s">
        <v>4400</v>
      </c>
      <c r="N448" t="s">
        <v>4400</v>
      </c>
    </row>
    <row r="449" spans="1:14" x14ac:dyDescent="0.4">
      <c r="A449" t="s">
        <v>1159</v>
      </c>
      <c r="B449" t="s">
        <v>1160</v>
      </c>
      <c r="C449" t="s">
        <v>9</v>
      </c>
      <c r="D449" t="s">
        <v>1161</v>
      </c>
      <c r="E449" s="2">
        <v>2909.83</v>
      </c>
      <c r="F449" s="2">
        <v>2284.15</v>
      </c>
      <c r="G449" s="2">
        <v>3723.86</v>
      </c>
      <c r="H449" s="2">
        <v>3924.349999999999</v>
      </c>
      <c r="I449" s="2">
        <v>5406.7699999999995</v>
      </c>
      <c r="J449" s="2">
        <v>3019.24</v>
      </c>
      <c r="K449" s="2">
        <v>1488.3600000000001</v>
      </c>
      <c r="L449" s="2">
        <v>22756.559999999987</v>
      </c>
      <c r="M449" t="s">
        <v>4400</v>
      </c>
      <c r="N449" t="s">
        <v>4400</v>
      </c>
    </row>
    <row r="450" spans="1:14" x14ac:dyDescent="0.4">
      <c r="A450" t="s">
        <v>1162</v>
      </c>
      <c r="B450" t="s">
        <v>1163</v>
      </c>
      <c r="C450" t="s">
        <v>52</v>
      </c>
      <c r="D450" t="s">
        <v>147</v>
      </c>
      <c r="E450" s="2">
        <v>1609.82</v>
      </c>
      <c r="F450" s="2">
        <v>2396.4899999999998</v>
      </c>
      <c r="G450" s="2">
        <v>2639.4799999999996</v>
      </c>
      <c r="H450" s="2">
        <v>3274.2700000000004</v>
      </c>
      <c r="I450" s="2">
        <v>1916.58</v>
      </c>
      <c r="J450" s="2">
        <v>1041.81</v>
      </c>
      <c r="K450" s="2"/>
      <c r="L450" s="2">
        <v>12878.449999999999</v>
      </c>
      <c r="M450" t="s">
        <v>4400</v>
      </c>
      <c r="N450" t="s">
        <v>4406</v>
      </c>
    </row>
    <row r="451" spans="1:14" x14ac:dyDescent="0.4">
      <c r="A451" t="s">
        <v>1164</v>
      </c>
      <c r="B451" t="s">
        <v>1165</v>
      </c>
      <c r="C451" t="s">
        <v>227</v>
      </c>
      <c r="D451" t="s">
        <v>1166</v>
      </c>
      <c r="E451" s="2">
        <v>4051.9599999999996</v>
      </c>
      <c r="F451" s="2">
        <v>4297.97</v>
      </c>
      <c r="G451" s="2">
        <v>3985.0499999999997</v>
      </c>
      <c r="H451" s="2">
        <v>4270.5899999999992</v>
      </c>
      <c r="I451" s="2">
        <v>4322.26</v>
      </c>
      <c r="J451" s="2">
        <v>3325.97</v>
      </c>
      <c r="K451" s="2">
        <v>1758.6400000000003</v>
      </c>
      <c r="L451" s="2">
        <v>26012.440000000035</v>
      </c>
      <c r="M451" t="s">
        <v>4400</v>
      </c>
      <c r="N451" t="s">
        <v>4400</v>
      </c>
    </row>
    <row r="452" spans="1:14" x14ac:dyDescent="0.4">
      <c r="A452" t="s">
        <v>1167</v>
      </c>
      <c r="B452" t="s">
        <v>1168</v>
      </c>
      <c r="C452" t="s">
        <v>1</v>
      </c>
      <c r="D452" t="s">
        <v>88</v>
      </c>
      <c r="E452" s="2">
        <v>10603.600000000004</v>
      </c>
      <c r="F452" s="2">
        <v>10056.930000000002</v>
      </c>
      <c r="G452" s="2">
        <v>8671.7999999999993</v>
      </c>
      <c r="H452" s="2">
        <v>5203.1200000000008</v>
      </c>
      <c r="I452" s="2">
        <v>4844.75</v>
      </c>
      <c r="J452" s="2">
        <v>4121.8500000000004</v>
      </c>
      <c r="K452" s="2"/>
      <c r="L452" s="2">
        <v>43502.049999999988</v>
      </c>
      <c r="M452" t="s">
        <v>4400</v>
      </c>
      <c r="N452" t="s">
        <v>4406</v>
      </c>
    </row>
    <row r="453" spans="1:14" x14ac:dyDescent="0.4">
      <c r="A453" t="s">
        <v>1169</v>
      </c>
      <c r="B453" t="s">
        <v>1170</v>
      </c>
      <c r="C453" t="s">
        <v>419</v>
      </c>
      <c r="D453" t="s">
        <v>420</v>
      </c>
      <c r="E453" s="2">
        <v>2375.2599999999998</v>
      </c>
      <c r="F453" s="2">
        <v>3906.1199999999994</v>
      </c>
      <c r="G453" s="2">
        <v>4097.45</v>
      </c>
      <c r="H453" s="2">
        <v>1612.8600000000001</v>
      </c>
      <c r="I453" s="2"/>
      <c r="J453" s="2"/>
      <c r="K453" s="2"/>
      <c r="L453" s="2">
        <v>11991.69</v>
      </c>
      <c r="M453" t="s">
        <v>4400</v>
      </c>
      <c r="N453" t="s">
        <v>4402</v>
      </c>
    </row>
    <row r="454" spans="1:14" x14ac:dyDescent="0.4">
      <c r="A454" t="s">
        <v>1171</v>
      </c>
      <c r="B454" t="s">
        <v>917</v>
      </c>
      <c r="C454" t="s">
        <v>220</v>
      </c>
      <c r="D454" t="s">
        <v>221</v>
      </c>
      <c r="E454" s="2">
        <v>4127.87</v>
      </c>
      <c r="F454" s="2">
        <v>4944.9799999999996</v>
      </c>
      <c r="G454" s="2">
        <v>7630.0199999999986</v>
      </c>
      <c r="H454" s="2">
        <v>5133.2799999999988</v>
      </c>
      <c r="I454" s="2">
        <v>4659.43</v>
      </c>
      <c r="J454" s="2">
        <v>3663.15</v>
      </c>
      <c r="K454" s="2">
        <v>2329.7300000000005</v>
      </c>
      <c r="L454" s="2">
        <v>32488.460000000006</v>
      </c>
      <c r="M454" t="s">
        <v>4400</v>
      </c>
      <c r="N454" t="s">
        <v>4400</v>
      </c>
    </row>
    <row r="455" spans="1:14" x14ac:dyDescent="0.4">
      <c r="A455" t="s">
        <v>1172</v>
      </c>
      <c r="B455" t="s">
        <v>1173</v>
      </c>
      <c r="C455" t="s">
        <v>433</v>
      </c>
      <c r="D455" t="s">
        <v>1174</v>
      </c>
      <c r="E455" s="2">
        <v>3049.6100000000006</v>
      </c>
      <c r="F455" s="2">
        <v>5245.7199999999993</v>
      </c>
      <c r="G455" s="2">
        <v>3398.9600000000009</v>
      </c>
      <c r="H455" s="2">
        <v>2083.2399999999998</v>
      </c>
      <c r="I455" s="2"/>
      <c r="J455" s="2"/>
      <c r="K455" s="2"/>
      <c r="L455" s="2">
        <v>13777.529999999986</v>
      </c>
      <c r="M455" t="s">
        <v>4400</v>
      </c>
      <c r="N455" t="s">
        <v>4402</v>
      </c>
    </row>
    <row r="456" spans="1:14" x14ac:dyDescent="0.4">
      <c r="A456" t="s">
        <v>1175</v>
      </c>
      <c r="B456" t="s">
        <v>1176</v>
      </c>
      <c r="C456" t="s">
        <v>31</v>
      </c>
      <c r="D456" t="s">
        <v>471</v>
      </c>
      <c r="E456" s="2">
        <v>805</v>
      </c>
      <c r="F456" s="2">
        <v>425</v>
      </c>
      <c r="G456" s="2">
        <v>425</v>
      </c>
      <c r="H456" s="2">
        <v>850</v>
      </c>
      <c r="I456" s="2">
        <v>720</v>
      </c>
      <c r="J456" s="2">
        <v>470</v>
      </c>
      <c r="K456" s="2">
        <v>510</v>
      </c>
      <c r="L456" s="2">
        <v>4205</v>
      </c>
      <c r="M456" t="s">
        <v>4400</v>
      </c>
      <c r="N456" t="s">
        <v>4400</v>
      </c>
    </row>
    <row r="457" spans="1:14" x14ac:dyDescent="0.4">
      <c r="A457" t="s">
        <v>1177</v>
      </c>
      <c r="B457" t="s">
        <v>1178</v>
      </c>
      <c r="C457" t="s">
        <v>27</v>
      </c>
      <c r="D457" t="s">
        <v>1179</v>
      </c>
      <c r="E457" s="2">
        <v>4799.12</v>
      </c>
      <c r="F457" s="2">
        <v>4366.46</v>
      </c>
      <c r="G457" s="2">
        <v>4890.2599999999993</v>
      </c>
      <c r="H457" s="2">
        <v>3523.3999999999992</v>
      </c>
      <c r="I457" s="2">
        <v>4404.2199999999993</v>
      </c>
      <c r="J457" s="2">
        <v>4568.26</v>
      </c>
      <c r="K457" s="2">
        <v>2228.0399999999995</v>
      </c>
      <c r="L457" s="2">
        <v>28779.759999999966</v>
      </c>
      <c r="M457" t="s">
        <v>4400</v>
      </c>
      <c r="N457" t="s">
        <v>4400</v>
      </c>
    </row>
    <row r="458" spans="1:14" x14ac:dyDescent="0.4">
      <c r="A458" t="s">
        <v>1180</v>
      </c>
      <c r="B458" t="s">
        <v>1181</v>
      </c>
      <c r="C458" t="s">
        <v>274</v>
      </c>
      <c r="D458" t="s">
        <v>1182</v>
      </c>
      <c r="E458" s="2">
        <v>4548.9000000000015</v>
      </c>
      <c r="F458" s="2">
        <v>4317.6000000000004</v>
      </c>
      <c r="G458" s="2">
        <v>5397</v>
      </c>
      <c r="H458" s="2">
        <v>8558.0999999999985</v>
      </c>
      <c r="I458" s="2">
        <v>6604.9000000000005</v>
      </c>
      <c r="J458" s="2">
        <v>4086.3000000000006</v>
      </c>
      <c r="K458" s="2">
        <v>3006.9</v>
      </c>
      <c r="L458" s="2">
        <v>36519.700000000026</v>
      </c>
      <c r="M458" t="s">
        <v>4400</v>
      </c>
      <c r="N458" t="s">
        <v>4400</v>
      </c>
    </row>
    <row r="459" spans="1:14" x14ac:dyDescent="0.4">
      <c r="A459" t="s">
        <v>1183</v>
      </c>
      <c r="B459" t="s">
        <v>1184</v>
      </c>
      <c r="C459" t="s">
        <v>363</v>
      </c>
      <c r="D459" t="s">
        <v>1185</v>
      </c>
      <c r="E459" s="2">
        <v>7101.4000000000015</v>
      </c>
      <c r="F459" s="2">
        <v>4222.03</v>
      </c>
      <c r="G459" s="2">
        <v>4322.25</v>
      </c>
      <c r="H459" s="2">
        <v>3994.2799999999993</v>
      </c>
      <c r="I459" s="2">
        <v>4787.0500000000011</v>
      </c>
      <c r="J459" s="2">
        <v>5713.3799999999992</v>
      </c>
      <c r="K459" s="2">
        <v>1555.1599999999999</v>
      </c>
      <c r="L459" s="2">
        <v>31695.54999999997</v>
      </c>
      <c r="M459" t="s">
        <v>4400</v>
      </c>
      <c r="N459" t="s">
        <v>4400</v>
      </c>
    </row>
    <row r="460" spans="1:14" x14ac:dyDescent="0.4">
      <c r="A460" t="s">
        <v>1186</v>
      </c>
      <c r="B460" t="s">
        <v>1187</v>
      </c>
      <c r="C460" t="s">
        <v>602</v>
      </c>
      <c r="D460" t="s">
        <v>603</v>
      </c>
      <c r="E460" s="2">
        <v>2567.71</v>
      </c>
      <c r="F460" s="2"/>
      <c r="G460" s="2">
        <v>862.64</v>
      </c>
      <c r="H460" s="2">
        <v>2560.59</v>
      </c>
      <c r="I460" s="2">
        <v>2633.47</v>
      </c>
      <c r="J460" s="2">
        <v>1524.8</v>
      </c>
      <c r="K460" s="2">
        <v>759.3599999999999</v>
      </c>
      <c r="L460" s="2">
        <v>10908.569999999991</v>
      </c>
      <c r="M460" t="s">
        <v>4400</v>
      </c>
      <c r="N460" t="s">
        <v>4400</v>
      </c>
    </row>
    <row r="461" spans="1:14" x14ac:dyDescent="0.4">
      <c r="A461" t="s">
        <v>1188</v>
      </c>
      <c r="B461" t="s">
        <v>1189</v>
      </c>
      <c r="C461" t="s">
        <v>279</v>
      </c>
      <c r="D461" t="s">
        <v>1190</v>
      </c>
      <c r="E461" s="2">
        <v>1631.0499999999997</v>
      </c>
      <c r="F461" s="2">
        <v>1546.0199999999998</v>
      </c>
      <c r="G461" s="2">
        <v>1634.0899999999997</v>
      </c>
      <c r="H461" s="2">
        <v>1558.1799999999998</v>
      </c>
      <c r="I461" s="2">
        <v>3535.5199999999986</v>
      </c>
      <c r="J461" s="2"/>
      <c r="K461" s="2"/>
      <c r="L461" s="2">
        <v>9904.86</v>
      </c>
      <c r="M461" t="s">
        <v>4400</v>
      </c>
      <c r="N461" t="s">
        <v>4401</v>
      </c>
    </row>
    <row r="462" spans="1:14" x14ac:dyDescent="0.4">
      <c r="A462" t="s">
        <v>1191</v>
      </c>
      <c r="B462" t="s">
        <v>1192</v>
      </c>
      <c r="C462" t="s">
        <v>5</v>
      </c>
      <c r="D462" t="s">
        <v>56</v>
      </c>
      <c r="E462" s="2">
        <v>7550.9900000000016</v>
      </c>
      <c r="F462" s="2">
        <v>5704.329999999999</v>
      </c>
      <c r="G462" s="2">
        <v>2381.3900000000003</v>
      </c>
      <c r="H462" s="2">
        <v>2575.7900000000004</v>
      </c>
      <c r="I462" s="2">
        <v>3019.2500000000005</v>
      </c>
      <c r="J462" s="2">
        <v>1151.2</v>
      </c>
      <c r="K462" s="2"/>
      <c r="L462" s="2">
        <v>22382.949999999986</v>
      </c>
      <c r="M462" t="s">
        <v>4400</v>
      </c>
      <c r="N462" t="s">
        <v>4406</v>
      </c>
    </row>
    <row r="463" spans="1:14" x14ac:dyDescent="0.4">
      <c r="A463" t="s">
        <v>1193</v>
      </c>
      <c r="B463" t="s">
        <v>1194</v>
      </c>
      <c r="C463" t="s">
        <v>363</v>
      </c>
      <c r="D463" t="s">
        <v>1195</v>
      </c>
      <c r="E463" s="2">
        <v>11654.250000000002</v>
      </c>
      <c r="F463" s="2">
        <v>13000.330000000004</v>
      </c>
      <c r="G463" s="2">
        <v>14273.220000000001</v>
      </c>
      <c r="H463" s="2">
        <v>15612.699999999997</v>
      </c>
      <c r="I463" s="2">
        <v>9741.25</v>
      </c>
      <c r="J463" s="2">
        <v>17826.940000000006</v>
      </c>
      <c r="K463" s="2">
        <v>5813.7699999999995</v>
      </c>
      <c r="L463" s="2">
        <v>87922.459999999948</v>
      </c>
      <c r="M463" t="s">
        <v>4400</v>
      </c>
      <c r="N463" t="s">
        <v>4400</v>
      </c>
    </row>
    <row r="464" spans="1:14" x14ac:dyDescent="0.4">
      <c r="A464" t="s">
        <v>1196</v>
      </c>
      <c r="B464" t="s">
        <v>1197</v>
      </c>
      <c r="C464" t="s">
        <v>199</v>
      </c>
      <c r="D464" t="s">
        <v>203</v>
      </c>
      <c r="E464" s="2">
        <v>5437.09</v>
      </c>
      <c r="F464" s="2">
        <v>1804.2799999999997</v>
      </c>
      <c r="G464" s="2">
        <v>4604.76</v>
      </c>
      <c r="H464" s="2">
        <v>2897.7599999999993</v>
      </c>
      <c r="I464" s="2">
        <v>3496.1399999999994</v>
      </c>
      <c r="J464" s="2">
        <v>4695.9599999999991</v>
      </c>
      <c r="K464" s="2">
        <v>1090.4599999999998</v>
      </c>
      <c r="L464" s="2">
        <v>24026.449999999993</v>
      </c>
      <c r="M464" t="s">
        <v>4400</v>
      </c>
      <c r="N464" t="s">
        <v>4400</v>
      </c>
    </row>
    <row r="465" spans="1:14" x14ac:dyDescent="0.4">
      <c r="A465" t="s">
        <v>1198</v>
      </c>
      <c r="B465" t="s">
        <v>1199</v>
      </c>
      <c r="C465" t="s">
        <v>447</v>
      </c>
      <c r="D465" t="s">
        <v>784</v>
      </c>
      <c r="E465" s="2"/>
      <c r="F465" s="2"/>
      <c r="G465" s="2">
        <v>1837.68</v>
      </c>
      <c r="H465" s="2">
        <v>841.37</v>
      </c>
      <c r="I465" s="2">
        <v>810.99999999999989</v>
      </c>
      <c r="J465" s="2">
        <v>1476.2000000000003</v>
      </c>
      <c r="K465" s="2">
        <v>738.1099999999999</v>
      </c>
      <c r="L465" s="2">
        <v>5704.36</v>
      </c>
      <c r="M465" t="s">
        <v>4411</v>
      </c>
      <c r="N465" t="s">
        <v>4400</v>
      </c>
    </row>
    <row r="466" spans="1:14" x14ac:dyDescent="0.4">
      <c r="A466" t="s">
        <v>1200</v>
      </c>
      <c r="B466" t="s">
        <v>1201</v>
      </c>
      <c r="C466" t="s">
        <v>423</v>
      </c>
      <c r="D466" t="s">
        <v>561</v>
      </c>
      <c r="E466" s="2">
        <v>4699.0199999999995</v>
      </c>
      <c r="F466" s="2">
        <v>5443.1500000000005</v>
      </c>
      <c r="G466" s="2">
        <v>6369.5099999999966</v>
      </c>
      <c r="H466" s="2">
        <v>6703.6299999999956</v>
      </c>
      <c r="I466" s="2">
        <v>4158.2800000000007</v>
      </c>
      <c r="J466" s="2">
        <v>5297.2499999999991</v>
      </c>
      <c r="K466" s="2">
        <v>1758.6700000000003</v>
      </c>
      <c r="L466" s="2">
        <v>34429.51</v>
      </c>
      <c r="M466" t="s">
        <v>4400</v>
      </c>
      <c r="N466" t="s">
        <v>4400</v>
      </c>
    </row>
    <row r="467" spans="1:14" x14ac:dyDescent="0.4">
      <c r="A467" t="s">
        <v>1202</v>
      </c>
      <c r="B467" t="s">
        <v>1203</v>
      </c>
      <c r="C467" t="s">
        <v>419</v>
      </c>
      <c r="D467" t="s">
        <v>420</v>
      </c>
      <c r="E467" s="2"/>
      <c r="F467" s="2"/>
      <c r="G467" s="2"/>
      <c r="H467" s="2"/>
      <c r="I467" s="2"/>
      <c r="J467" s="2">
        <v>3414.11</v>
      </c>
      <c r="K467" s="2"/>
      <c r="L467" s="2">
        <v>3414.11</v>
      </c>
      <c r="M467" t="s">
        <v>4405</v>
      </c>
      <c r="N467" t="s">
        <v>4406</v>
      </c>
    </row>
    <row r="468" spans="1:14" x14ac:dyDescent="0.4">
      <c r="A468" t="s">
        <v>1204</v>
      </c>
      <c r="B468" t="s">
        <v>1205</v>
      </c>
      <c r="C468" t="s">
        <v>9</v>
      </c>
      <c r="D468" t="s">
        <v>1206</v>
      </c>
      <c r="E468" s="2">
        <v>1727.0399999999997</v>
      </c>
      <c r="F468" s="2">
        <v>809.55</v>
      </c>
      <c r="G468" s="2">
        <v>884.07999999999993</v>
      </c>
      <c r="H468" s="2"/>
      <c r="I468" s="2">
        <v>2081.6999999999994</v>
      </c>
      <c r="J468" s="2">
        <v>863.5200000000001</v>
      </c>
      <c r="K468" s="2"/>
      <c r="L468" s="2">
        <v>6365.8900000000031</v>
      </c>
      <c r="M468" t="s">
        <v>4400</v>
      </c>
      <c r="N468" t="s">
        <v>4406</v>
      </c>
    </row>
    <row r="469" spans="1:14" x14ac:dyDescent="0.4">
      <c r="A469" t="s">
        <v>1207</v>
      </c>
      <c r="B469" t="s">
        <v>1208</v>
      </c>
      <c r="C469" t="s">
        <v>186</v>
      </c>
      <c r="D469" t="s">
        <v>1209</v>
      </c>
      <c r="E469" s="2">
        <v>4048.9199999999996</v>
      </c>
      <c r="F469" s="2"/>
      <c r="G469" s="2"/>
      <c r="H469" s="2">
        <v>3775.5400000000004</v>
      </c>
      <c r="I469" s="2">
        <v>5604.04</v>
      </c>
      <c r="J469" s="2">
        <v>7523.7000000000007</v>
      </c>
      <c r="K469" s="2">
        <v>3429.29</v>
      </c>
      <c r="L469" s="2">
        <v>24381.49</v>
      </c>
      <c r="M469" t="s">
        <v>4400</v>
      </c>
      <c r="N469" t="s">
        <v>4400</v>
      </c>
    </row>
    <row r="470" spans="1:14" x14ac:dyDescent="0.4">
      <c r="A470" t="s">
        <v>1210</v>
      </c>
      <c r="B470" t="s">
        <v>1211</v>
      </c>
      <c r="C470" t="s">
        <v>35</v>
      </c>
      <c r="D470" t="s">
        <v>1212</v>
      </c>
      <c r="E470" s="2"/>
      <c r="F470" s="2"/>
      <c r="G470" s="2"/>
      <c r="H470" s="2"/>
      <c r="I470" s="2"/>
      <c r="J470" s="2">
        <v>1801.23</v>
      </c>
      <c r="K470" s="2">
        <v>722.92</v>
      </c>
      <c r="L470" s="2">
        <v>2524.15</v>
      </c>
      <c r="M470" t="s">
        <v>4405</v>
      </c>
      <c r="N470" t="s">
        <v>4400</v>
      </c>
    </row>
    <row r="471" spans="1:14" x14ac:dyDescent="0.4">
      <c r="A471" t="s">
        <v>1213</v>
      </c>
      <c r="B471" t="s">
        <v>1214</v>
      </c>
      <c r="C471" t="s">
        <v>31</v>
      </c>
      <c r="D471" t="s">
        <v>471</v>
      </c>
      <c r="E471" s="2"/>
      <c r="F471" s="2">
        <v>1637.1599999999999</v>
      </c>
      <c r="G471" s="2">
        <v>1464.0800000000002</v>
      </c>
      <c r="H471" s="2"/>
      <c r="I471" s="2">
        <v>753.29</v>
      </c>
      <c r="J471" s="2"/>
      <c r="K471" s="2">
        <v>759.3599999999999</v>
      </c>
      <c r="L471" s="2">
        <v>4613.8900000000003</v>
      </c>
      <c r="M471" t="s">
        <v>4412</v>
      </c>
      <c r="N471" t="s">
        <v>4400</v>
      </c>
    </row>
    <row r="472" spans="1:14" x14ac:dyDescent="0.4">
      <c r="A472" t="s">
        <v>1215</v>
      </c>
      <c r="B472" t="s">
        <v>1216</v>
      </c>
      <c r="C472" t="s">
        <v>337</v>
      </c>
      <c r="D472" t="s">
        <v>344</v>
      </c>
      <c r="E472" s="2">
        <v>4647.4400000000005</v>
      </c>
      <c r="F472" s="2">
        <v>3584.24</v>
      </c>
      <c r="G472" s="2">
        <v>3450.6099999999997</v>
      </c>
      <c r="H472" s="2">
        <v>2417.8599999999992</v>
      </c>
      <c r="I472" s="2"/>
      <c r="J472" s="2">
        <v>1676.6800000000003</v>
      </c>
      <c r="K472" s="2"/>
      <c r="L472" s="2">
        <v>15776.829999999987</v>
      </c>
      <c r="M472" t="s">
        <v>4400</v>
      </c>
      <c r="N472" t="s">
        <v>4406</v>
      </c>
    </row>
    <row r="473" spans="1:14" x14ac:dyDescent="0.4">
      <c r="A473" t="s">
        <v>1217</v>
      </c>
      <c r="B473" t="s">
        <v>1218</v>
      </c>
      <c r="C473" t="s">
        <v>220</v>
      </c>
      <c r="D473" t="s">
        <v>221</v>
      </c>
      <c r="E473" s="2"/>
      <c r="F473" s="2"/>
      <c r="G473" s="2"/>
      <c r="H473" s="2"/>
      <c r="I473" s="2"/>
      <c r="J473" s="2">
        <v>1254.4599999999998</v>
      </c>
      <c r="K473" s="2">
        <v>847.44999999999993</v>
      </c>
      <c r="L473" s="2">
        <v>2101.9099999999994</v>
      </c>
      <c r="M473" t="s">
        <v>4405</v>
      </c>
      <c r="N473" t="s">
        <v>4400</v>
      </c>
    </row>
    <row r="474" spans="1:14" x14ac:dyDescent="0.4">
      <c r="A474" t="s">
        <v>1219</v>
      </c>
      <c r="B474" t="s">
        <v>1220</v>
      </c>
      <c r="C474" t="s">
        <v>258</v>
      </c>
      <c r="D474" t="s">
        <v>259</v>
      </c>
      <c r="E474" s="2">
        <v>747.26</v>
      </c>
      <c r="F474" s="2">
        <v>2162.7500000000005</v>
      </c>
      <c r="G474" s="2">
        <v>2992.0799999999995</v>
      </c>
      <c r="H474" s="2">
        <v>3590.4599999999996</v>
      </c>
      <c r="I474" s="2">
        <v>2800.64</v>
      </c>
      <c r="J474" s="2">
        <v>965.87999999999988</v>
      </c>
      <c r="K474" s="2">
        <v>2108.0399999999995</v>
      </c>
      <c r="L474" s="2">
        <v>15367.109999999986</v>
      </c>
      <c r="M474" t="s">
        <v>4400</v>
      </c>
      <c r="N474" t="s">
        <v>4400</v>
      </c>
    </row>
    <row r="475" spans="1:14" x14ac:dyDescent="0.4">
      <c r="A475" t="s">
        <v>1221</v>
      </c>
      <c r="B475" t="s">
        <v>1222</v>
      </c>
      <c r="C475" t="s">
        <v>5</v>
      </c>
      <c r="D475" t="s">
        <v>135</v>
      </c>
      <c r="E475" s="2">
        <v>1664.4699999999998</v>
      </c>
      <c r="F475" s="2"/>
      <c r="G475" s="2"/>
      <c r="H475" s="2">
        <v>1962.1399999999996</v>
      </c>
      <c r="I475" s="2">
        <v>1366.7999999999997</v>
      </c>
      <c r="J475" s="2">
        <v>1485.2699999999998</v>
      </c>
      <c r="K475" s="2">
        <v>1564.2199999999996</v>
      </c>
      <c r="L475" s="2">
        <v>8042.9000000000024</v>
      </c>
      <c r="M475" t="s">
        <v>4400</v>
      </c>
      <c r="N475" t="s">
        <v>4400</v>
      </c>
    </row>
    <row r="476" spans="1:14" x14ac:dyDescent="0.4">
      <c r="A476" t="s">
        <v>1223</v>
      </c>
      <c r="B476" t="s">
        <v>1224</v>
      </c>
      <c r="C476" t="s">
        <v>113</v>
      </c>
      <c r="D476" t="s">
        <v>117</v>
      </c>
      <c r="E476" s="2">
        <v>1002.3399999999999</v>
      </c>
      <c r="F476" s="2">
        <v>2205.13</v>
      </c>
      <c r="G476" s="2">
        <v>2156.54</v>
      </c>
      <c r="H476" s="2">
        <v>2697.2000000000003</v>
      </c>
      <c r="I476" s="2">
        <v>2830.8399999999997</v>
      </c>
      <c r="J476" s="2">
        <v>2417.7600000000002</v>
      </c>
      <c r="K476" s="2"/>
      <c r="L476" s="2">
        <v>13309.809999999985</v>
      </c>
      <c r="M476" t="s">
        <v>4400</v>
      </c>
      <c r="N476" t="s">
        <v>4406</v>
      </c>
    </row>
    <row r="477" spans="1:14" x14ac:dyDescent="0.4">
      <c r="A477" t="s">
        <v>1225</v>
      </c>
      <c r="B477" t="s">
        <v>770</v>
      </c>
      <c r="C477" t="s">
        <v>410</v>
      </c>
      <c r="D477" t="s">
        <v>414</v>
      </c>
      <c r="E477" s="2">
        <v>3186.3600000000006</v>
      </c>
      <c r="F477" s="2">
        <v>2369.25</v>
      </c>
      <c r="G477" s="2"/>
      <c r="H477" s="2"/>
      <c r="I477" s="2"/>
      <c r="J477" s="2"/>
      <c r="K477" s="2"/>
      <c r="L477" s="2">
        <v>5555.6100000000015</v>
      </c>
      <c r="M477" t="s">
        <v>4400</v>
      </c>
      <c r="N477" t="s">
        <v>4410</v>
      </c>
    </row>
    <row r="478" spans="1:14" x14ac:dyDescent="0.4">
      <c r="A478" t="s">
        <v>1226</v>
      </c>
      <c r="B478" t="s">
        <v>1227</v>
      </c>
      <c r="C478" t="s">
        <v>178</v>
      </c>
      <c r="D478" t="s">
        <v>1228</v>
      </c>
      <c r="E478" s="2">
        <v>3438.4399999999996</v>
      </c>
      <c r="F478" s="2">
        <v>2423.9399999999996</v>
      </c>
      <c r="G478" s="2">
        <v>3019.3099999999995</v>
      </c>
      <c r="H478" s="2">
        <v>2381.3999999999996</v>
      </c>
      <c r="I478" s="2">
        <v>3487.05</v>
      </c>
      <c r="J478" s="2">
        <v>2202.1899999999996</v>
      </c>
      <c r="K478" s="2">
        <v>1057.05</v>
      </c>
      <c r="L478" s="2">
        <v>18009.379999999983</v>
      </c>
      <c r="M478" t="s">
        <v>4400</v>
      </c>
      <c r="N478" t="s">
        <v>4400</v>
      </c>
    </row>
    <row r="479" spans="1:14" x14ac:dyDescent="0.4">
      <c r="A479" t="s">
        <v>1229</v>
      </c>
      <c r="B479" t="s">
        <v>1230</v>
      </c>
      <c r="C479" t="s">
        <v>350</v>
      </c>
      <c r="D479" t="s">
        <v>356</v>
      </c>
      <c r="E479" s="2"/>
      <c r="F479" s="2"/>
      <c r="G479" s="2"/>
      <c r="H479" s="2"/>
      <c r="I479" s="2"/>
      <c r="J479" s="2">
        <v>1852.8099999999997</v>
      </c>
      <c r="K479" s="2"/>
      <c r="L479" s="2">
        <v>1852.8099999999997</v>
      </c>
      <c r="M479" t="s">
        <v>4405</v>
      </c>
      <c r="N479" t="s">
        <v>4406</v>
      </c>
    </row>
    <row r="480" spans="1:14" x14ac:dyDescent="0.4">
      <c r="A480" t="s">
        <v>1231</v>
      </c>
      <c r="B480" t="s">
        <v>1232</v>
      </c>
      <c r="C480" t="s">
        <v>163</v>
      </c>
      <c r="D480" t="s">
        <v>1233</v>
      </c>
      <c r="E480" s="2">
        <v>3677.6699999999987</v>
      </c>
      <c r="F480" s="2">
        <v>1901.7999999999997</v>
      </c>
      <c r="G480" s="2">
        <v>776.14</v>
      </c>
      <c r="H480" s="2">
        <v>878.93999999999994</v>
      </c>
      <c r="I480" s="2">
        <v>2094.5500000000002</v>
      </c>
      <c r="J480" s="2">
        <v>2672.7999999999997</v>
      </c>
      <c r="K480" s="2">
        <v>1621.67</v>
      </c>
      <c r="L480" s="2">
        <v>13623.570000000009</v>
      </c>
      <c r="M480" t="s">
        <v>4400</v>
      </c>
      <c r="N480" t="s">
        <v>4400</v>
      </c>
    </row>
    <row r="481" spans="1:14" x14ac:dyDescent="0.4">
      <c r="A481" t="s">
        <v>1234</v>
      </c>
      <c r="B481" t="s">
        <v>1235</v>
      </c>
      <c r="C481" t="s">
        <v>291</v>
      </c>
      <c r="D481" t="s">
        <v>295</v>
      </c>
      <c r="E481" s="2">
        <v>2785.31</v>
      </c>
      <c r="F481" s="2">
        <v>2660.79</v>
      </c>
      <c r="G481" s="2">
        <v>2272</v>
      </c>
      <c r="H481" s="2">
        <v>2317.5700000000002</v>
      </c>
      <c r="I481" s="2">
        <v>3824.1699999999996</v>
      </c>
      <c r="J481" s="2">
        <v>3004.06</v>
      </c>
      <c r="K481" s="2">
        <v>1549.11</v>
      </c>
      <c r="L481" s="2">
        <v>18413.009999999998</v>
      </c>
      <c r="M481" t="s">
        <v>4400</v>
      </c>
      <c r="N481" t="s">
        <v>4400</v>
      </c>
    </row>
    <row r="482" spans="1:14" x14ac:dyDescent="0.4">
      <c r="A482" t="s">
        <v>1236</v>
      </c>
      <c r="B482" t="s">
        <v>1237</v>
      </c>
      <c r="C482" t="s">
        <v>64</v>
      </c>
      <c r="D482" t="s">
        <v>1112</v>
      </c>
      <c r="E482" s="2">
        <v>2457.2900000000004</v>
      </c>
      <c r="F482" s="2">
        <v>956.80000000000007</v>
      </c>
      <c r="G482" s="2">
        <v>2669.89</v>
      </c>
      <c r="H482" s="2">
        <v>2879.48</v>
      </c>
      <c r="I482" s="2">
        <v>2469.39</v>
      </c>
      <c r="J482" s="2">
        <v>3565.9699999999989</v>
      </c>
      <c r="K482" s="2">
        <v>1934.83</v>
      </c>
      <c r="L482" s="2">
        <v>16933.649999999994</v>
      </c>
      <c r="M482" t="s">
        <v>4400</v>
      </c>
      <c r="N482" t="s">
        <v>4400</v>
      </c>
    </row>
    <row r="483" spans="1:14" x14ac:dyDescent="0.4">
      <c r="A483" t="s">
        <v>1238</v>
      </c>
      <c r="B483" t="s">
        <v>1239</v>
      </c>
      <c r="C483" t="s">
        <v>78</v>
      </c>
      <c r="D483" t="s">
        <v>1240</v>
      </c>
      <c r="E483" s="2">
        <v>3368.6400000000003</v>
      </c>
      <c r="F483" s="2">
        <v>3699.6999999999989</v>
      </c>
      <c r="G483" s="2">
        <v>4905.5099999999993</v>
      </c>
      <c r="H483" s="2">
        <v>4331.33</v>
      </c>
      <c r="I483" s="2">
        <v>4580.3399999999992</v>
      </c>
      <c r="J483" s="2">
        <v>5509.7999999999993</v>
      </c>
      <c r="K483" s="2">
        <v>2806.51</v>
      </c>
      <c r="L483" s="2">
        <v>29201.829999999965</v>
      </c>
      <c r="M483" t="s">
        <v>4400</v>
      </c>
      <c r="N483" t="s">
        <v>4400</v>
      </c>
    </row>
    <row r="484" spans="1:14" x14ac:dyDescent="0.4">
      <c r="A484" t="s">
        <v>1241</v>
      </c>
      <c r="B484" t="s">
        <v>1242</v>
      </c>
      <c r="C484" t="s">
        <v>279</v>
      </c>
      <c r="D484" t="s">
        <v>280</v>
      </c>
      <c r="E484" s="2">
        <v>724.7399999999999</v>
      </c>
      <c r="F484" s="2">
        <v>2418.3699999999994</v>
      </c>
      <c r="G484" s="2"/>
      <c r="H484" s="2"/>
      <c r="I484" s="2"/>
      <c r="J484" s="2"/>
      <c r="K484" s="2"/>
      <c r="L484" s="2">
        <v>3143.1099999999992</v>
      </c>
      <c r="M484" t="s">
        <v>4400</v>
      </c>
      <c r="N484" t="s">
        <v>4410</v>
      </c>
    </row>
    <row r="485" spans="1:14" x14ac:dyDescent="0.4">
      <c r="A485" t="s">
        <v>1243</v>
      </c>
      <c r="B485" t="s">
        <v>1244</v>
      </c>
      <c r="C485" t="s">
        <v>172</v>
      </c>
      <c r="D485" t="s">
        <v>173</v>
      </c>
      <c r="E485" s="2">
        <v>7626.98</v>
      </c>
      <c r="F485" s="2">
        <v>7037.72</v>
      </c>
      <c r="G485" s="2">
        <v>1995.59</v>
      </c>
      <c r="H485" s="2"/>
      <c r="I485" s="2"/>
      <c r="J485" s="2"/>
      <c r="K485" s="2"/>
      <c r="L485" s="2">
        <v>16660.28999999999</v>
      </c>
      <c r="M485" t="s">
        <v>4400</v>
      </c>
      <c r="N485" t="s">
        <v>4403</v>
      </c>
    </row>
    <row r="486" spans="1:14" x14ac:dyDescent="0.4">
      <c r="A486" t="s">
        <v>1245</v>
      </c>
      <c r="B486" t="s">
        <v>1246</v>
      </c>
      <c r="C486" t="s">
        <v>258</v>
      </c>
      <c r="D486" t="s">
        <v>1247</v>
      </c>
      <c r="E486" s="2">
        <v>3395.8399999999983</v>
      </c>
      <c r="F486" s="2">
        <v>4477.1699999999983</v>
      </c>
      <c r="G486" s="2">
        <v>5254.78</v>
      </c>
      <c r="H486" s="2">
        <v>4458.9599999999982</v>
      </c>
      <c r="I486" s="2">
        <v>5476.5099999999984</v>
      </c>
      <c r="J486" s="2">
        <v>4176.5199999999986</v>
      </c>
      <c r="K486" s="2">
        <v>2089.7800000000002</v>
      </c>
      <c r="L486" s="2">
        <v>29329.560000000034</v>
      </c>
      <c r="M486" t="s">
        <v>4400</v>
      </c>
      <c r="N486" t="s">
        <v>4400</v>
      </c>
    </row>
    <row r="487" spans="1:14" x14ac:dyDescent="0.4">
      <c r="A487" t="s">
        <v>1248</v>
      </c>
      <c r="B487" t="s">
        <v>1249</v>
      </c>
      <c r="C487" t="s">
        <v>178</v>
      </c>
      <c r="D487" t="s">
        <v>179</v>
      </c>
      <c r="E487" s="2">
        <v>2931.08</v>
      </c>
      <c r="F487" s="2">
        <v>3380.6100000000006</v>
      </c>
      <c r="G487" s="2">
        <v>3696.5000000000005</v>
      </c>
      <c r="H487" s="2">
        <v>2991.8199999999997</v>
      </c>
      <c r="I487" s="2">
        <v>2159.58</v>
      </c>
      <c r="J487" s="2">
        <v>4601.6400000000003</v>
      </c>
      <c r="K487" s="2">
        <v>1880.1299999999997</v>
      </c>
      <c r="L487" s="2">
        <v>21641.359999999982</v>
      </c>
      <c r="M487" t="s">
        <v>4400</v>
      </c>
      <c r="N487" t="s">
        <v>4400</v>
      </c>
    </row>
    <row r="488" spans="1:14" x14ac:dyDescent="0.4">
      <c r="A488" t="s">
        <v>1250</v>
      </c>
      <c r="B488" t="s">
        <v>1251</v>
      </c>
      <c r="C488" t="s">
        <v>279</v>
      </c>
      <c r="D488" t="s">
        <v>1252</v>
      </c>
      <c r="E488" s="2">
        <v>762.41</v>
      </c>
      <c r="F488" s="2"/>
      <c r="G488" s="2"/>
      <c r="H488" s="2"/>
      <c r="I488" s="2"/>
      <c r="J488" s="2"/>
      <c r="K488" s="2"/>
      <c r="L488" s="2">
        <v>762.41</v>
      </c>
      <c r="M488" t="s">
        <v>4400</v>
      </c>
      <c r="N488" t="s">
        <v>4407</v>
      </c>
    </row>
    <row r="489" spans="1:14" x14ac:dyDescent="0.4">
      <c r="A489" t="s">
        <v>1253</v>
      </c>
      <c r="B489" t="s">
        <v>450</v>
      </c>
      <c r="C489" t="s">
        <v>447</v>
      </c>
      <c r="D489" t="s">
        <v>1254</v>
      </c>
      <c r="E489" s="2">
        <v>3271.2899999999995</v>
      </c>
      <c r="F489" s="2">
        <v>3007.0799999999995</v>
      </c>
      <c r="G489" s="2">
        <v>2004.7199999999998</v>
      </c>
      <c r="H489" s="2">
        <v>5998.8899999999994</v>
      </c>
      <c r="I489" s="2">
        <v>6676.3099999999977</v>
      </c>
      <c r="J489" s="2">
        <v>7912.5100000000011</v>
      </c>
      <c r="K489" s="2">
        <v>3192.329999999999</v>
      </c>
      <c r="L489" s="2">
        <v>32063.129999999976</v>
      </c>
      <c r="M489" t="s">
        <v>4400</v>
      </c>
      <c r="N489" t="s">
        <v>4400</v>
      </c>
    </row>
    <row r="490" spans="1:14" x14ac:dyDescent="0.4">
      <c r="A490" t="s">
        <v>1255</v>
      </c>
      <c r="B490" t="s">
        <v>1256</v>
      </c>
      <c r="C490" t="s">
        <v>96</v>
      </c>
      <c r="D490" t="s">
        <v>1010</v>
      </c>
      <c r="E490" s="2">
        <v>5235.0899999999974</v>
      </c>
      <c r="F490" s="2">
        <v>5186.2599999999993</v>
      </c>
      <c r="G490" s="2">
        <v>7273.1</v>
      </c>
      <c r="H490" s="2">
        <v>5916.1399999999994</v>
      </c>
      <c r="I490" s="2">
        <v>5443.2599999999984</v>
      </c>
      <c r="J490" s="2">
        <v>6681.9999999999982</v>
      </c>
      <c r="K490" s="2">
        <v>2958.0699999999997</v>
      </c>
      <c r="L490" s="2">
        <v>38693.920000000006</v>
      </c>
      <c r="M490" t="s">
        <v>4400</v>
      </c>
      <c r="N490" t="s">
        <v>4400</v>
      </c>
    </row>
    <row r="491" spans="1:14" x14ac:dyDescent="0.4">
      <c r="A491" t="s">
        <v>1257</v>
      </c>
      <c r="B491" t="s">
        <v>1258</v>
      </c>
      <c r="C491" t="s">
        <v>113</v>
      </c>
      <c r="D491" t="s">
        <v>1065</v>
      </c>
      <c r="E491" s="2">
        <v>3702.71</v>
      </c>
      <c r="F491" s="2">
        <v>2761.1</v>
      </c>
      <c r="G491" s="2">
        <v>3894.0800000000004</v>
      </c>
      <c r="H491" s="2">
        <v>2724.6099999999997</v>
      </c>
      <c r="I491" s="2">
        <v>2223.48</v>
      </c>
      <c r="J491" s="2">
        <v>2180.92</v>
      </c>
      <c r="K491" s="2">
        <v>1123.8599999999999</v>
      </c>
      <c r="L491" s="2">
        <v>18610.760000000006</v>
      </c>
      <c r="M491" t="s">
        <v>4400</v>
      </c>
      <c r="N491" t="s">
        <v>4400</v>
      </c>
    </row>
    <row r="492" spans="1:14" x14ac:dyDescent="0.4">
      <c r="A492" t="s">
        <v>1259</v>
      </c>
      <c r="B492" t="s">
        <v>1260</v>
      </c>
      <c r="C492" t="s">
        <v>220</v>
      </c>
      <c r="D492" t="s">
        <v>797</v>
      </c>
      <c r="E492" s="2"/>
      <c r="F492" s="2"/>
      <c r="G492" s="2">
        <v>1214.95</v>
      </c>
      <c r="H492" s="2"/>
      <c r="I492" s="2">
        <v>1533.8500000000001</v>
      </c>
      <c r="J492" s="2"/>
      <c r="K492" s="2"/>
      <c r="L492" s="2">
        <v>2748.8</v>
      </c>
      <c r="M492" t="s">
        <v>4411</v>
      </c>
      <c r="N492" t="s">
        <v>4401</v>
      </c>
    </row>
    <row r="493" spans="1:14" x14ac:dyDescent="0.4">
      <c r="A493" t="s">
        <v>1261</v>
      </c>
      <c r="B493" t="s">
        <v>824</v>
      </c>
      <c r="C493" t="s">
        <v>103</v>
      </c>
      <c r="D493" t="s">
        <v>1262</v>
      </c>
      <c r="E493" s="2">
        <v>6363.2299999999987</v>
      </c>
      <c r="F493" s="2">
        <v>5236.3699999999981</v>
      </c>
      <c r="G493" s="2">
        <v>6405.7599999999993</v>
      </c>
      <c r="H493" s="2">
        <v>5877.3099999999995</v>
      </c>
      <c r="I493" s="2">
        <v>4799.0599999999995</v>
      </c>
      <c r="J493" s="2">
        <v>4911.46</v>
      </c>
      <c r="K493" s="2">
        <v>2402.5899999999997</v>
      </c>
      <c r="L493" s="2">
        <v>35995.779999999984</v>
      </c>
      <c r="M493" t="s">
        <v>4400</v>
      </c>
      <c r="N493" t="s">
        <v>4400</v>
      </c>
    </row>
    <row r="494" spans="1:14" x14ac:dyDescent="0.4">
      <c r="A494" t="s">
        <v>1263</v>
      </c>
      <c r="B494" t="s">
        <v>1093</v>
      </c>
      <c r="C494" t="s">
        <v>447</v>
      </c>
      <c r="D494" t="s">
        <v>742</v>
      </c>
      <c r="E494" s="2">
        <v>747.20999999999992</v>
      </c>
      <c r="F494" s="2"/>
      <c r="G494" s="2"/>
      <c r="H494" s="2"/>
      <c r="I494" s="2"/>
      <c r="J494" s="2"/>
      <c r="K494" s="2"/>
      <c r="L494" s="2">
        <v>747.20999999999992</v>
      </c>
      <c r="M494" t="s">
        <v>4400</v>
      </c>
      <c r="N494" t="s">
        <v>4407</v>
      </c>
    </row>
    <row r="495" spans="1:14" x14ac:dyDescent="0.4">
      <c r="A495" t="s">
        <v>1264</v>
      </c>
      <c r="B495" t="s">
        <v>1265</v>
      </c>
      <c r="C495" t="s">
        <v>939</v>
      </c>
      <c r="D495" t="s">
        <v>1266</v>
      </c>
      <c r="E495" s="2">
        <v>5267.0499999999984</v>
      </c>
      <c r="F495" s="2">
        <v>4468.1699999999992</v>
      </c>
      <c r="G495" s="2">
        <v>6421.2799999999988</v>
      </c>
      <c r="H495" s="2">
        <v>5139.4500000000007</v>
      </c>
      <c r="I495" s="2">
        <v>6561.010000000002</v>
      </c>
      <c r="J495" s="2">
        <v>5355.1500000000005</v>
      </c>
      <c r="K495" s="2">
        <v>2751.98</v>
      </c>
      <c r="L495" s="2">
        <v>35964.089999999953</v>
      </c>
      <c r="M495" t="s">
        <v>4400</v>
      </c>
      <c r="N495" t="s">
        <v>4400</v>
      </c>
    </row>
    <row r="496" spans="1:14" x14ac:dyDescent="0.4">
      <c r="A496" t="s">
        <v>1267</v>
      </c>
      <c r="B496" t="s">
        <v>1268</v>
      </c>
      <c r="C496" t="s">
        <v>31</v>
      </c>
      <c r="D496" t="s">
        <v>591</v>
      </c>
      <c r="E496" s="2">
        <v>1640.1899999999998</v>
      </c>
      <c r="F496" s="2">
        <v>993.2299999999999</v>
      </c>
      <c r="G496" s="2">
        <v>820.07999999999993</v>
      </c>
      <c r="H496" s="2">
        <v>1792.0399999999997</v>
      </c>
      <c r="I496" s="2">
        <v>1883.15</v>
      </c>
      <c r="J496" s="2">
        <v>1336.44</v>
      </c>
      <c r="K496" s="2">
        <v>1792.1</v>
      </c>
      <c r="L496" s="2">
        <v>10257.22999999999</v>
      </c>
      <c r="M496" t="s">
        <v>4400</v>
      </c>
      <c r="N496" t="s">
        <v>4400</v>
      </c>
    </row>
    <row r="497" spans="1:14" x14ac:dyDescent="0.4">
      <c r="A497" t="s">
        <v>1269</v>
      </c>
      <c r="B497" t="s">
        <v>1270</v>
      </c>
      <c r="C497" t="s">
        <v>103</v>
      </c>
      <c r="D497" t="s">
        <v>104</v>
      </c>
      <c r="E497" s="2">
        <v>2527.1099999999997</v>
      </c>
      <c r="F497" s="2">
        <v>1503.5100000000002</v>
      </c>
      <c r="G497" s="2"/>
      <c r="H497" s="2"/>
      <c r="I497" s="2"/>
      <c r="J497" s="2"/>
      <c r="K497" s="2"/>
      <c r="L497" s="2">
        <v>4030.6199999999994</v>
      </c>
      <c r="M497" t="s">
        <v>4400</v>
      </c>
      <c r="N497" t="s">
        <v>4410</v>
      </c>
    </row>
    <row r="498" spans="1:14" x14ac:dyDescent="0.4">
      <c r="A498" t="s">
        <v>1271</v>
      </c>
      <c r="B498" t="s">
        <v>1272</v>
      </c>
      <c r="C498" t="s">
        <v>291</v>
      </c>
      <c r="D498" t="s">
        <v>295</v>
      </c>
      <c r="E498" s="2">
        <v>4051.9700000000012</v>
      </c>
      <c r="F498" s="2">
        <v>3441.4499999999989</v>
      </c>
      <c r="G498" s="2">
        <v>1366.8799999999999</v>
      </c>
      <c r="H498" s="2"/>
      <c r="I498" s="2"/>
      <c r="J498" s="2"/>
      <c r="K498" s="2"/>
      <c r="L498" s="2">
        <v>8860.2999999999956</v>
      </c>
      <c r="M498" t="s">
        <v>4400</v>
      </c>
      <c r="N498" t="s">
        <v>4403</v>
      </c>
    </row>
    <row r="499" spans="1:14" x14ac:dyDescent="0.4">
      <c r="A499" t="s">
        <v>1273</v>
      </c>
      <c r="B499" t="s">
        <v>1274</v>
      </c>
      <c r="C499" t="s">
        <v>167</v>
      </c>
      <c r="D499" t="s">
        <v>1275</v>
      </c>
      <c r="E499" s="2">
        <v>814.0200000000001</v>
      </c>
      <c r="F499" s="2">
        <v>1922.6799999999998</v>
      </c>
      <c r="G499" s="2">
        <v>1682.6999999999998</v>
      </c>
      <c r="H499" s="2">
        <v>1500.4599999999998</v>
      </c>
      <c r="I499" s="2">
        <v>1679.6899999999996</v>
      </c>
      <c r="J499" s="2">
        <v>1573.3599999999997</v>
      </c>
      <c r="K499" s="2">
        <v>883.89</v>
      </c>
      <c r="L499" s="2">
        <v>10056.799999999999</v>
      </c>
      <c r="M499" t="s">
        <v>4400</v>
      </c>
      <c r="N499" t="s">
        <v>4400</v>
      </c>
    </row>
    <row r="500" spans="1:14" x14ac:dyDescent="0.4">
      <c r="A500" t="s">
        <v>1276</v>
      </c>
      <c r="B500" t="s">
        <v>1277</v>
      </c>
      <c r="C500" t="s">
        <v>186</v>
      </c>
      <c r="D500" t="s">
        <v>1278</v>
      </c>
      <c r="E500" s="2">
        <v>3216.57</v>
      </c>
      <c r="F500" s="2">
        <v>4288.76</v>
      </c>
      <c r="G500" s="2">
        <v>3559.7599999999998</v>
      </c>
      <c r="H500" s="2">
        <v>4349.5</v>
      </c>
      <c r="I500" s="2">
        <v>4258.3600000000006</v>
      </c>
      <c r="J500" s="2">
        <v>4410.24</v>
      </c>
      <c r="K500" s="2">
        <v>2527.09</v>
      </c>
      <c r="L500" s="2">
        <v>26610.279999999988</v>
      </c>
      <c r="M500" t="s">
        <v>4400</v>
      </c>
      <c r="N500" t="s">
        <v>4400</v>
      </c>
    </row>
    <row r="501" spans="1:14" x14ac:dyDescent="0.4">
      <c r="A501" t="s">
        <v>1279</v>
      </c>
      <c r="B501" t="s">
        <v>340</v>
      </c>
      <c r="C501" t="s">
        <v>337</v>
      </c>
      <c r="D501" t="s">
        <v>487</v>
      </c>
      <c r="E501" s="2">
        <v>6761.3699999999981</v>
      </c>
      <c r="F501" s="2">
        <v>5412.7500000000018</v>
      </c>
      <c r="G501" s="2">
        <v>6199.4600000000009</v>
      </c>
      <c r="H501" s="2">
        <v>10129.91</v>
      </c>
      <c r="I501" s="2">
        <v>3769.4300000000007</v>
      </c>
      <c r="J501" s="2">
        <v>3705.6800000000003</v>
      </c>
      <c r="K501" s="2">
        <v>738.09</v>
      </c>
      <c r="L501" s="2">
        <v>36716.689999999973</v>
      </c>
      <c r="M501" t="s">
        <v>4400</v>
      </c>
      <c r="N501" t="s">
        <v>4400</v>
      </c>
    </row>
    <row r="502" spans="1:14" x14ac:dyDescent="0.4">
      <c r="A502" t="s">
        <v>1280</v>
      </c>
      <c r="B502" t="s">
        <v>1281</v>
      </c>
      <c r="C502" t="s">
        <v>109</v>
      </c>
      <c r="D502" t="s">
        <v>1282</v>
      </c>
      <c r="E502" s="2"/>
      <c r="F502" s="2"/>
      <c r="G502" s="2">
        <v>2873.36</v>
      </c>
      <c r="H502" s="2">
        <v>1460.9899999999998</v>
      </c>
      <c r="I502" s="2">
        <v>2867.3199999999993</v>
      </c>
      <c r="J502" s="2">
        <v>1956.06</v>
      </c>
      <c r="K502" s="2"/>
      <c r="L502" s="2">
        <v>9157.7300000000014</v>
      </c>
      <c r="M502" t="s">
        <v>4411</v>
      </c>
      <c r="N502" t="s">
        <v>4406</v>
      </c>
    </row>
    <row r="503" spans="1:14" x14ac:dyDescent="0.4">
      <c r="A503" t="s">
        <v>1283</v>
      </c>
      <c r="B503" t="s">
        <v>1284</v>
      </c>
      <c r="C503" t="s">
        <v>96</v>
      </c>
      <c r="D503" t="s">
        <v>97</v>
      </c>
      <c r="E503" s="2">
        <v>2278.0700000000002</v>
      </c>
      <c r="F503" s="2">
        <v>1591.6400000000003</v>
      </c>
      <c r="G503" s="2"/>
      <c r="H503" s="2">
        <v>774.56</v>
      </c>
      <c r="I503" s="2">
        <v>835.29</v>
      </c>
      <c r="J503" s="2">
        <v>725.94999999999993</v>
      </c>
      <c r="K503" s="2"/>
      <c r="L503" s="2">
        <v>6205.5099999999993</v>
      </c>
      <c r="M503" t="s">
        <v>4400</v>
      </c>
      <c r="N503" t="s">
        <v>4406</v>
      </c>
    </row>
    <row r="504" spans="1:14" x14ac:dyDescent="0.4">
      <c r="A504" t="s">
        <v>1285</v>
      </c>
      <c r="B504" t="s">
        <v>319</v>
      </c>
      <c r="C504" t="s">
        <v>310</v>
      </c>
      <c r="D504" t="s">
        <v>320</v>
      </c>
      <c r="E504" s="2">
        <v>3584.1999999999989</v>
      </c>
      <c r="F504" s="2">
        <v>3347.2799999999988</v>
      </c>
      <c r="G504" s="2">
        <v>3007.0800000000004</v>
      </c>
      <c r="H504" s="2">
        <v>3082.9999999999995</v>
      </c>
      <c r="I504" s="2">
        <v>3739.1000000000004</v>
      </c>
      <c r="J504" s="2">
        <v>3265.2700000000004</v>
      </c>
      <c r="K504" s="2">
        <v>1448.8599999999997</v>
      </c>
      <c r="L504" s="2">
        <v>21474.789999999943</v>
      </c>
      <c r="M504" t="s">
        <v>4400</v>
      </c>
      <c r="N504" t="s">
        <v>4400</v>
      </c>
    </row>
    <row r="505" spans="1:14" x14ac:dyDescent="0.4">
      <c r="A505" t="s">
        <v>1286</v>
      </c>
      <c r="B505" t="s">
        <v>330</v>
      </c>
      <c r="C505" t="s">
        <v>359</v>
      </c>
      <c r="D505" t="s">
        <v>1287</v>
      </c>
      <c r="E505" s="2"/>
      <c r="F505" s="2">
        <v>804.91000000000008</v>
      </c>
      <c r="G505" s="2">
        <v>1543.0000000000005</v>
      </c>
      <c r="H505" s="2">
        <v>1731.3</v>
      </c>
      <c r="I505" s="2">
        <v>1743.4599999999998</v>
      </c>
      <c r="J505" s="2"/>
      <c r="K505" s="2"/>
      <c r="L505" s="2">
        <v>5822.6699999999955</v>
      </c>
      <c r="M505" t="s">
        <v>4412</v>
      </c>
      <c r="N505" t="s">
        <v>4401</v>
      </c>
    </row>
    <row r="506" spans="1:14" x14ac:dyDescent="0.4">
      <c r="A506" t="s">
        <v>1288</v>
      </c>
      <c r="B506" t="s">
        <v>1289</v>
      </c>
      <c r="C506" t="s">
        <v>291</v>
      </c>
      <c r="D506" t="s">
        <v>1290</v>
      </c>
      <c r="E506" s="2">
        <v>1864.94</v>
      </c>
      <c r="F506" s="2">
        <v>4191.630000000001</v>
      </c>
      <c r="G506" s="2">
        <v>5045.119999999999</v>
      </c>
      <c r="H506" s="2">
        <v>3711.7200000000003</v>
      </c>
      <c r="I506" s="2">
        <v>3742.13</v>
      </c>
      <c r="J506" s="2">
        <v>1287.8799999999999</v>
      </c>
      <c r="K506" s="2">
        <v>3365.44</v>
      </c>
      <c r="L506" s="2">
        <v>23208.859999999979</v>
      </c>
      <c r="M506" t="s">
        <v>4400</v>
      </c>
      <c r="N506" t="s">
        <v>4400</v>
      </c>
    </row>
    <row r="507" spans="1:14" x14ac:dyDescent="0.4">
      <c r="A507" t="s">
        <v>1291</v>
      </c>
      <c r="B507" t="s">
        <v>1292</v>
      </c>
      <c r="C507" t="s">
        <v>60</v>
      </c>
      <c r="D507" t="s">
        <v>1293</v>
      </c>
      <c r="E507" s="2">
        <v>2232.5700000000002</v>
      </c>
      <c r="F507" s="2">
        <v>1497.5000000000002</v>
      </c>
      <c r="G507" s="2"/>
      <c r="H507" s="2">
        <v>877.82</v>
      </c>
      <c r="I507" s="2">
        <v>2976.7199999999993</v>
      </c>
      <c r="J507" s="2">
        <v>1445.82</v>
      </c>
      <c r="K507" s="2">
        <v>719.88000000000011</v>
      </c>
      <c r="L507" s="2">
        <v>9750.3099999999849</v>
      </c>
      <c r="M507" t="s">
        <v>4400</v>
      </c>
      <c r="N507" t="s">
        <v>4400</v>
      </c>
    </row>
    <row r="508" spans="1:14" x14ac:dyDescent="0.4">
      <c r="A508" t="s">
        <v>1294</v>
      </c>
      <c r="B508" t="s">
        <v>1295</v>
      </c>
      <c r="C508" t="s">
        <v>91</v>
      </c>
      <c r="D508" t="s">
        <v>1296</v>
      </c>
      <c r="E508" s="2">
        <v>896.03</v>
      </c>
      <c r="F508" s="2">
        <v>905.1400000000001</v>
      </c>
      <c r="G508" s="2">
        <v>899.07</v>
      </c>
      <c r="H508" s="2"/>
      <c r="I508" s="2"/>
      <c r="J508" s="2"/>
      <c r="K508" s="2"/>
      <c r="L508" s="2">
        <v>2700.24</v>
      </c>
      <c r="M508" t="s">
        <v>4400</v>
      </c>
      <c r="N508" t="s">
        <v>4403</v>
      </c>
    </row>
    <row r="509" spans="1:14" x14ac:dyDescent="0.4">
      <c r="A509" t="s">
        <v>1297</v>
      </c>
      <c r="B509" t="s">
        <v>1298</v>
      </c>
      <c r="C509" t="s">
        <v>496</v>
      </c>
      <c r="D509" t="s">
        <v>1299</v>
      </c>
      <c r="E509" s="2">
        <v>3365.48</v>
      </c>
      <c r="F509" s="2">
        <v>5236.5099999999993</v>
      </c>
      <c r="G509" s="2">
        <v>5865.3000000000011</v>
      </c>
      <c r="H509" s="2">
        <v>5160.7000000000007</v>
      </c>
      <c r="I509" s="2">
        <v>4331.43</v>
      </c>
      <c r="J509" s="2">
        <v>5020.8899999999994</v>
      </c>
      <c r="K509" s="2">
        <v>2414.75</v>
      </c>
      <c r="L509" s="2">
        <v>31395.059999999979</v>
      </c>
      <c r="M509" t="s">
        <v>4400</v>
      </c>
      <c r="N509" t="s">
        <v>4400</v>
      </c>
    </row>
    <row r="510" spans="1:14" x14ac:dyDescent="0.4">
      <c r="A510" t="s">
        <v>1300</v>
      </c>
      <c r="B510" t="s">
        <v>1301</v>
      </c>
      <c r="C510" t="s">
        <v>199</v>
      </c>
      <c r="D510" t="s">
        <v>690</v>
      </c>
      <c r="E510" s="2">
        <v>1892.3499999999997</v>
      </c>
      <c r="F510" s="2"/>
      <c r="G510" s="2">
        <v>1989.54</v>
      </c>
      <c r="H510" s="2"/>
      <c r="I510" s="2">
        <v>844.42000000000007</v>
      </c>
      <c r="J510" s="2">
        <v>771.5200000000001</v>
      </c>
      <c r="K510" s="2">
        <v>1725.2900000000002</v>
      </c>
      <c r="L510" s="2">
        <v>7223.1199999999963</v>
      </c>
      <c r="M510" t="s">
        <v>4400</v>
      </c>
      <c r="N510" t="s">
        <v>4400</v>
      </c>
    </row>
    <row r="511" spans="1:14" x14ac:dyDescent="0.4">
      <c r="A511" t="s">
        <v>1302</v>
      </c>
      <c r="B511" t="s">
        <v>1303</v>
      </c>
      <c r="C511" t="s">
        <v>195</v>
      </c>
      <c r="D511" t="s">
        <v>1304</v>
      </c>
      <c r="E511" s="2">
        <v>2636.4599999999996</v>
      </c>
      <c r="F511" s="2">
        <v>1694.8799999999997</v>
      </c>
      <c r="G511" s="2">
        <v>959.84000000000015</v>
      </c>
      <c r="H511" s="2">
        <v>908.19000000000017</v>
      </c>
      <c r="I511" s="2">
        <v>1652.3600000000001</v>
      </c>
      <c r="J511" s="2">
        <v>1506.5699999999997</v>
      </c>
      <c r="K511" s="2"/>
      <c r="L511" s="2">
        <v>9358.299999999992</v>
      </c>
      <c r="M511" t="s">
        <v>4400</v>
      </c>
      <c r="N511" t="s">
        <v>4406</v>
      </c>
    </row>
    <row r="512" spans="1:14" x14ac:dyDescent="0.4">
      <c r="A512" t="s">
        <v>1305</v>
      </c>
      <c r="B512" t="s">
        <v>1306</v>
      </c>
      <c r="C512" t="s">
        <v>31</v>
      </c>
      <c r="D512" t="s">
        <v>477</v>
      </c>
      <c r="E512" s="2"/>
      <c r="F512" s="2">
        <v>2490.6799999999998</v>
      </c>
      <c r="G512" s="2">
        <v>1606.7799999999997</v>
      </c>
      <c r="H512" s="2">
        <v>1348.59</v>
      </c>
      <c r="I512" s="2">
        <v>1190.6299999999999</v>
      </c>
      <c r="J512" s="2">
        <v>2934.14</v>
      </c>
      <c r="K512" s="2"/>
      <c r="L512" s="2">
        <v>9570.8199999999961</v>
      </c>
      <c r="M512" t="s">
        <v>4412</v>
      </c>
      <c r="N512" t="s">
        <v>4406</v>
      </c>
    </row>
    <row r="513" spans="1:14" x14ac:dyDescent="0.4">
      <c r="A513" t="s">
        <v>1307</v>
      </c>
      <c r="B513" t="s">
        <v>1308</v>
      </c>
      <c r="C513" t="s">
        <v>423</v>
      </c>
      <c r="D513" t="s">
        <v>1309</v>
      </c>
      <c r="E513" s="2">
        <v>953.72</v>
      </c>
      <c r="F513" s="2">
        <v>926.3900000000001</v>
      </c>
      <c r="G513" s="2">
        <v>765.45</v>
      </c>
      <c r="H513" s="2">
        <v>1090.4000000000001</v>
      </c>
      <c r="I513" s="2"/>
      <c r="J513" s="2">
        <v>829.2</v>
      </c>
      <c r="K513" s="2">
        <v>896.02</v>
      </c>
      <c r="L513" s="2">
        <v>5461.1800000000012</v>
      </c>
      <c r="M513" t="s">
        <v>4400</v>
      </c>
      <c r="N513" t="s">
        <v>4400</v>
      </c>
    </row>
    <row r="514" spans="1:14" x14ac:dyDescent="0.4">
      <c r="A514" t="s">
        <v>1310</v>
      </c>
      <c r="B514" t="s">
        <v>762</v>
      </c>
      <c r="C514" t="s">
        <v>113</v>
      </c>
      <c r="D514" t="s">
        <v>114</v>
      </c>
      <c r="E514" s="2">
        <v>5440.6899999999987</v>
      </c>
      <c r="F514" s="2">
        <v>5391.8599999999988</v>
      </c>
      <c r="G514" s="2">
        <v>6496.9599999999991</v>
      </c>
      <c r="H514" s="2">
        <v>8568.380000000001</v>
      </c>
      <c r="I514" s="2">
        <v>6011.2300000000005</v>
      </c>
      <c r="J514" s="2">
        <v>5797.92</v>
      </c>
      <c r="K514" s="2">
        <v>2832.14</v>
      </c>
      <c r="L514" s="2">
        <v>40539.180000000088</v>
      </c>
      <c r="M514" t="s">
        <v>4400</v>
      </c>
      <c r="N514" t="s">
        <v>4400</v>
      </c>
    </row>
    <row r="515" spans="1:14" x14ac:dyDescent="0.4">
      <c r="A515" t="s">
        <v>1311</v>
      </c>
      <c r="B515" t="s">
        <v>1312</v>
      </c>
      <c r="C515" t="s">
        <v>291</v>
      </c>
      <c r="D515" t="s">
        <v>292</v>
      </c>
      <c r="E515" s="2">
        <v>3234.9500000000007</v>
      </c>
      <c r="F515" s="2">
        <v>2603.1700000000005</v>
      </c>
      <c r="G515" s="2">
        <v>3177.26</v>
      </c>
      <c r="H515" s="2">
        <v>4398.4000000000015</v>
      </c>
      <c r="I515" s="2">
        <v>2776.2799999999993</v>
      </c>
      <c r="J515" s="2">
        <v>2955.4699999999993</v>
      </c>
      <c r="K515" s="2">
        <v>1910.4799999999998</v>
      </c>
      <c r="L515" s="2">
        <v>21056.009999999973</v>
      </c>
      <c r="M515" t="s">
        <v>4400</v>
      </c>
      <c r="N515" t="s">
        <v>4400</v>
      </c>
    </row>
    <row r="516" spans="1:14" x14ac:dyDescent="0.4">
      <c r="A516" t="s">
        <v>1313</v>
      </c>
      <c r="B516" t="s">
        <v>1314</v>
      </c>
      <c r="C516" t="s">
        <v>359</v>
      </c>
      <c r="D516" t="s">
        <v>1315</v>
      </c>
      <c r="E516" s="2">
        <v>3316.77</v>
      </c>
      <c r="F516" s="2">
        <v>2214.2399999999993</v>
      </c>
      <c r="G516" s="2"/>
      <c r="H516" s="2"/>
      <c r="I516" s="2"/>
      <c r="J516" s="2"/>
      <c r="K516" s="2"/>
      <c r="L516" s="2">
        <v>5531.0099999999984</v>
      </c>
      <c r="M516" t="s">
        <v>4400</v>
      </c>
      <c r="N516" t="s">
        <v>4410</v>
      </c>
    </row>
    <row r="517" spans="1:14" x14ac:dyDescent="0.4">
      <c r="A517" t="s">
        <v>1316</v>
      </c>
      <c r="B517" t="s">
        <v>1317</v>
      </c>
      <c r="C517" t="s">
        <v>186</v>
      </c>
      <c r="D517" t="s">
        <v>1318</v>
      </c>
      <c r="E517" s="2">
        <v>3171.0899999999997</v>
      </c>
      <c r="F517" s="2">
        <v>744.17000000000007</v>
      </c>
      <c r="G517" s="2"/>
      <c r="H517" s="2"/>
      <c r="I517" s="2"/>
      <c r="J517" s="2"/>
      <c r="K517" s="2"/>
      <c r="L517" s="2">
        <v>3915.2599999999998</v>
      </c>
      <c r="M517" t="s">
        <v>4400</v>
      </c>
      <c r="N517" t="s">
        <v>4410</v>
      </c>
    </row>
    <row r="518" spans="1:14" x14ac:dyDescent="0.4">
      <c r="A518" t="s">
        <v>1319</v>
      </c>
      <c r="B518" t="s">
        <v>1320</v>
      </c>
      <c r="C518" t="s">
        <v>220</v>
      </c>
      <c r="D518" t="s">
        <v>797</v>
      </c>
      <c r="E518" s="2">
        <v>4091.42</v>
      </c>
      <c r="F518" s="2">
        <v>3997.2499999999995</v>
      </c>
      <c r="G518" s="2">
        <v>5272.91</v>
      </c>
      <c r="H518" s="2">
        <v>4331.2800000000007</v>
      </c>
      <c r="I518" s="2">
        <v>3790.62</v>
      </c>
      <c r="J518" s="2">
        <v>4619.8599999999988</v>
      </c>
      <c r="K518" s="2">
        <v>1877.0900000000001</v>
      </c>
      <c r="L518" s="2">
        <v>27980.429999999982</v>
      </c>
      <c r="M518" t="s">
        <v>4400</v>
      </c>
      <c r="N518" t="s">
        <v>4400</v>
      </c>
    </row>
    <row r="519" spans="1:14" x14ac:dyDescent="0.4">
      <c r="A519" t="s">
        <v>1321</v>
      </c>
      <c r="B519" t="s">
        <v>1322</v>
      </c>
      <c r="C519" t="s">
        <v>27</v>
      </c>
      <c r="D519" t="s">
        <v>627</v>
      </c>
      <c r="E519" s="2">
        <v>3562.889999999999</v>
      </c>
      <c r="F519" s="2">
        <v>2423.85</v>
      </c>
      <c r="G519" s="2">
        <v>1591.6000000000004</v>
      </c>
      <c r="H519" s="2">
        <v>2569.65</v>
      </c>
      <c r="I519" s="2">
        <v>2335.7699999999995</v>
      </c>
      <c r="J519" s="2">
        <v>1801.1700000000003</v>
      </c>
      <c r="K519" s="2">
        <v>1688.76</v>
      </c>
      <c r="L519" s="2">
        <v>15973.689999999982</v>
      </c>
      <c r="M519" t="s">
        <v>4400</v>
      </c>
      <c r="N519" t="s">
        <v>4400</v>
      </c>
    </row>
    <row r="520" spans="1:14" x14ac:dyDescent="0.4">
      <c r="A520" t="s">
        <v>1323</v>
      </c>
      <c r="B520" t="s">
        <v>1324</v>
      </c>
      <c r="C520" t="s">
        <v>96</v>
      </c>
      <c r="D520" t="s">
        <v>1010</v>
      </c>
      <c r="E520" s="2">
        <v>4692.99</v>
      </c>
      <c r="F520" s="2">
        <v>4571.41</v>
      </c>
      <c r="G520" s="2">
        <v>4948.0199999999995</v>
      </c>
      <c r="H520" s="2">
        <v>5303.3399999999992</v>
      </c>
      <c r="I520" s="2">
        <v>4592.62</v>
      </c>
      <c r="J520" s="2">
        <v>4291.9199999999992</v>
      </c>
      <c r="K520" s="2">
        <v>1600.75</v>
      </c>
      <c r="L520" s="2">
        <v>30001.049999999977</v>
      </c>
      <c r="M520" t="s">
        <v>4400</v>
      </c>
      <c r="N520" t="s">
        <v>4400</v>
      </c>
    </row>
    <row r="521" spans="1:14" x14ac:dyDescent="0.4">
      <c r="A521" t="s">
        <v>1325</v>
      </c>
      <c r="B521" t="s">
        <v>1326</v>
      </c>
      <c r="C521" t="s">
        <v>178</v>
      </c>
      <c r="D521" t="s">
        <v>558</v>
      </c>
      <c r="E521" s="2">
        <v>2718.38</v>
      </c>
      <c r="F521" s="2">
        <v>3496.0299999999997</v>
      </c>
      <c r="G521" s="2">
        <v>3745.0600000000009</v>
      </c>
      <c r="H521" s="2">
        <v>3933.3700000000008</v>
      </c>
      <c r="I521" s="2">
        <v>3462.5799999999995</v>
      </c>
      <c r="J521" s="2">
        <v>4610.7499999999982</v>
      </c>
      <c r="K521" s="2">
        <v>1910.52</v>
      </c>
      <c r="L521" s="2">
        <v>23876.690000000017</v>
      </c>
      <c r="M521" t="s">
        <v>4400</v>
      </c>
      <c r="N521" t="s">
        <v>4400</v>
      </c>
    </row>
    <row r="522" spans="1:14" x14ac:dyDescent="0.4">
      <c r="A522" t="s">
        <v>1327</v>
      </c>
      <c r="B522" t="s">
        <v>1328</v>
      </c>
      <c r="C522" t="s">
        <v>113</v>
      </c>
      <c r="D522" t="s">
        <v>114</v>
      </c>
      <c r="E522" s="2"/>
      <c r="F522" s="2"/>
      <c r="G522" s="2">
        <v>1087.3899999999999</v>
      </c>
      <c r="H522" s="2"/>
      <c r="I522" s="2"/>
      <c r="J522" s="2"/>
      <c r="K522" s="2"/>
      <c r="L522" s="2">
        <v>1087.3899999999999</v>
      </c>
      <c r="M522" t="s">
        <v>4411</v>
      </c>
      <c r="N522" t="s">
        <v>4403</v>
      </c>
    </row>
    <row r="523" spans="1:14" x14ac:dyDescent="0.4">
      <c r="A523" t="s">
        <v>1329</v>
      </c>
      <c r="B523" t="s">
        <v>1330</v>
      </c>
      <c r="C523" t="s">
        <v>186</v>
      </c>
      <c r="D523" t="s">
        <v>190</v>
      </c>
      <c r="E523" s="2">
        <v>3490.1099999999997</v>
      </c>
      <c r="F523" s="2">
        <v>5349.0300000000007</v>
      </c>
      <c r="G523" s="2">
        <v>6785.720000000003</v>
      </c>
      <c r="H523" s="2">
        <v>3547.75</v>
      </c>
      <c r="I523" s="2">
        <v>5349</v>
      </c>
      <c r="J523" s="2">
        <v>5552.5</v>
      </c>
      <c r="K523" s="2">
        <v>1014.52</v>
      </c>
      <c r="L523" s="2">
        <v>31088.629999999986</v>
      </c>
      <c r="M523" t="s">
        <v>4400</v>
      </c>
      <c r="N523" t="s">
        <v>4400</v>
      </c>
    </row>
    <row r="524" spans="1:14" x14ac:dyDescent="0.4">
      <c r="A524" t="s">
        <v>1331</v>
      </c>
      <c r="B524" t="s">
        <v>1332</v>
      </c>
      <c r="C524" t="s">
        <v>27</v>
      </c>
      <c r="D524" t="s">
        <v>1333</v>
      </c>
      <c r="E524" s="2">
        <v>3523.27</v>
      </c>
      <c r="F524" s="2">
        <v>4158.0300000000007</v>
      </c>
      <c r="G524" s="2">
        <v>5156.7999999999993</v>
      </c>
      <c r="H524" s="2">
        <v>4116.0000000000009</v>
      </c>
      <c r="I524" s="2">
        <v>3753.7499999999995</v>
      </c>
      <c r="J524" s="2">
        <v>3839.8</v>
      </c>
      <c r="K524" s="2">
        <v>180</v>
      </c>
      <c r="L524" s="2">
        <v>24727.649999999994</v>
      </c>
      <c r="M524" t="s">
        <v>4400</v>
      </c>
      <c r="N524" t="s">
        <v>4400</v>
      </c>
    </row>
    <row r="525" spans="1:14" x14ac:dyDescent="0.4">
      <c r="A525" t="s">
        <v>1334</v>
      </c>
      <c r="B525" t="s">
        <v>247</v>
      </c>
      <c r="C525" t="s">
        <v>244</v>
      </c>
      <c r="D525" t="s">
        <v>248</v>
      </c>
      <c r="E525" s="2">
        <v>6828.1900000000023</v>
      </c>
      <c r="F525" s="2">
        <v>5309.4500000000025</v>
      </c>
      <c r="G525" s="2">
        <v>5045.1299999999992</v>
      </c>
      <c r="H525" s="2">
        <v>7013.5100000000029</v>
      </c>
      <c r="I525" s="2">
        <v>4741.4299999999985</v>
      </c>
      <c r="J525" s="2">
        <v>5239.5800000000008</v>
      </c>
      <c r="K525" s="2">
        <v>2709.4</v>
      </c>
      <c r="L525" s="2">
        <v>36886.689999999995</v>
      </c>
      <c r="M525" t="s">
        <v>4400</v>
      </c>
      <c r="N525" t="s">
        <v>4400</v>
      </c>
    </row>
    <row r="526" spans="1:14" x14ac:dyDescent="0.4">
      <c r="A526" t="s">
        <v>1335</v>
      </c>
      <c r="B526" t="s">
        <v>1336</v>
      </c>
      <c r="C526" t="s">
        <v>113</v>
      </c>
      <c r="D526" t="s">
        <v>114</v>
      </c>
      <c r="E526" s="2">
        <v>3638.88</v>
      </c>
      <c r="F526" s="2">
        <v>4519.6900000000005</v>
      </c>
      <c r="G526" s="2">
        <v>5306.35</v>
      </c>
      <c r="H526" s="2">
        <v>2788.34</v>
      </c>
      <c r="I526" s="2">
        <v>1549.08</v>
      </c>
      <c r="J526" s="2">
        <v>874.77</v>
      </c>
      <c r="K526" s="2"/>
      <c r="L526" s="2">
        <v>18677.10999999999</v>
      </c>
      <c r="M526" t="s">
        <v>4400</v>
      </c>
      <c r="N526" t="s">
        <v>4406</v>
      </c>
    </row>
    <row r="527" spans="1:14" x14ac:dyDescent="0.4">
      <c r="A527" t="s">
        <v>1337</v>
      </c>
      <c r="B527" t="s">
        <v>962</v>
      </c>
      <c r="C527" t="s">
        <v>31</v>
      </c>
      <c r="D527" t="s">
        <v>1338</v>
      </c>
      <c r="E527" s="2">
        <v>5995.95</v>
      </c>
      <c r="F527" s="2">
        <v>4686.8399999999992</v>
      </c>
      <c r="G527" s="2">
        <v>2098.9099999999994</v>
      </c>
      <c r="H527" s="2">
        <v>3818.1200000000003</v>
      </c>
      <c r="I527" s="2">
        <v>3763.5699999999997</v>
      </c>
      <c r="J527" s="2">
        <v>2594.1099999999997</v>
      </c>
      <c r="K527" s="2">
        <v>1807.3599999999997</v>
      </c>
      <c r="L527" s="2">
        <v>24764.860000000004</v>
      </c>
      <c r="M527" t="s">
        <v>4400</v>
      </c>
      <c r="N527" t="s">
        <v>4400</v>
      </c>
    </row>
    <row r="528" spans="1:14" x14ac:dyDescent="0.4">
      <c r="A528" t="s">
        <v>1339</v>
      </c>
      <c r="B528" t="s">
        <v>1340</v>
      </c>
      <c r="C528" t="s">
        <v>167</v>
      </c>
      <c r="D528" t="s">
        <v>1275</v>
      </c>
      <c r="E528" s="2">
        <v>1594.63</v>
      </c>
      <c r="F528" s="2">
        <v>1734.3400000000001</v>
      </c>
      <c r="G528" s="2">
        <v>914.24999999999989</v>
      </c>
      <c r="H528" s="2">
        <v>792.75</v>
      </c>
      <c r="I528" s="2">
        <v>2815.6700000000005</v>
      </c>
      <c r="J528" s="2">
        <v>2949.3399999999997</v>
      </c>
      <c r="K528" s="2">
        <v>1081.31</v>
      </c>
      <c r="L528" s="2">
        <v>11882.28999999999</v>
      </c>
      <c r="M528" t="s">
        <v>4400</v>
      </c>
      <c r="N528" t="s">
        <v>4400</v>
      </c>
    </row>
    <row r="529" spans="1:14" x14ac:dyDescent="0.4">
      <c r="A529" t="s">
        <v>1341</v>
      </c>
      <c r="B529" t="s">
        <v>183</v>
      </c>
      <c r="C529" t="s">
        <v>103</v>
      </c>
      <c r="D529" t="s">
        <v>104</v>
      </c>
      <c r="E529" s="2">
        <v>4121.7699999999995</v>
      </c>
      <c r="F529" s="2">
        <v>3711.7100000000009</v>
      </c>
      <c r="G529" s="2">
        <v>4255.3999999999978</v>
      </c>
      <c r="H529" s="2">
        <v>3532.4899999999989</v>
      </c>
      <c r="I529" s="2">
        <v>3441.3899999999985</v>
      </c>
      <c r="J529" s="2">
        <v>4519.6399999999985</v>
      </c>
      <c r="K529" s="2">
        <v>926.38</v>
      </c>
      <c r="L529" s="2">
        <v>24508.779999999988</v>
      </c>
      <c r="M529" t="s">
        <v>4400</v>
      </c>
      <c r="N529" t="s">
        <v>4400</v>
      </c>
    </row>
    <row r="530" spans="1:14" x14ac:dyDescent="0.4">
      <c r="A530" t="s">
        <v>1342</v>
      </c>
      <c r="B530" t="s">
        <v>1343</v>
      </c>
      <c r="C530" t="s">
        <v>279</v>
      </c>
      <c r="D530" t="s">
        <v>280</v>
      </c>
      <c r="E530" s="2">
        <v>4285.7299999999996</v>
      </c>
      <c r="F530" s="2">
        <v>3608.4199999999996</v>
      </c>
      <c r="G530" s="2">
        <v>3717.7699999999991</v>
      </c>
      <c r="H530" s="2">
        <v>3763.349999999999</v>
      </c>
      <c r="I530" s="2">
        <v>4033.7399999999993</v>
      </c>
      <c r="J530" s="2">
        <v>4556.0999999999995</v>
      </c>
      <c r="K530" s="2">
        <v>1582.47</v>
      </c>
      <c r="L530" s="2">
        <v>25547.58</v>
      </c>
      <c r="M530" t="s">
        <v>4400</v>
      </c>
      <c r="N530" t="s">
        <v>4400</v>
      </c>
    </row>
    <row r="531" spans="1:14" x14ac:dyDescent="0.4">
      <c r="A531" t="s">
        <v>1344</v>
      </c>
      <c r="B531" t="s">
        <v>828</v>
      </c>
      <c r="C531" t="s">
        <v>13</v>
      </c>
      <c r="D531" t="s">
        <v>14</v>
      </c>
      <c r="E531" s="2">
        <v>2190</v>
      </c>
      <c r="F531" s="2">
        <v>2193.0500000000006</v>
      </c>
      <c r="G531" s="2"/>
      <c r="H531" s="2"/>
      <c r="I531" s="2"/>
      <c r="J531" s="2"/>
      <c r="K531" s="2"/>
      <c r="L531" s="2">
        <v>4383.0499999999993</v>
      </c>
      <c r="M531" t="s">
        <v>4400</v>
      </c>
      <c r="N531" t="s">
        <v>4410</v>
      </c>
    </row>
    <row r="532" spans="1:14" x14ac:dyDescent="0.4">
      <c r="A532" t="s">
        <v>1345</v>
      </c>
      <c r="B532" t="s">
        <v>1346</v>
      </c>
      <c r="C532" t="s">
        <v>96</v>
      </c>
      <c r="D532" t="s">
        <v>1347</v>
      </c>
      <c r="E532" s="2">
        <v>1819.3899999999999</v>
      </c>
      <c r="F532" s="2">
        <v>1624.9799999999996</v>
      </c>
      <c r="G532" s="2">
        <v>3514.2299999999996</v>
      </c>
      <c r="H532" s="2">
        <v>3626.69</v>
      </c>
      <c r="I532" s="2">
        <v>2272</v>
      </c>
      <c r="J532" s="2">
        <v>2751.900000000001</v>
      </c>
      <c r="K532" s="2">
        <v>1634.1399999999999</v>
      </c>
      <c r="L532" s="2">
        <v>17243.32999999998</v>
      </c>
      <c r="M532" t="s">
        <v>4400</v>
      </c>
      <c r="N532" t="s">
        <v>4400</v>
      </c>
    </row>
    <row r="533" spans="1:14" x14ac:dyDescent="0.4">
      <c r="A533" t="s">
        <v>1348</v>
      </c>
      <c r="B533" t="s">
        <v>1349</v>
      </c>
      <c r="C533" t="s">
        <v>602</v>
      </c>
      <c r="D533" t="s">
        <v>894</v>
      </c>
      <c r="E533" s="2"/>
      <c r="F533" s="2"/>
      <c r="G533" s="2"/>
      <c r="H533" s="2"/>
      <c r="I533" s="2"/>
      <c r="J533" s="2">
        <v>1066.1399999999999</v>
      </c>
      <c r="K533" s="2"/>
      <c r="L533" s="2">
        <v>1066.1399999999999</v>
      </c>
      <c r="M533" t="s">
        <v>4405</v>
      </c>
      <c r="N533" t="s">
        <v>4406</v>
      </c>
    </row>
    <row r="534" spans="1:14" x14ac:dyDescent="0.4">
      <c r="A534" t="s">
        <v>1350</v>
      </c>
      <c r="B534" t="s">
        <v>1351</v>
      </c>
      <c r="C534" t="s">
        <v>310</v>
      </c>
      <c r="D534" t="s">
        <v>311</v>
      </c>
      <c r="E534" s="2">
        <v>3386.7899999999986</v>
      </c>
      <c r="F534" s="2">
        <v>2970.6400000000003</v>
      </c>
      <c r="G534" s="2">
        <v>2293.2399999999998</v>
      </c>
      <c r="H534" s="2">
        <v>3007.0200000000009</v>
      </c>
      <c r="I534" s="2">
        <v>3195.3600000000006</v>
      </c>
      <c r="J534" s="2">
        <v>4000.3500000000004</v>
      </c>
      <c r="K534" s="2">
        <v>865.67</v>
      </c>
      <c r="L534" s="2">
        <v>19719.069999999985</v>
      </c>
      <c r="M534" t="s">
        <v>4400</v>
      </c>
      <c r="N534" t="s">
        <v>4400</v>
      </c>
    </row>
    <row r="535" spans="1:14" x14ac:dyDescent="0.4">
      <c r="A535" t="s">
        <v>1352</v>
      </c>
      <c r="B535" t="s">
        <v>1353</v>
      </c>
      <c r="C535" t="s">
        <v>5</v>
      </c>
      <c r="D535" t="s">
        <v>1354</v>
      </c>
      <c r="E535" s="2"/>
      <c r="F535" s="2"/>
      <c r="G535" s="2"/>
      <c r="H535" s="2">
        <v>3575.0500000000006</v>
      </c>
      <c r="I535" s="2">
        <v>2478.4800000000005</v>
      </c>
      <c r="J535" s="2">
        <v>3492.97</v>
      </c>
      <c r="K535" s="2">
        <v>844.39</v>
      </c>
      <c r="L535" s="2">
        <v>10390.89</v>
      </c>
      <c r="M535" t="s">
        <v>4409</v>
      </c>
      <c r="N535" t="s">
        <v>4400</v>
      </c>
    </row>
    <row r="536" spans="1:14" x14ac:dyDescent="0.4">
      <c r="A536" t="s">
        <v>1355</v>
      </c>
      <c r="B536" t="s">
        <v>1356</v>
      </c>
      <c r="C536" t="s">
        <v>496</v>
      </c>
      <c r="D536" t="s">
        <v>1357</v>
      </c>
      <c r="E536" s="2">
        <v>4434.7</v>
      </c>
      <c r="F536" s="2">
        <v>2566.65</v>
      </c>
      <c r="G536" s="2">
        <v>6649.0499999999993</v>
      </c>
      <c r="H536" s="2">
        <v>4556.2500000000009</v>
      </c>
      <c r="I536" s="2">
        <v>6366.5600000000013</v>
      </c>
      <c r="J536" s="2">
        <v>4598.7299999999996</v>
      </c>
      <c r="K536" s="2">
        <v>2679.0399999999995</v>
      </c>
      <c r="L536" s="2">
        <v>31850.979999999981</v>
      </c>
      <c r="M536" t="s">
        <v>4400</v>
      </c>
      <c r="N536" t="s">
        <v>4400</v>
      </c>
    </row>
    <row r="537" spans="1:14" x14ac:dyDescent="0.4">
      <c r="A537" t="s">
        <v>1358</v>
      </c>
      <c r="B537" t="s">
        <v>1359</v>
      </c>
      <c r="C537" t="s">
        <v>113</v>
      </c>
      <c r="D537" t="s">
        <v>805</v>
      </c>
      <c r="E537" s="2">
        <v>1500.55</v>
      </c>
      <c r="F537" s="2">
        <v>886.92000000000007</v>
      </c>
      <c r="G537" s="2">
        <v>2314.4899999999998</v>
      </c>
      <c r="H537" s="2">
        <v>2940.21</v>
      </c>
      <c r="I537" s="2">
        <v>3058.6599999999994</v>
      </c>
      <c r="J537" s="2">
        <v>2982.7499999999995</v>
      </c>
      <c r="K537" s="2">
        <v>1731.35</v>
      </c>
      <c r="L537" s="2">
        <v>15414.929999999991</v>
      </c>
      <c r="M537" t="s">
        <v>4400</v>
      </c>
      <c r="N537" t="s">
        <v>4400</v>
      </c>
    </row>
    <row r="538" spans="1:14" x14ac:dyDescent="0.4">
      <c r="A538" t="s">
        <v>1360</v>
      </c>
      <c r="B538" t="s">
        <v>1361</v>
      </c>
      <c r="C538" t="s">
        <v>123</v>
      </c>
      <c r="D538" t="s">
        <v>1025</v>
      </c>
      <c r="E538" s="2">
        <v>4076.2699999999995</v>
      </c>
      <c r="F538" s="2">
        <v>3927.3700000000008</v>
      </c>
      <c r="G538" s="2">
        <v>4161.22</v>
      </c>
      <c r="H538" s="2">
        <v>3927.3200000000006</v>
      </c>
      <c r="I538" s="2">
        <v>3392.7500000000005</v>
      </c>
      <c r="J538" s="2">
        <v>4668.449999999998</v>
      </c>
      <c r="K538" s="2">
        <v>1473.12</v>
      </c>
      <c r="L538" s="2">
        <v>25626.499999999978</v>
      </c>
      <c r="M538" t="s">
        <v>4400</v>
      </c>
      <c r="N538" t="s">
        <v>4400</v>
      </c>
    </row>
    <row r="539" spans="1:14" x14ac:dyDescent="0.4">
      <c r="A539" t="s">
        <v>1362</v>
      </c>
      <c r="B539" t="s">
        <v>1363</v>
      </c>
      <c r="C539" t="s">
        <v>186</v>
      </c>
      <c r="D539" t="s">
        <v>187</v>
      </c>
      <c r="E539" s="2">
        <v>3596.28</v>
      </c>
      <c r="F539" s="2">
        <v>1682.74</v>
      </c>
      <c r="G539" s="2"/>
      <c r="H539" s="2">
        <v>2417.7099999999996</v>
      </c>
      <c r="I539" s="2">
        <v>4176.43</v>
      </c>
      <c r="J539" s="2">
        <v>4057.97</v>
      </c>
      <c r="K539" s="2"/>
      <c r="L539" s="2">
        <v>15931.130000000003</v>
      </c>
      <c r="M539" t="s">
        <v>4400</v>
      </c>
      <c r="N539" t="s">
        <v>4406</v>
      </c>
    </row>
    <row r="540" spans="1:14" x14ac:dyDescent="0.4">
      <c r="A540" t="s">
        <v>1364</v>
      </c>
      <c r="B540" t="s">
        <v>1365</v>
      </c>
      <c r="C540" t="s">
        <v>52</v>
      </c>
      <c r="D540" t="s">
        <v>156</v>
      </c>
      <c r="E540" s="2">
        <v>5944.0700000000015</v>
      </c>
      <c r="F540" s="2">
        <v>6654.84</v>
      </c>
      <c r="G540" s="2">
        <v>8273.65</v>
      </c>
      <c r="H540" s="2">
        <v>7089.15</v>
      </c>
      <c r="I540" s="2">
        <v>6642.5499999999993</v>
      </c>
      <c r="J540" s="2">
        <v>7903.1099999999951</v>
      </c>
      <c r="K540" s="2">
        <v>3137.5599999999995</v>
      </c>
      <c r="L540" s="2">
        <v>45644.930000000008</v>
      </c>
      <c r="M540" t="s">
        <v>4400</v>
      </c>
      <c r="N540" t="s">
        <v>4400</v>
      </c>
    </row>
    <row r="541" spans="1:14" x14ac:dyDescent="0.4">
      <c r="A541" t="s">
        <v>1366</v>
      </c>
      <c r="B541" t="s">
        <v>1367</v>
      </c>
      <c r="C541" t="s">
        <v>374</v>
      </c>
      <c r="D541" t="s">
        <v>1368</v>
      </c>
      <c r="E541" s="2">
        <v>3720.7900000000004</v>
      </c>
      <c r="F541" s="2">
        <v>1503.5399999999997</v>
      </c>
      <c r="G541" s="2"/>
      <c r="H541" s="2"/>
      <c r="I541" s="2"/>
      <c r="J541" s="2"/>
      <c r="K541" s="2"/>
      <c r="L541" s="2">
        <v>5224.3300000000017</v>
      </c>
      <c r="M541" t="s">
        <v>4400</v>
      </c>
      <c r="N541" t="s">
        <v>4410</v>
      </c>
    </row>
    <row r="542" spans="1:14" x14ac:dyDescent="0.4">
      <c r="A542" t="s">
        <v>1369</v>
      </c>
      <c r="B542" t="s">
        <v>1370</v>
      </c>
      <c r="C542" t="s">
        <v>390</v>
      </c>
      <c r="D542" t="s">
        <v>1371</v>
      </c>
      <c r="E542" s="2">
        <v>3289.559999999999</v>
      </c>
      <c r="F542" s="2">
        <v>2590.94</v>
      </c>
      <c r="G542" s="2">
        <v>3818.1100000000006</v>
      </c>
      <c r="H542" s="2">
        <v>4009.4299999999994</v>
      </c>
      <c r="I542" s="2">
        <v>4984.4699999999975</v>
      </c>
      <c r="J542" s="2">
        <v>3976.0099999999998</v>
      </c>
      <c r="K542" s="2">
        <v>804.93000000000006</v>
      </c>
      <c r="L542" s="2">
        <v>23473.449999999997</v>
      </c>
      <c r="M542" t="s">
        <v>4400</v>
      </c>
      <c r="N542" t="s">
        <v>4400</v>
      </c>
    </row>
    <row r="543" spans="1:14" x14ac:dyDescent="0.4">
      <c r="A543" t="s">
        <v>1372</v>
      </c>
      <c r="B543" t="s">
        <v>1373</v>
      </c>
      <c r="C543" t="s">
        <v>109</v>
      </c>
      <c r="D543" t="s">
        <v>1374</v>
      </c>
      <c r="E543" s="2">
        <v>2220.3599999999997</v>
      </c>
      <c r="F543" s="2">
        <v>2202.14</v>
      </c>
      <c r="G543" s="2">
        <v>747.21</v>
      </c>
      <c r="H543" s="2"/>
      <c r="I543" s="2"/>
      <c r="J543" s="2"/>
      <c r="K543" s="2"/>
      <c r="L543" s="2">
        <v>5169.71</v>
      </c>
      <c r="M543" t="s">
        <v>4400</v>
      </c>
      <c r="N543" t="s">
        <v>4403</v>
      </c>
    </row>
    <row r="544" spans="1:14" x14ac:dyDescent="0.4">
      <c r="A544" t="s">
        <v>1375</v>
      </c>
      <c r="B544" t="s">
        <v>1376</v>
      </c>
      <c r="C544" t="s">
        <v>64</v>
      </c>
      <c r="D544" t="s">
        <v>1377</v>
      </c>
      <c r="E544" s="2">
        <v>2399.5599999999995</v>
      </c>
      <c r="F544" s="2">
        <v>1509.5900000000001</v>
      </c>
      <c r="G544" s="2">
        <v>738.09</v>
      </c>
      <c r="H544" s="2">
        <v>1509.59</v>
      </c>
      <c r="I544" s="2">
        <v>2326.6600000000003</v>
      </c>
      <c r="J544" s="2">
        <v>732.01</v>
      </c>
      <c r="K544" s="2">
        <v>744.17</v>
      </c>
      <c r="L544" s="2">
        <v>9959.6699999999837</v>
      </c>
      <c r="M544" t="s">
        <v>4400</v>
      </c>
      <c r="N544" t="s">
        <v>4400</v>
      </c>
    </row>
    <row r="545" spans="1:14" x14ac:dyDescent="0.4">
      <c r="A545" t="s">
        <v>1378</v>
      </c>
      <c r="B545" t="s">
        <v>51</v>
      </c>
      <c r="C545" t="s">
        <v>52</v>
      </c>
      <c r="D545" t="s">
        <v>53</v>
      </c>
      <c r="E545" s="2">
        <v>2961.52</v>
      </c>
      <c r="F545" s="2">
        <v>2074.5499999999997</v>
      </c>
      <c r="G545" s="2">
        <v>2894.6999999999994</v>
      </c>
      <c r="H545" s="2">
        <v>3137.7099999999996</v>
      </c>
      <c r="I545" s="2">
        <v>4850.8599999999997</v>
      </c>
      <c r="J545" s="2">
        <v>2138.3700000000003</v>
      </c>
      <c r="K545" s="2">
        <v>1527.85</v>
      </c>
      <c r="L545" s="2">
        <v>19585.560000000005</v>
      </c>
      <c r="M545" t="s">
        <v>4400</v>
      </c>
      <c r="N545" t="s">
        <v>4400</v>
      </c>
    </row>
    <row r="546" spans="1:14" x14ac:dyDescent="0.4">
      <c r="A546" t="s">
        <v>1379</v>
      </c>
      <c r="B546" t="s">
        <v>1380</v>
      </c>
      <c r="C546" t="s">
        <v>447</v>
      </c>
      <c r="D546" t="s">
        <v>1381</v>
      </c>
      <c r="E546" s="2">
        <v>1485.27</v>
      </c>
      <c r="F546" s="2">
        <v>1448.8300000000002</v>
      </c>
      <c r="G546" s="2">
        <v>1467.0600000000002</v>
      </c>
      <c r="H546" s="2">
        <v>1555.1400000000003</v>
      </c>
      <c r="I546" s="2">
        <v>719.84999999999991</v>
      </c>
      <c r="J546" s="2"/>
      <c r="K546" s="2">
        <v>750.23</v>
      </c>
      <c r="L546" s="2">
        <v>7426.3799999999956</v>
      </c>
      <c r="M546" t="s">
        <v>4400</v>
      </c>
      <c r="N546" t="s">
        <v>4400</v>
      </c>
    </row>
    <row r="547" spans="1:14" x14ac:dyDescent="0.4">
      <c r="A547" t="s">
        <v>1382</v>
      </c>
      <c r="B547" t="s">
        <v>1383</v>
      </c>
      <c r="C547" t="s">
        <v>167</v>
      </c>
      <c r="D547" t="s">
        <v>1275</v>
      </c>
      <c r="E547" s="2"/>
      <c r="F547" s="2">
        <v>4304.05</v>
      </c>
      <c r="G547" s="2"/>
      <c r="H547" s="2"/>
      <c r="I547" s="2"/>
      <c r="J547" s="2"/>
      <c r="K547" s="2"/>
      <c r="L547" s="2">
        <v>4304.05</v>
      </c>
      <c r="M547" t="s">
        <v>4412</v>
      </c>
      <c r="N547" t="s">
        <v>4410</v>
      </c>
    </row>
    <row r="548" spans="1:14" x14ac:dyDescent="0.4">
      <c r="A548" t="s">
        <v>1384</v>
      </c>
      <c r="B548" t="s">
        <v>1385</v>
      </c>
      <c r="C548" t="s">
        <v>291</v>
      </c>
      <c r="D548" t="s">
        <v>295</v>
      </c>
      <c r="E548" s="2">
        <v>1609.8599999999997</v>
      </c>
      <c r="F548" s="2">
        <v>2029.0499999999997</v>
      </c>
      <c r="G548" s="2">
        <v>2733.72</v>
      </c>
      <c r="H548" s="2">
        <v>3061.7800000000007</v>
      </c>
      <c r="I548" s="2">
        <v>3401.92</v>
      </c>
      <c r="J548" s="2">
        <v>3198.4300000000003</v>
      </c>
      <c r="K548" s="2">
        <v>1801.2</v>
      </c>
      <c r="L548" s="2">
        <v>17835.959999999988</v>
      </c>
      <c r="M548" t="s">
        <v>4400</v>
      </c>
      <c r="N548" t="s">
        <v>4400</v>
      </c>
    </row>
    <row r="549" spans="1:14" x14ac:dyDescent="0.4">
      <c r="A549" t="s">
        <v>1386</v>
      </c>
      <c r="B549" t="s">
        <v>112</v>
      </c>
      <c r="C549" t="s">
        <v>113</v>
      </c>
      <c r="D549" t="s">
        <v>114</v>
      </c>
      <c r="E549" s="2"/>
      <c r="F549" s="2"/>
      <c r="G549" s="2"/>
      <c r="H549" s="2"/>
      <c r="I549" s="2"/>
      <c r="J549" s="2"/>
      <c r="K549" s="2">
        <v>722.93000000000006</v>
      </c>
      <c r="L549" s="2">
        <v>722.93000000000006</v>
      </c>
      <c r="M549" t="s">
        <v>4404</v>
      </c>
      <c r="N549" t="s">
        <v>4400</v>
      </c>
    </row>
    <row r="550" spans="1:14" x14ac:dyDescent="0.4">
      <c r="A550" t="s">
        <v>1387</v>
      </c>
      <c r="B550" t="s">
        <v>1388</v>
      </c>
      <c r="C550" t="s">
        <v>939</v>
      </c>
      <c r="D550" t="s">
        <v>940</v>
      </c>
      <c r="E550" s="2">
        <v>3590.1900000000005</v>
      </c>
      <c r="F550" s="2">
        <v>3003.9899999999993</v>
      </c>
      <c r="G550" s="2">
        <v>3672.24</v>
      </c>
      <c r="H550" s="2">
        <v>3377.6099999999992</v>
      </c>
      <c r="I550" s="2">
        <v>2979.7000000000003</v>
      </c>
      <c r="J550" s="2">
        <v>3839.2700000000004</v>
      </c>
      <c r="K550" s="2">
        <v>713.81</v>
      </c>
      <c r="L550" s="2">
        <v>21176.810000000009</v>
      </c>
      <c r="M550" t="s">
        <v>4400</v>
      </c>
      <c r="N550" t="s">
        <v>4400</v>
      </c>
    </row>
    <row r="551" spans="1:14" x14ac:dyDescent="0.4">
      <c r="A551" t="s">
        <v>1389</v>
      </c>
      <c r="B551" t="s">
        <v>1390</v>
      </c>
      <c r="C551" t="s">
        <v>35</v>
      </c>
      <c r="D551" t="s">
        <v>1212</v>
      </c>
      <c r="E551" s="2">
        <v>719.84</v>
      </c>
      <c r="F551" s="2"/>
      <c r="G551" s="2">
        <v>744.16000000000008</v>
      </c>
      <c r="H551" s="2"/>
      <c r="I551" s="2"/>
      <c r="J551" s="2"/>
      <c r="K551" s="2"/>
      <c r="L551" s="2">
        <v>1464</v>
      </c>
      <c r="M551" t="s">
        <v>4400</v>
      </c>
      <c r="N551" t="s">
        <v>4403</v>
      </c>
    </row>
    <row r="552" spans="1:14" x14ac:dyDescent="0.4">
      <c r="A552" t="s">
        <v>1391</v>
      </c>
      <c r="B552" t="s">
        <v>1392</v>
      </c>
      <c r="C552" t="s">
        <v>178</v>
      </c>
      <c r="D552" t="s">
        <v>179</v>
      </c>
      <c r="E552" s="2">
        <v>2475.6</v>
      </c>
      <c r="F552" s="2">
        <v>3304.8699999999985</v>
      </c>
      <c r="G552" s="2">
        <v>3693.6000000000004</v>
      </c>
      <c r="H552" s="2">
        <v>826.2</v>
      </c>
      <c r="I552" s="2">
        <v>1694.8999999999996</v>
      </c>
      <c r="J552" s="2">
        <v>1123.8799999999999</v>
      </c>
      <c r="K552" s="2">
        <v>1959.1699999999998</v>
      </c>
      <c r="L552" s="2">
        <v>15078.21999999999</v>
      </c>
      <c r="M552" t="s">
        <v>4400</v>
      </c>
      <c r="N552" t="s">
        <v>4400</v>
      </c>
    </row>
    <row r="553" spans="1:14" x14ac:dyDescent="0.4">
      <c r="A553" t="s">
        <v>1393</v>
      </c>
      <c r="B553" t="s">
        <v>1394</v>
      </c>
      <c r="C553" t="s">
        <v>410</v>
      </c>
      <c r="D553" t="s">
        <v>1395</v>
      </c>
      <c r="E553" s="2">
        <v>4522.7399999999989</v>
      </c>
      <c r="F553" s="2">
        <v>4091.4199999999996</v>
      </c>
      <c r="G553" s="2">
        <v>4058.0200000000004</v>
      </c>
      <c r="H553" s="2">
        <v>4027.6400000000008</v>
      </c>
      <c r="I553" s="2">
        <v>4328.3600000000006</v>
      </c>
      <c r="J553" s="2">
        <v>3228.8099999999995</v>
      </c>
      <c r="K553" s="2">
        <v>1576.4499999999998</v>
      </c>
      <c r="L553" s="2">
        <v>25833.439999999915</v>
      </c>
      <c r="M553" t="s">
        <v>4400</v>
      </c>
      <c r="N553" t="s">
        <v>4400</v>
      </c>
    </row>
    <row r="554" spans="1:14" x14ac:dyDescent="0.4">
      <c r="A554" t="s">
        <v>1396</v>
      </c>
      <c r="B554" t="s">
        <v>1397</v>
      </c>
      <c r="C554" t="s">
        <v>60</v>
      </c>
      <c r="D554" t="s">
        <v>61</v>
      </c>
      <c r="E554" s="2">
        <v>3523.3999999999996</v>
      </c>
      <c r="F554" s="2">
        <v>2402.6</v>
      </c>
      <c r="G554" s="2">
        <v>3265.26</v>
      </c>
      <c r="H554" s="2">
        <v>4753.63</v>
      </c>
      <c r="I554" s="2">
        <v>5145.5000000000009</v>
      </c>
      <c r="J554" s="2">
        <v>4446.8900000000003</v>
      </c>
      <c r="K554" s="2">
        <v>1676.69</v>
      </c>
      <c r="L554" s="2">
        <v>25213.969999999987</v>
      </c>
      <c r="M554" t="s">
        <v>4400</v>
      </c>
      <c r="N554" t="s">
        <v>4400</v>
      </c>
    </row>
    <row r="555" spans="1:14" x14ac:dyDescent="0.4">
      <c r="A555" t="s">
        <v>1398</v>
      </c>
      <c r="B555" t="s">
        <v>1235</v>
      </c>
      <c r="C555" t="s">
        <v>291</v>
      </c>
      <c r="D555" t="s">
        <v>1290</v>
      </c>
      <c r="E555" s="2">
        <v>3010.1099999999997</v>
      </c>
      <c r="F555" s="2">
        <v>2590.9499999999994</v>
      </c>
      <c r="G555" s="2">
        <v>3444.49</v>
      </c>
      <c r="H555" s="2">
        <v>6785.7200000000021</v>
      </c>
      <c r="I555" s="2">
        <v>3219.7799999999993</v>
      </c>
      <c r="J555" s="2">
        <v>5015.0499999999984</v>
      </c>
      <c r="K555" s="2">
        <v>2597.12</v>
      </c>
      <c r="L555" s="2">
        <v>26663.220000000027</v>
      </c>
      <c r="M555" t="s">
        <v>4400</v>
      </c>
      <c r="N555" t="s">
        <v>4400</v>
      </c>
    </row>
    <row r="556" spans="1:14" x14ac:dyDescent="0.4">
      <c r="A556" t="s">
        <v>1399</v>
      </c>
      <c r="B556" t="s">
        <v>1400</v>
      </c>
      <c r="C556" t="s">
        <v>167</v>
      </c>
      <c r="D556" t="s">
        <v>168</v>
      </c>
      <c r="E556" s="2">
        <v>2253.8799999999997</v>
      </c>
      <c r="F556" s="2">
        <v>2354.12</v>
      </c>
      <c r="G556" s="2">
        <v>3159.0799999999995</v>
      </c>
      <c r="H556" s="2">
        <v>5212.49</v>
      </c>
      <c r="I556" s="2">
        <v>3013.2499999999995</v>
      </c>
      <c r="J556" s="2">
        <v>3110.43</v>
      </c>
      <c r="K556" s="2">
        <v>2141.44</v>
      </c>
      <c r="L556" s="2">
        <v>21244.689999999991</v>
      </c>
      <c r="M556" t="s">
        <v>4400</v>
      </c>
      <c r="N556" t="s">
        <v>4400</v>
      </c>
    </row>
    <row r="557" spans="1:14" x14ac:dyDescent="0.4">
      <c r="A557" t="s">
        <v>1401</v>
      </c>
      <c r="B557" t="s">
        <v>1402</v>
      </c>
      <c r="C557" t="s">
        <v>27</v>
      </c>
      <c r="D557" t="s">
        <v>28</v>
      </c>
      <c r="E557" s="2"/>
      <c r="F557" s="2"/>
      <c r="G557" s="2"/>
      <c r="H557" s="2">
        <v>1761.7299999999996</v>
      </c>
      <c r="I557" s="2"/>
      <c r="J557" s="2"/>
      <c r="K557" s="2">
        <v>750.21999999999991</v>
      </c>
      <c r="L557" s="2">
        <v>2511.9499999999994</v>
      </c>
      <c r="M557" t="s">
        <v>4409</v>
      </c>
      <c r="N557" t="s">
        <v>4400</v>
      </c>
    </row>
    <row r="558" spans="1:14" x14ac:dyDescent="0.4">
      <c r="A558" t="s">
        <v>1403</v>
      </c>
      <c r="B558" t="s">
        <v>1404</v>
      </c>
      <c r="C558" t="s">
        <v>91</v>
      </c>
      <c r="D558" t="s">
        <v>92</v>
      </c>
      <c r="E558" s="2">
        <v>6758.19</v>
      </c>
      <c r="F558" s="2">
        <v>4780.8499999999995</v>
      </c>
      <c r="G558" s="2">
        <v>8258.619999999999</v>
      </c>
      <c r="H558" s="2">
        <v>4021.4199999999996</v>
      </c>
      <c r="I558" s="2">
        <v>4076.0200000000004</v>
      </c>
      <c r="J558" s="2">
        <v>5386.7199999999984</v>
      </c>
      <c r="K558" s="2"/>
      <c r="L558" s="2">
        <v>33281.820000000036</v>
      </c>
      <c r="M558" t="s">
        <v>4400</v>
      </c>
      <c r="N558" t="s">
        <v>4406</v>
      </c>
    </row>
    <row r="559" spans="1:14" x14ac:dyDescent="0.4">
      <c r="A559" t="s">
        <v>1405</v>
      </c>
      <c r="B559" t="s">
        <v>1406</v>
      </c>
      <c r="C559" t="s">
        <v>199</v>
      </c>
      <c r="D559" t="s">
        <v>217</v>
      </c>
      <c r="E559" s="2">
        <v>1661.47</v>
      </c>
      <c r="F559" s="2">
        <v>938.55</v>
      </c>
      <c r="G559" s="2"/>
      <c r="H559" s="2">
        <v>1822.46</v>
      </c>
      <c r="I559" s="2"/>
      <c r="J559" s="2"/>
      <c r="K559" s="2"/>
      <c r="L559" s="2">
        <v>4422.4800000000005</v>
      </c>
      <c r="M559" t="s">
        <v>4400</v>
      </c>
      <c r="N559" t="s">
        <v>4402</v>
      </c>
    </row>
    <row r="560" spans="1:14" x14ac:dyDescent="0.4">
      <c r="A560" t="s">
        <v>1407</v>
      </c>
      <c r="B560" t="s">
        <v>1408</v>
      </c>
      <c r="C560" t="s">
        <v>303</v>
      </c>
      <c r="D560" t="s">
        <v>1409</v>
      </c>
      <c r="E560" s="2">
        <v>5825.7999999999984</v>
      </c>
      <c r="F560" s="2">
        <v>5834.9400000000005</v>
      </c>
      <c r="G560" s="2">
        <v>5175.8200000000015</v>
      </c>
      <c r="H560" s="2">
        <v>6087.0800000000027</v>
      </c>
      <c r="I560" s="2">
        <v>4838.6800000000021</v>
      </c>
      <c r="J560" s="2">
        <v>3909.25</v>
      </c>
      <c r="K560" s="2">
        <v>1485.33</v>
      </c>
      <c r="L560" s="2">
        <v>33156.899999999936</v>
      </c>
      <c r="M560" t="s">
        <v>4400</v>
      </c>
      <c r="N560" t="s">
        <v>4400</v>
      </c>
    </row>
    <row r="561" spans="1:14" x14ac:dyDescent="0.4">
      <c r="A561" t="s">
        <v>1410</v>
      </c>
      <c r="B561" t="s">
        <v>1411</v>
      </c>
      <c r="C561" t="s">
        <v>9</v>
      </c>
      <c r="D561" t="s">
        <v>1412</v>
      </c>
      <c r="E561" s="2">
        <v>5859.5999999999985</v>
      </c>
      <c r="F561" s="2">
        <v>5923.8499999999995</v>
      </c>
      <c r="G561" s="2">
        <v>2963.21</v>
      </c>
      <c r="H561" s="2">
        <v>3520.8999999999992</v>
      </c>
      <c r="I561" s="2"/>
      <c r="J561" s="2">
        <v>719.59999999999991</v>
      </c>
      <c r="K561" s="2">
        <v>1601.1100000000001</v>
      </c>
      <c r="L561" s="2">
        <v>20588.270000000004</v>
      </c>
      <c r="M561" t="s">
        <v>4400</v>
      </c>
      <c r="N561" t="s">
        <v>4400</v>
      </c>
    </row>
    <row r="562" spans="1:14" x14ac:dyDescent="0.4">
      <c r="A562" t="s">
        <v>1413</v>
      </c>
      <c r="B562" t="s">
        <v>1414</v>
      </c>
      <c r="C562" t="s">
        <v>5</v>
      </c>
      <c r="D562" t="s">
        <v>135</v>
      </c>
      <c r="E562" s="2">
        <v>4765.7699999999995</v>
      </c>
      <c r="F562" s="2">
        <v>4161.32</v>
      </c>
      <c r="G562" s="2">
        <v>6214.6499999999978</v>
      </c>
      <c r="H562" s="2">
        <v>5185.07</v>
      </c>
      <c r="I562" s="2">
        <v>5233.6000000000022</v>
      </c>
      <c r="J562" s="2">
        <v>6248.130000000001</v>
      </c>
      <c r="K562" s="2">
        <v>3052.6800000000003</v>
      </c>
      <c r="L562" s="2">
        <v>34861.22</v>
      </c>
      <c r="M562" t="s">
        <v>4400</v>
      </c>
      <c r="N562" t="s">
        <v>4400</v>
      </c>
    </row>
    <row r="563" spans="1:14" x14ac:dyDescent="0.4">
      <c r="A563" t="s">
        <v>1415</v>
      </c>
      <c r="B563" t="s">
        <v>1032</v>
      </c>
      <c r="C563" t="s">
        <v>1</v>
      </c>
      <c r="D563" t="s">
        <v>1030</v>
      </c>
      <c r="E563" s="2">
        <v>7016.1000000000013</v>
      </c>
      <c r="F563" s="2">
        <v>4070.8799999999987</v>
      </c>
      <c r="G563" s="2">
        <v>5312.1900000000023</v>
      </c>
      <c r="H563" s="2">
        <v>7663.7400000000043</v>
      </c>
      <c r="I563" s="2">
        <v>2526.31</v>
      </c>
      <c r="J563" s="2">
        <v>9789.1300000000083</v>
      </c>
      <c r="K563" s="2">
        <v>2038.0099999999998</v>
      </c>
      <c r="L563" s="2">
        <v>38416.359999999993</v>
      </c>
      <c r="M563" t="s">
        <v>4400</v>
      </c>
      <c r="N563" t="s">
        <v>4400</v>
      </c>
    </row>
    <row r="564" spans="1:14" x14ac:dyDescent="0.4">
      <c r="A564" t="s">
        <v>1416</v>
      </c>
      <c r="B564" t="s">
        <v>1417</v>
      </c>
      <c r="C564" t="s">
        <v>1</v>
      </c>
      <c r="D564" t="s">
        <v>1030</v>
      </c>
      <c r="E564" s="2">
        <v>5566.6200000000008</v>
      </c>
      <c r="F564" s="2">
        <v>4286.76</v>
      </c>
      <c r="G564" s="2">
        <v>3813.8799999999987</v>
      </c>
      <c r="H564" s="2">
        <v>3675.099999999999</v>
      </c>
      <c r="I564" s="2">
        <v>3790.7499999999991</v>
      </c>
      <c r="J564" s="2">
        <v>2616.2599999999998</v>
      </c>
      <c r="K564" s="2"/>
      <c r="L564" s="2">
        <v>23749.370000000032</v>
      </c>
      <c r="M564" t="s">
        <v>4400</v>
      </c>
      <c r="N564" t="s">
        <v>4406</v>
      </c>
    </row>
    <row r="565" spans="1:14" x14ac:dyDescent="0.4">
      <c r="A565" t="s">
        <v>1418</v>
      </c>
      <c r="B565" t="s">
        <v>1419</v>
      </c>
      <c r="C565" t="s">
        <v>163</v>
      </c>
      <c r="D565" t="s">
        <v>618</v>
      </c>
      <c r="E565" s="2">
        <v>8410.56</v>
      </c>
      <c r="F565" s="2">
        <v>7866.8999999999969</v>
      </c>
      <c r="G565" s="2">
        <v>7599.6300000000037</v>
      </c>
      <c r="H565" s="2">
        <v>6867.59</v>
      </c>
      <c r="I565" s="2">
        <v>9577.0499999999993</v>
      </c>
      <c r="J565" s="2">
        <v>6029.3000000000011</v>
      </c>
      <c r="K565" s="2">
        <v>3040.4399999999996</v>
      </c>
      <c r="L565" s="2">
        <v>49391.470000000038</v>
      </c>
      <c r="M565" t="s">
        <v>4400</v>
      </c>
      <c r="N565" t="s">
        <v>4400</v>
      </c>
    </row>
    <row r="566" spans="1:14" x14ac:dyDescent="0.4">
      <c r="A566" t="s">
        <v>1420</v>
      </c>
      <c r="B566" t="s">
        <v>1421</v>
      </c>
      <c r="C566" t="s">
        <v>163</v>
      </c>
      <c r="D566" t="s">
        <v>164</v>
      </c>
      <c r="E566" s="2">
        <v>2897.7</v>
      </c>
      <c r="F566" s="2">
        <v>3001.01</v>
      </c>
      <c r="G566" s="2">
        <v>3086.0199999999995</v>
      </c>
      <c r="H566" s="2">
        <v>1831.5399999999997</v>
      </c>
      <c r="I566" s="2"/>
      <c r="J566" s="2"/>
      <c r="K566" s="2"/>
      <c r="L566" s="2">
        <v>10816.269999999991</v>
      </c>
      <c r="M566" t="s">
        <v>4400</v>
      </c>
      <c r="N566" t="s">
        <v>4402</v>
      </c>
    </row>
    <row r="567" spans="1:14" x14ac:dyDescent="0.4">
      <c r="A567" t="s">
        <v>1422</v>
      </c>
      <c r="B567" t="s">
        <v>1423</v>
      </c>
      <c r="C567" t="s">
        <v>64</v>
      </c>
      <c r="D567" t="s">
        <v>1424</v>
      </c>
      <c r="E567" s="2"/>
      <c r="F567" s="2">
        <v>2071.42</v>
      </c>
      <c r="G567" s="2">
        <v>2261.5999999999995</v>
      </c>
      <c r="H567" s="2">
        <v>979.17000000000019</v>
      </c>
      <c r="I567" s="2">
        <v>837.81999999999994</v>
      </c>
      <c r="J567" s="2">
        <v>1138.51</v>
      </c>
      <c r="K567" s="2"/>
      <c r="L567" s="2">
        <v>7288.5199999999995</v>
      </c>
      <c r="M567" t="s">
        <v>4412</v>
      </c>
      <c r="N567" t="s">
        <v>4406</v>
      </c>
    </row>
    <row r="568" spans="1:14" x14ac:dyDescent="0.4">
      <c r="A568" t="s">
        <v>1425</v>
      </c>
      <c r="B568" t="s">
        <v>1426</v>
      </c>
      <c r="C568" t="s">
        <v>64</v>
      </c>
      <c r="D568" t="s">
        <v>1427</v>
      </c>
      <c r="E568" s="2">
        <v>2821.86</v>
      </c>
      <c r="F568" s="2">
        <v>3757.3399999999988</v>
      </c>
      <c r="G568" s="2">
        <v>3762.4799999999987</v>
      </c>
      <c r="H568" s="2">
        <v>2667.6599999999994</v>
      </c>
      <c r="I568" s="2">
        <v>2883.54</v>
      </c>
      <c r="J568" s="2">
        <v>2711.349999999999</v>
      </c>
      <c r="K568" s="2">
        <v>930.33999999999992</v>
      </c>
      <c r="L568" s="2">
        <v>19534.570000000007</v>
      </c>
      <c r="M568" t="s">
        <v>4400</v>
      </c>
      <c r="N568" t="s">
        <v>4400</v>
      </c>
    </row>
    <row r="569" spans="1:14" x14ac:dyDescent="0.4">
      <c r="A569" t="s">
        <v>1428</v>
      </c>
      <c r="B569" t="s">
        <v>1429</v>
      </c>
      <c r="C569" t="s">
        <v>199</v>
      </c>
      <c r="D569" t="s">
        <v>203</v>
      </c>
      <c r="E569" s="2">
        <v>4130.9299999999985</v>
      </c>
      <c r="F569" s="2">
        <v>3854.5099999999993</v>
      </c>
      <c r="G569" s="2">
        <v>1552.1299999999999</v>
      </c>
      <c r="H569" s="2"/>
      <c r="I569" s="2"/>
      <c r="J569" s="2"/>
      <c r="K569" s="2"/>
      <c r="L569" s="2">
        <v>9537.5699999999961</v>
      </c>
      <c r="M569" t="s">
        <v>4400</v>
      </c>
      <c r="N569" t="s">
        <v>4403</v>
      </c>
    </row>
    <row r="570" spans="1:14" x14ac:dyDescent="0.4">
      <c r="A570" t="s">
        <v>1430</v>
      </c>
      <c r="B570" t="s">
        <v>1431</v>
      </c>
      <c r="C570" t="s">
        <v>310</v>
      </c>
      <c r="D570" t="s">
        <v>311</v>
      </c>
      <c r="E570" s="2">
        <v>3281.89</v>
      </c>
      <c r="F570" s="2">
        <v>2649.6699999999996</v>
      </c>
      <c r="G570" s="2">
        <v>4371.5700000000006</v>
      </c>
      <c r="H570" s="2">
        <v>3030.0299999999997</v>
      </c>
      <c r="I570" s="2">
        <v>4407.55</v>
      </c>
      <c r="J570" s="2">
        <v>1531.72</v>
      </c>
      <c r="K570" s="2">
        <v>1809.28</v>
      </c>
      <c r="L570" s="2">
        <v>21081.710000000017</v>
      </c>
      <c r="M570" t="s">
        <v>4400</v>
      </c>
      <c r="N570" t="s">
        <v>4400</v>
      </c>
    </row>
    <row r="571" spans="1:14" x14ac:dyDescent="0.4">
      <c r="A571" t="s">
        <v>1432</v>
      </c>
      <c r="B571" t="s">
        <v>1433</v>
      </c>
      <c r="C571" t="s">
        <v>755</v>
      </c>
      <c r="D571" t="s">
        <v>1434</v>
      </c>
      <c r="E571" s="2">
        <v>4252.5600000000004</v>
      </c>
      <c r="F571" s="2">
        <v>2955.52</v>
      </c>
      <c r="G571" s="2">
        <v>4696.0300000000007</v>
      </c>
      <c r="H571" s="2">
        <v>4313.3099999999995</v>
      </c>
      <c r="I571" s="2">
        <v>3447.64</v>
      </c>
      <c r="J571" s="2">
        <v>4896.5300000000007</v>
      </c>
      <c r="K571" s="2">
        <v>2499.87</v>
      </c>
      <c r="L571" s="2">
        <v>27061.459999999963</v>
      </c>
      <c r="M571" t="s">
        <v>4400</v>
      </c>
      <c r="N571" t="s">
        <v>4400</v>
      </c>
    </row>
    <row r="572" spans="1:14" x14ac:dyDescent="0.4">
      <c r="A572" t="s">
        <v>1435</v>
      </c>
      <c r="B572" t="s">
        <v>1436</v>
      </c>
      <c r="C572" t="s">
        <v>419</v>
      </c>
      <c r="D572" t="s">
        <v>420</v>
      </c>
      <c r="E572" s="2">
        <v>2970.6600000000003</v>
      </c>
      <c r="F572" s="2">
        <v>3587.2700000000004</v>
      </c>
      <c r="G572" s="2">
        <v>3435.39</v>
      </c>
      <c r="H572" s="2">
        <v>4504.5700000000006</v>
      </c>
      <c r="I572" s="2">
        <v>2551.4400000000005</v>
      </c>
      <c r="J572" s="2">
        <v>3529.5099999999998</v>
      </c>
      <c r="K572" s="2">
        <v>1652.3799999999999</v>
      </c>
      <c r="L572" s="2">
        <v>22231.219999999976</v>
      </c>
      <c r="M572" t="s">
        <v>4400</v>
      </c>
      <c r="N572" t="s">
        <v>4400</v>
      </c>
    </row>
    <row r="573" spans="1:14" x14ac:dyDescent="0.4">
      <c r="A573" t="s">
        <v>1437</v>
      </c>
      <c r="B573" t="s">
        <v>1438</v>
      </c>
      <c r="C573" t="s">
        <v>696</v>
      </c>
      <c r="D573" t="s">
        <v>1439</v>
      </c>
      <c r="E573" s="2">
        <v>3510.6199999999994</v>
      </c>
      <c r="F573" s="2">
        <v>2348.98</v>
      </c>
      <c r="G573" s="2">
        <v>3006.8999999999996</v>
      </c>
      <c r="H573" s="2">
        <v>1940.35</v>
      </c>
      <c r="I573" s="2">
        <v>4307.32</v>
      </c>
      <c r="J573" s="2">
        <v>3202.22</v>
      </c>
      <c r="K573" s="2">
        <v>2068.85</v>
      </c>
      <c r="L573" s="2">
        <v>20385.239999999998</v>
      </c>
      <c r="M573" t="s">
        <v>4400</v>
      </c>
      <c r="N573" t="s">
        <v>4400</v>
      </c>
    </row>
    <row r="574" spans="1:14" x14ac:dyDescent="0.4">
      <c r="A574" t="s">
        <v>1440</v>
      </c>
      <c r="B574" t="s">
        <v>340</v>
      </c>
      <c r="C574" t="s">
        <v>337</v>
      </c>
      <c r="D574" t="s">
        <v>1441</v>
      </c>
      <c r="E574" s="2">
        <v>2551.4899999999998</v>
      </c>
      <c r="F574" s="2">
        <v>4616.93</v>
      </c>
      <c r="G574" s="2">
        <v>4313.1299999999992</v>
      </c>
      <c r="H574" s="2">
        <v>3553.7700000000004</v>
      </c>
      <c r="I574" s="2">
        <v>3265.3299999999995</v>
      </c>
      <c r="J574" s="2">
        <v>3896.9999999999986</v>
      </c>
      <c r="K574" s="2">
        <v>1454.92</v>
      </c>
      <c r="L574" s="2">
        <v>23652.570000000018</v>
      </c>
      <c r="M574" t="s">
        <v>4400</v>
      </c>
      <c r="N574" t="s">
        <v>4400</v>
      </c>
    </row>
    <row r="575" spans="1:14" x14ac:dyDescent="0.4">
      <c r="A575" t="s">
        <v>1442</v>
      </c>
      <c r="B575" t="s">
        <v>1443</v>
      </c>
      <c r="C575" t="s">
        <v>447</v>
      </c>
      <c r="D575" t="s">
        <v>1381</v>
      </c>
      <c r="E575" s="2">
        <v>2860.4100000000008</v>
      </c>
      <c r="F575" s="2">
        <v>1593.3999999999999</v>
      </c>
      <c r="G575" s="2">
        <v>1593.3999999999999</v>
      </c>
      <c r="H575" s="2">
        <v>2109.9699999999998</v>
      </c>
      <c r="I575" s="2">
        <v>1513.7299999999998</v>
      </c>
      <c r="J575" s="2">
        <v>745.3</v>
      </c>
      <c r="K575" s="2"/>
      <c r="L575" s="2">
        <v>10416.210000000003</v>
      </c>
      <c r="M575" t="s">
        <v>4400</v>
      </c>
      <c r="N575" t="s">
        <v>4406</v>
      </c>
    </row>
    <row r="576" spans="1:14" x14ac:dyDescent="0.4">
      <c r="A576" t="s">
        <v>1444</v>
      </c>
      <c r="B576" t="s">
        <v>1445</v>
      </c>
      <c r="C576" t="s">
        <v>1</v>
      </c>
      <c r="D576" t="s">
        <v>85</v>
      </c>
      <c r="E576" s="2">
        <v>1488.33</v>
      </c>
      <c r="F576" s="2">
        <v>2314.5300000000002</v>
      </c>
      <c r="G576" s="2">
        <v>2870.32</v>
      </c>
      <c r="H576" s="2">
        <v>3013.12</v>
      </c>
      <c r="I576" s="2">
        <v>3010.059999999999</v>
      </c>
      <c r="J576" s="2">
        <v>2466.39</v>
      </c>
      <c r="K576" s="2">
        <v>747.21</v>
      </c>
      <c r="L576" s="2">
        <v>15909.959999999974</v>
      </c>
      <c r="M576" t="s">
        <v>4400</v>
      </c>
      <c r="N576" t="s">
        <v>4400</v>
      </c>
    </row>
    <row r="577" spans="1:14" x14ac:dyDescent="0.4">
      <c r="A577" t="s">
        <v>1446</v>
      </c>
      <c r="B577" t="s">
        <v>1447</v>
      </c>
      <c r="C577" t="s">
        <v>244</v>
      </c>
      <c r="D577" t="s">
        <v>1448</v>
      </c>
      <c r="E577" s="2">
        <v>840.39</v>
      </c>
      <c r="F577" s="2">
        <v>2713.9199999999996</v>
      </c>
      <c r="G577" s="2">
        <v>2765.3199999999993</v>
      </c>
      <c r="H577" s="2">
        <v>3898.6899999999987</v>
      </c>
      <c r="I577" s="2">
        <v>737.58999999999992</v>
      </c>
      <c r="J577" s="2">
        <v>1716.7599999999998</v>
      </c>
      <c r="K577" s="2">
        <v>842.95999999999981</v>
      </c>
      <c r="L577" s="2">
        <v>13515.630000000021</v>
      </c>
      <c r="M577" t="s">
        <v>4400</v>
      </c>
      <c r="N577" t="s">
        <v>4400</v>
      </c>
    </row>
    <row r="578" spans="1:14" x14ac:dyDescent="0.4">
      <c r="A578" t="s">
        <v>1449</v>
      </c>
      <c r="B578" t="s">
        <v>1450</v>
      </c>
      <c r="C578" t="s">
        <v>96</v>
      </c>
      <c r="D578" t="s">
        <v>1010</v>
      </c>
      <c r="E578" s="2"/>
      <c r="F578" s="2">
        <v>722.90000000000009</v>
      </c>
      <c r="G578" s="2"/>
      <c r="H578" s="2">
        <v>2059.35</v>
      </c>
      <c r="I578" s="2">
        <v>1792.0900000000001</v>
      </c>
      <c r="J578" s="2"/>
      <c r="K578" s="2"/>
      <c r="L578" s="2">
        <v>4574.3399999999992</v>
      </c>
      <c r="M578" t="s">
        <v>4412</v>
      </c>
      <c r="N578" t="s">
        <v>4401</v>
      </c>
    </row>
    <row r="579" spans="1:14" x14ac:dyDescent="0.4">
      <c r="A579" t="s">
        <v>1451</v>
      </c>
      <c r="B579" t="s">
        <v>1452</v>
      </c>
      <c r="C579" t="s">
        <v>13</v>
      </c>
      <c r="D579" t="s">
        <v>14</v>
      </c>
      <c r="E579" s="2">
        <v>8431.7899999999972</v>
      </c>
      <c r="F579" s="2">
        <v>7441.6199999999981</v>
      </c>
      <c r="G579" s="2">
        <v>7818.25</v>
      </c>
      <c r="H579" s="2">
        <v>6767.329999999999</v>
      </c>
      <c r="I579" s="2">
        <v>6059.65</v>
      </c>
      <c r="J579" s="2">
        <v>5342.8899999999985</v>
      </c>
      <c r="K579" s="2">
        <v>4300.9399999999996</v>
      </c>
      <c r="L579" s="2">
        <v>46162.469999999979</v>
      </c>
      <c r="M579" t="s">
        <v>4400</v>
      </c>
      <c r="N579" t="s">
        <v>4400</v>
      </c>
    </row>
    <row r="580" spans="1:14" x14ac:dyDescent="0.4">
      <c r="A580" t="s">
        <v>1453</v>
      </c>
      <c r="B580" t="s">
        <v>1454</v>
      </c>
      <c r="C580" t="s">
        <v>258</v>
      </c>
      <c r="D580" t="s">
        <v>1455</v>
      </c>
      <c r="E580" s="2">
        <v>3982.0100000000007</v>
      </c>
      <c r="F580" s="2">
        <v>3049.5400000000004</v>
      </c>
      <c r="G580" s="2">
        <v>3808.9000000000005</v>
      </c>
      <c r="H580" s="2">
        <v>3757.2300000000005</v>
      </c>
      <c r="I580" s="2">
        <v>4130.8500000000004</v>
      </c>
      <c r="J580" s="2">
        <v>7241.0300000000016</v>
      </c>
      <c r="K580" s="2">
        <v>2429.91</v>
      </c>
      <c r="L580" s="2">
        <v>28399.469999999968</v>
      </c>
      <c r="M580" t="s">
        <v>4400</v>
      </c>
      <c r="N580" t="s">
        <v>4400</v>
      </c>
    </row>
    <row r="581" spans="1:14" x14ac:dyDescent="0.4">
      <c r="A581" t="s">
        <v>1456</v>
      </c>
      <c r="B581" t="s">
        <v>1457</v>
      </c>
      <c r="C581" t="s">
        <v>64</v>
      </c>
      <c r="D581" t="s">
        <v>545</v>
      </c>
      <c r="E581" s="2">
        <v>3110.1999999999994</v>
      </c>
      <c r="F581" s="2">
        <v>2405.5499999999997</v>
      </c>
      <c r="G581" s="2">
        <v>2405.5500000000002</v>
      </c>
      <c r="H581" s="2">
        <v>1591.55</v>
      </c>
      <c r="I581" s="2">
        <v>801.84</v>
      </c>
      <c r="J581" s="2">
        <v>3808.8099999999995</v>
      </c>
      <c r="K581" s="2">
        <v>965.88</v>
      </c>
      <c r="L581" s="2">
        <v>15089.380000000005</v>
      </c>
      <c r="M581" t="s">
        <v>4400</v>
      </c>
      <c r="N581" t="s">
        <v>4400</v>
      </c>
    </row>
    <row r="582" spans="1:14" x14ac:dyDescent="0.4">
      <c r="A582" t="s">
        <v>1458</v>
      </c>
      <c r="B582" t="s">
        <v>1459</v>
      </c>
      <c r="C582" t="s">
        <v>267</v>
      </c>
      <c r="D582" t="s">
        <v>988</v>
      </c>
      <c r="E582" s="2">
        <v>2927.2299999999991</v>
      </c>
      <c r="F582" s="2">
        <v>2914.3799999999997</v>
      </c>
      <c r="G582" s="2">
        <v>2988.9099999999985</v>
      </c>
      <c r="H582" s="2">
        <v>1495.7399999999996</v>
      </c>
      <c r="I582" s="2">
        <v>3651.9699999999989</v>
      </c>
      <c r="J582" s="2">
        <v>2878.3999999999987</v>
      </c>
      <c r="K582" s="2">
        <v>1459.76</v>
      </c>
      <c r="L582" s="2">
        <v>18316.390000000021</v>
      </c>
      <c r="M582" t="s">
        <v>4400</v>
      </c>
      <c r="N582" t="s">
        <v>4400</v>
      </c>
    </row>
    <row r="583" spans="1:14" x14ac:dyDescent="0.4">
      <c r="A583" t="s">
        <v>1460</v>
      </c>
      <c r="B583" t="s">
        <v>1461</v>
      </c>
      <c r="C583" t="s">
        <v>374</v>
      </c>
      <c r="D583" t="s">
        <v>1462</v>
      </c>
      <c r="E583" s="2">
        <v>3623.7199999999989</v>
      </c>
      <c r="F583" s="2">
        <v>2584.89</v>
      </c>
      <c r="G583" s="2">
        <v>2840.0699999999993</v>
      </c>
      <c r="H583" s="2">
        <v>2068.5500000000002</v>
      </c>
      <c r="I583" s="2">
        <v>1479.2700000000002</v>
      </c>
      <c r="J583" s="2">
        <v>1558.2300000000002</v>
      </c>
      <c r="K583" s="2">
        <v>771.54999999999984</v>
      </c>
      <c r="L583" s="2">
        <v>14926.279999999992</v>
      </c>
      <c r="M583" t="s">
        <v>4400</v>
      </c>
      <c r="N583" t="s">
        <v>4400</v>
      </c>
    </row>
    <row r="584" spans="1:14" x14ac:dyDescent="0.4">
      <c r="A584" t="s">
        <v>1463</v>
      </c>
      <c r="B584" t="s">
        <v>1464</v>
      </c>
      <c r="C584" t="s">
        <v>19</v>
      </c>
      <c r="D584" t="s">
        <v>20</v>
      </c>
      <c r="E584" s="2">
        <v>838.29</v>
      </c>
      <c r="F584" s="2">
        <v>905.11999999999989</v>
      </c>
      <c r="G584" s="2"/>
      <c r="H584" s="2"/>
      <c r="I584" s="2"/>
      <c r="J584" s="2"/>
      <c r="K584" s="2"/>
      <c r="L584" s="2">
        <v>1743.4099999999996</v>
      </c>
      <c r="M584" t="s">
        <v>4400</v>
      </c>
      <c r="N584" t="s">
        <v>4410</v>
      </c>
    </row>
    <row r="585" spans="1:14" x14ac:dyDescent="0.4">
      <c r="A585" t="s">
        <v>1465</v>
      </c>
      <c r="B585" t="s">
        <v>1466</v>
      </c>
      <c r="C585" t="s">
        <v>64</v>
      </c>
      <c r="D585" t="s">
        <v>545</v>
      </c>
      <c r="E585" s="2">
        <v>6703.670000000001</v>
      </c>
      <c r="F585" s="2">
        <v>6278.420000000001</v>
      </c>
      <c r="G585" s="2">
        <v>7730.35</v>
      </c>
      <c r="H585" s="2">
        <v>6275.38</v>
      </c>
      <c r="I585" s="2">
        <v>6111.3499999999995</v>
      </c>
      <c r="J585" s="2">
        <v>7195.7800000000025</v>
      </c>
      <c r="K585" s="2">
        <v>3004.05</v>
      </c>
      <c r="L585" s="2">
        <v>43298.999999999985</v>
      </c>
      <c r="M585" t="s">
        <v>4400</v>
      </c>
      <c r="N585" t="s">
        <v>4400</v>
      </c>
    </row>
    <row r="586" spans="1:14" x14ac:dyDescent="0.4">
      <c r="A586" t="s">
        <v>1467</v>
      </c>
      <c r="B586" t="s">
        <v>1468</v>
      </c>
      <c r="C586" t="s">
        <v>27</v>
      </c>
      <c r="D586" t="s">
        <v>1333</v>
      </c>
      <c r="E586" s="2">
        <v>1400</v>
      </c>
      <c r="F586" s="2">
        <v>616</v>
      </c>
      <c r="G586" s="2"/>
      <c r="H586" s="2"/>
      <c r="I586" s="2"/>
      <c r="J586" s="2"/>
      <c r="K586" s="2"/>
      <c r="L586" s="2">
        <v>2016</v>
      </c>
      <c r="M586" t="s">
        <v>4400</v>
      </c>
      <c r="N586" t="s">
        <v>4410</v>
      </c>
    </row>
    <row r="587" spans="1:14" x14ac:dyDescent="0.4">
      <c r="A587" t="s">
        <v>1469</v>
      </c>
      <c r="B587" t="s">
        <v>1470</v>
      </c>
      <c r="C587" t="s">
        <v>60</v>
      </c>
      <c r="D587" t="s">
        <v>1471</v>
      </c>
      <c r="E587" s="2">
        <v>2657.7999999999993</v>
      </c>
      <c r="F587" s="2">
        <v>3444.5099999999993</v>
      </c>
      <c r="G587" s="2">
        <v>2590.9699999999998</v>
      </c>
      <c r="H587" s="2">
        <v>3629.82</v>
      </c>
      <c r="I587" s="2">
        <v>4188.7</v>
      </c>
      <c r="J587" s="2">
        <v>3119.4799999999996</v>
      </c>
      <c r="K587" s="2">
        <v>1459.7599999999998</v>
      </c>
      <c r="L587" s="2">
        <v>21091.039999999979</v>
      </c>
      <c r="M587" t="s">
        <v>4400</v>
      </c>
      <c r="N587" t="s">
        <v>4400</v>
      </c>
    </row>
    <row r="588" spans="1:14" x14ac:dyDescent="0.4">
      <c r="A588" t="s">
        <v>1472</v>
      </c>
      <c r="B588" t="s">
        <v>1473</v>
      </c>
      <c r="C588" t="s">
        <v>178</v>
      </c>
      <c r="D588" t="s">
        <v>179</v>
      </c>
      <c r="E588" s="2"/>
      <c r="F588" s="2">
        <v>993.26</v>
      </c>
      <c r="G588" s="2"/>
      <c r="H588" s="2"/>
      <c r="I588" s="2">
        <v>993.26</v>
      </c>
      <c r="J588" s="2">
        <v>914.25</v>
      </c>
      <c r="K588" s="2">
        <v>777.59</v>
      </c>
      <c r="L588" s="2">
        <v>3678.36</v>
      </c>
      <c r="M588" t="s">
        <v>4412</v>
      </c>
      <c r="N588" t="s">
        <v>4400</v>
      </c>
    </row>
    <row r="589" spans="1:14" x14ac:dyDescent="0.4">
      <c r="A589" t="s">
        <v>1474</v>
      </c>
      <c r="B589" t="s">
        <v>1475</v>
      </c>
      <c r="C589" t="s">
        <v>178</v>
      </c>
      <c r="D589" t="s">
        <v>179</v>
      </c>
      <c r="E589" s="2">
        <v>4605.4400000000005</v>
      </c>
      <c r="F589" s="2">
        <v>732.44999999999993</v>
      </c>
      <c r="G589" s="2"/>
      <c r="H589" s="2"/>
      <c r="I589" s="2"/>
      <c r="J589" s="2"/>
      <c r="K589" s="2"/>
      <c r="L589" s="2">
        <v>5337.8900000000021</v>
      </c>
      <c r="M589" t="s">
        <v>4400</v>
      </c>
      <c r="N589" t="s">
        <v>4410</v>
      </c>
    </row>
    <row r="590" spans="1:14" x14ac:dyDescent="0.4">
      <c r="A590" t="s">
        <v>1476</v>
      </c>
      <c r="B590" t="s">
        <v>1477</v>
      </c>
      <c r="C590" t="s">
        <v>423</v>
      </c>
      <c r="D590" t="s">
        <v>424</v>
      </c>
      <c r="E590" s="2">
        <v>3307.6900000000005</v>
      </c>
      <c r="F590" s="2">
        <v>4671.4699999999993</v>
      </c>
      <c r="G590" s="2">
        <v>4698.8300000000008</v>
      </c>
      <c r="H590" s="2">
        <v>4206.79</v>
      </c>
      <c r="I590" s="2">
        <v>5388.3499999999995</v>
      </c>
      <c r="J590" s="2">
        <v>5111.9299999999994</v>
      </c>
      <c r="K590" s="2">
        <v>1318.24</v>
      </c>
      <c r="L590" s="2">
        <v>28703.3</v>
      </c>
      <c r="M590" t="s">
        <v>4400</v>
      </c>
      <c r="N590" t="s">
        <v>4400</v>
      </c>
    </row>
    <row r="591" spans="1:14" x14ac:dyDescent="0.4">
      <c r="A591" t="s">
        <v>1478</v>
      </c>
      <c r="B591" t="s">
        <v>1479</v>
      </c>
      <c r="C591" t="s">
        <v>178</v>
      </c>
      <c r="D591" t="s">
        <v>558</v>
      </c>
      <c r="E591" s="2">
        <v>3089.1</v>
      </c>
      <c r="F591" s="2">
        <v>3745.19</v>
      </c>
      <c r="G591" s="2">
        <v>6800.9</v>
      </c>
      <c r="H591" s="2">
        <v>4750.6299999999992</v>
      </c>
      <c r="I591" s="2">
        <v>5801.5499999999993</v>
      </c>
      <c r="J591" s="2">
        <v>4525.9399999999996</v>
      </c>
      <c r="K591" s="2">
        <v>2624.3600000000006</v>
      </c>
      <c r="L591" s="2">
        <v>31337.670000000013</v>
      </c>
      <c r="M591" t="s">
        <v>4400</v>
      </c>
      <c r="N591" t="s">
        <v>4400</v>
      </c>
    </row>
    <row r="592" spans="1:14" x14ac:dyDescent="0.4">
      <c r="A592" t="s">
        <v>1480</v>
      </c>
      <c r="B592" t="s">
        <v>1481</v>
      </c>
      <c r="C592" t="s">
        <v>113</v>
      </c>
      <c r="D592" t="s">
        <v>120</v>
      </c>
      <c r="E592" s="2">
        <v>5151.579999999999</v>
      </c>
      <c r="F592" s="2">
        <v>5358.1199999999981</v>
      </c>
      <c r="G592" s="2">
        <v>5965.6399999999985</v>
      </c>
      <c r="H592" s="2">
        <v>4926.7999999999993</v>
      </c>
      <c r="I592" s="2">
        <v>5273.0599999999995</v>
      </c>
      <c r="J592" s="2">
        <v>6275.4199999999992</v>
      </c>
      <c r="K592" s="2">
        <v>2442.12</v>
      </c>
      <c r="L592" s="2">
        <v>35392.74</v>
      </c>
      <c r="M592" t="s">
        <v>4400</v>
      </c>
      <c r="N592" t="s">
        <v>4400</v>
      </c>
    </row>
    <row r="593" spans="1:14" x14ac:dyDescent="0.4">
      <c r="A593" t="s">
        <v>1482</v>
      </c>
      <c r="B593" t="s">
        <v>1483</v>
      </c>
      <c r="C593" t="s">
        <v>310</v>
      </c>
      <c r="D593" t="s">
        <v>314</v>
      </c>
      <c r="E593" s="2">
        <v>4142.9399999999996</v>
      </c>
      <c r="F593" s="2"/>
      <c r="G593" s="2"/>
      <c r="H593" s="2"/>
      <c r="I593" s="2"/>
      <c r="J593" s="2"/>
      <c r="K593" s="2"/>
      <c r="L593" s="2">
        <v>4142.9399999999996</v>
      </c>
      <c r="M593" t="s">
        <v>4400</v>
      </c>
      <c r="N593" t="s">
        <v>4407</v>
      </c>
    </row>
    <row r="594" spans="1:14" x14ac:dyDescent="0.4">
      <c r="A594" t="s">
        <v>1484</v>
      </c>
      <c r="B594" t="s">
        <v>1485</v>
      </c>
      <c r="C594" t="s">
        <v>279</v>
      </c>
      <c r="D594" t="s">
        <v>1190</v>
      </c>
      <c r="E594" s="2">
        <v>3930.43</v>
      </c>
      <c r="F594" s="2">
        <v>3095.15</v>
      </c>
      <c r="G594" s="2">
        <v>3723.9199999999992</v>
      </c>
      <c r="H594" s="2">
        <v>4067.1299999999992</v>
      </c>
      <c r="I594" s="2">
        <v>4720.1600000000008</v>
      </c>
      <c r="J594" s="2">
        <v>3559.86</v>
      </c>
      <c r="K594" s="2">
        <v>1953.09</v>
      </c>
      <c r="L594" s="2">
        <v>25049.739999999972</v>
      </c>
      <c r="M594" t="s">
        <v>4400</v>
      </c>
      <c r="N594" t="s">
        <v>4400</v>
      </c>
    </row>
    <row r="595" spans="1:14" x14ac:dyDescent="0.4">
      <c r="A595" t="s">
        <v>1486</v>
      </c>
      <c r="B595" t="s">
        <v>1487</v>
      </c>
      <c r="C595" t="s">
        <v>113</v>
      </c>
      <c r="D595" t="s">
        <v>1488</v>
      </c>
      <c r="E595" s="2">
        <v>2381.3300000000004</v>
      </c>
      <c r="F595" s="2">
        <v>1655.4199999999996</v>
      </c>
      <c r="G595" s="2">
        <v>2599.9999999999995</v>
      </c>
      <c r="H595" s="2">
        <v>3034.3500000000004</v>
      </c>
      <c r="I595" s="2">
        <v>2074.54</v>
      </c>
      <c r="J595" s="2"/>
      <c r="K595" s="2"/>
      <c r="L595" s="2">
        <v>11745.639999999992</v>
      </c>
      <c r="M595" t="s">
        <v>4400</v>
      </c>
      <c r="N595" t="s">
        <v>4401</v>
      </c>
    </row>
    <row r="596" spans="1:14" x14ac:dyDescent="0.4">
      <c r="A596" t="s">
        <v>1489</v>
      </c>
      <c r="B596" t="s">
        <v>1490</v>
      </c>
      <c r="C596" t="s">
        <v>496</v>
      </c>
      <c r="D596" t="s">
        <v>497</v>
      </c>
      <c r="E596" s="2">
        <v>3055.73</v>
      </c>
      <c r="F596" s="2">
        <v>3790.7499999999991</v>
      </c>
      <c r="G596" s="2">
        <v>4721.0899999999983</v>
      </c>
      <c r="H596" s="2">
        <v>3957.7999999999988</v>
      </c>
      <c r="I596" s="2"/>
      <c r="J596" s="2"/>
      <c r="K596" s="2"/>
      <c r="L596" s="2">
        <v>15525.370000000014</v>
      </c>
      <c r="M596" t="s">
        <v>4400</v>
      </c>
      <c r="N596" t="s">
        <v>4402</v>
      </c>
    </row>
    <row r="597" spans="1:14" x14ac:dyDescent="0.4">
      <c r="A597" t="s">
        <v>1491</v>
      </c>
      <c r="B597" t="s">
        <v>794</v>
      </c>
      <c r="C597" t="s">
        <v>462</v>
      </c>
      <c r="D597" t="s">
        <v>1492</v>
      </c>
      <c r="E597" s="2">
        <v>2505.8599999999997</v>
      </c>
      <c r="F597" s="2">
        <v>2578.7599999999998</v>
      </c>
      <c r="G597" s="2"/>
      <c r="H597" s="2"/>
      <c r="I597" s="2"/>
      <c r="J597" s="2"/>
      <c r="K597" s="2"/>
      <c r="L597" s="2">
        <v>5084.6199999999944</v>
      </c>
      <c r="M597" t="s">
        <v>4400</v>
      </c>
      <c r="N597" t="s">
        <v>4410</v>
      </c>
    </row>
    <row r="598" spans="1:14" x14ac:dyDescent="0.4">
      <c r="A598" t="s">
        <v>1493</v>
      </c>
      <c r="B598" t="s">
        <v>1494</v>
      </c>
      <c r="C598" t="s">
        <v>9</v>
      </c>
      <c r="D598" t="s">
        <v>1495</v>
      </c>
      <c r="E598" s="2">
        <v>2906.7599999999998</v>
      </c>
      <c r="F598" s="2">
        <v>3149.7799999999997</v>
      </c>
      <c r="G598" s="2">
        <v>3969.8900000000003</v>
      </c>
      <c r="H598" s="2">
        <v>2918.92</v>
      </c>
      <c r="I598" s="2">
        <v>2405.6099999999997</v>
      </c>
      <c r="J598" s="2">
        <v>3821.0499999999997</v>
      </c>
      <c r="K598" s="2">
        <v>1482.26</v>
      </c>
      <c r="L598" s="2">
        <v>20654.269999999982</v>
      </c>
      <c r="M598" t="s">
        <v>4400</v>
      </c>
      <c r="N598" t="s">
        <v>4400</v>
      </c>
    </row>
    <row r="599" spans="1:14" x14ac:dyDescent="0.4">
      <c r="A599" t="s">
        <v>1496</v>
      </c>
      <c r="B599" t="s">
        <v>1235</v>
      </c>
      <c r="C599" t="s">
        <v>674</v>
      </c>
      <c r="D599" t="s">
        <v>1497</v>
      </c>
      <c r="E599" s="2">
        <v>4513.6799999999994</v>
      </c>
      <c r="F599" s="2">
        <v>1190.71</v>
      </c>
      <c r="G599" s="2"/>
      <c r="H599" s="2">
        <v>5175.83</v>
      </c>
      <c r="I599" s="2">
        <v>5027.1000000000004</v>
      </c>
      <c r="J599" s="2">
        <v>5455.4599999999991</v>
      </c>
      <c r="K599" s="2">
        <v>2357.1399999999994</v>
      </c>
      <c r="L599" s="2">
        <v>23719.919999999998</v>
      </c>
      <c r="M599" t="s">
        <v>4400</v>
      </c>
      <c r="N599" t="s">
        <v>4400</v>
      </c>
    </row>
    <row r="600" spans="1:14" x14ac:dyDescent="0.4">
      <c r="A600" t="s">
        <v>1498</v>
      </c>
      <c r="B600" t="s">
        <v>1499</v>
      </c>
      <c r="C600" t="s">
        <v>291</v>
      </c>
      <c r="D600" t="s">
        <v>292</v>
      </c>
      <c r="E600" s="2">
        <v>1515.74</v>
      </c>
      <c r="F600" s="2">
        <v>1546.1</v>
      </c>
      <c r="G600" s="2">
        <v>1491.4199999999998</v>
      </c>
      <c r="H600" s="2">
        <v>2979.8300000000004</v>
      </c>
      <c r="I600" s="2">
        <v>3019.2999999999997</v>
      </c>
      <c r="J600" s="2">
        <v>2363.2099999999996</v>
      </c>
      <c r="K600" s="2">
        <v>765.46</v>
      </c>
      <c r="L600" s="2">
        <v>13681.059999999996</v>
      </c>
      <c r="M600" t="s">
        <v>4400</v>
      </c>
      <c r="N600" t="s">
        <v>4400</v>
      </c>
    </row>
    <row r="601" spans="1:14" x14ac:dyDescent="0.4">
      <c r="A601" t="s">
        <v>1500</v>
      </c>
      <c r="B601" t="s">
        <v>1501</v>
      </c>
      <c r="C601" t="s">
        <v>78</v>
      </c>
      <c r="D601" t="s">
        <v>768</v>
      </c>
      <c r="E601" s="2">
        <v>2979.5800000000004</v>
      </c>
      <c r="F601" s="2">
        <v>3623.4700000000003</v>
      </c>
      <c r="G601" s="2">
        <v>3161.81</v>
      </c>
      <c r="H601" s="2">
        <v>3392.67</v>
      </c>
      <c r="I601" s="2">
        <v>2369.0700000000002</v>
      </c>
      <c r="J601" s="2">
        <v>3268.1000000000004</v>
      </c>
      <c r="K601" s="2"/>
      <c r="L601" s="2">
        <v>18794.69999999999</v>
      </c>
      <c r="M601" t="s">
        <v>4400</v>
      </c>
      <c r="N601" t="s">
        <v>4406</v>
      </c>
    </row>
    <row r="602" spans="1:14" x14ac:dyDescent="0.4">
      <c r="A602" t="s">
        <v>1502</v>
      </c>
      <c r="B602" t="s">
        <v>1503</v>
      </c>
      <c r="C602" t="s">
        <v>291</v>
      </c>
      <c r="D602" t="s">
        <v>295</v>
      </c>
      <c r="E602" s="2">
        <v>3280.47</v>
      </c>
      <c r="F602" s="2">
        <v>2864.3400000000006</v>
      </c>
      <c r="G602" s="2">
        <v>4899.3900000000003</v>
      </c>
      <c r="H602" s="2">
        <v>2262.8999999999996</v>
      </c>
      <c r="I602" s="2">
        <v>3763.4399999999987</v>
      </c>
      <c r="J602" s="2">
        <v>3043.579999999999</v>
      </c>
      <c r="K602" s="2">
        <v>1509.6100000000001</v>
      </c>
      <c r="L602" s="2">
        <v>21623.729999999981</v>
      </c>
      <c r="M602" t="s">
        <v>4400</v>
      </c>
      <c r="N602" t="s">
        <v>4400</v>
      </c>
    </row>
    <row r="603" spans="1:14" x14ac:dyDescent="0.4">
      <c r="A603" t="s">
        <v>1504</v>
      </c>
      <c r="B603" t="s">
        <v>622</v>
      </c>
      <c r="C603" t="s">
        <v>163</v>
      </c>
      <c r="D603" t="s">
        <v>618</v>
      </c>
      <c r="E603" s="2">
        <v>4881.0300000000007</v>
      </c>
      <c r="F603" s="2">
        <v>5057.2099999999991</v>
      </c>
      <c r="G603" s="2">
        <v>4786.8900000000012</v>
      </c>
      <c r="H603" s="2">
        <v>3884.79</v>
      </c>
      <c r="I603" s="2">
        <v>5449.0199999999995</v>
      </c>
      <c r="J603" s="2">
        <v>4981.2800000000007</v>
      </c>
      <c r="K603" s="2">
        <v>2287.14</v>
      </c>
      <c r="L603" s="2">
        <v>31327.360000000026</v>
      </c>
      <c r="M603" t="s">
        <v>4400</v>
      </c>
      <c r="N603" t="s">
        <v>4400</v>
      </c>
    </row>
    <row r="604" spans="1:14" x14ac:dyDescent="0.4">
      <c r="A604" t="s">
        <v>1505</v>
      </c>
      <c r="B604" t="s">
        <v>1506</v>
      </c>
      <c r="C604" t="s">
        <v>267</v>
      </c>
      <c r="D604" t="s">
        <v>268</v>
      </c>
      <c r="E604" s="2">
        <v>2375.2599999999993</v>
      </c>
      <c r="F604" s="2">
        <v>3299.2400000000011</v>
      </c>
      <c r="G604" s="2">
        <v>3315.2999999999993</v>
      </c>
      <c r="H604" s="2">
        <v>6250.2400000000016</v>
      </c>
      <c r="I604" s="2">
        <v>3723.9299999999994</v>
      </c>
      <c r="J604" s="2">
        <v>2644.53</v>
      </c>
      <c r="K604" s="2">
        <v>1047.9099999999999</v>
      </c>
      <c r="L604" s="2">
        <v>22656.410000000022</v>
      </c>
      <c r="M604" t="s">
        <v>4400</v>
      </c>
      <c r="N604" t="s">
        <v>4400</v>
      </c>
    </row>
    <row r="605" spans="1:14" x14ac:dyDescent="0.4">
      <c r="A605" t="s">
        <v>1507</v>
      </c>
      <c r="B605" t="s">
        <v>1508</v>
      </c>
      <c r="C605" t="s">
        <v>163</v>
      </c>
      <c r="D605" t="s">
        <v>164</v>
      </c>
      <c r="E605" s="2"/>
      <c r="F605" s="2">
        <v>1075.24</v>
      </c>
      <c r="G605" s="2"/>
      <c r="H605" s="2"/>
      <c r="I605" s="2"/>
      <c r="J605" s="2"/>
      <c r="K605" s="2"/>
      <c r="L605" s="2">
        <v>1075.24</v>
      </c>
      <c r="M605" t="s">
        <v>4412</v>
      </c>
      <c r="N605" t="s">
        <v>4410</v>
      </c>
    </row>
    <row r="606" spans="1:14" x14ac:dyDescent="0.4">
      <c r="A606" t="s">
        <v>1509</v>
      </c>
      <c r="B606" t="s">
        <v>762</v>
      </c>
      <c r="C606" t="s">
        <v>113</v>
      </c>
      <c r="D606" t="s">
        <v>120</v>
      </c>
      <c r="E606" s="2">
        <v>1143.6499999999999</v>
      </c>
      <c r="F606" s="2">
        <v>2988.9099999999989</v>
      </c>
      <c r="G606" s="2">
        <v>4194.2399999999989</v>
      </c>
      <c r="H606" s="2">
        <v>3490.0599999999995</v>
      </c>
      <c r="I606" s="2">
        <v>4042.6099999999988</v>
      </c>
      <c r="J606" s="2">
        <v>3464.3599999999997</v>
      </c>
      <c r="K606" s="2">
        <v>2307.8599999999997</v>
      </c>
      <c r="L606" s="2">
        <v>21631.690000000024</v>
      </c>
      <c r="M606" t="s">
        <v>4400</v>
      </c>
      <c r="N606" t="s">
        <v>4400</v>
      </c>
    </row>
    <row r="607" spans="1:14" x14ac:dyDescent="0.4">
      <c r="A607" t="s">
        <v>1510</v>
      </c>
      <c r="B607" t="s">
        <v>328</v>
      </c>
      <c r="C607" t="s">
        <v>310</v>
      </c>
      <c r="D607" t="s">
        <v>320</v>
      </c>
      <c r="E607" s="2">
        <v>6090.1300000000019</v>
      </c>
      <c r="F607" s="2">
        <v>5640.6100000000006</v>
      </c>
      <c r="G607" s="2">
        <v>3805.9799999999991</v>
      </c>
      <c r="H607" s="2">
        <v>5513.04</v>
      </c>
      <c r="I607" s="2">
        <v>5786.4</v>
      </c>
      <c r="J607" s="2">
        <v>3869.7599999999998</v>
      </c>
      <c r="K607" s="2">
        <v>2077.64</v>
      </c>
      <c r="L607" s="2">
        <v>32783.559999999969</v>
      </c>
      <c r="M607" t="s">
        <v>4400</v>
      </c>
      <c r="N607" t="s">
        <v>4400</v>
      </c>
    </row>
    <row r="608" spans="1:14" x14ac:dyDescent="0.4">
      <c r="A608" t="s">
        <v>1511</v>
      </c>
      <c r="B608" t="s">
        <v>1032</v>
      </c>
      <c r="C608" t="s">
        <v>64</v>
      </c>
      <c r="D608" t="s">
        <v>1033</v>
      </c>
      <c r="E608" s="2">
        <v>2978.6299999999992</v>
      </c>
      <c r="F608" s="2">
        <v>3526.0399999999986</v>
      </c>
      <c r="G608" s="2">
        <v>4132.5599999999995</v>
      </c>
      <c r="H608" s="2">
        <v>3793.3199999999983</v>
      </c>
      <c r="I608" s="2">
        <v>2081.6999999999998</v>
      </c>
      <c r="J608" s="2">
        <v>3531.1799999999989</v>
      </c>
      <c r="K608" s="2">
        <v>1793.8599999999997</v>
      </c>
      <c r="L608" s="2">
        <v>21837.290000000012</v>
      </c>
      <c r="M608" t="s">
        <v>4400</v>
      </c>
      <c r="N608" t="s">
        <v>4400</v>
      </c>
    </row>
    <row r="609" spans="1:14" x14ac:dyDescent="0.4">
      <c r="A609" t="s">
        <v>1512</v>
      </c>
      <c r="B609" t="s">
        <v>1513</v>
      </c>
      <c r="C609" t="s">
        <v>31</v>
      </c>
      <c r="D609" t="s">
        <v>1514</v>
      </c>
      <c r="E609" s="2">
        <v>2481.5500000000002</v>
      </c>
      <c r="F609" s="2">
        <v>3541.57</v>
      </c>
      <c r="G609" s="2">
        <v>1169.3799999999999</v>
      </c>
      <c r="H609" s="2">
        <v>3772.42</v>
      </c>
      <c r="I609" s="2">
        <v>3359.3399999999997</v>
      </c>
      <c r="J609" s="2">
        <v>3122.4200000000005</v>
      </c>
      <c r="K609" s="2">
        <v>2624.28</v>
      </c>
      <c r="L609" s="2">
        <v>20070.959999999966</v>
      </c>
      <c r="M609" t="s">
        <v>4400</v>
      </c>
      <c r="N609" t="s">
        <v>4400</v>
      </c>
    </row>
    <row r="610" spans="1:14" x14ac:dyDescent="0.4">
      <c r="A610" t="s">
        <v>1515</v>
      </c>
      <c r="B610" t="s">
        <v>1516</v>
      </c>
      <c r="C610" t="s">
        <v>390</v>
      </c>
      <c r="D610" t="s">
        <v>394</v>
      </c>
      <c r="E610" s="2">
        <v>4644.2499999999991</v>
      </c>
      <c r="F610" s="2">
        <v>6068.8300000000017</v>
      </c>
      <c r="G610" s="2">
        <v>4796.12</v>
      </c>
      <c r="H610" s="2">
        <v>5275.9699999999984</v>
      </c>
      <c r="I610" s="2">
        <v>4896.3100000000004</v>
      </c>
      <c r="J610" s="2">
        <v>4340.5500000000011</v>
      </c>
      <c r="K610" s="2">
        <v>2083.7400000000002</v>
      </c>
      <c r="L610" s="2">
        <v>32105.77</v>
      </c>
      <c r="M610" t="s">
        <v>4400</v>
      </c>
      <c r="N610" t="s">
        <v>4400</v>
      </c>
    </row>
    <row r="611" spans="1:14" x14ac:dyDescent="0.4">
      <c r="A611" t="s">
        <v>1517</v>
      </c>
      <c r="B611" t="s">
        <v>1518</v>
      </c>
      <c r="C611" t="s">
        <v>267</v>
      </c>
      <c r="D611" t="s">
        <v>518</v>
      </c>
      <c r="E611" s="2">
        <v>1664.4900000000002</v>
      </c>
      <c r="F611" s="2">
        <v>893</v>
      </c>
      <c r="G611" s="2">
        <v>719.87000000000012</v>
      </c>
      <c r="H611" s="2"/>
      <c r="I611" s="2">
        <v>868.7</v>
      </c>
      <c r="J611" s="2"/>
      <c r="K611" s="2">
        <v>944.62999999999988</v>
      </c>
      <c r="L611" s="2">
        <v>5090.6900000000005</v>
      </c>
      <c r="M611" t="s">
        <v>4400</v>
      </c>
      <c r="N611" t="s">
        <v>4400</v>
      </c>
    </row>
    <row r="612" spans="1:14" x14ac:dyDescent="0.4">
      <c r="A612" t="s">
        <v>1519</v>
      </c>
      <c r="B612" t="s">
        <v>525</v>
      </c>
      <c r="C612" t="s">
        <v>39</v>
      </c>
      <c r="D612" t="s">
        <v>1520</v>
      </c>
      <c r="E612" s="2">
        <v>2397.81</v>
      </c>
      <c r="F612" s="2">
        <v>1454.6199999999997</v>
      </c>
      <c r="G612" s="2">
        <v>742.73</v>
      </c>
      <c r="H612" s="2">
        <v>935.47999999999979</v>
      </c>
      <c r="I612" s="2">
        <v>1087.1100000000001</v>
      </c>
      <c r="J612" s="2">
        <v>1541.9999999999998</v>
      </c>
      <c r="K612" s="2">
        <v>760.71999999999991</v>
      </c>
      <c r="L612" s="2">
        <v>8920.4700000000121</v>
      </c>
      <c r="M612" t="s">
        <v>4400</v>
      </c>
      <c r="N612" t="s">
        <v>4400</v>
      </c>
    </row>
    <row r="613" spans="1:14" x14ac:dyDescent="0.4">
      <c r="A613" t="s">
        <v>1521</v>
      </c>
      <c r="B613" t="s">
        <v>1522</v>
      </c>
      <c r="C613" t="s">
        <v>696</v>
      </c>
      <c r="D613" t="s">
        <v>697</v>
      </c>
      <c r="E613" s="2"/>
      <c r="F613" s="2"/>
      <c r="G613" s="2"/>
      <c r="H613" s="2"/>
      <c r="I613" s="2"/>
      <c r="J613" s="2"/>
      <c r="K613" s="2">
        <v>759.3599999999999</v>
      </c>
      <c r="L613" s="2">
        <v>759.3599999999999</v>
      </c>
      <c r="M613" t="s">
        <v>4404</v>
      </c>
      <c r="N613" t="s">
        <v>4400</v>
      </c>
    </row>
    <row r="614" spans="1:14" x14ac:dyDescent="0.4">
      <c r="A614" t="s">
        <v>1523</v>
      </c>
      <c r="B614" t="s">
        <v>1524</v>
      </c>
      <c r="C614" t="s">
        <v>1525</v>
      </c>
      <c r="D614" t="s">
        <v>1526</v>
      </c>
      <c r="E614" s="2"/>
      <c r="F614" s="2">
        <v>1457.19</v>
      </c>
      <c r="G614" s="2">
        <v>2346.41</v>
      </c>
      <c r="H614" s="2">
        <v>1577.9799999999998</v>
      </c>
      <c r="I614" s="2">
        <v>1446.91</v>
      </c>
      <c r="J614" s="2"/>
      <c r="K614" s="2"/>
      <c r="L614" s="2">
        <v>6828.4900000000089</v>
      </c>
      <c r="M614" t="s">
        <v>4412</v>
      </c>
      <c r="N614" t="s">
        <v>4401</v>
      </c>
    </row>
    <row r="615" spans="1:14" x14ac:dyDescent="0.4">
      <c r="A615" t="s">
        <v>1527</v>
      </c>
      <c r="B615" t="s">
        <v>1528</v>
      </c>
      <c r="C615" t="s">
        <v>167</v>
      </c>
      <c r="D615" t="s">
        <v>1275</v>
      </c>
      <c r="E615" s="2">
        <v>737.59</v>
      </c>
      <c r="F615" s="2">
        <v>1577.9799999999996</v>
      </c>
      <c r="G615" s="2">
        <v>1485.46</v>
      </c>
      <c r="H615" s="2">
        <v>1475.1799999999998</v>
      </c>
      <c r="I615" s="2">
        <v>1665.3599999999994</v>
      </c>
      <c r="J615" s="2">
        <v>1534.2899999999997</v>
      </c>
      <c r="K615" s="2">
        <v>735.01999999999987</v>
      </c>
      <c r="L615" s="2">
        <v>9210.8800000000065</v>
      </c>
      <c r="M615" t="s">
        <v>4400</v>
      </c>
      <c r="N615" t="s">
        <v>4400</v>
      </c>
    </row>
    <row r="616" spans="1:14" x14ac:dyDescent="0.4">
      <c r="A616" t="s">
        <v>1529</v>
      </c>
      <c r="B616" t="s">
        <v>917</v>
      </c>
      <c r="C616" t="s">
        <v>220</v>
      </c>
      <c r="D616" t="s">
        <v>221</v>
      </c>
      <c r="E616" s="2">
        <v>5983.7</v>
      </c>
      <c r="F616" s="2">
        <v>5704.29</v>
      </c>
      <c r="G616" s="2">
        <v>6044.4999999999991</v>
      </c>
      <c r="H616" s="2">
        <v>6776.48</v>
      </c>
      <c r="I616" s="2">
        <v>4425.53</v>
      </c>
      <c r="J616" s="2">
        <v>3462.6</v>
      </c>
      <c r="K616" s="2">
        <v>2092.73</v>
      </c>
      <c r="L616" s="2">
        <v>34489.830000000009</v>
      </c>
      <c r="M616" t="s">
        <v>4400</v>
      </c>
      <c r="N616" t="s">
        <v>4400</v>
      </c>
    </row>
    <row r="617" spans="1:14" x14ac:dyDescent="0.4">
      <c r="A617" t="s">
        <v>1530</v>
      </c>
      <c r="B617" t="s">
        <v>1531</v>
      </c>
      <c r="C617" t="s">
        <v>374</v>
      </c>
      <c r="D617" t="s">
        <v>387</v>
      </c>
      <c r="E617" s="2"/>
      <c r="F617" s="2"/>
      <c r="G617" s="2"/>
      <c r="H617" s="2"/>
      <c r="I617" s="2"/>
      <c r="J617" s="2">
        <v>2739.7599999999993</v>
      </c>
      <c r="K617" s="2"/>
      <c r="L617" s="2">
        <v>2739.7599999999993</v>
      </c>
      <c r="M617" t="s">
        <v>4405</v>
      </c>
      <c r="N617" t="s">
        <v>4406</v>
      </c>
    </row>
    <row r="618" spans="1:14" x14ac:dyDescent="0.4">
      <c r="A618" t="s">
        <v>1532</v>
      </c>
      <c r="B618" t="s">
        <v>1533</v>
      </c>
      <c r="C618" t="s">
        <v>291</v>
      </c>
      <c r="D618" t="s">
        <v>292</v>
      </c>
      <c r="E618" s="2">
        <v>3119.58</v>
      </c>
      <c r="F618" s="2">
        <v>2442.1400000000008</v>
      </c>
      <c r="G618" s="2">
        <v>5762.1200000000026</v>
      </c>
      <c r="H618" s="2">
        <v>2642.6199999999994</v>
      </c>
      <c r="I618" s="2">
        <v>4252.4399999999996</v>
      </c>
      <c r="J618" s="2">
        <v>4100.5800000000008</v>
      </c>
      <c r="K618" s="2">
        <v>2830.94</v>
      </c>
      <c r="L618" s="2">
        <v>25150.419999999969</v>
      </c>
      <c r="M618" t="s">
        <v>4400</v>
      </c>
      <c r="N618" t="s">
        <v>4400</v>
      </c>
    </row>
    <row r="619" spans="1:14" x14ac:dyDescent="0.4">
      <c r="A619" t="s">
        <v>1534</v>
      </c>
      <c r="B619" t="s">
        <v>1535</v>
      </c>
      <c r="C619" t="s">
        <v>78</v>
      </c>
      <c r="D619" t="s">
        <v>907</v>
      </c>
      <c r="E619" s="2">
        <v>8786.8300000000017</v>
      </c>
      <c r="F619" s="2">
        <v>10313.410000000003</v>
      </c>
      <c r="G619" s="2">
        <v>8337.08</v>
      </c>
      <c r="H619" s="2">
        <v>7995.27</v>
      </c>
      <c r="I619" s="2">
        <v>8337.08</v>
      </c>
      <c r="J619" s="2">
        <v>11290.01</v>
      </c>
      <c r="K619" s="2">
        <v>4500.07</v>
      </c>
      <c r="L619" s="2">
        <v>59559.750000000015</v>
      </c>
      <c r="M619" t="s">
        <v>4400</v>
      </c>
      <c r="N619" t="s">
        <v>4400</v>
      </c>
    </row>
    <row r="620" spans="1:14" x14ac:dyDescent="0.4">
      <c r="A620" t="s">
        <v>1536</v>
      </c>
      <c r="B620" t="s">
        <v>1537</v>
      </c>
      <c r="C620" t="s">
        <v>178</v>
      </c>
      <c r="D620" t="s">
        <v>1228</v>
      </c>
      <c r="E620" s="2">
        <v>5628.3</v>
      </c>
      <c r="F620" s="2">
        <v>4173.68</v>
      </c>
      <c r="G620" s="2">
        <v>4404.9799999999996</v>
      </c>
      <c r="H620" s="2">
        <v>4235.3599999999997</v>
      </c>
      <c r="I620" s="2">
        <v>5263.36</v>
      </c>
      <c r="J620" s="2">
        <v>4173.68</v>
      </c>
      <c r="K620" s="2">
        <v>2086.8399999999997</v>
      </c>
      <c r="L620" s="2">
        <v>29966.200000000037</v>
      </c>
      <c r="M620" t="s">
        <v>4400</v>
      </c>
      <c r="N620" t="s">
        <v>4400</v>
      </c>
    </row>
    <row r="621" spans="1:14" x14ac:dyDescent="0.4">
      <c r="A621" t="s">
        <v>1538</v>
      </c>
      <c r="B621" t="s">
        <v>1539</v>
      </c>
      <c r="C621" t="s">
        <v>19</v>
      </c>
      <c r="D621" t="s">
        <v>20</v>
      </c>
      <c r="E621" s="2">
        <v>4352.57</v>
      </c>
      <c r="F621" s="2">
        <v>4352.5599999999995</v>
      </c>
      <c r="G621" s="2">
        <v>4847.63</v>
      </c>
      <c r="H621" s="2">
        <v>3070.75</v>
      </c>
      <c r="I621" s="2">
        <v>4033.5899999999992</v>
      </c>
      <c r="J621" s="2">
        <v>4802.079999999999</v>
      </c>
      <c r="K621" s="2">
        <v>2047.2300000000002</v>
      </c>
      <c r="L621" s="2">
        <v>27506.409999999993</v>
      </c>
      <c r="M621" t="s">
        <v>4400</v>
      </c>
      <c r="N621" t="s">
        <v>4400</v>
      </c>
    </row>
    <row r="622" spans="1:14" x14ac:dyDescent="0.4">
      <c r="A622" t="s">
        <v>1540</v>
      </c>
      <c r="B622" t="s">
        <v>1541</v>
      </c>
      <c r="C622" t="s">
        <v>35</v>
      </c>
      <c r="D622" t="s">
        <v>1212</v>
      </c>
      <c r="E622" s="2">
        <v>4254.58</v>
      </c>
      <c r="F622" s="2">
        <v>3253.1800000000003</v>
      </c>
      <c r="G622" s="2">
        <v>3010.1899999999996</v>
      </c>
      <c r="H622" s="2">
        <v>2351.0700000000002</v>
      </c>
      <c r="I622" s="2">
        <v>3228.87</v>
      </c>
      <c r="J622" s="2">
        <v>3113.4</v>
      </c>
      <c r="K622" s="2">
        <v>1655.4300000000003</v>
      </c>
      <c r="L622" s="2">
        <v>20866.720000000008</v>
      </c>
      <c r="M622" t="s">
        <v>4400</v>
      </c>
      <c r="N622" t="s">
        <v>4400</v>
      </c>
    </row>
    <row r="623" spans="1:14" x14ac:dyDescent="0.4">
      <c r="A623" t="s">
        <v>1542</v>
      </c>
      <c r="B623" t="s">
        <v>1543</v>
      </c>
      <c r="C623" t="s">
        <v>109</v>
      </c>
      <c r="D623" t="s">
        <v>1374</v>
      </c>
      <c r="E623" s="2">
        <v>3802.83</v>
      </c>
      <c r="F623" s="2">
        <v>2384.35</v>
      </c>
      <c r="G623" s="2">
        <v>3814.9700000000003</v>
      </c>
      <c r="H623" s="2">
        <v>2150.4900000000002</v>
      </c>
      <c r="I623" s="2">
        <v>3556.7999999999993</v>
      </c>
      <c r="J623" s="2"/>
      <c r="K623" s="2"/>
      <c r="L623" s="2">
        <v>15709.439999999984</v>
      </c>
      <c r="M623" t="s">
        <v>4400</v>
      </c>
      <c r="N623" t="s">
        <v>4401</v>
      </c>
    </row>
    <row r="624" spans="1:14" x14ac:dyDescent="0.4">
      <c r="A624" t="s">
        <v>1544</v>
      </c>
      <c r="B624" t="s">
        <v>1545</v>
      </c>
      <c r="C624" t="s">
        <v>674</v>
      </c>
      <c r="D624" t="s">
        <v>675</v>
      </c>
      <c r="E624" s="2">
        <v>4869.0999999999995</v>
      </c>
      <c r="F624" s="2">
        <v>4595.7800000000007</v>
      </c>
      <c r="G624" s="2">
        <v>4557.0500000000011</v>
      </c>
      <c r="H624" s="2">
        <v>3487.0699999999988</v>
      </c>
      <c r="I624" s="2">
        <v>1142.1199999999999</v>
      </c>
      <c r="J624" s="2"/>
      <c r="K624" s="2"/>
      <c r="L624" s="2">
        <v>18651.119999999988</v>
      </c>
      <c r="M624" t="s">
        <v>4400</v>
      </c>
      <c r="N624" t="s">
        <v>4401</v>
      </c>
    </row>
    <row r="625" spans="1:14" x14ac:dyDescent="0.4">
      <c r="A625" t="s">
        <v>1546</v>
      </c>
      <c r="B625" t="s">
        <v>1547</v>
      </c>
      <c r="C625" t="s">
        <v>390</v>
      </c>
      <c r="D625" t="s">
        <v>1548</v>
      </c>
      <c r="E625" s="2">
        <v>1775.43</v>
      </c>
      <c r="F625" s="2">
        <v>2770.17</v>
      </c>
      <c r="G625" s="2">
        <v>2232.4899999999998</v>
      </c>
      <c r="H625" s="2">
        <v>2423.9</v>
      </c>
      <c r="I625" s="2">
        <v>996.29</v>
      </c>
      <c r="J625" s="2">
        <v>2086.7400000000002</v>
      </c>
      <c r="K625" s="2">
        <v>1251.4299999999998</v>
      </c>
      <c r="L625" s="2">
        <v>13536.449999999988</v>
      </c>
      <c r="M625" t="s">
        <v>4400</v>
      </c>
      <c r="N625" t="s">
        <v>4400</v>
      </c>
    </row>
    <row r="626" spans="1:14" x14ac:dyDescent="0.4">
      <c r="A626" t="s">
        <v>1549</v>
      </c>
      <c r="B626" t="s">
        <v>1550</v>
      </c>
      <c r="C626" t="s">
        <v>402</v>
      </c>
      <c r="D626" t="s">
        <v>403</v>
      </c>
      <c r="E626" s="2">
        <v>1457.9699999999998</v>
      </c>
      <c r="F626" s="2">
        <v>1454.92</v>
      </c>
      <c r="G626" s="2"/>
      <c r="H626" s="2"/>
      <c r="I626" s="2"/>
      <c r="J626" s="2"/>
      <c r="K626" s="2"/>
      <c r="L626" s="2">
        <v>2912.8899999999994</v>
      </c>
      <c r="M626" t="s">
        <v>4400</v>
      </c>
      <c r="N626" t="s">
        <v>4410</v>
      </c>
    </row>
    <row r="627" spans="1:14" x14ac:dyDescent="0.4">
      <c r="A627" t="s">
        <v>1551</v>
      </c>
      <c r="B627" t="s">
        <v>1552</v>
      </c>
      <c r="C627" t="s">
        <v>78</v>
      </c>
      <c r="D627" t="s">
        <v>1553</v>
      </c>
      <c r="E627" s="2">
        <v>1464.08</v>
      </c>
      <c r="F627" s="2">
        <v>2952.45</v>
      </c>
      <c r="G627" s="2">
        <v>3663.12</v>
      </c>
      <c r="H627" s="2">
        <v>3660.0299999999988</v>
      </c>
      <c r="I627" s="2">
        <v>4726.1499999999996</v>
      </c>
      <c r="J627" s="2">
        <v>3486.8999999999996</v>
      </c>
      <c r="K627" s="2">
        <v>1643.1999999999996</v>
      </c>
      <c r="L627" s="2">
        <v>21595.929999999949</v>
      </c>
      <c r="M627" t="s">
        <v>4400</v>
      </c>
      <c r="N627" t="s">
        <v>4400</v>
      </c>
    </row>
    <row r="628" spans="1:14" x14ac:dyDescent="0.4">
      <c r="A628" t="s">
        <v>1554</v>
      </c>
      <c r="B628" t="s">
        <v>1555</v>
      </c>
      <c r="C628" t="s">
        <v>1</v>
      </c>
      <c r="D628" t="s">
        <v>1030</v>
      </c>
      <c r="E628" s="2">
        <v>1509.6699999999998</v>
      </c>
      <c r="F628" s="2">
        <v>1521.8300000000002</v>
      </c>
      <c r="G628" s="2"/>
      <c r="H628" s="2">
        <v>771.54000000000008</v>
      </c>
      <c r="I628" s="2">
        <v>2624.4399999999996</v>
      </c>
      <c r="J628" s="2"/>
      <c r="K628" s="2"/>
      <c r="L628" s="2">
        <v>6427.4800000000005</v>
      </c>
      <c r="M628" t="s">
        <v>4400</v>
      </c>
      <c r="N628" t="s">
        <v>4401</v>
      </c>
    </row>
    <row r="629" spans="1:14" x14ac:dyDescent="0.4">
      <c r="A629" t="s">
        <v>1556</v>
      </c>
      <c r="B629" t="s">
        <v>1557</v>
      </c>
      <c r="C629" t="s">
        <v>291</v>
      </c>
      <c r="D629" t="s">
        <v>295</v>
      </c>
      <c r="E629" s="2">
        <v>3334.9999999999995</v>
      </c>
      <c r="F629" s="2">
        <v>3177.0599999999995</v>
      </c>
      <c r="G629" s="2">
        <v>2982.6699999999996</v>
      </c>
      <c r="H629" s="2">
        <v>3195.2899999999991</v>
      </c>
      <c r="I629" s="2">
        <v>3772.3799999999987</v>
      </c>
      <c r="J629" s="2">
        <v>3028.24</v>
      </c>
      <c r="K629" s="2">
        <v>1524.7500000000005</v>
      </c>
      <c r="L629" s="2">
        <v>21015.389999999992</v>
      </c>
      <c r="M629" t="s">
        <v>4400</v>
      </c>
      <c r="N629" t="s">
        <v>4400</v>
      </c>
    </row>
    <row r="630" spans="1:14" x14ac:dyDescent="0.4">
      <c r="A630" t="s">
        <v>1558</v>
      </c>
      <c r="B630" t="s">
        <v>1559</v>
      </c>
      <c r="C630" t="s">
        <v>64</v>
      </c>
      <c r="D630" t="s">
        <v>1560</v>
      </c>
      <c r="E630" s="2">
        <v>3371.7000000000003</v>
      </c>
      <c r="F630" s="2">
        <v>729</v>
      </c>
      <c r="G630" s="2">
        <v>1518.8000000000002</v>
      </c>
      <c r="H630" s="2">
        <v>729</v>
      </c>
      <c r="I630" s="2">
        <v>2414.85</v>
      </c>
      <c r="J630" s="2">
        <v>926.45</v>
      </c>
      <c r="K630" s="2"/>
      <c r="L630" s="2">
        <v>9689.8000000000011</v>
      </c>
      <c r="M630" t="s">
        <v>4400</v>
      </c>
      <c r="N630" t="s">
        <v>4406</v>
      </c>
    </row>
    <row r="631" spans="1:14" x14ac:dyDescent="0.4">
      <c r="A631" t="s">
        <v>1561</v>
      </c>
      <c r="B631" t="s">
        <v>1562</v>
      </c>
      <c r="C631" t="s">
        <v>350</v>
      </c>
      <c r="D631" t="s">
        <v>1563</v>
      </c>
      <c r="E631" s="2">
        <v>3584.19</v>
      </c>
      <c r="F631" s="2">
        <v>3487.07</v>
      </c>
      <c r="G631" s="2">
        <v>3632.82</v>
      </c>
      <c r="H631" s="2">
        <v>4158.37</v>
      </c>
      <c r="I631" s="2">
        <v>3523.2400000000002</v>
      </c>
      <c r="J631" s="2">
        <v>3213.69</v>
      </c>
      <c r="K631" s="2">
        <v>1139.06</v>
      </c>
      <c r="L631" s="2">
        <v>22738.440000000006</v>
      </c>
      <c r="M631" t="s">
        <v>4400</v>
      </c>
      <c r="N631" t="s">
        <v>4400</v>
      </c>
    </row>
    <row r="632" spans="1:14" x14ac:dyDescent="0.4">
      <c r="A632" t="s">
        <v>1564</v>
      </c>
      <c r="B632" t="s">
        <v>1565</v>
      </c>
      <c r="C632" t="s">
        <v>359</v>
      </c>
      <c r="D632" t="s">
        <v>1566</v>
      </c>
      <c r="E632" s="2">
        <v>5090.8200000000006</v>
      </c>
      <c r="F632" s="2">
        <v>4525.8500000000004</v>
      </c>
      <c r="G632" s="2">
        <v>2803.6099999999997</v>
      </c>
      <c r="H632" s="2">
        <v>4279.79</v>
      </c>
      <c r="I632" s="2">
        <v>4932.8199999999988</v>
      </c>
      <c r="J632" s="2">
        <v>4692.8599999999997</v>
      </c>
      <c r="K632" s="2">
        <v>1864.9899999999996</v>
      </c>
      <c r="L632" s="2">
        <v>28190.739999999976</v>
      </c>
      <c r="M632" t="s">
        <v>4400</v>
      </c>
      <c r="N632" t="s">
        <v>4400</v>
      </c>
    </row>
    <row r="633" spans="1:14" x14ac:dyDescent="0.4">
      <c r="A633" t="s">
        <v>1567</v>
      </c>
      <c r="B633" t="s">
        <v>1568</v>
      </c>
      <c r="C633" t="s">
        <v>267</v>
      </c>
      <c r="D633" t="s">
        <v>518</v>
      </c>
      <c r="E633" s="2">
        <v>4948.0300000000016</v>
      </c>
      <c r="F633" s="2">
        <v>3871.2000000000003</v>
      </c>
      <c r="G633" s="2">
        <v>3528.6099999999997</v>
      </c>
      <c r="H633" s="2">
        <v>7553.2300000000023</v>
      </c>
      <c r="I633" s="2">
        <v>5222.24</v>
      </c>
      <c r="J633" s="2">
        <v>4697.9599999999991</v>
      </c>
      <c r="K633" s="2">
        <v>2733.7</v>
      </c>
      <c r="L633" s="2">
        <v>32554.97000000003</v>
      </c>
      <c r="M633" t="s">
        <v>4400</v>
      </c>
      <c r="N633" t="s">
        <v>4400</v>
      </c>
    </row>
    <row r="634" spans="1:14" x14ac:dyDescent="0.4">
      <c r="A634" t="s">
        <v>1569</v>
      </c>
      <c r="B634" t="s">
        <v>1570</v>
      </c>
      <c r="C634" t="s">
        <v>199</v>
      </c>
      <c r="D634" t="s">
        <v>211</v>
      </c>
      <c r="E634" s="2"/>
      <c r="F634" s="2"/>
      <c r="G634" s="2"/>
      <c r="H634" s="2"/>
      <c r="I634" s="2">
        <v>883.86999999999989</v>
      </c>
      <c r="J634" s="2">
        <v>5488.4999999999955</v>
      </c>
      <c r="K634" s="2"/>
      <c r="L634" s="2">
        <v>6372.3699999999953</v>
      </c>
      <c r="M634" t="s">
        <v>4408</v>
      </c>
      <c r="N634" t="s">
        <v>4406</v>
      </c>
    </row>
    <row r="635" spans="1:14" x14ac:dyDescent="0.4">
      <c r="A635" t="s">
        <v>1571</v>
      </c>
      <c r="B635" t="s">
        <v>1572</v>
      </c>
      <c r="C635" t="s">
        <v>884</v>
      </c>
      <c r="D635" t="s">
        <v>885</v>
      </c>
      <c r="E635" s="2">
        <v>1032.75</v>
      </c>
      <c r="F635" s="2"/>
      <c r="G635" s="2"/>
      <c r="H635" s="2"/>
      <c r="I635" s="2">
        <v>1017.55</v>
      </c>
      <c r="J635" s="2"/>
      <c r="K635" s="2">
        <v>1776.8999999999999</v>
      </c>
      <c r="L635" s="2">
        <v>3827.2</v>
      </c>
      <c r="M635" t="s">
        <v>4400</v>
      </c>
      <c r="N635" t="s">
        <v>4400</v>
      </c>
    </row>
    <row r="636" spans="1:14" x14ac:dyDescent="0.4">
      <c r="A636" t="s">
        <v>1573</v>
      </c>
      <c r="B636" t="s">
        <v>1574</v>
      </c>
      <c r="C636" t="s">
        <v>35</v>
      </c>
      <c r="D636" t="s">
        <v>1212</v>
      </c>
      <c r="E636" s="2">
        <v>892.96999999999991</v>
      </c>
      <c r="F636" s="2"/>
      <c r="G636" s="2"/>
      <c r="H636" s="2"/>
      <c r="I636" s="2"/>
      <c r="J636" s="2"/>
      <c r="K636" s="2"/>
      <c r="L636" s="2">
        <v>892.96999999999991</v>
      </c>
      <c r="M636" t="s">
        <v>4400</v>
      </c>
      <c r="N636" t="s">
        <v>4407</v>
      </c>
    </row>
    <row r="637" spans="1:14" x14ac:dyDescent="0.4">
      <c r="A637" t="s">
        <v>1575</v>
      </c>
      <c r="B637" t="s">
        <v>1576</v>
      </c>
      <c r="C637" t="s">
        <v>419</v>
      </c>
      <c r="D637" t="s">
        <v>1577</v>
      </c>
      <c r="E637" s="2">
        <v>3347.2699999999995</v>
      </c>
      <c r="F637" s="2">
        <v>3177.21</v>
      </c>
      <c r="G637" s="2">
        <v>3183.3100000000004</v>
      </c>
      <c r="H637" s="2">
        <v>3945.6799999999989</v>
      </c>
      <c r="I637" s="2"/>
      <c r="J637" s="2">
        <v>2193.0400000000004</v>
      </c>
      <c r="K637" s="2">
        <v>1479.26</v>
      </c>
      <c r="L637" s="2">
        <v>17325.769999999986</v>
      </c>
      <c r="M637" t="s">
        <v>4400</v>
      </c>
      <c r="N637" t="s">
        <v>4400</v>
      </c>
    </row>
    <row r="638" spans="1:14" x14ac:dyDescent="0.4">
      <c r="A638" t="s">
        <v>1578</v>
      </c>
      <c r="B638" t="s">
        <v>1579</v>
      </c>
      <c r="C638" t="s">
        <v>167</v>
      </c>
      <c r="D638" t="s">
        <v>1275</v>
      </c>
      <c r="E638" s="2">
        <v>1491.38</v>
      </c>
      <c r="F638" s="2">
        <v>2223.39</v>
      </c>
      <c r="G638" s="2">
        <v>2952.3600000000006</v>
      </c>
      <c r="H638" s="2">
        <v>2223.3899999999994</v>
      </c>
      <c r="I638" s="2">
        <v>1482.2599999999998</v>
      </c>
      <c r="J638" s="2">
        <v>744.17</v>
      </c>
      <c r="K638" s="2">
        <v>744.17000000000007</v>
      </c>
      <c r="L638" s="2">
        <v>11861.119999999997</v>
      </c>
      <c r="M638" t="s">
        <v>4400</v>
      </c>
      <c r="N638" t="s">
        <v>4400</v>
      </c>
    </row>
    <row r="639" spans="1:14" x14ac:dyDescent="0.4">
      <c r="A639" t="s">
        <v>1580</v>
      </c>
      <c r="B639" t="s">
        <v>1581</v>
      </c>
      <c r="C639" t="s">
        <v>860</v>
      </c>
      <c r="D639" t="s">
        <v>1134</v>
      </c>
      <c r="E639" s="2">
        <v>4753.5300000000007</v>
      </c>
      <c r="F639" s="2">
        <v>3854.4100000000008</v>
      </c>
      <c r="G639" s="2">
        <v>5269.8599999999979</v>
      </c>
      <c r="H639" s="2">
        <v>2979.67</v>
      </c>
      <c r="I639" s="2">
        <v>4735.28</v>
      </c>
      <c r="J639" s="2">
        <v>3927.3500000000004</v>
      </c>
      <c r="K639" s="2">
        <v>1691.8400000000001</v>
      </c>
      <c r="L639" s="2">
        <v>27211.94</v>
      </c>
      <c r="M639" t="s">
        <v>4400</v>
      </c>
      <c r="N639" t="s">
        <v>4400</v>
      </c>
    </row>
    <row r="640" spans="1:14" x14ac:dyDescent="0.4">
      <c r="A640" t="s">
        <v>1582</v>
      </c>
      <c r="B640" t="s">
        <v>955</v>
      </c>
      <c r="C640" t="s">
        <v>186</v>
      </c>
      <c r="D640" t="s">
        <v>599</v>
      </c>
      <c r="E640" s="2">
        <v>3158.9399999999996</v>
      </c>
      <c r="F640" s="2">
        <v>1521.7799999999997</v>
      </c>
      <c r="G640" s="2">
        <v>3186.2999999999993</v>
      </c>
      <c r="H640" s="2">
        <v>2645.6199999999994</v>
      </c>
      <c r="I640" s="2">
        <v>1770.8099999999993</v>
      </c>
      <c r="J640" s="2">
        <v>2402.6199999999994</v>
      </c>
      <c r="K640" s="2">
        <v>1506.57</v>
      </c>
      <c r="L640" s="2">
        <v>16192.63999999999</v>
      </c>
      <c r="M640" t="s">
        <v>4400</v>
      </c>
      <c r="N640" t="s">
        <v>4400</v>
      </c>
    </row>
    <row r="641" spans="1:14" x14ac:dyDescent="0.4">
      <c r="A641" t="s">
        <v>1583</v>
      </c>
      <c r="B641" t="s">
        <v>1584</v>
      </c>
      <c r="C641" t="s">
        <v>402</v>
      </c>
      <c r="D641" t="s">
        <v>609</v>
      </c>
      <c r="E641" s="2">
        <v>2882.6399999999994</v>
      </c>
      <c r="F641" s="2">
        <v>2891.7599999999998</v>
      </c>
      <c r="G641" s="2">
        <v>3608.62</v>
      </c>
      <c r="H641" s="2">
        <v>2879.6</v>
      </c>
      <c r="I641" s="2">
        <v>2891.7599999999998</v>
      </c>
      <c r="J641" s="2">
        <v>3602.5399999999995</v>
      </c>
      <c r="K641" s="2">
        <v>1439.8000000000002</v>
      </c>
      <c r="L641" s="2">
        <v>20196.720000000005</v>
      </c>
      <c r="M641" t="s">
        <v>4400</v>
      </c>
      <c r="N641" t="s">
        <v>4400</v>
      </c>
    </row>
    <row r="642" spans="1:14" x14ac:dyDescent="0.4">
      <c r="A642" t="s">
        <v>1585</v>
      </c>
      <c r="B642" t="s">
        <v>1586</v>
      </c>
      <c r="C642" t="s">
        <v>52</v>
      </c>
      <c r="D642" t="s">
        <v>153</v>
      </c>
      <c r="E642" s="2"/>
      <c r="F642" s="2"/>
      <c r="G642" s="2">
        <v>1665.3600000000001</v>
      </c>
      <c r="H642" s="2">
        <v>1598.54</v>
      </c>
      <c r="I642" s="2"/>
      <c r="J642" s="2">
        <v>724.74</v>
      </c>
      <c r="K642" s="2">
        <v>722.17</v>
      </c>
      <c r="L642" s="2">
        <v>4710.8100000000013</v>
      </c>
      <c r="M642" t="s">
        <v>4411</v>
      </c>
      <c r="N642" t="s">
        <v>4400</v>
      </c>
    </row>
    <row r="643" spans="1:14" x14ac:dyDescent="0.4">
      <c r="A643" t="s">
        <v>1587</v>
      </c>
      <c r="B643" t="s">
        <v>1588</v>
      </c>
      <c r="C643" t="s">
        <v>220</v>
      </c>
      <c r="D643" t="s">
        <v>221</v>
      </c>
      <c r="E643" s="2">
        <v>3790.6699999999996</v>
      </c>
      <c r="F643" s="2">
        <v>3058.6699999999996</v>
      </c>
      <c r="G643" s="2">
        <v>4322.2299999999987</v>
      </c>
      <c r="H643" s="2">
        <v>6390.6699999999992</v>
      </c>
      <c r="I643" s="2">
        <v>3423.1599999999989</v>
      </c>
      <c r="J643" s="2">
        <v>5130.1499999999996</v>
      </c>
      <c r="K643" s="2">
        <v>1111.69</v>
      </c>
      <c r="L643" s="2">
        <v>27227.239999999987</v>
      </c>
      <c r="M643" t="s">
        <v>4400</v>
      </c>
      <c r="N643" t="s">
        <v>4400</v>
      </c>
    </row>
    <row r="644" spans="1:14" x14ac:dyDescent="0.4">
      <c r="A644" t="s">
        <v>1589</v>
      </c>
      <c r="B644" t="s">
        <v>1590</v>
      </c>
      <c r="C644" t="s">
        <v>27</v>
      </c>
      <c r="D644" t="s">
        <v>28</v>
      </c>
      <c r="E644" s="2">
        <v>728.97</v>
      </c>
      <c r="F644" s="2"/>
      <c r="G644" s="2">
        <v>1573.39</v>
      </c>
      <c r="H644" s="2">
        <v>1840.66</v>
      </c>
      <c r="I644" s="2">
        <v>826.17</v>
      </c>
      <c r="J644" s="2">
        <v>2678.99</v>
      </c>
      <c r="K644" s="2">
        <v>1166.32</v>
      </c>
      <c r="L644" s="2">
        <v>8814.4999999999964</v>
      </c>
      <c r="M644" t="s">
        <v>4400</v>
      </c>
      <c r="N644" t="s">
        <v>4400</v>
      </c>
    </row>
    <row r="645" spans="1:14" x14ac:dyDescent="0.4">
      <c r="A645" t="s">
        <v>1591</v>
      </c>
      <c r="B645" t="s">
        <v>1592</v>
      </c>
      <c r="C645" t="s">
        <v>419</v>
      </c>
      <c r="D645" t="s">
        <v>420</v>
      </c>
      <c r="E645" s="2">
        <v>3210.6100000000006</v>
      </c>
      <c r="F645" s="2">
        <v>3976.0400000000004</v>
      </c>
      <c r="G645" s="2">
        <v>3344.2799999999997</v>
      </c>
      <c r="H645" s="2">
        <v>4121.8600000000006</v>
      </c>
      <c r="I645" s="2">
        <v>3116.46</v>
      </c>
      <c r="J645" s="2">
        <v>3353.3700000000003</v>
      </c>
      <c r="K645" s="2">
        <v>1770.85</v>
      </c>
      <c r="L645" s="2">
        <v>22893.469999999976</v>
      </c>
      <c r="M645" t="s">
        <v>4400</v>
      </c>
      <c r="N645" t="s">
        <v>4400</v>
      </c>
    </row>
    <row r="646" spans="1:14" x14ac:dyDescent="0.4">
      <c r="A646" t="s">
        <v>1593</v>
      </c>
      <c r="B646" t="s">
        <v>1594</v>
      </c>
      <c r="C646" t="s">
        <v>35</v>
      </c>
      <c r="D646" t="s">
        <v>1212</v>
      </c>
      <c r="E646" s="2">
        <v>4944.9299999999994</v>
      </c>
      <c r="F646" s="2">
        <v>4094.47</v>
      </c>
      <c r="G646" s="2">
        <v>4051.9400000000005</v>
      </c>
      <c r="H646" s="2">
        <v>3301.7000000000003</v>
      </c>
      <c r="I646" s="2">
        <v>3912.23</v>
      </c>
      <c r="J646" s="2">
        <v>3395.8099999999995</v>
      </c>
      <c r="K646" s="2">
        <v>1621.99</v>
      </c>
      <c r="L646" s="2">
        <v>25323.070000000014</v>
      </c>
      <c r="M646" t="s">
        <v>4400</v>
      </c>
      <c r="N646" t="s">
        <v>4400</v>
      </c>
    </row>
    <row r="647" spans="1:14" x14ac:dyDescent="0.4">
      <c r="A647" t="s">
        <v>1595</v>
      </c>
      <c r="B647" t="s">
        <v>1596</v>
      </c>
      <c r="C647" t="s">
        <v>258</v>
      </c>
      <c r="D647" t="s">
        <v>1247</v>
      </c>
      <c r="E647" s="2">
        <v>5276.0399999999981</v>
      </c>
      <c r="F647" s="2">
        <v>3362.4299999999985</v>
      </c>
      <c r="G647" s="2">
        <v>4972.3199999999979</v>
      </c>
      <c r="H647" s="2">
        <v>4185.5999999999976</v>
      </c>
      <c r="I647" s="2">
        <v>4841.7199999999984</v>
      </c>
      <c r="J647" s="2">
        <v>3061.7899999999995</v>
      </c>
      <c r="K647" s="2">
        <v>2815.7699999999991</v>
      </c>
      <c r="L647" s="2">
        <v>28515.670000000038</v>
      </c>
      <c r="M647" t="s">
        <v>4400</v>
      </c>
      <c r="N647" t="s">
        <v>4400</v>
      </c>
    </row>
    <row r="648" spans="1:14" x14ac:dyDescent="0.4">
      <c r="A648" t="s">
        <v>1597</v>
      </c>
      <c r="B648" t="s">
        <v>1598</v>
      </c>
      <c r="C648" t="s">
        <v>447</v>
      </c>
      <c r="D648" t="s">
        <v>784</v>
      </c>
      <c r="E648" s="2">
        <v>1925.7899999999995</v>
      </c>
      <c r="F648" s="2">
        <v>1451.8899999999999</v>
      </c>
      <c r="G648" s="2">
        <v>1646.2999999999997</v>
      </c>
      <c r="H648" s="2">
        <v>756.31000000000006</v>
      </c>
      <c r="I648" s="2">
        <v>744.19</v>
      </c>
      <c r="J648" s="2">
        <v>750.25</v>
      </c>
      <c r="K648" s="2">
        <v>725.93</v>
      </c>
      <c r="L648" s="2">
        <v>8000.6599999999935</v>
      </c>
      <c r="M648" t="s">
        <v>4400</v>
      </c>
      <c r="N648" t="s">
        <v>4400</v>
      </c>
    </row>
    <row r="649" spans="1:14" x14ac:dyDescent="0.4">
      <c r="A649" t="s">
        <v>1599</v>
      </c>
      <c r="B649" t="s">
        <v>1600</v>
      </c>
      <c r="C649" t="s">
        <v>303</v>
      </c>
      <c r="D649" t="s">
        <v>334</v>
      </c>
      <c r="E649" s="2">
        <v>4416.3799999999983</v>
      </c>
      <c r="F649" s="2">
        <v>2387.39</v>
      </c>
      <c r="G649" s="2">
        <v>3034.39</v>
      </c>
      <c r="H649" s="2">
        <v>5315.47</v>
      </c>
      <c r="I649" s="2">
        <v>2363.12</v>
      </c>
      <c r="J649" s="2">
        <v>4996.5299999999961</v>
      </c>
      <c r="K649" s="2">
        <v>1716.13</v>
      </c>
      <c r="L649" s="2">
        <v>24229.409999999971</v>
      </c>
      <c r="M649" t="s">
        <v>4400</v>
      </c>
      <c r="N649" t="s">
        <v>4400</v>
      </c>
    </row>
    <row r="650" spans="1:14" x14ac:dyDescent="0.4">
      <c r="A650" t="s">
        <v>1601</v>
      </c>
      <c r="B650" t="s">
        <v>1039</v>
      </c>
      <c r="C650" t="s">
        <v>496</v>
      </c>
      <c r="D650" t="s">
        <v>713</v>
      </c>
      <c r="E650" s="2">
        <v>3110.29</v>
      </c>
      <c r="F650" s="2">
        <v>2976.6699999999996</v>
      </c>
      <c r="G650" s="2">
        <v>3089.0000000000005</v>
      </c>
      <c r="H650" s="2">
        <v>4540.8900000000003</v>
      </c>
      <c r="I650" s="2">
        <v>3395.7799999999997</v>
      </c>
      <c r="J650" s="2">
        <v>3192.25</v>
      </c>
      <c r="K650" s="2">
        <v>2341.81</v>
      </c>
      <c r="L650" s="2">
        <v>22646.689999999981</v>
      </c>
      <c r="M650" t="s">
        <v>4400</v>
      </c>
      <c r="N650" t="s">
        <v>4400</v>
      </c>
    </row>
    <row r="651" spans="1:14" x14ac:dyDescent="0.4">
      <c r="A651" t="s">
        <v>1602</v>
      </c>
      <c r="B651" t="s">
        <v>1603</v>
      </c>
      <c r="C651" t="s">
        <v>27</v>
      </c>
      <c r="D651" t="s">
        <v>925</v>
      </c>
      <c r="E651" s="2">
        <v>4868.9600000000009</v>
      </c>
      <c r="F651" s="2">
        <v>4856.8600000000006</v>
      </c>
      <c r="G651" s="2">
        <v>6096.1</v>
      </c>
      <c r="H651" s="2">
        <v>4826.4799999999996</v>
      </c>
      <c r="I651" s="2">
        <v>5005.68</v>
      </c>
      <c r="J651" s="2">
        <v>5989.8200000000015</v>
      </c>
      <c r="K651" s="2">
        <v>2317.5599999999995</v>
      </c>
      <c r="L651" s="2">
        <v>33961.459999999941</v>
      </c>
      <c r="M651" t="s">
        <v>4400</v>
      </c>
      <c r="N651" t="s">
        <v>4400</v>
      </c>
    </row>
    <row r="652" spans="1:14" x14ac:dyDescent="0.4">
      <c r="A652" t="s">
        <v>1604</v>
      </c>
      <c r="B652" t="s">
        <v>1605</v>
      </c>
      <c r="C652" t="s">
        <v>64</v>
      </c>
      <c r="D652" t="s">
        <v>985</v>
      </c>
      <c r="E652" s="2">
        <v>1959.1799999999996</v>
      </c>
      <c r="F652" s="2">
        <v>3341.2400000000011</v>
      </c>
      <c r="G652" s="2">
        <v>3210.5900000000011</v>
      </c>
      <c r="H652" s="2">
        <v>1041.8499999999999</v>
      </c>
      <c r="I652" s="2">
        <v>2870.39</v>
      </c>
      <c r="J652" s="2">
        <v>2250.7500000000005</v>
      </c>
      <c r="K652" s="2">
        <v>956.81</v>
      </c>
      <c r="L652" s="2">
        <v>15630.809999999969</v>
      </c>
      <c r="M652" t="s">
        <v>4400</v>
      </c>
      <c r="N652" t="s">
        <v>4400</v>
      </c>
    </row>
    <row r="653" spans="1:14" x14ac:dyDescent="0.4">
      <c r="A653" t="s">
        <v>1606</v>
      </c>
      <c r="B653" t="s">
        <v>1607</v>
      </c>
      <c r="C653" t="s">
        <v>496</v>
      </c>
      <c r="D653" t="s">
        <v>1608</v>
      </c>
      <c r="E653" s="2">
        <v>5348.7900000000009</v>
      </c>
      <c r="F653" s="2">
        <v>4820.3100000000004</v>
      </c>
      <c r="G653" s="2">
        <v>5543.9899999999989</v>
      </c>
      <c r="H653" s="2">
        <v>6889.5599999999986</v>
      </c>
      <c r="I653" s="2">
        <v>5415.64</v>
      </c>
      <c r="J653" s="2">
        <v>6010.99</v>
      </c>
      <c r="K653" s="2">
        <v>2369.15</v>
      </c>
      <c r="L653" s="2">
        <v>36398.429999999986</v>
      </c>
      <c r="M653" t="s">
        <v>4400</v>
      </c>
      <c r="N653" t="s">
        <v>4400</v>
      </c>
    </row>
    <row r="654" spans="1:14" x14ac:dyDescent="0.4">
      <c r="A654" t="s">
        <v>1609</v>
      </c>
      <c r="B654" t="s">
        <v>1610</v>
      </c>
      <c r="C654" t="s">
        <v>109</v>
      </c>
      <c r="D654" t="s">
        <v>1611</v>
      </c>
      <c r="E654" s="2">
        <v>5907.7299999999987</v>
      </c>
      <c r="F654" s="2">
        <v>6752.1500000000005</v>
      </c>
      <c r="G654" s="2">
        <v>8498.65</v>
      </c>
      <c r="H654" s="2">
        <v>5950.34</v>
      </c>
      <c r="I654" s="2">
        <v>8310.3000000000011</v>
      </c>
      <c r="J654" s="2">
        <v>6351.1399999999994</v>
      </c>
      <c r="K654" s="2">
        <v>3301.6300000000006</v>
      </c>
      <c r="L654" s="2">
        <v>45071.939999999988</v>
      </c>
      <c r="M654" t="s">
        <v>4400</v>
      </c>
      <c r="N654" t="s">
        <v>4400</v>
      </c>
    </row>
    <row r="655" spans="1:14" x14ac:dyDescent="0.4">
      <c r="A655" t="s">
        <v>1612</v>
      </c>
      <c r="B655" t="s">
        <v>1613</v>
      </c>
      <c r="C655" t="s">
        <v>31</v>
      </c>
      <c r="D655" t="s">
        <v>471</v>
      </c>
      <c r="E655" s="2">
        <v>4264.4900000000007</v>
      </c>
      <c r="F655" s="2">
        <v>2226.41</v>
      </c>
      <c r="G655" s="2">
        <v>4231.09</v>
      </c>
      <c r="H655" s="2">
        <v>5640.4400000000014</v>
      </c>
      <c r="I655" s="2">
        <v>4549.9999999999991</v>
      </c>
      <c r="J655" s="2">
        <v>3903.0200000000009</v>
      </c>
      <c r="K655" s="2"/>
      <c r="L655" s="2">
        <v>24815.449999999975</v>
      </c>
      <c r="M655" t="s">
        <v>4400</v>
      </c>
      <c r="N655" t="s">
        <v>4406</v>
      </c>
    </row>
    <row r="656" spans="1:14" x14ac:dyDescent="0.4">
      <c r="A656" t="s">
        <v>1614</v>
      </c>
      <c r="B656" t="s">
        <v>1615</v>
      </c>
      <c r="C656" t="s">
        <v>240</v>
      </c>
      <c r="D656" t="s">
        <v>1616</v>
      </c>
      <c r="E656" s="2">
        <v>1508.5900000000001</v>
      </c>
      <c r="F656" s="2">
        <v>1526.58</v>
      </c>
      <c r="G656" s="2">
        <v>4160.83</v>
      </c>
      <c r="H656" s="2"/>
      <c r="I656" s="2"/>
      <c r="J656" s="2"/>
      <c r="K656" s="2"/>
      <c r="L656" s="2">
        <v>7195.9999999999964</v>
      </c>
      <c r="M656" t="s">
        <v>4400</v>
      </c>
      <c r="N656" t="s">
        <v>4403</v>
      </c>
    </row>
    <row r="657" spans="1:14" x14ac:dyDescent="0.4">
      <c r="A657" t="s">
        <v>1617</v>
      </c>
      <c r="B657" t="s">
        <v>1618</v>
      </c>
      <c r="C657" t="s">
        <v>103</v>
      </c>
      <c r="D657" t="s">
        <v>1619</v>
      </c>
      <c r="E657" s="2">
        <v>5134.7600000000011</v>
      </c>
      <c r="F657" s="2">
        <v>5353.31</v>
      </c>
      <c r="G657" s="2">
        <v>6977.5499999999993</v>
      </c>
      <c r="H657" s="2">
        <v>2518.5999999999995</v>
      </c>
      <c r="I657" s="2">
        <v>4152.18</v>
      </c>
      <c r="J657" s="2">
        <v>5060.3999999999987</v>
      </c>
      <c r="K657" s="2">
        <v>2770.16</v>
      </c>
      <c r="L657" s="2">
        <v>31966.959999999974</v>
      </c>
      <c r="M657" t="s">
        <v>4400</v>
      </c>
      <c r="N657" t="s">
        <v>4400</v>
      </c>
    </row>
    <row r="658" spans="1:14" x14ac:dyDescent="0.4">
      <c r="A658" t="s">
        <v>1620</v>
      </c>
      <c r="B658" t="s">
        <v>1621</v>
      </c>
      <c r="C658" t="s">
        <v>31</v>
      </c>
      <c r="D658" t="s">
        <v>1514</v>
      </c>
      <c r="E658" s="2">
        <v>7134.9000000000024</v>
      </c>
      <c r="F658" s="2">
        <v>6882.8200000000015</v>
      </c>
      <c r="G658" s="2">
        <v>10157.209999999997</v>
      </c>
      <c r="H658" s="2">
        <v>8589.880000000001</v>
      </c>
      <c r="I658" s="2">
        <v>6925.3099999999995</v>
      </c>
      <c r="J658" s="2">
        <v>5163.62</v>
      </c>
      <c r="K658" s="2">
        <v>3523.4000000000005</v>
      </c>
      <c r="L658" s="2">
        <v>48377.139999999948</v>
      </c>
      <c r="M658" t="s">
        <v>4400</v>
      </c>
      <c r="N658" t="s">
        <v>4400</v>
      </c>
    </row>
    <row r="659" spans="1:14" x14ac:dyDescent="0.4">
      <c r="A659" t="s">
        <v>1622</v>
      </c>
      <c r="B659" t="s">
        <v>1623</v>
      </c>
      <c r="C659" t="s">
        <v>220</v>
      </c>
      <c r="D659" t="s">
        <v>221</v>
      </c>
      <c r="E659" s="2">
        <v>1919.66</v>
      </c>
      <c r="F659" s="2">
        <v>1047.93</v>
      </c>
      <c r="G659" s="2"/>
      <c r="H659" s="2"/>
      <c r="I659" s="2">
        <v>1063.0999999999999</v>
      </c>
      <c r="J659" s="2"/>
      <c r="K659" s="2"/>
      <c r="L659" s="2">
        <v>4030.6900000000005</v>
      </c>
      <c r="M659" t="s">
        <v>4400</v>
      </c>
      <c r="N659" t="s">
        <v>4401</v>
      </c>
    </row>
    <row r="660" spans="1:14" x14ac:dyDescent="0.4">
      <c r="A660" t="s">
        <v>1624</v>
      </c>
      <c r="B660" t="s">
        <v>1625</v>
      </c>
      <c r="C660" t="s">
        <v>113</v>
      </c>
      <c r="D660" t="s">
        <v>1488</v>
      </c>
      <c r="E660" s="2">
        <v>3366.7</v>
      </c>
      <c r="F660" s="2">
        <v>1809.2800000000002</v>
      </c>
      <c r="G660" s="2">
        <v>935.47999999999979</v>
      </c>
      <c r="H660" s="2">
        <v>2364.3999999999996</v>
      </c>
      <c r="I660" s="2">
        <v>1470.0400000000002</v>
      </c>
      <c r="J660" s="2">
        <v>1927.5000000000002</v>
      </c>
      <c r="K660" s="2">
        <v>930.33999999999992</v>
      </c>
      <c r="L660" s="2">
        <v>12803.740000000007</v>
      </c>
      <c r="M660" t="s">
        <v>4400</v>
      </c>
      <c r="N660" t="s">
        <v>4400</v>
      </c>
    </row>
    <row r="661" spans="1:14" x14ac:dyDescent="0.4">
      <c r="A661" t="s">
        <v>1626</v>
      </c>
      <c r="B661" t="s">
        <v>1394</v>
      </c>
      <c r="C661" t="s">
        <v>410</v>
      </c>
      <c r="D661" t="s">
        <v>1627</v>
      </c>
      <c r="E661" s="2">
        <v>4085.3200000000011</v>
      </c>
      <c r="F661" s="2">
        <v>4692.84</v>
      </c>
      <c r="G661" s="2">
        <v>4881.170000000001</v>
      </c>
      <c r="H661" s="2">
        <v>5178.8499999999995</v>
      </c>
      <c r="I661" s="2">
        <v>5555.4299999999985</v>
      </c>
      <c r="J661" s="2">
        <v>4729.26</v>
      </c>
      <c r="K661" s="2">
        <v>2499.8100000000004</v>
      </c>
      <c r="L661" s="2">
        <v>31622.680000000008</v>
      </c>
      <c r="M661" t="s">
        <v>4400</v>
      </c>
      <c r="N661" t="s">
        <v>4400</v>
      </c>
    </row>
    <row r="662" spans="1:14" x14ac:dyDescent="0.4">
      <c r="A662" t="s">
        <v>1628</v>
      </c>
      <c r="B662" t="s">
        <v>1629</v>
      </c>
      <c r="C662" t="s">
        <v>163</v>
      </c>
      <c r="D662" t="s">
        <v>164</v>
      </c>
      <c r="E662" s="2">
        <v>3927.3599999999997</v>
      </c>
      <c r="F662" s="2">
        <v>2041.1499999999996</v>
      </c>
      <c r="G662" s="2">
        <v>4215.8899999999985</v>
      </c>
      <c r="H662" s="2">
        <v>1858.8799999999999</v>
      </c>
      <c r="I662" s="2">
        <v>4644.1399999999994</v>
      </c>
      <c r="J662" s="2">
        <v>3098.0899999999997</v>
      </c>
      <c r="K662" s="2">
        <v>2399.5099999999998</v>
      </c>
      <c r="L662" s="2">
        <v>22185.020000000004</v>
      </c>
      <c r="M662" t="s">
        <v>4400</v>
      </c>
      <c r="N662" t="s">
        <v>4400</v>
      </c>
    </row>
    <row r="663" spans="1:14" x14ac:dyDescent="0.4">
      <c r="A663" t="s">
        <v>1630</v>
      </c>
      <c r="B663" t="s">
        <v>1631</v>
      </c>
      <c r="C663" t="s">
        <v>267</v>
      </c>
      <c r="D663" t="s">
        <v>518</v>
      </c>
      <c r="E663" s="2">
        <v>2007.76</v>
      </c>
      <c r="F663" s="2">
        <v>1654.6399999999996</v>
      </c>
      <c r="G663" s="2">
        <v>2330.9900000000002</v>
      </c>
      <c r="H663" s="2">
        <v>2246.1799999999994</v>
      </c>
      <c r="I663" s="2">
        <v>891.79</v>
      </c>
      <c r="J663" s="2"/>
      <c r="K663" s="2"/>
      <c r="L663" s="2">
        <v>9131.3600000000042</v>
      </c>
      <c r="M663" t="s">
        <v>4400</v>
      </c>
      <c r="N663" t="s">
        <v>4401</v>
      </c>
    </row>
    <row r="664" spans="1:14" x14ac:dyDescent="0.4">
      <c r="A664" t="s">
        <v>1632</v>
      </c>
      <c r="B664" t="s">
        <v>1633</v>
      </c>
      <c r="C664" t="s">
        <v>31</v>
      </c>
      <c r="D664" t="s">
        <v>471</v>
      </c>
      <c r="E664" s="2">
        <v>768.46</v>
      </c>
      <c r="F664" s="2">
        <v>801.87000000000012</v>
      </c>
      <c r="G664" s="2">
        <v>1667.52</v>
      </c>
      <c r="H664" s="2">
        <v>1524.7899999999997</v>
      </c>
      <c r="I664" s="2"/>
      <c r="J664" s="2"/>
      <c r="K664" s="2">
        <v>902.11999999999989</v>
      </c>
      <c r="L664" s="2">
        <v>5664.7599999999984</v>
      </c>
      <c r="M664" t="s">
        <v>4400</v>
      </c>
      <c r="N664" t="s">
        <v>4400</v>
      </c>
    </row>
    <row r="665" spans="1:14" x14ac:dyDescent="0.4">
      <c r="A665" t="s">
        <v>1634</v>
      </c>
      <c r="B665" t="s">
        <v>1635</v>
      </c>
      <c r="C665" t="s">
        <v>542</v>
      </c>
      <c r="D665" t="s">
        <v>1636</v>
      </c>
      <c r="E665" s="2">
        <v>2253.86</v>
      </c>
      <c r="F665" s="2">
        <v>1494.47</v>
      </c>
      <c r="G665" s="2"/>
      <c r="H665" s="2"/>
      <c r="I665" s="2"/>
      <c r="J665" s="2"/>
      <c r="K665" s="2"/>
      <c r="L665" s="2">
        <v>3748.3300000000008</v>
      </c>
      <c r="M665" t="s">
        <v>4400</v>
      </c>
      <c r="N665" t="s">
        <v>4410</v>
      </c>
    </row>
    <row r="666" spans="1:14" x14ac:dyDescent="0.4">
      <c r="A666" t="s">
        <v>1637</v>
      </c>
      <c r="B666" t="s">
        <v>1211</v>
      </c>
      <c r="C666" t="s">
        <v>602</v>
      </c>
      <c r="D666" t="s">
        <v>1638</v>
      </c>
      <c r="E666" s="2">
        <v>3207.4799999999996</v>
      </c>
      <c r="F666" s="2">
        <v>2988.81</v>
      </c>
      <c r="G666" s="2">
        <v>2299.33</v>
      </c>
      <c r="H666" s="2">
        <v>1470.1000000000001</v>
      </c>
      <c r="I666" s="2">
        <v>3095.12</v>
      </c>
      <c r="J666" s="2">
        <v>3371.4799999999996</v>
      </c>
      <c r="K666" s="2">
        <v>1102.5500000000002</v>
      </c>
      <c r="L666" s="2">
        <v>17534.869999999981</v>
      </c>
      <c r="M666" t="s">
        <v>4400</v>
      </c>
      <c r="N666" t="s">
        <v>4400</v>
      </c>
    </row>
    <row r="667" spans="1:14" x14ac:dyDescent="0.4">
      <c r="A667" t="s">
        <v>1639</v>
      </c>
      <c r="B667" t="s">
        <v>1640</v>
      </c>
      <c r="C667" t="s">
        <v>78</v>
      </c>
      <c r="D667" t="s">
        <v>841</v>
      </c>
      <c r="E667" s="2">
        <v>2642.58</v>
      </c>
      <c r="F667" s="2">
        <v>1543.0000000000002</v>
      </c>
      <c r="G667" s="2">
        <v>2302.3399999999997</v>
      </c>
      <c r="H667" s="2">
        <v>747.21</v>
      </c>
      <c r="I667" s="2">
        <v>753.28</v>
      </c>
      <c r="J667" s="2">
        <v>3347.26</v>
      </c>
      <c r="K667" s="2">
        <v>886.90000000000009</v>
      </c>
      <c r="L667" s="2">
        <v>12222.57</v>
      </c>
      <c r="M667" t="s">
        <v>4400</v>
      </c>
      <c r="N667" t="s">
        <v>4400</v>
      </c>
    </row>
    <row r="668" spans="1:14" x14ac:dyDescent="0.4">
      <c r="A668" t="s">
        <v>1641</v>
      </c>
      <c r="B668" t="s">
        <v>1642</v>
      </c>
      <c r="C668" t="s">
        <v>496</v>
      </c>
      <c r="D668" t="s">
        <v>713</v>
      </c>
      <c r="E668" s="2">
        <v>8441.18</v>
      </c>
      <c r="F668" s="2">
        <v>4261.6099999999997</v>
      </c>
      <c r="G668" s="2">
        <v>5859.33</v>
      </c>
      <c r="H668" s="2">
        <v>3541.72</v>
      </c>
      <c r="I668" s="2">
        <v>6199.5099999999993</v>
      </c>
      <c r="J668" s="2">
        <v>2928.17</v>
      </c>
      <c r="K668" s="2">
        <v>3213.6899999999996</v>
      </c>
      <c r="L668" s="2">
        <v>34445.21</v>
      </c>
      <c r="M668" t="s">
        <v>4400</v>
      </c>
      <c r="N668" t="s">
        <v>4400</v>
      </c>
    </row>
    <row r="669" spans="1:14" x14ac:dyDescent="0.4">
      <c r="A669" t="s">
        <v>1643</v>
      </c>
      <c r="B669" t="s">
        <v>1644</v>
      </c>
      <c r="C669" t="s">
        <v>13</v>
      </c>
      <c r="D669" t="s">
        <v>14</v>
      </c>
      <c r="E669" s="2">
        <v>6372.4899999999989</v>
      </c>
      <c r="F669" s="2">
        <v>11803.289999999999</v>
      </c>
      <c r="G669" s="2">
        <v>10758.35</v>
      </c>
      <c r="H669" s="2">
        <v>10032.429999999997</v>
      </c>
      <c r="I669" s="2">
        <v>9388.5599999999977</v>
      </c>
      <c r="J669" s="2">
        <v>8538.0799999999981</v>
      </c>
      <c r="K669" s="2">
        <v>4440.6799999999994</v>
      </c>
      <c r="L669" s="2">
        <v>61333.880000000092</v>
      </c>
      <c r="M669" t="s">
        <v>4400</v>
      </c>
      <c r="N669" t="s">
        <v>4400</v>
      </c>
    </row>
    <row r="670" spans="1:14" x14ac:dyDescent="0.4">
      <c r="A670" t="s">
        <v>1645</v>
      </c>
      <c r="B670" t="s">
        <v>1646</v>
      </c>
      <c r="C670" t="s">
        <v>291</v>
      </c>
      <c r="D670" t="s">
        <v>295</v>
      </c>
      <c r="E670" s="2"/>
      <c r="F670" s="2"/>
      <c r="G670" s="2"/>
      <c r="H670" s="2"/>
      <c r="I670" s="2"/>
      <c r="J670" s="2"/>
      <c r="K670" s="2">
        <v>719.88</v>
      </c>
      <c r="L670" s="2">
        <v>719.88</v>
      </c>
      <c r="M670" t="s">
        <v>4404</v>
      </c>
      <c r="N670" t="s">
        <v>4400</v>
      </c>
    </row>
    <row r="671" spans="1:14" x14ac:dyDescent="0.4">
      <c r="A671" t="s">
        <v>1647</v>
      </c>
      <c r="B671" t="s">
        <v>1648</v>
      </c>
      <c r="C671" t="s">
        <v>291</v>
      </c>
      <c r="D671" t="s">
        <v>1649</v>
      </c>
      <c r="E671" s="2">
        <v>4762.62</v>
      </c>
      <c r="F671" s="2">
        <v>3915.1999999999994</v>
      </c>
      <c r="G671" s="2">
        <v>3362.4</v>
      </c>
      <c r="H671" s="2">
        <v>3790.6499999999996</v>
      </c>
      <c r="I671" s="2">
        <v>5370.1500000000005</v>
      </c>
      <c r="J671" s="2">
        <v>3049.47</v>
      </c>
      <c r="K671" s="2">
        <v>2080.5700000000002</v>
      </c>
      <c r="L671" s="2">
        <v>26331.059999999979</v>
      </c>
      <c r="M671" t="s">
        <v>4400</v>
      </c>
      <c r="N671" t="s">
        <v>4400</v>
      </c>
    </row>
    <row r="672" spans="1:14" x14ac:dyDescent="0.4">
      <c r="A672" t="s">
        <v>1650</v>
      </c>
      <c r="B672" t="s">
        <v>1651</v>
      </c>
      <c r="C672" t="s">
        <v>359</v>
      </c>
      <c r="D672" t="s">
        <v>360</v>
      </c>
      <c r="E672" s="2"/>
      <c r="F672" s="2">
        <v>941.61999999999989</v>
      </c>
      <c r="G672" s="2">
        <v>883.90999999999985</v>
      </c>
      <c r="H672" s="2"/>
      <c r="I672" s="2"/>
      <c r="J672" s="2"/>
      <c r="K672" s="2"/>
      <c r="L672" s="2">
        <v>1825.53</v>
      </c>
      <c r="M672" t="s">
        <v>4412</v>
      </c>
      <c r="N672" t="s">
        <v>4403</v>
      </c>
    </row>
    <row r="673" spans="1:14" x14ac:dyDescent="0.4">
      <c r="A673" t="s">
        <v>1652</v>
      </c>
      <c r="B673" t="s">
        <v>1653</v>
      </c>
      <c r="C673" t="s">
        <v>103</v>
      </c>
      <c r="D673" t="s">
        <v>104</v>
      </c>
      <c r="E673" s="2">
        <v>2688.0899999999992</v>
      </c>
      <c r="F673" s="2">
        <v>1892.29</v>
      </c>
      <c r="G673" s="2">
        <v>4419.4699999999993</v>
      </c>
      <c r="H673" s="2">
        <v>2354.02</v>
      </c>
      <c r="I673" s="2">
        <v>892.99</v>
      </c>
      <c r="J673" s="2">
        <v>5336.7799999999979</v>
      </c>
      <c r="K673" s="2">
        <v>1230.1599999999999</v>
      </c>
      <c r="L673" s="2">
        <v>18813.799999999985</v>
      </c>
      <c r="M673" t="s">
        <v>4400</v>
      </c>
      <c r="N673" t="s">
        <v>4400</v>
      </c>
    </row>
    <row r="674" spans="1:14" x14ac:dyDescent="0.4">
      <c r="A674" t="s">
        <v>1654</v>
      </c>
      <c r="B674" t="s">
        <v>1655</v>
      </c>
      <c r="C674" t="s">
        <v>96</v>
      </c>
      <c r="D674" t="s">
        <v>1656</v>
      </c>
      <c r="E674" s="2">
        <v>3657.1</v>
      </c>
      <c r="F674" s="2">
        <v>4954.090000000002</v>
      </c>
      <c r="G674" s="2">
        <v>4170.4799999999996</v>
      </c>
      <c r="H674" s="2">
        <v>5309.5300000000016</v>
      </c>
      <c r="I674" s="2">
        <v>3918.31</v>
      </c>
      <c r="J674" s="2">
        <v>4158.2399999999989</v>
      </c>
      <c r="K674" s="2">
        <v>2071.5399999999995</v>
      </c>
      <c r="L674" s="2">
        <v>28239.289999999975</v>
      </c>
      <c r="M674" t="s">
        <v>4400</v>
      </c>
      <c r="N674" t="s">
        <v>4400</v>
      </c>
    </row>
    <row r="675" spans="1:14" x14ac:dyDescent="0.4">
      <c r="A675" t="s">
        <v>1657</v>
      </c>
      <c r="B675" t="s">
        <v>1658</v>
      </c>
      <c r="C675" t="s">
        <v>96</v>
      </c>
      <c r="D675" t="s">
        <v>904</v>
      </c>
      <c r="E675" s="2">
        <v>3313.86</v>
      </c>
      <c r="F675" s="2">
        <v>3292.61</v>
      </c>
      <c r="G675" s="2">
        <v>3313.869999999999</v>
      </c>
      <c r="H675" s="2">
        <v>1731.34</v>
      </c>
      <c r="I675" s="2">
        <v>965.91000000000008</v>
      </c>
      <c r="J675" s="2">
        <v>1503.5499999999997</v>
      </c>
      <c r="K675" s="2"/>
      <c r="L675" s="2">
        <v>14121.139999999992</v>
      </c>
      <c r="M675" t="s">
        <v>4400</v>
      </c>
      <c r="N675" t="s">
        <v>4406</v>
      </c>
    </row>
    <row r="676" spans="1:14" x14ac:dyDescent="0.4">
      <c r="A676" t="s">
        <v>1659</v>
      </c>
      <c r="B676" t="s">
        <v>1660</v>
      </c>
      <c r="C676" t="s">
        <v>178</v>
      </c>
      <c r="D676" t="s">
        <v>179</v>
      </c>
      <c r="E676" s="2">
        <v>3335.08</v>
      </c>
      <c r="F676" s="2">
        <v>3729.9500000000003</v>
      </c>
      <c r="G676" s="2">
        <v>3596.369999999999</v>
      </c>
      <c r="H676" s="2">
        <v>3784.71</v>
      </c>
      <c r="I676" s="2">
        <v>5916.98</v>
      </c>
      <c r="J676" s="2">
        <v>3669.2299999999996</v>
      </c>
      <c r="K676" s="2">
        <v>2469.4499999999998</v>
      </c>
      <c r="L676" s="2">
        <v>26501.769999999964</v>
      </c>
      <c r="M676" t="s">
        <v>4400</v>
      </c>
      <c r="N676" t="s">
        <v>4400</v>
      </c>
    </row>
    <row r="677" spans="1:14" x14ac:dyDescent="0.4">
      <c r="A677" t="s">
        <v>1661</v>
      </c>
      <c r="B677" t="s">
        <v>416</v>
      </c>
      <c r="C677" t="s">
        <v>410</v>
      </c>
      <c r="D677" t="s">
        <v>1662</v>
      </c>
      <c r="E677" s="2"/>
      <c r="F677" s="2"/>
      <c r="G677" s="2"/>
      <c r="H677" s="2"/>
      <c r="I677" s="2"/>
      <c r="J677" s="2">
        <v>747.21999999999991</v>
      </c>
      <c r="K677" s="2"/>
      <c r="L677" s="2">
        <v>747.21999999999991</v>
      </c>
      <c r="M677" t="s">
        <v>4405</v>
      </c>
      <c r="N677" t="s">
        <v>4406</v>
      </c>
    </row>
    <row r="678" spans="1:14" x14ac:dyDescent="0.4">
      <c r="A678" t="s">
        <v>1663</v>
      </c>
      <c r="B678" t="s">
        <v>1155</v>
      </c>
      <c r="C678" t="s">
        <v>303</v>
      </c>
      <c r="D678" t="s">
        <v>1664</v>
      </c>
      <c r="E678" s="2">
        <v>2770.1600000000003</v>
      </c>
      <c r="F678" s="2">
        <v>3596.3500000000004</v>
      </c>
      <c r="G678" s="2">
        <v>3256.1899999999996</v>
      </c>
      <c r="H678" s="2">
        <v>3572.0499999999988</v>
      </c>
      <c r="I678" s="2">
        <v>883.91000000000008</v>
      </c>
      <c r="J678" s="2">
        <v>1445.8400000000004</v>
      </c>
      <c r="K678" s="2">
        <v>2275.0700000000006</v>
      </c>
      <c r="L678" s="2">
        <v>17799.569999999978</v>
      </c>
      <c r="M678" t="s">
        <v>4400</v>
      </c>
      <c r="N678" t="s">
        <v>4400</v>
      </c>
    </row>
    <row r="679" spans="1:14" x14ac:dyDescent="0.4">
      <c r="A679" t="s">
        <v>1665</v>
      </c>
      <c r="B679" t="s">
        <v>883</v>
      </c>
      <c r="C679" t="s">
        <v>884</v>
      </c>
      <c r="D679" t="s">
        <v>1666</v>
      </c>
      <c r="E679" s="2">
        <v>756.32000000000016</v>
      </c>
      <c r="F679" s="2"/>
      <c r="G679" s="2"/>
      <c r="H679" s="2">
        <v>1679.66</v>
      </c>
      <c r="I679" s="2">
        <v>1682.7199999999998</v>
      </c>
      <c r="J679" s="2">
        <v>1506.58</v>
      </c>
      <c r="K679" s="2"/>
      <c r="L679" s="2">
        <v>5625.28</v>
      </c>
      <c r="M679" t="s">
        <v>4400</v>
      </c>
      <c r="N679" t="s">
        <v>4406</v>
      </c>
    </row>
    <row r="680" spans="1:14" x14ac:dyDescent="0.4">
      <c r="A680" t="s">
        <v>1667</v>
      </c>
      <c r="B680" t="s">
        <v>495</v>
      </c>
      <c r="C680" t="s">
        <v>496</v>
      </c>
      <c r="D680" t="s">
        <v>497</v>
      </c>
      <c r="E680" s="2">
        <v>5783.3400000000011</v>
      </c>
      <c r="F680" s="2">
        <v>5115.119999999999</v>
      </c>
      <c r="G680" s="2">
        <v>4109.6799999999994</v>
      </c>
      <c r="H680" s="2">
        <v>6761.3799999999965</v>
      </c>
      <c r="I680" s="2">
        <v>5919.9799999999977</v>
      </c>
      <c r="J680" s="2">
        <v>5254.7999999999993</v>
      </c>
      <c r="K680" s="2">
        <v>2265.9399999999991</v>
      </c>
      <c r="L680" s="2">
        <v>35210.240000000013</v>
      </c>
      <c r="M680" t="s">
        <v>4400</v>
      </c>
      <c r="N680" t="s">
        <v>4400</v>
      </c>
    </row>
    <row r="681" spans="1:14" x14ac:dyDescent="0.4">
      <c r="A681" t="s">
        <v>1668</v>
      </c>
      <c r="B681" t="s">
        <v>1669</v>
      </c>
      <c r="C681" t="s">
        <v>5</v>
      </c>
      <c r="D681" t="s">
        <v>1354</v>
      </c>
      <c r="E681" s="2">
        <v>3862.7099999999996</v>
      </c>
      <c r="F681" s="2">
        <v>3590.29</v>
      </c>
      <c r="G681" s="2">
        <v>3191.9399999999996</v>
      </c>
      <c r="H681" s="2">
        <v>3068.58</v>
      </c>
      <c r="I681" s="2">
        <v>3716.22</v>
      </c>
      <c r="J681" s="2">
        <v>2960.64</v>
      </c>
      <c r="K681" s="2">
        <v>1449.48</v>
      </c>
      <c r="L681" s="2">
        <v>21839.860000000011</v>
      </c>
      <c r="M681" t="s">
        <v>4400</v>
      </c>
      <c r="N681" t="s">
        <v>4400</v>
      </c>
    </row>
    <row r="682" spans="1:14" x14ac:dyDescent="0.4">
      <c r="A682" t="s">
        <v>1670</v>
      </c>
      <c r="B682" t="s">
        <v>1671</v>
      </c>
      <c r="C682" t="s">
        <v>602</v>
      </c>
      <c r="D682" t="s">
        <v>603</v>
      </c>
      <c r="E682" s="2">
        <v>3274.3299999999995</v>
      </c>
      <c r="F682" s="2">
        <v>3681.3999999999996</v>
      </c>
      <c r="G682" s="2">
        <v>3669.2099999999996</v>
      </c>
      <c r="H682" s="2">
        <v>2138.3599999999997</v>
      </c>
      <c r="I682" s="2">
        <v>3113.389999999999</v>
      </c>
      <c r="J682" s="2"/>
      <c r="K682" s="2"/>
      <c r="L682" s="2">
        <v>15876.690000000002</v>
      </c>
      <c r="M682" t="s">
        <v>4400</v>
      </c>
      <c r="N682" t="s">
        <v>4401</v>
      </c>
    </row>
    <row r="683" spans="1:14" x14ac:dyDescent="0.4">
      <c r="A683" t="s">
        <v>1672</v>
      </c>
      <c r="B683" t="s">
        <v>1673</v>
      </c>
      <c r="C683" t="s">
        <v>602</v>
      </c>
      <c r="D683" t="s">
        <v>1674</v>
      </c>
      <c r="E683" s="2">
        <v>3901.2599999999998</v>
      </c>
      <c r="F683" s="2">
        <v>3600.5700000000006</v>
      </c>
      <c r="G683" s="2">
        <v>3875.5600000000004</v>
      </c>
      <c r="H683" s="2">
        <v>2356.69</v>
      </c>
      <c r="I683" s="2">
        <v>2994.0499999999993</v>
      </c>
      <c r="J683" s="2">
        <v>3618.5599999999995</v>
      </c>
      <c r="K683" s="2">
        <v>2215.34</v>
      </c>
      <c r="L683" s="2">
        <v>22562.030000000035</v>
      </c>
      <c r="M683" t="s">
        <v>4400</v>
      </c>
      <c r="N683" t="s">
        <v>4400</v>
      </c>
    </row>
    <row r="684" spans="1:14" x14ac:dyDescent="0.4">
      <c r="A684" t="s">
        <v>1675</v>
      </c>
      <c r="B684" t="s">
        <v>1676</v>
      </c>
      <c r="C684" t="s">
        <v>199</v>
      </c>
      <c r="D684" t="s">
        <v>690</v>
      </c>
      <c r="E684" s="2">
        <v>3189.2999999999997</v>
      </c>
      <c r="F684" s="2">
        <v>1063.0999999999999</v>
      </c>
      <c r="G684" s="2"/>
      <c r="H684" s="2">
        <v>865.65000000000009</v>
      </c>
      <c r="I684" s="2">
        <v>1427.6000000000001</v>
      </c>
      <c r="J684" s="2">
        <v>1427.6000000000001</v>
      </c>
      <c r="K684" s="2">
        <v>2460.3000000000002</v>
      </c>
      <c r="L684" s="2">
        <v>10433.549999999999</v>
      </c>
      <c r="M684" t="s">
        <v>4400</v>
      </c>
      <c r="N684" t="s">
        <v>4400</v>
      </c>
    </row>
    <row r="685" spans="1:14" x14ac:dyDescent="0.4">
      <c r="A685" t="s">
        <v>1677</v>
      </c>
      <c r="B685" t="s">
        <v>1678</v>
      </c>
      <c r="C685" t="s">
        <v>423</v>
      </c>
      <c r="D685" t="s">
        <v>424</v>
      </c>
      <c r="E685" s="2">
        <v>4783.9799999999996</v>
      </c>
      <c r="F685" s="2">
        <v>4987.4699999999984</v>
      </c>
      <c r="G685" s="2">
        <v>4771.82</v>
      </c>
      <c r="H685" s="2">
        <v>4954.0699999999988</v>
      </c>
      <c r="I685" s="2">
        <v>6746.15</v>
      </c>
      <c r="J685" s="2">
        <v>5810.63</v>
      </c>
      <c r="K685" s="2">
        <v>2366.1799999999994</v>
      </c>
      <c r="L685" s="2">
        <v>34420.300000000025</v>
      </c>
      <c r="M685" t="s">
        <v>4400</v>
      </c>
      <c r="N685" t="s">
        <v>4400</v>
      </c>
    </row>
    <row r="686" spans="1:14" x14ac:dyDescent="0.4">
      <c r="A686" t="s">
        <v>1679</v>
      </c>
      <c r="B686" t="s">
        <v>1680</v>
      </c>
      <c r="C686" t="s">
        <v>274</v>
      </c>
      <c r="D686" t="s">
        <v>1681</v>
      </c>
      <c r="E686" s="2">
        <v>2035.0899999999995</v>
      </c>
      <c r="F686" s="2">
        <v>1053.9799999999998</v>
      </c>
      <c r="G686" s="2">
        <v>917.3</v>
      </c>
      <c r="H686" s="2"/>
      <c r="I686" s="2"/>
      <c r="J686" s="2"/>
      <c r="K686" s="2"/>
      <c r="L686" s="2">
        <v>4006.3699999999994</v>
      </c>
      <c r="M686" t="s">
        <v>4400</v>
      </c>
      <c r="N686" t="s">
        <v>4403</v>
      </c>
    </row>
    <row r="687" spans="1:14" x14ac:dyDescent="0.4">
      <c r="A687" t="s">
        <v>1682</v>
      </c>
      <c r="B687" t="s">
        <v>1683</v>
      </c>
      <c r="C687" t="s">
        <v>103</v>
      </c>
      <c r="D687" t="s">
        <v>1619</v>
      </c>
      <c r="E687" s="2">
        <v>3617.55</v>
      </c>
      <c r="F687" s="2">
        <v>4389.05</v>
      </c>
      <c r="G687" s="2">
        <v>5883.45</v>
      </c>
      <c r="H687" s="2">
        <v>3811.9500000000003</v>
      </c>
      <c r="I687" s="2">
        <v>4364.7500000000009</v>
      </c>
      <c r="J687" s="2">
        <v>4926.66</v>
      </c>
      <c r="K687" s="2">
        <v>2022.8999999999999</v>
      </c>
      <c r="L687" s="2">
        <v>29016.310000000005</v>
      </c>
      <c r="M687" t="s">
        <v>4400</v>
      </c>
      <c r="N687" t="s">
        <v>4400</v>
      </c>
    </row>
    <row r="688" spans="1:14" x14ac:dyDescent="0.4">
      <c r="A688" t="s">
        <v>1684</v>
      </c>
      <c r="B688" t="s">
        <v>1685</v>
      </c>
      <c r="C688" t="s">
        <v>1</v>
      </c>
      <c r="D688" t="s">
        <v>88</v>
      </c>
      <c r="E688" s="2">
        <v>3748.1500000000005</v>
      </c>
      <c r="F688" s="2">
        <v>3347.23</v>
      </c>
      <c r="G688" s="2">
        <v>3933.4300000000007</v>
      </c>
      <c r="H688" s="2">
        <v>1828.5099999999998</v>
      </c>
      <c r="I688" s="2"/>
      <c r="J688" s="2">
        <v>1713.0900000000001</v>
      </c>
      <c r="K688" s="2">
        <v>1564.25</v>
      </c>
      <c r="L688" s="2">
        <v>16134.659999999991</v>
      </c>
      <c r="M688" t="s">
        <v>4400</v>
      </c>
      <c r="N688" t="s">
        <v>4400</v>
      </c>
    </row>
    <row r="689" spans="1:14" x14ac:dyDescent="0.4">
      <c r="A689" t="s">
        <v>1686</v>
      </c>
      <c r="B689" t="s">
        <v>1687</v>
      </c>
      <c r="C689" t="s">
        <v>64</v>
      </c>
      <c r="D689" t="s">
        <v>1377</v>
      </c>
      <c r="E689" s="2">
        <v>8899.41</v>
      </c>
      <c r="F689" s="2">
        <v>6493.98</v>
      </c>
      <c r="G689" s="2">
        <v>7055.9000000000005</v>
      </c>
      <c r="H689" s="2">
        <v>6062.62</v>
      </c>
      <c r="I689" s="2">
        <v>4385.97</v>
      </c>
      <c r="J689" s="2">
        <v>6588.1400000000012</v>
      </c>
      <c r="K689" s="2">
        <v>1852.7999999999997</v>
      </c>
      <c r="L689" s="2">
        <v>41338.819999999971</v>
      </c>
      <c r="M689" t="s">
        <v>4400</v>
      </c>
      <c r="N689" t="s">
        <v>4400</v>
      </c>
    </row>
    <row r="690" spans="1:14" x14ac:dyDescent="0.4">
      <c r="A690" t="s">
        <v>1688</v>
      </c>
      <c r="B690" t="s">
        <v>1689</v>
      </c>
      <c r="C690" t="s">
        <v>267</v>
      </c>
      <c r="D690" t="s">
        <v>1690</v>
      </c>
      <c r="E690" s="2"/>
      <c r="F690" s="2"/>
      <c r="G690" s="2"/>
      <c r="H690" s="2">
        <v>747.2</v>
      </c>
      <c r="I690" s="2">
        <v>3690.4900000000002</v>
      </c>
      <c r="J690" s="2">
        <v>3833.29</v>
      </c>
      <c r="K690" s="2">
        <v>732.03</v>
      </c>
      <c r="L690" s="2">
        <v>9003.0099999999966</v>
      </c>
      <c r="M690" t="s">
        <v>4409</v>
      </c>
      <c r="N690" t="s">
        <v>4400</v>
      </c>
    </row>
    <row r="691" spans="1:14" x14ac:dyDescent="0.4">
      <c r="A691" t="s">
        <v>1691</v>
      </c>
      <c r="B691" t="s">
        <v>1692</v>
      </c>
      <c r="C691" t="s">
        <v>78</v>
      </c>
      <c r="D691" t="s">
        <v>79</v>
      </c>
      <c r="E691" s="2">
        <v>3407.82</v>
      </c>
      <c r="F691" s="2">
        <v>2500.6099999999997</v>
      </c>
      <c r="G691" s="2">
        <v>2459.4899999999998</v>
      </c>
      <c r="H691" s="2">
        <v>2464.6299999999997</v>
      </c>
      <c r="I691" s="2">
        <v>4124.8499999999995</v>
      </c>
      <c r="J691" s="2">
        <v>4307.3199999999988</v>
      </c>
      <c r="K691" s="2">
        <v>1590.83</v>
      </c>
      <c r="L691" s="2">
        <v>20855.550000000036</v>
      </c>
      <c r="M691" t="s">
        <v>4400</v>
      </c>
      <c r="N691" t="s">
        <v>4400</v>
      </c>
    </row>
    <row r="692" spans="1:14" x14ac:dyDescent="0.4">
      <c r="A692" t="s">
        <v>1693</v>
      </c>
      <c r="B692" t="s">
        <v>1694</v>
      </c>
      <c r="C692" t="s">
        <v>163</v>
      </c>
      <c r="D692" t="s">
        <v>618</v>
      </c>
      <c r="E692" s="2">
        <v>6214.5999999999976</v>
      </c>
      <c r="F692" s="2">
        <v>5172.7599999999993</v>
      </c>
      <c r="G692" s="2">
        <v>5579.77</v>
      </c>
      <c r="H692" s="2">
        <v>5382.3399999999992</v>
      </c>
      <c r="I692" s="2">
        <v>6700.61</v>
      </c>
      <c r="J692" s="2">
        <v>5330.73</v>
      </c>
      <c r="K692" s="2">
        <v>2715.48</v>
      </c>
      <c r="L692" s="2">
        <v>37096.29000000003</v>
      </c>
      <c r="M692" t="s">
        <v>4400</v>
      </c>
      <c r="N692" t="s">
        <v>4400</v>
      </c>
    </row>
    <row r="693" spans="1:14" x14ac:dyDescent="0.4">
      <c r="A693" t="s">
        <v>1695</v>
      </c>
      <c r="B693" t="s">
        <v>960</v>
      </c>
      <c r="C693" t="s">
        <v>410</v>
      </c>
      <c r="D693" t="s">
        <v>411</v>
      </c>
      <c r="E693" s="2">
        <v>3632.84</v>
      </c>
      <c r="F693" s="2">
        <v>2742.8499999999995</v>
      </c>
      <c r="G693" s="2">
        <v>2223.4499999999998</v>
      </c>
      <c r="H693" s="2">
        <v>1688.8600000000001</v>
      </c>
      <c r="I693" s="2">
        <v>1770.87</v>
      </c>
      <c r="J693" s="2"/>
      <c r="K693" s="2"/>
      <c r="L693" s="2">
        <v>12058.869999999997</v>
      </c>
      <c r="M693" t="s">
        <v>4400</v>
      </c>
      <c r="N693" t="s">
        <v>4401</v>
      </c>
    </row>
    <row r="694" spans="1:14" x14ac:dyDescent="0.4">
      <c r="A694" t="s">
        <v>1696</v>
      </c>
      <c r="B694" t="s">
        <v>1697</v>
      </c>
      <c r="C694" t="s">
        <v>123</v>
      </c>
      <c r="D694" t="s">
        <v>129</v>
      </c>
      <c r="E694" s="2">
        <v>4343.670000000001</v>
      </c>
      <c r="F694" s="2">
        <v>4407.4599999999991</v>
      </c>
      <c r="G694" s="2">
        <v>5528.3200000000006</v>
      </c>
      <c r="H694" s="2">
        <v>5829.0400000000009</v>
      </c>
      <c r="I694" s="2">
        <v>4735.54</v>
      </c>
      <c r="J694" s="2">
        <v>2341.9199999999996</v>
      </c>
      <c r="K694" s="2"/>
      <c r="L694" s="2">
        <v>27185.949999999975</v>
      </c>
      <c r="M694" t="s">
        <v>4400</v>
      </c>
      <c r="N694" t="s">
        <v>4406</v>
      </c>
    </row>
    <row r="695" spans="1:14" x14ac:dyDescent="0.4">
      <c r="A695" t="s">
        <v>1698</v>
      </c>
      <c r="B695" t="s">
        <v>1699</v>
      </c>
      <c r="C695" t="s">
        <v>437</v>
      </c>
      <c r="D695" t="s">
        <v>512</v>
      </c>
      <c r="E695" s="2">
        <v>6987.83</v>
      </c>
      <c r="F695" s="2">
        <v>4677.3999999999978</v>
      </c>
      <c r="G695" s="2">
        <v>3574.869999999999</v>
      </c>
      <c r="H695" s="2">
        <v>4939.5400000000009</v>
      </c>
      <c r="I695" s="2">
        <v>5779.9300000000039</v>
      </c>
      <c r="J695" s="2">
        <v>5607.74</v>
      </c>
      <c r="K695" s="2">
        <v>2582.85</v>
      </c>
      <c r="L695" s="2">
        <v>34150.160000000003</v>
      </c>
      <c r="M695" t="s">
        <v>4400</v>
      </c>
      <c r="N695" t="s">
        <v>4400</v>
      </c>
    </row>
    <row r="696" spans="1:14" x14ac:dyDescent="0.4">
      <c r="A696" t="s">
        <v>1700</v>
      </c>
      <c r="B696" t="s">
        <v>1701</v>
      </c>
      <c r="C696" t="s">
        <v>35</v>
      </c>
      <c r="D696" t="s">
        <v>1702</v>
      </c>
      <c r="E696" s="2">
        <v>3048.0199999999995</v>
      </c>
      <c r="F696" s="2">
        <v>3276.7499999999995</v>
      </c>
      <c r="G696" s="2">
        <v>2387.5299999999997</v>
      </c>
      <c r="H696" s="2">
        <v>2482.6199999999994</v>
      </c>
      <c r="I696" s="2">
        <v>1536.86</v>
      </c>
      <c r="J696" s="2">
        <v>3934.6699999999983</v>
      </c>
      <c r="K696" s="2">
        <v>809.55</v>
      </c>
      <c r="L696" s="2">
        <v>17476.000000000055</v>
      </c>
      <c r="M696" t="s">
        <v>4400</v>
      </c>
      <c r="N696" t="s">
        <v>4400</v>
      </c>
    </row>
    <row r="697" spans="1:14" x14ac:dyDescent="0.4">
      <c r="A697" t="s">
        <v>1703</v>
      </c>
      <c r="B697" t="s">
        <v>1704</v>
      </c>
      <c r="C697" t="s">
        <v>433</v>
      </c>
      <c r="D697" t="s">
        <v>566</v>
      </c>
      <c r="E697" s="2">
        <v>2107.9299999999998</v>
      </c>
      <c r="F697" s="2">
        <v>908.18</v>
      </c>
      <c r="G697" s="2">
        <v>975.02</v>
      </c>
      <c r="H697" s="2">
        <v>1139.04</v>
      </c>
      <c r="I697" s="2">
        <v>929.43000000000006</v>
      </c>
      <c r="J697" s="2"/>
      <c r="K697" s="2"/>
      <c r="L697" s="2">
        <v>6059.5999999999995</v>
      </c>
      <c r="M697" t="s">
        <v>4400</v>
      </c>
      <c r="N697" t="s">
        <v>4401</v>
      </c>
    </row>
    <row r="698" spans="1:14" x14ac:dyDescent="0.4">
      <c r="A698" t="s">
        <v>1705</v>
      </c>
      <c r="B698" t="s">
        <v>1706</v>
      </c>
      <c r="C698" t="s">
        <v>860</v>
      </c>
      <c r="D698" t="s">
        <v>1707</v>
      </c>
      <c r="E698" s="2">
        <v>2581.81</v>
      </c>
      <c r="F698" s="2">
        <v>1312.16</v>
      </c>
      <c r="G698" s="2">
        <v>2369.1599999999994</v>
      </c>
      <c r="H698" s="2">
        <v>1919.64</v>
      </c>
      <c r="I698" s="2">
        <v>1767.7799999999995</v>
      </c>
      <c r="J698" s="2">
        <v>886.92000000000007</v>
      </c>
      <c r="K698" s="2">
        <v>975.01</v>
      </c>
      <c r="L698" s="2">
        <v>11812.47999999999</v>
      </c>
      <c r="M698" t="s">
        <v>4400</v>
      </c>
      <c r="N698" t="s">
        <v>4400</v>
      </c>
    </row>
    <row r="699" spans="1:14" x14ac:dyDescent="0.4">
      <c r="A699" t="s">
        <v>1708</v>
      </c>
      <c r="B699" t="s">
        <v>1709</v>
      </c>
      <c r="C699" t="s">
        <v>310</v>
      </c>
      <c r="D699" t="s">
        <v>317</v>
      </c>
      <c r="E699" s="2">
        <v>3120</v>
      </c>
      <c r="F699" s="2">
        <v>2360</v>
      </c>
      <c r="G699" s="2">
        <v>1682.8899999999996</v>
      </c>
      <c r="H699" s="2"/>
      <c r="I699" s="2"/>
      <c r="J699" s="2"/>
      <c r="K699" s="2"/>
      <c r="L699" s="2">
        <v>7162.89</v>
      </c>
      <c r="M699" t="s">
        <v>4400</v>
      </c>
      <c r="N699" t="s">
        <v>4403</v>
      </c>
    </row>
    <row r="700" spans="1:14" x14ac:dyDescent="0.4">
      <c r="A700" t="s">
        <v>1710</v>
      </c>
      <c r="B700" t="s">
        <v>1711</v>
      </c>
      <c r="C700" t="s">
        <v>35</v>
      </c>
      <c r="D700" t="s">
        <v>1712</v>
      </c>
      <c r="E700" s="2">
        <v>4683.92</v>
      </c>
      <c r="F700" s="2">
        <v>4638.3099999999995</v>
      </c>
      <c r="G700" s="2">
        <v>4905.659999999998</v>
      </c>
      <c r="H700" s="2">
        <v>3392.9900000000007</v>
      </c>
      <c r="I700" s="2">
        <v>4459.1699999999992</v>
      </c>
      <c r="J700" s="2">
        <v>3681.5299999999997</v>
      </c>
      <c r="K700" s="2">
        <v>1868.1200000000001</v>
      </c>
      <c r="L700" s="2">
        <v>27629.699999999983</v>
      </c>
      <c r="M700" t="s">
        <v>4400</v>
      </c>
      <c r="N700" t="s">
        <v>4400</v>
      </c>
    </row>
    <row r="701" spans="1:14" x14ac:dyDescent="0.4">
      <c r="A701" t="s">
        <v>1713</v>
      </c>
      <c r="B701" t="s">
        <v>1714</v>
      </c>
      <c r="C701" t="s">
        <v>602</v>
      </c>
      <c r="D701" t="s">
        <v>894</v>
      </c>
      <c r="E701" s="2">
        <v>807.95</v>
      </c>
      <c r="F701" s="2"/>
      <c r="G701" s="2">
        <v>777.57999999999993</v>
      </c>
      <c r="H701" s="2">
        <v>1591.66</v>
      </c>
      <c r="I701" s="2">
        <v>929.47</v>
      </c>
      <c r="J701" s="2">
        <v>1968.2800000000002</v>
      </c>
      <c r="K701" s="2">
        <v>1096.51</v>
      </c>
      <c r="L701" s="2">
        <v>7171.4499999999989</v>
      </c>
      <c r="M701" t="s">
        <v>4400</v>
      </c>
      <c r="N701" t="s">
        <v>4400</v>
      </c>
    </row>
    <row r="702" spans="1:14" x14ac:dyDescent="0.4">
      <c r="A702" t="s">
        <v>1715</v>
      </c>
      <c r="B702" t="s">
        <v>1716</v>
      </c>
      <c r="C702" t="s">
        <v>374</v>
      </c>
      <c r="D702" t="s">
        <v>1717</v>
      </c>
      <c r="E702" s="2">
        <v>4152.21</v>
      </c>
      <c r="F702" s="2">
        <v>896.05</v>
      </c>
      <c r="G702" s="2"/>
      <c r="H702" s="2"/>
      <c r="I702" s="2"/>
      <c r="J702" s="2"/>
      <c r="K702" s="2"/>
      <c r="L702" s="2">
        <v>5048.26</v>
      </c>
      <c r="M702" t="s">
        <v>4400</v>
      </c>
      <c r="N702" t="s">
        <v>4410</v>
      </c>
    </row>
    <row r="703" spans="1:14" x14ac:dyDescent="0.4">
      <c r="A703" t="s">
        <v>1718</v>
      </c>
      <c r="B703" t="s">
        <v>1719</v>
      </c>
      <c r="C703" t="s">
        <v>195</v>
      </c>
      <c r="D703" t="s">
        <v>1304</v>
      </c>
      <c r="E703" s="2">
        <v>4814.1900000000005</v>
      </c>
      <c r="F703" s="2">
        <v>4340.33</v>
      </c>
      <c r="G703" s="2">
        <v>6041.2399999999989</v>
      </c>
      <c r="H703" s="2">
        <v>5309.2299999999987</v>
      </c>
      <c r="I703" s="2">
        <v>4018.33</v>
      </c>
      <c r="J703" s="2">
        <v>4563.6299999999983</v>
      </c>
      <c r="K703" s="2">
        <v>1655.0800000000002</v>
      </c>
      <c r="L703" s="2">
        <v>30742.029999999977</v>
      </c>
      <c r="M703" t="s">
        <v>4400</v>
      </c>
      <c r="N703" t="s">
        <v>4400</v>
      </c>
    </row>
    <row r="704" spans="1:14" x14ac:dyDescent="0.4">
      <c r="A704" t="s">
        <v>1720</v>
      </c>
      <c r="B704" t="s">
        <v>1721</v>
      </c>
      <c r="C704" t="s">
        <v>103</v>
      </c>
      <c r="D704" t="s">
        <v>1619</v>
      </c>
      <c r="E704" s="2"/>
      <c r="F704" s="2"/>
      <c r="G704" s="2"/>
      <c r="H704" s="2">
        <v>859.58999999999992</v>
      </c>
      <c r="I704" s="2"/>
      <c r="J704" s="2">
        <v>899.03</v>
      </c>
      <c r="K704" s="2"/>
      <c r="L704" s="2">
        <v>1758.6199999999994</v>
      </c>
      <c r="M704" t="s">
        <v>4409</v>
      </c>
      <c r="N704" t="s">
        <v>4406</v>
      </c>
    </row>
    <row r="705" spans="1:14" x14ac:dyDescent="0.4">
      <c r="A705" t="s">
        <v>1722</v>
      </c>
      <c r="B705" t="s">
        <v>1723</v>
      </c>
      <c r="C705" t="s">
        <v>696</v>
      </c>
      <c r="D705" t="s">
        <v>1439</v>
      </c>
      <c r="E705" s="2">
        <v>5032.9699999999993</v>
      </c>
      <c r="F705" s="2">
        <v>3031.32</v>
      </c>
      <c r="G705" s="2">
        <v>4616.84</v>
      </c>
      <c r="H705" s="2">
        <v>4580.3899999999994</v>
      </c>
      <c r="I705" s="2">
        <v>3456.5699999999997</v>
      </c>
      <c r="J705" s="2">
        <v>3985.06</v>
      </c>
      <c r="K705" s="2">
        <v>1576.4099999999999</v>
      </c>
      <c r="L705" s="2">
        <v>26279.559999999965</v>
      </c>
      <c r="M705" t="s">
        <v>4400</v>
      </c>
      <c r="N705" t="s">
        <v>4400</v>
      </c>
    </row>
    <row r="706" spans="1:14" x14ac:dyDescent="0.4">
      <c r="A706" t="s">
        <v>1724</v>
      </c>
      <c r="B706" t="s">
        <v>1725</v>
      </c>
      <c r="C706" t="s">
        <v>109</v>
      </c>
      <c r="D706" t="s">
        <v>1374</v>
      </c>
      <c r="E706" s="2">
        <v>2988.8099999999995</v>
      </c>
      <c r="F706" s="2">
        <v>2940.1999999999994</v>
      </c>
      <c r="G706" s="2">
        <v>2247.6800000000003</v>
      </c>
      <c r="H706" s="2">
        <v>1476.1799999999998</v>
      </c>
      <c r="I706" s="2">
        <v>3092.1299999999997</v>
      </c>
      <c r="J706" s="2">
        <v>2326.69</v>
      </c>
      <c r="K706" s="2">
        <v>747.21999999999991</v>
      </c>
      <c r="L706" s="2">
        <v>15818.910000000007</v>
      </c>
      <c r="M706" t="s">
        <v>4400</v>
      </c>
      <c r="N706" t="s">
        <v>4400</v>
      </c>
    </row>
    <row r="707" spans="1:14" x14ac:dyDescent="0.4">
      <c r="A707" t="s">
        <v>1726</v>
      </c>
      <c r="B707" t="s">
        <v>657</v>
      </c>
      <c r="C707" t="s">
        <v>195</v>
      </c>
      <c r="D707" t="s">
        <v>196</v>
      </c>
      <c r="E707" s="2"/>
      <c r="F707" s="2"/>
      <c r="G707" s="2">
        <v>2159.56</v>
      </c>
      <c r="H707" s="2">
        <v>756.31</v>
      </c>
      <c r="I707" s="2"/>
      <c r="J707" s="2"/>
      <c r="K707" s="2"/>
      <c r="L707" s="2">
        <v>2915.87</v>
      </c>
      <c r="M707" t="s">
        <v>4411</v>
      </c>
      <c r="N707" t="s">
        <v>4402</v>
      </c>
    </row>
    <row r="708" spans="1:14" x14ac:dyDescent="0.4">
      <c r="A708" t="s">
        <v>1727</v>
      </c>
      <c r="B708" t="s">
        <v>1728</v>
      </c>
      <c r="C708" t="s">
        <v>186</v>
      </c>
      <c r="D708" t="s">
        <v>1318</v>
      </c>
      <c r="E708" s="2">
        <v>3365.5299999999993</v>
      </c>
      <c r="F708" s="2">
        <v>856.56</v>
      </c>
      <c r="G708" s="2">
        <v>2183.9299999999998</v>
      </c>
      <c r="H708" s="2">
        <v>1643.2899999999997</v>
      </c>
      <c r="I708" s="2">
        <v>1673.6599999999999</v>
      </c>
      <c r="J708" s="2">
        <v>1776.9299999999998</v>
      </c>
      <c r="K708" s="2"/>
      <c r="L708" s="2">
        <v>11499.900000000003</v>
      </c>
      <c r="M708" t="s">
        <v>4400</v>
      </c>
      <c r="N708" t="s">
        <v>4406</v>
      </c>
    </row>
    <row r="709" spans="1:14" x14ac:dyDescent="0.4">
      <c r="A709" t="s">
        <v>1729</v>
      </c>
      <c r="B709" t="s">
        <v>1730</v>
      </c>
      <c r="C709" t="s">
        <v>251</v>
      </c>
      <c r="D709" t="s">
        <v>252</v>
      </c>
      <c r="E709" s="2"/>
      <c r="F709" s="2">
        <v>1880.1999999999996</v>
      </c>
      <c r="G709" s="2">
        <v>3180.2499999999995</v>
      </c>
      <c r="H709" s="2">
        <v>3657.1299999999987</v>
      </c>
      <c r="I709" s="2">
        <v>3298.7399999999993</v>
      </c>
      <c r="J709" s="2">
        <v>2991.9799999999996</v>
      </c>
      <c r="K709" s="2">
        <v>2442.1999999999998</v>
      </c>
      <c r="L709" s="2">
        <v>17450.500000000018</v>
      </c>
      <c r="M709" t="s">
        <v>4412</v>
      </c>
      <c r="N709" t="s">
        <v>4400</v>
      </c>
    </row>
    <row r="710" spans="1:14" x14ac:dyDescent="0.4">
      <c r="A710" t="s">
        <v>1731</v>
      </c>
      <c r="B710" t="s">
        <v>1732</v>
      </c>
      <c r="C710" t="s">
        <v>186</v>
      </c>
      <c r="D710" t="s">
        <v>1209</v>
      </c>
      <c r="E710" s="2"/>
      <c r="F710" s="2">
        <v>750.43999999999994</v>
      </c>
      <c r="G710" s="2">
        <v>750.43999999999994</v>
      </c>
      <c r="H710" s="2">
        <v>2058.5699999999993</v>
      </c>
      <c r="I710" s="2"/>
      <c r="J710" s="2">
        <v>1087.1099999999999</v>
      </c>
      <c r="K710" s="2"/>
      <c r="L710" s="2">
        <v>4646.5600000000013</v>
      </c>
      <c r="M710" t="s">
        <v>4412</v>
      </c>
      <c r="N710" t="s">
        <v>4406</v>
      </c>
    </row>
    <row r="711" spans="1:14" x14ac:dyDescent="0.4">
      <c r="A711" t="s">
        <v>1733</v>
      </c>
      <c r="B711" t="s">
        <v>1734</v>
      </c>
      <c r="C711" t="s">
        <v>350</v>
      </c>
      <c r="D711" t="s">
        <v>1735</v>
      </c>
      <c r="E711" s="2">
        <v>4750.5100000000011</v>
      </c>
      <c r="F711" s="2">
        <v>4300.9899999999989</v>
      </c>
      <c r="G711" s="2">
        <v>5357.99</v>
      </c>
      <c r="H711" s="2">
        <v>4616.8899999999985</v>
      </c>
      <c r="I711" s="2">
        <v>3991.1599999999994</v>
      </c>
      <c r="J711" s="2">
        <v>6123.4599999999973</v>
      </c>
      <c r="K711" s="2">
        <v>2448.1799999999998</v>
      </c>
      <c r="L711" s="2">
        <v>31589.180000000026</v>
      </c>
      <c r="M711" t="s">
        <v>4400</v>
      </c>
      <c r="N711" t="s">
        <v>4400</v>
      </c>
    </row>
    <row r="712" spans="1:14" x14ac:dyDescent="0.4">
      <c r="A712" t="s">
        <v>1736</v>
      </c>
      <c r="B712" t="s">
        <v>1737</v>
      </c>
      <c r="C712" t="s">
        <v>113</v>
      </c>
      <c r="D712" t="s">
        <v>120</v>
      </c>
      <c r="E712" s="2">
        <v>1937.8899999999996</v>
      </c>
      <c r="F712" s="2"/>
      <c r="G712" s="2"/>
      <c r="H712" s="2"/>
      <c r="I712" s="2"/>
      <c r="J712" s="2"/>
      <c r="K712" s="2">
        <v>2007.73</v>
      </c>
      <c r="L712" s="2">
        <v>3945.62</v>
      </c>
      <c r="M712" t="s">
        <v>4400</v>
      </c>
      <c r="N712" t="s">
        <v>4400</v>
      </c>
    </row>
    <row r="713" spans="1:14" x14ac:dyDescent="0.4">
      <c r="A713" t="s">
        <v>1738</v>
      </c>
      <c r="B713" t="s">
        <v>1739</v>
      </c>
      <c r="C713" t="s">
        <v>350</v>
      </c>
      <c r="D713" t="s">
        <v>351</v>
      </c>
      <c r="E713" s="2">
        <v>4601.9400000000005</v>
      </c>
      <c r="F713" s="2">
        <v>4690.0600000000004</v>
      </c>
      <c r="G713" s="2">
        <v>4398.4500000000007</v>
      </c>
      <c r="H713" s="2">
        <v>5750.1499999999987</v>
      </c>
      <c r="I713" s="2">
        <v>4929.9900000000007</v>
      </c>
      <c r="J713" s="2">
        <v>5428.1600000000008</v>
      </c>
      <c r="K713" s="2">
        <v>2199.19</v>
      </c>
      <c r="L713" s="2">
        <v>31997.939999999984</v>
      </c>
      <c r="M713" t="s">
        <v>4400</v>
      </c>
      <c r="N713" t="s">
        <v>4400</v>
      </c>
    </row>
    <row r="714" spans="1:14" x14ac:dyDescent="0.4">
      <c r="A714" t="s">
        <v>1740</v>
      </c>
      <c r="B714" t="s">
        <v>1741</v>
      </c>
      <c r="C714" t="s">
        <v>402</v>
      </c>
      <c r="D714" t="s">
        <v>1742</v>
      </c>
      <c r="E714" s="2">
        <v>719.59999999999991</v>
      </c>
      <c r="F714" s="2">
        <v>1053.7</v>
      </c>
      <c r="G714" s="2"/>
      <c r="H714" s="2">
        <v>891.79000000000008</v>
      </c>
      <c r="I714" s="2"/>
      <c r="J714" s="2"/>
      <c r="K714" s="2"/>
      <c r="L714" s="2">
        <v>2665.0899999999988</v>
      </c>
      <c r="M714" t="s">
        <v>4400</v>
      </c>
      <c r="N714" t="s">
        <v>4402</v>
      </c>
    </row>
    <row r="715" spans="1:14" x14ac:dyDescent="0.4">
      <c r="A715" t="s">
        <v>1743</v>
      </c>
      <c r="B715" t="s">
        <v>1744</v>
      </c>
      <c r="C715" t="s">
        <v>113</v>
      </c>
      <c r="D715" t="s">
        <v>805</v>
      </c>
      <c r="E715" s="2">
        <v>4367.7199999999993</v>
      </c>
      <c r="F715" s="2">
        <v>4483.1599999999989</v>
      </c>
      <c r="G715" s="2">
        <v>6475.7000000000016</v>
      </c>
      <c r="H715" s="2">
        <v>5701.25</v>
      </c>
      <c r="I715" s="2">
        <v>1940.8600000000001</v>
      </c>
      <c r="J715" s="2">
        <v>4139.9900000000007</v>
      </c>
      <c r="K715" s="2"/>
      <c r="L715" s="2">
        <v>27108.679999999975</v>
      </c>
      <c r="M715" t="s">
        <v>4400</v>
      </c>
      <c r="N715" t="s">
        <v>4406</v>
      </c>
    </row>
    <row r="716" spans="1:14" x14ac:dyDescent="0.4">
      <c r="A716" t="s">
        <v>1745</v>
      </c>
      <c r="B716" t="s">
        <v>1746</v>
      </c>
      <c r="C716" t="s">
        <v>31</v>
      </c>
      <c r="D716" t="s">
        <v>471</v>
      </c>
      <c r="E716" s="2">
        <v>5807.5500000000011</v>
      </c>
      <c r="F716" s="2">
        <v>3335.14</v>
      </c>
      <c r="G716" s="2">
        <v>4890.26</v>
      </c>
      <c r="H716" s="2">
        <v>4513.6000000000013</v>
      </c>
      <c r="I716" s="2">
        <v>5242.57</v>
      </c>
      <c r="J716" s="2">
        <v>3684.3799999999997</v>
      </c>
      <c r="K716" s="2">
        <v>2199.0600000000004</v>
      </c>
      <c r="L716" s="2">
        <v>29672.560000000045</v>
      </c>
      <c r="M716" t="s">
        <v>4400</v>
      </c>
      <c r="N716" t="s">
        <v>4400</v>
      </c>
    </row>
    <row r="717" spans="1:14" x14ac:dyDescent="0.4">
      <c r="A717" t="s">
        <v>1747</v>
      </c>
      <c r="B717" t="s">
        <v>1748</v>
      </c>
      <c r="C717" t="s">
        <v>258</v>
      </c>
      <c r="D717" t="s">
        <v>259</v>
      </c>
      <c r="E717" s="2">
        <v>4328.4299999999994</v>
      </c>
      <c r="F717" s="2">
        <v>3149.8899999999994</v>
      </c>
      <c r="G717" s="2">
        <v>4696</v>
      </c>
      <c r="H717" s="2">
        <v>4847.8</v>
      </c>
      <c r="I717" s="2">
        <v>5069.58</v>
      </c>
      <c r="J717" s="2">
        <v>3477.9199999999996</v>
      </c>
      <c r="K717" s="2">
        <v>2293.2699999999995</v>
      </c>
      <c r="L717" s="2">
        <v>27862.889999999992</v>
      </c>
      <c r="M717" t="s">
        <v>4400</v>
      </c>
      <c r="N717" t="s">
        <v>4400</v>
      </c>
    </row>
    <row r="718" spans="1:14" x14ac:dyDescent="0.4">
      <c r="A718" t="s">
        <v>1749</v>
      </c>
      <c r="B718" t="s">
        <v>969</v>
      </c>
      <c r="C718" t="s">
        <v>496</v>
      </c>
      <c r="D718" t="s">
        <v>497</v>
      </c>
      <c r="E718" s="2">
        <v>2220.35</v>
      </c>
      <c r="F718" s="2">
        <v>2982.7300000000009</v>
      </c>
      <c r="G718" s="2">
        <v>3164.9800000000005</v>
      </c>
      <c r="H718" s="2">
        <v>3945.6000000000004</v>
      </c>
      <c r="I718" s="2">
        <v>3414.05</v>
      </c>
      <c r="J718" s="2">
        <v>3313.8199999999997</v>
      </c>
      <c r="K718" s="2">
        <v>1524.7799999999997</v>
      </c>
      <c r="L718" s="2">
        <v>20566.309999999979</v>
      </c>
      <c r="M718" t="s">
        <v>4400</v>
      </c>
      <c r="N718" t="s">
        <v>4400</v>
      </c>
    </row>
    <row r="719" spans="1:14" x14ac:dyDescent="0.4">
      <c r="A719" t="s">
        <v>1750</v>
      </c>
      <c r="B719" t="s">
        <v>1751</v>
      </c>
      <c r="C719" t="s">
        <v>423</v>
      </c>
      <c r="D719" t="s">
        <v>430</v>
      </c>
      <c r="E719" s="2"/>
      <c r="F719" s="2"/>
      <c r="G719" s="2">
        <v>1108.6599999999999</v>
      </c>
      <c r="H719" s="2"/>
      <c r="I719" s="2"/>
      <c r="J719" s="2"/>
      <c r="K719" s="2"/>
      <c r="L719" s="2">
        <v>1108.6599999999999</v>
      </c>
      <c r="M719" t="s">
        <v>4411</v>
      </c>
      <c r="N719" t="s">
        <v>4403</v>
      </c>
    </row>
    <row r="720" spans="1:14" x14ac:dyDescent="0.4">
      <c r="A720" t="s">
        <v>1752</v>
      </c>
      <c r="B720" t="s">
        <v>1753</v>
      </c>
      <c r="C720" t="s">
        <v>587</v>
      </c>
      <c r="D720" t="s">
        <v>1754</v>
      </c>
      <c r="E720" s="2">
        <v>3000.9700000000007</v>
      </c>
      <c r="F720" s="2">
        <v>3064.7799999999997</v>
      </c>
      <c r="G720" s="2">
        <v>3280.4100000000003</v>
      </c>
      <c r="H720" s="2">
        <v>4817.3500000000004</v>
      </c>
      <c r="I720" s="2">
        <v>3119.4299999999994</v>
      </c>
      <c r="J720" s="2">
        <v>3359.3699999999994</v>
      </c>
      <c r="K720" s="2">
        <v>1679.6900000000003</v>
      </c>
      <c r="L720" s="2">
        <v>22322</v>
      </c>
      <c r="M720" t="s">
        <v>4400</v>
      </c>
      <c r="N720" t="s">
        <v>4400</v>
      </c>
    </row>
    <row r="721" spans="1:14" x14ac:dyDescent="0.4">
      <c r="A721" t="s">
        <v>1755</v>
      </c>
      <c r="B721" t="s">
        <v>1756</v>
      </c>
      <c r="C721" t="s">
        <v>220</v>
      </c>
      <c r="D721" t="s">
        <v>1757</v>
      </c>
      <c r="E721" s="2"/>
      <c r="F721" s="2">
        <v>1217.99</v>
      </c>
      <c r="G721" s="2"/>
      <c r="H721" s="2"/>
      <c r="I721" s="2"/>
      <c r="J721" s="2">
        <v>1196.74</v>
      </c>
      <c r="K721" s="2"/>
      <c r="L721" s="2">
        <v>2414.7300000000005</v>
      </c>
      <c r="M721" t="s">
        <v>4412</v>
      </c>
      <c r="N721" t="s">
        <v>4406</v>
      </c>
    </row>
    <row r="722" spans="1:14" x14ac:dyDescent="0.4">
      <c r="A722" t="s">
        <v>1758</v>
      </c>
      <c r="B722" t="s">
        <v>1759</v>
      </c>
      <c r="C722" t="s">
        <v>64</v>
      </c>
      <c r="D722" t="s">
        <v>1760</v>
      </c>
      <c r="E722" s="2">
        <v>3587.1</v>
      </c>
      <c r="F722" s="2">
        <v>3462.4999999999995</v>
      </c>
      <c r="G722" s="2">
        <v>3833.06</v>
      </c>
      <c r="H722" s="2">
        <v>4859.6699999999992</v>
      </c>
      <c r="I722" s="2">
        <v>4179.3399999999992</v>
      </c>
      <c r="J722" s="2">
        <v>3210.4199999999992</v>
      </c>
      <c r="K722" s="2">
        <v>2016.78</v>
      </c>
      <c r="L722" s="2">
        <v>25148.86999999997</v>
      </c>
      <c r="M722" t="s">
        <v>4400</v>
      </c>
      <c r="N722" t="s">
        <v>4400</v>
      </c>
    </row>
    <row r="723" spans="1:14" x14ac:dyDescent="0.4">
      <c r="A723" t="s">
        <v>1761</v>
      </c>
      <c r="B723" t="s">
        <v>1762</v>
      </c>
      <c r="C723" t="s">
        <v>220</v>
      </c>
      <c r="D723" t="s">
        <v>221</v>
      </c>
      <c r="E723" s="2">
        <v>6196.28</v>
      </c>
      <c r="F723" s="2">
        <v>5564.5099999999984</v>
      </c>
      <c r="G723" s="2">
        <v>7034.58</v>
      </c>
      <c r="H723" s="2">
        <v>6563.8599999999988</v>
      </c>
      <c r="I723" s="2">
        <v>6822.0200000000013</v>
      </c>
      <c r="J723" s="2">
        <v>6922.2799999999988</v>
      </c>
      <c r="K723" s="2">
        <v>3037.389999999999</v>
      </c>
      <c r="L723" s="2">
        <v>42140.91999999994</v>
      </c>
      <c r="M723" t="s">
        <v>4400</v>
      </c>
      <c r="N723" t="s">
        <v>4400</v>
      </c>
    </row>
    <row r="724" spans="1:14" x14ac:dyDescent="0.4">
      <c r="A724" t="s">
        <v>1763</v>
      </c>
      <c r="B724" t="s">
        <v>1764</v>
      </c>
      <c r="C724" t="s">
        <v>123</v>
      </c>
      <c r="D724" t="s">
        <v>1025</v>
      </c>
      <c r="E724" s="2">
        <v>2645.56</v>
      </c>
      <c r="F724" s="2">
        <v>2736.67</v>
      </c>
      <c r="G724" s="2">
        <v>1813.3199999999997</v>
      </c>
      <c r="H724" s="2">
        <v>929.45000000000016</v>
      </c>
      <c r="I724" s="2">
        <v>2238.5699999999997</v>
      </c>
      <c r="J724" s="2">
        <v>2314.5099999999993</v>
      </c>
      <c r="K724" s="2">
        <v>965.9000000000002</v>
      </c>
      <c r="L724" s="2">
        <v>13643.980000000003</v>
      </c>
      <c r="M724" t="s">
        <v>4400</v>
      </c>
      <c r="N724" t="s">
        <v>4400</v>
      </c>
    </row>
    <row r="725" spans="1:14" x14ac:dyDescent="0.4">
      <c r="A725" t="s">
        <v>1765</v>
      </c>
      <c r="B725" t="s">
        <v>1766</v>
      </c>
      <c r="C725" t="s">
        <v>103</v>
      </c>
      <c r="D725" t="s">
        <v>1767</v>
      </c>
      <c r="E725" s="2">
        <v>3915.3199999999997</v>
      </c>
      <c r="F725" s="2">
        <v>2837.02</v>
      </c>
      <c r="G725" s="2">
        <v>4161.3500000000004</v>
      </c>
      <c r="H725" s="2">
        <v>3392.86</v>
      </c>
      <c r="I725" s="2">
        <v>4100.5800000000008</v>
      </c>
      <c r="J725" s="2">
        <v>4501.4900000000007</v>
      </c>
      <c r="K725" s="2">
        <v>2032.0399999999995</v>
      </c>
      <c r="L725" s="2">
        <v>24940.659999999989</v>
      </c>
      <c r="M725" t="s">
        <v>4400</v>
      </c>
      <c r="N725" t="s">
        <v>4400</v>
      </c>
    </row>
    <row r="726" spans="1:14" x14ac:dyDescent="0.4">
      <c r="A726" t="s">
        <v>1768</v>
      </c>
      <c r="B726" t="s">
        <v>1769</v>
      </c>
      <c r="C726" t="s">
        <v>113</v>
      </c>
      <c r="D726" t="s">
        <v>1087</v>
      </c>
      <c r="E726" s="2">
        <v>5761.9399999999978</v>
      </c>
      <c r="F726" s="2">
        <v>4590.0199999999986</v>
      </c>
      <c r="G726" s="2">
        <v>4803.3299999999981</v>
      </c>
      <c r="H726" s="2">
        <v>6250.239999999998</v>
      </c>
      <c r="I726" s="2">
        <v>4823.8900000000003</v>
      </c>
      <c r="J726" s="2">
        <v>4625.9999999999982</v>
      </c>
      <c r="K726" s="2">
        <v>2261.599999999999</v>
      </c>
      <c r="L726" s="2">
        <v>33117.020000000011</v>
      </c>
      <c r="M726" t="s">
        <v>4400</v>
      </c>
      <c r="N726" t="s">
        <v>4400</v>
      </c>
    </row>
    <row r="727" spans="1:14" x14ac:dyDescent="0.4">
      <c r="A727" t="s">
        <v>1770</v>
      </c>
      <c r="B727" t="s">
        <v>819</v>
      </c>
      <c r="C727" t="s">
        <v>437</v>
      </c>
      <c r="D727" t="s">
        <v>552</v>
      </c>
      <c r="E727" s="2">
        <v>935.54000000000008</v>
      </c>
      <c r="F727" s="2">
        <v>862.64</v>
      </c>
      <c r="G727" s="2">
        <v>935.54000000000008</v>
      </c>
      <c r="H727" s="2">
        <v>826.19</v>
      </c>
      <c r="I727" s="2"/>
      <c r="J727" s="2">
        <v>1795.1200000000006</v>
      </c>
      <c r="K727" s="2">
        <v>810.99</v>
      </c>
      <c r="L727" s="2">
        <v>6166.0199999999959</v>
      </c>
      <c r="M727" t="s">
        <v>4400</v>
      </c>
      <c r="N727" t="s">
        <v>4400</v>
      </c>
    </row>
    <row r="728" spans="1:14" x14ac:dyDescent="0.4">
      <c r="A728" t="s">
        <v>1771</v>
      </c>
      <c r="B728" t="s">
        <v>1772</v>
      </c>
      <c r="C728" t="s">
        <v>163</v>
      </c>
      <c r="D728" t="s">
        <v>1233</v>
      </c>
      <c r="E728" s="2">
        <v>6803.7599999999993</v>
      </c>
      <c r="F728" s="2">
        <v>6487.91</v>
      </c>
      <c r="G728" s="2">
        <v>6497.0800000000017</v>
      </c>
      <c r="H728" s="2">
        <v>6934.5900000000047</v>
      </c>
      <c r="I728" s="2">
        <v>5488.7400000000007</v>
      </c>
      <c r="J728" s="2">
        <v>4179.57</v>
      </c>
      <c r="K728" s="2">
        <v>1773.8799999999997</v>
      </c>
      <c r="L728" s="2">
        <v>38165.529999999962</v>
      </c>
      <c r="M728" t="s">
        <v>4400</v>
      </c>
      <c r="N728" t="s">
        <v>4400</v>
      </c>
    </row>
    <row r="729" spans="1:14" x14ac:dyDescent="0.4">
      <c r="A729" t="s">
        <v>1773</v>
      </c>
      <c r="B729" t="s">
        <v>401</v>
      </c>
      <c r="C729" t="s">
        <v>402</v>
      </c>
      <c r="D729" t="s">
        <v>403</v>
      </c>
      <c r="E729" s="2">
        <v>1883.2099999999998</v>
      </c>
      <c r="F729" s="2">
        <v>2369.19</v>
      </c>
      <c r="G729" s="2"/>
      <c r="H729" s="2"/>
      <c r="I729" s="2"/>
      <c r="J729" s="2"/>
      <c r="K729" s="2"/>
      <c r="L729" s="2">
        <v>4252.4000000000005</v>
      </c>
      <c r="M729" t="s">
        <v>4400</v>
      </c>
      <c r="N729" t="s">
        <v>4410</v>
      </c>
    </row>
    <row r="730" spans="1:14" x14ac:dyDescent="0.4">
      <c r="A730" t="s">
        <v>1774</v>
      </c>
      <c r="B730" t="s">
        <v>1775</v>
      </c>
      <c r="C730" t="s">
        <v>123</v>
      </c>
      <c r="D730" t="s">
        <v>129</v>
      </c>
      <c r="E730" s="2">
        <v>5813.5999999999995</v>
      </c>
      <c r="F730" s="2">
        <v>7307.9999999999973</v>
      </c>
      <c r="G730" s="2">
        <v>5081.5899999999992</v>
      </c>
      <c r="H730" s="2">
        <v>4981.4099999999989</v>
      </c>
      <c r="I730" s="2">
        <v>4622.9699999999984</v>
      </c>
      <c r="J730" s="2">
        <v>4322.2800000000007</v>
      </c>
      <c r="K730" s="2">
        <v>2691.16</v>
      </c>
      <c r="L730" s="2">
        <v>34821.010000000075</v>
      </c>
      <c r="M730" t="s">
        <v>4400</v>
      </c>
      <c r="N730" t="s">
        <v>4400</v>
      </c>
    </row>
    <row r="731" spans="1:14" x14ac:dyDescent="0.4">
      <c r="A731" t="s">
        <v>1776</v>
      </c>
      <c r="B731" t="s">
        <v>1777</v>
      </c>
      <c r="C731" t="s">
        <v>178</v>
      </c>
      <c r="D731" t="s">
        <v>179</v>
      </c>
      <c r="E731" s="2"/>
      <c r="F731" s="2"/>
      <c r="G731" s="2"/>
      <c r="H731" s="2">
        <v>2302.4000000000005</v>
      </c>
      <c r="I731" s="2"/>
      <c r="J731" s="2"/>
      <c r="K731" s="2"/>
      <c r="L731" s="2">
        <v>2302.4000000000005</v>
      </c>
      <c r="M731" t="s">
        <v>4409</v>
      </c>
      <c r="N731" t="s">
        <v>4402</v>
      </c>
    </row>
    <row r="732" spans="1:14" x14ac:dyDescent="0.4">
      <c r="A732" t="s">
        <v>1778</v>
      </c>
      <c r="B732" t="s">
        <v>1779</v>
      </c>
      <c r="C732" t="s">
        <v>64</v>
      </c>
      <c r="D732" t="s">
        <v>1424</v>
      </c>
      <c r="E732" s="2">
        <v>2736.7</v>
      </c>
      <c r="F732" s="2">
        <v>2630.33</v>
      </c>
      <c r="G732" s="2">
        <v>1491.34</v>
      </c>
      <c r="H732" s="2"/>
      <c r="I732" s="2"/>
      <c r="J732" s="2"/>
      <c r="K732" s="2"/>
      <c r="L732" s="2">
        <v>6858.369999999999</v>
      </c>
      <c r="M732" t="s">
        <v>4400</v>
      </c>
      <c r="N732" t="s">
        <v>4403</v>
      </c>
    </row>
    <row r="733" spans="1:14" x14ac:dyDescent="0.4">
      <c r="A733" t="s">
        <v>1780</v>
      </c>
      <c r="B733" t="s">
        <v>1781</v>
      </c>
      <c r="C733" t="s">
        <v>113</v>
      </c>
      <c r="D733" t="s">
        <v>120</v>
      </c>
      <c r="E733" s="2"/>
      <c r="F733" s="2"/>
      <c r="G733" s="2"/>
      <c r="H733" s="2"/>
      <c r="I733" s="2"/>
      <c r="J733" s="2">
        <v>3161.9500000000003</v>
      </c>
      <c r="K733" s="2">
        <v>2083.6799999999998</v>
      </c>
      <c r="L733" s="2">
        <v>5245.6300000000019</v>
      </c>
      <c r="M733" t="s">
        <v>4405</v>
      </c>
      <c r="N733" t="s">
        <v>4400</v>
      </c>
    </row>
    <row r="734" spans="1:14" x14ac:dyDescent="0.4">
      <c r="A734" t="s">
        <v>1782</v>
      </c>
      <c r="B734" t="s">
        <v>1783</v>
      </c>
      <c r="C734" t="s">
        <v>410</v>
      </c>
      <c r="D734" t="s">
        <v>414</v>
      </c>
      <c r="E734" s="2">
        <v>2354.12</v>
      </c>
      <c r="F734" s="2">
        <v>3013.2600000000007</v>
      </c>
      <c r="G734" s="2">
        <v>2937.3400000000006</v>
      </c>
      <c r="H734" s="2">
        <v>2369.31</v>
      </c>
      <c r="I734" s="2">
        <v>2262.98</v>
      </c>
      <c r="J734" s="2">
        <v>3693.68</v>
      </c>
      <c r="K734" s="2">
        <v>1476.2399999999996</v>
      </c>
      <c r="L734" s="2">
        <v>18106.929999999978</v>
      </c>
      <c r="M734" t="s">
        <v>4400</v>
      </c>
      <c r="N734" t="s">
        <v>4400</v>
      </c>
    </row>
    <row r="735" spans="1:14" x14ac:dyDescent="0.4">
      <c r="A735" t="s">
        <v>1784</v>
      </c>
      <c r="B735" t="s">
        <v>1785</v>
      </c>
      <c r="C735" t="s">
        <v>350</v>
      </c>
      <c r="D735" t="s">
        <v>1786</v>
      </c>
      <c r="E735" s="2">
        <v>3748.2399999999993</v>
      </c>
      <c r="F735" s="2">
        <v>4990.5800000000017</v>
      </c>
      <c r="G735" s="2">
        <v>6594.260000000002</v>
      </c>
      <c r="H735" s="2">
        <v>4777.93</v>
      </c>
      <c r="I735" s="2">
        <v>2156.6</v>
      </c>
      <c r="J735" s="2">
        <v>5051.3200000000015</v>
      </c>
      <c r="K735" s="2">
        <v>2223.44</v>
      </c>
      <c r="L735" s="2">
        <v>29542.369999999955</v>
      </c>
      <c r="M735" t="s">
        <v>4400</v>
      </c>
      <c r="N735" t="s">
        <v>4400</v>
      </c>
    </row>
    <row r="736" spans="1:14" x14ac:dyDescent="0.4">
      <c r="A736" t="s">
        <v>1787</v>
      </c>
      <c r="B736" t="s">
        <v>1788</v>
      </c>
      <c r="C736" t="s">
        <v>186</v>
      </c>
      <c r="D736" t="s">
        <v>1209</v>
      </c>
      <c r="E736" s="2">
        <v>2432.9599999999996</v>
      </c>
      <c r="F736" s="2">
        <v>2615.2399999999998</v>
      </c>
      <c r="G736" s="2">
        <v>4999.6500000000005</v>
      </c>
      <c r="H736" s="2">
        <v>10863.639999999998</v>
      </c>
      <c r="I736" s="2">
        <v>4331.3699999999981</v>
      </c>
      <c r="J736" s="2">
        <v>3696.5</v>
      </c>
      <c r="K736" s="2">
        <v>1631.08</v>
      </c>
      <c r="L736" s="2">
        <v>30570.439999999984</v>
      </c>
      <c r="M736" t="s">
        <v>4400</v>
      </c>
      <c r="N736" t="s">
        <v>4400</v>
      </c>
    </row>
    <row r="737" spans="1:14" x14ac:dyDescent="0.4">
      <c r="A737" t="s">
        <v>1789</v>
      </c>
      <c r="B737" t="s">
        <v>1479</v>
      </c>
      <c r="C737" t="s">
        <v>178</v>
      </c>
      <c r="D737" t="s">
        <v>558</v>
      </c>
      <c r="E737" s="2">
        <v>2618.2400000000002</v>
      </c>
      <c r="F737" s="2">
        <v>3280.4100000000003</v>
      </c>
      <c r="G737" s="2">
        <v>5698.1900000000005</v>
      </c>
      <c r="H737" s="2">
        <v>5573.66</v>
      </c>
      <c r="I737" s="2">
        <v>7374.9199999999983</v>
      </c>
      <c r="J737" s="2">
        <v>3222.72</v>
      </c>
      <c r="K737" s="2">
        <v>2472.48</v>
      </c>
      <c r="L737" s="2">
        <v>30240.620000000032</v>
      </c>
      <c r="M737" t="s">
        <v>4400</v>
      </c>
      <c r="N737" t="s">
        <v>4400</v>
      </c>
    </row>
    <row r="738" spans="1:14" x14ac:dyDescent="0.4">
      <c r="A738" t="s">
        <v>1790</v>
      </c>
      <c r="B738" t="s">
        <v>1791</v>
      </c>
      <c r="C738" t="s">
        <v>31</v>
      </c>
      <c r="D738" t="s">
        <v>471</v>
      </c>
      <c r="E738" s="2">
        <v>728.96</v>
      </c>
      <c r="F738" s="2"/>
      <c r="G738" s="2"/>
      <c r="H738" s="2"/>
      <c r="I738" s="2"/>
      <c r="J738" s="2"/>
      <c r="K738" s="2"/>
      <c r="L738" s="2">
        <v>728.96</v>
      </c>
      <c r="M738" t="s">
        <v>4400</v>
      </c>
      <c r="N738" t="s">
        <v>4407</v>
      </c>
    </row>
    <row r="739" spans="1:14" x14ac:dyDescent="0.4">
      <c r="A739" t="s">
        <v>1792</v>
      </c>
      <c r="B739" t="s">
        <v>1793</v>
      </c>
      <c r="C739" t="s">
        <v>13</v>
      </c>
      <c r="D739" t="s">
        <v>237</v>
      </c>
      <c r="E739" s="2">
        <v>6266.22</v>
      </c>
      <c r="F739" s="2">
        <v>5701.2299999999987</v>
      </c>
      <c r="G739" s="2">
        <v>6053.5800000000027</v>
      </c>
      <c r="H739" s="2">
        <v>6408.9799999999977</v>
      </c>
      <c r="I739" s="2">
        <v>5005.659999999998</v>
      </c>
      <c r="J739" s="2">
        <v>5160.6100000000006</v>
      </c>
      <c r="K739" s="2">
        <v>2265.92</v>
      </c>
      <c r="L739" s="2">
        <v>36862.200000000019</v>
      </c>
      <c r="M739" t="s">
        <v>4400</v>
      </c>
      <c r="N739" t="s">
        <v>4400</v>
      </c>
    </row>
    <row r="740" spans="1:14" x14ac:dyDescent="0.4">
      <c r="A740" t="s">
        <v>1794</v>
      </c>
      <c r="B740" t="s">
        <v>1795</v>
      </c>
      <c r="C740" t="s">
        <v>27</v>
      </c>
      <c r="D740" t="s">
        <v>28</v>
      </c>
      <c r="E740" s="2"/>
      <c r="F740" s="2">
        <v>1570.3599999999997</v>
      </c>
      <c r="G740" s="2"/>
      <c r="H740" s="2">
        <v>774.54</v>
      </c>
      <c r="I740" s="2">
        <v>1087.3899999999999</v>
      </c>
      <c r="J740" s="2"/>
      <c r="K740" s="2">
        <v>719.88</v>
      </c>
      <c r="L740" s="2">
        <v>4152.1699999999992</v>
      </c>
      <c r="M740" t="s">
        <v>4412</v>
      </c>
      <c r="N740" t="s">
        <v>4400</v>
      </c>
    </row>
    <row r="741" spans="1:14" x14ac:dyDescent="0.4">
      <c r="A741" t="s">
        <v>1796</v>
      </c>
      <c r="B741" t="s">
        <v>1797</v>
      </c>
      <c r="C741" t="s">
        <v>251</v>
      </c>
      <c r="D741" t="s">
        <v>252</v>
      </c>
      <c r="E741" s="2">
        <v>4477.2299999999987</v>
      </c>
      <c r="F741" s="2">
        <v>2044.23</v>
      </c>
      <c r="G741" s="2">
        <v>732.04999999999984</v>
      </c>
      <c r="H741" s="2"/>
      <c r="I741" s="2"/>
      <c r="J741" s="2"/>
      <c r="K741" s="2"/>
      <c r="L741" s="2">
        <v>7253.5099999999948</v>
      </c>
      <c r="M741" t="s">
        <v>4400</v>
      </c>
      <c r="N741" t="s">
        <v>4403</v>
      </c>
    </row>
    <row r="742" spans="1:14" x14ac:dyDescent="0.4">
      <c r="A742" t="s">
        <v>1798</v>
      </c>
      <c r="B742" t="s">
        <v>1799</v>
      </c>
      <c r="C742" t="s">
        <v>542</v>
      </c>
      <c r="D742" t="s">
        <v>1800</v>
      </c>
      <c r="E742" s="2">
        <v>4149.16</v>
      </c>
      <c r="F742" s="2">
        <v>2682.13</v>
      </c>
      <c r="G742" s="2">
        <v>5327.7500000000009</v>
      </c>
      <c r="H742" s="2">
        <v>4525.8600000000006</v>
      </c>
      <c r="I742" s="2">
        <v>4373.9700000000012</v>
      </c>
      <c r="J742" s="2">
        <v>4106.6299999999992</v>
      </c>
      <c r="K742" s="2">
        <v>2193.0499999999997</v>
      </c>
      <c r="L742" s="2">
        <v>27358.549999999988</v>
      </c>
      <c r="M742" t="s">
        <v>4400</v>
      </c>
      <c r="N742" t="s">
        <v>4400</v>
      </c>
    </row>
    <row r="743" spans="1:14" x14ac:dyDescent="0.4">
      <c r="A743" t="s">
        <v>1801</v>
      </c>
      <c r="B743" t="s">
        <v>1802</v>
      </c>
      <c r="C743" t="s">
        <v>542</v>
      </c>
      <c r="D743" t="s">
        <v>802</v>
      </c>
      <c r="E743" s="2">
        <v>4070.2299999999991</v>
      </c>
      <c r="F743" s="2">
        <v>1728.31</v>
      </c>
      <c r="G743" s="2">
        <v>3438.41</v>
      </c>
      <c r="H743" s="2">
        <v>2505.9000000000005</v>
      </c>
      <c r="I743" s="2">
        <v>2660.83</v>
      </c>
      <c r="J743" s="2">
        <v>3386.81</v>
      </c>
      <c r="K743" s="2">
        <v>1026.6599999999999</v>
      </c>
      <c r="L743" s="2">
        <v>18817.149999999987</v>
      </c>
      <c r="M743" t="s">
        <v>4400</v>
      </c>
      <c r="N743" t="s">
        <v>4400</v>
      </c>
    </row>
    <row r="744" spans="1:14" x14ac:dyDescent="0.4">
      <c r="A744" t="s">
        <v>1803</v>
      </c>
      <c r="B744" t="s">
        <v>1804</v>
      </c>
      <c r="C744" t="s">
        <v>220</v>
      </c>
      <c r="D744" t="s">
        <v>1805</v>
      </c>
      <c r="E744" s="2">
        <v>932.46999999999991</v>
      </c>
      <c r="F744" s="2">
        <v>2062.41</v>
      </c>
      <c r="G744" s="2">
        <v>738.1</v>
      </c>
      <c r="H744" s="2"/>
      <c r="I744" s="2">
        <v>1907.5300000000002</v>
      </c>
      <c r="J744" s="2">
        <v>926.42000000000007</v>
      </c>
      <c r="K744" s="2"/>
      <c r="L744" s="2">
        <v>6566.9299999999985</v>
      </c>
      <c r="M744" t="s">
        <v>4400</v>
      </c>
      <c r="N744" t="s">
        <v>4406</v>
      </c>
    </row>
    <row r="745" spans="1:14" x14ac:dyDescent="0.4">
      <c r="A745" t="s">
        <v>1806</v>
      </c>
      <c r="B745" t="s">
        <v>1447</v>
      </c>
      <c r="C745" t="s">
        <v>244</v>
      </c>
      <c r="D745" t="s">
        <v>1448</v>
      </c>
      <c r="E745" s="2">
        <v>1709.0500000000004</v>
      </c>
      <c r="F745" s="2">
        <v>2554.5800000000004</v>
      </c>
      <c r="G745" s="2">
        <v>2626.54</v>
      </c>
      <c r="H745" s="2">
        <v>3944.95</v>
      </c>
      <c r="I745" s="2">
        <v>1035.7099999999998</v>
      </c>
      <c r="J745" s="2"/>
      <c r="K745" s="2">
        <v>1035.71</v>
      </c>
      <c r="L745" s="2">
        <v>12906.540000000021</v>
      </c>
      <c r="M745" t="s">
        <v>4400</v>
      </c>
      <c r="N745" t="s">
        <v>4400</v>
      </c>
    </row>
    <row r="746" spans="1:14" x14ac:dyDescent="0.4">
      <c r="A746" t="s">
        <v>1807</v>
      </c>
      <c r="B746" t="s">
        <v>1808</v>
      </c>
      <c r="C746" t="s">
        <v>52</v>
      </c>
      <c r="D746" t="s">
        <v>1809</v>
      </c>
      <c r="E746" s="2"/>
      <c r="F746" s="2"/>
      <c r="G746" s="2"/>
      <c r="H746" s="2"/>
      <c r="I746" s="2"/>
      <c r="J746" s="2">
        <v>10267.15</v>
      </c>
      <c r="K746" s="2"/>
      <c r="L746" s="2">
        <v>10267.15</v>
      </c>
      <c r="M746" t="s">
        <v>4405</v>
      </c>
      <c r="N746" t="s">
        <v>4406</v>
      </c>
    </row>
    <row r="747" spans="1:14" x14ac:dyDescent="0.4">
      <c r="A747" t="s">
        <v>1810</v>
      </c>
      <c r="B747" t="s">
        <v>1811</v>
      </c>
      <c r="C747" t="s">
        <v>884</v>
      </c>
      <c r="D747" t="s">
        <v>1666</v>
      </c>
      <c r="E747" s="2">
        <v>5649.6</v>
      </c>
      <c r="F747" s="2">
        <v>4814.3500000000004</v>
      </c>
      <c r="G747" s="2">
        <v>7766.2400000000016</v>
      </c>
      <c r="H747" s="2">
        <v>5588.89</v>
      </c>
      <c r="I747" s="2">
        <v>5139.3600000000006</v>
      </c>
      <c r="J747" s="2">
        <v>5090.75</v>
      </c>
      <c r="K747" s="2">
        <v>3815.03</v>
      </c>
      <c r="L747" s="2">
        <v>37864.219999999994</v>
      </c>
      <c r="M747" t="s">
        <v>4400</v>
      </c>
      <c r="N747" t="s">
        <v>4400</v>
      </c>
    </row>
    <row r="748" spans="1:14" x14ac:dyDescent="0.4">
      <c r="A748" t="s">
        <v>1812</v>
      </c>
      <c r="B748" t="s">
        <v>1813</v>
      </c>
      <c r="C748" t="s">
        <v>109</v>
      </c>
      <c r="D748" t="s">
        <v>1814</v>
      </c>
      <c r="E748" s="2">
        <v>10618.890000000001</v>
      </c>
      <c r="F748" s="2">
        <v>6533.5</v>
      </c>
      <c r="G748" s="2">
        <v>6752.170000000001</v>
      </c>
      <c r="H748" s="2">
        <v>10418.329999999996</v>
      </c>
      <c r="I748" s="2">
        <v>9318.83</v>
      </c>
      <c r="J748" s="2">
        <v>6752.0799999999981</v>
      </c>
      <c r="K748" s="2">
        <v>2991.84</v>
      </c>
      <c r="L748" s="2">
        <v>53385.63999999997</v>
      </c>
      <c r="M748" t="s">
        <v>4400</v>
      </c>
      <c r="N748" t="s">
        <v>4400</v>
      </c>
    </row>
    <row r="749" spans="1:14" x14ac:dyDescent="0.4">
      <c r="A749" t="s">
        <v>1815</v>
      </c>
      <c r="B749" t="s">
        <v>1816</v>
      </c>
      <c r="C749" t="s">
        <v>35</v>
      </c>
      <c r="D749" t="s">
        <v>1712</v>
      </c>
      <c r="E749" s="2">
        <v>4446.7899999999991</v>
      </c>
      <c r="F749" s="2">
        <v>3028.3399999999997</v>
      </c>
      <c r="G749" s="2">
        <v>3936.5099999999998</v>
      </c>
      <c r="H749" s="2">
        <v>4686.7699999999986</v>
      </c>
      <c r="I749" s="2">
        <v>4650.329999999999</v>
      </c>
      <c r="J749" s="2">
        <v>4100.6000000000004</v>
      </c>
      <c r="K749" s="2">
        <v>1154.24</v>
      </c>
      <c r="L749" s="2">
        <v>26003.579999999987</v>
      </c>
      <c r="M749" t="s">
        <v>4400</v>
      </c>
      <c r="N749" t="s">
        <v>4400</v>
      </c>
    </row>
    <row r="750" spans="1:14" x14ac:dyDescent="0.4">
      <c r="A750" t="s">
        <v>1817</v>
      </c>
      <c r="B750" t="s">
        <v>1704</v>
      </c>
      <c r="C750" t="s">
        <v>1525</v>
      </c>
      <c r="D750" t="s">
        <v>1818</v>
      </c>
      <c r="E750" s="2">
        <v>1066.1100000000001</v>
      </c>
      <c r="F750" s="2"/>
      <c r="G750" s="2"/>
      <c r="H750" s="2"/>
      <c r="I750" s="2">
        <v>984.09</v>
      </c>
      <c r="J750" s="2"/>
      <c r="K750" s="2"/>
      <c r="L750" s="2">
        <v>2050.1999999999998</v>
      </c>
      <c r="M750" t="s">
        <v>4400</v>
      </c>
      <c r="N750" t="s">
        <v>4401</v>
      </c>
    </row>
    <row r="751" spans="1:14" x14ac:dyDescent="0.4">
      <c r="A751" t="s">
        <v>1819</v>
      </c>
      <c r="B751" t="s">
        <v>1820</v>
      </c>
      <c r="C751" t="s">
        <v>109</v>
      </c>
      <c r="D751" t="s">
        <v>1374</v>
      </c>
      <c r="E751" s="2">
        <v>4103.66</v>
      </c>
      <c r="F751" s="2">
        <v>3997.3499999999995</v>
      </c>
      <c r="G751" s="2">
        <v>3942.6899999999991</v>
      </c>
      <c r="H751" s="2">
        <v>3690.5499999999997</v>
      </c>
      <c r="I751" s="2">
        <v>4850.87</v>
      </c>
      <c r="J751" s="2">
        <v>4000.369999999999</v>
      </c>
      <c r="K751" s="2">
        <v>1725.3</v>
      </c>
      <c r="L751" s="2">
        <v>26310.78999999999</v>
      </c>
      <c r="M751" t="s">
        <v>4400</v>
      </c>
      <c r="N751" t="s">
        <v>4400</v>
      </c>
    </row>
    <row r="752" spans="1:14" x14ac:dyDescent="0.4">
      <c r="A752" t="s">
        <v>1821</v>
      </c>
      <c r="B752" t="s">
        <v>1822</v>
      </c>
      <c r="C752" t="s">
        <v>390</v>
      </c>
      <c r="D752" t="s">
        <v>394</v>
      </c>
      <c r="E752" s="2">
        <v>3745.0400000000004</v>
      </c>
      <c r="F752" s="2">
        <v>3043.4700000000003</v>
      </c>
      <c r="G752" s="2">
        <v>4528.7999999999984</v>
      </c>
      <c r="H752" s="2">
        <v>2982.7000000000003</v>
      </c>
      <c r="I752" s="2"/>
      <c r="J752" s="2"/>
      <c r="K752" s="2"/>
      <c r="L752" s="2">
        <v>14300.009999999993</v>
      </c>
      <c r="M752" t="s">
        <v>4400</v>
      </c>
      <c r="N752" t="s">
        <v>4402</v>
      </c>
    </row>
    <row r="753" spans="1:14" x14ac:dyDescent="0.4">
      <c r="A753" t="s">
        <v>1823</v>
      </c>
      <c r="B753" t="s">
        <v>1824</v>
      </c>
      <c r="C753" t="s">
        <v>19</v>
      </c>
      <c r="D753" t="s">
        <v>1825</v>
      </c>
      <c r="E753" s="2">
        <v>9421.92</v>
      </c>
      <c r="F753" s="2">
        <v>6454.4500000000007</v>
      </c>
      <c r="G753" s="2">
        <v>9657.5</v>
      </c>
      <c r="H753" s="2">
        <v>8055.1499999999987</v>
      </c>
      <c r="I753" s="2">
        <v>7332.2600000000011</v>
      </c>
      <c r="J753" s="2">
        <v>5203.05</v>
      </c>
      <c r="K753" s="2">
        <v>2921.9599999999996</v>
      </c>
      <c r="L753" s="2">
        <v>49046.289999999957</v>
      </c>
      <c r="M753" t="s">
        <v>4400</v>
      </c>
      <c r="N753" t="s">
        <v>4400</v>
      </c>
    </row>
    <row r="754" spans="1:14" x14ac:dyDescent="0.4">
      <c r="A754" t="s">
        <v>1826</v>
      </c>
      <c r="B754" t="s">
        <v>1827</v>
      </c>
      <c r="C754" t="s">
        <v>113</v>
      </c>
      <c r="D754" t="s">
        <v>117</v>
      </c>
      <c r="E754" s="2"/>
      <c r="F754" s="2">
        <v>1075.26</v>
      </c>
      <c r="G754" s="2">
        <v>4127.8599999999997</v>
      </c>
      <c r="H754" s="2">
        <v>3529.5099999999998</v>
      </c>
      <c r="I754" s="2">
        <v>1710.09</v>
      </c>
      <c r="J754" s="2">
        <v>2275.06</v>
      </c>
      <c r="K754" s="2">
        <v>1828.56</v>
      </c>
      <c r="L754" s="2">
        <v>14546.339999999989</v>
      </c>
      <c r="M754" t="s">
        <v>4412</v>
      </c>
      <c r="N754" t="s">
        <v>4400</v>
      </c>
    </row>
    <row r="755" spans="1:14" x14ac:dyDescent="0.4">
      <c r="A755" t="s">
        <v>1828</v>
      </c>
      <c r="B755" t="s">
        <v>1829</v>
      </c>
      <c r="C755" t="s">
        <v>9</v>
      </c>
      <c r="D755" t="s">
        <v>45</v>
      </c>
      <c r="E755" s="2">
        <v>3347.23</v>
      </c>
      <c r="F755" s="2">
        <v>3219.6699999999996</v>
      </c>
      <c r="G755" s="2">
        <v>3814.9999999999995</v>
      </c>
      <c r="H755" s="2">
        <v>3000.97</v>
      </c>
      <c r="I755" s="2">
        <v>3213.5899999999997</v>
      </c>
      <c r="J755" s="2">
        <v>4331.3500000000004</v>
      </c>
      <c r="K755" s="2">
        <v>1555.1599999999999</v>
      </c>
      <c r="L755" s="2">
        <v>22482.97</v>
      </c>
      <c r="M755" t="s">
        <v>4400</v>
      </c>
      <c r="N755" t="s">
        <v>4400</v>
      </c>
    </row>
    <row r="756" spans="1:14" x14ac:dyDescent="0.4">
      <c r="A756" t="s">
        <v>1830</v>
      </c>
      <c r="B756" t="s">
        <v>786</v>
      </c>
      <c r="C756" t="s">
        <v>31</v>
      </c>
      <c r="D756" t="s">
        <v>471</v>
      </c>
      <c r="E756" s="2">
        <v>3234.8199999999997</v>
      </c>
      <c r="F756" s="2">
        <v>3304.6799999999994</v>
      </c>
      <c r="G756" s="2">
        <v>4358.6499999999996</v>
      </c>
      <c r="H756" s="2">
        <v>3252.99</v>
      </c>
      <c r="I756" s="2">
        <v>4382.8899999999994</v>
      </c>
      <c r="J756" s="2">
        <v>5485.4399999999978</v>
      </c>
      <c r="K756" s="2">
        <v>3578.0300000000007</v>
      </c>
      <c r="L756" s="2">
        <v>27597.499999999985</v>
      </c>
      <c r="M756" t="s">
        <v>4400</v>
      </c>
      <c r="N756" t="s">
        <v>4400</v>
      </c>
    </row>
    <row r="757" spans="1:14" x14ac:dyDescent="0.4">
      <c r="A757" t="s">
        <v>1831</v>
      </c>
      <c r="B757" t="s">
        <v>1832</v>
      </c>
      <c r="C757" t="s">
        <v>350</v>
      </c>
      <c r="D757" t="s">
        <v>1833</v>
      </c>
      <c r="E757" s="2">
        <v>5546.4099999999989</v>
      </c>
      <c r="F757" s="2">
        <v>4501.46</v>
      </c>
      <c r="G757" s="2">
        <v>5537.2500000000009</v>
      </c>
      <c r="H757" s="2">
        <v>3936.53</v>
      </c>
      <c r="I757" s="2">
        <v>2633.43</v>
      </c>
      <c r="J757" s="2">
        <v>3256.1100000000006</v>
      </c>
      <c r="K757" s="2">
        <v>1002.3500000000001</v>
      </c>
      <c r="L757" s="2">
        <v>26413.539999999961</v>
      </c>
      <c r="M757" t="s">
        <v>4400</v>
      </c>
      <c r="N757" t="s">
        <v>4400</v>
      </c>
    </row>
    <row r="758" spans="1:14" x14ac:dyDescent="0.4">
      <c r="A758" t="s">
        <v>1834</v>
      </c>
      <c r="B758" t="s">
        <v>1835</v>
      </c>
      <c r="C758" t="s">
        <v>437</v>
      </c>
      <c r="D758" t="s">
        <v>438</v>
      </c>
      <c r="E758" s="2">
        <v>2217.2699999999995</v>
      </c>
      <c r="F758" s="2">
        <v>2997.93</v>
      </c>
      <c r="G758" s="2">
        <v>3496.11</v>
      </c>
      <c r="H758" s="2">
        <v>2997.9999999999991</v>
      </c>
      <c r="I758" s="2">
        <v>4073.2599999999998</v>
      </c>
      <c r="J758" s="2">
        <v>3110.4199999999996</v>
      </c>
      <c r="K758" s="2">
        <v>1749.59</v>
      </c>
      <c r="L758" s="2">
        <v>20642.579999999994</v>
      </c>
      <c r="M758" t="s">
        <v>4400</v>
      </c>
      <c r="N758" t="s">
        <v>4400</v>
      </c>
    </row>
    <row r="759" spans="1:14" x14ac:dyDescent="0.4">
      <c r="A759" t="s">
        <v>1836</v>
      </c>
      <c r="B759" t="s">
        <v>1837</v>
      </c>
      <c r="C759" t="s">
        <v>423</v>
      </c>
      <c r="D759" t="s">
        <v>424</v>
      </c>
      <c r="E759" s="2">
        <v>3638.7900000000004</v>
      </c>
      <c r="F759" s="2">
        <v>1625.0099999999998</v>
      </c>
      <c r="G759" s="2">
        <v>2381.31</v>
      </c>
      <c r="H759" s="2">
        <v>2442.0599999999995</v>
      </c>
      <c r="I759" s="2">
        <v>3070.8100000000004</v>
      </c>
      <c r="J759" s="2">
        <v>2229.4299999999998</v>
      </c>
      <c r="K759" s="2"/>
      <c r="L759" s="2">
        <v>15387.410000000005</v>
      </c>
      <c r="M759" t="s">
        <v>4400</v>
      </c>
      <c r="N759" t="s">
        <v>4406</v>
      </c>
    </row>
    <row r="760" spans="1:14" x14ac:dyDescent="0.4">
      <c r="A760" t="s">
        <v>1838</v>
      </c>
      <c r="B760" t="s">
        <v>1839</v>
      </c>
      <c r="C760" t="s">
        <v>240</v>
      </c>
      <c r="D760" t="s">
        <v>241</v>
      </c>
      <c r="E760" s="2">
        <v>812.12</v>
      </c>
      <c r="F760" s="2">
        <v>1914.65</v>
      </c>
      <c r="G760" s="2">
        <v>909.78</v>
      </c>
      <c r="H760" s="2">
        <v>940.61999999999989</v>
      </c>
      <c r="I760" s="2">
        <v>1081.97</v>
      </c>
      <c r="J760" s="2"/>
      <c r="K760" s="2"/>
      <c r="L760" s="2">
        <v>5659.14</v>
      </c>
      <c r="M760" t="s">
        <v>4400</v>
      </c>
      <c r="N760" t="s">
        <v>4401</v>
      </c>
    </row>
    <row r="761" spans="1:14" x14ac:dyDescent="0.4">
      <c r="A761" t="s">
        <v>1840</v>
      </c>
      <c r="B761" t="s">
        <v>1841</v>
      </c>
      <c r="C761" t="s">
        <v>258</v>
      </c>
      <c r="D761" t="s">
        <v>259</v>
      </c>
      <c r="E761" s="2">
        <v>4589.4499999999989</v>
      </c>
      <c r="F761" s="2">
        <v>3820.98</v>
      </c>
      <c r="G761" s="2">
        <v>7471.8399999999965</v>
      </c>
      <c r="H761" s="2">
        <v>6269.0399999999981</v>
      </c>
      <c r="I761" s="2">
        <v>7845.5299999999988</v>
      </c>
      <c r="J761" s="2">
        <v>6220.5</v>
      </c>
      <c r="K761" s="2">
        <v>3641.85</v>
      </c>
      <c r="L761" s="2">
        <v>39859.190000000024</v>
      </c>
      <c r="M761" t="s">
        <v>4400</v>
      </c>
      <c r="N761" t="s">
        <v>4400</v>
      </c>
    </row>
    <row r="762" spans="1:14" x14ac:dyDescent="0.4">
      <c r="A762" t="s">
        <v>1842</v>
      </c>
      <c r="B762" t="s">
        <v>1843</v>
      </c>
      <c r="C762" t="s">
        <v>113</v>
      </c>
      <c r="D762" t="s">
        <v>120</v>
      </c>
      <c r="E762" s="2">
        <v>3045.45</v>
      </c>
      <c r="F762" s="2">
        <v>1475.1799999999998</v>
      </c>
      <c r="G762" s="2">
        <v>860.95</v>
      </c>
      <c r="H762" s="2">
        <v>2978.6299999999987</v>
      </c>
      <c r="I762" s="2">
        <v>2418.3699999999994</v>
      </c>
      <c r="J762" s="2">
        <v>2965.7799999999993</v>
      </c>
      <c r="K762" s="2">
        <v>724.74</v>
      </c>
      <c r="L762" s="2">
        <v>14469.1</v>
      </c>
      <c r="M762" t="s">
        <v>4400</v>
      </c>
      <c r="N762" t="s">
        <v>4400</v>
      </c>
    </row>
    <row r="763" spans="1:14" x14ac:dyDescent="0.4">
      <c r="A763" t="s">
        <v>1844</v>
      </c>
      <c r="B763" t="s">
        <v>1845</v>
      </c>
      <c r="C763" t="s">
        <v>178</v>
      </c>
      <c r="D763" t="s">
        <v>179</v>
      </c>
      <c r="E763" s="2">
        <v>789.75</v>
      </c>
      <c r="F763" s="2">
        <v>753.3</v>
      </c>
      <c r="G763" s="2"/>
      <c r="H763" s="2">
        <v>1096.55</v>
      </c>
      <c r="I763" s="2">
        <v>1139.06</v>
      </c>
      <c r="J763" s="2">
        <v>1546.1100000000001</v>
      </c>
      <c r="K763" s="2">
        <v>744.2</v>
      </c>
      <c r="L763" s="2">
        <v>6068.9700000000012</v>
      </c>
      <c r="M763" t="s">
        <v>4400</v>
      </c>
      <c r="N763" t="s">
        <v>4400</v>
      </c>
    </row>
    <row r="764" spans="1:14" x14ac:dyDescent="0.4">
      <c r="A764" t="s">
        <v>1846</v>
      </c>
      <c r="B764" t="s">
        <v>1847</v>
      </c>
      <c r="C764" t="s">
        <v>199</v>
      </c>
      <c r="D764" t="s">
        <v>612</v>
      </c>
      <c r="E764" s="2">
        <v>1785.99</v>
      </c>
      <c r="F764" s="2"/>
      <c r="G764" s="2"/>
      <c r="H764" s="2"/>
      <c r="I764" s="2"/>
      <c r="J764" s="2"/>
      <c r="K764" s="2"/>
      <c r="L764" s="2">
        <v>1785.99</v>
      </c>
      <c r="M764" t="s">
        <v>4400</v>
      </c>
      <c r="N764" t="s">
        <v>4407</v>
      </c>
    </row>
    <row r="765" spans="1:14" x14ac:dyDescent="0.4">
      <c r="A765" t="s">
        <v>1848</v>
      </c>
      <c r="B765" t="s">
        <v>1849</v>
      </c>
      <c r="C765" t="s">
        <v>5</v>
      </c>
      <c r="D765" t="s">
        <v>56</v>
      </c>
      <c r="E765" s="2">
        <v>3304.78</v>
      </c>
      <c r="F765" s="2">
        <v>3717.849999999999</v>
      </c>
      <c r="G765" s="2">
        <v>4422.43</v>
      </c>
      <c r="H765" s="2">
        <v>2551.4100000000003</v>
      </c>
      <c r="I765" s="2">
        <v>3599.3700000000003</v>
      </c>
      <c r="J765" s="2">
        <v>4431.58</v>
      </c>
      <c r="K765" s="2">
        <v>1278.75</v>
      </c>
      <c r="L765" s="2">
        <v>23306.16999999998</v>
      </c>
      <c r="M765" t="s">
        <v>4400</v>
      </c>
      <c r="N765" t="s">
        <v>4400</v>
      </c>
    </row>
    <row r="766" spans="1:14" x14ac:dyDescent="0.4">
      <c r="A766" t="s">
        <v>1850</v>
      </c>
      <c r="B766" t="s">
        <v>1851</v>
      </c>
      <c r="C766" t="s">
        <v>860</v>
      </c>
      <c r="D766" t="s">
        <v>861</v>
      </c>
      <c r="E766" s="2">
        <v>9468</v>
      </c>
      <c r="F766" s="2">
        <v>9432</v>
      </c>
      <c r="G766" s="2">
        <v>9432</v>
      </c>
      <c r="H766" s="2">
        <v>11830</v>
      </c>
      <c r="I766" s="2">
        <v>9472</v>
      </c>
      <c r="J766" s="2">
        <v>9472</v>
      </c>
      <c r="K766" s="2">
        <v>7104</v>
      </c>
      <c r="L766" s="2">
        <v>66210</v>
      </c>
      <c r="M766" t="s">
        <v>4400</v>
      </c>
      <c r="N766" t="s">
        <v>4400</v>
      </c>
    </row>
    <row r="767" spans="1:14" x14ac:dyDescent="0.4">
      <c r="A767" t="s">
        <v>1852</v>
      </c>
      <c r="B767" t="s">
        <v>1853</v>
      </c>
      <c r="C767" t="s">
        <v>1</v>
      </c>
      <c r="D767" t="s">
        <v>507</v>
      </c>
      <c r="E767" s="2">
        <v>4207.0900000000011</v>
      </c>
      <c r="F767" s="2">
        <v>3253.619999999999</v>
      </c>
      <c r="G767" s="2">
        <v>3479.7799999999997</v>
      </c>
      <c r="H767" s="2">
        <v>3500.3399999999997</v>
      </c>
      <c r="I767" s="2">
        <v>4618.29</v>
      </c>
      <c r="J767" s="2">
        <v>2860.4100000000003</v>
      </c>
      <c r="K767" s="2">
        <v>1940.3499999999997</v>
      </c>
      <c r="L767" s="2">
        <v>23859.880000000052</v>
      </c>
      <c r="M767" t="s">
        <v>4400</v>
      </c>
      <c r="N767" t="s">
        <v>4400</v>
      </c>
    </row>
    <row r="768" spans="1:14" x14ac:dyDescent="0.4">
      <c r="A768" t="s">
        <v>1854</v>
      </c>
      <c r="B768" t="s">
        <v>685</v>
      </c>
      <c r="C768" t="s">
        <v>186</v>
      </c>
      <c r="D768" t="s">
        <v>1209</v>
      </c>
      <c r="E768" s="2">
        <v>3901.26</v>
      </c>
      <c r="F768" s="2">
        <v>3942.38</v>
      </c>
      <c r="G768" s="2">
        <v>4402.4100000000008</v>
      </c>
      <c r="H768" s="2">
        <v>3752.1999999999994</v>
      </c>
      <c r="I768" s="2">
        <v>4957.53</v>
      </c>
      <c r="J768" s="2">
        <v>3798.4599999999991</v>
      </c>
      <c r="K768" s="2">
        <v>1752.7399999999998</v>
      </c>
      <c r="L768" s="2">
        <v>26506.980000000047</v>
      </c>
      <c r="M768" t="s">
        <v>4400</v>
      </c>
      <c r="N768" t="s">
        <v>4400</v>
      </c>
    </row>
    <row r="769" spans="1:14" x14ac:dyDescent="0.4">
      <c r="A769" t="s">
        <v>1855</v>
      </c>
      <c r="B769" t="s">
        <v>1856</v>
      </c>
      <c r="C769" t="s">
        <v>91</v>
      </c>
      <c r="D769" t="s">
        <v>92</v>
      </c>
      <c r="E769" s="2">
        <v>3453.51</v>
      </c>
      <c r="F769" s="2">
        <v>3341.1200000000003</v>
      </c>
      <c r="G769" s="2">
        <v>4352.5700000000006</v>
      </c>
      <c r="H769" s="2">
        <v>3593.2299999999996</v>
      </c>
      <c r="I769" s="2">
        <v>3796.72</v>
      </c>
      <c r="J769" s="2">
        <v>3523.3900000000003</v>
      </c>
      <c r="K769" s="2">
        <v>1889.2600000000002</v>
      </c>
      <c r="L769" s="2">
        <v>23949.799999999977</v>
      </c>
      <c r="M769" t="s">
        <v>4400</v>
      </c>
      <c r="N769" t="s">
        <v>4400</v>
      </c>
    </row>
    <row r="770" spans="1:14" x14ac:dyDescent="0.4">
      <c r="A770" t="s">
        <v>1857</v>
      </c>
      <c r="B770" t="s">
        <v>233</v>
      </c>
      <c r="C770" t="s">
        <v>13</v>
      </c>
      <c r="D770" t="s">
        <v>234</v>
      </c>
      <c r="E770" s="2">
        <v>2211.23</v>
      </c>
      <c r="F770" s="2"/>
      <c r="G770" s="2">
        <v>2259.8000000000002</v>
      </c>
      <c r="H770" s="2"/>
      <c r="I770" s="2">
        <v>2405.5999999999995</v>
      </c>
      <c r="J770" s="2"/>
      <c r="K770" s="2"/>
      <c r="L770" s="2">
        <v>6876.6300000000019</v>
      </c>
      <c r="M770" t="s">
        <v>4400</v>
      </c>
      <c r="N770" t="s">
        <v>4401</v>
      </c>
    </row>
    <row r="771" spans="1:14" x14ac:dyDescent="0.4">
      <c r="A771" t="s">
        <v>1858</v>
      </c>
      <c r="B771" t="s">
        <v>479</v>
      </c>
      <c r="C771" t="s">
        <v>13</v>
      </c>
      <c r="D771" t="s">
        <v>523</v>
      </c>
      <c r="E771" s="2">
        <v>7016.1000000000013</v>
      </c>
      <c r="F771" s="2">
        <v>3338.4299999999994</v>
      </c>
      <c r="G771" s="2">
        <v>3256.19</v>
      </c>
      <c r="H771" s="2">
        <v>2089.4100000000003</v>
      </c>
      <c r="I771" s="2">
        <v>4538.6200000000008</v>
      </c>
      <c r="J771" s="2">
        <v>3204.7899999999991</v>
      </c>
      <c r="K771" s="2">
        <v>2202.4899999999993</v>
      </c>
      <c r="L771" s="2">
        <v>25646.030000000028</v>
      </c>
      <c r="M771" t="s">
        <v>4400</v>
      </c>
      <c r="N771" t="s">
        <v>4400</v>
      </c>
    </row>
    <row r="772" spans="1:14" x14ac:dyDescent="0.4">
      <c r="A772" t="s">
        <v>1859</v>
      </c>
      <c r="B772" t="s">
        <v>1860</v>
      </c>
      <c r="C772" t="s">
        <v>939</v>
      </c>
      <c r="D772" t="s">
        <v>1266</v>
      </c>
      <c r="E772" s="2">
        <v>3152.889999999999</v>
      </c>
      <c r="F772" s="2">
        <v>3781.62</v>
      </c>
      <c r="G772" s="2">
        <v>6816.1299999999992</v>
      </c>
      <c r="H772" s="2">
        <v>3945.68</v>
      </c>
      <c r="I772" s="2">
        <v>3684.47</v>
      </c>
      <c r="J772" s="2">
        <v>7277.760000000002</v>
      </c>
      <c r="K772" s="2">
        <v>3004.06</v>
      </c>
      <c r="L772" s="2">
        <v>31662.61</v>
      </c>
      <c r="M772" t="s">
        <v>4400</v>
      </c>
      <c r="N772" t="s">
        <v>4400</v>
      </c>
    </row>
    <row r="773" spans="1:14" x14ac:dyDescent="0.4">
      <c r="A773" t="s">
        <v>1861</v>
      </c>
      <c r="B773" t="s">
        <v>877</v>
      </c>
      <c r="C773" t="s">
        <v>244</v>
      </c>
      <c r="D773" t="s">
        <v>264</v>
      </c>
      <c r="E773" s="2">
        <v>9382.6499999999942</v>
      </c>
      <c r="F773" s="2">
        <v>5637.4999999999991</v>
      </c>
      <c r="G773" s="2">
        <v>5880.4599999999991</v>
      </c>
      <c r="H773" s="2">
        <v>7593.4999999999991</v>
      </c>
      <c r="I773" s="2">
        <v>9033.4000000000015</v>
      </c>
      <c r="J773" s="2">
        <v>4993.5299999999988</v>
      </c>
      <c r="K773" s="2">
        <v>2545.3700000000003</v>
      </c>
      <c r="L773" s="2">
        <v>45066.409999999989</v>
      </c>
      <c r="M773" t="s">
        <v>4400</v>
      </c>
      <c r="N773" t="s">
        <v>4400</v>
      </c>
    </row>
    <row r="774" spans="1:14" x14ac:dyDescent="0.4">
      <c r="A774" t="s">
        <v>1862</v>
      </c>
      <c r="B774" t="s">
        <v>1863</v>
      </c>
      <c r="C774" t="s">
        <v>447</v>
      </c>
      <c r="D774" t="s">
        <v>1864</v>
      </c>
      <c r="E774" s="2">
        <v>2718.3999999999996</v>
      </c>
      <c r="F774" s="2">
        <v>2384.3000000000002</v>
      </c>
      <c r="G774" s="2">
        <v>5096.68</v>
      </c>
      <c r="H774" s="2">
        <v>2536.1499999999996</v>
      </c>
      <c r="I774" s="2">
        <v>2566.5499999999997</v>
      </c>
      <c r="J774" s="2">
        <v>1184.55</v>
      </c>
      <c r="K774" s="2"/>
      <c r="L774" s="2">
        <v>16486.630000000005</v>
      </c>
      <c r="M774" t="s">
        <v>4400</v>
      </c>
      <c r="N774" t="s">
        <v>4406</v>
      </c>
    </row>
    <row r="775" spans="1:14" x14ac:dyDescent="0.4">
      <c r="A775" t="s">
        <v>1865</v>
      </c>
      <c r="B775" t="s">
        <v>1866</v>
      </c>
      <c r="C775" t="s">
        <v>374</v>
      </c>
      <c r="D775" t="s">
        <v>384</v>
      </c>
      <c r="E775" s="2">
        <v>3316.92</v>
      </c>
      <c r="F775" s="2">
        <v>4905.4600000000009</v>
      </c>
      <c r="G775" s="2">
        <v>4920.5999999999995</v>
      </c>
      <c r="H775" s="2">
        <v>4680.62</v>
      </c>
      <c r="I775" s="2">
        <v>3969.86</v>
      </c>
      <c r="J775" s="2">
        <v>6946.52</v>
      </c>
      <c r="K775" s="2">
        <v>2597.0099999999998</v>
      </c>
      <c r="L775" s="2">
        <v>31336.989999999962</v>
      </c>
      <c r="M775" t="s">
        <v>4400</v>
      </c>
      <c r="N775" t="s">
        <v>4400</v>
      </c>
    </row>
    <row r="776" spans="1:14" x14ac:dyDescent="0.4">
      <c r="A776" t="s">
        <v>1867</v>
      </c>
      <c r="B776" t="s">
        <v>1868</v>
      </c>
      <c r="C776" t="s">
        <v>337</v>
      </c>
      <c r="D776" t="s">
        <v>599</v>
      </c>
      <c r="E776" s="2">
        <v>4881.1999999999989</v>
      </c>
      <c r="F776" s="2">
        <v>4559.2300000000005</v>
      </c>
      <c r="G776" s="2">
        <v>4765.7700000000004</v>
      </c>
      <c r="H776" s="2">
        <v>4137.0300000000007</v>
      </c>
      <c r="I776" s="2">
        <v>5036.1099999999988</v>
      </c>
      <c r="J776" s="2">
        <v>5631.45</v>
      </c>
      <c r="K776" s="2">
        <v>2065.46</v>
      </c>
      <c r="L776" s="2">
        <v>31076.249999999982</v>
      </c>
      <c r="M776" t="s">
        <v>4400</v>
      </c>
      <c r="N776" t="s">
        <v>4400</v>
      </c>
    </row>
    <row r="777" spans="1:14" x14ac:dyDescent="0.4">
      <c r="A777" t="s">
        <v>1869</v>
      </c>
      <c r="B777" t="s">
        <v>1870</v>
      </c>
      <c r="C777" t="s">
        <v>244</v>
      </c>
      <c r="D777" t="s">
        <v>245</v>
      </c>
      <c r="E777" s="2">
        <v>4571.33</v>
      </c>
      <c r="F777" s="2">
        <v>4015.45</v>
      </c>
      <c r="G777" s="2">
        <v>3811.97</v>
      </c>
      <c r="H777" s="2">
        <v>4225.08</v>
      </c>
      <c r="I777" s="2">
        <v>3514.3199999999997</v>
      </c>
      <c r="J777" s="2">
        <v>2162.67</v>
      </c>
      <c r="K777" s="2">
        <v>1855.9199999999998</v>
      </c>
      <c r="L777" s="2">
        <v>24156.739999999991</v>
      </c>
      <c r="M777" t="s">
        <v>4400</v>
      </c>
      <c r="N777" t="s">
        <v>4400</v>
      </c>
    </row>
    <row r="778" spans="1:14" x14ac:dyDescent="0.4">
      <c r="A778" t="s">
        <v>1871</v>
      </c>
      <c r="B778" t="s">
        <v>1872</v>
      </c>
      <c r="C778" t="s">
        <v>113</v>
      </c>
      <c r="D778" t="s">
        <v>120</v>
      </c>
      <c r="E778" s="2">
        <v>5096.74</v>
      </c>
      <c r="F778" s="2">
        <v>4319.17</v>
      </c>
      <c r="G778" s="2">
        <v>4856.78</v>
      </c>
      <c r="H778" s="2">
        <v>6651.8499999999967</v>
      </c>
      <c r="I778" s="2">
        <v>4710.9699999999975</v>
      </c>
      <c r="J778" s="2">
        <v>3277.3399999999997</v>
      </c>
      <c r="K778" s="2">
        <v>2053.2499999999995</v>
      </c>
      <c r="L778" s="2">
        <v>30966.100000000024</v>
      </c>
      <c r="M778" t="s">
        <v>4400</v>
      </c>
      <c r="N778" t="s">
        <v>4400</v>
      </c>
    </row>
    <row r="779" spans="1:14" x14ac:dyDescent="0.4">
      <c r="A779" t="s">
        <v>1873</v>
      </c>
      <c r="B779" t="s">
        <v>141</v>
      </c>
      <c r="C779" t="s">
        <v>52</v>
      </c>
      <c r="D779" t="s">
        <v>153</v>
      </c>
      <c r="E779" s="2">
        <v>6681.9999999999991</v>
      </c>
      <c r="F779" s="2">
        <v>4515.4899999999989</v>
      </c>
      <c r="G779" s="2">
        <v>10094.960000000003</v>
      </c>
      <c r="H779" s="2">
        <v>13253.489999999996</v>
      </c>
      <c r="I779" s="2">
        <v>4949.82</v>
      </c>
      <c r="J779" s="2">
        <v>6599.7599999999984</v>
      </c>
      <c r="K779" s="2">
        <v>4795.62</v>
      </c>
      <c r="L779" s="2">
        <v>50891.140000000007</v>
      </c>
      <c r="M779" t="s">
        <v>4400</v>
      </c>
      <c r="N779" t="s">
        <v>4400</v>
      </c>
    </row>
    <row r="780" spans="1:14" x14ac:dyDescent="0.4">
      <c r="A780" t="s">
        <v>1874</v>
      </c>
      <c r="B780" t="s">
        <v>1875</v>
      </c>
      <c r="C780" t="s">
        <v>433</v>
      </c>
      <c r="D780" t="s">
        <v>566</v>
      </c>
      <c r="E780" s="2">
        <v>1940.9099999999999</v>
      </c>
      <c r="F780" s="2">
        <v>1670.54</v>
      </c>
      <c r="G780" s="2">
        <v>1734.37</v>
      </c>
      <c r="H780" s="2">
        <v>1901.42</v>
      </c>
      <c r="I780" s="2">
        <v>1163.33</v>
      </c>
      <c r="J780" s="2">
        <v>1725.25</v>
      </c>
      <c r="K780" s="2">
        <v>1652.3299999999997</v>
      </c>
      <c r="L780" s="2">
        <v>11788.149999999994</v>
      </c>
      <c r="M780" t="s">
        <v>4400</v>
      </c>
      <c r="N780" t="s">
        <v>4400</v>
      </c>
    </row>
    <row r="781" spans="1:14" x14ac:dyDescent="0.4">
      <c r="A781" t="s">
        <v>1876</v>
      </c>
      <c r="B781" t="s">
        <v>1877</v>
      </c>
      <c r="C781" t="s">
        <v>64</v>
      </c>
      <c r="D781" t="s">
        <v>630</v>
      </c>
      <c r="E781" s="2">
        <v>6044.3999999999987</v>
      </c>
      <c r="F781" s="2">
        <v>7772.6399999999985</v>
      </c>
      <c r="G781" s="2">
        <v>5455.0800000000008</v>
      </c>
      <c r="H781" s="2">
        <v>8167.4999999999982</v>
      </c>
      <c r="I781" s="2">
        <v>6530.3899999999976</v>
      </c>
      <c r="J781" s="2">
        <v>4206.7699999999995</v>
      </c>
      <c r="K781" s="2">
        <v>938.55000000000007</v>
      </c>
      <c r="L781" s="2">
        <v>39115.330000000053</v>
      </c>
      <c r="M781" t="s">
        <v>4400</v>
      </c>
      <c r="N781" t="s">
        <v>4400</v>
      </c>
    </row>
    <row r="782" spans="1:14" x14ac:dyDescent="0.4">
      <c r="A782" t="s">
        <v>1878</v>
      </c>
      <c r="B782" t="s">
        <v>1879</v>
      </c>
      <c r="C782" t="s">
        <v>167</v>
      </c>
      <c r="D782" t="s">
        <v>527</v>
      </c>
      <c r="E782" s="2">
        <v>868.72</v>
      </c>
      <c r="F782" s="2"/>
      <c r="G782" s="2"/>
      <c r="H782" s="2"/>
      <c r="I782" s="2"/>
      <c r="J782" s="2"/>
      <c r="K782" s="2"/>
      <c r="L782" s="2">
        <v>868.72</v>
      </c>
      <c r="M782" t="s">
        <v>4400</v>
      </c>
      <c r="N782" t="s">
        <v>4407</v>
      </c>
    </row>
    <row r="783" spans="1:14" x14ac:dyDescent="0.4">
      <c r="A783" t="s">
        <v>1880</v>
      </c>
      <c r="B783" t="s">
        <v>1881</v>
      </c>
      <c r="C783" t="s">
        <v>103</v>
      </c>
      <c r="D783" t="s">
        <v>1882</v>
      </c>
      <c r="E783" s="2">
        <v>5169.8399999999992</v>
      </c>
      <c r="F783" s="2">
        <v>1142.08</v>
      </c>
      <c r="G783" s="2">
        <v>4519.72</v>
      </c>
      <c r="H783" s="2">
        <v>3250.08</v>
      </c>
      <c r="I783" s="2">
        <v>2493.71</v>
      </c>
      <c r="J783" s="2">
        <v>3289.5899999999997</v>
      </c>
      <c r="K783" s="2">
        <v>905.16000000000008</v>
      </c>
      <c r="L783" s="2">
        <v>20770.180000000004</v>
      </c>
      <c r="M783" t="s">
        <v>4400</v>
      </c>
      <c r="N783" t="s">
        <v>4400</v>
      </c>
    </row>
    <row r="784" spans="1:14" x14ac:dyDescent="0.4">
      <c r="A784" t="s">
        <v>1883</v>
      </c>
      <c r="B784" t="s">
        <v>1884</v>
      </c>
      <c r="C784" t="s">
        <v>91</v>
      </c>
      <c r="D784" t="s">
        <v>1885</v>
      </c>
      <c r="E784" s="2">
        <v>2915.9200000000005</v>
      </c>
      <c r="F784" s="2">
        <v>3116.38</v>
      </c>
      <c r="G784" s="2">
        <v>3821.0700000000011</v>
      </c>
      <c r="H784" s="2">
        <v>3404.94</v>
      </c>
      <c r="I784" s="2">
        <v>3043.4999999999995</v>
      </c>
      <c r="J784" s="2">
        <v>3720.85</v>
      </c>
      <c r="K784" s="2">
        <v>1464.0400000000002</v>
      </c>
      <c r="L784" s="2">
        <v>21486.69999999995</v>
      </c>
      <c r="M784" t="s">
        <v>4400</v>
      </c>
      <c r="N784" t="s">
        <v>4400</v>
      </c>
    </row>
    <row r="785" spans="1:14" x14ac:dyDescent="0.4">
      <c r="A785" t="s">
        <v>1886</v>
      </c>
      <c r="B785" t="s">
        <v>1887</v>
      </c>
      <c r="C785" t="s">
        <v>78</v>
      </c>
      <c r="D785" t="s">
        <v>1553</v>
      </c>
      <c r="E785" s="2">
        <v>3025.28</v>
      </c>
      <c r="F785" s="2">
        <v>2281.11</v>
      </c>
      <c r="G785" s="2">
        <v>3119.4599999999996</v>
      </c>
      <c r="H785" s="2">
        <v>2976.64</v>
      </c>
      <c r="I785" s="2">
        <v>3028.3200000000006</v>
      </c>
      <c r="J785" s="2">
        <v>3325.93</v>
      </c>
      <c r="K785" s="2">
        <v>1254.44</v>
      </c>
      <c r="L785" s="2">
        <v>19011.179999999971</v>
      </c>
      <c r="M785" t="s">
        <v>4400</v>
      </c>
      <c r="N785" t="s">
        <v>4400</v>
      </c>
    </row>
    <row r="786" spans="1:14" x14ac:dyDescent="0.4">
      <c r="A786" t="s">
        <v>1888</v>
      </c>
      <c r="B786" t="s">
        <v>319</v>
      </c>
      <c r="C786" t="s">
        <v>310</v>
      </c>
      <c r="D786" t="s">
        <v>317</v>
      </c>
      <c r="E786" s="2">
        <v>5118.170000000001</v>
      </c>
      <c r="F786" s="2">
        <v>4140.0300000000007</v>
      </c>
      <c r="G786" s="2">
        <v>3696.5700000000011</v>
      </c>
      <c r="H786" s="2">
        <v>5048.2400000000007</v>
      </c>
      <c r="I786" s="2">
        <v>4869.0999999999995</v>
      </c>
      <c r="J786" s="2">
        <v>3356.4400000000005</v>
      </c>
      <c r="K786" s="2">
        <v>2077.65</v>
      </c>
      <c r="L786" s="2">
        <v>28306.199999999953</v>
      </c>
      <c r="M786" t="s">
        <v>4400</v>
      </c>
      <c r="N786" t="s">
        <v>4400</v>
      </c>
    </row>
    <row r="787" spans="1:14" x14ac:dyDescent="0.4">
      <c r="A787" t="s">
        <v>1889</v>
      </c>
      <c r="B787" t="s">
        <v>1890</v>
      </c>
      <c r="C787" t="s">
        <v>279</v>
      </c>
      <c r="D787" t="s">
        <v>1891</v>
      </c>
      <c r="E787" s="2">
        <v>4774.8200000000006</v>
      </c>
      <c r="F787" s="2">
        <v>4273.6099999999997</v>
      </c>
      <c r="G787" s="2">
        <v>4413.32</v>
      </c>
      <c r="H787" s="2">
        <v>4270.6099999999988</v>
      </c>
      <c r="I787" s="2">
        <v>3571.9500000000003</v>
      </c>
      <c r="J787" s="2">
        <v>4276.6900000000005</v>
      </c>
      <c r="K787" s="2">
        <v>1682.7099999999998</v>
      </c>
      <c r="L787" s="2">
        <v>27263.709999999985</v>
      </c>
      <c r="M787" t="s">
        <v>4400</v>
      </c>
      <c r="N787" t="s">
        <v>4400</v>
      </c>
    </row>
    <row r="788" spans="1:14" x14ac:dyDescent="0.4">
      <c r="A788" t="s">
        <v>1892</v>
      </c>
      <c r="B788" t="s">
        <v>1893</v>
      </c>
      <c r="C788" t="s">
        <v>64</v>
      </c>
      <c r="D788" t="s">
        <v>645</v>
      </c>
      <c r="E788" s="2">
        <v>4410.2999999999984</v>
      </c>
      <c r="F788" s="2">
        <v>1694.88</v>
      </c>
      <c r="G788" s="2">
        <v>4349.5499999999984</v>
      </c>
      <c r="H788" s="2">
        <v>3499.0799999999995</v>
      </c>
      <c r="I788" s="2">
        <v>4753.5099999999993</v>
      </c>
      <c r="J788" s="2">
        <v>4027.58</v>
      </c>
      <c r="K788" s="2">
        <v>2028.98</v>
      </c>
      <c r="L788" s="2">
        <v>24763.880000000041</v>
      </c>
      <c r="M788" t="s">
        <v>4400</v>
      </c>
      <c r="N788" t="s">
        <v>4400</v>
      </c>
    </row>
    <row r="789" spans="1:14" x14ac:dyDescent="0.4">
      <c r="A789" t="s">
        <v>1894</v>
      </c>
      <c r="B789" t="s">
        <v>1895</v>
      </c>
      <c r="C789" t="s">
        <v>60</v>
      </c>
      <c r="D789" t="s">
        <v>61</v>
      </c>
      <c r="E789" s="2">
        <v>4674.6499999999996</v>
      </c>
      <c r="F789" s="2">
        <v>1506.56</v>
      </c>
      <c r="G789" s="2">
        <v>877.81000000000006</v>
      </c>
      <c r="H789" s="2">
        <v>1767.7999999999997</v>
      </c>
      <c r="I789" s="2"/>
      <c r="J789" s="2">
        <v>1357.7399999999998</v>
      </c>
      <c r="K789" s="2"/>
      <c r="L789" s="2">
        <v>10184.560000000003</v>
      </c>
      <c r="M789" t="s">
        <v>4400</v>
      </c>
      <c r="N789" t="s">
        <v>4406</v>
      </c>
    </row>
    <row r="790" spans="1:14" x14ac:dyDescent="0.4">
      <c r="A790" t="s">
        <v>1896</v>
      </c>
      <c r="B790" t="s">
        <v>1897</v>
      </c>
      <c r="C790" t="s">
        <v>227</v>
      </c>
      <c r="D790" t="s">
        <v>228</v>
      </c>
      <c r="E790" s="2">
        <v>838.31999999999994</v>
      </c>
      <c r="F790" s="2">
        <v>1649.34</v>
      </c>
      <c r="G790" s="2">
        <v>1819.4299999999998</v>
      </c>
      <c r="H790" s="2">
        <v>1977.35</v>
      </c>
      <c r="I790" s="2">
        <v>1682.7399999999998</v>
      </c>
      <c r="J790" s="2">
        <v>1549.1</v>
      </c>
      <c r="K790" s="2">
        <v>944.63</v>
      </c>
      <c r="L790" s="2">
        <v>10460.909999999996</v>
      </c>
      <c r="M790" t="s">
        <v>4400</v>
      </c>
      <c r="N790" t="s">
        <v>4400</v>
      </c>
    </row>
    <row r="791" spans="1:14" x14ac:dyDescent="0.4">
      <c r="A791" t="s">
        <v>1898</v>
      </c>
      <c r="B791" t="s">
        <v>1899</v>
      </c>
      <c r="C791" t="s">
        <v>496</v>
      </c>
      <c r="D791" t="s">
        <v>1608</v>
      </c>
      <c r="E791" s="2">
        <v>3541.79</v>
      </c>
      <c r="F791" s="2">
        <v>4771.9899999999989</v>
      </c>
      <c r="G791" s="2">
        <v>6615.7799999999979</v>
      </c>
      <c r="H791" s="2">
        <v>4884.3999999999987</v>
      </c>
      <c r="I791" s="2">
        <v>4811.5199999999995</v>
      </c>
      <c r="J791" s="2">
        <v>6470.0299999999988</v>
      </c>
      <c r="K791" s="2">
        <v>2545.48</v>
      </c>
      <c r="L791" s="2">
        <v>33640.99000000002</v>
      </c>
      <c r="M791" t="s">
        <v>4400</v>
      </c>
      <c r="N791" t="s">
        <v>4400</v>
      </c>
    </row>
    <row r="792" spans="1:14" x14ac:dyDescent="0.4">
      <c r="A792" t="s">
        <v>1900</v>
      </c>
      <c r="B792" t="s">
        <v>1901</v>
      </c>
      <c r="C792" t="s">
        <v>258</v>
      </c>
      <c r="D792" t="s">
        <v>259</v>
      </c>
      <c r="E792" s="2"/>
      <c r="F792" s="2"/>
      <c r="G792" s="2"/>
      <c r="H792" s="2"/>
      <c r="I792" s="2">
        <v>5130.2000000000016</v>
      </c>
      <c r="J792" s="2">
        <v>6165.89</v>
      </c>
      <c r="K792" s="2"/>
      <c r="L792" s="2">
        <v>11296.09</v>
      </c>
      <c r="M792" t="s">
        <v>4408</v>
      </c>
      <c r="N792" t="s">
        <v>4406</v>
      </c>
    </row>
    <row r="793" spans="1:14" x14ac:dyDescent="0.4">
      <c r="A793" t="s">
        <v>1902</v>
      </c>
      <c r="B793" t="s">
        <v>933</v>
      </c>
      <c r="C793" t="s">
        <v>496</v>
      </c>
      <c r="D793" t="s">
        <v>934</v>
      </c>
      <c r="E793" s="2">
        <v>1947.0199999999998</v>
      </c>
      <c r="F793" s="2">
        <v>1512.66</v>
      </c>
      <c r="G793" s="2">
        <v>2378.33</v>
      </c>
      <c r="H793" s="2">
        <v>3912.2599999999993</v>
      </c>
      <c r="I793" s="2">
        <v>2648.6800000000003</v>
      </c>
      <c r="J793" s="2">
        <v>3401.9600000000005</v>
      </c>
      <c r="K793" s="2">
        <v>1700.9799999999998</v>
      </c>
      <c r="L793" s="2">
        <v>17501.890000000003</v>
      </c>
      <c r="M793" t="s">
        <v>4400</v>
      </c>
      <c r="N793" t="s">
        <v>4400</v>
      </c>
    </row>
    <row r="794" spans="1:14" x14ac:dyDescent="0.4">
      <c r="A794" t="s">
        <v>1903</v>
      </c>
      <c r="B794" t="s">
        <v>1904</v>
      </c>
      <c r="C794" t="s">
        <v>199</v>
      </c>
      <c r="D794" t="s">
        <v>214</v>
      </c>
      <c r="E794" s="2">
        <v>3711.5699999999997</v>
      </c>
      <c r="F794" s="2">
        <v>935.48</v>
      </c>
      <c r="G794" s="2"/>
      <c r="H794" s="2"/>
      <c r="I794" s="2"/>
      <c r="J794" s="2"/>
      <c r="K794" s="2"/>
      <c r="L794" s="2">
        <v>4647.0499999999993</v>
      </c>
      <c r="M794" t="s">
        <v>4400</v>
      </c>
      <c r="N794" t="s">
        <v>4410</v>
      </c>
    </row>
    <row r="795" spans="1:14" x14ac:dyDescent="0.4">
      <c r="A795" t="s">
        <v>1905</v>
      </c>
      <c r="B795" t="s">
        <v>1906</v>
      </c>
      <c r="C795" t="s">
        <v>267</v>
      </c>
      <c r="D795" t="s">
        <v>1907</v>
      </c>
      <c r="E795" s="2">
        <v>4343.5000000000009</v>
      </c>
      <c r="F795" s="2">
        <v>3095.1099999999992</v>
      </c>
      <c r="G795" s="2">
        <v>3972.9399999999996</v>
      </c>
      <c r="H795" s="2">
        <v>2208.1899999999991</v>
      </c>
      <c r="I795" s="2">
        <v>4203.74</v>
      </c>
      <c r="J795" s="2">
        <v>3453.5199999999991</v>
      </c>
      <c r="K795" s="2">
        <v>1129.9199999999998</v>
      </c>
      <c r="L795" s="2">
        <v>22406.91999999998</v>
      </c>
      <c r="M795" t="s">
        <v>4400</v>
      </c>
      <c r="N795" t="s">
        <v>4400</v>
      </c>
    </row>
    <row r="796" spans="1:14" x14ac:dyDescent="0.4">
      <c r="A796" t="s">
        <v>1908</v>
      </c>
      <c r="B796" t="s">
        <v>1909</v>
      </c>
      <c r="C796" t="s">
        <v>163</v>
      </c>
      <c r="D796" t="s">
        <v>164</v>
      </c>
      <c r="E796" s="2"/>
      <c r="F796" s="2"/>
      <c r="G796" s="2"/>
      <c r="H796" s="2"/>
      <c r="I796" s="2"/>
      <c r="J796" s="2"/>
      <c r="K796" s="2">
        <v>744.14999999999986</v>
      </c>
      <c r="L796" s="2">
        <v>744.14999999999986</v>
      </c>
      <c r="M796" t="s">
        <v>4404</v>
      </c>
      <c r="N796" t="s">
        <v>4400</v>
      </c>
    </row>
    <row r="797" spans="1:14" x14ac:dyDescent="0.4">
      <c r="A797" t="s">
        <v>1910</v>
      </c>
      <c r="B797" t="s">
        <v>1911</v>
      </c>
      <c r="C797" t="s">
        <v>64</v>
      </c>
      <c r="D797" t="s">
        <v>545</v>
      </c>
      <c r="E797" s="2"/>
      <c r="F797" s="2">
        <v>768.50000000000011</v>
      </c>
      <c r="G797" s="2">
        <v>1564.33</v>
      </c>
      <c r="H797" s="2"/>
      <c r="I797" s="2"/>
      <c r="J797" s="2"/>
      <c r="K797" s="2"/>
      <c r="L797" s="2">
        <v>2332.8299999999995</v>
      </c>
      <c r="M797" t="s">
        <v>4412</v>
      </c>
      <c r="N797" t="s">
        <v>4403</v>
      </c>
    </row>
    <row r="798" spans="1:14" x14ac:dyDescent="0.4">
      <c r="A798" t="s">
        <v>1912</v>
      </c>
      <c r="B798" t="s">
        <v>1913</v>
      </c>
      <c r="C798" t="s">
        <v>48</v>
      </c>
      <c r="D798" t="s">
        <v>1914</v>
      </c>
      <c r="E798" s="2"/>
      <c r="F798" s="2"/>
      <c r="G798" s="2">
        <v>838.35000000000014</v>
      </c>
      <c r="H798" s="2"/>
      <c r="I798" s="2"/>
      <c r="J798" s="2"/>
      <c r="K798" s="2"/>
      <c r="L798" s="2">
        <v>838.35000000000014</v>
      </c>
      <c r="M798" t="s">
        <v>4411</v>
      </c>
      <c r="N798" t="s">
        <v>4403</v>
      </c>
    </row>
    <row r="799" spans="1:14" x14ac:dyDescent="0.4">
      <c r="A799" t="s">
        <v>1915</v>
      </c>
      <c r="B799" t="s">
        <v>1916</v>
      </c>
      <c r="C799" t="s">
        <v>186</v>
      </c>
      <c r="D799" t="s">
        <v>187</v>
      </c>
      <c r="E799" s="2">
        <v>2299.3699999999994</v>
      </c>
      <c r="F799" s="2">
        <v>3186.2799999999997</v>
      </c>
      <c r="G799" s="2">
        <v>4033.71</v>
      </c>
      <c r="H799" s="2">
        <v>3365.4600000000014</v>
      </c>
      <c r="I799" s="2">
        <v>3082.9999999999991</v>
      </c>
      <c r="J799" s="2">
        <v>4404.28</v>
      </c>
      <c r="K799" s="2">
        <v>1491.3899999999996</v>
      </c>
      <c r="L799" s="2">
        <v>21863.489999999969</v>
      </c>
      <c r="M799" t="s">
        <v>4400</v>
      </c>
      <c r="N799" t="s">
        <v>4400</v>
      </c>
    </row>
    <row r="800" spans="1:14" x14ac:dyDescent="0.4">
      <c r="A800" t="s">
        <v>1917</v>
      </c>
      <c r="B800" t="s">
        <v>1918</v>
      </c>
      <c r="C800" t="s">
        <v>64</v>
      </c>
      <c r="D800" t="s">
        <v>808</v>
      </c>
      <c r="E800" s="2">
        <v>11842.83</v>
      </c>
      <c r="F800" s="2">
        <v>15053.469999999994</v>
      </c>
      <c r="G800" s="2">
        <v>15117.14</v>
      </c>
      <c r="H800" s="2">
        <v>11147.269999999997</v>
      </c>
      <c r="I800" s="2">
        <v>12438.219999999996</v>
      </c>
      <c r="J800" s="2">
        <v>7790.8999999999987</v>
      </c>
      <c r="K800" s="2">
        <v>1925.7299999999998</v>
      </c>
      <c r="L800" s="2">
        <v>75315.56000000007</v>
      </c>
      <c r="M800" t="s">
        <v>4400</v>
      </c>
      <c r="N800" t="s">
        <v>4400</v>
      </c>
    </row>
    <row r="801" spans="1:14" x14ac:dyDescent="0.4">
      <c r="A801" t="s">
        <v>1919</v>
      </c>
      <c r="B801" t="s">
        <v>1920</v>
      </c>
      <c r="C801" t="s">
        <v>35</v>
      </c>
      <c r="D801" t="s">
        <v>1921</v>
      </c>
      <c r="E801" s="2">
        <v>5230.4400000000005</v>
      </c>
      <c r="F801" s="2">
        <v>2937.22</v>
      </c>
      <c r="G801" s="2">
        <v>3769.43</v>
      </c>
      <c r="H801" s="2">
        <v>4932.78</v>
      </c>
      <c r="I801" s="2">
        <v>3128.5599999999995</v>
      </c>
      <c r="J801" s="2"/>
      <c r="K801" s="2">
        <v>3171.06</v>
      </c>
      <c r="L801" s="2">
        <v>23169.489999999983</v>
      </c>
      <c r="M801" t="s">
        <v>4400</v>
      </c>
      <c r="N801" t="s">
        <v>4400</v>
      </c>
    </row>
    <row r="802" spans="1:14" x14ac:dyDescent="0.4">
      <c r="A802" t="s">
        <v>1922</v>
      </c>
      <c r="B802" t="s">
        <v>1923</v>
      </c>
      <c r="C802" t="s">
        <v>103</v>
      </c>
      <c r="D802" t="s">
        <v>104</v>
      </c>
      <c r="E802" s="2">
        <v>2402.6000000000004</v>
      </c>
      <c r="F802" s="2">
        <v>3966.8800000000006</v>
      </c>
      <c r="G802" s="2">
        <v>5446.1200000000017</v>
      </c>
      <c r="H802" s="2">
        <v>2272</v>
      </c>
      <c r="I802" s="2">
        <v>2442.1000000000004</v>
      </c>
      <c r="J802" s="2">
        <v>5260.82</v>
      </c>
      <c r="K802" s="2">
        <v>1327.36</v>
      </c>
      <c r="L802" s="2">
        <v>23117.87999999999</v>
      </c>
      <c r="M802" t="s">
        <v>4400</v>
      </c>
      <c r="N802" t="s">
        <v>4400</v>
      </c>
    </row>
    <row r="803" spans="1:14" x14ac:dyDescent="0.4">
      <c r="A803" t="s">
        <v>1924</v>
      </c>
      <c r="B803" t="s">
        <v>1925</v>
      </c>
      <c r="C803" t="s">
        <v>199</v>
      </c>
      <c r="D803" t="s">
        <v>1926</v>
      </c>
      <c r="E803" s="2"/>
      <c r="F803" s="2"/>
      <c r="G803" s="2">
        <v>8401.4499999999989</v>
      </c>
      <c r="H803" s="2">
        <v>4586.4700000000012</v>
      </c>
      <c r="I803" s="2">
        <v>4571.2699999999986</v>
      </c>
      <c r="J803" s="2">
        <v>5546.35</v>
      </c>
      <c r="K803" s="2">
        <v>3793.7499999999995</v>
      </c>
      <c r="L803" s="2">
        <v>26899.289999999994</v>
      </c>
      <c r="M803" t="s">
        <v>4411</v>
      </c>
      <c r="N803" t="s">
        <v>4400</v>
      </c>
    </row>
    <row r="804" spans="1:14" x14ac:dyDescent="0.4">
      <c r="A804" t="s">
        <v>1927</v>
      </c>
      <c r="B804" t="s">
        <v>1928</v>
      </c>
      <c r="C804" t="s">
        <v>1</v>
      </c>
      <c r="D804" t="s">
        <v>85</v>
      </c>
      <c r="E804" s="2"/>
      <c r="F804" s="2"/>
      <c r="G804" s="2"/>
      <c r="H804" s="2"/>
      <c r="I804" s="2"/>
      <c r="J804" s="2">
        <v>770.99999999999989</v>
      </c>
      <c r="K804" s="2">
        <v>727.31000000000006</v>
      </c>
      <c r="L804" s="2">
        <v>1498.3099999999997</v>
      </c>
      <c r="M804" t="s">
        <v>4405</v>
      </c>
      <c r="N804" t="s">
        <v>4400</v>
      </c>
    </row>
    <row r="805" spans="1:14" x14ac:dyDescent="0.4">
      <c r="A805" t="s">
        <v>1929</v>
      </c>
      <c r="B805" t="s">
        <v>1930</v>
      </c>
      <c r="C805" t="s">
        <v>64</v>
      </c>
      <c r="D805" t="s">
        <v>645</v>
      </c>
      <c r="E805" s="2">
        <v>3909.2000000000007</v>
      </c>
      <c r="F805" s="2">
        <v>3751.3</v>
      </c>
      <c r="G805" s="2">
        <v>3641.92</v>
      </c>
      <c r="H805" s="2">
        <v>3019.26</v>
      </c>
      <c r="I805" s="2">
        <v>3714.83</v>
      </c>
      <c r="J805" s="2">
        <v>2190.0099999999998</v>
      </c>
      <c r="K805" s="2">
        <v>2499.83</v>
      </c>
      <c r="L805" s="2">
        <v>22726.350000000024</v>
      </c>
      <c r="M805" t="s">
        <v>4400</v>
      </c>
      <c r="N805" t="s">
        <v>4400</v>
      </c>
    </row>
    <row r="806" spans="1:14" x14ac:dyDescent="0.4">
      <c r="A806" t="s">
        <v>1931</v>
      </c>
      <c r="B806" t="s">
        <v>1932</v>
      </c>
      <c r="C806" t="s">
        <v>433</v>
      </c>
      <c r="D806" t="s">
        <v>1174</v>
      </c>
      <c r="E806" s="2">
        <v>10922.590000000002</v>
      </c>
      <c r="F806" s="2">
        <v>7144.0199999999986</v>
      </c>
      <c r="G806" s="2">
        <v>14385.140000000001</v>
      </c>
      <c r="H806" s="2">
        <v>12957.579999999998</v>
      </c>
      <c r="I806" s="2">
        <v>13634.979999999998</v>
      </c>
      <c r="J806" s="2">
        <v>9716.7000000000007</v>
      </c>
      <c r="K806" s="2">
        <v>4586.4899999999989</v>
      </c>
      <c r="L806" s="2">
        <v>73347.499999999985</v>
      </c>
      <c r="M806" t="s">
        <v>4400</v>
      </c>
      <c r="N806" t="s">
        <v>4400</v>
      </c>
    </row>
    <row r="807" spans="1:14" x14ac:dyDescent="0.4">
      <c r="A807" t="s">
        <v>1933</v>
      </c>
      <c r="B807" t="s">
        <v>1934</v>
      </c>
      <c r="C807" t="s">
        <v>587</v>
      </c>
      <c r="D807" t="s">
        <v>1935</v>
      </c>
      <c r="E807" s="2">
        <v>1609.8500000000001</v>
      </c>
      <c r="F807" s="2">
        <v>2457.3200000000006</v>
      </c>
      <c r="G807" s="2">
        <v>4677.6500000000005</v>
      </c>
      <c r="H807" s="2">
        <v>1837.63</v>
      </c>
      <c r="I807" s="2">
        <v>859.59999999999991</v>
      </c>
      <c r="J807" s="2"/>
      <c r="K807" s="2"/>
      <c r="L807" s="2">
        <v>11442.049999999992</v>
      </c>
      <c r="M807" t="s">
        <v>4400</v>
      </c>
      <c r="N807" t="s">
        <v>4401</v>
      </c>
    </row>
    <row r="808" spans="1:14" x14ac:dyDescent="0.4">
      <c r="A808" t="s">
        <v>1936</v>
      </c>
      <c r="B808" t="s">
        <v>1937</v>
      </c>
      <c r="C808" t="s">
        <v>5</v>
      </c>
      <c r="D808" t="s">
        <v>132</v>
      </c>
      <c r="E808" s="2">
        <v>3702.53</v>
      </c>
      <c r="F808" s="2">
        <v>3887.7599999999998</v>
      </c>
      <c r="G808" s="2">
        <v>5379.0999999999976</v>
      </c>
      <c r="H808" s="2">
        <v>3656.9899999999989</v>
      </c>
      <c r="I808" s="2">
        <v>5573.6200000000008</v>
      </c>
      <c r="J808" s="2">
        <v>4632.0199999999986</v>
      </c>
      <c r="K808" s="2">
        <v>2642.56</v>
      </c>
      <c r="L808" s="2">
        <v>29474.579999999984</v>
      </c>
      <c r="M808" t="s">
        <v>4400</v>
      </c>
      <c r="N808" t="s">
        <v>4400</v>
      </c>
    </row>
    <row r="809" spans="1:14" x14ac:dyDescent="0.4">
      <c r="A809" t="s">
        <v>1938</v>
      </c>
      <c r="B809" t="s">
        <v>1939</v>
      </c>
      <c r="C809" t="s">
        <v>602</v>
      </c>
      <c r="D809" t="s">
        <v>1638</v>
      </c>
      <c r="E809" s="2">
        <v>1877.1399999999999</v>
      </c>
      <c r="F809" s="2">
        <v>729</v>
      </c>
      <c r="G809" s="2">
        <v>1011.46</v>
      </c>
      <c r="H809" s="2">
        <v>3052.6499999999996</v>
      </c>
      <c r="I809" s="2">
        <v>716.85</v>
      </c>
      <c r="J809" s="2">
        <v>741.15</v>
      </c>
      <c r="K809" s="2">
        <v>728.97</v>
      </c>
      <c r="L809" s="2">
        <v>8857.2199999999993</v>
      </c>
      <c r="M809" t="s">
        <v>4400</v>
      </c>
      <c r="N809" t="s">
        <v>4400</v>
      </c>
    </row>
    <row r="810" spans="1:14" x14ac:dyDescent="0.4">
      <c r="A810" t="s">
        <v>1940</v>
      </c>
      <c r="B810" t="s">
        <v>1941</v>
      </c>
      <c r="C810" t="s">
        <v>227</v>
      </c>
      <c r="D810" t="s">
        <v>1166</v>
      </c>
      <c r="E810" s="2">
        <v>5540.2399999999961</v>
      </c>
      <c r="F810" s="2">
        <v>4057.9999999999982</v>
      </c>
      <c r="G810" s="2">
        <v>3811.9399999999996</v>
      </c>
      <c r="H810" s="2">
        <v>4452.8399999999983</v>
      </c>
      <c r="I810" s="2">
        <v>4671.5299999999979</v>
      </c>
      <c r="J810" s="2">
        <v>3453.4899999999993</v>
      </c>
      <c r="K810" s="2">
        <v>1886.2099999999996</v>
      </c>
      <c r="L810" s="2">
        <v>27874.249999999993</v>
      </c>
      <c r="M810" t="s">
        <v>4400</v>
      </c>
      <c r="N810" t="s">
        <v>4400</v>
      </c>
    </row>
    <row r="811" spans="1:14" x14ac:dyDescent="0.4">
      <c r="A811" t="s">
        <v>1942</v>
      </c>
      <c r="B811" t="s">
        <v>1943</v>
      </c>
      <c r="C811" t="s">
        <v>1</v>
      </c>
      <c r="D811" t="s">
        <v>85</v>
      </c>
      <c r="E811" s="2">
        <v>16450.600000000006</v>
      </c>
      <c r="F811" s="2">
        <v>13604.64</v>
      </c>
      <c r="G811" s="2">
        <v>14230.38</v>
      </c>
      <c r="H811" s="2">
        <v>17133.910000000003</v>
      </c>
      <c r="I811" s="2">
        <v>15575.800000000003</v>
      </c>
      <c r="J811" s="2">
        <v>12565.529999999997</v>
      </c>
      <c r="K811" s="2">
        <v>5549.2799999999979</v>
      </c>
      <c r="L811" s="2">
        <v>95110.139999999985</v>
      </c>
      <c r="M811" t="s">
        <v>4400</v>
      </c>
      <c r="N811" t="s">
        <v>4400</v>
      </c>
    </row>
    <row r="812" spans="1:14" x14ac:dyDescent="0.4">
      <c r="A812" t="s">
        <v>1944</v>
      </c>
      <c r="B812" t="s">
        <v>1945</v>
      </c>
      <c r="C812" t="s">
        <v>23</v>
      </c>
      <c r="D812" t="s">
        <v>24</v>
      </c>
      <c r="E812" s="2">
        <v>735.04000000000008</v>
      </c>
      <c r="F812" s="2">
        <v>1476.1399999999996</v>
      </c>
      <c r="G812" s="2"/>
      <c r="H812" s="2"/>
      <c r="I812" s="2"/>
      <c r="J812" s="2"/>
      <c r="K812" s="2"/>
      <c r="L812" s="2">
        <v>2211.1799999999998</v>
      </c>
      <c r="M812" t="s">
        <v>4400</v>
      </c>
      <c r="N812" t="s">
        <v>4410</v>
      </c>
    </row>
    <row r="813" spans="1:14" x14ac:dyDescent="0.4">
      <c r="A813" t="s">
        <v>1946</v>
      </c>
      <c r="B813" t="s">
        <v>1947</v>
      </c>
      <c r="C813" t="s">
        <v>199</v>
      </c>
      <c r="D813" t="s">
        <v>200</v>
      </c>
      <c r="E813" s="2">
        <v>1804.27</v>
      </c>
      <c r="F813" s="2">
        <v>2199.17</v>
      </c>
      <c r="G813" s="2"/>
      <c r="H813" s="2"/>
      <c r="I813" s="2"/>
      <c r="J813" s="2">
        <v>1017.5399999999998</v>
      </c>
      <c r="K813" s="2">
        <v>1843.7300000000002</v>
      </c>
      <c r="L813" s="2">
        <v>6864.7099999999964</v>
      </c>
      <c r="M813" t="s">
        <v>4400</v>
      </c>
      <c r="N813" t="s">
        <v>4400</v>
      </c>
    </row>
    <row r="814" spans="1:14" x14ac:dyDescent="0.4">
      <c r="A814" t="s">
        <v>1948</v>
      </c>
      <c r="B814" t="s">
        <v>1949</v>
      </c>
      <c r="C814" t="s">
        <v>113</v>
      </c>
      <c r="D814" t="s">
        <v>805</v>
      </c>
      <c r="E814" s="2"/>
      <c r="F814" s="2"/>
      <c r="G814" s="2"/>
      <c r="H814" s="2"/>
      <c r="I814" s="2"/>
      <c r="J814" s="2"/>
      <c r="K814" s="2">
        <v>771.5</v>
      </c>
      <c r="L814" s="2">
        <v>771.5</v>
      </c>
      <c r="M814" t="s">
        <v>4404</v>
      </c>
      <c r="N814" t="s">
        <v>4400</v>
      </c>
    </row>
    <row r="815" spans="1:14" x14ac:dyDescent="0.4">
      <c r="A815" t="s">
        <v>1950</v>
      </c>
      <c r="B815" t="s">
        <v>1951</v>
      </c>
      <c r="C815" t="s">
        <v>310</v>
      </c>
      <c r="D815" t="s">
        <v>1952</v>
      </c>
      <c r="E815" s="2">
        <v>4200.82</v>
      </c>
      <c r="F815" s="2">
        <v>3244</v>
      </c>
      <c r="G815" s="2">
        <v>3189.3399999999997</v>
      </c>
      <c r="H815" s="2">
        <v>4386.12</v>
      </c>
      <c r="I815" s="2">
        <v>2955.53</v>
      </c>
      <c r="J815" s="2">
        <v>1628.0700000000002</v>
      </c>
      <c r="K815" s="2">
        <v>1032.75</v>
      </c>
      <c r="L815" s="2">
        <v>20636.630000000016</v>
      </c>
      <c r="M815" t="s">
        <v>4400</v>
      </c>
      <c r="N815" t="s">
        <v>4400</v>
      </c>
    </row>
    <row r="816" spans="1:14" x14ac:dyDescent="0.4">
      <c r="A816" t="s">
        <v>1953</v>
      </c>
      <c r="B816" t="s">
        <v>1954</v>
      </c>
      <c r="C816" t="s">
        <v>64</v>
      </c>
      <c r="D816" t="s">
        <v>71</v>
      </c>
      <c r="E816" s="2">
        <v>3639.1200000000003</v>
      </c>
      <c r="F816" s="2">
        <v>2205.06</v>
      </c>
      <c r="G816" s="2">
        <v>3644.2599999999998</v>
      </c>
      <c r="H816" s="2">
        <v>2192.21</v>
      </c>
      <c r="I816" s="2">
        <v>2929.7999999999993</v>
      </c>
      <c r="J816" s="2">
        <v>2927.2299999999996</v>
      </c>
      <c r="K816" s="2">
        <v>1454.62</v>
      </c>
      <c r="L816" s="2">
        <v>18992.30000000001</v>
      </c>
      <c r="M816" t="s">
        <v>4400</v>
      </c>
      <c r="N816" t="s">
        <v>4400</v>
      </c>
    </row>
    <row r="817" spans="1:14" x14ac:dyDescent="0.4">
      <c r="A817" t="s">
        <v>1955</v>
      </c>
      <c r="B817" t="s">
        <v>1956</v>
      </c>
      <c r="C817" t="s">
        <v>291</v>
      </c>
      <c r="D817" t="s">
        <v>295</v>
      </c>
      <c r="E817" s="2">
        <v>2624.25</v>
      </c>
      <c r="F817" s="2">
        <v>2894.6199999999994</v>
      </c>
      <c r="G817" s="2">
        <v>3669.079999999999</v>
      </c>
      <c r="H817" s="2">
        <v>4546.9500000000007</v>
      </c>
      <c r="I817" s="2">
        <v>4802.0599999999995</v>
      </c>
      <c r="J817" s="2">
        <v>3453.5199999999995</v>
      </c>
      <c r="K817" s="2">
        <v>2232.48</v>
      </c>
      <c r="L817" s="2">
        <v>24222.960000000003</v>
      </c>
      <c r="M817" t="s">
        <v>4400</v>
      </c>
      <c r="N817" t="s">
        <v>4400</v>
      </c>
    </row>
    <row r="818" spans="1:14" x14ac:dyDescent="0.4">
      <c r="A818" t="s">
        <v>1957</v>
      </c>
      <c r="B818" t="s">
        <v>1958</v>
      </c>
      <c r="C818" t="s">
        <v>39</v>
      </c>
      <c r="D818" t="s">
        <v>1520</v>
      </c>
      <c r="E818" s="2">
        <v>3504.6999999999994</v>
      </c>
      <c r="F818" s="2">
        <v>1943.9799999999996</v>
      </c>
      <c r="G818" s="2">
        <v>2572.7499999999995</v>
      </c>
      <c r="H818" s="2">
        <v>2679.04</v>
      </c>
      <c r="I818" s="2">
        <v>1549.11</v>
      </c>
      <c r="J818" s="2">
        <v>3866.66</v>
      </c>
      <c r="K818" s="2">
        <v>2988.81</v>
      </c>
      <c r="L818" s="2">
        <v>19105.049999999985</v>
      </c>
      <c r="M818" t="s">
        <v>4400</v>
      </c>
      <c r="N818" t="s">
        <v>4400</v>
      </c>
    </row>
    <row r="819" spans="1:14" x14ac:dyDescent="0.4">
      <c r="A819" t="s">
        <v>1959</v>
      </c>
      <c r="B819" t="s">
        <v>1960</v>
      </c>
      <c r="C819" t="s">
        <v>9</v>
      </c>
      <c r="D819" t="s">
        <v>45</v>
      </c>
      <c r="E819" s="2">
        <v>5342.7</v>
      </c>
      <c r="F819" s="2">
        <v>5582.65</v>
      </c>
      <c r="G819" s="2">
        <v>8258.6000000000022</v>
      </c>
      <c r="H819" s="2">
        <v>6676.0800000000017</v>
      </c>
      <c r="I819" s="2">
        <v>6196.1900000000005</v>
      </c>
      <c r="J819" s="2">
        <v>5530.9900000000007</v>
      </c>
      <c r="K819" s="2">
        <v>2806.4399999999996</v>
      </c>
      <c r="L819" s="2">
        <v>40393.649999999951</v>
      </c>
      <c r="M819" t="s">
        <v>4400</v>
      </c>
      <c r="N819" t="s">
        <v>4400</v>
      </c>
    </row>
    <row r="820" spans="1:14" x14ac:dyDescent="0.4">
      <c r="A820" t="s">
        <v>1961</v>
      </c>
      <c r="B820" t="s">
        <v>1962</v>
      </c>
      <c r="C820" t="s">
        <v>113</v>
      </c>
      <c r="D820" t="s">
        <v>1963</v>
      </c>
      <c r="E820" s="2">
        <v>5197.1299999999983</v>
      </c>
      <c r="F820" s="2">
        <v>4856.8599999999988</v>
      </c>
      <c r="G820" s="2">
        <v>6539.5499999999984</v>
      </c>
      <c r="H820" s="2">
        <v>6333.0700000000006</v>
      </c>
      <c r="I820" s="2">
        <v>6448.4399999999987</v>
      </c>
      <c r="J820" s="2">
        <v>4468.0500000000011</v>
      </c>
      <c r="K820" s="2">
        <v>920.35</v>
      </c>
      <c r="L820" s="2">
        <v>34763.449999999983</v>
      </c>
      <c r="M820" t="s">
        <v>4400</v>
      </c>
      <c r="N820" t="s">
        <v>4400</v>
      </c>
    </row>
    <row r="821" spans="1:14" x14ac:dyDescent="0.4">
      <c r="A821" t="s">
        <v>1964</v>
      </c>
      <c r="B821" t="s">
        <v>1965</v>
      </c>
      <c r="C821" t="s">
        <v>96</v>
      </c>
      <c r="D821" t="s">
        <v>100</v>
      </c>
      <c r="E821" s="2">
        <v>2299.2999999999997</v>
      </c>
      <c r="F821" s="2">
        <v>4850.66</v>
      </c>
      <c r="G821" s="2">
        <v>1278.7299999999998</v>
      </c>
      <c r="H821" s="2">
        <v>4607.6899999999996</v>
      </c>
      <c r="I821" s="2">
        <v>3468.6800000000007</v>
      </c>
      <c r="J821" s="2">
        <v>1236.2099999999998</v>
      </c>
      <c r="K821" s="2">
        <v>1069.1600000000001</v>
      </c>
      <c r="L821" s="2">
        <v>18810.429999999968</v>
      </c>
      <c r="M821" t="s">
        <v>4400</v>
      </c>
      <c r="N821" t="s">
        <v>4400</v>
      </c>
    </row>
    <row r="822" spans="1:14" x14ac:dyDescent="0.4">
      <c r="A822" t="s">
        <v>1966</v>
      </c>
      <c r="B822" t="s">
        <v>538</v>
      </c>
      <c r="C822" t="s">
        <v>274</v>
      </c>
      <c r="D822" t="s">
        <v>1967</v>
      </c>
      <c r="E822" s="2">
        <v>3055.7699999999991</v>
      </c>
      <c r="F822" s="2">
        <v>3025.3799999999983</v>
      </c>
      <c r="G822" s="2">
        <v>2967.6400000000008</v>
      </c>
      <c r="H822" s="2">
        <v>2958.5399999999986</v>
      </c>
      <c r="I822" s="2">
        <v>1494.47</v>
      </c>
      <c r="J822" s="2">
        <v>2205.1799999999998</v>
      </c>
      <c r="K822" s="2"/>
      <c r="L822" s="2">
        <v>15706.979999999992</v>
      </c>
      <c r="M822" t="s">
        <v>4400</v>
      </c>
      <c r="N822" t="s">
        <v>4406</v>
      </c>
    </row>
    <row r="823" spans="1:14" x14ac:dyDescent="0.4">
      <c r="A823" t="s">
        <v>1968</v>
      </c>
      <c r="B823" t="s">
        <v>1969</v>
      </c>
      <c r="C823" t="s">
        <v>433</v>
      </c>
      <c r="D823" t="s">
        <v>566</v>
      </c>
      <c r="E823" s="2">
        <v>2870.3</v>
      </c>
      <c r="F823" s="2">
        <v>6056.5199999999995</v>
      </c>
      <c r="G823" s="2">
        <v>3459.5600000000004</v>
      </c>
      <c r="H823" s="2">
        <v>4285.7300000000005</v>
      </c>
      <c r="I823" s="2">
        <v>6325.8400000000011</v>
      </c>
      <c r="J823" s="2">
        <v>2615.1699999999996</v>
      </c>
      <c r="K823" s="2"/>
      <c r="L823" s="2">
        <v>25613.119999999966</v>
      </c>
      <c r="M823" t="s">
        <v>4400</v>
      </c>
      <c r="N823" t="s">
        <v>4406</v>
      </c>
    </row>
    <row r="824" spans="1:14" x14ac:dyDescent="0.4">
      <c r="A824" t="s">
        <v>1970</v>
      </c>
      <c r="B824" t="s">
        <v>1211</v>
      </c>
      <c r="C824" t="s">
        <v>291</v>
      </c>
      <c r="D824" t="s">
        <v>295</v>
      </c>
      <c r="E824" s="2">
        <v>725.92999999999984</v>
      </c>
      <c r="F824" s="2">
        <v>1549.1299999999999</v>
      </c>
      <c r="G824" s="2">
        <v>1546.04</v>
      </c>
      <c r="H824" s="2">
        <v>2211.2600000000002</v>
      </c>
      <c r="I824" s="2">
        <v>2217.33</v>
      </c>
      <c r="J824" s="2">
        <v>1543</v>
      </c>
      <c r="K824" s="2">
        <v>1564.26</v>
      </c>
      <c r="L824" s="2">
        <v>11356.94999999999</v>
      </c>
      <c r="M824" t="s">
        <v>4400</v>
      </c>
      <c r="N824" t="s">
        <v>4400</v>
      </c>
    </row>
    <row r="825" spans="1:14" x14ac:dyDescent="0.4">
      <c r="A825" t="s">
        <v>1971</v>
      </c>
      <c r="B825" t="s">
        <v>1972</v>
      </c>
      <c r="C825" t="s">
        <v>13</v>
      </c>
      <c r="D825" t="s">
        <v>1973</v>
      </c>
      <c r="E825" s="2">
        <v>2624.2799999999997</v>
      </c>
      <c r="F825" s="2">
        <v>2557.4599999999996</v>
      </c>
      <c r="G825" s="2">
        <v>3836.1900000000005</v>
      </c>
      <c r="H825" s="2">
        <v>2903.72</v>
      </c>
      <c r="I825" s="2">
        <v>6299.4999999999991</v>
      </c>
      <c r="J825" s="2">
        <v>3104.1799999999994</v>
      </c>
      <c r="K825" s="2">
        <v>1385.04</v>
      </c>
      <c r="L825" s="2">
        <v>22710.369999999981</v>
      </c>
      <c r="M825" t="s">
        <v>4400</v>
      </c>
      <c r="N825" t="s">
        <v>4400</v>
      </c>
    </row>
    <row r="826" spans="1:14" x14ac:dyDescent="0.4">
      <c r="A826" t="s">
        <v>1974</v>
      </c>
      <c r="B826" t="s">
        <v>1975</v>
      </c>
      <c r="C826" t="s">
        <v>103</v>
      </c>
      <c r="D826" t="s">
        <v>104</v>
      </c>
      <c r="E826" s="2">
        <v>4963.28</v>
      </c>
      <c r="F826" s="2">
        <v>4355.7600000000011</v>
      </c>
      <c r="G826" s="2">
        <v>4799.24</v>
      </c>
      <c r="H826" s="2">
        <v>5479.6599999999989</v>
      </c>
      <c r="I826" s="2">
        <v>4380.08</v>
      </c>
      <c r="J826" s="2">
        <v>4860.0000000000009</v>
      </c>
      <c r="K826" s="2">
        <v>4039.8400000000006</v>
      </c>
      <c r="L826" s="2">
        <v>32877.85999999995</v>
      </c>
      <c r="M826" t="s">
        <v>4400</v>
      </c>
      <c r="N826" t="s">
        <v>4400</v>
      </c>
    </row>
    <row r="827" spans="1:14" x14ac:dyDescent="0.4">
      <c r="A827" t="s">
        <v>1976</v>
      </c>
      <c r="B827" t="s">
        <v>1977</v>
      </c>
      <c r="C827" t="s">
        <v>1</v>
      </c>
      <c r="D827" t="s">
        <v>507</v>
      </c>
      <c r="E827" s="2">
        <v>3277.3999999999996</v>
      </c>
      <c r="F827" s="2">
        <v>2782.31</v>
      </c>
      <c r="G827" s="2">
        <v>5898.7600000000029</v>
      </c>
      <c r="H827" s="2">
        <v>4762.7400000000007</v>
      </c>
      <c r="I827" s="2">
        <v>3490.0499999999997</v>
      </c>
      <c r="J827" s="2">
        <v>2721.5499999999993</v>
      </c>
      <c r="K827" s="2">
        <v>874.78000000000009</v>
      </c>
      <c r="L827" s="2">
        <v>23807.589999999975</v>
      </c>
      <c r="M827" t="s">
        <v>4400</v>
      </c>
      <c r="N827" t="s">
        <v>4400</v>
      </c>
    </row>
    <row r="828" spans="1:14" x14ac:dyDescent="0.4">
      <c r="A828" t="s">
        <v>1978</v>
      </c>
      <c r="B828" t="s">
        <v>1979</v>
      </c>
      <c r="C828" t="s">
        <v>163</v>
      </c>
      <c r="D828" t="s">
        <v>931</v>
      </c>
      <c r="E828" s="2">
        <v>2210.1999999999998</v>
      </c>
      <c r="F828" s="2">
        <v>2217.9099999999994</v>
      </c>
      <c r="G828" s="2">
        <v>3338.4299999999989</v>
      </c>
      <c r="H828" s="2">
        <v>3806.1699999999987</v>
      </c>
      <c r="I828" s="2">
        <v>4826.4599999999973</v>
      </c>
      <c r="J828" s="2">
        <v>2652.2399999999993</v>
      </c>
      <c r="K828" s="2">
        <v>997.16000000000008</v>
      </c>
      <c r="L828" s="2">
        <v>20048.570000000022</v>
      </c>
      <c r="M828" t="s">
        <v>4400</v>
      </c>
      <c r="N828" t="s">
        <v>4400</v>
      </c>
    </row>
    <row r="829" spans="1:14" x14ac:dyDescent="0.4">
      <c r="A829" t="s">
        <v>1980</v>
      </c>
      <c r="B829" t="s">
        <v>1981</v>
      </c>
      <c r="C829" t="s">
        <v>64</v>
      </c>
      <c r="D829" t="s">
        <v>1033</v>
      </c>
      <c r="E829" s="2">
        <v>2246.1800000000003</v>
      </c>
      <c r="F829" s="2">
        <v>717.02999999999986</v>
      </c>
      <c r="G829" s="2"/>
      <c r="H829" s="2">
        <v>1554.85</v>
      </c>
      <c r="I829" s="2">
        <v>745.3</v>
      </c>
      <c r="J829" s="2"/>
      <c r="K829" s="2"/>
      <c r="L829" s="2">
        <v>5263.3600000000024</v>
      </c>
      <c r="M829" t="s">
        <v>4400</v>
      </c>
      <c r="N829" t="s">
        <v>4401</v>
      </c>
    </row>
    <row r="830" spans="1:14" x14ac:dyDescent="0.4">
      <c r="A830" t="s">
        <v>1982</v>
      </c>
      <c r="B830" t="s">
        <v>1983</v>
      </c>
      <c r="C830" t="s">
        <v>258</v>
      </c>
      <c r="D830" t="s">
        <v>259</v>
      </c>
      <c r="E830" s="2"/>
      <c r="F830" s="2"/>
      <c r="G830" s="2"/>
      <c r="H830" s="2"/>
      <c r="I830" s="2"/>
      <c r="J830" s="2">
        <v>1202.76</v>
      </c>
      <c r="K830" s="2"/>
      <c r="L830" s="2">
        <v>1202.76</v>
      </c>
      <c r="M830" t="s">
        <v>4405</v>
      </c>
      <c r="N830" t="s">
        <v>4406</v>
      </c>
    </row>
    <row r="831" spans="1:14" x14ac:dyDescent="0.4">
      <c r="A831" t="s">
        <v>1984</v>
      </c>
      <c r="B831" t="s">
        <v>1985</v>
      </c>
      <c r="C831" t="s">
        <v>103</v>
      </c>
      <c r="D831" t="s">
        <v>104</v>
      </c>
      <c r="E831" s="2">
        <v>4228.05</v>
      </c>
      <c r="F831" s="2">
        <v>4228.0699999999988</v>
      </c>
      <c r="G831" s="2">
        <v>5740.7</v>
      </c>
      <c r="H831" s="2">
        <v>4774.83</v>
      </c>
      <c r="I831" s="2">
        <v>4616.8599999999997</v>
      </c>
      <c r="J831" s="2">
        <v>5549.3300000000008</v>
      </c>
      <c r="K831" s="2">
        <v>2685.0599999999995</v>
      </c>
      <c r="L831" s="2">
        <v>31822.900000000009</v>
      </c>
      <c r="M831" t="s">
        <v>4400</v>
      </c>
      <c r="N831" t="s">
        <v>4400</v>
      </c>
    </row>
    <row r="832" spans="1:14" x14ac:dyDescent="0.4">
      <c r="A832" t="s">
        <v>1986</v>
      </c>
      <c r="B832" t="s">
        <v>1981</v>
      </c>
      <c r="C832" t="s">
        <v>64</v>
      </c>
      <c r="D832" t="s">
        <v>1033</v>
      </c>
      <c r="E832" s="2">
        <v>2932.3699999999994</v>
      </c>
      <c r="F832" s="2">
        <v>3867.8499999999995</v>
      </c>
      <c r="G832" s="2">
        <v>4751.9300000000012</v>
      </c>
      <c r="H832" s="2">
        <v>3454.0799999999995</v>
      </c>
      <c r="I832" s="2">
        <v>3556.8799999999992</v>
      </c>
      <c r="J832" s="2">
        <v>3991.2099999999987</v>
      </c>
      <c r="K832" s="2">
        <v>1588.26</v>
      </c>
      <c r="L832" s="2">
        <v>24142.580000000031</v>
      </c>
      <c r="M832" t="s">
        <v>4400</v>
      </c>
      <c r="N832" t="s">
        <v>4400</v>
      </c>
    </row>
    <row r="833" spans="1:14" x14ac:dyDescent="0.4">
      <c r="A833" t="s">
        <v>1987</v>
      </c>
      <c r="B833" t="s">
        <v>1211</v>
      </c>
      <c r="C833" t="s">
        <v>113</v>
      </c>
      <c r="D833" t="s">
        <v>117</v>
      </c>
      <c r="E833" s="2">
        <v>1971.2899999999993</v>
      </c>
      <c r="F833" s="2">
        <v>2742.809999999999</v>
      </c>
      <c r="G833" s="2">
        <v>1063.0999999999999</v>
      </c>
      <c r="H833" s="2"/>
      <c r="I833" s="2">
        <v>1063.0999999999999</v>
      </c>
      <c r="J833" s="2">
        <v>2250.75</v>
      </c>
      <c r="K833" s="2">
        <v>929.45</v>
      </c>
      <c r="L833" s="2">
        <v>10020.500000000002</v>
      </c>
      <c r="M833" t="s">
        <v>4400</v>
      </c>
      <c r="N833" t="s">
        <v>4400</v>
      </c>
    </row>
    <row r="834" spans="1:14" x14ac:dyDescent="0.4">
      <c r="A834" t="s">
        <v>1988</v>
      </c>
      <c r="B834" t="s">
        <v>1989</v>
      </c>
      <c r="C834" t="s">
        <v>178</v>
      </c>
      <c r="D834" t="s">
        <v>179</v>
      </c>
      <c r="E834" s="2">
        <v>2187.0700000000002</v>
      </c>
      <c r="F834" s="2">
        <v>3165.13</v>
      </c>
      <c r="G834" s="2">
        <v>1728.3399999999997</v>
      </c>
      <c r="H834" s="2"/>
      <c r="I834" s="2"/>
      <c r="J834" s="2"/>
      <c r="K834" s="2"/>
      <c r="L834" s="2">
        <v>7080.5399999999991</v>
      </c>
      <c r="M834" t="s">
        <v>4400</v>
      </c>
      <c r="N834" t="s">
        <v>4403</v>
      </c>
    </row>
    <row r="835" spans="1:14" x14ac:dyDescent="0.4">
      <c r="A835" t="s">
        <v>1990</v>
      </c>
      <c r="B835" t="s">
        <v>1991</v>
      </c>
      <c r="C835" t="s">
        <v>78</v>
      </c>
      <c r="D835" t="s">
        <v>907</v>
      </c>
      <c r="E835" s="2">
        <v>6728.2600000000011</v>
      </c>
      <c r="F835" s="2">
        <v>6111.4600000000009</v>
      </c>
      <c r="G835" s="2">
        <v>5468.96</v>
      </c>
      <c r="H835" s="2">
        <v>5492.0899999999974</v>
      </c>
      <c r="I835" s="2">
        <v>5998.38</v>
      </c>
      <c r="J835" s="2">
        <v>6430.14</v>
      </c>
      <c r="K835" s="2">
        <v>3577.4399999999987</v>
      </c>
      <c r="L835" s="2">
        <v>39806.73000000004</v>
      </c>
      <c r="M835" t="s">
        <v>4400</v>
      </c>
      <c r="N835" t="s">
        <v>4400</v>
      </c>
    </row>
    <row r="836" spans="1:14" x14ac:dyDescent="0.4">
      <c r="A836" t="s">
        <v>1992</v>
      </c>
      <c r="B836" t="s">
        <v>1993</v>
      </c>
      <c r="C836" t="s">
        <v>64</v>
      </c>
      <c r="D836" t="s">
        <v>1760</v>
      </c>
      <c r="E836" s="2">
        <v>6694.6100000000015</v>
      </c>
      <c r="F836" s="2">
        <v>6816.1100000000006</v>
      </c>
      <c r="G836" s="2">
        <v>7113.7600000000011</v>
      </c>
      <c r="H836" s="2">
        <v>5297.340000000002</v>
      </c>
      <c r="I836" s="2">
        <v>4680.7400000000007</v>
      </c>
      <c r="J836" s="2">
        <v>5898.760000000002</v>
      </c>
      <c r="K836" s="2"/>
      <c r="L836" s="2">
        <v>36501.320000000007</v>
      </c>
      <c r="M836" t="s">
        <v>4400</v>
      </c>
      <c r="N836" t="s">
        <v>4406</v>
      </c>
    </row>
    <row r="837" spans="1:14" x14ac:dyDescent="0.4">
      <c r="A837" t="s">
        <v>1994</v>
      </c>
      <c r="B837" t="s">
        <v>1995</v>
      </c>
      <c r="C837" t="s">
        <v>310</v>
      </c>
      <c r="D837" t="s">
        <v>1952</v>
      </c>
      <c r="E837" s="2">
        <v>4697.9599999999991</v>
      </c>
      <c r="F837" s="2">
        <v>4471.8</v>
      </c>
      <c r="G837" s="2">
        <v>4741.6499999999996</v>
      </c>
      <c r="H837" s="2">
        <v>6702.560000000004</v>
      </c>
      <c r="I837" s="2">
        <v>4811.0400000000009</v>
      </c>
      <c r="J837" s="2">
        <v>5147.7100000000009</v>
      </c>
      <c r="K837" s="2">
        <v>3045.4499999999989</v>
      </c>
      <c r="L837" s="2">
        <v>33618.170000000107</v>
      </c>
      <c r="M837" t="s">
        <v>4400</v>
      </c>
      <c r="N837" t="s">
        <v>4400</v>
      </c>
    </row>
    <row r="838" spans="1:14" x14ac:dyDescent="0.4">
      <c r="A838" t="s">
        <v>1996</v>
      </c>
      <c r="B838" t="s">
        <v>1997</v>
      </c>
      <c r="C838" t="s">
        <v>310</v>
      </c>
      <c r="D838" t="s">
        <v>314</v>
      </c>
      <c r="E838" s="2">
        <v>859.57999999999993</v>
      </c>
      <c r="F838" s="2"/>
      <c r="G838" s="2"/>
      <c r="H838" s="2"/>
      <c r="I838" s="2"/>
      <c r="J838" s="2"/>
      <c r="K838" s="2"/>
      <c r="L838" s="2">
        <v>859.57999999999993</v>
      </c>
      <c r="M838" t="s">
        <v>4400</v>
      </c>
      <c r="N838" t="s">
        <v>4407</v>
      </c>
    </row>
    <row r="839" spans="1:14" x14ac:dyDescent="0.4">
      <c r="A839" t="s">
        <v>1998</v>
      </c>
      <c r="B839" t="s">
        <v>1999</v>
      </c>
      <c r="C839" t="s">
        <v>884</v>
      </c>
      <c r="D839" t="s">
        <v>2000</v>
      </c>
      <c r="E839" s="2">
        <v>5075.6299999999992</v>
      </c>
      <c r="F839" s="2">
        <v>5749.9299999999994</v>
      </c>
      <c r="G839" s="2">
        <v>6475.87</v>
      </c>
      <c r="H839" s="2">
        <v>7696.93</v>
      </c>
      <c r="I839" s="2">
        <v>3207.57</v>
      </c>
      <c r="J839" s="2">
        <v>7104.6299999999992</v>
      </c>
      <c r="K839" s="2">
        <v>4708</v>
      </c>
      <c r="L839" s="2">
        <v>40018.55999999999</v>
      </c>
      <c r="M839" t="s">
        <v>4400</v>
      </c>
      <c r="N839" t="s">
        <v>4400</v>
      </c>
    </row>
    <row r="840" spans="1:14" x14ac:dyDescent="0.4">
      <c r="A840" t="s">
        <v>2001</v>
      </c>
      <c r="B840" t="s">
        <v>2002</v>
      </c>
      <c r="C840" t="s">
        <v>220</v>
      </c>
      <c r="D840" t="s">
        <v>224</v>
      </c>
      <c r="E840" s="2">
        <v>1849.79</v>
      </c>
      <c r="F840" s="2">
        <v>1871.0399999999997</v>
      </c>
      <c r="G840" s="2">
        <v>2402.59</v>
      </c>
      <c r="H840" s="2">
        <v>1026.6400000000001</v>
      </c>
      <c r="I840" s="2"/>
      <c r="J840" s="2">
        <v>1615.9</v>
      </c>
      <c r="K840" s="2"/>
      <c r="L840" s="2">
        <v>8765.9599999999973</v>
      </c>
      <c r="M840" t="s">
        <v>4400</v>
      </c>
      <c r="N840" t="s">
        <v>4406</v>
      </c>
    </row>
    <row r="841" spans="1:14" x14ac:dyDescent="0.4">
      <c r="A841" t="s">
        <v>2003</v>
      </c>
      <c r="B841" t="s">
        <v>2004</v>
      </c>
      <c r="C841" t="s">
        <v>113</v>
      </c>
      <c r="D841" t="s">
        <v>1488</v>
      </c>
      <c r="E841" s="2">
        <v>744.16999999999985</v>
      </c>
      <c r="F841" s="2">
        <v>1658.4299999999998</v>
      </c>
      <c r="G841" s="2">
        <v>877.81000000000017</v>
      </c>
      <c r="H841" s="2">
        <v>1691.84</v>
      </c>
      <c r="I841" s="2">
        <v>1053.96</v>
      </c>
      <c r="J841" s="2">
        <v>1050.97</v>
      </c>
      <c r="K841" s="2"/>
      <c r="L841" s="2">
        <v>7077.1799999999985</v>
      </c>
      <c r="M841" t="s">
        <v>4400</v>
      </c>
      <c r="N841" t="s">
        <v>4406</v>
      </c>
    </row>
    <row r="842" spans="1:14" x14ac:dyDescent="0.4">
      <c r="A842" t="s">
        <v>2005</v>
      </c>
      <c r="B842" t="s">
        <v>2006</v>
      </c>
      <c r="C842" t="s">
        <v>31</v>
      </c>
      <c r="D842" t="s">
        <v>972</v>
      </c>
      <c r="E842" s="2">
        <v>1934.8600000000001</v>
      </c>
      <c r="F842" s="2">
        <v>1798.1599999999999</v>
      </c>
      <c r="G842" s="2">
        <v>4218.95</v>
      </c>
      <c r="H842" s="2">
        <v>2797.4399999999996</v>
      </c>
      <c r="I842" s="2">
        <v>1673.6699999999998</v>
      </c>
      <c r="J842" s="2">
        <v>2278.09</v>
      </c>
      <c r="K842" s="2">
        <v>941.5899999999998</v>
      </c>
      <c r="L842" s="2">
        <v>15642.759999999986</v>
      </c>
      <c r="M842" t="s">
        <v>4400</v>
      </c>
      <c r="N842" t="s">
        <v>4400</v>
      </c>
    </row>
    <row r="843" spans="1:14" x14ac:dyDescent="0.4">
      <c r="A843" t="s">
        <v>2007</v>
      </c>
      <c r="B843" t="s">
        <v>2008</v>
      </c>
      <c r="C843" t="s">
        <v>64</v>
      </c>
      <c r="D843" t="s">
        <v>1377</v>
      </c>
      <c r="E843" s="2">
        <v>4631.8999999999996</v>
      </c>
      <c r="F843" s="2">
        <v>2994.81</v>
      </c>
      <c r="G843" s="2">
        <v>3857.42</v>
      </c>
      <c r="H843" s="2">
        <v>4112.5300000000007</v>
      </c>
      <c r="I843" s="2">
        <v>4291.7499999999991</v>
      </c>
      <c r="J843" s="2">
        <v>3899.9499999999989</v>
      </c>
      <c r="K843" s="2">
        <v>1940.85</v>
      </c>
      <c r="L843" s="2">
        <v>25729.209999999948</v>
      </c>
      <c r="M843" t="s">
        <v>4400</v>
      </c>
      <c r="N843" t="s">
        <v>4400</v>
      </c>
    </row>
    <row r="844" spans="1:14" x14ac:dyDescent="0.4">
      <c r="A844" t="s">
        <v>2009</v>
      </c>
      <c r="B844" t="s">
        <v>2010</v>
      </c>
      <c r="C844" t="s">
        <v>195</v>
      </c>
      <c r="D844" t="s">
        <v>196</v>
      </c>
      <c r="E844" s="2">
        <v>1606.8500000000001</v>
      </c>
      <c r="F844" s="2"/>
      <c r="G844" s="2"/>
      <c r="H844" s="2"/>
      <c r="I844" s="2"/>
      <c r="J844" s="2"/>
      <c r="K844" s="2"/>
      <c r="L844" s="2">
        <v>1606.8500000000001</v>
      </c>
      <c r="M844" t="s">
        <v>4400</v>
      </c>
      <c r="N844" t="s">
        <v>4407</v>
      </c>
    </row>
    <row r="845" spans="1:14" x14ac:dyDescent="0.4">
      <c r="A845" t="s">
        <v>2011</v>
      </c>
      <c r="B845" t="s">
        <v>2012</v>
      </c>
      <c r="C845" t="s">
        <v>64</v>
      </c>
      <c r="D845" t="s">
        <v>1424</v>
      </c>
      <c r="E845" s="2"/>
      <c r="F845" s="2"/>
      <c r="G845" s="2"/>
      <c r="H845" s="2">
        <v>868.70000000000016</v>
      </c>
      <c r="I845" s="2">
        <v>899.06000000000017</v>
      </c>
      <c r="J845" s="2">
        <v>3174.099999999999</v>
      </c>
      <c r="K845" s="2"/>
      <c r="L845" s="2">
        <v>4941.8599999999997</v>
      </c>
      <c r="M845" t="s">
        <v>4409</v>
      </c>
      <c r="N845" t="s">
        <v>4406</v>
      </c>
    </row>
    <row r="846" spans="1:14" x14ac:dyDescent="0.4">
      <c r="A846" t="s">
        <v>2013</v>
      </c>
      <c r="B846" t="s">
        <v>1211</v>
      </c>
      <c r="C846" t="s">
        <v>1</v>
      </c>
      <c r="D846" t="s">
        <v>1030</v>
      </c>
      <c r="E846" s="2">
        <v>2226.5300000000002</v>
      </c>
      <c r="F846" s="2">
        <v>3793.8899999999994</v>
      </c>
      <c r="G846" s="2">
        <v>1628.1</v>
      </c>
      <c r="H846" s="2">
        <v>4026.9799999999996</v>
      </c>
      <c r="I846" s="2">
        <v>4128.2899999999991</v>
      </c>
      <c r="J846" s="2">
        <v>3915.28</v>
      </c>
      <c r="K846" s="2">
        <v>1913.6</v>
      </c>
      <c r="L846" s="2">
        <v>21632.67</v>
      </c>
      <c r="M846" t="s">
        <v>4400</v>
      </c>
      <c r="N846" t="s">
        <v>4400</v>
      </c>
    </row>
    <row r="847" spans="1:14" x14ac:dyDescent="0.4">
      <c r="A847" t="s">
        <v>2014</v>
      </c>
      <c r="B847" t="s">
        <v>1039</v>
      </c>
      <c r="C847" t="s">
        <v>496</v>
      </c>
      <c r="D847" t="s">
        <v>497</v>
      </c>
      <c r="E847" s="2">
        <v>3004.04</v>
      </c>
      <c r="F847" s="2">
        <v>3110.3500000000004</v>
      </c>
      <c r="G847" s="2">
        <v>3265.2599999999998</v>
      </c>
      <c r="H847" s="2">
        <v>6481.9500000000007</v>
      </c>
      <c r="I847" s="2">
        <v>3432.3500000000008</v>
      </c>
      <c r="J847" s="2">
        <v>2970.6600000000003</v>
      </c>
      <c r="K847" s="2">
        <v>2262.9300000000003</v>
      </c>
      <c r="L847" s="2">
        <v>24527.540000000015</v>
      </c>
      <c r="M847" t="s">
        <v>4400</v>
      </c>
      <c r="N847" t="s">
        <v>4400</v>
      </c>
    </row>
    <row r="848" spans="1:14" x14ac:dyDescent="0.4">
      <c r="A848" t="s">
        <v>2015</v>
      </c>
      <c r="B848" t="s">
        <v>883</v>
      </c>
      <c r="C848" t="s">
        <v>437</v>
      </c>
      <c r="D848" t="s">
        <v>2016</v>
      </c>
      <c r="E848" s="2">
        <v>1798.1799999999996</v>
      </c>
      <c r="F848" s="2">
        <v>1786.0099999999995</v>
      </c>
      <c r="G848" s="2">
        <v>2062.4300000000003</v>
      </c>
      <c r="H848" s="2">
        <v>2156.59</v>
      </c>
      <c r="I848" s="2">
        <v>3113.3899999999994</v>
      </c>
      <c r="J848" s="2">
        <v>3966.8799999999978</v>
      </c>
      <c r="K848" s="2">
        <v>1087.3999999999999</v>
      </c>
      <c r="L848" s="2">
        <v>15970.880000000003</v>
      </c>
      <c r="M848" t="s">
        <v>4400</v>
      </c>
      <c r="N848" t="s">
        <v>4400</v>
      </c>
    </row>
    <row r="849" spans="1:14" x14ac:dyDescent="0.4">
      <c r="A849" t="s">
        <v>2017</v>
      </c>
      <c r="B849" t="s">
        <v>2018</v>
      </c>
      <c r="C849" t="s">
        <v>31</v>
      </c>
      <c r="D849" t="s">
        <v>2019</v>
      </c>
      <c r="E849" s="2">
        <v>2833.91</v>
      </c>
      <c r="F849" s="2">
        <v>2539.3199999999997</v>
      </c>
      <c r="G849" s="2">
        <v>2442.13</v>
      </c>
      <c r="H849" s="2">
        <v>2830.9099999999994</v>
      </c>
      <c r="I849" s="2"/>
      <c r="J849" s="2"/>
      <c r="K849" s="2"/>
      <c r="L849" s="2">
        <v>10646.269999999991</v>
      </c>
      <c r="M849" t="s">
        <v>4400</v>
      </c>
      <c r="N849" t="s">
        <v>4402</v>
      </c>
    </row>
    <row r="850" spans="1:14" x14ac:dyDescent="0.4">
      <c r="A850" t="s">
        <v>2020</v>
      </c>
      <c r="B850" t="s">
        <v>2021</v>
      </c>
      <c r="C850" t="s">
        <v>35</v>
      </c>
      <c r="D850" t="s">
        <v>1212</v>
      </c>
      <c r="E850" s="2">
        <v>2457.29</v>
      </c>
      <c r="F850" s="2">
        <v>3089.0700000000011</v>
      </c>
      <c r="G850" s="2">
        <v>3335.1300000000006</v>
      </c>
      <c r="H850" s="2">
        <v>3903.13</v>
      </c>
      <c r="I850" s="2">
        <v>3110.32</v>
      </c>
      <c r="J850" s="2">
        <v>3465.75</v>
      </c>
      <c r="K850" s="2">
        <v>1986.4199999999998</v>
      </c>
      <c r="L850" s="2">
        <v>21347.10999999995</v>
      </c>
      <c r="M850" t="s">
        <v>4400</v>
      </c>
      <c r="N850" t="s">
        <v>4400</v>
      </c>
    </row>
    <row r="851" spans="1:14" x14ac:dyDescent="0.4">
      <c r="A851" t="s">
        <v>2022</v>
      </c>
      <c r="B851" t="s">
        <v>2023</v>
      </c>
      <c r="C851" t="s">
        <v>78</v>
      </c>
      <c r="D851" t="s">
        <v>907</v>
      </c>
      <c r="E851" s="2">
        <v>4039.7200000000003</v>
      </c>
      <c r="F851" s="2">
        <v>4793.0300000000007</v>
      </c>
      <c r="G851" s="2">
        <v>7271.569999999997</v>
      </c>
      <c r="H851" s="2">
        <v>5619.2199999999984</v>
      </c>
      <c r="I851" s="2">
        <v>5257.78</v>
      </c>
      <c r="J851" s="2">
        <v>7052.8799999999974</v>
      </c>
      <c r="K851" s="2">
        <v>2812.6499999999992</v>
      </c>
      <c r="L851" s="2">
        <v>36846.849999999984</v>
      </c>
      <c r="M851" t="s">
        <v>4400</v>
      </c>
      <c r="N851" t="s">
        <v>4400</v>
      </c>
    </row>
    <row r="852" spans="1:14" x14ac:dyDescent="0.4">
      <c r="A852" t="s">
        <v>2024</v>
      </c>
      <c r="B852" t="s">
        <v>2025</v>
      </c>
      <c r="C852" t="s">
        <v>64</v>
      </c>
      <c r="D852" t="s">
        <v>645</v>
      </c>
      <c r="E852" s="2">
        <v>3052.54</v>
      </c>
      <c r="F852" s="2">
        <v>3137.5699999999997</v>
      </c>
      <c r="G852" s="2">
        <v>1764.69</v>
      </c>
      <c r="H852" s="2">
        <v>3003.92</v>
      </c>
      <c r="I852" s="2">
        <v>1260.5</v>
      </c>
      <c r="J852" s="2">
        <v>1870.9899999999998</v>
      </c>
      <c r="K852" s="2">
        <v>1858.8399999999997</v>
      </c>
      <c r="L852" s="2">
        <v>15949.049999999994</v>
      </c>
      <c r="M852" t="s">
        <v>4400</v>
      </c>
      <c r="N852" t="s">
        <v>4400</v>
      </c>
    </row>
    <row r="853" spans="1:14" x14ac:dyDescent="0.4">
      <c r="A853" t="s">
        <v>2026</v>
      </c>
      <c r="B853" t="s">
        <v>2027</v>
      </c>
      <c r="C853" t="s">
        <v>35</v>
      </c>
      <c r="D853" t="s">
        <v>1712</v>
      </c>
      <c r="E853" s="2">
        <v>2964.5200000000004</v>
      </c>
      <c r="F853" s="2">
        <v>2366.1299999999997</v>
      </c>
      <c r="G853" s="2">
        <v>2681.9999999999991</v>
      </c>
      <c r="H853" s="2">
        <v>1819.3899999999996</v>
      </c>
      <c r="I853" s="2">
        <v>2366.1099999999992</v>
      </c>
      <c r="J853" s="2">
        <v>4768.6500000000005</v>
      </c>
      <c r="K853" s="2">
        <v>1087.3699999999999</v>
      </c>
      <c r="L853" s="2">
        <v>18054.169999999984</v>
      </c>
      <c r="M853" t="s">
        <v>4400</v>
      </c>
      <c r="N853" t="s">
        <v>4400</v>
      </c>
    </row>
    <row r="854" spans="1:14" x14ac:dyDescent="0.4">
      <c r="A854" t="s">
        <v>2028</v>
      </c>
      <c r="B854" t="s">
        <v>2029</v>
      </c>
      <c r="C854" t="s">
        <v>178</v>
      </c>
      <c r="D854" t="s">
        <v>179</v>
      </c>
      <c r="E854" s="2">
        <v>8380</v>
      </c>
      <c r="F854" s="2">
        <v>7433</v>
      </c>
      <c r="G854" s="2">
        <v>1855</v>
      </c>
      <c r="H854" s="2"/>
      <c r="I854" s="2"/>
      <c r="J854" s="2"/>
      <c r="K854" s="2"/>
      <c r="L854" s="2">
        <v>17668</v>
      </c>
      <c r="M854" t="s">
        <v>4400</v>
      </c>
      <c r="N854" t="s">
        <v>4403</v>
      </c>
    </row>
    <row r="855" spans="1:14" x14ac:dyDescent="0.4">
      <c r="A855" t="s">
        <v>2030</v>
      </c>
      <c r="B855" t="s">
        <v>2031</v>
      </c>
      <c r="C855" t="s">
        <v>587</v>
      </c>
      <c r="D855" t="s">
        <v>2032</v>
      </c>
      <c r="E855" s="2">
        <v>1916.6399999999996</v>
      </c>
      <c r="F855" s="2">
        <v>829.22</v>
      </c>
      <c r="G855" s="2">
        <v>2284.14</v>
      </c>
      <c r="H855" s="2">
        <v>1321.2699999999998</v>
      </c>
      <c r="I855" s="2">
        <v>1345.58</v>
      </c>
      <c r="J855" s="2">
        <v>1117.78</v>
      </c>
      <c r="K855" s="2"/>
      <c r="L855" s="2">
        <v>8814.6299999999974</v>
      </c>
      <c r="M855" t="s">
        <v>4400</v>
      </c>
      <c r="N855" t="s">
        <v>4406</v>
      </c>
    </row>
    <row r="856" spans="1:14" x14ac:dyDescent="0.4">
      <c r="A856" t="s">
        <v>2033</v>
      </c>
      <c r="B856" t="s">
        <v>2034</v>
      </c>
      <c r="C856" t="s">
        <v>113</v>
      </c>
      <c r="D856" t="s">
        <v>120</v>
      </c>
      <c r="E856" s="2">
        <v>7298.8000000000029</v>
      </c>
      <c r="F856" s="2">
        <v>3708.5099999999989</v>
      </c>
      <c r="G856" s="2">
        <v>2981.1999999999985</v>
      </c>
      <c r="H856" s="2">
        <v>2929.7999999999993</v>
      </c>
      <c r="I856" s="2">
        <v>4150.55</v>
      </c>
      <c r="J856" s="2">
        <v>2313</v>
      </c>
      <c r="K856" s="2">
        <v>755.58</v>
      </c>
      <c r="L856" s="2">
        <v>24137.44000000001</v>
      </c>
      <c r="M856" t="s">
        <v>4400</v>
      </c>
      <c r="N856" t="s">
        <v>4400</v>
      </c>
    </row>
    <row r="857" spans="1:14" x14ac:dyDescent="0.4">
      <c r="A857" t="s">
        <v>2035</v>
      </c>
      <c r="B857" t="s">
        <v>2036</v>
      </c>
      <c r="C857" t="s">
        <v>423</v>
      </c>
      <c r="D857" t="s">
        <v>430</v>
      </c>
      <c r="E857" s="2"/>
      <c r="F857" s="2"/>
      <c r="G857" s="2"/>
      <c r="H857" s="2">
        <v>2202.1400000000003</v>
      </c>
      <c r="I857" s="2">
        <v>2293.2599999999998</v>
      </c>
      <c r="J857" s="2">
        <v>4589.5199999999995</v>
      </c>
      <c r="K857" s="2">
        <v>1546.0400000000004</v>
      </c>
      <c r="L857" s="2">
        <v>10630.959999999992</v>
      </c>
      <c r="M857" t="s">
        <v>4409</v>
      </c>
      <c r="N857" t="s">
        <v>4400</v>
      </c>
    </row>
    <row r="858" spans="1:14" x14ac:dyDescent="0.4">
      <c r="A858" t="s">
        <v>2037</v>
      </c>
      <c r="B858" t="s">
        <v>2038</v>
      </c>
      <c r="C858" t="s">
        <v>27</v>
      </c>
      <c r="D858" t="s">
        <v>28</v>
      </c>
      <c r="E858" s="2">
        <v>3778.3100000000009</v>
      </c>
      <c r="F858" s="2">
        <v>3286.5799999999986</v>
      </c>
      <c r="G858" s="2">
        <v>3909.2700000000004</v>
      </c>
      <c r="H858" s="2">
        <v>3076.9899999999993</v>
      </c>
      <c r="I858" s="2">
        <v>753.29</v>
      </c>
      <c r="J858" s="2">
        <v>3883.8399999999997</v>
      </c>
      <c r="K858" s="2">
        <v>1515.7200000000003</v>
      </c>
      <c r="L858" s="2">
        <v>20204.000000000007</v>
      </c>
      <c r="M858" t="s">
        <v>4400</v>
      </c>
      <c r="N858" t="s">
        <v>4400</v>
      </c>
    </row>
    <row r="859" spans="1:14" x14ac:dyDescent="0.4">
      <c r="A859" t="s">
        <v>2039</v>
      </c>
      <c r="B859" t="s">
        <v>736</v>
      </c>
      <c r="C859" t="s">
        <v>542</v>
      </c>
      <c r="D859" t="s">
        <v>737</v>
      </c>
      <c r="E859" s="2">
        <v>2894.6599999999994</v>
      </c>
      <c r="F859" s="2">
        <v>1473.1599999999999</v>
      </c>
      <c r="G859" s="2">
        <v>1439.7599999999998</v>
      </c>
      <c r="H859" s="2">
        <v>2177.83</v>
      </c>
      <c r="I859" s="2">
        <v>2162.66</v>
      </c>
      <c r="J859" s="2">
        <v>2906.8399999999997</v>
      </c>
      <c r="K859" s="2">
        <v>1618.97</v>
      </c>
      <c r="L859" s="2">
        <v>14673.879999999988</v>
      </c>
      <c r="M859" t="s">
        <v>4400</v>
      </c>
      <c r="N859" t="s">
        <v>4400</v>
      </c>
    </row>
    <row r="860" spans="1:14" x14ac:dyDescent="0.4">
      <c r="A860" t="s">
        <v>2040</v>
      </c>
      <c r="B860" t="s">
        <v>2041</v>
      </c>
      <c r="C860" t="s">
        <v>19</v>
      </c>
      <c r="D860" t="s">
        <v>20</v>
      </c>
      <c r="E860" s="2"/>
      <c r="F860" s="2"/>
      <c r="G860" s="2"/>
      <c r="H860" s="2">
        <v>920.05999999999983</v>
      </c>
      <c r="I860" s="2">
        <v>922.63</v>
      </c>
      <c r="J860" s="2"/>
      <c r="K860" s="2">
        <v>902.06999999999994</v>
      </c>
      <c r="L860" s="2">
        <v>2744.7599999999998</v>
      </c>
      <c r="M860" t="s">
        <v>4409</v>
      </c>
      <c r="N860" t="s">
        <v>4400</v>
      </c>
    </row>
    <row r="861" spans="1:14" x14ac:dyDescent="0.4">
      <c r="A861" t="s">
        <v>2042</v>
      </c>
      <c r="B861" t="s">
        <v>2043</v>
      </c>
      <c r="C861" t="s">
        <v>78</v>
      </c>
      <c r="D861" t="s">
        <v>768</v>
      </c>
      <c r="E861" s="2">
        <v>1567.35</v>
      </c>
      <c r="F861" s="2">
        <v>2560.6399999999994</v>
      </c>
      <c r="G861" s="2">
        <v>3529.56</v>
      </c>
      <c r="H861" s="2">
        <v>2806.65</v>
      </c>
      <c r="I861" s="2">
        <v>1509.6799999999998</v>
      </c>
      <c r="J861" s="2">
        <v>2442.14</v>
      </c>
      <c r="K861" s="2">
        <v>896.05</v>
      </c>
      <c r="L861" s="2">
        <v>15312.069999999998</v>
      </c>
      <c r="M861" t="s">
        <v>4400</v>
      </c>
      <c r="N861" t="s">
        <v>4400</v>
      </c>
    </row>
    <row r="862" spans="1:14" x14ac:dyDescent="0.4">
      <c r="A862" t="s">
        <v>2044</v>
      </c>
      <c r="B862" t="s">
        <v>2045</v>
      </c>
      <c r="C862" t="s">
        <v>674</v>
      </c>
      <c r="D862" t="s">
        <v>2046</v>
      </c>
      <c r="E862" s="2">
        <v>2615.19</v>
      </c>
      <c r="F862" s="2">
        <v>3332.0699999999997</v>
      </c>
      <c r="G862" s="2">
        <v>1561.2099999999998</v>
      </c>
      <c r="H862" s="2">
        <v>3116.42</v>
      </c>
      <c r="I862" s="2">
        <v>1807.28</v>
      </c>
      <c r="J862" s="2">
        <v>1877.1399999999996</v>
      </c>
      <c r="K862" s="2">
        <v>826.18</v>
      </c>
      <c r="L862" s="2">
        <v>15135.489999999969</v>
      </c>
      <c r="M862" t="s">
        <v>4400</v>
      </c>
      <c r="N862" t="s">
        <v>4400</v>
      </c>
    </row>
    <row r="863" spans="1:14" x14ac:dyDescent="0.4">
      <c r="A863" t="s">
        <v>2047</v>
      </c>
      <c r="B863" t="s">
        <v>2048</v>
      </c>
      <c r="C863" t="s">
        <v>35</v>
      </c>
      <c r="D863" t="s">
        <v>36</v>
      </c>
      <c r="E863" s="2">
        <v>1488.3400000000001</v>
      </c>
      <c r="F863" s="2"/>
      <c r="G863" s="2">
        <v>3417.16</v>
      </c>
      <c r="H863" s="2"/>
      <c r="I863" s="2"/>
      <c r="J863" s="2"/>
      <c r="K863" s="2"/>
      <c r="L863" s="2">
        <v>4905.4999999999982</v>
      </c>
      <c r="M863" t="s">
        <v>4400</v>
      </c>
      <c r="N863" t="s">
        <v>4403</v>
      </c>
    </row>
    <row r="864" spans="1:14" x14ac:dyDescent="0.4">
      <c r="A864" t="s">
        <v>2049</v>
      </c>
      <c r="B864" t="s">
        <v>2050</v>
      </c>
      <c r="C864" t="s">
        <v>103</v>
      </c>
      <c r="D864" t="s">
        <v>1619</v>
      </c>
      <c r="E864" s="2">
        <v>3663.1299999999987</v>
      </c>
      <c r="F864" s="2">
        <v>2940.2799999999997</v>
      </c>
      <c r="G864" s="2">
        <v>2922.0299999999997</v>
      </c>
      <c r="H864" s="2">
        <v>1470.1399999999999</v>
      </c>
      <c r="I864" s="2">
        <v>2326.6799999999994</v>
      </c>
      <c r="J864" s="2">
        <v>3307.7499999999991</v>
      </c>
      <c r="K864" s="2">
        <v>981.08999999999992</v>
      </c>
      <c r="L864" s="2">
        <v>17611.100000000002</v>
      </c>
      <c r="M864" t="s">
        <v>4400</v>
      </c>
      <c r="N864" t="s">
        <v>4400</v>
      </c>
    </row>
    <row r="865" spans="1:14" x14ac:dyDescent="0.4">
      <c r="A865" t="s">
        <v>2051</v>
      </c>
      <c r="B865" t="s">
        <v>2052</v>
      </c>
      <c r="C865" t="s">
        <v>35</v>
      </c>
      <c r="D865" t="s">
        <v>36</v>
      </c>
      <c r="E865" s="2"/>
      <c r="F865" s="2">
        <v>1111.7</v>
      </c>
      <c r="G865" s="2"/>
      <c r="H865" s="2"/>
      <c r="I865" s="2"/>
      <c r="J865" s="2"/>
      <c r="K865" s="2"/>
      <c r="L865" s="2">
        <v>1111.7</v>
      </c>
      <c r="M865" t="s">
        <v>4412</v>
      </c>
      <c r="N865" t="s">
        <v>4410</v>
      </c>
    </row>
    <row r="866" spans="1:14" x14ac:dyDescent="0.4">
      <c r="A866" t="s">
        <v>2053</v>
      </c>
      <c r="B866" t="s">
        <v>2054</v>
      </c>
      <c r="C866" t="s">
        <v>1</v>
      </c>
      <c r="D866" t="s">
        <v>88</v>
      </c>
      <c r="E866" s="2"/>
      <c r="F866" s="2"/>
      <c r="G866" s="2"/>
      <c r="H866" s="2"/>
      <c r="I866" s="2">
        <v>1798.2299999999998</v>
      </c>
      <c r="J866" s="2">
        <v>1640.2500000000002</v>
      </c>
      <c r="K866" s="2"/>
      <c r="L866" s="2">
        <v>3438.48</v>
      </c>
      <c r="M866" t="s">
        <v>4408</v>
      </c>
      <c r="N866" t="s">
        <v>4406</v>
      </c>
    </row>
    <row r="867" spans="1:14" x14ac:dyDescent="0.4">
      <c r="A867" t="s">
        <v>2055</v>
      </c>
      <c r="B867" t="s">
        <v>2056</v>
      </c>
      <c r="C867" t="s">
        <v>27</v>
      </c>
      <c r="D867" t="s">
        <v>1333</v>
      </c>
      <c r="E867" s="2"/>
      <c r="F867" s="2"/>
      <c r="G867" s="2">
        <v>1494.4199999999998</v>
      </c>
      <c r="H867" s="2">
        <v>2296.29</v>
      </c>
      <c r="I867" s="2">
        <v>1470.1000000000001</v>
      </c>
      <c r="J867" s="2"/>
      <c r="K867" s="2"/>
      <c r="L867" s="2">
        <v>5260.81</v>
      </c>
      <c r="M867" t="s">
        <v>4411</v>
      </c>
      <c r="N867" t="s">
        <v>4401</v>
      </c>
    </row>
    <row r="868" spans="1:14" x14ac:dyDescent="0.4">
      <c r="A868" t="s">
        <v>2057</v>
      </c>
      <c r="B868" t="s">
        <v>2058</v>
      </c>
      <c r="C868" t="s">
        <v>109</v>
      </c>
      <c r="D868" t="s">
        <v>1282</v>
      </c>
      <c r="E868" s="2">
        <v>7766.5400000000009</v>
      </c>
      <c r="F868" s="2">
        <v>6468.69</v>
      </c>
      <c r="G868" s="2">
        <v>7052.0800000000008</v>
      </c>
      <c r="H868" s="2">
        <v>8144.33</v>
      </c>
      <c r="I868" s="2">
        <v>10272.290000000005</v>
      </c>
      <c r="J868" s="2">
        <v>8409.0400000000027</v>
      </c>
      <c r="K868" s="2">
        <v>5633.44</v>
      </c>
      <c r="L868" s="2">
        <v>53746.410000000149</v>
      </c>
      <c r="M868" t="s">
        <v>4400</v>
      </c>
      <c r="N868" t="s">
        <v>4400</v>
      </c>
    </row>
    <row r="869" spans="1:14" x14ac:dyDescent="0.4">
      <c r="A869" t="s">
        <v>2059</v>
      </c>
      <c r="B869" t="s">
        <v>2060</v>
      </c>
      <c r="C869" t="s">
        <v>939</v>
      </c>
      <c r="D869" t="s">
        <v>1266</v>
      </c>
      <c r="E869" s="2">
        <v>3165.0199999999991</v>
      </c>
      <c r="F869" s="2"/>
      <c r="G869" s="2">
        <v>1327.37</v>
      </c>
      <c r="H869" s="2"/>
      <c r="I869" s="2">
        <v>2961.4799999999996</v>
      </c>
      <c r="J869" s="2"/>
      <c r="K869" s="2"/>
      <c r="L869" s="2">
        <v>7453.869999999999</v>
      </c>
      <c r="M869" t="s">
        <v>4400</v>
      </c>
      <c r="N869" t="s">
        <v>4401</v>
      </c>
    </row>
    <row r="870" spans="1:14" x14ac:dyDescent="0.4">
      <c r="A870" t="s">
        <v>2061</v>
      </c>
      <c r="B870" t="s">
        <v>2062</v>
      </c>
      <c r="C870" t="s">
        <v>860</v>
      </c>
      <c r="D870" t="s">
        <v>1134</v>
      </c>
      <c r="E870" s="2">
        <v>3851.5</v>
      </c>
      <c r="F870" s="2">
        <v>2909.94</v>
      </c>
      <c r="G870" s="2">
        <v>2961.5600000000004</v>
      </c>
      <c r="H870" s="2">
        <v>2991.93</v>
      </c>
      <c r="I870" s="2">
        <v>3714.87</v>
      </c>
      <c r="J870" s="2">
        <v>2417.8500000000004</v>
      </c>
      <c r="K870" s="2">
        <v>1886.2699999999998</v>
      </c>
      <c r="L870" s="2">
        <v>20733.919999999984</v>
      </c>
      <c r="M870" t="s">
        <v>4400</v>
      </c>
      <c r="N870" t="s">
        <v>4400</v>
      </c>
    </row>
    <row r="871" spans="1:14" x14ac:dyDescent="0.4">
      <c r="A871" t="s">
        <v>2063</v>
      </c>
      <c r="B871" t="s">
        <v>2064</v>
      </c>
      <c r="C871" t="s">
        <v>78</v>
      </c>
      <c r="D871" t="s">
        <v>1240</v>
      </c>
      <c r="E871" s="2"/>
      <c r="F871" s="2">
        <v>2192.21</v>
      </c>
      <c r="G871" s="2">
        <v>2179.3599999999997</v>
      </c>
      <c r="H871" s="2">
        <v>2891.2499999999991</v>
      </c>
      <c r="I871" s="2">
        <v>2880.9699999999993</v>
      </c>
      <c r="J871" s="2">
        <v>2873.2599999999998</v>
      </c>
      <c r="K871" s="2">
        <v>1518.87</v>
      </c>
      <c r="L871" s="2">
        <v>14535.920000000007</v>
      </c>
      <c r="M871" t="s">
        <v>4412</v>
      </c>
      <c r="N871" t="s">
        <v>4400</v>
      </c>
    </row>
    <row r="872" spans="1:14" x14ac:dyDescent="0.4">
      <c r="A872" t="s">
        <v>2065</v>
      </c>
      <c r="B872" t="s">
        <v>2066</v>
      </c>
      <c r="C872" t="s">
        <v>186</v>
      </c>
      <c r="D872" t="s">
        <v>187</v>
      </c>
      <c r="E872" s="2">
        <v>3116.39</v>
      </c>
      <c r="F872" s="2">
        <v>1843.71</v>
      </c>
      <c r="G872" s="2">
        <v>1379.0099999999998</v>
      </c>
      <c r="H872" s="2"/>
      <c r="I872" s="2">
        <v>3635.6899999999996</v>
      </c>
      <c r="J872" s="2">
        <v>3811.9599999999996</v>
      </c>
      <c r="K872" s="2"/>
      <c r="L872" s="2">
        <v>13786.759999999995</v>
      </c>
      <c r="M872" t="s">
        <v>4400</v>
      </c>
      <c r="N872" t="s">
        <v>4406</v>
      </c>
    </row>
    <row r="873" spans="1:14" x14ac:dyDescent="0.4">
      <c r="A873" t="s">
        <v>2067</v>
      </c>
      <c r="B873" t="s">
        <v>1981</v>
      </c>
      <c r="C873" t="s">
        <v>1</v>
      </c>
      <c r="D873" t="s">
        <v>1030</v>
      </c>
      <c r="E873" s="2">
        <v>4165.9699999999993</v>
      </c>
      <c r="F873" s="2">
        <v>4564.32</v>
      </c>
      <c r="G873" s="2">
        <v>5073.18</v>
      </c>
      <c r="H873" s="2">
        <v>4099.1499999999996</v>
      </c>
      <c r="I873" s="2">
        <v>5615.4499999999989</v>
      </c>
      <c r="J873" s="2">
        <v>5643.72</v>
      </c>
      <c r="K873" s="2">
        <v>3394.9699999999989</v>
      </c>
      <c r="L873" s="2">
        <v>32556.760000000038</v>
      </c>
      <c r="M873" t="s">
        <v>4400</v>
      </c>
      <c r="N873" t="s">
        <v>4400</v>
      </c>
    </row>
    <row r="874" spans="1:14" x14ac:dyDescent="0.4">
      <c r="A874" t="s">
        <v>2068</v>
      </c>
      <c r="B874" t="s">
        <v>1596</v>
      </c>
      <c r="C874" t="s">
        <v>258</v>
      </c>
      <c r="D874" t="s">
        <v>1247</v>
      </c>
      <c r="E874" s="2">
        <v>5297.2799999999979</v>
      </c>
      <c r="F874" s="2">
        <v>3143.7299999999996</v>
      </c>
      <c r="G874" s="2">
        <v>3010.0899999999997</v>
      </c>
      <c r="H874" s="2">
        <v>4039.7999999999988</v>
      </c>
      <c r="I874" s="2">
        <v>4972.2899999999981</v>
      </c>
      <c r="J874" s="2">
        <v>3875.7899999999981</v>
      </c>
      <c r="K874" s="2">
        <v>1925.7500000000002</v>
      </c>
      <c r="L874" s="2">
        <v>26264.73000000005</v>
      </c>
      <c r="M874" t="s">
        <v>4400</v>
      </c>
      <c r="N874" t="s">
        <v>4400</v>
      </c>
    </row>
    <row r="875" spans="1:14" x14ac:dyDescent="0.4">
      <c r="A875" t="s">
        <v>2069</v>
      </c>
      <c r="B875" t="s">
        <v>2070</v>
      </c>
      <c r="C875" t="s">
        <v>462</v>
      </c>
      <c r="D875" t="s">
        <v>2071</v>
      </c>
      <c r="E875" s="2">
        <v>3948.56</v>
      </c>
      <c r="F875" s="2">
        <v>3006.95</v>
      </c>
      <c r="G875" s="2">
        <v>3259.0399999999991</v>
      </c>
      <c r="H875" s="2">
        <v>2952.2899999999981</v>
      </c>
      <c r="I875" s="2">
        <v>3693.4399999999991</v>
      </c>
      <c r="J875" s="2">
        <v>2937.1199999999994</v>
      </c>
      <c r="K875" s="2">
        <v>1488.3100000000002</v>
      </c>
      <c r="L875" s="2">
        <v>21285.71000000001</v>
      </c>
      <c r="M875" t="s">
        <v>4400</v>
      </c>
      <c r="N875" t="s">
        <v>4400</v>
      </c>
    </row>
    <row r="876" spans="1:14" x14ac:dyDescent="0.4">
      <c r="A876" t="s">
        <v>2072</v>
      </c>
      <c r="B876" t="s">
        <v>2073</v>
      </c>
      <c r="C876" t="s">
        <v>78</v>
      </c>
      <c r="D876" t="s">
        <v>841</v>
      </c>
      <c r="E876" s="2">
        <v>735.06000000000006</v>
      </c>
      <c r="F876" s="2"/>
      <c r="G876" s="2"/>
      <c r="H876" s="2"/>
      <c r="I876" s="2"/>
      <c r="J876" s="2"/>
      <c r="K876" s="2"/>
      <c r="L876" s="2">
        <v>735.06000000000006</v>
      </c>
      <c r="M876" t="s">
        <v>4400</v>
      </c>
      <c r="N876" t="s">
        <v>4407</v>
      </c>
    </row>
    <row r="877" spans="1:14" x14ac:dyDescent="0.4">
      <c r="A877" t="s">
        <v>2074</v>
      </c>
      <c r="B877" t="s">
        <v>1775</v>
      </c>
      <c r="C877" t="s">
        <v>123</v>
      </c>
      <c r="D877" t="s">
        <v>129</v>
      </c>
      <c r="E877" s="2">
        <v>905.18000000000018</v>
      </c>
      <c r="F877" s="2">
        <v>965.92</v>
      </c>
      <c r="G877" s="2">
        <v>2715.5200000000009</v>
      </c>
      <c r="H877" s="2">
        <v>3086.0899999999997</v>
      </c>
      <c r="I877" s="2">
        <v>2077.64</v>
      </c>
      <c r="J877" s="2">
        <v>2657.8000000000006</v>
      </c>
      <c r="K877" s="2">
        <v>859.61000000000013</v>
      </c>
      <c r="L877" s="2">
        <v>13267.759999999991</v>
      </c>
      <c r="M877" t="s">
        <v>4400</v>
      </c>
      <c r="N877" t="s">
        <v>4400</v>
      </c>
    </row>
    <row r="878" spans="1:14" x14ac:dyDescent="0.4">
      <c r="A878" t="s">
        <v>2075</v>
      </c>
      <c r="B878" t="s">
        <v>2076</v>
      </c>
      <c r="C878" t="s">
        <v>419</v>
      </c>
      <c r="D878" t="s">
        <v>2077</v>
      </c>
      <c r="E878" s="2">
        <v>5382.3999999999987</v>
      </c>
      <c r="F878" s="2">
        <v>4106.7199999999993</v>
      </c>
      <c r="G878" s="2">
        <v>5288.2999999999993</v>
      </c>
      <c r="H878" s="2">
        <v>4416.5199999999995</v>
      </c>
      <c r="I878" s="2">
        <v>4629.1799999999994</v>
      </c>
      <c r="J878" s="2">
        <v>6797.7799999999979</v>
      </c>
      <c r="K878" s="2">
        <v>2897.74</v>
      </c>
      <c r="L878" s="2">
        <v>33518.640000000014</v>
      </c>
      <c r="M878" t="s">
        <v>4400</v>
      </c>
      <c r="N878" t="s">
        <v>4400</v>
      </c>
    </row>
    <row r="879" spans="1:14" x14ac:dyDescent="0.4">
      <c r="A879" t="s">
        <v>2078</v>
      </c>
      <c r="B879" t="s">
        <v>2079</v>
      </c>
      <c r="C879" t="s">
        <v>410</v>
      </c>
      <c r="D879" t="s">
        <v>414</v>
      </c>
      <c r="E879" s="2">
        <v>2563.5900000000006</v>
      </c>
      <c r="F879" s="2">
        <v>2171.7799999999997</v>
      </c>
      <c r="G879" s="2">
        <v>1852.8400000000001</v>
      </c>
      <c r="H879" s="2">
        <v>1306.0999999999999</v>
      </c>
      <c r="I879" s="2">
        <v>2147.4699999999993</v>
      </c>
      <c r="J879" s="2">
        <v>1047.9299999999998</v>
      </c>
      <c r="K879" s="2">
        <v>1075.26</v>
      </c>
      <c r="L879" s="2">
        <v>12164.969999999988</v>
      </c>
      <c r="M879" t="s">
        <v>4400</v>
      </c>
      <c r="N879" t="s">
        <v>4400</v>
      </c>
    </row>
    <row r="880" spans="1:14" x14ac:dyDescent="0.4">
      <c r="A880" t="s">
        <v>2080</v>
      </c>
      <c r="B880" t="s">
        <v>1605</v>
      </c>
      <c r="C880" t="s">
        <v>64</v>
      </c>
      <c r="D880" t="s">
        <v>985</v>
      </c>
      <c r="E880" s="2">
        <v>9209.1899999999987</v>
      </c>
      <c r="F880" s="2">
        <v>9850.1000000000022</v>
      </c>
      <c r="G880" s="2">
        <v>9765.1299999999956</v>
      </c>
      <c r="H880" s="2">
        <v>11256.579999999996</v>
      </c>
      <c r="I880" s="2">
        <v>9980.8499999999931</v>
      </c>
      <c r="J880" s="2">
        <v>7113.5899999999992</v>
      </c>
      <c r="K880" s="2">
        <v>4832.4699999999984</v>
      </c>
      <c r="L880" s="2">
        <v>62007.910000000054</v>
      </c>
      <c r="M880" t="s">
        <v>4400</v>
      </c>
      <c r="N880" t="s">
        <v>4400</v>
      </c>
    </row>
    <row r="881" spans="1:14" x14ac:dyDescent="0.4">
      <c r="A881" t="s">
        <v>2081</v>
      </c>
      <c r="B881" t="s">
        <v>2082</v>
      </c>
      <c r="C881" t="s">
        <v>447</v>
      </c>
      <c r="D881" t="s">
        <v>1381</v>
      </c>
      <c r="E881" s="2">
        <v>3860.51</v>
      </c>
      <c r="F881" s="2">
        <v>5087.6800000000021</v>
      </c>
      <c r="G881" s="2">
        <v>6223.69</v>
      </c>
      <c r="H881" s="2">
        <v>6244.9299999999994</v>
      </c>
      <c r="I881" s="2">
        <v>4729.2699999999977</v>
      </c>
      <c r="J881" s="2">
        <v>5989.7799999999961</v>
      </c>
      <c r="K881" s="2">
        <v>2806.5599999999995</v>
      </c>
      <c r="L881" s="2">
        <v>34942.42</v>
      </c>
      <c r="M881" t="s">
        <v>4400</v>
      </c>
      <c r="N881" t="s">
        <v>4400</v>
      </c>
    </row>
    <row r="882" spans="1:14" x14ac:dyDescent="0.4">
      <c r="A882" t="s">
        <v>2083</v>
      </c>
      <c r="B882" t="s">
        <v>2084</v>
      </c>
      <c r="C882" t="s">
        <v>96</v>
      </c>
      <c r="D882" t="s">
        <v>1010</v>
      </c>
      <c r="E882" s="2">
        <v>765.45</v>
      </c>
      <c r="F882" s="2"/>
      <c r="G882" s="2">
        <v>719.88000000000011</v>
      </c>
      <c r="H882" s="2">
        <v>747.24</v>
      </c>
      <c r="I882" s="2">
        <v>738.09</v>
      </c>
      <c r="J882" s="2"/>
      <c r="K882" s="2">
        <v>741.13</v>
      </c>
      <c r="L882" s="2">
        <v>3711.7899999999995</v>
      </c>
      <c r="M882" t="s">
        <v>4400</v>
      </c>
      <c r="N882" t="s">
        <v>4400</v>
      </c>
    </row>
    <row r="883" spans="1:14" x14ac:dyDescent="0.4">
      <c r="A883" t="s">
        <v>2085</v>
      </c>
      <c r="B883" t="s">
        <v>2086</v>
      </c>
      <c r="C883" t="s">
        <v>9</v>
      </c>
      <c r="D883" t="s">
        <v>10</v>
      </c>
      <c r="E883" s="2">
        <v>3815.0899999999997</v>
      </c>
      <c r="F883" s="2">
        <v>3769.4899999999989</v>
      </c>
      <c r="G883" s="2">
        <v>1858.9499999999998</v>
      </c>
      <c r="H883" s="2">
        <v>2147.4699999999998</v>
      </c>
      <c r="I883" s="2">
        <v>1105.6400000000003</v>
      </c>
      <c r="J883" s="2">
        <v>3313.88</v>
      </c>
      <c r="K883" s="2">
        <v>1099.56</v>
      </c>
      <c r="L883" s="2">
        <v>17110.079999999998</v>
      </c>
      <c r="M883" t="s">
        <v>4400</v>
      </c>
      <c r="N883" t="s">
        <v>4400</v>
      </c>
    </row>
    <row r="884" spans="1:14" x14ac:dyDescent="0.4">
      <c r="A884" t="s">
        <v>2087</v>
      </c>
      <c r="B884" t="s">
        <v>2088</v>
      </c>
      <c r="C884" t="s">
        <v>64</v>
      </c>
      <c r="D884" t="s">
        <v>2089</v>
      </c>
      <c r="E884" s="2">
        <v>3994.28</v>
      </c>
      <c r="F884" s="2">
        <v>3751.2500000000009</v>
      </c>
      <c r="G884" s="2">
        <v>3359.420000000001</v>
      </c>
      <c r="H884" s="2">
        <v>4188.619999999999</v>
      </c>
      <c r="I884" s="2">
        <v>3578.1000000000008</v>
      </c>
      <c r="J884" s="2">
        <v>3411.0500000000006</v>
      </c>
      <c r="K884" s="2">
        <v>1707.04</v>
      </c>
      <c r="L884" s="2">
        <v>23989.759999999962</v>
      </c>
      <c r="M884" t="s">
        <v>4400</v>
      </c>
      <c r="N884" t="s">
        <v>4400</v>
      </c>
    </row>
    <row r="885" spans="1:14" x14ac:dyDescent="0.4">
      <c r="A885" t="s">
        <v>2090</v>
      </c>
      <c r="B885" t="s">
        <v>2091</v>
      </c>
      <c r="C885" t="s">
        <v>78</v>
      </c>
      <c r="D885" t="s">
        <v>1240</v>
      </c>
      <c r="E885" s="2">
        <v>789.71</v>
      </c>
      <c r="F885" s="2">
        <v>877.80000000000007</v>
      </c>
      <c r="G885" s="2"/>
      <c r="H885" s="2">
        <v>1606.7499999999998</v>
      </c>
      <c r="I885" s="2">
        <v>2776.12</v>
      </c>
      <c r="J885" s="2">
        <v>1804.1699999999998</v>
      </c>
      <c r="K885" s="2">
        <v>892.96999999999991</v>
      </c>
      <c r="L885" s="2">
        <v>8747.519999999995</v>
      </c>
      <c r="M885" t="s">
        <v>4400</v>
      </c>
      <c r="N885" t="s">
        <v>4400</v>
      </c>
    </row>
    <row r="886" spans="1:14" x14ac:dyDescent="0.4">
      <c r="A886" t="s">
        <v>2092</v>
      </c>
      <c r="B886" t="s">
        <v>2093</v>
      </c>
      <c r="C886" t="s">
        <v>19</v>
      </c>
      <c r="D886" t="s">
        <v>20</v>
      </c>
      <c r="E886" s="2"/>
      <c r="F886" s="2"/>
      <c r="G886" s="2"/>
      <c r="H886" s="2"/>
      <c r="I886" s="2"/>
      <c r="J886" s="2">
        <v>971.97999999999979</v>
      </c>
      <c r="K886" s="2"/>
      <c r="L886" s="2">
        <v>971.97999999999979</v>
      </c>
      <c r="M886" t="s">
        <v>4405</v>
      </c>
      <c r="N886" t="s">
        <v>4406</v>
      </c>
    </row>
    <row r="887" spans="1:14" x14ac:dyDescent="0.4">
      <c r="A887" t="s">
        <v>2094</v>
      </c>
      <c r="B887" t="s">
        <v>2095</v>
      </c>
      <c r="C887" t="s">
        <v>199</v>
      </c>
      <c r="D887" t="s">
        <v>203</v>
      </c>
      <c r="E887" s="2">
        <v>5342.9199999999973</v>
      </c>
      <c r="F887" s="2">
        <v>5898.7799999999979</v>
      </c>
      <c r="G887" s="2">
        <v>5115.1499999999996</v>
      </c>
      <c r="H887" s="2">
        <v>4771.9199999999992</v>
      </c>
      <c r="I887" s="2">
        <v>4386.1499999999978</v>
      </c>
      <c r="J887" s="2">
        <v>5336.8699999999981</v>
      </c>
      <c r="K887" s="2">
        <v>2275.0700000000002</v>
      </c>
      <c r="L887" s="2">
        <v>33126.860000000008</v>
      </c>
      <c r="M887" t="s">
        <v>4400</v>
      </c>
      <c r="N887" t="s">
        <v>4400</v>
      </c>
    </row>
    <row r="888" spans="1:14" x14ac:dyDescent="0.4">
      <c r="A888" t="s">
        <v>2096</v>
      </c>
      <c r="B888" t="s">
        <v>2097</v>
      </c>
      <c r="C888" t="s">
        <v>5</v>
      </c>
      <c r="D888" t="s">
        <v>6</v>
      </c>
      <c r="E888" s="2">
        <v>2782.2400000000002</v>
      </c>
      <c r="F888" s="2">
        <v>2666.8200000000006</v>
      </c>
      <c r="G888" s="2">
        <v>2739.74</v>
      </c>
      <c r="H888" s="2">
        <v>4188.59</v>
      </c>
      <c r="I888" s="2">
        <v>3486.9599999999991</v>
      </c>
      <c r="J888" s="2">
        <v>3520.3599999999997</v>
      </c>
      <c r="K888" s="2">
        <v>1588.5499999999997</v>
      </c>
      <c r="L888" s="2">
        <v>20973.259999999984</v>
      </c>
      <c r="M888" t="s">
        <v>4400</v>
      </c>
      <c r="N888" t="s">
        <v>4400</v>
      </c>
    </row>
    <row r="889" spans="1:14" x14ac:dyDescent="0.4">
      <c r="A889" t="s">
        <v>2098</v>
      </c>
      <c r="B889" t="s">
        <v>2099</v>
      </c>
      <c r="C889" t="s">
        <v>35</v>
      </c>
      <c r="D889" t="s">
        <v>1212</v>
      </c>
      <c r="E889" s="2">
        <v>1631.1200000000001</v>
      </c>
      <c r="F889" s="2"/>
      <c r="G889" s="2">
        <v>5692.1999999999989</v>
      </c>
      <c r="H889" s="2">
        <v>2642.64</v>
      </c>
      <c r="I889" s="2">
        <v>2882.5400000000004</v>
      </c>
      <c r="J889" s="2">
        <v>1782.99</v>
      </c>
      <c r="K889" s="2">
        <v>1570.3799999999999</v>
      </c>
      <c r="L889" s="2">
        <v>16201.869999999986</v>
      </c>
      <c r="M889" t="s">
        <v>4400</v>
      </c>
      <c r="N889" t="s">
        <v>4400</v>
      </c>
    </row>
    <row r="890" spans="1:14" x14ac:dyDescent="0.4">
      <c r="A890" t="s">
        <v>2100</v>
      </c>
      <c r="B890" t="s">
        <v>2101</v>
      </c>
      <c r="C890" t="s">
        <v>5</v>
      </c>
      <c r="D890" t="s">
        <v>6</v>
      </c>
      <c r="E890" s="2">
        <v>1345.6000000000001</v>
      </c>
      <c r="F890" s="2">
        <v>2997.9700000000003</v>
      </c>
      <c r="G890" s="2">
        <v>4759.7199999999984</v>
      </c>
      <c r="H890" s="2">
        <v>4793.1200000000008</v>
      </c>
      <c r="I890" s="2">
        <v>3228.8399999999997</v>
      </c>
      <c r="J890" s="2">
        <v>4468.0799999999981</v>
      </c>
      <c r="K890" s="2">
        <v>1682.76</v>
      </c>
      <c r="L890" s="2">
        <v>23276.090000000007</v>
      </c>
      <c r="M890" t="s">
        <v>4400</v>
      </c>
      <c r="N890" t="s">
        <v>4400</v>
      </c>
    </row>
    <row r="891" spans="1:14" x14ac:dyDescent="0.4">
      <c r="A891" t="s">
        <v>2102</v>
      </c>
      <c r="B891" t="s">
        <v>2103</v>
      </c>
      <c r="C891" t="s">
        <v>78</v>
      </c>
      <c r="D891" t="s">
        <v>768</v>
      </c>
      <c r="E891" s="2">
        <v>3237.87</v>
      </c>
      <c r="F891" s="2">
        <v>4829.4999999999982</v>
      </c>
      <c r="G891" s="2">
        <v>5962.5300000000016</v>
      </c>
      <c r="H891" s="2">
        <v>5929.11</v>
      </c>
      <c r="I891" s="2">
        <v>6573.04</v>
      </c>
      <c r="J891" s="2">
        <v>7247.3800000000019</v>
      </c>
      <c r="K891" s="2">
        <v>4058.0399999999986</v>
      </c>
      <c r="L891" s="2">
        <v>37837.469999999928</v>
      </c>
      <c r="M891" t="s">
        <v>4400</v>
      </c>
      <c r="N891" t="s">
        <v>4400</v>
      </c>
    </row>
    <row r="892" spans="1:14" x14ac:dyDescent="0.4">
      <c r="A892" t="s">
        <v>2104</v>
      </c>
      <c r="B892" t="s">
        <v>2105</v>
      </c>
      <c r="C892" t="s">
        <v>1</v>
      </c>
      <c r="D892" t="s">
        <v>82</v>
      </c>
      <c r="E892" s="2"/>
      <c r="F892" s="2"/>
      <c r="G892" s="2"/>
      <c r="H892" s="2">
        <v>719.60000000000014</v>
      </c>
      <c r="I892" s="2"/>
      <c r="J892" s="2"/>
      <c r="K892" s="2"/>
      <c r="L892" s="2">
        <v>719.60000000000014</v>
      </c>
      <c r="M892" t="s">
        <v>4409</v>
      </c>
      <c r="N892" t="s">
        <v>4402</v>
      </c>
    </row>
    <row r="893" spans="1:14" x14ac:dyDescent="0.4">
      <c r="A893" t="s">
        <v>2106</v>
      </c>
      <c r="B893" t="s">
        <v>2107</v>
      </c>
      <c r="C893" t="s">
        <v>9</v>
      </c>
      <c r="D893" t="s">
        <v>1206</v>
      </c>
      <c r="E893" s="2">
        <v>4376.71</v>
      </c>
      <c r="F893" s="2">
        <v>3443.8</v>
      </c>
      <c r="G893" s="2">
        <v>3230.4900000000007</v>
      </c>
      <c r="H893" s="2">
        <v>2464.63</v>
      </c>
      <c r="I893" s="2">
        <v>2534.02</v>
      </c>
      <c r="J893" s="2">
        <v>4769.9199999999992</v>
      </c>
      <c r="K893" s="2">
        <v>1585.69</v>
      </c>
      <c r="L893" s="2">
        <v>22405.260000000002</v>
      </c>
      <c r="M893" t="s">
        <v>4400</v>
      </c>
      <c r="N893" t="s">
        <v>4400</v>
      </c>
    </row>
    <row r="894" spans="1:14" x14ac:dyDescent="0.4">
      <c r="A894" t="s">
        <v>2108</v>
      </c>
      <c r="B894" t="s">
        <v>1012</v>
      </c>
      <c r="C894" t="s">
        <v>310</v>
      </c>
      <c r="D894" t="s">
        <v>1013</v>
      </c>
      <c r="E894" s="2">
        <v>2897.74</v>
      </c>
      <c r="F894" s="2">
        <v>1445.8499999999997</v>
      </c>
      <c r="G894" s="2"/>
      <c r="H894" s="2"/>
      <c r="I894" s="2"/>
      <c r="J894" s="2"/>
      <c r="K894" s="2"/>
      <c r="L894" s="2">
        <v>4343.59</v>
      </c>
      <c r="M894" t="s">
        <v>4400</v>
      </c>
      <c r="N894" t="s">
        <v>4410</v>
      </c>
    </row>
    <row r="895" spans="1:14" x14ac:dyDescent="0.4">
      <c r="A895" t="s">
        <v>2109</v>
      </c>
      <c r="B895" t="s">
        <v>2110</v>
      </c>
      <c r="C895" t="s">
        <v>939</v>
      </c>
      <c r="D895" t="s">
        <v>2111</v>
      </c>
      <c r="E895" s="2">
        <v>3216.69</v>
      </c>
      <c r="F895" s="2">
        <v>3307.7899999999995</v>
      </c>
      <c r="G895" s="2">
        <v>4118.78</v>
      </c>
      <c r="H895" s="2">
        <v>5652.7099999999991</v>
      </c>
      <c r="I895" s="2">
        <v>3672.3</v>
      </c>
      <c r="J895" s="2">
        <v>3553.81</v>
      </c>
      <c r="K895" s="2">
        <v>1521.77</v>
      </c>
      <c r="L895" s="2">
        <v>25043.84999999998</v>
      </c>
      <c r="M895" t="s">
        <v>4400</v>
      </c>
      <c r="N895" t="s">
        <v>4400</v>
      </c>
    </row>
    <row r="896" spans="1:14" x14ac:dyDescent="0.4">
      <c r="A896" t="s">
        <v>2112</v>
      </c>
      <c r="B896" t="s">
        <v>2113</v>
      </c>
      <c r="C896" t="s">
        <v>267</v>
      </c>
      <c r="D896" t="s">
        <v>268</v>
      </c>
      <c r="E896" s="2">
        <v>3022.27</v>
      </c>
      <c r="F896" s="2">
        <v>1833.8499999999997</v>
      </c>
      <c r="G896" s="2">
        <v>2387.5299999999997</v>
      </c>
      <c r="H896" s="2">
        <v>3718.7899999999986</v>
      </c>
      <c r="I896" s="2">
        <v>1837.5499999999995</v>
      </c>
      <c r="J896" s="2">
        <v>1850.3999999999999</v>
      </c>
      <c r="K896" s="2">
        <v>968.95</v>
      </c>
      <c r="L896" s="2">
        <v>15619.340000000007</v>
      </c>
      <c r="M896" t="s">
        <v>4400</v>
      </c>
      <c r="N896" t="s">
        <v>4400</v>
      </c>
    </row>
    <row r="897" spans="1:14" x14ac:dyDescent="0.4">
      <c r="A897" t="s">
        <v>2114</v>
      </c>
      <c r="B897" t="s">
        <v>2115</v>
      </c>
      <c r="C897" t="s">
        <v>374</v>
      </c>
      <c r="D897" t="s">
        <v>375</v>
      </c>
      <c r="E897" s="2">
        <v>1731.36</v>
      </c>
      <c r="F897" s="2">
        <v>920.34999999999991</v>
      </c>
      <c r="G897" s="2">
        <v>908.22000000000014</v>
      </c>
      <c r="H897" s="2">
        <v>2885.5400000000004</v>
      </c>
      <c r="I897" s="2"/>
      <c r="J897" s="2">
        <v>1148.1799999999998</v>
      </c>
      <c r="K897" s="2"/>
      <c r="L897" s="2">
        <v>7593.6500000000015</v>
      </c>
      <c r="M897" t="s">
        <v>4400</v>
      </c>
      <c r="N897" t="s">
        <v>4406</v>
      </c>
    </row>
    <row r="898" spans="1:14" x14ac:dyDescent="0.4">
      <c r="A898" t="s">
        <v>2116</v>
      </c>
      <c r="B898" t="s">
        <v>2117</v>
      </c>
      <c r="C898" t="s">
        <v>64</v>
      </c>
      <c r="D898" t="s">
        <v>1033</v>
      </c>
      <c r="E898" s="2">
        <v>3389.7000000000007</v>
      </c>
      <c r="F898" s="2">
        <v>3717.7400000000007</v>
      </c>
      <c r="G898" s="2">
        <v>4671.4400000000005</v>
      </c>
      <c r="H898" s="2">
        <v>4082.2</v>
      </c>
      <c r="I898" s="2">
        <v>3529.4599999999996</v>
      </c>
      <c r="J898" s="2">
        <v>3365.3599999999988</v>
      </c>
      <c r="K898" s="2">
        <v>2050.1799999999998</v>
      </c>
      <c r="L898" s="2">
        <v>24806.079999999973</v>
      </c>
      <c r="M898" t="s">
        <v>4400</v>
      </c>
      <c r="N898" t="s">
        <v>4400</v>
      </c>
    </row>
    <row r="899" spans="1:14" x14ac:dyDescent="0.4">
      <c r="A899" t="s">
        <v>2118</v>
      </c>
      <c r="B899" t="s">
        <v>1249</v>
      </c>
      <c r="C899" t="s">
        <v>178</v>
      </c>
      <c r="D899" t="s">
        <v>179</v>
      </c>
      <c r="E899" s="2">
        <v>2332.71</v>
      </c>
      <c r="F899" s="2">
        <v>3547.67</v>
      </c>
      <c r="G899" s="2">
        <v>1931.77</v>
      </c>
      <c r="H899" s="2">
        <v>741.13</v>
      </c>
      <c r="I899" s="2">
        <v>3486.93</v>
      </c>
      <c r="J899" s="2">
        <v>4218.9600000000009</v>
      </c>
      <c r="K899" s="2">
        <v>2314.4699999999993</v>
      </c>
      <c r="L899" s="2">
        <v>18573.639999999978</v>
      </c>
      <c r="M899" t="s">
        <v>4400</v>
      </c>
      <c r="N899" t="s">
        <v>4400</v>
      </c>
    </row>
    <row r="900" spans="1:14" x14ac:dyDescent="0.4">
      <c r="A900" t="s">
        <v>2119</v>
      </c>
      <c r="B900" t="s">
        <v>1808</v>
      </c>
      <c r="C900" t="s">
        <v>52</v>
      </c>
      <c r="D900" t="s">
        <v>1809</v>
      </c>
      <c r="E900" s="2">
        <v>6813.0699999999988</v>
      </c>
      <c r="F900" s="2">
        <v>6921.01</v>
      </c>
      <c r="G900" s="2">
        <v>10053.84</v>
      </c>
      <c r="H900" s="2">
        <v>8080.08</v>
      </c>
      <c r="I900" s="2">
        <v>7866.7699999999986</v>
      </c>
      <c r="J900" s="2"/>
      <c r="K900" s="2"/>
      <c r="L900" s="2">
        <v>39734.770000000019</v>
      </c>
      <c r="M900" t="s">
        <v>4400</v>
      </c>
      <c r="N900" t="s">
        <v>4401</v>
      </c>
    </row>
    <row r="901" spans="1:14" x14ac:dyDescent="0.4">
      <c r="A901" t="s">
        <v>2120</v>
      </c>
      <c r="B901" t="s">
        <v>2121</v>
      </c>
      <c r="C901" t="s">
        <v>5</v>
      </c>
      <c r="D901" t="s">
        <v>6</v>
      </c>
      <c r="E901" s="2">
        <v>817.25999999999976</v>
      </c>
      <c r="F901" s="2">
        <v>1955.7699999999998</v>
      </c>
      <c r="G901" s="2"/>
      <c r="H901" s="2"/>
      <c r="I901" s="2"/>
      <c r="J901" s="2"/>
      <c r="K901" s="2"/>
      <c r="L901" s="2">
        <v>2773.0299999999997</v>
      </c>
      <c r="M901" t="s">
        <v>4400</v>
      </c>
      <c r="N901" t="s">
        <v>4410</v>
      </c>
    </row>
    <row r="902" spans="1:14" x14ac:dyDescent="0.4">
      <c r="A902" t="s">
        <v>2122</v>
      </c>
      <c r="B902" t="s">
        <v>2123</v>
      </c>
      <c r="C902" t="s">
        <v>1</v>
      </c>
      <c r="D902" t="s">
        <v>88</v>
      </c>
      <c r="E902" s="2"/>
      <c r="F902" s="2">
        <v>1243.8799999999999</v>
      </c>
      <c r="G902" s="2">
        <v>781.28</v>
      </c>
      <c r="H902" s="2"/>
      <c r="I902" s="2"/>
      <c r="J902" s="2"/>
      <c r="K902" s="2"/>
      <c r="L902" s="2">
        <v>2025.1599999999996</v>
      </c>
      <c r="M902" t="s">
        <v>4412</v>
      </c>
      <c r="N902" t="s">
        <v>4403</v>
      </c>
    </row>
    <row r="903" spans="1:14" x14ac:dyDescent="0.4">
      <c r="A903" t="s">
        <v>2124</v>
      </c>
      <c r="B903" t="s">
        <v>2125</v>
      </c>
      <c r="C903" t="s">
        <v>64</v>
      </c>
      <c r="D903" t="s">
        <v>2126</v>
      </c>
      <c r="E903" s="2">
        <v>2338.8099999999995</v>
      </c>
      <c r="F903" s="2">
        <v>1837.65</v>
      </c>
      <c r="G903" s="2">
        <v>2903.7400000000007</v>
      </c>
      <c r="H903" s="2">
        <v>2827.829999999999</v>
      </c>
      <c r="I903" s="2">
        <v>923.37999999999988</v>
      </c>
      <c r="J903" s="2">
        <v>1804.1999999999996</v>
      </c>
      <c r="K903" s="2"/>
      <c r="L903" s="2">
        <v>12635.609999999979</v>
      </c>
      <c r="M903" t="s">
        <v>4400</v>
      </c>
      <c r="N903" t="s">
        <v>4406</v>
      </c>
    </row>
    <row r="904" spans="1:14" x14ac:dyDescent="0.4">
      <c r="A904" t="s">
        <v>2127</v>
      </c>
      <c r="B904" t="s">
        <v>2128</v>
      </c>
      <c r="C904" t="s">
        <v>64</v>
      </c>
      <c r="D904" t="s">
        <v>708</v>
      </c>
      <c r="E904" s="2">
        <v>3826.7299999999996</v>
      </c>
      <c r="F904" s="2">
        <v>2757.61</v>
      </c>
      <c r="G904" s="2">
        <v>3667.3900000000003</v>
      </c>
      <c r="H904" s="2">
        <v>3775.3299999999986</v>
      </c>
      <c r="I904" s="2">
        <v>2788.4500000000003</v>
      </c>
      <c r="J904" s="2">
        <v>902.06999999999982</v>
      </c>
      <c r="K904" s="2">
        <v>966.31999999999982</v>
      </c>
      <c r="L904" s="2">
        <v>18683.900000000049</v>
      </c>
      <c r="M904" t="s">
        <v>4400</v>
      </c>
      <c r="N904" t="s">
        <v>4400</v>
      </c>
    </row>
    <row r="905" spans="1:14" x14ac:dyDescent="0.4">
      <c r="A905" t="s">
        <v>2129</v>
      </c>
      <c r="B905" t="s">
        <v>2130</v>
      </c>
      <c r="C905" t="s">
        <v>496</v>
      </c>
      <c r="D905" t="s">
        <v>1128</v>
      </c>
      <c r="E905" s="2">
        <v>5661.8199999999988</v>
      </c>
      <c r="F905" s="2">
        <v>5269.96</v>
      </c>
      <c r="G905" s="2">
        <v>6451.5099999999993</v>
      </c>
      <c r="H905" s="2">
        <v>8119.079999999999</v>
      </c>
      <c r="I905" s="2">
        <v>5391.4699999999993</v>
      </c>
      <c r="J905" s="2">
        <v>5397.5499999999984</v>
      </c>
      <c r="K905" s="2">
        <v>4352.6599999999989</v>
      </c>
      <c r="L905" s="2">
        <v>40644.05000000001</v>
      </c>
      <c r="M905" t="s">
        <v>4400</v>
      </c>
      <c r="N905" t="s">
        <v>4400</v>
      </c>
    </row>
    <row r="906" spans="1:14" x14ac:dyDescent="0.4">
      <c r="A906" t="s">
        <v>2131</v>
      </c>
      <c r="B906" t="s">
        <v>2132</v>
      </c>
      <c r="C906" t="s">
        <v>163</v>
      </c>
      <c r="D906" t="s">
        <v>164</v>
      </c>
      <c r="E906" s="2">
        <v>2888.6800000000003</v>
      </c>
      <c r="F906" s="2">
        <v>2888.6800000000003</v>
      </c>
      <c r="G906" s="2">
        <v>3610.8500000000004</v>
      </c>
      <c r="H906" s="2">
        <v>2888.6800000000003</v>
      </c>
      <c r="I906" s="2">
        <v>2883.5400000000004</v>
      </c>
      <c r="J906" s="2">
        <v>2878.4</v>
      </c>
      <c r="K906" s="2">
        <v>719.59999999999991</v>
      </c>
      <c r="L906" s="2">
        <v>18758.430000000084</v>
      </c>
      <c r="M906" t="s">
        <v>4400</v>
      </c>
      <c r="N906" t="s">
        <v>4400</v>
      </c>
    </row>
    <row r="907" spans="1:14" x14ac:dyDescent="0.4">
      <c r="A907" t="s">
        <v>2133</v>
      </c>
      <c r="B907" t="s">
        <v>2134</v>
      </c>
      <c r="C907" t="s">
        <v>186</v>
      </c>
      <c r="D907" t="s">
        <v>1209</v>
      </c>
      <c r="E907" s="2">
        <v>7186.9899999999989</v>
      </c>
      <c r="F907" s="2">
        <v>3256.13</v>
      </c>
      <c r="G907" s="2">
        <v>4027.61</v>
      </c>
      <c r="H907" s="2">
        <v>4255.45</v>
      </c>
      <c r="I907" s="2">
        <v>3067.8100000000009</v>
      </c>
      <c r="J907" s="2">
        <v>3350.29</v>
      </c>
      <c r="K907" s="2">
        <v>1752.5900000000004</v>
      </c>
      <c r="L907" s="2">
        <v>26896.87000000001</v>
      </c>
      <c r="M907" t="s">
        <v>4400</v>
      </c>
      <c r="N907" t="s">
        <v>4400</v>
      </c>
    </row>
    <row r="908" spans="1:14" x14ac:dyDescent="0.4">
      <c r="A908" t="s">
        <v>2135</v>
      </c>
      <c r="B908" t="s">
        <v>239</v>
      </c>
      <c r="C908" t="s">
        <v>240</v>
      </c>
      <c r="D908" t="s">
        <v>241</v>
      </c>
      <c r="E908" s="2">
        <v>3848.53</v>
      </c>
      <c r="F908" s="2">
        <v>4219.0599999999986</v>
      </c>
      <c r="G908" s="2">
        <v>3450.5799999999995</v>
      </c>
      <c r="H908" s="2">
        <v>2466.4599999999991</v>
      </c>
      <c r="I908" s="2">
        <v>2533.2499999999995</v>
      </c>
      <c r="J908" s="2">
        <v>1442.7799999999997</v>
      </c>
      <c r="K908" s="2"/>
      <c r="L908" s="2">
        <v>17960.659999999985</v>
      </c>
      <c r="M908" t="s">
        <v>4400</v>
      </c>
      <c r="N908" t="s">
        <v>4406</v>
      </c>
    </row>
    <row r="909" spans="1:14" x14ac:dyDescent="0.4">
      <c r="A909" t="s">
        <v>2136</v>
      </c>
      <c r="B909" t="s">
        <v>2137</v>
      </c>
      <c r="C909" t="s">
        <v>5</v>
      </c>
      <c r="D909" t="s">
        <v>56</v>
      </c>
      <c r="E909" s="2"/>
      <c r="F909" s="2">
        <v>1767.7399999999998</v>
      </c>
      <c r="G909" s="2">
        <v>2751.8100000000009</v>
      </c>
      <c r="H909" s="2">
        <v>4203.7000000000007</v>
      </c>
      <c r="I909" s="2">
        <v>5953.2099999999991</v>
      </c>
      <c r="J909" s="2">
        <v>4829.4699999999993</v>
      </c>
      <c r="K909" s="2">
        <v>2675.9399999999996</v>
      </c>
      <c r="L909" s="2">
        <v>22181.869999999984</v>
      </c>
      <c r="M909" t="s">
        <v>4412</v>
      </c>
      <c r="N909" t="s">
        <v>4400</v>
      </c>
    </row>
    <row r="910" spans="1:14" x14ac:dyDescent="0.4">
      <c r="A910" t="s">
        <v>2138</v>
      </c>
      <c r="B910" t="s">
        <v>1811</v>
      </c>
      <c r="C910" t="s">
        <v>884</v>
      </c>
      <c r="D910" t="s">
        <v>1666</v>
      </c>
      <c r="E910" s="2"/>
      <c r="F910" s="2"/>
      <c r="G910" s="2"/>
      <c r="H910" s="2">
        <v>896.05</v>
      </c>
      <c r="I910" s="2"/>
      <c r="J910" s="2"/>
      <c r="K910" s="2"/>
      <c r="L910" s="2">
        <v>896.05</v>
      </c>
      <c r="M910" t="s">
        <v>4409</v>
      </c>
      <c r="N910" t="s">
        <v>4402</v>
      </c>
    </row>
    <row r="911" spans="1:14" x14ac:dyDescent="0.4">
      <c r="A911" t="s">
        <v>2139</v>
      </c>
      <c r="B911" t="s">
        <v>2140</v>
      </c>
      <c r="C911" t="s">
        <v>64</v>
      </c>
      <c r="D911" t="s">
        <v>985</v>
      </c>
      <c r="E911" s="2">
        <v>3976.0599999999995</v>
      </c>
      <c r="F911" s="2">
        <v>7147.1499999999951</v>
      </c>
      <c r="G911" s="2">
        <v>8462.2799999999988</v>
      </c>
      <c r="H911" s="2">
        <v>4024.5800000000004</v>
      </c>
      <c r="I911" s="2">
        <v>4316.2</v>
      </c>
      <c r="J911" s="2">
        <v>6667.1599999999953</v>
      </c>
      <c r="K911" s="2">
        <v>1883.2199999999998</v>
      </c>
      <c r="L911" s="2">
        <v>36476.650000000009</v>
      </c>
      <c r="M911" t="s">
        <v>4400</v>
      </c>
      <c r="N911" t="s">
        <v>4400</v>
      </c>
    </row>
    <row r="912" spans="1:14" x14ac:dyDescent="0.4">
      <c r="A912" t="s">
        <v>2141</v>
      </c>
      <c r="B912" t="s">
        <v>2142</v>
      </c>
      <c r="C912" t="s">
        <v>27</v>
      </c>
      <c r="D912" t="s">
        <v>2143</v>
      </c>
      <c r="E912" s="2">
        <v>3805.8799999999997</v>
      </c>
      <c r="F912" s="2">
        <v>3760.3200000000006</v>
      </c>
      <c r="G912" s="2">
        <v>3647.8599999999997</v>
      </c>
      <c r="H912" s="2">
        <v>4288.8100000000013</v>
      </c>
      <c r="I912" s="2">
        <v>3875.7000000000003</v>
      </c>
      <c r="J912" s="2">
        <v>5045.1099999999997</v>
      </c>
      <c r="K912" s="2">
        <v>2028.98</v>
      </c>
      <c r="L912" s="2">
        <v>26452.659999999978</v>
      </c>
      <c r="M912" t="s">
        <v>4400</v>
      </c>
      <c r="N912" t="s">
        <v>4400</v>
      </c>
    </row>
    <row r="913" spans="1:14" x14ac:dyDescent="0.4">
      <c r="A913" t="s">
        <v>2144</v>
      </c>
      <c r="B913" t="s">
        <v>2145</v>
      </c>
      <c r="C913" t="s">
        <v>5</v>
      </c>
      <c r="D913" t="s">
        <v>56</v>
      </c>
      <c r="E913" s="2">
        <v>2916.0099999999998</v>
      </c>
      <c r="F913" s="2">
        <v>3824.1899999999996</v>
      </c>
      <c r="G913" s="2">
        <v>2788.4399999999996</v>
      </c>
      <c r="H913" s="2">
        <v>2426.9500000000003</v>
      </c>
      <c r="I913" s="2">
        <v>1533.9199999999998</v>
      </c>
      <c r="J913" s="2"/>
      <c r="K913" s="2"/>
      <c r="L913" s="2">
        <v>13489.509999999991</v>
      </c>
      <c r="M913" t="s">
        <v>4400</v>
      </c>
      <c r="N913" t="s">
        <v>4401</v>
      </c>
    </row>
    <row r="914" spans="1:14" x14ac:dyDescent="0.4">
      <c r="A914" t="s">
        <v>2146</v>
      </c>
      <c r="B914" t="s">
        <v>2147</v>
      </c>
      <c r="C914" t="s">
        <v>496</v>
      </c>
      <c r="D914" t="s">
        <v>1357</v>
      </c>
      <c r="E914" s="2">
        <v>5364.12</v>
      </c>
      <c r="F914" s="2">
        <v>6600.3399999999983</v>
      </c>
      <c r="G914" s="2">
        <v>5127.2400000000007</v>
      </c>
      <c r="H914" s="2">
        <v>1864.9800000000002</v>
      </c>
      <c r="I914" s="2">
        <v>1840.66</v>
      </c>
      <c r="J914" s="2">
        <v>1767.78</v>
      </c>
      <c r="K914" s="2">
        <v>1840.66</v>
      </c>
      <c r="L914" s="2">
        <v>24405.78000000001</v>
      </c>
      <c r="M914" t="s">
        <v>4400</v>
      </c>
      <c r="N914" t="s">
        <v>4400</v>
      </c>
    </row>
    <row r="915" spans="1:14" x14ac:dyDescent="0.4">
      <c r="A915" t="s">
        <v>2148</v>
      </c>
      <c r="B915" t="s">
        <v>1041</v>
      </c>
      <c r="C915" t="s">
        <v>172</v>
      </c>
      <c r="D915" t="s">
        <v>173</v>
      </c>
      <c r="E915" s="2">
        <v>3529.52</v>
      </c>
      <c r="F915" s="2">
        <v>3295.6</v>
      </c>
      <c r="G915" s="2">
        <v>4218.9900000000007</v>
      </c>
      <c r="H915" s="2">
        <v>2666.86</v>
      </c>
      <c r="I915" s="2">
        <v>3468.7700000000004</v>
      </c>
      <c r="J915" s="2">
        <v>4929.7800000000007</v>
      </c>
      <c r="K915" s="2">
        <v>1755.6299999999997</v>
      </c>
      <c r="L915" s="2">
        <v>23865.149999999936</v>
      </c>
      <c r="M915" t="s">
        <v>4400</v>
      </c>
      <c r="N915" t="s">
        <v>4400</v>
      </c>
    </row>
    <row r="916" spans="1:14" x14ac:dyDescent="0.4">
      <c r="A916" t="s">
        <v>2149</v>
      </c>
      <c r="B916" t="s">
        <v>960</v>
      </c>
      <c r="C916" t="s">
        <v>410</v>
      </c>
      <c r="D916" t="s">
        <v>411</v>
      </c>
      <c r="E916" s="2">
        <v>4048.97</v>
      </c>
      <c r="F916" s="2">
        <v>5403.6899999999978</v>
      </c>
      <c r="G916" s="2">
        <v>9735.0399999999991</v>
      </c>
      <c r="H916" s="2">
        <v>6989.17</v>
      </c>
      <c r="I916" s="2">
        <v>7545.0200000000013</v>
      </c>
      <c r="J916" s="2">
        <v>4064.0999999999995</v>
      </c>
      <c r="K916" s="2">
        <v>2836.98</v>
      </c>
      <c r="L916" s="2">
        <v>40622.969999999958</v>
      </c>
      <c r="M916" t="s">
        <v>4400</v>
      </c>
      <c r="N916" t="s">
        <v>4400</v>
      </c>
    </row>
    <row r="917" spans="1:14" x14ac:dyDescent="0.4">
      <c r="A917" t="s">
        <v>2150</v>
      </c>
      <c r="B917" t="s">
        <v>2151</v>
      </c>
      <c r="C917" t="s">
        <v>13</v>
      </c>
      <c r="D917" t="s">
        <v>14</v>
      </c>
      <c r="E917" s="2">
        <v>8067.43</v>
      </c>
      <c r="F917" s="2">
        <v>6427.2400000000007</v>
      </c>
      <c r="G917" s="2">
        <v>7147.0900000000011</v>
      </c>
      <c r="H917" s="2">
        <v>7046.8900000000012</v>
      </c>
      <c r="I917" s="2">
        <v>8313.4600000000028</v>
      </c>
      <c r="J917" s="2">
        <v>6120.4700000000012</v>
      </c>
      <c r="K917" s="2">
        <v>3268.28</v>
      </c>
      <c r="L917" s="2">
        <v>46390.85999999995</v>
      </c>
      <c r="M917" t="s">
        <v>4400</v>
      </c>
      <c r="N917" t="s">
        <v>4400</v>
      </c>
    </row>
    <row r="918" spans="1:14" x14ac:dyDescent="0.4">
      <c r="A918" t="s">
        <v>2152</v>
      </c>
      <c r="B918" t="s">
        <v>2153</v>
      </c>
      <c r="C918" t="s">
        <v>220</v>
      </c>
      <c r="D918" t="s">
        <v>2154</v>
      </c>
      <c r="E918" s="2">
        <v>1819.56</v>
      </c>
      <c r="F918" s="2">
        <v>2577.7099999999996</v>
      </c>
      <c r="G918" s="2">
        <v>3271.6099999999992</v>
      </c>
      <c r="H918" s="2">
        <v>3716.2199999999993</v>
      </c>
      <c r="I918" s="2">
        <v>3317.8700000000003</v>
      </c>
      <c r="J918" s="2">
        <v>4222.5100000000011</v>
      </c>
      <c r="K918" s="2">
        <v>1660.2199999999996</v>
      </c>
      <c r="L918" s="2">
        <v>20585.700000000092</v>
      </c>
      <c r="M918" t="s">
        <v>4400</v>
      </c>
      <c r="N918" t="s">
        <v>4400</v>
      </c>
    </row>
    <row r="919" spans="1:14" x14ac:dyDescent="0.4">
      <c r="A919" t="s">
        <v>2155</v>
      </c>
      <c r="B919" t="s">
        <v>1211</v>
      </c>
      <c r="C919" t="s">
        <v>64</v>
      </c>
      <c r="D919" t="s">
        <v>2089</v>
      </c>
      <c r="E919" s="2">
        <v>3550.6600000000008</v>
      </c>
      <c r="F919" s="2">
        <v>1272.67</v>
      </c>
      <c r="G919" s="2">
        <v>2035.04</v>
      </c>
      <c r="H919" s="2">
        <v>1998.5700000000002</v>
      </c>
      <c r="I919" s="2">
        <v>4452.7700000000004</v>
      </c>
      <c r="J919" s="2">
        <v>4619.92</v>
      </c>
      <c r="K919" s="2">
        <v>2636.4900000000002</v>
      </c>
      <c r="L919" s="2">
        <v>20566.119999999995</v>
      </c>
      <c r="M919" t="s">
        <v>4400</v>
      </c>
      <c r="N919" t="s">
        <v>4400</v>
      </c>
    </row>
    <row r="920" spans="1:14" x14ac:dyDescent="0.4">
      <c r="A920" t="s">
        <v>2156</v>
      </c>
      <c r="B920" t="s">
        <v>2157</v>
      </c>
      <c r="C920" t="s">
        <v>199</v>
      </c>
      <c r="D920" t="s">
        <v>214</v>
      </c>
      <c r="E920" s="2">
        <v>3805.85</v>
      </c>
      <c r="F920" s="2">
        <v>3359.3999999999978</v>
      </c>
      <c r="G920" s="2">
        <v>1524.8100000000002</v>
      </c>
      <c r="H920" s="2"/>
      <c r="I920" s="2"/>
      <c r="J920" s="2"/>
      <c r="K920" s="2"/>
      <c r="L920" s="2">
        <v>8690.0599999999977</v>
      </c>
      <c r="M920" t="s">
        <v>4400</v>
      </c>
      <c r="N920" t="s">
        <v>4403</v>
      </c>
    </row>
    <row r="921" spans="1:14" x14ac:dyDescent="0.4">
      <c r="A921" t="s">
        <v>2158</v>
      </c>
      <c r="B921" t="s">
        <v>1920</v>
      </c>
      <c r="C921" t="s">
        <v>78</v>
      </c>
      <c r="D921" t="s">
        <v>907</v>
      </c>
      <c r="E921" s="2"/>
      <c r="F921" s="2">
        <v>771.49999999999989</v>
      </c>
      <c r="G921" s="2">
        <v>744.18000000000006</v>
      </c>
      <c r="H921" s="2">
        <v>732.03000000000009</v>
      </c>
      <c r="I921" s="2">
        <v>1901.41</v>
      </c>
      <c r="J921" s="2">
        <v>1546.05</v>
      </c>
      <c r="K921" s="2"/>
      <c r="L921" s="2">
        <v>5695.1699999999973</v>
      </c>
      <c r="M921" t="s">
        <v>4412</v>
      </c>
      <c r="N921" t="s">
        <v>4406</v>
      </c>
    </row>
    <row r="922" spans="1:14" x14ac:dyDescent="0.4">
      <c r="A922" t="s">
        <v>2159</v>
      </c>
      <c r="B922" t="s">
        <v>2160</v>
      </c>
      <c r="C922" t="s">
        <v>163</v>
      </c>
      <c r="D922" t="s">
        <v>164</v>
      </c>
      <c r="E922" s="2">
        <v>1706.98</v>
      </c>
      <c r="F922" s="2">
        <v>3149.7400000000002</v>
      </c>
      <c r="G922" s="2">
        <v>3225.7300000000005</v>
      </c>
      <c r="H922" s="2">
        <v>3149.75</v>
      </c>
      <c r="I922" s="2">
        <v>2196</v>
      </c>
      <c r="J922" s="2">
        <v>2967.5000000000005</v>
      </c>
      <c r="K922" s="2">
        <v>1105.5999999999999</v>
      </c>
      <c r="L922" s="2">
        <v>17501.299999999981</v>
      </c>
      <c r="M922" t="s">
        <v>4400</v>
      </c>
      <c r="N922" t="s">
        <v>4400</v>
      </c>
    </row>
    <row r="923" spans="1:14" x14ac:dyDescent="0.4">
      <c r="A923" t="s">
        <v>2161</v>
      </c>
      <c r="B923" t="s">
        <v>2162</v>
      </c>
      <c r="C923" t="s">
        <v>5</v>
      </c>
      <c r="D923" t="s">
        <v>1354</v>
      </c>
      <c r="E923" s="2">
        <v>4024.5799999999995</v>
      </c>
      <c r="F923" s="2">
        <v>4337.4399999999987</v>
      </c>
      <c r="G923" s="2">
        <v>3565.9000000000005</v>
      </c>
      <c r="H923" s="2">
        <v>2114.0300000000002</v>
      </c>
      <c r="I923" s="2">
        <v>850.4799999999999</v>
      </c>
      <c r="J923" s="2"/>
      <c r="K923" s="2">
        <v>1631.1100000000001</v>
      </c>
      <c r="L923" s="2">
        <v>16523.539999999979</v>
      </c>
      <c r="M923" t="s">
        <v>4400</v>
      </c>
      <c r="N923" t="s">
        <v>4400</v>
      </c>
    </row>
    <row r="924" spans="1:14" x14ac:dyDescent="0.4">
      <c r="A924" t="s">
        <v>2163</v>
      </c>
      <c r="B924" t="s">
        <v>2164</v>
      </c>
      <c r="C924" t="s">
        <v>64</v>
      </c>
      <c r="D924" t="s">
        <v>2165</v>
      </c>
      <c r="E924" s="2">
        <v>1459.76</v>
      </c>
      <c r="F924" s="2">
        <v>2207.6299999999997</v>
      </c>
      <c r="G924" s="2">
        <v>2210.1999999999994</v>
      </c>
      <c r="H924" s="2">
        <v>1482.8899999999999</v>
      </c>
      <c r="I924" s="2">
        <v>1475.1799999999998</v>
      </c>
      <c r="J924" s="2">
        <v>2181.9299999999994</v>
      </c>
      <c r="K924" s="2">
        <v>1457.1899999999996</v>
      </c>
      <c r="L924" s="2">
        <v>12474.78000000001</v>
      </c>
      <c r="M924" t="s">
        <v>4400</v>
      </c>
      <c r="N924" t="s">
        <v>4400</v>
      </c>
    </row>
    <row r="925" spans="1:14" x14ac:dyDescent="0.4">
      <c r="A925" t="s">
        <v>2166</v>
      </c>
      <c r="B925" t="s">
        <v>2167</v>
      </c>
      <c r="C925" t="s">
        <v>64</v>
      </c>
      <c r="D925" t="s">
        <v>2126</v>
      </c>
      <c r="E925" s="2">
        <v>4160.829999999999</v>
      </c>
      <c r="F925" s="2">
        <v>2616.2599999999998</v>
      </c>
      <c r="G925" s="2">
        <v>806.98</v>
      </c>
      <c r="H925" s="2"/>
      <c r="I925" s="2"/>
      <c r="J925" s="2"/>
      <c r="K925" s="2"/>
      <c r="L925" s="2">
        <v>7584.0700000000097</v>
      </c>
      <c r="M925" t="s">
        <v>4400</v>
      </c>
      <c r="N925" t="s">
        <v>4403</v>
      </c>
    </row>
    <row r="926" spans="1:14" x14ac:dyDescent="0.4">
      <c r="A926" t="s">
        <v>2168</v>
      </c>
      <c r="B926" t="s">
        <v>2169</v>
      </c>
      <c r="C926" t="s">
        <v>96</v>
      </c>
      <c r="D926" t="s">
        <v>2170</v>
      </c>
      <c r="E926" s="2">
        <v>2545.37</v>
      </c>
      <c r="F926" s="2">
        <v>1734.36</v>
      </c>
      <c r="G926" s="2"/>
      <c r="H926" s="2">
        <v>7007.3199999999979</v>
      </c>
      <c r="I926" s="2">
        <v>3693.52</v>
      </c>
      <c r="J926" s="2">
        <v>956.78999999999974</v>
      </c>
      <c r="K926" s="2">
        <v>987.17000000000007</v>
      </c>
      <c r="L926" s="2">
        <v>16924.529999999988</v>
      </c>
      <c r="M926" t="s">
        <v>4400</v>
      </c>
      <c r="N926" t="s">
        <v>4400</v>
      </c>
    </row>
    <row r="927" spans="1:14" x14ac:dyDescent="0.4">
      <c r="A927" t="s">
        <v>2171</v>
      </c>
      <c r="B927" t="s">
        <v>2172</v>
      </c>
      <c r="C927" t="s">
        <v>64</v>
      </c>
      <c r="D927" t="s">
        <v>985</v>
      </c>
      <c r="E927" s="2">
        <v>4780.8899999999994</v>
      </c>
      <c r="F927" s="2">
        <v>1491.3799999999999</v>
      </c>
      <c r="G927" s="2">
        <v>3383.6699999999996</v>
      </c>
      <c r="H927" s="2">
        <v>4595.6499999999987</v>
      </c>
      <c r="I927" s="2">
        <v>5965.4799999999968</v>
      </c>
      <c r="J927" s="2">
        <v>5446.0799999999981</v>
      </c>
      <c r="K927" s="2">
        <v>2909.8499999999995</v>
      </c>
      <c r="L927" s="2">
        <v>28572.999999999993</v>
      </c>
      <c r="M927" t="s">
        <v>4400</v>
      </c>
      <c r="N927" t="s">
        <v>4400</v>
      </c>
    </row>
    <row r="928" spans="1:14" x14ac:dyDescent="0.4">
      <c r="A928" t="s">
        <v>2173</v>
      </c>
      <c r="B928" t="s">
        <v>2174</v>
      </c>
      <c r="C928" t="s">
        <v>359</v>
      </c>
      <c r="D928" t="s">
        <v>2175</v>
      </c>
      <c r="E928" s="2">
        <v>3751.3200000000006</v>
      </c>
      <c r="F928" s="2">
        <v>3903.22</v>
      </c>
      <c r="G928" s="2">
        <v>3253.2</v>
      </c>
      <c r="H928" s="2">
        <v>4583.55</v>
      </c>
      <c r="I928" s="2">
        <v>3237.9599999999996</v>
      </c>
      <c r="J928" s="2">
        <v>3131.64</v>
      </c>
      <c r="K928" s="2">
        <v>1612.93</v>
      </c>
      <c r="L928" s="2">
        <v>23473.819999999996</v>
      </c>
      <c r="M928" t="s">
        <v>4400</v>
      </c>
      <c r="N928" t="s">
        <v>4400</v>
      </c>
    </row>
    <row r="929" spans="1:14" x14ac:dyDescent="0.4">
      <c r="A929" t="s">
        <v>2176</v>
      </c>
      <c r="B929" t="s">
        <v>2177</v>
      </c>
      <c r="C929" t="s">
        <v>64</v>
      </c>
      <c r="D929" t="s">
        <v>1560</v>
      </c>
      <c r="E929" s="2">
        <v>6849.3499999999949</v>
      </c>
      <c r="F929" s="2">
        <v>7323.1299999999947</v>
      </c>
      <c r="G929" s="2">
        <v>6533.4599999999955</v>
      </c>
      <c r="H929" s="2">
        <v>7250.2899999999972</v>
      </c>
      <c r="I929" s="2">
        <v>7672.4799999999987</v>
      </c>
      <c r="J929" s="2">
        <v>6275.2999999999984</v>
      </c>
      <c r="K929" s="2">
        <v>4097.47</v>
      </c>
      <c r="L929" s="2">
        <v>46001.480000000047</v>
      </c>
      <c r="M929" t="s">
        <v>4400</v>
      </c>
      <c r="N929" t="s">
        <v>4400</v>
      </c>
    </row>
    <row r="930" spans="1:14" x14ac:dyDescent="0.4">
      <c r="A930" t="s">
        <v>2178</v>
      </c>
      <c r="B930" t="s">
        <v>2179</v>
      </c>
      <c r="C930" t="s">
        <v>123</v>
      </c>
      <c r="D930" t="s">
        <v>1025</v>
      </c>
      <c r="E930" s="2">
        <v>4768.9199999999992</v>
      </c>
      <c r="F930" s="2">
        <v>3174.1700000000005</v>
      </c>
      <c r="G930" s="2">
        <v>4650.3500000000004</v>
      </c>
      <c r="H930" s="2">
        <v>4829.579999999999</v>
      </c>
      <c r="I930" s="2">
        <v>4273.72</v>
      </c>
      <c r="J930" s="2">
        <v>3353.3699999999994</v>
      </c>
      <c r="K930" s="2">
        <v>2259.8799999999997</v>
      </c>
      <c r="L930" s="2">
        <v>27309.989999999991</v>
      </c>
      <c r="M930" t="s">
        <v>4400</v>
      </c>
      <c r="N930" t="s">
        <v>4400</v>
      </c>
    </row>
    <row r="931" spans="1:14" x14ac:dyDescent="0.4">
      <c r="A931" t="s">
        <v>2180</v>
      </c>
      <c r="B931" t="s">
        <v>2181</v>
      </c>
      <c r="C931" t="s">
        <v>9</v>
      </c>
      <c r="D931" t="s">
        <v>45</v>
      </c>
      <c r="E931" s="2"/>
      <c r="F931" s="2">
        <v>765.42</v>
      </c>
      <c r="G931" s="2">
        <v>2423.8799999999997</v>
      </c>
      <c r="H931" s="2">
        <v>2518.0299999999988</v>
      </c>
      <c r="I931" s="2">
        <v>2727.5899999999992</v>
      </c>
      <c r="J931" s="2">
        <v>2615.2499999999986</v>
      </c>
      <c r="K931" s="2">
        <v>1737.4199999999998</v>
      </c>
      <c r="L931" s="2">
        <v>12787.589999999998</v>
      </c>
      <c r="M931" t="s">
        <v>4412</v>
      </c>
      <c r="N931" t="s">
        <v>4400</v>
      </c>
    </row>
    <row r="932" spans="1:14" x14ac:dyDescent="0.4">
      <c r="A932" t="s">
        <v>2182</v>
      </c>
      <c r="B932" t="s">
        <v>2183</v>
      </c>
      <c r="C932" t="s">
        <v>113</v>
      </c>
      <c r="D932" t="s">
        <v>1065</v>
      </c>
      <c r="E932" s="2">
        <v>6065.9199999999973</v>
      </c>
      <c r="F932" s="2">
        <v>4085.4700000000003</v>
      </c>
      <c r="G932" s="2">
        <v>4313.3</v>
      </c>
      <c r="H932" s="2">
        <v>5901.8799999999992</v>
      </c>
      <c r="I932" s="2">
        <v>5315.6100000000006</v>
      </c>
      <c r="J932" s="2">
        <v>5017.99</v>
      </c>
      <c r="K932" s="2">
        <v>2691.25</v>
      </c>
      <c r="L932" s="2">
        <v>33391.419999999991</v>
      </c>
      <c r="M932" t="s">
        <v>4400</v>
      </c>
      <c r="N932" t="s">
        <v>4400</v>
      </c>
    </row>
    <row r="933" spans="1:14" x14ac:dyDescent="0.4">
      <c r="A933" t="s">
        <v>2184</v>
      </c>
      <c r="B933" t="s">
        <v>2185</v>
      </c>
      <c r="C933" t="s">
        <v>178</v>
      </c>
      <c r="D933" t="s">
        <v>179</v>
      </c>
      <c r="E933" s="2">
        <v>2264.1699999999996</v>
      </c>
      <c r="F933" s="2">
        <v>2958.0699999999993</v>
      </c>
      <c r="G933" s="2">
        <v>3698.2299999999996</v>
      </c>
      <c r="H933" s="2">
        <v>1655.0800000000002</v>
      </c>
      <c r="I933" s="2">
        <v>817.25999999999988</v>
      </c>
      <c r="J933" s="2">
        <v>3179.0900000000006</v>
      </c>
      <c r="K933" s="2">
        <v>1495.74</v>
      </c>
      <c r="L933" s="2">
        <v>16067.639999999998</v>
      </c>
      <c r="M933" t="s">
        <v>4400</v>
      </c>
      <c r="N933" t="s">
        <v>4400</v>
      </c>
    </row>
    <row r="934" spans="1:14" x14ac:dyDescent="0.4">
      <c r="A934" t="s">
        <v>2186</v>
      </c>
      <c r="B934" t="s">
        <v>2187</v>
      </c>
      <c r="C934" t="s">
        <v>199</v>
      </c>
      <c r="D934" t="s">
        <v>727</v>
      </c>
      <c r="E934" s="2">
        <v>4271.3399999999992</v>
      </c>
      <c r="F934" s="2">
        <v>4014.3399999999988</v>
      </c>
      <c r="G934" s="2">
        <v>5163.130000000001</v>
      </c>
      <c r="H934" s="2">
        <v>4129.9899999999989</v>
      </c>
      <c r="I934" s="2">
        <v>4196.8099999999986</v>
      </c>
      <c r="J934" s="2">
        <v>3955.2299999999991</v>
      </c>
      <c r="K934" s="2">
        <v>1935.2099999999998</v>
      </c>
      <c r="L934" s="2">
        <v>27666.050000000047</v>
      </c>
      <c r="M934" t="s">
        <v>4400</v>
      </c>
      <c r="N934" t="s">
        <v>4400</v>
      </c>
    </row>
    <row r="935" spans="1:14" x14ac:dyDescent="0.4">
      <c r="A935" t="s">
        <v>2188</v>
      </c>
      <c r="B935" t="s">
        <v>1155</v>
      </c>
      <c r="C935" t="s">
        <v>303</v>
      </c>
      <c r="D935" t="s">
        <v>2189</v>
      </c>
      <c r="E935" s="2">
        <v>2940.2899999999995</v>
      </c>
      <c r="F935" s="2">
        <v>3344.2499999999995</v>
      </c>
      <c r="G935" s="2">
        <v>3450.5699999999997</v>
      </c>
      <c r="H935" s="2">
        <v>3508.29</v>
      </c>
      <c r="I935" s="2">
        <v>807.98</v>
      </c>
      <c r="J935" s="2">
        <v>1543.04</v>
      </c>
      <c r="K935" s="2">
        <v>1512.6599999999999</v>
      </c>
      <c r="L935" s="2">
        <v>17107.079999999976</v>
      </c>
      <c r="M935" t="s">
        <v>4400</v>
      </c>
      <c r="N935" t="s">
        <v>4400</v>
      </c>
    </row>
    <row r="936" spans="1:14" x14ac:dyDescent="0.4">
      <c r="A936" t="s">
        <v>2190</v>
      </c>
      <c r="B936" t="s">
        <v>2191</v>
      </c>
      <c r="C936" t="s">
        <v>244</v>
      </c>
      <c r="D936" t="s">
        <v>248</v>
      </c>
      <c r="E936" s="2">
        <v>1139.04</v>
      </c>
      <c r="F936" s="2">
        <v>1096.51</v>
      </c>
      <c r="G936" s="2">
        <v>2059.38</v>
      </c>
      <c r="H936" s="2">
        <v>2074.6000000000004</v>
      </c>
      <c r="I936" s="2">
        <v>1023.6299999999999</v>
      </c>
      <c r="J936" s="2">
        <v>2041.18</v>
      </c>
      <c r="K936" s="2">
        <v>1017.55</v>
      </c>
      <c r="L936" s="2">
        <v>10451.889999999994</v>
      </c>
      <c r="M936" t="s">
        <v>4400</v>
      </c>
      <c r="N936" t="s">
        <v>4400</v>
      </c>
    </row>
    <row r="937" spans="1:14" x14ac:dyDescent="0.4">
      <c r="A937" t="s">
        <v>2192</v>
      </c>
      <c r="B937" t="s">
        <v>2193</v>
      </c>
      <c r="C937" t="s">
        <v>163</v>
      </c>
      <c r="D937" t="s">
        <v>164</v>
      </c>
      <c r="E937" s="2"/>
      <c r="F937" s="2"/>
      <c r="G937" s="2">
        <v>1497.4799999999998</v>
      </c>
      <c r="H937" s="2">
        <v>738.09</v>
      </c>
      <c r="I937" s="2">
        <v>732.02999999999986</v>
      </c>
      <c r="J937" s="2">
        <v>1457.9799999999998</v>
      </c>
      <c r="K937" s="2">
        <v>765.44</v>
      </c>
      <c r="L937" s="2">
        <v>5191.0199999999977</v>
      </c>
      <c r="M937" t="s">
        <v>4411</v>
      </c>
      <c r="N937" t="s">
        <v>4400</v>
      </c>
    </row>
    <row r="938" spans="1:14" x14ac:dyDescent="0.4">
      <c r="A938" t="s">
        <v>2194</v>
      </c>
      <c r="B938" t="s">
        <v>2195</v>
      </c>
      <c r="C938" t="s">
        <v>113</v>
      </c>
      <c r="D938" t="s">
        <v>615</v>
      </c>
      <c r="E938" s="2">
        <v>2606.1200000000008</v>
      </c>
      <c r="F938" s="2">
        <v>756.32</v>
      </c>
      <c r="G938" s="2">
        <v>2390.4700000000003</v>
      </c>
      <c r="H938" s="2">
        <v>2296.3000000000002</v>
      </c>
      <c r="I938" s="2"/>
      <c r="J938" s="2">
        <v>1533.89</v>
      </c>
      <c r="K938" s="2">
        <v>826.17999999999984</v>
      </c>
      <c r="L938" s="2">
        <v>10409.279999999981</v>
      </c>
      <c r="M938" t="s">
        <v>4400</v>
      </c>
      <c r="N938" t="s">
        <v>4400</v>
      </c>
    </row>
    <row r="939" spans="1:14" x14ac:dyDescent="0.4">
      <c r="A939" t="s">
        <v>2196</v>
      </c>
      <c r="B939" t="s">
        <v>2197</v>
      </c>
      <c r="C939" t="s">
        <v>113</v>
      </c>
      <c r="D939" t="s">
        <v>1065</v>
      </c>
      <c r="E939" s="2">
        <v>4638.1900000000005</v>
      </c>
      <c r="F939" s="2">
        <v>4683.7300000000005</v>
      </c>
      <c r="G939" s="2">
        <v>2639.54</v>
      </c>
      <c r="H939" s="2">
        <v>5655.7200000000012</v>
      </c>
      <c r="I939" s="2">
        <v>4325.2900000000009</v>
      </c>
      <c r="J939" s="2">
        <v>4513.6400000000012</v>
      </c>
      <c r="K939" s="2">
        <v>2284.1499999999996</v>
      </c>
      <c r="L939" s="2">
        <v>28740.25999999998</v>
      </c>
      <c r="M939" t="s">
        <v>4400</v>
      </c>
      <c r="N939" t="s">
        <v>4400</v>
      </c>
    </row>
    <row r="940" spans="1:14" x14ac:dyDescent="0.4">
      <c r="A940" t="s">
        <v>2198</v>
      </c>
      <c r="B940" t="s">
        <v>2199</v>
      </c>
      <c r="C940" t="s">
        <v>35</v>
      </c>
      <c r="D940" t="s">
        <v>36</v>
      </c>
      <c r="E940" s="2">
        <v>4854.7299999999996</v>
      </c>
      <c r="F940" s="2">
        <v>5209.3900000000012</v>
      </c>
      <c r="G940" s="2">
        <v>4438.3899999999985</v>
      </c>
      <c r="H940" s="2">
        <v>4428.1099999999997</v>
      </c>
      <c r="I940" s="2">
        <v>5258.2199999999993</v>
      </c>
      <c r="J940" s="2">
        <v>5247.9400000000023</v>
      </c>
      <c r="K940" s="2">
        <v>3048.0199999999986</v>
      </c>
      <c r="L940" s="2">
        <v>32484.800000000025</v>
      </c>
      <c r="M940" t="s">
        <v>4400</v>
      </c>
      <c r="N940" t="s">
        <v>4400</v>
      </c>
    </row>
    <row r="941" spans="1:14" x14ac:dyDescent="0.4">
      <c r="A941" t="s">
        <v>2200</v>
      </c>
      <c r="B941" t="s">
        <v>2201</v>
      </c>
      <c r="C941" t="s">
        <v>35</v>
      </c>
      <c r="D941" t="s">
        <v>36</v>
      </c>
      <c r="E941" s="2"/>
      <c r="F941" s="2"/>
      <c r="G941" s="2"/>
      <c r="H941" s="2">
        <v>847.44</v>
      </c>
      <c r="I941" s="2">
        <v>2672.95</v>
      </c>
      <c r="J941" s="2">
        <v>1722.2399999999998</v>
      </c>
      <c r="K941" s="2">
        <v>1597.77</v>
      </c>
      <c r="L941" s="2">
        <v>6840.3999999999987</v>
      </c>
      <c r="M941" t="s">
        <v>4409</v>
      </c>
      <c r="N941" t="s">
        <v>4400</v>
      </c>
    </row>
    <row r="942" spans="1:14" x14ac:dyDescent="0.4">
      <c r="A942" t="s">
        <v>2202</v>
      </c>
      <c r="B942" t="s">
        <v>2203</v>
      </c>
      <c r="C942" t="s">
        <v>113</v>
      </c>
      <c r="D942" t="s">
        <v>615</v>
      </c>
      <c r="E942" s="2">
        <v>3933.4399999999996</v>
      </c>
      <c r="F942" s="2">
        <v>3180.17</v>
      </c>
      <c r="G942" s="2">
        <v>3748.1499999999996</v>
      </c>
      <c r="H942" s="2">
        <v>3690.4299999999994</v>
      </c>
      <c r="I942" s="2">
        <v>4531.8500000000004</v>
      </c>
      <c r="J942" s="2">
        <v>3529.4899999999989</v>
      </c>
      <c r="K942" s="2">
        <v>1849.7899999999997</v>
      </c>
      <c r="L942" s="2">
        <v>24463.319999999996</v>
      </c>
      <c r="M942" t="s">
        <v>4400</v>
      </c>
      <c r="N942" t="s">
        <v>4400</v>
      </c>
    </row>
    <row r="943" spans="1:14" x14ac:dyDescent="0.4">
      <c r="A943" t="s">
        <v>2204</v>
      </c>
      <c r="B943" t="s">
        <v>2205</v>
      </c>
      <c r="C943" t="s">
        <v>1</v>
      </c>
      <c r="D943" t="s">
        <v>1030</v>
      </c>
      <c r="E943" s="2"/>
      <c r="F943" s="2"/>
      <c r="G943" s="2"/>
      <c r="H943" s="2"/>
      <c r="I943" s="2"/>
      <c r="J943" s="2">
        <v>3328.1499999999996</v>
      </c>
      <c r="K943" s="2"/>
      <c r="L943" s="2">
        <v>3328.1499999999996</v>
      </c>
      <c r="M943" t="s">
        <v>4405</v>
      </c>
      <c r="N943" t="s">
        <v>4406</v>
      </c>
    </row>
    <row r="944" spans="1:14" x14ac:dyDescent="0.4">
      <c r="A944" t="s">
        <v>2206</v>
      </c>
      <c r="B944" t="s">
        <v>620</v>
      </c>
      <c r="C944" t="s">
        <v>791</v>
      </c>
      <c r="D944" t="s">
        <v>792</v>
      </c>
      <c r="E944" s="2">
        <v>3216.66</v>
      </c>
      <c r="F944" s="2">
        <v>4170.41</v>
      </c>
      <c r="G944" s="2">
        <v>3216.66</v>
      </c>
      <c r="H944" s="2">
        <v>6202.4800000000005</v>
      </c>
      <c r="I944" s="2">
        <v>3143.76</v>
      </c>
      <c r="J944" s="2">
        <v>4987.59</v>
      </c>
      <c r="K944" s="2">
        <v>1937.94</v>
      </c>
      <c r="L944" s="2">
        <v>26875.500000000004</v>
      </c>
      <c r="M944" t="s">
        <v>4400</v>
      </c>
      <c r="N944" t="s">
        <v>4400</v>
      </c>
    </row>
    <row r="945" spans="1:14" x14ac:dyDescent="0.4">
      <c r="A945" t="s">
        <v>2207</v>
      </c>
      <c r="B945" t="s">
        <v>2208</v>
      </c>
      <c r="C945" t="s">
        <v>123</v>
      </c>
      <c r="D945" t="s">
        <v>124</v>
      </c>
      <c r="E945" s="2">
        <v>4598.6199999999981</v>
      </c>
      <c r="F945" s="2">
        <v>3010.0699999999997</v>
      </c>
      <c r="G945" s="2">
        <v>2514.9699999999998</v>
      </c>
      <c r="H945" s="2">
        <v>3921.31</v>
      </c>
      <c r="I945" s="2">
        <v>5537.199999999998</v>
      </c>
      <c r="J945" s="2">
        <v>4641.1599999999989</v>
      </c>
      <c r="K945" s="2">
        <v>1868.0099999999998</v>
      </c>
      <c r="L945" s="2">
        <v>26091.340000000011</v>
      </c>
      <c r="M945" t="s">
        <v>4400</v>
      </c>
      <c r="N945" t="s">
        <v>4400</v>
      </c>
    </row>
    <row r="946" spans="1:14" x14ac:dyDescent="0.4">
      <c r="A946" t="s">
        <v>2209</v>
      </c>
      <c r="B946" t="s">
        <v>2210</v>
      </c>
      <c r="C946" t="s">
        <v>178</v>
      </c>
      <c r="D946" t="s">
        <v>1228</v>
      </c>
      <c r="E946" s="2"/>
      <c r="F946" s="2"/>
      <c r="G946" s="2"/>
      <c r="H946" s="2"/>
      <c r="I946" s="2">
        <v>1646.33</v>
      </c>
      <c r="J946" s="2"/>
      <c r="K946" s="2"/>
      <c r="L946" s="2">
        <v>1646.33</v>
      </c>
      <c r="M946" t="s">
        <v>4408</v>
      </c>
      <c r="N946" t="s">
        <v>4401</v>
      </c>
    </row>
    <row r="947" spans="1:14" x14ac:dyDescent="0.4">
      <c r="A947" t="s">
        <v>2211</v>
      </c>
      <c r="B947" t="s">
        <v>2212</v>
      </c>
      <c r="C947" t="s">
        <v>291</v>
      </c>
      <c r="D947" t="s">
        <v>295</v>
      </c>
      <c r="E947" s="2">
        <v>4313.38</v>
      </c>
      <c r="F947" s="2">
        <v>2985.9</v>
      </c>
      <c r="G947" s="2">
        <v>2187.06</v>
      </c>
      <c r="H947" s="2">
        <v>3228.89</v>
      </c>
      <c r="I947" s="2">
        <v>2916.08</v>
      </c>
      <c r="J947" s="2">
        <v>4592.88</v>
      </c>
      <c r="K947" s="2">
        <v>1148.22</v>
      </c>
      <c r="L947" s="2">
        <v>21372.410000000007</v>
      </c>
      <c r="M947" t="s">
        <v>4400</v>
      </c>
      <c r="N947" t="s">
        <v>4400</v>
      </c>
    </row>
    <row r="948" spans="1:14" x14ac:dyDescent="0.4">
      <c r="A948" t="s">
        <v>2213</v>
      </c>
      <c r="B948" t="s">
        <v>2214</v>
      </c>
      <c r="C948" t="s">
        <v>310</v>
      </c>
      <c r="D948" t="s">
        <v>314</v>
      </c>
      <c r="E948" s="2">
        <v>2338.7999999999997</v>
      </c>
      <c r="F948" s="2">
        <v>1336.4499999999998</v>
      </c>
      <c r="G948" s="2">
        <v>1321.2499999999998</v>
      </c>
      <c r="H948" s="2">
        <v>2217.2999999999997</v>
      </c>
      <c r="I948" s="2">
        <v>2460.2999999999997</v>
      </c>
      <c r="J948" s="2">
        <v>2111.0500000000002</v>
      </c>
      <c r="K948" s="2"/>
      <c r="L948" s="2">
        <v>11785.150000000003</v>
      </c>
      <c r="M948" t="s">
        <v>4400</v>
      </c>
      <c r="N948" t="s">
        <v>4406</v>
      </c>
    </row>
    <row r="949" spans="1:14" x14ac:dyDescent="0.4">
      <c r="A949" t="s">
        <v>2215</v>
      </c>
      <c r="B949" t="s">
        <v>2216</v>
      </c>
      <c r="C949" t="s">
        <v>64</v>
      </c>
      <c r="D949" t="s">
        <v>545</v>
      </c>
      <c r="E949" s="2"/>
      <c r="F949" s="2"/>
      <c r="G949" s="2"/>
      <c r="H949" s="2">
        <v>1360.81</v>
      </c>
      <c r="I949" s="2">
        <v>2730.7700000000004</v>
      </c>
      <c r="J949" s="2">
        <v>1187.6500000000001</v>
      </c>
      <c r="K949" s="2"/>
      <c r="L949" s="2">
        <v>5279.23</v>
      </c>
      <c r="M949" t="s">
        <v>4409</v>
      </c>
      <c r="N949" t="s">
        <v>4406</v>
      </c>
    </row>
    <row r="950" spans="1:14" x14ac:dyDescent="0.4">
      <c r="A950" t="s">
        <v>2217</v>
      </c>
      <c r="B950" t="s">
        <v>2218</v>
      </c>
      <c r="C950" t="s">
        <v>52</v>
      </c>
      <c r="D950" t="s">
        <v>53</v>
      </c>
      <c r="E950" s="2">
        <v>6494.1799999999994</v>
      </c>
      <c r="F950" s="2">
        <v>5522.1099999999988</v>
      </c>
      <c r="G950" s="2">
        <v>7973.3</v>
      </c>
      <c r="H950" s="2">
        <v>6314.829999999999</v>
      </c>
      <c r="I950" s="2">
        <v>7231.9800000000014</v>
      </c>
      <c r="J950" s="2">
        <v>4561.7500000000009</v>
      </c>
      <c r="K950" s="2">
        <v>1788.72</v>
      </c>
      <c r="L950" s="2">
        <v>39886.869999999988</v>
      </c>
      <c r="M950" t="s">
        <v>4400</v>
      </c>
      <c r="N950" t="s">
        <v>4400</v>
      </c>
    </row>
    <row r="951" spans="1:14" x14ac:dyDescent="0.4">
      <c r="A951" t="s">
        <v>2219</v>
      </c>
      <c r="B951" t="s">
        <v>2220</v>
      </c>
      <c r="C951" t="s">
        <v>64</v>
      </c>
      <c r="D951" t="s">
        <v>1560</v>
      </c>
      <c r="E951" s="2">
        <v>6660.96</v>
      </c>
      <c r="F951" s="2">
        <v>6715.609999999996</v>
      </c>
      <c r="G951" s="2">
        <v>7317.0199999999986</v>
      </c>
      <c r="H951" s="2">
        <v>7620.7599999999948</v>
      </c>
      <c r="I951" s="2">
        <v>7353.4599999999973</v>
      </c>
      <c r="J951" s="2">
        <v>6506.0599999999977</v>
      </c>
      <c r="K951" s="2">
        <v>3647.9000000000005</v>
      </c>
      <c r="L951" s="2">
        <v>45821.77000000004</v>
      </c>
      <c r="M951" t="s">
        <v>4400</v>
      </c>
      <c r="N951" t="s">
        <v>4400</v>
      </c>
    </row>
    <row r="952" spans="1:14" x14ac:dyDescent="0.4">
      <c r="A952" t="s">
        <v>2221</v>
      </c>
      <c r="B952" t="s">
        <v>2222</v>
      </c>
      <c r="C952" t="s">
        <v>64</v>
      </c>
      <c r="D952" t="s">
        <v>2223</v>
      </c>
      <c r="E952" s="2"/>
      <c r="F952" s="2">
        <v>1029.6899999999998</v>
      </c>
      <c r="G952" s="2"/>
      <c r="H952" s="2"/>
      <c r="I952" s="2"/>
      <c r="J952" s="2"/>
      <c r="K952" s="2"/>
      <c r="L952" s="2">
        <v>1029.6899999999998</v>
      </c>
      <c r="M952" t="s">
        <v>4412</v>
      </c>
      <c r="N952" t="s">
        <v>4410</v>
      </c>
    </row>
    <row r="953" spans="1:14" x14ac:dyDescent="0.4">
      <c r="A953" t="s">
        <v>2224</v>
      </c>
      <c r="B953" t="s">
        <v>2225</v>
      </c>
      <c r="C953" t="s">
        <v>78</v>
      </c>
      <c r="D953" t="s">
        <v>907</v>
      </c>
      <c r="E953" s="2"/>
      <c r="F953" s="2">
        <v>862.66000000000008</v>
      </c>
      <c r="G953" s="2"/>
      <c r="H953" s="2"/>
      <c r="I953" s="2"/>
      <c r="J953" s="2"/>
      <c r="K953" s="2"/>
      <c r="L953" s="2">
        <v>862.66000000000008</v>
      </c>
      <c r="M953" t="s">
        <v>4412</v>
      </c>
      <c r="N953" t="s">
        <v>4410</v>
      </c>
    </row>
    <row r="954" spans="1:14" x14ac:dyDescent="0.4">
      <c r="A954" t="s">
        <v>2226</v>
      </c>
      <c r="B954" t="s">
        <v>2227</v>
      </c>
      <c r="C954" t="s">
        <v>78</v>
      </c>
      <c r="D954" t="s">
        <v>907</v>
      </c>
      <c r="E954" s="2">
        <v>838.32</v>
      </c>
      <c r="F954" s="2">
        <v>859.57</v>
      </c>
      <c r="G954" s="2">
        <v>3316.81</v>
      </c>
      <c r="H954" s="2">
        <v>1494.4299999999998</v>
      </c>
      <c r="I954" s="2">
        <v>1637.1299999999999</v>
      </c>
      <c r="J954" s="2">
        <v>2624.28</v>
      </c>
      <c r="K954" s="2">
        <v>1579.4299999999998</v>
      </c>
      <c r="L954" s="2">
        <v>12349.96999999999</v>
      </c>
      <c r="M954" t="s">
        <v>4400</v>
      </c>
      <c r="N954" t="s">
        <v>4400</v>
      </c>
    </row>
    <row r="955" spans="1:14" x14ac:dyDescent="0.4">
      <c r="A955" t="s">
        <v>2228</v>
      </c>
      <c r="B955" t="s">
        <v>2229</v>
      </c>
      <c r="C955" t="s">
        <v>159</v>
      </c>
      <c r="D955" t="s">
        <v>2230</v>
      </c>
      <c r="E955" s="2"/>
      <c r="F955" s="2"/>
      <c r="G955" s="2">
        <v>2651.65</v>
      </c>
      <c r="H955" s="2"/>
      <c r="I955" s="2">
        <v>798.82999999999993</v>
      </c>
      <c r="J955" s="2">
        <v>1050.93</v>
      </c>
      <c r="K955" s="2"/>
      <c r="L955" s="2">
        <v>4501.41</v>
      </c>
      <c r="M955" t="s">
        <v>4411</v>
      </c>
      <c r="N955" t="s">
        <v>4406</v>
      </c>
    </row>
    <row r="956" spans="1:14" x14ac:dyDescent="0.4">
      <c r="A956" t="s">
        <v>2231</v>
      </c>
      <c r="B956" t="s">
        <v>794</v>
      </c>
      <c r="C956" t="s">
        <v>27</v>
      </c>
      <c r="D956" t="s">
        <v>466</v>
      </c>
      <c r="E956" s="2">
        <v>3881.7799999999988</v>
      </c>
      <c r="F956" s="2"/>
      <c r="G956" s="2"/>
      <c r="H956" s="2"/>
      <c r="I956" s="2"/>
      <c r="J956" s="2"/>
      <c r="K956" s="2"/>
      <c r="L956" s="2">
        <v>3881.7799999999988</v>
      </c>
      <c r="M956" t="s">
        <v>4400</v>
      </c>
      <c r="N956" t="s">
        <v>4407</v>
      </c>
    </row>
    <row r="957" spans="1:14" x14ac:dyDescent="0.4">
      <c r="A957" t="s">
        <v>2232</v>
      </c>
      <c r="B957" t="s">
        <v>2233</v>
      </c>
      <c r="C957" t="s">
        <v>291</v>
      </c>
      <c r="D957" t="s">
        <v>2234</v>
      </c>
      <c r="E957" s="2"/>
      <c r="F957" s="2"/>
      <c r="G957" s="2"/>
      <c r="H957" s="2"/>
      <c r="I957" s="2">
        <v>1315.2099999999998</v>
      </c>
      <c r="J957" s="2"/>
      <c r="K957" s="2"/>
      <c r="L957" s="2">
        <v>1315.2099999999998</v>
      </c>
      <c r="M957" t="s">
        <v>4408</v>
      </c>
      <c r="N957" t="s">
        <v>4401</v>
      </c>
    </row>
    <row r="958" spans="1:14" x14ac:dyDescent="0.4">
      <c r="A958" t="s">
        <v>2235</v>
      </c>
      <c r="B958" t="s">
        <v>2236</v>
      </c>
      <c r="C958" t="s">
        <v>447</v>
      </c>
      <c r="D958" t="s">
        <v>742</v>
      </c>
      <c r="E958" s="2">
        <v>4440.7699999999995</v>
      </c>
      <c r="F958" s="2">
        <v>3815.0399999999991</v>
      </c>
      <c r="G958" s="2">
        <v>5324.6699999999992</v>
      </c>
      <c r="H958" s="2">
        <v>6375.6399999999994</v>
      </c>
      <c r="I958" s="2">
        <v>3994.2099999999991</v>
      </c>
      <c r="J958" s="2">
        <v>3347.139999999999</v>
      </c>
      <c r="K958" s="2">
        <v>1637.17</v>
      </c>
      <c r="L958" s="2">
        <v>28934.640000000018</v>
      </c>
      <c r="M958" t="s">
        <v>4400</v>
      </c>
      <c r="N958" t="s">
        <v>4400</v>
      </c>
    </row>
    <row r="959" spans="1:14" x14ac:dyDescent="0.4">
      <c r="A959" t="s">
        <v>2237</v>
      </c>
      <c r="B959" t="s">
        <v>2238</v>
      </c>
      <c r="C959" t="s">
        <v>78</v>
      </c>
      <c r="D959" t="s">
        <v>841</v>
      </c>
      <c r="E959" s="2">
        <v>978.07</v>
      </c>
      <c r="F959" s="2">
        <v>747.25</v>
      </c>
      <c r="G959" s="2">
        <v>728.99</v>
      </c>
      <c r="H959" s="2"/>
      <c r="I959" s="2"/>
      <c r="J959" s="2">
        <v>792.79000000000008</v>
      </c>
      <c r="K959" s="2"/>
      <c r="L959" s="2">
        <v>3247.0999999999995</v>
      </c>
      <c r="M959" t="s">
        <v>4400</v>
      </c>
      <c r="N959" t="s">
        <v>4406</v>
      </c>
    </row>
    <row r="960" spans="1:14" x14ac:dyDescent="0.4">
      <c r="A960" t="s">
        <v>2239</v>
      </c>
      <c r="B960" t="s">
        <v>2240</v>
      </c>
      <c r="C960" t="s">
        <v>1</v>
      </c>
      <c r="D960" t="s">
        <v>507</v>
      </c>
      <c r="E960" s="2"/>
      <c r="F960" s="2">
        <v>823.14</v>
      </c>
      <c r="G960" s="2"/>
      <c r="H960" s="2"/>
      <c r="I960" s="2"/>
      <c r="J960" s="2">
        <v>1178.55</v>
      </c>
      <c r="K960" s="2"/>
      <c r="L960" s="2">
        <v>2001.69</v>
      </c>
      <c r="M960" t="s">
        <v>4412</v>
      </c>
      <c r="N960" t="s">
        <v>4406</v>
      </c>
    </row>
    <row r="961" spans="1:14" x14ac:dyDescent="0.4">
      <c r="A961" t="s">
        <v>2241</v>
      </c>
      <c r="B961" t="s">
        <v>2242</v>
      </c>
      <c r="C961" t="s">
        <v>167</v>
      </c>
      <c r="D961" t="s">
        <v>1275</v>
      </c>
      <c r="E961" s="2">
        <v>2606.1400000000003</v>
      </c>
      <c r="F961" s="2">
        <v>1594.6700000000003</v>
      </c>
      <c r="G961" s="2">
        <v>3152.8800000000006</v>
      </c>
      <c r="H961" s="2">
        <v>3083.0199999999991</v>
      </c>
      <c r="I961" s="2">
        <v>3043.52</v>
      </c>
      <c r="J961" s="2">
        <v>2338.8199999999997</v>
      </c>
      <c r="K961" s="2">
        <v>1582.5099999999998</v>
      </c>
      <c r="L961" s="2">
        <v>17401.559999999987</v>
      </c>
      <c r="M961" t="s">
        <v>4400</v>
      </c>
      <c r="N961" t="s">
        <v>4400</v>
      </c>
    </row>
    <row r="962" spans="1:14" x14ac:dyDescent="0.4">
      <c r="A962" t="s">
        <v>2243</v>
      </c>
      <c r="B962" t="s">
        <v>2244</v>
      </c>
      <c r="C962" t="s">
        <v>542</v>
      </c>
      <c r="D962" t="s">
        <v>543</v>
      </c>
      <c r="E962" s="2">
        <v>2970.69</v>
      </c>
      <c r="F962" s="2">
        <v>3064.81</v>
      </c>
      <c r="G962" s="2">
        <v>3657.1600000000008</v>
      </c>
      <c r="H962" s="2">
        <v>1664.5600000000004</v>
      </c>
      <c r="I962" s="2">
        <v>3720.9500000000012</v>
      </c>
      <c r="J962" s="2">
        <v>1479.2700000000002</v>
      </c>
      <c r="K962" s="2">
        <v>1473.19</v>
      </c>
      <c r="L962" s="2">
        <v>18030.629999999972</v>
      </c>
      <c r="M962" t="s">
        <v>4400</v>
      </c>
      <c r="N962" t="s">
        <v>4400</v>
      </c>
    </row>
    <row r="963" spans="1:14" x14ac:dyDescent="0.4">
      <c r="A963" t="s">
        <v>2245</v>
      </c>
      <c r="B963" t="s">
        <v>2246</v>
      </c>
      <c r="C963" t="s">
        <v>113</v>
      </c>
      <c r="D963" t="s">
        <v>615</v>
      </c>
      <c r="E963" s="2">
        <v>5394.4599999999991</v>
      </c>
      <c r="F963" s="2">
        <v>4844.6899999999996</v>
      </c>
      <c r="G963" s="2">
        <v>5139.3500000000004</v>
      </c>
      <c r="H963" s="2">
        <v>5452.1500000000005</v>
      </c>
      <c r="I963" s="2">
        <v>5965.46</v>
      </c>
      <c r="J963" s="2">
        <v>4951.0299999999988</v>
      </c>
      <c r="K963" s="2">
        <v>2761.02</v>
      </c>
      <c r="L963" s="2">
        <v>34508.159999999953</v>
      </c>
      <c r="M963" t="s">
        <v>4400</v>
      </c>
      <c r="N963" t="s">
        <v>4400</v>
      </c>
    </row>
    <row r="964" spans="1:14" x14ac:dyDescent="0.4">
      <c r="A964" t="s">
        <v>2247</v>
      </c>
      <c r="B964" t="s">
        <v>2248</v>
      </c>
      <c r="C964" t="s">
        <v>9</v>
      </c>
      <c r="D964" t="s">
        <v>45</v>
      </c>
      <c r="E964" s="2">
        <v>3249.9999999999986</v>
      </c>
      <c r="F964" s="2">
        <v>3037.4299999999994</v>
      </c>
      <c r="G964" s="2">
        <v>3924.4299999999989</v>
      </c>
      <c r="H964" s="2">
        <v>2384.4299999999994</v>
      </c>
      <c r="I964" s="2">
        <v>2308.4599999999996</v>
      </c>
      <c r="J964" s="2">
        <v>3007.0699999999988</v>
      </c>
      <c r="K964" s="2">
        <v>1500.4899999999996</v>
      </c>
      <c r="L964" s="2">
        <v>19412.309999999983</v>
      </c>
      <c r="M964" t="s">
        <v>4400</v>
      </c>
      <c r="N964" t="s">
        <v>4400</v>
      </c>
    </row>
    <row r="965" spans="1:14" x14ac:dyDescent="0.4">
      <c r="A965" t="s">
        <v>2249</v>
      </c>
      <c r="B965" t="s">
        <v>2250</v>
      </c>
      <c r="C965" t="s">
        <v>167</v>
      </c>
      <c r="D965" t="s">
        <v>2251</v>
      </c>
      <c r="E965" s="2">
        <v>8492.5200000000023</v>
      </c>
      <c r="F965" s="2">
        <v>10439.440000000002</v>
      </c>
      <c r="G965" s="2">
        <v>9330.809999999994</v>
      </c>
      <c r="H965" s="2">
        <v>10193.379999999996</v>
      </c>
      <c r="I965" s="2">
        <v>7982.1400000000012</v>
      </c>
      <c r="J965" s="2">
        <v>7432.3899999999985</v>
      </c>
      <c r="K965" s="2">
        <v>3629.6699999999996</v>
      </c>
      <c r="L965" s="2">
        <v>57500.350000000122</v>
      </c>
      <c r="M965" t="s">
        <v>4400</v>
      </c>
      <c r="N965" t="s">
        <v>4400</v>
      </c>
    </row>
    <row r="966" spans="1:14" x14ac:dyDescent="0.4">
      <c r="A966" t="s">
        <v>2252</v>
      </c>
      <c r="B966" t="s">
        <v>2253</v>
      </c>
      <c r="C966" t="s">
        <v>52</v>
      </c>
      <c r="D966" t="s">
        <v>156</v>
      </c>
      <c r="E966" s="2">
        <v>4331.3799999999983</v>
      </c>
      <c r="F966" s="2">
        <v>3960.82</v>
      </c>
      <c r="G966" s="2">
        <v>5190.9799999999996</v>
      </c>
      <c r="H966" s="2">
        <v>1494.4199999999998</v>
      </c>
      <c r="I966" s="2">
        <v>1227.1099999999999</v>
      </c>
      <c r="J966" s="2">
        <v>1986.4799999999993</v>
      </c>
      <c r="K966" s="2">
        <v>1020.57</v>
      </c>
      <c r="L966" s="2">
        <v>19211.759999999995</v>
      </c>
      <c r="M966" t="s">
        <v>4400</v>
      </c>
      <c r="N966" t="s">
        <v>4400</v>
      </c>
    </row>
    <row r="967" spans="1:14" x14ac:dyDescent="0.4">
      <c r="A967" t="s">
        <v>2254</v>
      </c>
      <c r="B967" t="s">
        <v>2255</v>
      </c>
      <c r="C967" t="s">
        <v>696</v>
      </c>
      <c r="D967" t="s">
        <v>697</v>
      </c>
      <c r="E967" s="2">
        <v>3821</v>
      </c>
      <c r="F967" s="2">
        <v>3611.42</v>
      </c>
      <c r="G967" s="2">
        <v>2214.25</v>
      </c>
      <c r="H967" s="2"/>
      <c r="I967" s="2"/>
      <c r="J967" s="2">
        <v>4000.2400000000002</v>
      </c>
      <c r="K967" s="2">
        <v>1992.5199999999995</v>
      </c>
      <c r="L967" s="2">
        <v>15639.429999999993</v>
      </c>
      <c r="M967" t="s">
        <v>4400</v>
      </c>
      <c r="N967" t="s">
        <v>4400</v>
      </c>
    </row>
    <row r="968" spans="1:14" x14ac:dyDescent="0.4">
      <c r="A968" t="s">
        <v>2256</v>
      </c>
      <c r="B968" t="s">
        <v>2257</v>
      </c>
      <c r="C968" t="s">
        <v>78</v>
      </c>
      <c r="D968" t="s">
        <v>768</v>
      </c>
      <c r="E968" s="2">
        <v>5307.0499999999975</v>
      </c>
      <c r="F968" s="2">
        <v>3639.12</v>
      </c>
      <c r="G968" s="2">
        <v>4494.9299999999985</v>
      </c>
      <c r="H968" s="2">
        <v>3099.4200000000005</v>
      </c>
      <c r="I968" s="2">
        <v>3063.4399999999996</v>
      </c>
      <c r="J968" s="2">
        <v>4692.82</v>
      </c>
      <c r="K968" s="2">
        <v>3785.6099999999997</v>
      </c>
      <c r="L968" s="2">
        <v>28082.39000000001</v>
      </c>
      <c r="M968" t="s">
        <v>4400</v>
      </c>
      <c r="N968" t="s">
        <v>4400</v>
      </c>
    </row>
    <row r="969" spans="1:14" x14ac:dyDescent="0.4">
      <c r="A969" t="s">
        <v>2258</v>
      </c>
      <c r="B969" t="s">
        <v>2259</v>
      </c>
      <c r="C969" t="s">
        <v>103</v>
      </c>
      <c r="D969" t="s">
        <v>1767</v>
      </c>
      <c r="E969" s="2">
        <v>4140.0099999999993</v>
      </c>
      <c r="F969" s="2">
        <v>4307.079999999999</v>
      </c>
      <c r="G969" s="2">
        <v>5464.36</v>
      </c>
      <c r="H969" s="2"/>
      <c r="I969" s="2"/>
      <c r="J969" s="2"/>
      <c r="K969" s="2"/>
      <c r="L969" s="2">
        <v>13911.449999999993</v>
      </c>
      <c r="M969" t="s">
        <v>4400</v>
      </c>
      <c r="N969" t="s">
        <v>4403</v>
      </c>
    </row>
    <row r="970" spans="1:14" x14ac:dyDescent="0.4">
      <c r="A970" t="s">
        <v>2260</v>
      </c>
      <c r="B970" t="s">
        <v>2261</v>
      </c>
      <c r="C970" t="s">
        <v>163</v>
      </c>
      <c r="D970" t="s">
        <v>164</v>
      </c>
      <c r="E970" s="2">
        <v>941.58999999999992</v>
      </c>
      <c r="F970" s="2"/>
      <c r="G970" s="2"/>
      <c r="H970" s="2"/>
      <c r="I970" s="2"/>
      <c r="J970" s="2"/>
      <c r="K970" s="2"/>
      <c r="L970" s="2">
        <v>941.58999999999992</v>
      </c>
      <c r="M970" t="s">
        <v>4400</v>
      </c>
      <c r="N970" t="s">
        <v>4407</v>
      </c>
    </row>
    <row r="971" spans="1:14" x14ac:dyDescent="0.4">
      <c r="A971" t="s">
        <v>2262</v>
      </c>
      <c r="B971" t="s">
        <v>1012</v>
      </c>
      <c r="C971" t="s">
        <v>337</v>
      </c>
      <c r="D971" t="s">
        <v>2263</v>
      </c>
      <c r="E971" s="2">
        <v>3648.0100000000007</v>
      </c>
      <c r="F971" s="2">
        <v>2888.6900000000005</v>
      </c>
      <c r="G971" s="2">
        <v>1476.22</v>
      </c>
      <c r="H971" s="2"/>
      <c r="I971" s="2"/>
      <c r="J971" s="2"/>
      <c r="K971" s="2"/>
      <c r="L971" s="2">
        <v>8012.9199999999983</v>
      </c>
      <c r="M971" t="s">
        <v>4400</v>
      </c>
      <c r="N971" t="s">
        <v>4403</v>
      </c>
    </row>
    <row r="972" spans="1:14" x14ac:dyDescent="0.4">
      <c r="A972" t="s">
        <v>2264</v>
      </c>
      <c r="B972" t="s">
        <v>2265</v>
      </c>
      <c r="C972" t="s">
        <v>52</v>
      </c>
      <c r="D972" t="s">
        <v>153</v>
      </c>
      <c r="E972" s="2">
        <v>3918.2099999999991</v>
      </c>
      <c r="F972" s="2">
        <v>3134.5699999999993</v>
      </c>
      <c r="G972" s="2">
        <v>3921.2599999999998</v>
      </c>
      <c r="H972" s="2">
        <v>3167.99</v>
      </c>
      <c r="I972" s="2">
        <v>3122.4399999999996</v>
      </c>
      <c r="J972" s="2">
        <v>3924.2999999999997</v>
      </c>
      <c r="K972" s="2">
        <v>1658.4099999999996</v>
      </c>
      <c r="L972" s="2">
        <v>22847.179999999946</v>
      </c>
      <c r="M972" t="s">
        <v>4400</v>
      </c>
      <c r="N972" t="s">
        <v>4400</v>
      </c>
    </row>
    <row r="973" spans="1:14" x14ac:dyDescent="0.4">
      <c r="A973" t="s">
        <v>2266</v>
      </c>
      <c r="B973" t="s">
        <v>2267</v>
      </c>
      <c r="C973" t="s">
        <v>291</v>
      </c>
      <c r="D973" t="s">
        <v>295</v>
      </c>
      <c r="E973" s="2"/>
      <c r="F973" s="2"/>
      <c r="G973" s="2"/>
      <c r="H973" s="2"/>
      <c r="I973" s="2">
        <v>2016.79</v>
      </c>
      <c r="J973" s="2"/>
      <c r="K973" s="2"/>
      <c r="L973" s="2">
        <v>2016.79</v>
      </c>
      <c r="M973" t="s">
        <v>4408</v>
      </c>
      <c r="N973" t="s">
        <v>4401</v>
      </c>
    </row>
    <row r="974" spans="1:14" x14ac:dyDescent="0.4">
      <c r="A974" t="s">
        <v>2268</v>
      </c>
      <c r="B974" t="s">
        <v>2269</v>
      </c>
      <c r="C974" t="s">
        <v>433</v>
      </c>
      <c r="D974" t="s">
        <v>434</v>
      </c>
      <c r="E974" s="2">
        <v>4826.42</v>
      </c>
      <c r="F974" s="2">
        <v>3316.8100000000004</v>
      </c>
      <c r="G974" s="2">
        <v>2991.809999999999</v>
      </c>
      <c r="H974" s="2">
        <v>4629</v>
      </c>
      <c r="I974" s="2">
        <v>3915.1900000000005</v>
      </c>
      <c r="J974" s="2">
        <v>3638.7999999999997</v>
      </c>
      <c r="K974" s="2">
        <v>1372.9</v>
      </c>
      <c r="L974" s="2">
        <v>24690.929999999997</v>
      </c>
      <c r="M974" t="s">
        <v>4400</v>
      </c>
      <c r="N974" t="s">
        <v>4400</v>
      </c>
    </row>
    <row r="975" spans="1:14" x14ac:dyDescent="0.4">
      <c r="A975" t="s">
        <v>2270</v>
      </c>
      <c r="B975" t="s">
        <v>2271</v>
      </c>
      <c r="C975" t="s">
        <v>13</v>
      </c>
      <c r="D975" t="s">
        <v>14</v>
      </c>
      <c r="E975" s="2">
        <v>3189.3599999999992</v>
      </c>
      <c r="F975" s="2">
        <v>2727.6699999999996</v>
      </c>
      <c r="G975" s="2">
        <v>1959.1999999999996</v>
      </c>
      <c r="H975" s="2"/>
      <c r="I975" s="2"/>
      <c r="J975" s="2"/>
      <c r="K975" s="2"/>
      <c r="L975" s="2">
        <v>7876.2299999999968</v>
      </c>
      <c r="M975" t="s">
        <v>4400</v>
      </c>
      <c r="N975" t="s">
        <v>4403</v>
      </c>
    </row>
    <row r="976" spans="1:14" x14ac:dyDescent="0.4">
      <c r="A976" t="s">
        <v>2272</v>
      </c>
      <c r="B976" t="s">
        <v>593</v>
      </c>
      <c r="C976" t="s">
        <v>350</v>
      </c>
      <c r="D976" t="s">
        <v>351</v>
      </c>
      <c r="E976" s="2">
        <v>2925.0000000000005</v>
      </c>
      <c r="F976" s="2">
        <v>3070.77</v>
      </c>
      <c r="G976" s="2">
        <v>2217.2199999999998</v>
      </c>
      <c r="H976" s="2">
        <v>3568.89</v>
      </c>
      <c r="I976" s="2">
        <v>2472.44</v>
      </c>
      <c r="J976" s="2">
        <v>3335.0599999999995</v>
      </c>
      <c r="K976" s="2">
        <v>1570.3300000000002</v>
      </c>
      <c r="L976" s="2">
        <v>19159.709999999995</v>
      </c>
      <c r="M976" t="s">
        <v>4400</v>
      </c>
      <c r="N976" t="s">
        <v>4400</v>
      </c>
    </row>
    <row r="977" spans="1:14" x14ac:dyDescent="0.4">
      <c r="A977" t="s">
        <v>2273</v>
      </c>
      <c r="B977" t="s">
        <v>2274</v>
      </c>
      <c r="C977" t="s">
        <v>186</v>
      </c>
      <c r="D977" t="s">
        <v>187</v>
      </c>
      <c r="E977" s="2">
        <v>3420.15</v>
      </c>
      <c r="F977" s="2">
        <v>2833.9199999999987</v>
      </c>
      <c r="G977" s="2">
        <v>3991.2200000000003</v>
      </c>
      <c r="H977" s="2">
        <v>3766.3999999999987</v>
      </c>
      <c r="I977" s="2">
        <v>3720.8699999999985</v>
      </c>
      <c r="J977" s="2">
        <v>5354.9900000000007</v>
      </c>
      <c r="K977" s="2">
        <v>1631.11</v>
      </c>
      <c r="L977" s="2">
        <v>24718.659999999956</v>
      </c>
      <c r="M977" t="s">
        <v>4400</v>
      </c>
      <c r="N977" t="s">
        <v>4400</v>
      </c>
    </row>
    <row r="978" spans="1:14" x14ac:dyDescent="0.4">
      <c r="A978" t="s">
        <v>2275</v>
      </c>
      <c r="B978" t="s">
        <v>2276</v>
      </c>
      <c r="C978" t="s">
        <v>64</v>
      </c>
      <c r="D978" t="s">
        <v>2277</v>
      </c>
      <c r="E978" s="2">
        <v>9042.409999999998</v>
      </c>
      <c r="F978" s="2">
        <v>13382.739999999996</v>
      </c>
      <c r="G978" s="2">
        <v>5230.4199999999983</v>
      </c>
      <c r="H978" s="2">
        <v>4304.1399999999994</v>
      </c>
      <c r="I978" s="2">
        <v>3572.1600000000008</v>
      </c>
      <c r="J978" s="2">
        <v>2269.0300000000002</v>
      </c>
      <c r="K978" s="2">
        <v>756.32</v>
      </c>
      <c r="L978" s="2">
        <v>38557.22</v>
      </c>
      <c r="M978" t="s">
        <v>4400</v>
      </c>
      <c r="N978" t="s">
        <v>4400</v>
      </c>
    </row>
    <row r="979" spans="1:14" x14ac:dyDescent="0.4">
      <c r="A979" t="s">
        <v>2278</v>
      </c>
      <c r="B979" t="s">
        <v>2279</v>
      </c>
      <c r="C979" t="s">
        <v>402</v>
      </c>
      <c r="D979" t="s">
        <v>2280</v>
      </c>
      <c r="E979" s="2">
        <v>771.5</v>
      </c>
      <c r="F979" s="2">
        <v>771.5</v>
      </c>
      <c r="G979" s="2"/>
      <c r="H979" s="2">
        <v>1564.31</v>
      </c>
      <c r="I979" s="2">
        <v>762.41</v>
      </c>
      <c r="J979" s="2">
        <v>2299.36</v>
      </c>
      <c r="K979" s="2"/>
      <c r="L979" s="2">
        <v>6169.0799999999981</v>
      </c>
      <c r="M979" t="s">
        <v>4400</v>
      </c>
      <c r="N979" t="s">
        <v>4406</v>
      </c>
    </row>
    <row r="980" spans="1:14" x14ac:dyDescent="0.4">
      <c r="A980" t="s">
        <v>2281</v>
      </c>
      <c r="B980" t="s">
        <v>2282</v>
      </c>
      <c r="C980" t="s">
        <v>5</v>
      </c>
      <c r="D980" t="s">
        <v>135</v>
      </c>
      <c r="E980" s="2">
        <v>953.75</v>
      </c>
      <c r="F980" s="2">
        <v>2019.8899999999999</v>
      </c>
      <c r="G980" s="2">
        <v>886.93</v>
      </c>
      <c r="H980" s="2">
        <v>853.52</v>
      </c>
      <c r="I980" s="2">
        <v>3772.53</v>
      </c>
      <c r="J980" s="2">
        <v>3046.5699999999993</v>
      </c>
      <c r="K980" s="2">
        <v>905.16</v>
      </c>
      <c r="L980" s="2">
        <v>12438.349999999989</v>
      </c>
      <c r="M980" t="s">
        <v>4400</v>
      </c>
      <c r="N980" t="s">
        <v>4400</v>
      </c>
    </row>
    <row r="981" spans="1:14" x14ac:dyDescent="0.4">
      <c r="A981" t="s">
        <v>2283</v>
      </c>
      <c r="B981" t="s">
        <v>2284</v>
      </c>
      <c r="C981" t="s">
        <v>167</v>
      </c>
      <c r="D981" t="s">
        <v>2251</v>
      </c>
      <c r="E981" s="2">
        <v>2739.7499999999991</v>
      </c>
      <c r="F981" s="2">
        <v>2979.6800000000003</v>
      </c>
      <c r="G981" s="2">
        <v>3240.9299999999989</v>
      </c>
      <c r="H981" s="2">
        <v>4547.0199999999977</v>
      </c>
      <c r="I981" s="2">
        <v>3690.44</v>
      </c>
      <c r="J981" s="2">
        <v>3237.87</v>
      </c>
      <c r="K981" s="2">
        <v>1597.6799999999996</v>
      </c>
      <c r="L981" s="2">
        <v>22033.369999999995</v>
      </c>
      <c r="M981" t="s">
        <v>4400</v>
      </c>
      <c r="N981" t="s">
        <v>4400</v>
      </c>
    </row>
    <row r="982" spans="1:14" x14ac:dyDescent="0.4">
      <c r="A982" t="s">
        <v>2285</v>
      </c>
      <c r="B982" t="s">
        <v>247</v>
      </c>
      <c r="C982" t="s">
        <v>244</v>
      </c>
      <c r="D982" t="s">
        <v>248</v>
      </c>
      <c r="E982" s="2">
        <v>4079.309999999999</v>
      </c>
      <c r="F982" s="2">
        <v>3903.1099999999997</v>
      </c>
      <c r="G982" s="2">
        <v>5011.8300000000017</v>
      </c>
      <c r="H982" s="2">
        <v>5798.4900000000016</v>
      </c>
      <c r="I982" s="2">
        <v>5081.59</v>
      </c>
      <c r="J982" s="2">
        <v>5522.0399999999991</v>
      </c>
      <c r="K982" s="2">
        <v>1871.0700000000002</v>
      </c>
      <c r="L982" s="2">
        <v>31267.439999999973</v>
      </c>
      <c r="M982" t="s">
        <v>4400</v>
      </c>
      <c r="N982" t="s">
        <v>4400</v>
      </c>
    </row>
    <row r="983" spans="1:14" x14ac:dyDescent="0.4">
      <c r="A983" t="s">
        <v>2286</v>
      </c>
      <c r="B983" t="s">
        <v>2287</v>
      </c>
      <c r="C983" t="s">
        <v>64</v>
      </c>
      <c r="D983" t="s">
        <v>74</v>
      </c>
      <c r="E983" s="2">
        <v>959.83000000000015</v>
      </c>
      <c r="F983" s="2"/>
      <c r="G983" s="2">
        <v>741.13000000000011</v>
      </c>
      <c r="H983" s="2">
        <v>968.94</v>
      </c>
      <c r="I983" s="2">
        <v>829.21</v>
      </c>
      <c r="J983" s="2">
        <v>1801.1799999999998</v>
      </c>
      <c r="K983" s="2">
        <v>908.21</v>
      </c>
      <c r="L983" s="2">
        <v>6208.4999999999982</v>
      </c>
      <c r="M983" t="s">
        <v>4400</v>
      </c>
      <c r="N983" t="s">
        <v>4400</v>
      </c>
    </row>
    <row r="984" spans="1:14" x14ac:dyDescent="0.4">
      <c r="A984" t="s">
        <v>2288</v>
      </c>
      <c r="B984" t="s">
        <v>2289</v>
      </c>
      <c r="C984" t="s">
        <v>163</v>
      </c>
      <c r="D984" t="s">
        <v>1233</v>
      </c>
      <c r="E984" s="2">
        <v>3878.8500000000004</v>
      </c>
      <c r="F984" s="2">
        <v>3237.9299999999994</v>
      </c>
      <c r="G984" s="2">
        <v>2323.65</v>
      </c>
      <c r="H984" s="2">
        <v>7572.37</v>
      </c>
      <c r="I984" s="2">
        <v>3863.6400000000003</v>
      </c>
      <c r="J984" s="2">
        <v>2335.7800000000002</v>
      </c>
      <c r="K984" s="2"/>
      <c r="L984" s="2">
        <v>23212.219999999994</v>
      </c>
      <c r="M984" t="s">
        <v>4400</v>
      </c>
      <c r="N984" t="s">
        <v>4406</v>
      </c>
    </row>
    <row r="985" spans="1:14" x14ac:dyDescent="0.4">
      <c r="A985" t="s">
        <v>2290</v>
      </c>
      <c r="B985" t="s">
        <v>401</v>
      </c>
      <c r="C985" t="s">
        <v>402</v>
      </c>
      <c r="D985" t="s">
        <v>403</v>
      </c>
      <c r="E985" s="2">
        <v>762.41</v>
      </c>
      <c r="F985" s="2">
        <v>741.14999999999975</v>
      </c>
      <c r="G985" s="2"/>
      <c r="H985" s="2"/>
      <c r="I985" s="2"/>
      <c r="J985" s="2"/>
      <c r="K985" s="2"/>
      <c r="L985" s="2">
        <v>1503.5600000000002</v>
      </c>
      <c r="M985" t="s">
        <v>4400</v>
      </c>
      <c r="N985" t="s">
        <v>4410</v>
      </c>
    </row>
    <row r="986" spans="1:14" x14ac:dyDescent="0.4">
      <c r="A986" t="s">
        <v>2291</v>
      </c>
      <c r="B986" t="s">
        <v>2292</v>
      </c>
      <c r="C986" t="s">
        <v>109</v>
      </c>
      <c r="D986" t="s">
        <v>1374</v>
      </c>
      <c r="E986" s="2">
        <v>3216.6</v>
      </c>
      <c r="F986" s="2">
        <v>2803.5199999999995</v>
      </c>
      <c r="G986" s="2">
        <v>3711.7600000000007</v>
      </c>
      <c r="H986" s="2">
        <v>3398.8799999999992</v>
      </c>
      <c r="I986" s="2">
        <v>1943.9499999999996</v>
      </c>
      <c r="J986" s="2">
        <v>1460.9899999999996</v>
      </c>
      <c r="K986" s="2">
        <v>1099.54</v>
      </c>
      <c r="L986" s="2">
        <v>17635.239999999983</v>
      </c>
      <c r="M986" t="s">
        <v>4400</v>
      </c>
      <c r="N986" t="s">
        <v>4400</v>
      </c>
    </row>
    <row r="987" spans="1:14" x14ac:dyDescent="0.4">
      <c r="A987" t="s">
        <v>2293</v>
      </c>
      <c r="B987" t="s">
        <v>2294</v>
      </c>
      <c r="C987" t="s">
        <v>602</v>
      </c>
      <c r="D987" t="s">
        <v>603</v>
      </c>
      <c r="E987" s="2">
        <v>2165.75</v>
      </c>
      <c r="F987" s="2">
        <v>1451.94</v>
      </c>
      <c r="G987" s="2">
        <v>3654.14</v>
      </c>
      <c r="H987" s="2">
        <v>2958.52</v>
      </c>
      <c r="I987" s="2">
        <v>2208.2599999999998</v>
      </c>
      <c r="J987" s="2">
        <v>1470.1599999999999</v>
      </c>
      <c r="K987" s="2">
        <v>1488.38</v>
      </c>
      <c r="L987" s="2">
        <v>15397.150000000003</v>
      </c>
      <c r="M987" t="s">
        <v>4400</v>
      </c>
      <c r="N987" t="s">
        <v>4400</v>
      </c>
    </row>
    <row r="988" spans="1:14" x14ac:dyDescent="0.4">
      <c r="A988" t="s">
        <v>2295</v>
      </c>
      <c r="B988" t="s">
        <v>2296</v>
      </c>
      <c r="C988" t="s">
        <v>64</v>
      </c>
      <c r="D988" t="s">
        <v>2297</v>
      </c>
      <c r="E988" s="2">
        <v>809.55</v>
      </c>
      <c r="F988" s="2">
        <v>5379.01</v>
      </c>
      <c r="G988" s="2">
        <v>3608.28</v>
      </c>
      <c r="H988" s="2">
        <v>5502.37</v>
      </c>
      <c r="I988" s="2">
        <v>3644.2599999999998</v>
      </c>
      <c r="J988" s="2">
        <v>5692.5499999999993</v>
      </c>
      <c r="K988" s="2">
        <v>2665.0899999999997</v>
      </c>
      <c r="L988" s="2">
        <v>27301.110000000015</v>
      </c>
      <c r="M988" t="s">
        <v>4400</v>
      </c>
      <c r="N988" t="s">
        <v>4400</v>
      </c>
    </row>
    <row r="989" spans="1:14" x14ac:dyDescent="0.4">
      <c r="A989" t="s">
        <v>2298</v>
      </c>
      <c r="B989" t="s">
        <v>2299</v>
      </c>
      <c r="C989" t="s">
        <v>390</v>
      </c>
      <c r="D989" t="s">
        <v>394</v>
      </c>
      <c r="E989" s="2"/>
      <c r="F989" s="2"/>
      <c r="G989" s="2"/>
      <c r="H989" s="2">
        <v>732.00999999999988</v>
      </c>
      <c r="I989" s="2"/>
      <c r="J989" s="2">
        <v>844.42</v>
      </c>
      <c r="K989" s="2"/>
      <c r="L989" s="2">
        <v>1576.4299999999998</v>
      </c>
      <c r="M989" t="s">
        <v>4409</v>
      </c>
      <c r="N989" t="s">
        <v>4406</v>
      </c>
    </row>
    <row r="990" spans="1:14" x14ac:dyDescent="0.4">
      <c r="A990" t="s">
        <v>2300</v>
      </c>
      <c r="B990" t="s">
        <v>2301</v>
      </c>
      <c r="C990" t="s">
        <v>220</v>
      </c>
      <c r="D990" t="s">
        <v>2302</v>
      </c>
      <c r="E990" s="2">
        <v>2606.0799999999995</v>
      </c>
      <c r="F990" s="2">
        <v>868.67</v>
      </c>
      <c r="G990" s="2">
        <v>1020.5700000000002</v>
      </c>
      <c r="H990" s="2"/>
      <c r="I990" s="2"/>
      <c r="J990" s="2"/>
      <c r="K990" s="2"/>
      <c r="L990" s="2">
        <v>4495.32</v>
      </c>
      <c r="M990" t="s">
        <v>4400</v>
      </c>
      <c r="N990" t="s">
        <v>4403</v>
      </c>
    </row>
    <row r="991" spans="1:14" x14ac:dyDescent="0.4">
      <c r="A991" t="s">
        <v>2303</v>
      </c>
      <c r="B991" t="s">
        <v>2296</v>
      </c>
      <c r="C991" t="s">
        <v>64</v>
      </c>
      <c r="D991" t="s">
        <v>2297</v>
      </c>
      <c r="E991" s="2">
        <v>1017.72</v>
      </c>
      <c r="F991" s="2">
        <v>1757.8799999999999</v>
      </c>
      <c r="G991" s="2">
        <v>1583.12</v>
      </c>
      <c r="H991" s="2">
        <v>3896.12</v>
      </c>
      <c r="I991" s="2">
        <v>10901.94</v>
      </c>
      <c r="J991" s="2">
        <v>10961.050000000003</v>
      </c>
      <c r="K991" s="2">
        <v>6450.7</v>
      </c>
      <c r="L991" s="2">
        <v>36568.529999999984</v>
      </c>
      <c r="M991" t="s">
        <v>4400</v>
      </c>
      <c r="N991" t="s">
        <v>4400</v>
      </c>
    </row>
    <row r="992" spans="1:14" x14ac:dyDescent="0.4">
      <c r="A992" t="s">
        <v>2304</v>
      </c>
      <c r="B992" t="s">
        <v>2305</v>
      </c>
      <c r="C992" t="s">
        <v>103</v>
      </c>
      <c r="D992" t="s">
        <v>1619</v>
      </c>
      <c r="E992" s="2"/>
      <c r="F992" s="2"/>
      <c r="G992" s="2">
        <v>4061.1099999999997</v>
      </c>
      <c r="H992" s="2">
        <v>1233.2</v>
      </c>
      <c r="I992" s="2">
        <v>798.86999999999989</v>
      </c>
      <c r="J992" s="2">
        <v>1962.1899999999998</v>
      </c>
      <c r="K992" s="2"/>
      <c r="L992" s="2">
        <v>8055.37</v>
      </c>
      <c r="M992" t="s">
        <v>4411</v>
      </c>
      <c r="N992" t="s">
        <v>4406</v>
      </c>
    </row>
    <row r="993" spans="1:14" x14ac:dyDescent="0.4">
      <c r="A993" t="s">
        <v>2306</v>
      </c>
      <c r="B993" t="s">
        <v>2307</v>
      </c>
      <c r="C993" t="s">
        <v>363</v>
      </c>
      <c r="D993" t="s">
        <v>2308</v>
      </c>
      <c r="E993" s="2">
        <v>3608.3999999999996</v>
      </c>
      <c r="F993" s="2">
        <v>2931.08</v>
      </c>
      <c r="G993" s="2">
        <v>3237.85</v>
      </c>
      <c r="H993" s="2">
        <v>6153.9000000000005</v>
      </c>
      <c r="I993" s="2">
        <v>3201.4800000000005</v>
      </c>
      <c r="J993" s="2">
        <v>4073.2200000000003</v>
      </c>
      <c r="K993" s="2">
        <v>1673.63</v>
      </c>
      <c r="L993" s="2">
        <v>24879.559999999983</v>
      </c>
      <c r="M993" t="s">
        <v>4400</v>
      </c>
      <c r="N993" t="s">
        <v>4400</v>
      </c>
    </row>
    <row r="994" spans="1:14" x14ac:dyDescent="0.4">
      <c r="A994" t="s">
        <v>2309</v>
      </c>
      <c r="B994" t="s">
        <v>47</v>
      </c>
      <c r="C994" t="s">
        <v>39</v>
      </c>
      <c r="D994" t="s">
        <v>40</v>
      </c>
      <c r="E994" s="2">
        <v>807.96</v>
      </c>
      <c r="F994" s="2"/>
      <c r="G994" s="2"/>
      <c r="H994" s="2"/>
      <c r="I994" s="2"/>
      <c r="J994" s="2"/>
      <c r="K994" s="2"/>
      <c r="L994" s="2">
        <v>807.96</v>
      </c>
      <c r="M994" t="s">
        <v>4400</v>
      </c>
      <c r="N994" t="s">
        <v>4407</v>
      </c>
    </row>
    <row r="995" spans="1:14" x14ac:dyDescent="0.4">
      <c r="A995" t="s">
        <v>2310</v>
      </c>
      <c r="B995" t="s">
        <v>2311</v>
      </c>
      <c r="C995" t="s">
        <v>64</v>
      </c>
      <c r="D995" t="s">
        <v>2312</v>
      </c>
      <c r="E995" s="2">
        <v>5014.8900000000012</v>
      </c>
      <c r="F995" s="2">
        <v>3371.6200000000008</v>
      </c>
      <c r="G995" s="2">
        <v>5850.170000000001</v>
      </c>
      <c r="H995" s="2">
        <v>3915.3</v>
      </c>
      <c r="I995" s="2">
        <v>5391.5099999999993</v>
      </c>
      <c r="J995" s="2">
        <v>3945.6599999999994</v>
      </c>
      <c r="K995" s="2">
        <v>1236.25</v>
      </c>
      <c r="L995" s="2">
        <v>28725.399999999969</v>
      </c>
      <c r="M995" t="s">
        <v>4400</v>
      </c>
      <c r="N995" t="s">
        <v>4400</v>
      </c>
    </row>
    <row r="996" spans="1:14" x14ac:dyDescent="0.4">
      <c r="A996" t="s">
        <v>2313</v>
      </c>
      <c r="B996" t="s">
        <v>2314</v>
      </c>
      <c r="C996" t="s">
        <v>310</v>
      </c>
      <c r="D996" t="s">
        <v>1952</v>
      </c>
      <c r="E996" s="2">
        <v>3675.2499999999995</v>
      </c>
      <c r="F996" s="2">
        <v>2208.19</v>
      </c>
      <c r="G996" s="2">
        <v>2262.85</v>
      </c>
      <c r="H996" s="2">
        <v>1476.1799999999998</v>
      </c>
      <c r="I996" s="2">
        <v>3696.5300000000007</v>
      </c>
      <c r="J996" s="2">
        <v>744.17000000000007</v>
      </c>
      <c r="K996" s="2"/>
      <c r="L996" s="2">
        <v>14063.169999999989</v>
      </c>
      <c r="M996" t="s">
        <v>4400</v>
      </c>
      <c r="N996" t="s">
        <v>4406</v>
      </c>
    </row>
    <row r="997" spans="1:14" x14ac:dyDescent="0.4">
      <c r="A997" t="s">
        <v>2315</v>
      </c>
      <c r="B997" t="s">
        <v>2316</v>
      </c>
      <c r="C997" t="s">
        <v>78</v>
      </c>
      <c r="D997" t="s">
        <v>907</v>
      </c>
      <c r="E997" s="2">
        <v>798.8599999999999</v>
      </c>
      <c r="F997" s="2">
        <v>981.11</v>
      </c>
      <c r="G997" s="2">
        <v>1828.5600000000004</v>
      </c>
      <c r="H997" s="2">
        <v>1515.7000000000003</v>
      </c>
      <c r="I997" s="2">
        <v>941.62999999999977</v>
      </c>
      <c r="J997" s="2">
        <v>1743.5099999999995</v>
      </c>
      <c r="K997" s="2">
        <v>1169.4099999999999</v>
      </c>
      <c r="L997" s="2">
        <v>8978.7799999999934</v>
      </c>
      <c r="M997" t="s">
        <v>4400</v>
      </c>
      <c r="N997" t="s">
        <v>4400</v>
      </c>
    </row>
    <row r="998" spans="1:14" x14ac:dyDescent="0.4">
      <c r="A998" t="s">
        <v>2317</v>
      </c>
      <c r="B998" t="s">
        <v>2318</v>
      </c>
      <c r="C998" t="s">
        <v>2319</v>
      </c>
      <c r="D998" t="s">
        <v>2320</v>
      </c>
      <c r="E998" s="2">
        <v>4956.87</v>
      </c>
      <c r="F998" s="2">
        <v>3899.9200000000005</v>
      </c>
      <c r="G998" s="2">
        <v>3851.3500000000004</v>
      </c>
      <c r="H998" s="2">
        <v>4422.3599999999997</v>
      </c>
      <c r="I998" s="2">
        <v>6442.2300000000023</v>
      </c>
      <c r="J998" s="2">
        <v>5412.5500000000011</v>
      </c>
      <c r="K998" s="2">
        <v>2909.78</v>
      </c>
      <c r="L998" s="2">
        <v>31895.059999999932</v>
      </c>
      <c r="M998" t="s">
        <v>4400</v>
      </c>
      <c r="N998" t="s">
        <v>4400</v>
      </c>
    </row>
    <row r="999" spans="1:14" x14ac:dyDescent="0.4">
      <c r="A999" t="s">
        <v>2321</v>
      </c>
      <c r="B999" t="s">
        <v>2322</v>
      </c>
      <c r="C999" t="s">
        <v>674</v>
      </c>
      <c r="D999" t="s">
        <v>675</v>
      </c>
      <c r="E999" s="2">
        <v>2627.3599999999988</v>
      </c>
      <c r="F999" s="2">
        <v>1719.1700000000003</v>
      </c>
      <c r="G999" s="2">
        <v>3657.0599999999995</v>
      </c>
      <c r="H999" s="2">
        <v>886.92999999999984</v>
      </c>
      <c r="I999" s="2">
        <v>3119.4399999999991</v>
      </c>
      <c r="J999" s="2">
        <v>1697.9300000000003</v>
      </c>
      <c r="K999" s="2"/>
      <c r="L999" s="2">
        <v>13707.889999999981</v>
      </c>
      <c r="M999" t="s">
        <v>4400</v>
      </c>
      <c r="N999" t="s">
        <v>4406</v>
      </c>
    </row>
    <row r="1000" spans="1:14" x14ac:dyDescent="0.4">
      <c r="A1000" t="s">
        <v>2323</v>
      </c>
      <c r="B1000" t="s">
        <v>2324</v>
      </c>
      <c r="C1000" t="s">
        <v>9</v>
      </c>
      <c r="D1000" t="s">
        <v>693</v>
      </c>
      <c r="E1000" s="2">
        <v>7238.34</v>
      </c>
      <c r="F1000" s="2">
        <v>6044.5900000000029</v>
      </c>
      <c r="G1000" s="2">
        <v>5075.5399999999991</v>
      </c>
      <c r="H1000" s="2">
        <v>8055.2800000000007</v>
      </c>
      <c r="I1000" s="2">
        <v>8927.0500000000011</v>
      </c>
      <c r="J1000" s="2">
        <v>8006.7100000000009</v>
      </c>
      <c r="K1000" s="2">
        <v>1643.26</v>
      </c>
      <c r="L1000" s="2">
        <v>44990.770000000026</v>
      </c>
      <c r="M1000" t="s">
        <v>4400</v>
      </c>
      <c r="N1000" t="s">
        <v>4400</v>
      </c>
    </row>
    <row r="1001" spans="1:14" x14ac:dyDescent="0.4">
      <c r="A1001" t="s">
        <v>2325</v>
      </c>
      <c r="B1001" t="s">
        <v>2326</v>
      </c>
      <c r="C1001" t="s">
        <v>220</v>
      </c>
      <c r="D1001" t="s">
        <v>1805</v>
      </c>
      <c r="E1001" s="2">
        <v>3217.639999999999</v>
      </c>
      <c r="F1001" s="2">
        <v>3338.4299999999994</v>
      </c>
      <c r="G1001" s="2">
        <v>4620.8599999999997</v>
      </c>
      <c r="H1001" s="2">
        <v>4019.48</v>
      </c>
      <c r="I1001" s="2">
        <v>3957.8</v>
      </c>
      <c r="J1001" s="2">
        <v>6173.1399999999985</v>
      </c>
      <c r="K1001" s="2">
        <v>2171.6499999999996</v>
      </c>
      <c r="L1001" s="2">
        <v>27499.000000000025</v>
      </c>
      <c r="M1001" t="s">
        <v>4400</v>
      </c>
      <c r="N1001" t="s">
        <v>4400</v>
      </c>
    </row>
    <row r="1002" spans="1:14" x14ac:dyDescent="0.4">
      <c r="A1002" t="s">
        <v>2327</v>
      </c>
      <c r="B1002" t="s">
        <v>2328</v>
      </c>
      <c r="C1002" t="s">
        <v>113</v>
      </c>
      <c r="D1002" t="s">
        <v>615</v>
      </c>
      <c r="E1002" s="2">
        <v>3687.4</v>
      </c>
      <c r="F1002" s="2">
        <v>2533.1699999999996</v>
      </c>
      <c r="G1002" s="2">
        <v>3502.15</v>
      </c>
      <c r="H1002" s="2">
        <v>3122.49</v>
      </c>
      <c r="I1002" s="2">
        <v>3839.32</v>
      </c>
      <c r="J1002" s="2">
        <v>4079.2899999999995</v>
      </c>
      <c r="K1002" s="2">
        <v>2062.3999999999992</v>
      </c>
      <c r="L1002" s="2">
        <v>22826.21999999999</v>
      </c>
      <c r="M1002" t="s">
        <v>4400</v>
      </c>
      <c r="N1002" t="s">
        <v>4400</v>
      </c>
    </row>
    <row r="1003" spans="1:14" x14ac:dyDescent="0.4">
      <c r="A1003" t="s">
        <v>2329</v>
      </c>
      <c r="B1003" t="s">
        <v>2330</v>
      </c>
      <c r="C1003" t="s">
        <v>1</v>
      </c>
      <c r="D1003" t="s">
        <v>507</v>
      </c>
      <c r="E1003" s="2">
        <v>4343.2999999999993</v>
      </c>
      <c r="F1003" s="2">
        <v>2981.2</v>
      </c>
      <c r="G1003" s="2">
        <v>3017.1799999999994</v>
      </c>
      <c r="H1003" s="2">
        <v>3184.2299999999996</v>
      </c>
      <c r="I1003" s="2">
        <v>3071.1499999999996</v>
      </c>
      <c r="J1003" s="2">
        <v>3096.849999999999</v>
      </c>
      <c r="K1003" s="2">
        <v>1554.8500000000001</v>
      </c>
      <c r="L1003" s="2">
        <v>21248.760000000046</v>
      </c>
      <c r="M1003" t="s">
        <v>4400</v>
      </c>
      <c r="N1003" t="s">
        <v>4400</v>
      </c>
    </row>
    <row r="1004" spans="1:14" x14ac:dyDescent="0.4">
      <c r="A1004" t="s">
        <v>2331</v>
      </c>
      <c r="B1004" t="s">
        <v>2332</v>
      </c>
      <c r="C1004" t="s">
        <v>39</v>
      </c>
      <c r="D1004" t="s">
        <v>2333</v>
      </c>
      <c r="E1004" s="2">
        <v>10855.669999999996</v>
      </c>
      <c r="F1004" s="2">
        <v>4386.0900000000011</v>
      </c>
      <c r="G1004" s="2">
        <v>6299.75</v>
      </c>
      <c r="H1004" s="2">
        <v>8835.9999999999982</v>
      </c>
      <c r="I1004" s="2">
        <v>7159.2900000000027</v>
      </c>
      <c r="J1004" s="2">
        <v>5163.6100000000006</v>
      </c>
      <c r="K1004" s="2">
        <v>2572.7399999999998</v>
      </c>
      <c r="L1004" s="2">
        <v>45273.150000000009</v>
      </c>
      <c r="M1004" t="s">
        <v>4400</v>
      </c>
      <c r="N1004" t="s">
        <v>4400</v>
      </c>
    </row>
    <row r="1005" spans="1:14" x14ac:dyDescent="0.4">
      <c r="A1005" t="s">
        <v>2334</v>
      </c>
      <c r="B1005" t="s">
        <v>2335</v>
      </c>
      <c r="C1005" t="s">
        <v>390</v>
      </c>
      <c r="D1005" t="s">
        <v>650</v>
      </c>
      <c r="E1005" s="2"/>
      <c r="F1005" s="2"/>
      <c r="G1005" s="2">
        <v>838.33999999999992</v>
      </c>
      <c r="H1005" s="2">
        <v>765.43</v>
      </c>
      <c r="I1005" s="2">
        <v>765.42000000000007</v>
      </c>
      <c r="J1005" s="2"/>
      <c r="K1005" s="2"/>
      <c r="L1005" s="2">
        <v>2369.19</v>
      </c>
      <c r="M1005" t="s">
        <v>4411</v>
      </c>
      <c r="N1005" t="s">
        <v>4401</v>
      </c>
    </row>
    <row r="1006" spans="1:14" x14ac:dyDescent="0.4">
      <c r="A1006" t="s">
        <v>2336</v>
      </c>
      <c r="B1006" t="s">
        <v>1706</v>
      </c>
      <c r="C1006" t="s">
        <v>860</v>
      </c>
      <c r="D1006" t="s">
        <v>1707</v>
      </c>
      <c r="E1006" s="2">
        <v>2217.31</v>
      </c>
      <c r="F1006" s="2">
        <v>2171.75</v>
      </c>
      <c r="G1006" s="2">
        <v>3514.28</v>
      </c>
      <c r="H1006" s="2">
        <v>2615.1799999999998</v>
      </c>
      <c r="I1006" s="2">
        <v>3568.9700000000003</v>
      </c>
      <c r="J1006" s="2">
        <v>1448.8199999999997</v>
      </c>
      <c r="K1006" s="2">
        <v>1287.8499999999999</v>
      </c>
      <c r="L1006" s="2">
        <v>16824.159999999985</v>
      </c>
      <c r="M1006" t="s">
        <v>4400</v>
      </c>
      <c r="N1006" t="s">
        <v>4400</v>
      </c>
    </row>
    <row r="1007" spans="1:14" x14ac:dyDescent="0.4">
      <c r="A1007" t="s">
        <v>2337</v>
      </c>
      <c r="B1007" t="s">
        <v>2338</v>
      </c>
      <c r="C1007" t="s">
        <v>199</v>
      </c>
      <c r="D1007" t="s">
        <v>211</v>
      </c>
      <c r="E1007" s="2">
        <v>2396.6000000000004</v>
      </c>
      <c r="F1007" s="2">
        <v>3617.6400000000003</v>
      </c>
      <c r="G1007" s="2">
        <v>4626.0700000000006</v>
      </c>
      <c r="H1007" s="2">
        <v>3638.89</v>
      </c>
      <c r="I1007" s="2">
        <v>1634.1699999999998</v>
      </c>
      <c r="J1007" s="2">
        <v>3095.16</v>
      </c>
      <c r="K1007" s="2">
        <v>1479.2399999999996</v>
      </c>
      <c r="L1007" s="2">
        <v>20487.769999999964</v>
      </c>
      <c r="M1007" t="s">
        <v>4400</v>
      </c>
      <c r="N1007" t="s">
        <v>4400</v>
      </c>
    </row>
    <row r="1008" spans="1:14" x14ac:dyDescent="0.4">
      <c r="A1008" t="s">
        <v>2339</v>
      </c>
      <c r="B1008" t="s">
        <v>2340</v>
      </c>
      <c r="C1008" t="s">
        <v>433</v>
      </c>
      <c r="D1008" t="s">
        <v>434</v>
      </c>
      <c r="E1008" s="2">
        <v>4571.55</v>
      </c>
      <c r="F1008" s="2"/>
      <c r="G1008" s="2"/>
      <c r="H1008" s="2"/>
      <c r="I1008" s="2"/>
      <c r="J1008" s="2">
        <v>1442.7499999999998</v>
      </c>
      <c r="K1008" s="2"/>
      <c r="L1008" s="2">
        <v>6014.2999999999965</v>
      </c>
      <c r="M1008" t="s">
        <v>4400</v>
      </c>
      <c r="N1008" t="s">
        <v>4406</v>
      </c>
    </row>
    <row r="1009" spans="1:14" x14ac:dyDescent="0.4">
      <c r="A1009" t="s">
        <v>2341</v>
      </c>
      <c r="B1009" t="s">
        <v>2342</v>
      </c>
      <c r="C1009" t="s">
        <v>64</v>
      </c>
      <c r="D1009" t="s">
        <v>2343</v>
      </c>
      <c r="E1009" s="2">
        <v>5816.6600000000008</v>
      </c>
      <c r="F1009" s="2">
        <v>4215.92</v>
      </c>
      <c r="G1009" s="2">
        <v>3906.099999999999</v>
      </c>
      <c r="H1009" s="2">
        <v>5130.18</v>
      </c>
      <c r="I1009" s="2">
        <v>6904.0500000000011</v>
      </c>
      <c r="J1009" s="2">
        <v>6408.97</v>
      </c>
      <c r="K1009" s="2"/>
      <c r="L1009" s="2">
        <v>32381.879999999943</v>
      </c>
      <c r="M1009" t="s">
        <v>4400</v>
      </c>
      <c r="N1009" t="s">
        <v>4406</v>
      </c>
    </row>
    <row r="1010" spans="1:14" x14ac:dyDescent="0.4">
      <c r="A1010" t="s">
        <v>2344</v>
      </c>
      <c r="B1010" t="s">
        <v>2345</v>
      </c>
      <c r="C1010" t="s">
        <v>19</v>
      </c>
      <c r="D1010" t="s">
        <v>539</v>
      </c>
      <c r="E1010" s="2">
        <v>1473.17</v>
      </c>
      <c r="F1010" s="2">
        <v>725.94999999999993</v>
      </c>
      <c r="G1010" s="2">
        <v>756.32999999999993</v>
      </c>
      <c r="H1010" s="2"/>
      <c r="I1010" s="2"/>
      <c r="J1010" s="2"/>
      <c r="K1010" s="2"/>
      <c r="L1010" s="2">
        <v>2955.4499999999994</v>
      </c>
      <c r="M1010" t="s">
        <v>4400</v>
      </c>
      <c r="N1010" t="s">
        <v>4403</v>
      </c>
    </row>
    <row r="1011" spans="1:14" x14ac:dyDescent="0.4">
      <c r="A1011" t="s">
        <v>2346</v>
      </c>
      <c r="B1011" t="s">
        <v>2347</v>
      </c>
      <c r="C1011" t="s">
        <v>220</v>
      </c>
      <c r="D1011" t="s">
        <v>797</v>
      </c>
      <c r="E1011" s="2">
        <v>3382.12</v>
      </c>
      <c r="F1011" s="2">
        <v>3125.1199999999994</v>
      </c>
      <c r="G1011" s="2">
        <v>3119.9799999999996</v>
      </c>
      <c r="H1011" s="2">
        <v>2932.369999999999</v>
      </c>
      <c r="I1011" s="2">
        <v>2970.9199999999996</v>
      </c>
      <c r="J1011" s="2">
        <v>3657.1099999999988</v>
      </c>
      <c r="K1011" s="2">
        <v>1452.0499999999997</v>
      </c>
      <c r="L1011" s="2">
        <v>20639.670000000075</v>
      </c>
      <c r="M1011" t="s">
        <v>4400</v>
      </c>
      <c r="N1011" t="s">
        <v>4400</v>
      </c>
    </row>
    <row r="1012" spans="1:14" x14ac:dyDescent="0.4">
      <c r="A1012" t="s">
        <v>2348</v>
      </c>
      <c r="B1012" t="s">
        <v>2349</v>
      </c>
      <c r="C1012" t="s">
        <v>462</v>
      </c>
      <c r="D1012" t="s">
        <v>463</v>
      </c>
      <c r="E1012" s="2">
        <v>4792.9099999999989</v>
      </c>
      <c r="F1012" s="2">
        <v>4681.7800000000007</v>
      </c>
      <c r="G1012" s="2">
        <v>7869.19</v>
      </c>
      <c r="H1012" s="2">
        <v>5886.5300000000016</v>
      </c>
      <c r="I1012" s="2">
        <v>4184.1699999999992</v>
      </c>
      <c r="J1012" s="2">
        <v>4572.329999999999</v>
      </c>
      <c r="K1012" s="2">
        <v>1925.1699999999994</v>
      </c>
      <c r="L1012" s="2">
        <v>33912.079999999951</v>
      </c>
      <c r="M1012" t="s">
        <v>4400</v>
      </c>
      <c r="N1012" t="s">
        <v>4400</v>
      </c>
    </row>
    <row r="1013" spans="1:14" x14ac:dyDescent="0.4">
      <c r="A1013" t="s">
        <v>2350</v>
      </c>
      <c r="B1013" t="s">
        <v>2351</v>
      </c>
      <c r="C1013" t="s">
        <v>1</v>
      </c>
      <c r="D1013" t="s">
        <v>507</v>
      </c>
      <c r="E1013" s="2"/>
      <c r="F1013" s="2"/>
      <c r="G1013" s="2">
        <v>780.62999999999988</v>
      </c>
      <c r="H1013" s="2">
        <v>3161.9700000000003</v>
      </c>
      <c r="I1013" s="2">
        <v>3222.74</v>
      </c>
      <c r="J1013" s="2">
        <v>896.05000000000007</v>
      </c>
      <c r="K1013" s="2"/>
      <c r="L1013" s="2">
        <v>8061.3899999999967</v>
      </c>
      <c r="M1013" t="s">
        <v>4411</v>
      </c>
      <c r="N1013" t="s">
        <v>4406</v>
      </c>
    </row>
    <row r="1014" spans="1:14" x14ac:dyDescent="0.4">
      <c r="A1014" t="s">
        <v>2352</v>
      </c>
      <c r="B1014" t="s">
        <v>2353</v>
      </c>
      <c r="C1014" t="s">
        <v>359</v>
      </c>
      <c r="D1014" t="s">
        <v>360</v>
      </c>
      <c r="E1014" s="2">
        <v>9060.5199999999968</v>
      </c>
      <c r="F1014" s="2">
        <v>6490.8799999999992</v>
      </c>
      <c r="G1014" s="2">
        <v>8896.5399999999972</v>
      </c>
      <c r="H1014" s="2">
        <v>7241.16</v>
      </c>
      <c r="I1014" s="2">
        <v>7265.47</v>
      </c>
      <c r="J1014" s="2">
        <v>9956.5700000000033</v>
      </c>
      <c r="K1014" s="2">
        <v>2019.8799999999997</v>
      </c>
      <c r="L1014" s="2">
        <v>50931.019999999975</v>
      </c>
      <c r="M1014" t="s">
        <v>4400</v>
      </c>
      <c r="N1014" t="s">
        <v>4400</v>
      </c>
    </row>
    <row r="1015" spans="1:14" x14ac:dyDescent="0.4">
      <c r="A1015" t="s">
        <v>2354</v>
      </c>
      <c r="B1015" t="s">
        <v>2355</v>
      </c>
      <c r="C1015" t="s">
        <v>113</v>
      </c>
      <c r="D1015" t="s">
        <v>117</v>
      </c>
      <c r="E1015" s="2"/>
      <c r="F1015" s="2">
        <v>756.31000000000006</v>
      </c>
      <c r="G1015" s="2"/>
      <c r="H1015" s="2"/>
      <c r="I1015" s="2"/>
      <c r="J1015" s="2"/>
      <c r="K1015" s="2"/>
      <c r="L1015" s="2">
        <v>756.31000000000006</v>
      </c>
      <c r="M1015" t="s">
        <v>4412</v>
      </c>
      <c r="N1015" t="s">
        <v>4410</v>
      </c>
    </row>
    <row r="1016" spans="1:14" x14ac:dyDescent="0.4">
      <c r="A1016" t="s">
        <v>2356</v>
      </c>
      <c r="B1016" t="s">
        <v>2357</v>
      </c>
      <c r="C1016" t="s">
        <v>113</v>
      </c>
      <c r="D1016" t="s">
        <v>1488</v>
      </c>
      <c r="E1016" s="2">
        <v>5974.6199999999963</v>
      </c>
      <c r="F1016" s="2">
        <v>4234.1699999999992</v>
      </c>
      <c r="G1016" s="2">
        <v>4030.6600000000008</v>
      </c>
      <c r="H1016" s="2">
        <v>6840.2699999999995</v>
      </c>
      <c r="I1016" s="2">
        <v>4981.3799999999992</v>
      </c>
      <c r="J1016" s="2">
        <v>4604.7299999999996</v>
      </c>
      <c r="K1016" s="2">
        <v>2609.15</v>
      </c>
      <c r="L1016" s="2">
        <v>33274.979999999996</v>
      </c>
      <c r="M1016" t="s">
        <v>4400</v>
      </c>
      <c r="N1016" t="s">
        <v>4400</v>
      </c>
    </row>
    <row r="1017" spans="1:14" x14ac:dyDescent="0.4">
      <c r="A1017" t="s">
        <v>2358</v>
      </c>
      <c r="B1017" t="s">
        <v>2359</v>
      </c>
      <c r="C1017" t="s">
        <v>9</v>
      </c>
      <c r="D1017" t="s">
        <v>1206</v>
      </c>
      <c r="E1017" s="2">
        <v>3417.1200000000003</v>
      </c>
      <c r="F1017" s="2">
        <v>3717.8799999999997</v>
      </c>
      <c r="G1017" s="2">
        <v>4935.9399999999978</v>
      </c>
      <c r="H1017" s="2">
        <v>4814.369999999999</v>
      </c>
      <c r="I1017" s="2">
        <v>4346.6900000000005</v>
      </c>
      <c r="J1017" s="2">
        <v>3799.9599999999996</v>
      </c>
      <c r="K1017" s="2">
        <v>2278.14</v>
      </c>
      <c r="L1017" s="2">
        <v>27310.100000000006</v>
      </c>
      <c r="M1017" t="s">
        <v>4400</v>
      </c>
      <c r="N1017" t="s">
        <v>4400</v>
      </c>
    </row>
    <row r="1018" spans="1:14" x14ac:dyDescent="0.4">
      <c r="A1018" t="s">
        <v>2360</v>
      </c>
      <c r="B1018" t="s">
        <v>2361</v>
      </c>
      <c r="C1018" t="s">
        <v>78</v>
      </c>
      <c r="D1018" t="s">
        <v>79</v>
      </c>
      <c r="E1018" s="2">
        <v>4547.05</v>
      </c>
      <c r="F1018" s="2">
        <v>5528.17</v>
      </c>
      <c r="G1018" s="2">
        <v>6001.9699999999993</v>
      </c>
      <c r="H1018" s="2">
        <v>5850.1000000000013</v>
      </c>
      <c r="I1018" s="2">
        <v>4383.01</v>
      </c>
      <c r="J1018" s="2">
        <v>5221.2500000000009</v>
      </c>
      <c r="K1018" s="2">
        <v>2226.4399999999996</v>
      </c>
      <c r="L1018" s="2">
        <v>33757.989999999925</v>
      </c>
      <c r="M1018" t="s">
        <v>4400</v>
      </c>
      <c r="N1018" t="s">
        <v>4400</v>
      </c>
    </row>
    <row r="1019" spans="1:14" x14ac:dyDescent="0.4">
      <c r="A1019" t="s">
        <v>2362</v>
      </c>
      <c r="B1019" t="s">
        <v>2363</v>
      </c>
      <c r="C1019" t="s">
        <v>159</v>
      </c>
      <c r="D1019" t="s">
        <v>833</v>
      </c>
      <c r="E1019" s="2">
        <v>3708.7100000000009</v>
      </c>
      <c r="F1019" s="2">
        <v>2873.41</v>
      </c>
      <c r="G1019" s="2">
        <v>908.19</v>
      </c>
      <c r="H1019" s="2">
        <v>2764.0300000000007</v>
      </c>
      <c r="I1019" s="2">
        <v>2876.4500000000007</v>
      </c>
      <c r="J1019" s="2">
        <v>2764.08</v>
      </c>
      <c r="K1019" s="2">
        <v>1861.9699999999996</v>
      </c>
      <c r="L1019" s="2">
        <v>17756.839999999986</v>
      </c>
      <c r="M1019" t="s">
        <v>4400</v>
      </c>
      <c r="N1019" t="s">
        <v>4400</v>
      </c>
    </row>
    <row r="1020" spans="1:14" x14ac:dyDescent="0.4">
      <c r="A1020" t="s">
        <v>2364</v>
      </c>
      <c r="B1020" t="s">
        <v>2365</v>
      </c>
      <c r="C1020" t="s">
        <v>109</v>
      </c>
      <c r="D1020" t="s">
        <v>1374</v>
      </c>
      <c r="E1020" s="2">
        <v>2350.98</v>
      </c>
      <c r="F1020" s="2">
        <v>3000.9699999999993</v>
      </c>
      <c r="G1020" s="2">
        <v>4061.0899999999997</v>
      </c>
      <c r="H1020" s="2">
        <v>6162.9299999999985</v>
      </c>
      <c r="I1020" s="2">
        <v>6785.6399999999976</v>
      </c>
      <c r="J1020" s="2">
        <v>4209.8599999999997</v>
      </c>
      <c r="K1020" s="2">
        <v>1637.17</v>
      </c>
      <c r="L1020" s="2">
        <v>28208.639999999985</v>
      </c>
      <c r="M1020" t="s">
        <v>4400</v>
      </c>
      <c r="N1020" t="s">
        <v>4400</v>
      </c>
    </row>
    <row r="1021" spans="1:14" x14ac:dyDescent="0.4">
      <c r="A1021" t="s">
        <v>2366</v>
      </c>
      <c r="B1021" t="s">
        <v>2367</v>
      </c>
      <c r="C1021" t="s">
        <v>267</v>
      </c>
      <c r="D1021" t="s">
        <v>2368</v>
      </c>
      <c r="E1021" s="2"/>
      <c r="F1021" s="2"/>
      <c r="G1021" s="2"/>
      <c r="H1021" s="2"/>
      <c r="I1021" s="2">
        <v>4543.9400000000014</v>
      </c>
      <c r="J1021" s="2">
        <v>3517.2800000000007</v>
      </c>
      <c r="K1021" s="2">
        <v>1861.9099999999999</v>
      </c>
      <c r="L1021" s="2">
        <v>9923.1299999999956</v>
      </c>
      <c r="M1021" t="s">
        <v>4408</v>
      </c>
      <c r="N1021" t="s">
        <v>4400</v>
      </c>
    </row>
    <row r="1022" spans="1:14" x14ac:dyDescent="0.4">
      <c r="A1022" t="s">
        <v>2369</v>
      </c>
      <c r="B1022" t="s">
        <v>2370</v>
      </c>
      <c r="C1022" t="s">
        <v>267</v>
      </c>
      <c r="D1022" t="s">
        <v>518</v>
      </c>
      <c r="E1022" s="2">
        <v>2649.6999999999989</v>
      </c>
      <c r="F1022" s="2">
        <v>3009.4699999999993</v>
      </c>
      <c r="G1022" s="2">
        <v>3916.6799999999994</v>
      </c>
      <c r="H1022" s="2">
        <v>2248.75</v>
      </c>
      <c r="I1022" s="2">
        <v>4001.4899999999993</v>
      </c>
      <c r="J1022" s="2">
        <v>3158.5299999999993</v>
      </c>
      <c r="K1022" s="2">
        <v>1703.9099999999999</v>
      </c>
      <c r="L1022" s="2">
        <v>20688.53000000001</v>
      </c>
      <c r="M1022" t="s">
        <v>4400</v>
      </c>
      <c r="N1022" t="s">
        <v>4400</v>
      </c>
    </row>
    <row r="1023" spans="1:14" x14ac:dyDescent="0.4">
      <c r="A1023" t="s">
        <v>2371</v>
      </c>
      <c r="B1023" t="s">
        <v>2372</v>
      </c>
      <c r="C1023" t="s">
        <v>291</v>
      </c>
      <c r="D1023" t="s">
        <v>295</v>
      </c>
      <c r="E1023" s="2">
        <v>5127.08</v>
      </c>
      <c r="F1023" s="2">
        <v>3568.97</v>
      </c>
      <c r="G1023" s="2">
        <v>2751.8700000000003</v>
      </c>
      <c r="H1023" s="2">
        <v>826.16000000000008</v>
      </c>
      <c r="I1023" s="2"/>
      <c r="J1023" s="2"/>
      <c r="K1023" s="2"/>
      <c r="L1023" s="2">
        <v>12274.079999999991</v>
      </c>
      <c r="M1023" t="s">
        <v>4400</v>
      </c>
      <c r="N1023" t="s">
        <v>4402</v>
      </c>
    </row>
    <row r="1024" spans="1:14" x14ac:dyDescent="0.4">
      <c r="A1024" t="s">
        <v>2373</v>
      </c>
      <c r="B1024" t="s">
        <v>2374</v>
      </c>
      <c r="C1024" t="s">
        <v>310</v>
      </c>
      <c r="D1024" t="s">
        <v>311</v>
      </c>
      <c r="E1024" s="2">
        <v>3883.2699999999995</v>
      </c>
      <c r="F1024" s="2">
        <v>3988.639999999999</v>
      </c>
      <c r="G1024" s="2">
        <v>4746.7899999999991</v>
      </c>
      <c r="H1024" s="2">
        <v>3914.1099999999992</v>
      </c>
      <c r="I1024" s="2">
        <v>4672.2599999999984</v>
      </c>
      <c r="J1024" s="2"/>
      <c r="K1024" s="2">
        <v>878.94</v>
      </c>
      <c r="L1024" s="2">
        <v>22084.010000000031</v>
      </c>
      <c r="M1024" t="s">
        <v>4400</v>
      </c>
      <c r="N1024" t="s">
        <v>4400</v>
      </c>
    </row>
    <row r="1025" spans="1:14" x14ac:dyDescent="0.4">
      <c r="A1025" t="s">
        <v>2375</v>
      </c>
      <c r="B1025" t="s">
        <v>2376</v>
      </c>
      <c r="C1025" t="s">
        <v>374</v>
      </c>
      <c r="D1025" t="s">
        <v>2377</v>
      </c>
      <c r="E1025" s="2"/>
      <c r="F1025" s="2"/>
      <c r="G1025" s="2"/>
      <c r="H1025" s="2"/>
      <c r="I1025" s="2"/>
      <c r="J1025" s="2">
        <v>777.58000000000015</v>
      </c>
      <c r="K1025" s="2"/>
      <c r="L1025" s="2">
        <v>777.58000000000015</v>
      </c>
      <c r="M1025" t="s">
        <v>4405</v>
      </c>
      <c r="N1025" t="s">
        <v>4406</v>
      </c>
    </row>
    <row r="1026" spans="1:14" x14ac:dyDescent="0.4">
      <c r="A1026" t="s">
        <v>2378</v>
      </c>
      <c r="B1026" t="s">
        <v>2379</v>
      </c>
      <c r="C1026" t="s">
        <v>35</v>
      </c>
      <c r="D1026" t="s">
        <v>36</v>
      </c>
      <c r="E1026" s="2"/>
      <c r="F1026" s="2"/>
      <c r="G1026" s="2"/>
      <c r="H1026" s="2">
        <v>1472.6100000000001</v>
      </c>
      <c r="I1026" s="2">
        <v>2446.64</v>
      </c>
      <c r="J1026" s="2">
        <v>4124.8500000000004</v>
      </c>
      <c r="K1026" s="2">
        <v>1626.8099999999997</v>
      </c>
      <c r="L1026" s="2">
        <v>9670.91</v>
      </c>
      <c r="M1026" t="s">
        <v>4409</v>
      </c>
      <c r="N1026" t="s">
        <v>4400</v>
      </c>
    </row>
    <row r="1027" spans="1:14" x14ac:dyDescent="0.4">
      <c r="A1027" t="s">
        <v>2380</v>
      </c>
      <c r="B1027" t="s">
        <v>2381</v>
      </c>
      <c r="C1027" t="s">
        <v>35</v>
      </c>
      <c r="D1027" t="s">
        <v>36</v>
      </c>
      <c r="E1027" s="2">
        <v>5045.2000000000016</v>
      </c>
      <c r="F1027" s="2">
        <v>4862.9500000000016</v>
      </c>
      <c r="G1027" s="2">
        <v>4780.9299999999985</v>
      </c>
      <c r="H1027" s="2">
        <v>5698.21</v>
      </c>
      <c r="I1027" s="2">
        <v>3350.2499999999995</v>
      </c>
      <c r="J1027" s="2">
        <v>4853.8099999999995</v>
      </c>
      <c r="K1027" s="2">
        <v>2405.65</v>
      </c>
      <c r="L1027" s="2">
        <v>30996.999999999953</v>
      </c>
      <c r="M1027" t="s">
        <v>4400</v>
      </c>
      <c r="N1027" t="s">
        <v>4400</v>
      </c>
    </row>
    <row r="1028" spans="1:14" x14ac:dyDescent="0.4">
      <c r="A1028" t="s">
        <v>2382</v>
      </c>
      <c r="B1028" t="s">
        <v>2383</v>
      </c>
      <c r="C1028" t="s">
        <v>1525</v>
      </c>
      <c r="D1028" t="s">
        <v>1526</v>
      </c>
      <c r="E1028" s="2">
        <v>826.23</v>
      </c>
      <c r="F1028" s="2"/>
      <c r="G1028" s="2"/>
      <c r="H1028" s="2"/>
      <c r="I1028" s="2"/>
      <c r="J1028" s="2"/>
      <c r="K1028" s="2">
        <v>886.94</v>
      </c>
      <c r="L1028" s="2">
        <v>1713.1699999999996</v>
      </c>
      <c r="M1028" t="s">
        <v>4400</v>
      </c>
      <c r="N1028" t="s">
        <v>4400</v>
      </c>
    </row>
    <row r="1029" spans="1:14" x14ac:dyDescent="0.4">
      <c r="A1029" t="s">
        <v>2384</v>
      </c>
      <c r="B1029" t="s">
        <v>2385</v>
      </c>
      <c r="C1029" t="s">
        <v>35</v>
      </c>
      <c r="D1029" t="s">
        <v>2386</v>
      </c>
      <c r="E1029" s="2"/>
      <c r="F1029" s="2"/>
      <c r="G1029" s="2">
        <v>3341.1299999999997</v>
      </c>
      <c r="H1029" s="2">
        <v>7292.84</v>
      </c>
      <c r="I1029" s="2">
        <v>4534.8100000000004</v>
      </c>
      <c r="J1029" s="2">
        <v>4018.4199999999996</v>
      </c>
      <c r="K1029" s="2">
        <v>1874.03</v>
      </c>
      <c r="L1029" s="2">
        <v>21061.22999999996</v>
      </c>
      <c r="M1029" t="s">
        <v>4411</v>
      </c>
      <c r="N1029" t="s">
        <v>4400</v>
      </c>
    </row>
    <row r="1030" spans="1:14" x14ac:dyDescent="0.4">
      <c r="A1030" t="s">
        <v>2387</v>
      </c>
      <c r="B1030" t="s">
        <v>2388</v>
      </c>
      <c r="C1030" t="s">
        <v>291</v>
      </c>
      <c r="D1030" t="s">
        <v>2389</v>
      </c>
      <c r="E1030" s="2">
        <v>3623.6899999999996</v>
      </c>
      <c r="F1030" s="2">
        <v>3158.92</v>
      </c>
      <c r="G1030" s="2">
        <v>2387.4299999999998</v>
      </c>
      <c r="H1030" s="2">
        <v>4006.48</v>
      </c>
      <c r="I1030" s="2">
        <v>4343.5599999999995</v>
      </c>
      <c r="J1030" s="2">
        <v>3432.3599999999992</v>
      </c>
      <c r="K1030" s="2">
        <v>1707.08</v>
      </c>
      <c r="L1030" s="2">
        <v>22659.519999999982</v>
      </c>
      <c r="M1030" t="s">
        <v>4400</v>
      </c>
      <c r="N1030" t="s">
        <v>4400</v>
      </c>
    </row>
    <row r="1031" spans="1:14" x14ac:dyDescent="0.4">
      <c r="A1031" t="s">
        <v>2390</v>
      </c>
      <c r="B1031" t="s">
        <v>2391</v>
      </c>
      <c r="C1031" t="s">
        <v>291</v>
      </c>
      <c r="D1031" t="s">
        <v>295</v>
      </c>
      <c r="E1031" s="2">
        <v>4571.3700000000008</v>
      </c>
      <c r="F1031" s="2">
        <v>2803.5699999999997</v>
      </c>
      <c r="G1031" s="2">
        <v>1567.33</v>
      </c>
      <c r="H1031" s="2">
        <v>1482.26</v>
      </c>
      <c r="I1031" s="2">
        <v>2223.38</v>
      </c>
      <c r="J1031" s="2">
        <v>3000.9999999999995</v>
      </c>
      <c r="K1031" s="2"/>
      <c r="L1031" s="2">
        <v>15648.909999999993</v>
      </c>
      <c r="M1031" t="s">
        <v>4400</v>
      </c>
      <c r="N1031" t="s">
        <v>4406</v>
      </c>
    </row>
    <row r="1032" spans="1:14" x14ac:dyDescent="0.4">
      <c r="A1032" t="s">
        <v>2392</v>
      </c>
      <c r="B1032" t="s">
        <v>2393</v>
      </c>
      <c r="C1032" t="s">
        <v>220</v>
      </c>
      <c r="D1032" t="s">
        <v>797</v>
      </c>
      <c r="E1032" s="2">
        <v>8228.2800000000025</v>
      </c>
      <c r="F1032" s="2">
        <v>8231.3000000000011</v>
      </c>
      <c r="G1032" s="2">
        <v>11125.990000000003</v>
      </c>
      <c r="H1032" s="2">
        <v>8580.6200000000026</v>
      </c>
      <c r="I1032" s="2">
        <v>8091.630000000001</v>
      </c>
      <c r="J1032" s="2">
        <v>9968.6899999999969</v>
      </c>
      <c r="K1032" s="2">
        <v>4313.1400000000003</v>
      </c>
      <c r="L1032" s="2">
        <v>58539.650000000067</v>
      </c>
      <c r="M1032" t="s">
        <v>4400</v>
      </c>
      <c r="N1032" t="s">
        <v>4400</v>
      </c>
    </row>
    <row r="1033" spans="1:14" x14ac:dyDescent="0.4">
      <c r="A1033" t="s">
        <v>2394</v>
      </c>
      <c r="B1033" t="s">
        <v>2395</v>
      </c>
      <c r="C1033" t="s">
        <v>279</v>
      </c>
      <c r="D1033" t="s">
        <v>596</v>
      </c>
      <c r="E1033" s="2">
        <v>1470.04</v>
      </c>
      <c r="F1033" s="2">
        <v>2194.7799999999997</v>
      </c>
      <c r="G1033" s="2">
        <v>2220.48</v>
      </c>
      <c r="H1033" s="2">
        <v>1660.22</v>
      </c>
      <c r="I1033" s="2">
        <v>1449.48</v>
      </c>
      <c r="J1033" s="2">
        <v>3711.079999999999</v>
      </c>
      <c r="K1033" s="2">
        <v>1467.4699999999998</v>
      </c>
      <c r="L1033" s="2">
        <v>14173.55000000001</v>
      </c>
      <c r="M1033" t="s">
        <v>4400</v>
      </c>
      <c r="N1033" t="s">
        <v>4400</v>
      </c>
    </row>
    <row r="1034" spans="1:14" x14ac:dyDescent="0.4">
      <c r="A1034" t="s">
        <v>2396</v>
      </c>
      <c r="B1034" t="s">
        <v>2397</v>
      </c>
      <c r="C1034" t="s">
        <v>939</v>
      </c>
      <c r="D1034" t="s">
        <v>1266</v>
      </c>
      <c r="E1034" s="2">
        <v>3392.869999999999</v>
      </c>
      <c r="F1034" s="2">
        <v>3547.7299999999982</v>
      </c>
      <c r="G1034" s="2">
        <v>4753.5999999999985</v>
      </c>
      <c r="H1034" s="2">
        <v>3972.9999999999991</v>
      </c>
      <c r="I1034" s="2">
        <v>5236.5700000000006</v>
      </c>
      <c r="J1034" s="2">
        <v>3787.7199999999984</v>
      </c>
      <c r="K1034" s="2">
        <v>1907.5300000000002</v>
      </c>
      <c r="L1034" s="2">
        <v>26599.01999999996</v>
      </c>
      <c r="M1034" t="s">
        <v>4400</v>
      </c>
      <c r="N1034" t="s">
        <v>4400</v>
      </c>
    </row>
    <row r="1035" spans="1:14" x14ac:dyDescent="0.4">
      <c r="A1035" t="s">
        <v>2398</v>
      </c>
      <c r="B1035" t="s">
        <v>1981</v>
      </c>
      <c r="C1035" t="s">
        <v>1</v>
      </c>
      <c r="D1035" t="s">
        <v>1030</v>
      </c>
      <c r="E1035" s="2">
        <v>3788.18</v>
      </c>
      <c r="F1035" s="2">
        <v>6610.0400000000045</v>
      </c>
      <c r="G1035" s="2">
        <v>6473.83</v>
      </c>
      <c r="H1035" s="2">
        <v>6044.6400000000058</v>
      </c>
      <c r="I1035" s="2">
        <v>7856.4900000000071</v>
      </c>
      <c r="J1035" s="2">
        <v>4569.46</v>
      </c>
      <c r="K1035" s="2">
        <v>2246.1799999999994</v>
      </c>
      <c r="L1035" s="2">
        <v>37588.820000000014</v>
      </c>
      <c r="M1035" t="s">
        <v>4400</v>
      </c>
      <c r="N1035" t="s">
        <v>4400</v>
      </c>
    </row>
    <row r="1036" spans="1:14" x14ac:dyDescent="0.4">
      <c r="A1036" t="s">
        <v>2399</v>
      </c>
      <c r="B1036" t="s">
        <v>2400</v>
      </c>
      <c r="C1036" t="s">
        <v>220</v>
      </c>
      <c r="D1036" t="s">
        <v>2302</v>
      </c>
      <c r="E1036" s="2"/>
      <c r="F1036" s="2"/>
      <c r="G1036" s="2">
        <v>742.73</v>
      </c>
      <c r="H1036" s="2"/>
      <c r="I1036" s="2"/>
      <c r="J1036" s="2"/>
      <c r="K1036" s="2"/>
      <c r="L1036" s="2">
        <v>742.73</v>
      </c>
      <c r="M1036" t="s">
        <v>4411</v>
      </c>
      <c r="N1036" t="s">
        <v>4403</v>
      </c>
    </row>
    <row r="1037" spans="1:14" x14ac:dyDescent="0.4">
      <c r="A1037" t="s">
        <v>2401</v>
      </c>
      <c r="B1037" t="s">
        <v>2402</v>
      </c>
      <c r="C1037" t="s">
        <v>220</v>
      </c>
      <c r="D1037" t="s">
        <v>2403</v>
      </c>
      <c r="E1037" s="2">
        <v>2310.4299999999998</v>
      </c>
      <c r="F1037" s="2">
        <v>2441.4999999999991</v>
      </c>
      <c r="G1037" s="2">
        <v>2785.8799999999997</v>
      </c>
      <c r="H1037" s="2">
        <v>5242.8</v>
      </c>
      <c r="I1037" s="2">
        <v>3256.1899999999987</v>
      </c>
      <c r="J1037" s="2">
        <v>3374.409999999998</v>
      </c>
      <c r="K1037" s="2">
        <v>1518.87</v>
      </c>
      <c r="L1037" s="2">
        <v>20930.080000000067</v>
      </c>
      <c r="M1037" t="s">
        <v>4400</v>
      </c>
      <c r="N1037" t="s">
        <v>4400</v>
      </c>
    </row>
    <row r="1038" spans="1:14" x14ac:dyDescent="0.4">
      <c r="A1038" t="s">
        <v>2404</v>
      </c>
      <c r="B1038" t="s">
        <v>2405</v>
      </c>
      <c r="C1038" t="s">
        <v>186</v>
      </c>
      <c r="D1038" t="s">
        <v>190</v>
      </c>
      <c r="E1038" s="2">
        <v>1500.5</v>
      </c>
      <c r="F1038" s="2">
        <v>3098.2099999999996</v>
      </c>
      <c r="G1038" s="2">
        <v>722.91000000000008</v>
      </c>
      <c r="H1038" s="2">
        <v>1473.1499999999999</v>
      </c>
      <c r="I1038" s="2"/>
      <c r="J1038" s="2">
        <v>1503.5399999999997</v>
      </c>
      <c r="K1038" s="2"/>
      <c r="L1038" s="2">
        <v>8298.3099999999959</v>
      </c>
      <c r="M1038" t="s">
        <v>4400</v>
      </c>
      <c r="N1038" t="s">
        <v>4406</v>
      </c>
    </row>
    <row r="1039" spans="1:14" x14ac:dyDescent="0.4">
      <c r="A1039" t="s">
        <v>2406</v>
      </c>
      <c r="B1039" t="s">
        <v>2407</v>
      </c>
      <c r="C1039" t="s">
        <v>240</v>
      </c>
      <c r="D1039" t="s">
        <v>1117</v>
      </c>
      <c r="E1039" s="2">
        <v>737.58999999999992</v>
      </c>
      <c r="F1039" s="2">
        <v>732.44999999999993</v>
      </c>
      <c r="G1039" s="2">
        <v>1454.6200000000001</v>
      </c>
      <c r="H1039" s="2">
        <v>2197.3499999999995</v>
      </c>
      <c r="I1039" s="2">
        <v>735.01999999999987</v>
      </c>
      <c r="J1039" s="2">
        <v>873.8</v>
      </c>
      <c r="K1039" s="2"/>
      <c r="L1039" s="2">
        <v>6730.8299999999981</v>
      </c>
      <c r="M1039" t="s">
        <v>4400</v>
      </c>
      <c r="N1039" t="s">
        <v>4406</v>
      </c>
    </row>
    <row r="1040" spans="1:14" x14ac:dyDescent="0.4">
      <c r="A1040" t="s">
        <v>2408</v>
      </c>
      <c r="B1040" t="s">
        <v>2054</v>
      </c>
      <c r="C1040" t="s">
        <v>1</v>
      </c>
      <c r="D1040" t="s">
        <v>88</v>
      </c>
      <c r="E1040" s="2"/>
      <c r="F1040" s="2"/>
      <c r="G1040" s="2"/>
      <c r="H1040" s="2"/>
      <c r="I1040" s="2">
        <v>1622.05</v>
      </c>
      <c r="J1040" s="2">
        <v>762.41</v>
      </c>
      <c r="K1040" s="2">
        <v>756.34</v>
      </c>
      <c r="L1040" s="2">
        <v>3140.8</v>
      </c>
      <c r="M1040" t="s">
        <v>4408</v>
      </c>
      <c r="N1040" t="s">
        <v>4400</v>
      </c>
    </row>
    <row r="1041" spans="1:14" x14ac:dyDescent="0.4">
      <c r="A1041" t="s">
        <v>2409</v>
      </c>
      <c r="B1041" t="s">
        <v>2410</v>
      </c>
      <c r="C1041" t="s">
        <v>602</v>
      </c>
      <c r="D1041" t="s">
        <v>2411</v>
      </c>
      <c r="E1041" s="2"/>
      <c r="F1041" s="2"/>
      <c r="G1041" s="2"/>
      <c r="H1041" s="2"/>
      <c r="I1041" s="2">
        <v>1652.3100000000002</v>
      </c>
      <c r="J1041" s="2">
        <v>1181.55</v>
      </c>
      <c r="K1041" s="2">
        <v>880.81999999999994</v>
      </c>
      <c r="L1041" s="2">
        <v>3714.6800000000003</v>
      </c>
      <c r="M1041" t="s">
        <v>4408</v>
      </c>
      <c r="N1041" t="s">
        <v>4400</v>
      </c>
    </row>
    <row r="1042" spans="1:14" x14ac:dyDescent="0.4">
      <c r="A1042" t="s">
        <v>2412</v>
      </c>
      <c r="B1042" t="s">
        <v>2413</v>
      </c>
      <c r="C1042" t="s">
        <v>433</v>
      </c>
      <c r="D1042" t="s">
        <v>1174</v>
      </c>
      <c r="E1042" s="2"/>
      <c r="F1042" s="2"/>
      <c r="G1042" s="2"/>
      <c r="H1042" s="2"/>
      <c r="I1042" s="2"/>
      <c r="J1042" s="2"/>
      <c r="K1042" s="2">
        <v>1661.4699999999998</v>
      </c>
      <c r="L1042" s="2">
        <v>1661.4699999999998</v>
      </c>
      <c r="M1042" t="s">
        <v>4404</v>
      </c>
      <c r="N1042" t="s">
        <v>4400</v>
      </c>
    </row>
    <row r="1043" spans="1:14" x14ac:dyDescent="0.4">
      <c r="A1043" t="s">
        <v>2412</v>
      </c>
      <c r="B1043" t="s">
        <v>2414</v>
      </c>
      <c r="C1043" t="s">
        <v>359</v>
      </c>
      <c r="D1043" t="s">
        <v>360</v>
      </c>
      <c r="E1043" s="2"/>
      <c r="F1043" s="2"/>
      <c r="G1043" s="2"/>
      <c r="H1043" s="2"/>
      <c r="I1043" s="2"/>
      <c r="J1043" s="2">
        <v>3596.2999999999997</v>
      </c>
      <c r="K1043" s="2"/>
      <c r="L1043" s="2">
        <v>3596.2999999999997</v>
      </c>
      <c r="M1043" t="s">
        <v>4405</v>
      </c>
      <c r="N1043" t="s">
        <v>4406</v>
      </c>
    </row>
    <row r="1044" spans="1:14" x14ac:dyDescent="0.4">
      <c r="A1044" t="s">
        <v>2415</v>
      </c>
      <c r="B1044" t="s">
        <v>2416</v>
      </c>
      <c r="C1044" t="s">
        <v>220</v>
      </c>
      <c r="D1044" t="s">
        <v>928</v>
      </c>
      <c r="E1044" s="2">
        <v>4580.5</v>
      </c>
      <c r="F1044" s="2">
        <v>5531.2399999999989</v>
      </c>
      <c r="G1044" s="2">
        <v>3720.8699999999994</v>
      </c>
      <c r="H1044" s="2">
        <v>4887.2299999999987</v>
      </c>
      <c r="I1044" s="2">
        <v>4862.93</v>
      </c>
      <c r="J1044" s="2">
        <v>5819.6799999999985</v>
      </c>
      <c r="K1044" s="2">
        <v>2414.75</v>
      </c>
      <c r="L1044" s="2">
        <v>31817.199999999993</v>
      </c>
      <c r="M1044" t="s">
        <v>4400</v>
      </c>
      <c r="N1044" t="s">
        <v>4400</v>
      </c>
    </row>
    <row r="1045" spans="1:14" x14ac:dyDescent="0.4">
      <c r="A1045" t="s">
        <v>2417</v>
      </c>
      <c r="B1045" t="s">
        <v>2418</v>
      </c>
      <c r="C1045" t="s">
        <v>52</v>
      </c>
      <c r="D1045" t="s">
        <v>53</v>
      </c>
      <c r="E1045" s="2">
        <v>4800.7599999999993</v>
      </c>
      <c r="F1045" s="2">
        <v>3968.0800000000004</v>
      </c>
      <c r="G1045" s="2">
        <v>4320.1699999999992</v>
      </c>
      <c r="H1045" s="2">
        <v>3885.8399999999997</v>
      </c>
      <c r="I1045" s="2">
        <v>4086.2999999999993</v>
      </c>
      <c r="J1045" s="2">
        <v>4261.0599999999995</v>
      </c>
      <c r="K1045" s="2">
        <v>1832.4099999999996</v>
      </c>
      <c r="L1045" s="2">
        <v>27154.620000000043</v>
      </c>
      <c r="M1045" t="s">
        <v>4400</v>
      </c>
      <c r="N1045" t="s">
        <v>4400</v>
      </c>
    </row>
    <row r="1046" spans="1:14" x14ac:dyDescent="0.4">
      <c r="A1046" t="s">
        <v>2419</v>
      </c>
      <c r="B1046" t="s">
        <v>2420</v>
      </c>
      <c r="C1046" t="s">
        <v>60</v>
      </c>
      <c r="D1046" t="s">
        <v>61</v>
      </c>
      <c r="E1046" s="2">
        <v>4249.3900000000003</v>
      </c>
      <c r="F1046" s="2">
        <v>4197.76</v>
      </c>
      <c r="G1046" s="2">
        <v>3617.5999999999995</v>
      </c>
      <c r="H1046" s="2"/>
      <c r="I1046" s="2"/>
      <c r="J1046" s="2"/>
      <c r="K1046" s="2"/>
      <c r="L1046" s="2">
        <v>12064.749999999991</v>
      </c>
      <c r="M1046" t="s">
        <v>4400</v>
      </c>
      <c r="N1046" t="s">
        <v>4403</v>
      </c>
    </row>
    <row r="1047" spans="1:14" x14ac:dyDescent="0.4">
      <c r="A1047" t="s">
        <v>2421</v>
      </c>
      <c r="B1047" t="s">
        <v>2422</v>
      </c>
      <c r="C1047" t="s">
        <v>227</v>
      </c>
      <c r="D1047" t="s">
        <v>2423</v>
      </c>
      <c r="E1047" s="2">
        <v>3122.4200000000005</v>
      </c>
      <c r="F1047" s="2">
        <v>2915.8700000000003</v>
      </c>
      <c r="G1047" s="2">
        <v>3696.4900000000007</v>
      </c>
      <c r="H1047" s="2">
        <v>3010.0399999999995</v>
      </c>
      <c r="I1047" s="2">
        <v>2991.82</v>
      </c>
      <c r="J1047" s="2">
        <v>3900.0000000000005</v>
      </c>
      <c r="K1047" s="2">
        <v>1536.9099999999999</v>
      </c>
      <c r="L1047" s="2">
        <v>21173.549999999985</v>
      </c>
      <c r="M1047" t="s">
        <v>4400</v>
      </c>
      <c r="N1047" t="s">
        <v>4400</v>
      </c>
    </row>
    <row r="1048" spans="1:14" x14ac:dyDescent="0.4">
      <c r="A1048" t="s">
        <v>2424</v>
      </c>
      <c r="B1048" t="s">
        <v>1116</v>
      </c>
      <c r="C1048" t="s">
        <v>279</v>
      </c>
      <c r="D1048" t="s">
        <v>280</v>
      </c>
      <c r="E1048" s="2"/>
      <c r="F1048" s="2"/>
      <c r="G1048" s="2"/>
      <c r="H1048" s="2"/>
      <c r="I1048" s="2"/>
      <c r="J1048" s="2">
        <v>2448.15</v>
      </c>
      <c r="K1048" s="2">
        <v>865.67000000000007</v>
      </c>
      <c r="L1048" s="2">
        <v>3313.8199999999997</v>
      </c>
      <c r="M1048" t="s">
        <v>4405</v>
      </c>
      <c r="N1048" t="s">
        <v>4400</v>
      </c>
    </row>
    <row r="1049" spans="1:14" x14ac:dyDescent="0.4">
      <c r="A1049" t="s">
        <v>2425</v>
      </c>
      <c r="B1049" t="s">
        <v>2426</v>
      </c>
      <c r="C1049" t="s">
        <v>167</v>
      </c>
      <c r="D1049" t="s">
        <v>1275</v>
      </c>
      <c r="E1049" s="2">
        <v>4789.920000000001</v>
      </c>
      <c r="F1049" s="2">
        <v>3975.8799999999992</v>
      </c>
      <c r="G1049" s="2">
        <v>5564.4500000000007</v>
      </c>
      <c r="H1049" s="2">
        <v>4079.1899999999996</v>
      </c>
      <c r="I1049" s="2">
        <v>5412.55</v>
      </c>
      <c r="J1049" s="2">
        <v>5761.86</v>
      </c>
      <c r="K1049" s="2">
        <v>2794.3499999999995</v>
      </c>
      <c r="L1049" s="2">
        <v>32378.199999999975</v>
      </c>
      <c r="M1049" t="s">
        <v>4400</v>
      </c>
      <c r="N1049" t="s">
        <v>4400</v>
      </c>
    </row>
    <row r="1050" spans="1:14" x14ac:dyDescent="0.4">
      <c r="A1050" t="s">
        <v>2427</v>
      </c>
      <c r="B1050" t="s">
        <v>2428</v>
      </c>
      <c r="C1050" t="s">
        <v>696</v>
      </c>
      <c r="D1050" t="s">
        <v>697</v>
      </c>
      <c r="E1050" s="2">
        <v>4622.92</v>
      </c>
      <c r="F1050" s="2">
        <v>4434.58</v>
      </c>
      <c r="G1050" s="2">
        <v>5221.25</v>
      </c>
      <c r="H1050" s="2">
        <v>4896.2299999999996</v>
      </c>
      <c r="I1050" s="2">
        <v>6952.5399999999963</v>
      </c>
      <c r="J1050" s="2">
        <v>5646.4899999999971</v>
      </c>
      <c r="K1050" s="2">
        <v>3240.9</v>
      </c>
      <c r="L1050" s="2">
        <v>35014.910000000011</v>
      </c>
      <c r="M1050" t="s">
        <v>4400</v>
      </c>
      <c r="N1050" t="s">
        <v>4400</v>
      </c>
    </row>
    <row r="1051" spans="1:14" x14ac:dyDescent="0.4">
      <c r="A1051" t="s">
        <v>2429</v>
      </c>
      <c r="B1051" t="s">
        <v>2430</v>
      </c>
      <c r="C1051" t="s">
        <v>91</v>
      </c>
      <c r="D1051" t="s">
        <v>868</v>
      </c>
      <c r="E1051" s="2"/>
      <c r="F1051" s="2"/>
      <c r="G1051" s="2"/>
      <c r="H1051" s="2">
        <v>4349.6499999999996</v>
      </c>
      <c r="I1051" s="2">
        <v>2056.3199999999993</v>
      </c>
      <c r="J1051" s="2">
        <v>3778.4699999999989</v>
      </c>
      <c r="K1051" s="2"/>
      <c r="L1051" s="2">
        <v>10184.439999999995</v>
      </c>
      <c r="M1051" t="s">
        <v>4409</v>
      </c>
      <c r="N1051" t="s">
        <v>4406</v>
      </c>
    </row>
    <row r="1052" spans="1:14" x14ac:dyDescent="0.4">
      <c r="A1052" t="s">
        <v>2429</v>
      </c>
      <c r="B1052" t="s">
        <v>2430</v>
      </c>
      <c r="C1052" t="s">
        <v>2431</v>
      </c>
      <c r="D1052" t="s">
        <v>868</v>
      </c>
      <c r="E1052" s="2"/>
      <c r="F1052" s="2"/>
      <c r="G1052" s="2"/>
      <c r="H1052" s="2"/>
      <c r="I1052" s="2"/>
      <c r="J1052" s="2"/>
      <c r="K1052" s="2">
        <v>1907.4499999999994</v>
      </c>
      <c r="L1052" s="2">
        <v>1907.4499999999994</v>
      </c>
      <c r="M1052" t="s">
        <v>4404</v>
      </c>
      <c r="N1052" t="s">
        <v>4400</v>
      </c>
    </row>
    <row r="1053" spans="1:14" x14ac:dyDescent="0.4">
      <c r="A1053" t="s">
        <v>2432</v>
      </c>
      <c r="B1053" t="s">
        <v>2433</v>
      </c>
      <c r="C1053" t="s">
        <v>310</v>
      </c>
      <c r="D1053" t="s">
        <v>311</v>
      </c>
      <c r="E1053" s="2"/>
      <c r="F1053" s="2"/>
      <c r="G1053" s="2"/>
      <c r="H1053" s="2">
        <v>735.05</v>
      </c>
      <c r="I1053" s="2"/>
      <c r="J1053" s="2">
        <v>1169.4100000000001</v>
      </c>
      <c r="K1053" s="2">
        <v>1075.27</v>
      </c>
      <c r="L1053" s="2">
        <v>2979.7299999999996</v>
      </c>
      <c r="M1053" t="s">
        <v>4409</v>
      </c>
      <c r="N1053" t="s">
        <v>4400</v>
      </c>
    </row>
    <row r="1054" spans="1:14" x14ac:dyDescent="0.4">
      <c r="A1054" t="s">
        <v>2434</v>
      </c>
      <c r="B1054" t="s">
        <v>2435</v>
      </c>
      <c r="C1054" t="s">
        <v>437</v>
      </c>
      <c r="D1054" t="s">
        <v>2436</v>
      </c>
      <c r="E1054" s="2">
        <v>7827.3699999999981</v>
      </c>
      <c r="F1054" s="2">
        <v>4856.8000000000011</v>
      </c>
      <c r="G1054" s="2">
        <v>4304.0400000000009</v>
      </c>
      <c r="H1054" s="2">
        <v>6903.9799999999977</v>
      </c>
      <c r="I1054" s="2">
        <v>4774.7899999999991</v>
      </c>
      <c r="J1054" s="2">
        <v>7113.5599999999968</v>
      </c>
      <c r="K1054" s="2">
        <v>2615.19</v>
      </c>
      <c r="L1054" s="2">
        <v>38395.73000000001</v>
      </c>
      <c r="M1054" t="s">
        <v>4400</v>
      </c>
      <c r="N1054" t="s">
        <v>4400</v>
      </c>
    </row>
    <row r="1055" spans="1:14" x14ac:dyDescent="0.4">
      <c r="A1055" t="s">
        <v>2437</v>
      </c>
      <c r="B1055" t="s">
        <v>2438</v>
      </c>
      <c r="C1055" t="s">
        <v>496</v>
      </c>
      <c r="D1055" t="s">
        <v>497</v>
      </c>
      <c r="E1055" s="2">
        <v>7308.1399999999994</v>
      </c>
      <c r="F1055" s="2">
        <v>4313.21</v>
      </c>
      <c r="G1055" s="2">
        <v>7548.11</v>
      </c>
      <c r="H1055" s="2">
        <v>7098.5499999999993</v>
      </c>
      <c r="I1055" s="2">
        <v>5610.2000000000007</v>
      </c>
      <c r="J1055" s="2">
        <v>7441.7900000000027</v>
      </c>
      <c r="K1055" s="2">
        <v>2843.07</v>
      </c>
      <c r="L1055" s="2">
        <v>42163.069999999956</v>
      </c>
      <c r="M1055" t="s">
        <v>4400</v>
      </c>
      <c r="N1055" t="s">
        <v>4400</v>
      </c>
    </row>
    <row r="1056" spans="1:14" x14ac:dyDescent="0.4">
      <c r="A1056" t="s">
        <v>2439</v>
      </c>
      <c r="B1056" t="s">
        <v>2440</v>
      </c>
      <c r="C1056" t="s">
        <v>390</v>
      </c>
      <c r="D1056" t="s">
        <v>857</v>
      </c>
      <c r="E1056" s="2"/>
      <c r="F1056" s="2"/>
      <c r="G1056" s="2"/>
      <c r="H1056" s="2"/>
      <c r="I1056" s="2"/>
      <c r="J1056" s="2">
        <v>1719.1399999999996</v>
      </c>
      <c r="K1056" s="2"/>
      <c r="L1056" s="2">
        <v>1719.1399999999996</v>
      </c>
      <c r="M1056" t="s">
        <v>4405</v>
      </c>
      <c r="N1056" t="s">
        <v>4406</v>
      </c>
    </row>
    <row r="1057" spans="1:14" x14ac:dyDescent="0.4">
      <c r="A1057" t="s">
        <v>2441</v>
      </c>
      <c r="B1057" t="s">
        <v>2442</v>
      </c>
      <c r="C1057" t="s">
        <v>402</v>
      </c>
      <c r="D1057" t="s">
        <v>403</v>
      </c>
      <c r="E1057" s="2"/>
      <c r="F1057" s="2">
        <v>1892.3300000000002</v>
      </c>
      <c r="G1057" s="2">
        <v>3116.4199999999987</v>
      </c>
      <c r="H1057" s="2">
        <v>814.00999999999976</v>
      </c>
      <c r="I1057" s="2">
        <v>3401.8200000000011</v>
      </c>
      <c r="J1057" s="2">
        <v>3945.5099999999998</v>
      </c>
      <c r="K1057" s="2"/>
      <c r="L1057" s="2">
        <v>13170.089999999975</v>
      </c>
      <c r="M1057" t="s">
        <v>4412</v>
      </c>
      <c r="N1057" t="s">
        <v>4406</v>
      </c>
    </row>
    <row r="1058" spans="1:14" x14ac:dyDescent="0.4">
      <c r="A1058" t="s">
        <v>2443</v>
      </c>
      <c r="B1058" t="s">
        <v>2444</v>
      </c>
      <c r="C1058" t="s">
        <v>186</v>
      </c>
      <c r="D1058" t="s">
        <v>2445</v>
      </c>
      <c r="E1058" s="2">
        <v>724.7399999999999</v>
      </c>
      <c r="F1058" s="2">
        <v>1454.6200000000001</v>
      </c>
      <c r="G1058" s="2">
        <v>2246.1799999999998</v>
      </c>
      <c r="H1058" s="2">
        <v>1464.9</v>
      </c>
      <c r="I1058" s="2">
        <v>722.17</v>
      </c>
      <c r="J1058" s="2">
        <v>737.5899999999998</v>
      </c>
      <c r="K1058" s="2"/>
      <c r="L1058" s="2">
        <v>7350.2000000000035</v>
      </c>
      <c r="M1058" t="s">
        <v>4400</v>
      </c>
      <c r="N1058" t="s">
        <v>4406</v>
      </c>
    </row>
    <row r="1059" spans="1:14" x14ac:dyDescent="0.4">
      <c r="A1059" t="s">
        <v>2446</v>
      </c>
      <c r="B1059" t="s">
        <v>2447</v>
      </c>
      <c r="C1059" t="s">
        <v>310</v>
      </c>
      <c r="D1059" t="s">
        <v>320</v>
      </c>
      <c r="E1059" s="2">
        <v>3079.9900000000002</v>
      </c>
      <c r="F1059" s="2">
        <v>2223.4499999999998</v>
      </c>
      <c r="G1059" s="2">
        <v>2183.96</v>
      </c>
      <c r="H1059" s="2">
        <v>2499.8799999999997</v>
      </c>
      <c r="I1059" s="2">
        <v>2994.98</v>
      </c>
      <c r="J1059" s="2">
        <v>3110.37</v>
      </c>
      <c r="K1059" s="2">
        <v>1603.8</v>
      </c>
      <c r="L1059" s="2">
        <v>17696.429999999986</v>
      </c>
      <c r="M1059" t="s">
        <v>4400</v>
      </c>
      <c r="N1059" t="s">
        <v>4400</v>
      </c>
    </row>
    <row r="1060" spans="1:14" x14ac:dyDescent="0.4">
      <c r="A1060" t="s">
        <v>2448</v>
      </c>
      <c r="B1060" t="s">
        <v>2449</v>
      </c>
      <c r="C1060" t="s">
        <v>159</v>
      </c>
      <c r="D1060" t="s">
        <v>833</v>
      </c>
      <c r="E1060" s="2">
        <v>5500.7299999999987</v>
      </c>
      <c r="F1060" s="2">
        <v>4932.6900000000014</v>
      </c>
      <c r="G1060" s="2">
        <v>6181.06</v>
      </c>
      <c r="H1060" s="2">
        <v>5798.32</v>
      </c>
      <c r="I1060" s="2">
        <v>3796.71</v>
      </c>
      <c r="J1060" s="2">
        <v>4313.0899999999983</v>
      </c>
      <c r="K1060" s="2">
        <v>2329.6699999999996</v>
      </c>
      <c r="L1060" s="2">
        <v>32852.26999999996</v>
      </c>
      <c r="M1060" t="s">
        <v>4400</v>
      </c>
      <c r="N1060" t="s">
        <v>4400</v>
      </c>
    </row>
    <row r="1061" spans="1:14" x14ac:dyDescent="0.4">
      <c r="A1061" t="s">
        <v>2450</v>
      </c>
      <c r="B1061" t="s">
        <v>1932</v>
      </c>
      <c r="C1061" t="s">
        <v>433</v>
      </c>
      <c r="D1061" t="s">
        <v>1174</v>
      </c>
      <c r="E1061" s="2">
        <v>16955.519999999997</v>
      </c>
      <c r="F1061" s="2">
        <v>11040.949999999997</v>
      </c>
      <c r="G1061" s="2">
        <v>17301.21000000001</v>
      </c>
      <c r="H1061" s="2">
        <v>13531.800000000001</v>
      </c>
      <c r="I1061" s="2">
        <v>15712.649999999996</v>
      </c>
      <c r="J1061" s="2">
        <v>11201.999999999998</v>
      </c>
      <c r="K1061" s="2">
        <v>5494.6799999999994</v>
      </c>
      <c r="L1061" s="2">
        <v>91238.809999999925</v>
      </c>
      <c r="M1061" t="s">
        <v>4400</v>
      </c>
      <c r="N1061" t="s">
        <v>4400</v>
      </c>
    </row>
    <row r="1062" spans="1:14" x14ac:dyDescent="0.4">
      <c r="A1062" t="s">
        <v>2451</v>
      </c>
      <c r="B1062" t="s">
        <v>2452</v>
      </c>
      <c r="C1062" t="s">
        <v>437</v>
      </c>
      <c r="D1062" t="s">
        <v>438</v>
      </c>
      <c r="E1062" s="2"/>
      <c r="F1062" s="2">
        <v>950.71</v>
      </c>
      <c r="G1062" s="2"/>
      <c r="H1062" s="2"/>
      <c r="I1062" s="2"/>
      <c r="J1062" s="2">
        <v>1105.5899999999999</v>
      </c>
      <c r="K1062" s="2">
        <v>1828.4699999999998</v>
      </c>
      <c r="L1062" s="2">
        <v>3884.7700000000009</v>
      </c>
      <c r="M1062" t="s">
        <v>4412</v>
      </c>
      <c r="N1062" t="s">
        <v>4400</v>
      </c>
    </row>
    <row r="1063" spans="1:14" x14ac:dyDescent="0.4">
      <c r="A1063" t="s">
        <v>2453</v>
      </c>
      <c r="B1063" t="s">
        <v>2454</v>
      </c>
      <c r="C1063" t="s">
        <v>220</v>
      </c>
      <c r="D1063" t="s">
        <v>2302</v>
      </c>
      <c r="E1063" s="2">
        <v>1238.74</v>
      </c>
      <c r="F1063" s="2">
        <v>2549.4399999999996</v>
      </c>
      <c r="G1063" s="2">
        <v>3197.08</v>
      </c>
      <c r="H1063" s="2">
        <v>2194.7799999999997</v>
      </c>
      <c r="I1063" s="2">
        <v>3618.5599999999995</v>
      </c>
      <c r="J1063" s="2">
        <v>4196.8100000000004</v>
      </c>
      <c r="K1063" s="2">
        <v>2086.84</v>
      </c>
      <c r="L1063" s="2">
        <v>19082.250000000015</v>
      </c>
      <c r="M1063" t="s">
        <v>4400</v>
      </c>
      <c r="N1063" t="s">
        <v>4400</v>
      </c>
    </row>
    <row r="1064" spans="1:14" x14ac:dyDescent="0.4">
      <c r="A1064" t="s">
        <v>2455</v>
      </c>
      <c r="B1064" t="s">
        <v>1981</v>
      </c>
      <c r="C1064" t="s">
        <v>1</v>
      </c>
      <c r="D1064" t="s">
        <v>1030</v>
      </c>
      <c r="E1064" s="2">
        <v>2356.9999999999995</v>
      </c>
      <c r="F1064" s="2">
        <v>3231.7499999999995</v>
      </c>
      <c r="G1064" s="2">
        <v>3581.04</v>
      </c>
      <c r="H1064" s="2">
        <v>2964.48</v>
      </c>
      <c r="I1064" s="2">
        <v>3945.52</v>
      </c>
      <c r="J1064" s="2">
        <v>3310.68</v>
      </c>
      <c r="K1064" s="2">
        <v>1664.46</v>
      </c>
      <c r="L1064" s="2">
        <v>21054.929999999986</v>
      </c>
      <c r="M1064" t="s">
        <v>4400</v>
      </c>
      <c r="N1064" t="s">
        <v>4400</v>
      </c>
    </row>
    <row r="1065" spans="1:14" x14ac:dyDescent="0.4">
      <c r="A1065" t="s">
        <v>2456</v>
      </c>
      <c r="B1065" t="s">
        <v>2457</v>
      </c>
      <c r="C1065" t="s">
        <v>9</v>
      </c>
      <c r="D1065" t="s">
        <v>10</v>
      </c>
      <c r="E1065" s="2">
        <v>2827.8299999999995</v>
      </c>
      <c r="F1065" s="2">
        <v>1831.57</v>
      </c>
      <c r="G1065" s="2">
        <v>3013.1399999999994</v>
      </c>
      <c r="H1065" s="2">
        <v>7062.0399999999991</v>
      </c>
      <c r="I1065" s="2">
        <v>10069.130000000001</v>
      </c>
      <c r="J1065" s="2">
        <v>7240.8699999999972</v>
      </c>
      <c r="K1065" s="2">
        <v>2868.12</v>
      </c>
      <c r="L1065" s="2">
        <v>34912.699999999983</v>
      </c>
      <c r="M1065" t="s">
        <v>4400</v>
      </c>
      <c r="N1065" t="s">
        <v>4400</v>
      </c>
    </row>
    <row r="1066" spans="1:14" x14ac:dyDescent="0.4">
      <c r="A1066" t="s">
        <v>2458</v>
      </c>
      <c r="B1066" t="s">
        <v>2459</v>
      </c>
      <c r="C1066" t="s">
        <v>96</v>
      </c>
      <c r="D1066" t="s">
        <v>100</v>
      </c>
      <c r="E1066" s="2">
        <v>13026.699999999999</v>
      </c>
      <c r="F1066" s="2">
        <v>12682.95</v>
      </c>
      <c r="G1066" s="2">
        <v>10519.009999999998</v>
      </c>
      <c r="H1066" s="2">
        <v>8385.9099999999962</v>
      </c>
      <c r="I1066" s="2">
        <v>6885.0300000000016</v>
      </c>
      <c r="J1066" s="2">
        <v>8224.0000000000018</v>
      </c>
      <c r="K1066" s="2">
        <v>3757.3399999999997</v>
      </c>
      <c r="L1066" s="2">
        <v>63480.939999999908</v>
      </c>
      <c r="M1066" t="s">
        <v>4400</v>
      </c>
      <c r="N1066" t="s">
        <v>4400</v>
      </c>
    </row>
    <row r="1067" spans="1:14" x14ac:dyDescent="0.4">
      <c r="A1067" t="s">
        <v>2460</v>
      </c>
      <c r="B1067" t="s">
        <v>2461</v>
      </c>
      <c r="C1067" t="s">
        <v>109</v>
      </c>
      <c r="D1067" t="s">
        <v>110</v>
      </c>
      <c r="E1067" s="2">
        <v>11718.469999999996</v>
      </c>
      <c r="F1067" s="2">
        <v>5922.9899999999989</v>
      </c>
      <c r="G1067" s="2">
        <v>5452.1599999999989</v>
      </c>
      <c r="H1067" s="2">
        <v>6020.119999999999</v>
      </c>
      <c r="I1067" s="2">
        <v>4531.8600000000006</v>
      </c>
      <c r="J1067" s="2">
        <v>4544.03</v>
      </c>
      <c r="K1067" s="2">
        <v>2679.01</v>
      </c>
      <c r="L1067" s="2">
        <v>40868.640000000087</v>
      </c>
      <c r="M1067" t="s">
        <v>4400</v>
      </c>
      <c r="N1067" t="s">
        <v>4400</v>
      </c>
    </row>
    <row r="1068" spans="1:14" x14ac:dyDescent="0.4">
      <c r="A1068" t="s">
        <v>2462</v>
      </c>
      <c r="B1068" t="s">
        <v>2463</v>
      </c>
      <c r="C1068" t="s">
        <v>186</v>
      </c>
      <c r="D1068" t="s">
        <v>1209</v>
      </c>
      <c r="E1068" s="2"/>
      <c r="F1068" s="2">
        <v>923.39999999999986</v>
      </c>
      <c r="G1068" s="2">
        <v>2745.8899999999994</v>
      </c>
      <c r="H1068" s="2">
        <v>2393.5200000000004</v>
      </c>
      <c r="I1068" s="2">
        <v>3975.9599999999996</v>
      </c>
      <c r="J1068" s="2">
        <v>2299.3599999999997</v>
      </c>
      <c r="K1068" s="2">
        <v>1609.85</v>
      </c>
      <c r="L1068" s="2">
        <v>13947.979999999978</v>
      </c>
      <c r="M1068" t="s">
        <v>4412</v>
      </c>
      <c r="N1068" t="s">
        <v>4400</v>
      </c>
    </row>
    <row r="1069" spans="1:14" x14ac:dyDescent="0.4">
      <c r="A1069" t="s">
        <v>2464</v>
      </c>
      <c r="B1069" t="s">
        <v>2465</v>
      </c>
      <c r="C1069" t="s">
        <v>1525</v>
      </c>
      <c r="D1069" t="s">
        <v>1526</v>
      </c>
      <c r="E1069" s="2">
        <v>841.36</v>
      </c>
      <c r="F1069" s="2">
        <v>2961.4800000000005</v>
      </c>
      <c r="G1069" s="2"/>
      <c r="H1069" s="2">
        <v>716.84</v>
      </c>
      <c r="I1069" s="2"/>
      <c r="J1069" s="2"/>
      <c r="K1069" s="2"/>
      <c r="L1069" s="2">
        <v>4519.6799999999994</v>
      </c>
      <c r="M1069" t="s">
        <v>4400</v>
      </c>
      <c r="N1069" t="s">
        <v>4402</v>
      </c>
    </row>
    <row r="1070" spans="1:14" x14ac:dyDescent="0.4">
      <c r="A1070" t="s">
        <v>2466</v>
      </c>
      <c r="B1070" t="s">
        <v>2467</v>
      </c>
      <c r="C1070" t="s">
        <v>374</v>
      </c>
      <c r="D1070" t="s">
        <v>2468</v>
      </c>
      <c r="E1070" s="2"/>
      <c r="F1070" s="2">
        <v>750.26</v>
      </c>
      <c r="G1070" s="2">
        <v>917.31</v>
      </c>
      <c r="H1070" s="2">
        <v>2572.6199999999994</v>
      </c>
      <c r="I1070" s="2">
        <v>1567.28</v>
      </c>
      <c r="J1070" s="2">
        <v>1640.1699999999998</v>
      </c>
      <c r="K1070" s="2">
        <v>777.55000000000007</v>
      </c>
      <c r="L1070" s="2">
        <v>8225.189999999986</v>
      </c>
      <c r="M1070" t="s">
        <v>4412</v>
      </c>
      <c r="N1070" t="s">
        <v>4400</v>
      </c>
    </row>
    <row r="1071" spans="1:14" x14ac:dyDescent="0.4">
      <c r="A1071" t="s">
        <v>2469</v>
      </c>
      <c r="B1071" t="s">
        <v>2470</v>
      </c>
      <c r="C1071" t="s">
        <v>1525</v>
      </c>
      <c r="D1071" t="s">
        <v>2471</v>
      </c>
      <c r="E1071" s="2"/>
      <c r="F1071" s="2"/>
      <c r="G1071" s="2"/>
      <c r="H1071" s="2"/>
      <c r="I1071" s="2">
        <v>4267.6099999999997</v>
      </c>
      <c r="J1071" s="2">
        <v>3878.81</v>
      </c>
      <c r="K1071" s="2"/>
      <c r="L1071" s="2">
        <v>8146.4199999999973</v>
      </c>
      <c r="M1071" t="s">
        <v>4408</v>
      </c>
      <c r="N1071" t="s">
        <v>4406</v>
      </c>
    </row>
    <row r="1072" spans="1:14" x14ac:dyDescent="0.4">
      <c r="A1072" t="s">
        <v>2472</v>
      </c>
      <c r="B1072" t="s">
        <v>2473</v>
      </c>
      <c r="C1072" t="s">
        <v>363</v>
      </c>
      <c r="D1072" t="s">
        <v>364</v>
      </c>
      <c r="E1072" s="2">
        <v>1798.17</v>
      </c>
      <c r="F1072" s="2">
        <v>2715.5099999999993</v>
      </c>
      <c r="G1072" s="2">
        <v>2278.1199999999994</v>
      </c>
      <c r="H1072" s="2">
        <v>3927.4699999999989</v>
      </c>
      <c r="I1072" s="2">
        <v>3945.6999999999994</v>
      </c>
      <c r="J1072" s="2">
        <v>3562.9700000000003</v>
      </c>
      <c r="K1072" s="2">
        <v>3028.3899999999994</v>
      </c>
      <c r="L1072" s="2">
        <v>21256.33</v>
      </c>
      <c r="M1072" t="s">
        <v>4400</v>
      </c>
      <c r="N1072" t="s">
        <v>4400</v>
      </c>
    </row>
    <row r="1073" spans="1:14" x14ac:dyDescent="0.4">
      <c r="A1073" t="s">
        <v>2474</v>
      </c>
      <c r="B1073" t="s">
        <v>2475</v>
      </c>
      <c r="C1073" t="s">
        <v>35</v>
      </c>
      <c r="D1073" t="s">
        <v>1212</v>
      </c>
      <c r="E1073" s="2"/>
      <c r="F1073" s="2"/>
      <c r="G1073" s="2"/>
      <c r="H1073" s="2"/>
      <c r="I1073" s="2"/>
      <c r="J1073" s="2">
        <v>1798.19</v>
      </c>
      <c r="K1073" s="2"/>
      <c r="L1073" s="2">
        <v>1798.19</v>
      </c>
      <c r="M1073" t="s">
        <v>4405</v>
      </c>
      <c r="N1073" t="s">
        <v>4406</v>
      </c>
    </row>
    <row r="1074" spans="1:14" x14ac:dyDescent="0.4">
      <c r="A1074" t="s">
        <v>2476</v>
      </c>
      <c r="B1074" t="s">
        <v>2477</v>
      </c>
      <c r="C1074" t="s">
        <v>91</v>
      </c>
      <c r="D1074" t="s">
        <v>1296</v>
      </c>
      <c r="E1074" s="2">
        <v>2220.37</v>
      </c>
      <c r="F1074" s="2">
        <v>3073.869999999999</v>
      </c>
      <c r="G1074" s="2">
        <v>1515.71</v>
      </c>
      <c r="H1074" s="2">
        <v>1757.8799999999999</v>
      </c>
      <c r="I1074" s="2">
        <v>765.86</v>
      </c>
      <c r="J1074" s="2">
        <v>4546.33</v>
      </c>
      <c r="K1074" s="2">
        <v>2742.1899999999996</v>
      </c>
      <c r="L1074" s="2">
        <v>16622.209999999995</v>
      </c>
      <c r="M1074" t="s">
        <v>4400</v>
      </c>
      <c r="N1074" t="s">
        <v>4400</v>
      </c>
    </row>
    <row r="1075" spans="1:14" x14ac:dyDescent="0.4">
      <c r="A1075" t="s">
        <v>2478</v>
      </c>
      <c r="B1075" t="s">
        <v>2479</v>
      </c>
      <c r="C1075" t="s">
        <v>31</v>
      </c>
      <c r="D1075" t="s">
        <v>474</v>
      </c>
      <c r="E1075" s="2">
        <v>4386.0399999999991</v>
      </c>
      <c r="F1075" s="2">
        <v>5315.53</v>
      </c>
      <c r="G1075" s="2">
        <v>3262.19</v>
      </c>
      <c r="H1075" s="2">
        <v>4009.3999999999983</v>
      </c>
      <c r="I1075" s="2">
        <v>5348.87</v>
      </c>
      <c r="J1075" s="2">
        <v>4757.0300000000016</v>
      </c>
      <c r="K1075" s="2">
        <v>1948.0599999999997</v>
      </c>
      <c r="L1075" s="2">
        <v>29027.119999999974</v>
      </c>
      <c r="M1075" t="s">
        <v>4400</v>
      </c>
      <c r="N1075" t="s">
        <v>4400</v>
      </c>
    </row>
    <row r="1076" spans="1:14" x14ac:dyDescent="0.4">
      <c r="A1076" t="s">
        <v>2480</v>
      </c>
      <c r="B1076" t="s">
        <v>2481</v>
      </c>
      <c r="C1076" t="s">
        <v>220</v>
      </c>
      <c r="D1076" t="s">
        <v>797</v>
      </c>
      <c r="E1076" s="2"/>
      <c r="F1076" s="2"/>
      <c r="G1076" s="2"/>
      <c r="H1076" s="2"/>
      <c r="I1076" s="2">
        <v>789.72000000000014</v>
      </c>
      <c r="J1076" s="2">
        <v>947.63999999999987</v>
      </c>
      <c r="K1076" s="2"/>
      <c r="L1076" s="2">
        <v>1737.36</v>
      </c>
      <c r="M1076" t="s">
        <v>4408</v>
      </c>
      <c r="N1076" t="s">
        <v>4406</v>
      </c>
    </row>
    <row r="1077" spans="1:14" x14ac:dyDescent="0.4">
      <c r="A1077" t="s">
        <v>2482</v>
      </c>
      <c r="B1077" t="s">
        <v>2483</v>
      </c>
      <c r="C1077" t="s">
        <v>542</v>
      </c>
      <c r="D1077" t="s">
        <v>802</v>
      </c>
      <c r="E1077" s="2">
        <v>3538.5299999999997</v>
      </c>
      <c r="F1077" s="2"/>
      <c r="G1077" s="2">
        <v>889.92999999999984</v>
      </c>
      <c r="H1077" s="2"/>
      <c r="I1077" s="2"/>
      <c r="J1077" s="2"/>
      <c r="K1077" s="2"/>
      <c r="L1077" s="2">
        <v>4428.4599999999991</v>
      </c>
      <c r="M1077" t="s">
        <v>4400</v>
      </c>
      <c r="N1077" t="s">
        <v>4403</v>
      </c>
    </row>
    <row r="1078" spans="1:14" x14ac:dyDescent="0.4">
      <c r="A1078" t="s">
        <v>2484</v>
      </c>
      <c r="B1078" t="s">
        <v>2485</v>
      </c>
      <c r="C1078" t="s">
        <v>52</v>
      </c>
      <c r="D1078" t="s">
        <v>53</v>
      </c>
      <c r="E1078" s="2"/>
      <c r="F1078" s="2"/>
      <c r="G1078" s="2"/>
      <c r="H1078" s="2"/>
      <c r="I1078" s="2"/>
      <c r="J1078" s="2">
        <v>2858.28</v>
      </c>
      <c r="K1078" s="2"/>
      <c r="L1078" s="2">
        <v>2858.28</v>
      </c>
      <c r="M1078" t="s">
        <v>4405</v>
      </c>
      <c r="N1078" t="s">
        <v>4406</v>
      </c>
    </row>
    <row r="1079" spans="1:14" x14ac:dyDescent="0.4">
      <c r="A1079" t="s">
        <v>2486</v>
      </c>
      <c r="B1079" t="s">
        <v>2487</v>
      </c>
      <c r="C1079" t="s">
        <v>5</v>
      </c>
      <c r="D1079" t="s">
        <v>56</v>
      </c>
      <c r="E1079" s="2"/>
      <c r="F1079" s="2"/>
      <c r="G1079" s="2">
        <v>2931.13</v>
      </c>
      <c r="H1079" s="2">
        <v>1913.5900000000004</v>
      </c>
      <c r="I1079" s="2">
        <v>4109.7000000000007</v>
      </c>
      <c r="J1079" s="2">
        <v>2858.2200000000007</v>
      </c>
      <c r="K1079" s="2">
        <v>2007.7399999999998</v>
      </c>
      <c r="L1079" s="2">
        <v>13820.379999999994</v>
      </c>
      <c r="M1079" t="s">
        <v>4411</v>
      </c>
      <c r="N1079" t="s">
        <v>4400</v>
      </c>
    </row>
    <row r="1080" spans="1:14" x14ac:dyDescent="0.4">
      <c r="A1080" t="s">
        <v>2488</v>
      </c>
      <c r="B1080" t="s">
        <v>2489</v>
      </c>
      <c r="C1080" t="s">
        <v>496</v>
      </c>
      <c r="D1080" t="s">
        <v>2490</v>
      </c>
      <c r="E1080" s="2"/>
      <c r="F1080" s="2"/>
      <c r="G1080" s="2"/>
      <c r="H1080" s="2"/>
      <c r="I1080" s="2">
        <v>6150.81</v>
      </c>
      <c r="J1080" s="2">
        <v>8972.6799999999985</v>
      </c>
      <c r="K1080" s="2">
        <v>4495.4399999999987</v>
      </c>
      <c r="L1080" s="2">
        <v>19618.93</v>
      </c>
      <c r="M1080" t="s">
        <v>4408</v>
      </c>
      <c r="N1080" t="s">
        <v>4400</v>
      </c>
    </row>
    <row r="1081" spans="1:14" x14ac:dyDescent="0.4">
      <c r="A1081" t="s">
        <v>2491</v>
      </c>
      <c r="B1081" t="s">
        <v>2492</v>
      </c>
      <c r="C1081" t="s">
        <v>91</v>
      </c>
      <c r="D1081" t="s">
        <v>92</v>
      </c>
      <c r="E1081" s="2"/>
      <c r="F1081" s="2"/>
      <c r="G1081" s="2"/>
      <c r="H1081" s="2">
        <v>2490.6299999999997</v>
      </c>
      <c r="I1081" s="2">
        <v>3513.0099999999998</v>
      </c>
      <c r="J1081" s="2">
        <v>6265.6600000000008</v>
      </c>
      <c r="K1081" s="2"/>
      <c r="L1081" s="2">
        <v>12269.300000000003</v>
      </c>
      <c r="M1081" t="s">
        <v>4409</v>
      </c>
      <c r="N1081" t="s">
        <v>4406</v>
      </c>
    </row>
    <row r="1082" spans="1:14" x14ac:dyDescent="0.4">
      <c r="A1082" t="s">
        <v>2491</v>
      </c>
      <c r="B1082" t="s">
        <v>2492</v>
      </c>
      <c r="C1082" t="s">
        <v>2431</v>
      </c>
      <c r="D1082" t="s">
        <v>92</v>
      </c>
      <c r="E1082" s="2"/>
      <c r="F1082" s="2"/>
      <c r="G1082" s="2"/>
      <c r="H1082" s="2"/>
      <c r="I1082" s="2"/>
      <c r="J1082" s="2"/>
      <c r="K1082" s="2">
        <v>2104.8299999999995</v>
      </c>
      <c r="L1082" s="2">
        <v>2104.8299999999995</v>
      </c>
      <c r="M1082" t="s">
        <v>4404</v>
      </c>
      <c r="N1082" t="s">
        <v>4400</v>
      </c>
    </row>
    <row r="1083" spans="1:14" x14ac:dyDescent="0.4">
      <c r="A1083" t="s">
        <v>2493</v>
      </c>
      <c r="B1083" t="s">
        <v>2494</v>
      </c>
      <c r="C1083" t="s">
        <v>48</v>
      </c>
      <c r="D1083" t="s">
        <v>2495</v>
      </c>
      <c r="E1083" s="2"/>
      <c r="F1083" s="2"/>
      <c r="G1083" s="2"/>
      <c r="H1083" s="2"/>
      <c r="I1083" s="2">
        <v>753.25999999999988</v>
      </c>
      <c r="J1083" s="2">
        <v>3611.4100000000008</v>
      </c>
      <c r="K1083" s="2"/>
      <c r="L1083" s="2">
        <v>4364.670000000001</v>
      </c>
      <c r="M1083" t="s">
        <v>4408</v>
      </c>
      <c r="N1083" t="s">
        <v>4406</v>
      </c>
    </row>
    <row r="1084" spans="1:14" x14ac:dyDescent="0.4">
      <c r="A1084" t="s">
        <v>2496</v>
      </c>
      <c r="B1084" t="s">
        <v>2497</v>
      </c>
      <c r="C1084" t="s">
        <v>496</v>
      </c>
      <c r="D1084" t="s">
        <v>497</v>
      </c>
      <c r="E1084" s="2"/>
      <c r="F1084" s="2"/>
      <c r="G1084" s="2"/>
      <c r="H1084" s="2"/>
      <c r="I1084" s="2">
        <v>2742.8099999999995</v>
      </c>
      <c r="J1084" s="2">
        <v>2302.39</v>
      </c>
      <c r="K1084" s="2">
        <v>880.85</v>
      </c>
      <c r="L1084" s="2">
        <v>5926.0499999999947</v>
      </c>
      <c r="M1084" t="s">
        <v>4408</v>
      </c>
      <c r="N1084" t="s">
        <v>4400</v>
      </c>
    </row>
    <row r="1085" spans="1:14" x14ac:dyDescent="0.4">
      <c r="A1085" t="s">
        <v>2498</v>
      </c>
      <c r="B1085" t="s">
        <v>2499</v>
      </c>
      <c r="C1085" t="s">
        <v>363</v>
      </c>
      <c r="D1085" t="s">
        <v>2500</v>
      </c>
      <c r="E1085" s="2"/>
      <c r="F1085" s="2"/>
      <c r="G1085" s="2"/>
      <c r="H1085" s="2"/>
      <c r="I1085" s="2"/>
      <c r="J1085" s="2">
        <v>5266.9899999999989</v>
      </c>
      <c r="K1085" s="2"/>
      <c r="L1085" s="2">
        <v>5266.9899999999989</v>
      </c>
      <c r="M1085" t="s">
        <v>4405</v>
      </c>
      <c r="N1085" t="s">
        <v>4406</v>
      </c>
    </row>
    <row r="1086" spans="1:14" x14ac:dyDescent="0.4">
      <c r="A1086" t="s">
        <v>2501</v>
      </c>
      <c r="B1086" t="s">
        <v>2502</v>
      </c>
      <c r="C1086" t="s">
        <v>64</v>
      </c>
      <c r="D1086" t="s">
        <v>74</v>
      </c>
      <c r="E1086" s="2">
        <v>7955.0599999999959</v>
      </c>
      <c r="F1086" s="2">
        <v>7481.1999999999971</v>
      </c>
      <c r="G1086" s="2">
        <v>5385.3899999999976</v>
      </c>
      <c r="H1086" s="2">
        <v>4058.0200000000009</v>
      </c>
      <c r="I1086" s="2">
        <v>5433.9599999999982</v>
      </c>
      <c r="J1086" s="2">
        <v>5631.42</v>
      </c>
      <c r="K1086" s="2">
        <v>2533.2400000000002</v>
      </c>
      <c r="L1086" s="2">
        <v>38478.290000000052</v>
      </c>
      <c r="M1086" t="s">
        <v>4400</v>
      </c>
      <c r="N1086" t="s">
        <v>4400</v>
      </c>
    </row>
    <row r="1087" spans="1:14" x14ac:dyDescent="0.4">
      <c r="A1087" t="s">
        <v>2503</v>
      </c>
      <c r="B1087" t="s">
        <v>2502</v>
      </c>
      <c r="C1087" t="s">
        <v>64</v>
      </c>
      <c r="D1087" t="s">
        <v>693</v>
      </c>
      <c r="E1087" s="2">
        <v>8119.0999999999958</v>
      </c>
      <c r="F1087" s="2">
        <v>7311.0799999999981</v>
      </c>
      <c r="G1087" s="2">
        <v>9218.5299999999988</v>
      </c>
      <c r="H1087" s="2">
        <v>8957.33</v>
      </c>
      <c r="I1087" s="2">
        <v>9756.1799999999967</v>
      </c>
      <c r="J1087" s="2">
        <v>6919.2199999999984</v>
      </c>
      <c r="K1087" s="2">
        <v>5528.0899999999992</v>
      </c>
      <c r="L1087" s="2">
        <v>55809.53000000005</v>
      </c>
      <c r="M1087" t="s">
        <v>4400</v>
      </c>
      <c r="N1087" t="s">
        <v>4400</v>
      </c>
    </row>
    <row r="1088" spans="1:14" x14ac:dyDescent="0.4">
      <c r="A1088" t="s">
        <v>2504</v>
      </c>
      <c r="B1088" t="s">
        <v>2502</v>
      </c>
      <c r="C1088" t="s">
        <v>1</v>
      </c>
      <c r="D1088" t="s">
        <v>507</v>
      </c>
      <c r="E1088" s="2">
        <v>3207.5400000000004</v>
      </c>
      <c r="F1088" s="2">
        <v>3186.3100000000004</v>
      </c>
      <c r="G1088" s="2">
        <v>4352.6799999999994</v>
      </c>
      <c r="H1088" s="2">
        <v>5188</v>
      </c>
      <c r="I1088" s="2">
        <v>3711.7900000000009</v>
      </c>
      <c r="J1088" s="2">
        <v>2982.7299999999996</v>
      </c>
      <c r="K1088" s="2">
        <v>1922.7000000000003</v>
      </c>
      <c r="L1088" s="2">
        <v>24551.749999999967</v>
      </c>
      <c r="M1088" t="s">
        <v>4400</v>
      </c>
      <c r="N1088" t="s">
        <v>4400</v>
      </c>
    </row>
    <row r="1089" spans="1:14" x14ac:dyDescent="0.4">
      <c r="A1089" t="s">
        <v>2505</v>
      </c>
      <c r="B1089" t="s">
        <v>2502</v>
      </c>
      <c r="C1089" t="s">
        <v>542</v>
      </c>
      <c r="D1089" t="s">
        <v>2506</v>
      </c>
      <c r="E1089" s="2"/>
      <c r="F1089" s="2"/>
      <c r="G1089" s="2"/>
      <c r="H1089" s="2"/>
      <c r="I1089" s="2">
        <v>917.3</v>
      </c>
      <c r="J1089" s="2"/>
      <c r="K1089" s="2"/>
      <c r="L1089" s="2">
        <v>917.3</v>
      </c>
      <c r="M1089" t="s">
        <v>4408</v>
      </c>
      <c r="N1089" t="s">
        <v>4401</v>
      </c>
    </row>
    <row r="1090" spans="1:14" x14ac:dyDescent="0.4">
      <c r="A1090" t="s">
        <v>2507</v>
      </c>
      <c r="B1090" t="s">
        <v>2502</v>
      </c>
      <c r="C1090" t="s">
        <v>113</v>
      </c>
      <c r="D1090" t="s">
        <v>120</v>
      </c>
      <c r="E1090" s="2">
        <v>938.57</v>
      </c>
      <c r="F1090" s="2"/>
      <c r="G1090" s="2"/>
      <c r="H1090" s="2"/>
      <c r="I1090" s="2"/>
      <c r="J1090" s="2"/>
      <c r="K1090" s="2"/>
      <c r="L1090" s="2">
        <v>938.57</v>
      </c>
      <c r="M1090" t="s">
        <v>4400</v>
      </c>
      <c r="N1090" t="s">
        <v>4407</v>
      </c>
    </row>
    <row r="1091" spans="1:14" x14ac:dyDescent="0.4">
      <c r="A1091" t="s">
        <v>2508</v>
      </c>
      <c r="B1091" t="s">
        <v>2502</v>
      </c>
      <c r="C1091" t="s">
        <v>5</v>
      </c>
      <c r="D1091" t="s">
        <v>6</v>
      </c>
      <c r="E1091" s="2">
        <v>12753.740000000011</v>
      </c>
      <c r="F1091" s="2">
        <v>18706.999999999996</v>
      </c>
      <c r="G1091" s="2">
        <v>18995.409999999996</v>
      </c>
      <c r="H1091" s="2">
        <v>19280.990000000002</v>
      </c>
      <c r="I1091" s="2">
        <v>15402.320000000003</v>
      </c>
      <c r="J1091" s="2">
        <v>16304.44000000001</v>
      </c>
      <c r="K1091" s="2">
        <v>6700.3899999999994</v>
      </c>
      <c r="L1091" s="2">
        <v>108144.2900000001</v>
      </c>
      <c r="M1091" t="s">
        <v>4400</v>
      </c>
      <c r="N1091" t="s">
        <v>4400</v>
      </c>
    </row>
    <row r="1092" spans="1:14" x14ac:dyDescent="0.4">
      <c r="A1092" t="s">
        <v>2509</v>
      </c>
      <c r="B1092" t="s">
        <v>2502</v>
      </c>
      <c r="C1092" t="s">
        <v>64</v>
      </c>
      <c r="D1092" t="s">
        <v>708</v>
      </c>
      <c r="E1092" s="2">
        <v>6111.3500000000013</v>
      </c>
      <c r="F1092" s="2">
        <v>4337.4799999999996</v>
      </c>
      <c r="G1092" s="2">
        <v>6576.03</v>
      </c>
      <c r="H1092" s="2">
        <v>5209.1599999999989</v>
      </c>
      <c r="I1092" s="2">
        <v>4683.72</v>
      </c>
      <c r="J1092" s="2">
        <v>2205.16</v>
      </c>
      <c r="K1092" s="2"/>
      <c r="L1092" s="2">
        <v>29122.900000000005</v>
      </c>
      <c r="M1092" t="s">
        <v>4400</v>
      </c>
      <c r="N1092" t="s">
        <v>4406</v>
      </c>
    </row>
    <row r="1093" spans="1:14" x14ac:dyDescent="0.4">
      <c r="A1093" t="s">
        <v>2510</v>
      </c>
      <c r="B1093" t="s">
        <v>2502</v>
      </c>
      <c r="C1093" t="s">
        <v>64</v>
      </c>
      <c r="D1093" t="s">
        <v>808</v>
      </c>
      <c r="E1093" s="2">
        <v>7195.7199999999975</v>
      </c>
      <c r="F1093" s="2">
        <v>7930.8300000000017</v>
      </c>
      <c r="G1093" s="2">
        <v>10631.049999999994</v>
      </c>
      <c r="H1093" s="2">
        <v>8213.2300000000014</v>
      </c>
      <c r="I1093" s="2">
        <v>8182.8900000000012</v>
      </c>
      <c r="J1093" s="2">
        <v>10609.849999999999</v>
      </c>
      <c r="K1093" s="2">
        <v>3596.3600000000006</v>
      </c>
      <c r="L1093" s="2">
        <v>56359.93</v>
      </c>
      <c r="M1093" t="s">
        <v>4400</v>
      </c>
      <c r="N1093" t="s">
        <v>4400</v>
      </c>
    </row>
    <row r="1094" spans="1:14" x14ac:dyDescent="0.4">
      <c r="A1094" t="s">
        <v>2511</v>
      </c>
      <c r="B1094" t="s">
        <v>2502</v>
      </c>
      <c r="C1094" t="s">
        <v>64</v>
      </c>
      <c r="D1094" t="s">
        <v>693</v>
      </c>
      <c r="E1094" s="2">
        <v>7803.1</v>
      </c>
      <c r="F1094" s="2">
        <v>8027.8300000000008</v>
      </c>
      <c r="G1094" s="2">
        <v>8282.9499999999935</v>
      </c>
      <c r="H1094" s="2">
        <v>6636.7300000000005</v>
      </c>
      <c r="I1094" s="2">
        <v>6254.0800000000008</v>
      </c>
      <c r="J1094" s="2">
        <v>7803.170000000001</v>
      </c>
      <c r="K1094" s="2">
        <v>2648.6400000000003</v>
      </c>
      <c r="L1094" s="2">
        <v>47456.500000000007</v>
      </c>
      <c r="M1094" t="s">
        <v>4400</v>
      </c>
      <c r="N1094" t="s">
        <v>4400</v>
      </c>
    </row>
    <row r="1095" spans="1:14" x14ac:dyDescent="0.4">
      <c r="A1095" t="s">
        <v>2512</v>
      </c>
      <c r="B1095" t="s">
        <v>2502</v>
      </c>
      <c r="C1095" t="s">
        <v>220</v>
      </c>
      <c r="D1095" t="s">
        <v>2302</v>
      </c>
      <c r="E1095" s="2">
        <v>3195.3799999999997</v>
      </c>
      <c r="F1095" s="2">
        <v>3836.2800000000011</v>
      </c>
      <c r="G1095" s="2">
        <v>4750.53</v>
      </c>
      <c r="H1095" s="2">
        <v>4428.6000000000013</v>
      </c>
      <c r="I1095" s="2">
        <v>3884.9100000000008</v>
      </c>
      <c r="J1095" s="2">
        <v>4261.5300000000007</v>
      </c>
      <c r="K1095" s="2">
        <v>1585.54</v>
      </c>
      <c r="L1095" s="2">
        <v>25942.769999999975</v>
      </c>
      <c r="M1095" t="s">
        <v>4400</v>
      </c>
      <c r="N1095" t="s">
        <v>4400</v>
      </c>
    </row>
    <row r="1096" spans="1:14" x14ac:dyDescent="0.4">
      <c r="A1096" t="s">
        <v>2513</v>
      </c>
      <c r="B1096" t="s">
        <v>2502</v>
      </c>
      <c r="C1096" t="s">
        <v>64</v>
      </c>
      <c r="D1096" t="s">
        <v>2514</v>
      </c>
      <c r="E1096" s="2">
        <v>9346.17</v>
      </c>
      <c r="F1096" s="2">
        <v>7973.32</v>
      </c>
      <c r="G1096" s="2">
        <v>12131.45</v>
      </c>
      <c r="H1096" s="2">
        <v>12614.449999999997</v>
      </c>
      <c r="I1096" s="2">
        <v>11022.779999999999</v>
      </c>
      <c r="J1096" s="2">
        <v>8611.0899999999983</v>
      </c>
      <c r="K1096" s="2">
        <v>4389.08</v>
      </c>
      <c r="L1096" s="2">
        <v>66088.339999999967</v>
      </c>
      <c r="M1096" t="s">
        <v>4400</v>
      </c>
      <c r="N1096" t="s">
        <v>4400</v>
      </c>
    </row>
    <row r="1097" spans="1:14" x14ac:dyDescent="0.4">
      <c r="A1097" t="s">
        <v>2515</v>
      </c>
      <c r="B1097" t="s">
        <v>2502</v>
      </c>
      <c r="C1097" t="s">
        <v>35</v>
      </c>
      <c r="D1097" t="s">
        <v>36</v>
      </c>
      <c r="E1097" s="2">
        <v>8474.3799999999992</v>
      </c>
      <c r="F1097" s="2">
        <v>5549.2999999999984</v>
      </c>
      <c r="G1097" s="2">
        <v>7177.399999999996</v>
      </c>
      <c r="H1097" s="2">
        <v>4820.369999999999</v>
      </c>
      <c r="I1097" s="2">
        <v>4783.9099999999962</v>
      </c>
      <c r="J1097" s="2">
        <v>5998.8399999999956</v>
      </c>
      <c r="K1097" s="2">
        <v>2803.4999999999995</v>
      </c>
      <c r="L1097" s="2">
        <v>39607.700000000033</v>
      </c>
      <c r="M1097" t="s">
        <v>4400</v>
      </c>
      <c r="N1097" t="s">
        <v>4400</v>
      </c>
    </row>
    <row r="1098" spans="1:14" x14ac:dyDescent="0.4">
      <c r="A1098" t="s">
        <v>2516</v>
      </c>
      <c r="B1098" t="s">
        <v>2502</v>
      </c>
      <c r="C1098" t="s">
        <v>542</v>
      </c>
      <c r="D1098" t="s">
        <v>2506</v>
      </c>
      <c r="E1098" s="2">
        <v>3517.4300000000007</v>
      </c>
      <c r="F1098" s="2">
        <v>2824.87</v>
      </c>
      <c r="G1098" s="2">
        <v>1536.9800000000002</v>
      </c>
      <c r="H1098" s="2">
        <v>2059.42</v>
      </c>
      <c r="I1098" s="2">
        <v>3684.4899999999989</v>
      </c>
      <c r="J1098" s="2">
        <v>2287.2399999999993</v>
      </c>
      <c r="K1098" s="2">
        <v>1375.99</v>
      </c>
      <c r="L1098" s="2">
        <v>17286.419999999987</v>
      </c>
      <c r="M1098" t="s">
        <v>4400</v>
      </c>
      <c r="N1098" t="s">
        <v>4400</v>
      </c>
    </row>
    <row r="1099" spans="1:14" x14ac:dyDescent="0.4">
      <c r="A1099" t="s">
        <v>2517</v>
      </c>
      <c r="B1099" t="s">
        <v>2502</v>
      </c>
      <c r="C1099" t="s">
        <v>310</v>
      </c>
      <c r="D1099" t="s">
        <v>314</v>
      </c>
      <c r="E1099" s="2">
        <v>1703.9900000000002</v>
      </c>
      <c r="F1099" s="2">
        <v>732.03</v>
      </c>
      <c r="G1099" s="2"/>
      <c r="H1099" s="2"/>
      <c r="I1099" s="2"/>
      <c r="J1099" s="2"/>
      <c r="K1099" s="2"/>
      <c r="L1099" s="2">
        <v>2436.02</v>
      </c>
      <c r="M1099" t="s">
        <v>4400</v>
      </c>
      <c r="N1099" t="s">
        <v>4410</v>
      </c>
    </row>
    <row r="1100" spans="1:14" x14ac:dyDescent="0.4">
      <c r="A1100" t="s">
        <v>2518</v>
      </c>
      <c r="B1100" t="s">
        <v>2502</v>
      </c>
      <c r="C1100" t="s">
        <v>78</v>
      </c>
      <c r="D1100" t="s">
        <v>907</v>
      </c>
      <c r="E1100" s="2">
        <v>5418.78</v>
      </c>
      <c r="F1100" s="2">
        <v>3966.9099999999994</v>
      </c>
      <c r="G1100" s="2">
        <v>4276.71</v>
      </c>
      <c r="H1100" s="2">
        <v>4039.7999999999997</v>
      </c>
      <c r="I1100" s="2">
        <v>5148.46</v>
      </c>
      <c r="J1100" s="2">
        <v>4373.92</v>
      </c>
      <c r="K1100" s="2">
        <v>2080.64</v>
      </c>
      <c r="L1100" s="2">
        <v>29305.219999999998</v>
      </c>
      <c r="M1100" t="s">
        <v>4400</v>
      </c>
      <c r="N1100" t="s">
        <v>4400</v>
      </c>
    </row>
    <row r="1101" spans="1:14" x14ac:dyDescent="0.4">
      <c r="A1101" t="s">
        <v>2519</v>
      </c>
      <c r="B1101" t="s">
        <v>2502</v>
      </c>
      <c r="C1101" t="s">
        <v>186</v>
      </c>
      <c r="D1101" t="s">
        <v>190</v>
      </c>
      <c r="E1101" s="2">
        <v>2305.3200000000002</v>
      </c>
      <c r="F1101" s="2">
        <v>3565.89</v>
      </c>
      <c r="G1101" s="2">
        <v>3465.64</v>
      </c>
      <c r="H1101" s="2">
        <v>1555.15</v>
      </c>
      <c r="I1101" s="2">
        <v>3347.2000000000007</v>
      </c>
      <c r="J1101" s="2">
        <v>4471.0299999999988</v>
      </c>
      <c r="K1101" s="2">
        <v>1749.5400000000004</v>
      </c>
      <c r="L1101" s="2">
        <v>20459.770000000008</v>
      </c>
      <c r="M1101" t="s">
        <v>4400</v>
      </c>
      <c r="N1101" t="s">
        <v>4400</v>
      </c>
    </row>
    <row r="1102" spans="1:14" x14ac:dyDescent="0.4">
      <c r="A1102" t="s">
        <v>2520</v>
      </c>
      <c r="B1102" t="s">
        <v>2502</v>
      </c>
      <c r="C1102" t="s">
        <v>542</v>
      </c>
      <c r="D1102" t="s">
        <v>737</v>
      </c>
      <c r="E1102" s="2">
        <v>3295.62</v>
      </c>
      <c r="F1102" s="2">
        <v>2536.2600000000002</v>
      </c>
      <c r="G1102" s="2">
        <v>2174.7999999999997</v>
      </c>
      <c r="H1102" s="2">
        <v>1041.8499999999999</v>
      </c>
      <c r="I1102" s="2"/>
      <c r="J1102" s="2"/>
      <c r="K1102" s="2"/>
      <c r="L1102" s="2">
        <v>9048.529999999997</v>
      </c>
      <c r="M1102" t="s">
        <v>4400</v>
      </c>
      <c r="N1102" t="s">
        <v>4402</v>
      </c>
    </row>
    <row r="1103" spans="1:14" x14ac:dyDescent="0.4">
      <c r="A1103" t="s">
        <v>2521</v>
      </c>
      <c r="B1103" t="s">
        <v>2502</v>
      </c>
      <c r="C1103" t="s">
        <v>5</v>
      </c>
      <c r="D1103" t="s">
        <v>56</v>
      </c>
      <c r="E1103" s="2"/>
      <c r="F1103" s="2">
        <v>1457.9500000000003</v>
      </c>
      <c r="G1103" s="2">
        <v>3061.6899999999996</v>
      </c>
      <c r="H1103" s="2">
        <v>2657.7099999999996</v>
      </c>
      <c r="I1103" s="2">
        <v>1807.2500000000002</v>
      </c>
      <c r="J1103" s="2"/>
      <c r="K1103" s="2">
        <v>804.90999999999985</v>
      </c>
      <c r="L1103" s="2">
        <v>9789.5099999999875</v>
      </c>
      <c r="M1103" t="s">
        <v>4412</v>
      </c>
      <c r="N1103" t="s">
        <v>4400</v>
      </c>
    </row>
    <row r="1104" spans="1:14" x14ac:dyDescent="0.4">
      <c r="A1104" t="s">
        <v>2522</v>
      </c>
      <c r="B1104" t="s">
        <v>2502</v>
      </c>
      <c r="C1104" t="s">
        <v>178</v>
      </c>
      <c r="D1104" t="s">
        <v>179</v>
      </c>
      <c r="E1104" s="2">
        <v>7147.0299999999979</v>
      </c>
      <c r="F1104" s="2">
        <v>5200.0200000000013</v>
      </c>
      <c r="G1104" s="2">
        <v>6931.36</v>
      </c>
      <c r="H1104" s="2">
        <v>7271.5699999999988</v>
      </c>
      <c r="I1104" s="2">
        <v>6992.119999999999</v>
      </c>
      <c r="J1104" s="2">
        <v>8340.7399999999961</v>
      </c>
      <c r="K1104" s="2">
        <v>3836.2299999999996</v>
      </c>
      <c r="L1104" s="2">
        <v>45719.070000000043</v>
      </c>
      <c r="M1104" t="s">
        <v>4400</v>
      </c>
      <c r="N1104" t="s">
        <v>4400</v>
      </c>
    </row>
    <row r="1105" spans="1:14" x14ac:dyDescent="0.4">
      <c r="A1105" t="s">
        <v>2523</v>
      </c>
      <c r="B1105" t="s">
        <v>2502</v>
      </c>
      <c r="C1105" t="s">
        <v>291</v>
      </c>
      <c r="D1105" t="s">
        <v>295</v>
      </c>
      <c r="E1105" s="2"/>
      <c r="F1105" s="2">
        <v>738.10000000000014</v>
      </c>
      <c r="G1105" s="2">
        <v>1460.9899999999996</v>
      </c>
      <c r="H1105" s="2">
        <v>719.86999999999989</v>
      </c>
      <c r="I1105" s="2">
        <v>719.87</v>
      </c>
      <c r="J1105" s="2"/>
      <c r="K1105" s="2"/>
      <c r="L1105" s="2">
        <v>3638.83</v>
      </c>
      <c r="M1105" t="s">
        <v>4412</v>
      </c>
      <c r="N1105" t="s">
        <v>4401</v>
      </c>
    </row>
    <row r="1106" spans="1:14" x14ac:dyDescent="0.4">
      <c r="A1106" t="s">
        <v>2524</v>
      </c>
      <c r="B1106" t="s">
        <v>2502</v>
      </c>
      <c r="C1106" t="s">
        <v>602</v>
      </c>
      <c r="D1106" t="s">
        <v>1638</v>
      </c>
      <c r="E1106" s="2">
        <v>3705.7</v>
      </c>
      <c r="F1106" s="2">
        <v>3942.5899999999992</v>
      </c>
      <c r="G1106" s="2">
        <v>3869.7399999999989</v>
      </c>
      <c r="H1106" s="2">
        <v>3250.1000000000004</v>
      </c>
      <c r="I1106" s="2">
        <v>3234.87</v>
      </c>
      <c r="J1106" s="2">
        <v>777.59999999999991</v>
      </c>
      <c r="K1106" s="2">
        <v>1816.4400000000003</v>
      </c>
      <c r="L1106" s="2">
        <v>20597.040000000008</v>
      </c>
      <c r="M1106" t="s">
        <v>4400</v>
      </c>
      <c r="N1106" t="s">
        <v>4400</v>
      </c>
    </row>
    <row r="1107" spans="1:14" x14ac:dyDescent="0.4">
      <c r="A1107" t="s">
        <v>2525</v>
      </c>
      <c r="B1107" t="s">
        <v>2502</v>
      </c>
      <c r="C1107" t="s">
        <v>602</v>
      </c>
      <c r="D1107" t="s">
        <v>1638</v>
      </c>
      <c r="E1107" s="2">
        <v>3887.93</v>
      </c>
      <c r="F1107" s="2">
        <v>3529.5399999999995</v>
      </c>
      <c r="G1107" s="2">
        <v>4744.4899999999989</v>
      </c>
      <c r="H1107" s="2">
        <v>2973.64</v>
      </c>
      <c r="I1107" s="2">
        <v>2563.63</v>
      </c>
      <c r="J1107" s="2">
        <v>4155.2099999999991</v>
      </c>
      <c r="K1107" s="2">
        <v>1746.5300000000002</v>
      </c>
      <c r="L1107" s="2">
        <v>23600.96999999999</v>
      </c>
      <c r="M1107" t="s">
        <v>4400</v>
      </c>
      <c r="N1107" t="s">
        <v>4400</v>
      </c>
    </row>
    <row r="1108" spans="1:14" x14ac:dyDescent="0.4">
      <c r="A1108" t="s">
        <v>2526</v>
      </c>
      <c r="B1108" t="s">
        <v>2502</v>
      </c>
      <c r="C1108" t="s">
        <v>91</v>
      </c>
      <c r="D1108" t="s">
        <v>1296</v>
      </c>
      <c r="E1108" s="2">
        <v>2250.75</v>
      </c>
      <c r="F1108" s="2">
        <v>3201.4599999999996</v>
      </c>
      <c r="G1108" s="2">
        <v>4960.12</v>
      </c>
      <c r="H1108" s="2">
        <v>4085.3000000000006</v>
      </c>
      <c r="I1108" s="2">
        <v>4258.45</v>
      </c>
      <c r="J1108" s="2">
        <v>5045.119999999999</v>
      </c>
      <c r="K1108" s="2">
        <v>2156.5500000000002</v>
      </c>
      <c r="L1108" s="2">
        <v>25957.749999999982</v>
      </c>
      <c r="M1108" t="s">
        <v>4400</v>
      </c>
      <c r="N1108" t="s">
        <v>4400</v>
      </c>
    </row>
    <row r="1109" spans="1:14" x14ac:dyDescent="0.4">
      <c r="A1109" t="s">
        <v>2527</v>
      </c>
      <c r="B1109" t="s">
        <v>2502</v>
      </c>
      <c r="C1109" t="s">
        <v>91</v>
      </c>
      <c r="D1109" t="s">
        <v>1885</v>
      </c>
      <c r="E1109" s="2">
        <v>5397.51</v>
      </c>
      <c r="F1109" s="2">
        <v>4088.1999999999989</v>
      </c>
      <c r="G1109" s="2">
        <v>6475.7199999999993</v>
      </c>
      <c r="H1109" s="2">
        <v>6773.3000000000011</v>
      </c>
      <c r="I1109" s="2">
        <v>5455.12</v>
      </c>
      <c r="J1109" s="2">
        <v>7611.5400000000009</v>
      </c>
      <c r="K1109" s="2">
        <v>2897.68</v>
      </c>
      <c r="L1109" s="2">
        <v>38699.07</v>
      </c>
      <c r="M1109" t="s">
        <v>4400</v>
      </c>
      <c r="N1109" t="s">
        <v>4400</v>
      </c>
    </row>
    <row r="1110" spans="1:14" x14ac:dyDescent="0.4">
      <c r="A1110" t="s">
        <v>2528</v>
      </c>
      <c r="B1110" t="s">
        <v>2502</v>
      </c>
      <c r="C1110" t="s">
        <v>310</v>
      </c>
      <c r="D1110" t="s">
        <v>317</v>
      </c>
      <c r="E1110" s="2">
        <v>741.13</v>
      </c>
      <c r="F1110" s="2">
        <v>1536.9299999999998</v>
      </c>
      <c r="G1110" s="2"/>
      <c r="H1110" s="2">
        <v>1582.47</v>
      </c>
      <c r="I1110" s="2">
        <v>2101.8999999999996</v>
      </c>
      <c r="J1110" s="2">
        <v>1090.43</v>
      </c>
      <c r="K1110" s="2"/>
      <c r="L1110" s="2">
        <v>7052.8599999999942</v>
      </c>
      <c r="M1110" t="s">
        <v>4400</v>
      </c>
      <c r="N1110" t="s">
        <v>4406</v>
      </c>
    </row>
    <row r="1111" spans="1:14" x14ac:dyDescent="0.4">
      <c r="A1111" t="s">
        <v>2529</v>
      </c>
      <c r="B1111" t="s">
        <v>2502</v>
      </c>
      <c r="C1111" t="s">
        <v>178</v>
      </c>
      <c r="D1111" t="s">
        <v>179</v>
      </c>
      <c r="E1111" s="2">
        <v>4492.38</v>
      </c>
      <c r="F1111" s="2">
        <v>4489.4099999999989</v>
      </c>
      <c r="G1111" s="2">
        <v>5619.3399999999992</v>
      </c>
      <c r="H1111" s="2">
        <v>3553.8799999999992</v>
      </c>
      <c r="I1111" s="2">
        <v>4395.2299999999996</v>
      </c>
      <c r="J1111" s="2">
        <v>6117.5</v>
      </c>
      <c r="K1111" s="2">
        <v>3049.6199999999994</v>
      </c>
      <c r="L1111" s="2">
        <v>31717.360000000004</v>
      </c>
      <c r="M1111" t="s">
        <v>4400</v>
      </c>
      <c r="N1111" t="s">
        <v>4400</v>
      </c>
    </row>
    <row r="1112" spans="1:14" x14ac:dyDescent="0.4">
      <c r="A1112" t="s">
        <v>2530</v>
      </c>
      <c r="B1112" t="s">
        <v>2502</v>
      </c>
      <c r="C1112" t="s">
        <v>163</v>
      </c>
      <c r="D1112" t="s">
        <v>164</v>
      </c>
      <c r="E1112" s="2">
        <v>4297.96</v>
      </c>
      <c r="F1112" s="2">
        <v>4018.5199999999991</v>
      </c>
      <c r="G1112" s="2">
        <v>3787.7000000000003</v>
      </c>
      <c r="H1112" s="2">
        <v>4313.1299999999983</v>
      </c>
      <c r="I1112" s="2">
        <v>3374.5400000000004</v>
      </c>
      <c r="J1112" s="2">
        <v>3119.35</v>
      </c>
      <c r="K1112" s="2">
        <v>1463.99</v>
      </c>
      <c r="L1112" s="2">
        <v>24375.189999999995</v>
      </c>
      <c r="M1112" t="s">
        <v>4400</v>
      </c>
      <c r="N1112" t="s">
        <v>4400</v>
      </c>
    </row>
    <row r="1113" spans="1:14" x14ac:dyDescent="0.4">
      <c r="A1113" t="s">
        <v>2531</v>
      </c>
      <c r="B1113" t="s">
        <v>2502</v>
      </c>
      <c r="C1113" t="s">
        <v>113</v>
      </c>
      <c r="D1113" t="s">
        <v>117</v>
      </c>
      <c r="E1113" s="2">
        <v>2630.3500000000004</v>
      </c>
      <c r="F1113" s="2">
        <v>1661.4299999999998</v>
      </c>
      <c r="G1113" s="2">
        <v>1549.0399999999997</v>
      </c>
      <c r="H1113" s="2">
        <v>2341.8000000000002</v>
      </c>
      <c r="I1113" s="2">
        <v>1661.4299999999998</v>
      </c>
      <c r="J1113" s="2">
        <v>1524.7500000000002</v>
      </c>
      <c r="K1113" s="2">
        <v>728.96</v>
      </c>
      <c r="L1113" s="2">
        <v>12097.759999999989</v>
      </c>
      <c r="M1113" t="s">
        <v>4400</v>
      </c>
      <c r="N1113" t="s">
        <v>4400</v>
      </c>
    </row>
    <row r="1114" spans="1:14" x14ac:dyDescent="0.4">
      <c r="A1114" t="s">
        <v>2532</v>
      </c>
      <c r="B1114" t="s">
        <v>2502</v>
      </c>
      <c r="C1114" t="s">
        <v>113</v>
      </c>
      <c r="D1114" t="s">
        <v>117</v>
      </c>
      <c r="E1114" s="2">
        <v>6329.9100000000008</v>
      </c>
      <c r="F1114" s="2">
        <v>5634.329999999999</v>
      </c>
      <c r="G1114" s="2">
        <v>4765.6299999999992</v>
      </c>
      <c r="H1114" s="2">
        <v>5692.0499999999993</v>
      </c>
      <c r="I1114" s="2">
        <v>7320.1099999999979</v>
      </c>
      <c r="J1114" s="2">
        <v>5898.5999999999985</v>
      </c>
      <c r="K1114" s="2">
        <v>2730.64</v>
      </c>
      <c r="L1114" s="2">
        <v>38371.269999999997</v>
      </c>
      <c r="M1114" t="s">
        <v>4400</v>
      </c>
      <c r="N1114" t="s">
        <v>4400</v>
      </c>
    </row>
    <row r="1115" spans="1:14" x14ac:dyDescent="0.4">
      <c r="A1115" t="s">
        <v>2533</v>
      </c>
      <c r="B1115" t="s">
        <v>2502</v>
      </c>
      <c r="C1115" t="s">
        <v>178</v>
      </c>
      <c r="D1115" t="s">
        <v>558</v>
      </c>
      <c r="E1115" s="2">
        <v>3966.9199999999996</v>
      </c>
      <c r="F1115" s="2">
        <v>3116.4999999999995</v>
      </c>
      <c r="G1115" s="2">
        <v>3222.8099999999995</v>
      </c>
      <c r="H1115" s="2">
        <v>2791.4700000000003</v>
      </c>
      <c r="I1115" s="2">
        <v>3283.56</v>
      </c>
      <c r="J1115" s="2">
        <v>3878.8499999999995</v>
      </c>
      <c r="K1115" s="2">
        <v>1670.6100000000001</v>
      </c>
      <c r="L1115" s="2">
        <v>21930.719999999987</v>
      </c>
      <c r="M1115" t="s">
        <v>4400</v>
      </c>
      <c r="N1115" t="s">
        <v>4400</v>
      </c>
    </row>
    <row r="1116" spans="1:14" x14ac:dyDescent="0.4">
      <c r="A1116" t="s">
        <v>2534</v>
      </c>
      <c r="B1116" t="s">
        <v>2502</v>
      </c>
      <c r="C1116" t="s">
        <v>542</v>
      </c>
      <c r="D1116" t="s">
        <v>543</v>
      </c>
      <c r="E1116" s="2">
        <v>3602.4700000000007</v>
      </c>
      <c r="F1116" s="2">
        <v>2888.7000000000003</v>
      </c>
      <c r="G1116" s="2">
        <v>3961.0400000000009</v>
      </c>
      <c r="H1116" s="2">
        <v>2077.6499999999996</v>
      </c>
      <c r="I1116" s="2">
        <v>1272.7099999999998</v>
      </c>
      <c r="J1116" s="2"/>
      <c r="K1116" s="2"/>
      <c r="L1116" s="2">
        <v>13802.569999999994</v>
      </c>
      <c r="M1116" t="s">
        <v>4400</v>
      </c>
      <c r="N1116" t="s">
        <v>4401</v>
      </c>
    </row>
    <row r="1117" spans="1:14" x14ac:dyDescent="0.4">
      <c r="A1117" t="s">
        <v>2535</v>
      </c>
      <c r="B1117" t="s">
        <v>2502</v>
      </c>
      <c r="C1117" t="s">
        <v>542</v>
      </c>
      <c r="D1117" t="s">
        <v>543</v>
      </c>
      <c r="E1117" s="2">
        <v>4215.9699999999993</v>
      </c>
      <c r="F1117" s="2">
        <v>3095.12</v>
      </c>
      <c r="G1117" s="2">
        <v>4793.04</v>
      </c>
      <c r="H1117" s="2">
        <v>4969.2799999999988</v>
      </c>
      <c r="I1117" s="2">
        <v>1391.1699999999998</v>
      </c>
      <c r="J1117" s="2"/>
      <c r="K1117" s="2"/>
      <c r="L1117" s="2">
        <v>18464.579999999998</v>
      </c>
      <c r="M1117" t="s">
        <v>4400</v>
      </c>
      <c r="N1117" t="s">
        <v>4401</v>
      </c>
    </row>
    <row r="1118" spans="1:14" x14ac:dyDescent="0.4">
      <c r="A1118" t="s">
        <v>2536</v>
      </c>
      <c r="B1118" t="s">
        <v>2502</v>
      </c>
      <c r="C1118" t="s">
        <v>310</v>
      </c>
      <c r="D1118" t="s">
        <v>311</v>
      </c>
      <c r="E1118" s="2">
        <v>6138.5999999999995</v>
      </c>
      <c r="F1118" s="2">
        <v>4039.7499999999986</v>
      </c>
      <c r="G1118" s="2">
        <v>3717.7599999999989</v>
      </c>
      <c r="H1118" s="2">
        <v>3921.2899999999991</v>
      </c>
      <c r="I1118" s="2">
        <v>6244.93</v>
      </c>
      <c r="J1118" s="2">
        <v>4777.8399999999974</v>
      </c>
      <c r="K1118" s="2">
        <v>1214.96</v>
      </c>
      <c r="L1118" s="2">
        <v>30055.129999999965</v>
      </c>
      <c r="M1118" t="s">
        <v>4400</v>
      </c>
      <c r="N1118" t="s">
        <v>4400</v>
      </c>
    </row>
    <row r="1119" spans="1:14" x14ac:dyDescent="0.4">
      <c r="A1119" t="s">
        <v>2537</v>
      </c>
      <c r="B1119" t="s">
        <v>2502</v>
      </c>
      <c r="C1119" t="s">
        <v>178</v>
      </c>
      <c r="D1119" t="s">
        <v>558</v>
      </c>
      <c r="E1119" s="2">
        <v>4109.7300000000005</v>
      </c>
      <c r="F1119" s="2">
        <v>3535.7200000000003</v>
      </c>
      <c r="G1119" s="2">
        <v>4222.1699999999992</v>
      </c>
      <c r="H1119" s="2">
        <v>2402.6799999999998</v>
      </c>
      <c r="I1119" s="2">
        <v>3368.6600000000003</v>
      </c>
      <c r="J1119" s="2">
        <v>4629.1499999999987</v>
      </c>
      <c r="K1119" s="2">
        <v>1713.1299999999997</v>
      </c>
      <c r="L1119" s="2">
        <v>23981.24</v>
      </c>
      <c r="M1119" t="s">
        <v>4400</v>
      </c>
      <c r="N1119" t="s">
        <v>4400</v>
      </c>
    </row>
    <row r="1120" spans="1:14" x14ac:dyDescent="0.4">
      <c r="A1120" t="s">
        <v>2538</v>
      </c>
      <c r="B1120" t="s">
        <v>2502</v>
      </c>
      <c r="C1120" t="s">
        <v>19</v>
      </c>
      <c r="D1120" t="s">
        <v>20</v>
      </c>
      <c r="E1120" s="2">
        <v>2839.95</v>
      </c>
      <c r="F1120" s="2">
        <v>2739.6800000000003</v>
      </c>
      <c r="G1120" s="2">
        <v>1172.42</v>
      </c>
      <c r="H1120" s="2">
        <v>2180.8499999999995</v>
      </c>
      <c r="I1120" s="2">
        <v>2338.7800000000002</v>
      </c>
      <c r="J1120" s="2">
        <v>2068.4599999999991</v>
      </c>
      <c r="K1120" s="2">
        <v>905.15000000000009</v>
      </c>
      <c r="L1120" s="2">
        <v>14245.289999999999</v>
      </c>
      <c r="M1120" t="s">
        <v>4400</v>
      </c>
      <c r="N1120" t="s">
        <v>4400</v>
      </c>
    </row>
    <row r="1121" spans="1:14" x14ac:dyDescent="0.4">
      <c r="A1121" t="s">
        <v>2539</v>
      </c>
      <c r="B1121" t="s">
        <v>2502</v>
      </c>
      <c r="C1121" t="s">
        <v>291</v>
      </c>
      <c r="D1121" t="s">
        <v>295</v>
      </c>
      <c r="E1121" s="2">
        <v>3332.12</v>
      </c>
      <c r="F1121" s="2">
        <v>2299.39</v>
      </c>
      <c r="G1121" s="2">
        <v>2196.1100000000006</v>
      </c>
      <c r="H1121" s="2">
        <v>1494.44</v>
      </c>
      <c r="I1121" s="2">
        <v>2202.1800000000003</v>
      </c>
      <c r="J1121" s="2">
        <v>2287.2399999999998</v>
      </c>
      <c r="K1121" s="2"/>
      <c r="L1121" s="2">
        <v>13811.479999999989</v>
      </c>
      <c r="M1121" t="s">
        <v>4400</v>
      </c>
      <c r="N1121" t="s">
        <v>4406</v>
      </c>
    </row>
    <row r="1122" spans="1:14" x14ac:dyDescent="0.4">
      <c r="A1122" t="s">
        <v>2540</v>
      </c>
      <c r="B1122" t="s">
        <v>2502</v>
      </c>
      <c r="C1122" t="s">
        <v>64</v>
      </c>
      <c r="D1122" t="s">
        <v>2297</v>
      </c>
      <c r="E1122" s="2">
        <v>5379.35</v>
      </c>
      <c r="F1122" s="2">
        <v>6175.18</v>
      </c>
      <c r="G1122" s="2">
        <v>7812.3799999999965</v>
      </c>
      <c r="H1122" s="2">
        <v>4869.08</v>
      </c>
      <c r="I1122" s="2">
        <v>4720.2599999999993</v>
      </c>
      <c r="J1122" s="2">
        <v>7900.529999999997</v>
      </c>
      <c r="K1122" s="2">
        <v>3332.14</v>
      </c>
      <c r="L1122" s="2">
        <v>40188.920000000027</v>
      </c>
      <c r="M1122" t="s">
        <v>4400</v>
      </c>
      <c r="N1122" t="s">
        <v>4400</v>
      </c>
    </row>
    <row r="1123" spans="1:14" x14ac:dyDescent="0.4">
      <c r="A1123" t="s">
        <v>2541</v>
      </c>
      <c r="B1123" t="s">
        <v>2502</v>
      </c>
      <c r="C1123" t="s">
        <v>1</v>
      </c>
      <c r="D1123" t="s">
        <v>507</v>
      </c>
      <c r="E1123" s="2">
        <v>3973.0200000000009</v>
      </c>
      <c r="F1123" s="2">
        <v>2867.3900000000003</v>
      </c>
      <c r="G1123" s="2">
        <v>2329.7599999999998</v>
      </c>
      <c r="H1123" s="2">
        <v>2411.7500000000005</v>
      </c>
      <c r="I1123" s="2">
        <v>3079.9800000000005</v>
      </c>
      <c r="J1123" s="2">
        <v>2970.57</v>
      </c>
      <c r="K1123" s="2">
        <v>1491.3500000000001</v>
      </c>
      <c r="L1123" s="2">
        <v>19123.819999999978</v>
      </c>
      <c r="M1123" t="s">
        <v>4400</v>
      </c>
      <c r="N1123" t="s">
        <v>4400</v>
      </c>
    </row>
    <row r="1124" spans="1:14" x14ac:dyDescent="0.4">
      <c r="A1124" t="s">
        <v>2542</v>
      </c>
      <c r="B1124" t="s">
        <v>2502</v>
      </c>
      <c r="C1124" t="s">
        <v>220</v>
      </c>
      <c r="D1124" t="s">
        <v>2543</v>
      </c>
      <c r="E1124" s="2">
        <v>5032.9199999999983</v>
      </c>
      <c r="F1124" s="2">
        <v>5120.9199999999992</v>
      </c>
      <c r="G1124" s="2">
        <v>6533.3299999999981</v>
      </c>
      <c r="H1124" s="2">
        <v>6688.2599999999975</v>
      </c>
      <c r="I1124" s="2">
        <v>5373.0699999999979</v>
      </c>
      <c r="J1124" s="2">
        <v>6345.11</v>
      </c>
      <c r="K1124" s="2">
        <v>2587.8599999999997</v>
      </c>
      <c r="L1124" s="2">
        <v>37681.470000000016</v>
      </c>
      <c r="M1124" t="s">
        <v>4400</v>
      </c>
      <c r="N1124" t="s">
        <v>4400</v>
      </c>
    </row>
    <row r="1125" spans="1:14" x14ac:dyDescent="0.4">
      <c r="A1125" t="s">
        <v>2544</v>
      </c>
      <c r="B1125" t="s">
        <v>2545</v>
      </c>
      <c r="C1125" t="s">
        <v>78</v>
      </c>
      <c r="D1125" t="s">
        <v>768</v>
      </c>
      <c r="E1125" s="2"/>
      <c r="F1125" s="2">
        <v>1524.8100000000002</v>
      </c>
      <c r="G1125" s="2">
        <v>2545.4299999999998</v>
      </c>
      <c r="H1125" s="2">
        <v>3736.130000000001</v>
      </c>
      <c r="I1125" s="2">
        <v>1634.1699999999998</v>
      </c>
      <c r="J1125" s="2">
        <v>3259.2300000000005</v>
      </c>
      <c r="K1125" s="2">
        <v>2420.88</v>
      </c>
      <c r="L1125" s="2">
        <v>15120.649999999983</v>
      </c>
      <c r="M1125" t="s">
        <v>4412</v>
      </c>
      <c r="N1125" t="s">
        <v>4400</v>
      </c>
    </row>
    <row r="1126" spans="1:14" x14ac:dyDescent="0.4">
      <c r="A1126" t="s">
        <v>2546</v>
      </c>
      <c r="B1126" t="s">
        <v>2502</v>
      </c>
      <c r="C1126" t="s">
        <v>542</v>
      </c>
      <c r="D1126" t="s">
        <v>802</v>
      </c>
      <c r="E1126" s="2">
        <v>3192.2999999999988</v>
      </c>
      <c r="F1126" s="2">
        <v>2660.7900000000009</v>
      </c>
      <c r="G1126" s="2">
        <v>2833.9000000000005</v>
      </c>
      <c r="H1126" s="2">
        <v>2940.2099999999991</v>
      </c>
      <c r="I1126" s="2">
        <v>2609.14</v>
      </c>
      <c r="J1126" s="2">
        <v>3945.5800000000004</v>
      </c>
      <c r="K1126" s="2">
        <v>1725.2599999999995</v>
      </c>
      <c r="L1126" s="2">
        <v>19907.179999999982</v>
      </c>
      <c r="M1126" t="s">
        <v>4400</v>
      </c>
      <c r="N1126" t="s">
        <v>4400</v>
      </c>
    </row>
    <row r="1127" spans="1:14" x14ac:dyDescent="0.4">
      <c r="A1127" t="s">
        <v>2547</v>
      </c>
      <c r="B1127" t="s">
        <v>2548</v>
      </c>
      <c r="C1127" t="s">
        <v>1</v>
      </c>
      <c r="D1127" t="s">
        <v>82</v>
      </c>
      <c r="E1127" s="2">
        <v>3426.0299999999997</v>
      </c>
      <c r="F1127" s="2">
        <v>3766.27</v>
      </c>
      <c r="G1127" s="2">
        <v>4543.76</v>
      </c>
      <c r="H1127" s="2">
        <v>3705.4700000000003</v>
      </c>
      <c r="I1127" s="2">
        <v>3438.1899999999991</v>
      </c>
      <c r="J1127" s="2">
        <v>4151.9599999999991</v>
      </c>
      <c r="K1127" s="2">
        <v>1767.69</v>
      </c>
      <c r="L1127" s="2">
        <v>24799.369999999984</v>
      </c>
      <c r="M1127" t="s">
        <v>4400</v>
      </c>
      <c r="N1127" t="s">
        <v>4400</v>
      </c>
    </row>
    <row r="1128" spans="1:14" x14ac:dyDescent="0.4">
      <c r="A1128" t="s">
        <v>2549</v>
      </c>
      <c r="B1128" t="s">
        <v>2502</v>
      </c>
      <c r="C1128" t="s">
        <v>167</v>
      </c>
      <c r="D1128" t="s">
        <v>1275</v>
      </c>
      <c r="E1128" s="2">
        <v>1515.68</v>
      </c>
      <c r="F1128" s="2">
        <v>2302.3399999999997</v>
      </c>
      <c r="G1128" s="2">
        <v>2186.94</v>
      </c>
      <c r="H1128" s="2">
        <v>2217.31</v>
      </c>
      <c r="I1128" s="2">
        <v>1652.35</v>
      </c>
      <c r="J1128" s="2">
        <v>2396.5200000000004</v>
      </c>
      <c r="K1128" s="2">
        <v>738.08999999999992</v>
      </c>
      <c r="L1128" s="2">
        <v>13009.22999999999</v>
      </c>
      <c r="M1128" t="s">
        <v>4400</v>
      </c>
      <c r="N1128" t="s">
        <v>4400</v>
      </c>
    </row>
    <row r="1129" spans="1:14" x14ac:dyDescent="0.4">
      <c r="A1129" t="s">
        <v>2550</v>
      </c>
      <c r="B1129" t="s">
        <v>2502</v>
      </c>
      <c r="C1129" t="s">
        <v>167</v>
      </c>
      <c r="D1129" t="s">
        <v>1275</v>
      </c>
      <c r="E1129" s="2">
        <v>3186.2599999999993</v>
      </c>
      <c r="F1129" s="2">
        <v>3493.0299999999988</v>
      </c>
      <c r="G1129" s="2">
        <v>3347.2399999999989</v>
      </c>
      <c r="H1129" s="2">
        <v>4504.5000000000009</v>
      </c>
      <c r="I1129" s="2">
        <v>4267.5499999999984</v>
      </c>
      <c r="J1129" s="2">
        <v>4070.1200000000017</v>
      </c>
      <c r="K1129" s="2">
        <v>3186.2299999999996</v>
      </c>
      <c r="L1129" s="2">
        <v>26054.929999999986</v>
      </c>
      <c r="M1129" t="s">
        <v>4400</v>
      </c>
      <c r="N1129" t="s">
        <v>4400</v>
      </c>
    </row>
    <row r="1130" spans="1:14" x14ac:dyDescent="0.4">
      <c r="A1130" t="s">
        <v>2551</v>
      </c>
      <c r="B1130" t="s">
        <v>2502</v>
      </c>
      <c r="C1130" t="s">
        <v>186</v>
      </c>
      <c r="D1130" t="s">
        <v>190</v>
      </c>
      <c r="E1130" s="2">
        <v>3781.57</v>
      </c>
      <c r="F1130" s="2">
        <v>5327.56</v>
      </c>
      <c r="G1130" s="2">
        <v>6721.6899999999987</v>
      </c>
      <c r="H1130" s="2">
        <v>5190.829999999999</v>
      </c>
      <c r="I1130" s="2">
        <v>6265.99</v>
      </c>
      <c r="J1130" s="2">
        <v>6521.1900000000014</v>
      </c>
      <c r="K1130" s="2">
        <v>2387.37</v>
      </c>
      <c r="L1130" s="2">
        <v>36196.19999999999</v>
      </c>
      <c r="M1130" t="s">
        <v>4400</v>
      </c>
      <c r="N1130" t="s">
        <v>4400</v>
      </c>
    </row>
    <row r="1131" spans="1:14" x14ac:dyDescent="0.4">
      <c r="A1131" t="s">
        <v>2552</v>
      </c>
      <c r="B1131" t="s">
        <v>2502</v>
      </c>
      <c r="C1131" t="s">
        <v>64</v>
      </c>
      <c r="D1131" t="s">
        <v>2297</v>
      </c>
      <c r="E1131" s="2">
        <v>4097.4399999999996</v>
      </c>
      <c r="F1131" s="2">
        <v>11065.140000000003</v>
      </c>
      <c r="G1131" s="2">
        <v>10573.070000000002</v>
      </c>
      <c r="H1131" s="2">
        <v>7529.6399999999994</v>
      </c>
      <c r="I1131" s="2">
        <v>7900.1500000000015</v>
      </c>
      <c r="J1131" s="2">
        <v>8699.0000000000018</v>
      </c>
      <c r="K1131" s="2">
        <v>3371.5</v>
      </c>
      <c r="L1131" s="2">
        <v>53235.939999999922</v>
      </c>
      <c r="M1131" t="s">
        <v>4400</v>
      </c>
      <c r="N1131" t="s">
        <v>4400</v>
      </c>
    </row>
    <row r="1132" spans="1:14" x14ac:dyDescent="0.4">
      <c r="A1132" t="s">
        <v>2553</v>
      </c>
      <c r="B1132" t="s">
        <v>2502</v>
      </c>
      <c r="C1132" t="s">
        <v>1</v>
      </c>
      <c r="D1132" t="s">
        <v>85</v>
      </c>
      <c r="E1132" s="2">
        <v>2454.3200000000002</v>
      </c>
      <c r="F1132" s="2">
        <v>1880.19</v>
      </c>
      <c r="G1132" s="2">
        <v>971.98000000000013</v>
      </c>
      <c r="H1132" s="2">
        <v>902.14</v>
      </c>
      <c r="I1132" s="2">
        <v>2569.6800000000003</v>
      </c>
      <c r="J1132" s="2">
        <v>3969.98</v>
      </c>
      <c r="K1132" s="2">
        <v>1889.3099999999995</v>
      </c>
      <c r="L1132" s="2">
        <v>14637.6</v>
      </c>
      <c r="M1132" t="s">
        <v>4400</v>
      </c>
      <c r="N1132" t="s">
        <v>4400</v>
      </c>
    </row>
    <row r="1133" spans="1:14" x14ac:dyDescent="0.4">
      <c r="A1133" t="s">
        <v>2554</v>
      </c>
      <c r="B1133" t="s">
        <v>2502</v>
      </c>
      <c r="C1133" t="s">
        <v>1</v>
      </c>
      <c r="D1133" t="s">
        <v>88</v>
      </c>
      <c r="E1133" s="2">
        <v>6603.420000000001</v>
      </c>
      <c r="F1133" s="2">
        <v>7590.61</v>
      </c>
      <c r="G1133" s="2">
        <v>10099.490000000002</v>
      </c>
      <c r="H1133" s="2">
        <v>10597.600000000004</v>
      </c>
      <c r="I1133" s="2">
        <v>3945.6499999999996</v>
      </c>
      <c r="J1133" s="2">
        <v>6861.550000000002</v>
      </c>
      <c r="K1133" s="2">
        <v>4835.5699999999988</v>
      </c>
      <c r="L1133" s="2">
        <v>50533.889999999948</v>
      </c>
      <c r="M1133" t="s">
        <v>4400</v>
      </c>
      <c r="N1133" t="s">
        <v>4400</v>
      </c>
    </row>
    <row r="1134" spans="1:14" x14ac:dyDescent="0.4">
      <c r="A1134" t="s">
        <v>2555</v>
      </c>
      <c r="B1134" t="s">
        <v>2502</v>
      </c>
      <c r="C1134" t="s">
        <v>78</v>
      </c>
      <c r="D1134" t="s">
        <v>768</v>
      </c>
      <c r="E1134" s="2">
        <v>6685.4999999999982</v>
      </c>
      <c r="F1134" s="2">
        <v>6518.4199999999983</v>
      </c>
      <c r="G1134" s="2">
        <v>6561.0199999999986</v>
      </c>
      <c r="H1134" s="2">
        <v>6451.6299999999983</v>
      </c>
      <c r="I1134" s="2">
        <v>6958.9099999999971</v>
      </c>
      <c r="J1134" s="2">
        <v>6655.16</v>
      </c>
      <c r="K1134" s="2">
        <v>3356.4599999999996</v>
      </c>
      <c r="L1134" s="2">
        <v>43187.100000000035</v>
      </c>
      <c r="M1134" t="s">
        <v>4400</v>
      </c>
      <c r="N1134" t="s">
        <v>4400</v>
      </c>
    </row>
    <row r="1135" spans="1:14" x14ac:dyDescent="0.4">
      <c r="A1135" t="s">
        <v>2556</v>
      </c>
      <c r="B1135" t="s">
        <v>2502</v>
      </c>
      <c r="C1135" t="s">
        <v>602</v>
      </c>
      <c r="D1135" t="s">
        <v>1638</v>
      </c>
      <c r="E1135" s="2">
        <v>3058.6399999999994</v>
      </c>
      <c r="F1135" s="2">
        <v>2928.0400000000004</v>
      </c>
      <c r="G1135" s="2">
        <v>3729.9099999999994</v>
      </c>
      <c r="H1135" s="2">
        <v>3441.3500000000004</v>
      </c>
      <c r="I1135" s="2">
        <v>3131.5399999999995</v>
      </c>
      <c r="J1135" s="2">
        <v>2244.6400000000003</v>
      </c>
      <c r="K1135" s="2">
        <v>911.21999999999991</v>
      </c>
      <c r="L1135" s="2">
        <v>19445.339999999975</v>
      </c>
      <c r="M1135" t="s">
        <v>4400</v>
      </c>
      <c r="N1135" t="s">
        <v>4400</v>
      </c>
    </row>
    <row r="1136" spans="1:14" x14ac:dyDescent="0.4">
      <c r="A1136" t="s">
        <v>2557</v>
      </c>
      <c r="B1136" t="s">
        <v>2502</v>
      </c>
      <c r="C1136" t="s">
        <v>602</v>
      </c>
      <c r="D1136" t="s">
        <v>2411</v>
      </c>
      <c r="E1136" s="2">
        <v>3322.9800000000014</v>
      </c>
      <c r="F1136" s="2">
        <v>3863.6200000000003</v>
      </c>
      <c r="G1136" s="2">
        <v>5342.8399999999992</v>
      </c>
      <c r="H1136" s="2">
        <v>4252.4900000000007</v>
      </c>
      <c r="I1136" s="2">
        <v>4033.76</v>
      </c>
      <c r="J1136" s="2">
        <v>5573.7499999999973</v>
      </c>
      <c r="K1136" s="2">
        <v>2378.3300000000004</v>
      </c>
      <c r="L1136" s="2">
        <v>28767.770000000051</v>
      </c>
      <c r="M1136" t="s">
        <v>4400</v>
      </c>
      <c r="N1136" t="s">
        <v>4400</v>
      </c>
    </row>
    <row r="1137" spans="1:14" x14ac:dyDescent="0.4">
      <c r="A1137" t="s">
        <v>2558</v>
      </c>
      <c r="B1137" t="s">
        <v>2502</v>
      </c>
      <c r="C1137" t="s">
        <v>1</v>
      </c>
      <c r="D1137" t="s">
        <v>1030</v>
      </c>
      <c r="E1137" s="2">
        <v>1126.8800000000001</v>
      </c>
      <c r="F1137" s="2">
        <v>4929.79</v>
      </c>
      <c r="G1137" s="2">
        <v>6424.2199999999993</v>
      </c>
      <c r="H1137" s="2">
        <v>7049.8299999999981</v>
      </c>
      <c r="I1137" s="2">
        <v>7772.679999999993</v>
      </c>
      <c r="J1137" s="2">
        <v>7320.0399999999972</v>
      </c>
      <c r="K1137" s="2">
        <v>3535.4999999999991</v>
      </c>
      <c r="L1137" s="2">
        <v>38158.940000000017</v>
      </c>
      <c r="M1137" t="s">
        <v>4400</v>
      </c>
      <c r="N1137" t="s">
        <v>4400</v>
      </c>
    </row>
    <row r="1138" spans="1:14" x14ac:dyDescent="0.4">
      <c r="A1138" t="s">
        <v>2559</v>
      </c>
      <c r="B1138" t="s">
        <v>2502</v>
      </c>
      <c r="C1138" t="s">
        <v>78</v>
      </c>
      <c r="D1138" t="s">
        <v>768</v>
      </c>
      <c r="E1138" s="2">
        <v>5385.2999999999984</v>
      </c>
      <c r="F1138" s="2">
        <v>5682.9299999999985</v>
      </c>
      <c r="G1138" s="2">
        <v>4294.869999999999</v>
      </c>
      <c r="H1138" s="2">
        <v>2940.18</v>
      </c>
      <c r="I1138" s="2">
        <v>3854.4799999999996</v>
      </c>
      <c r="J1138" s="2">
        <v>6166.0000000000009</v>
      </c>
      <c r="K1138" s="2">
        <v>3225.7799999999993</v>
      </c>
      <c r="L1138" s="2">
        <v>31549.540000000005</v>
      </c>
      <c r="M1138" t="s">
        <v>4400</v>
      </c>
      <c r="N1138" t="s">
        <v>4400</v>
      </c>
    </row>
    <row r="1139" spans="1:14" x14ac:dyDescent="0.4">
      <c r="A1139" t="s">
        <v>2560</v>
      </c>
      <c r="B1139" t="s">
        <v>2502</v>
      </c>
      <c r="C1139" t="s">
        <v>186</v>
      </c>
      <c r="D1139" t="s">
        <v>599</v>
      </c>
      <c r="E1139" s="2">
        <v>3942.5500000000006</v>
      </c>
      <c r="F1139" s="2">
        <v>2958.43</v>
      </c>
      <c r="G1139" s="2">
        <v>3912.15</v>
      </c>
      <c r="H1139" s="2">
        <v>4097.4299999999994</v>
      </c>
      <c r="I1139" s="2">
        <v>3168.0499999999997</v>
      </c>
      <c r="J1139" s="2">
        <v>4340.4599999999991</v>
      </c>
      <c r="K1139" s="2">
        <v>1603.7499999999998</v>
      </c>
      <c r="L1139" s="2">
        <v>24022.820000000025</v>
      </c>
      <c r="M1139" t="s">
        <v>4400</v>
      </c>
      <c r="N1139" t="s">
        <v>4400</v>
      </c>
    </row>
    <row r="1140" spans="1:14" x14ac:dyDescent="0.4">
      <c r="A1140" t="s">
        <v>2561</v>
      </c>
      <c r="B1140" t="s">
        <v>2502</v>
      </c>
      <c r="C1140" t="s">
        <v>220</v>
      </c>
      <c r="D1140" t="s">
        <v>2302</v>
      </c>
      <c r="E1140" s="2">
        <v>6542.7999999999984</v>
      </c>
      <c r="F1140" s="2">
        <v>5500.9499999999989</v>
      </c>
      <c r="G1140" s="2">
        <v>7997.81</v>
      </c>
      <c r="H1140" s="2">
        <v>6081.1199999999981</v>
      </c>
      <c r="I1140" s="2">
        <v>6132.7699999999986</v>
      </c>
      <c r="J1140" s="2">
        <v>7010.619999999999</v>
      </c>
      <c r="K1140" s="2">
        <v>2709.4800000000005</v>
      </c>
      <c r="L1140" s="2">
        <v>41975.549999999988</v>
      </c>
      <c r="M1140" t="s">
        <v>4400</v>
      </c>
      <c r="N1140" t="s">
        <v>4400</v>
      </c>
    </row>
    <row r="1141" spans="1:14" x14ac:dyDescent="0.4">
      <c r="A1141" t="s">
        <v>2562</v>
      </c>
      <c r="B1141" t="s">
        <v>2502</v>
      </c>
      <c r="C1141" t="s">
        <v>64</v>
      </c>
      <c r="D1141" t="s">
        <v>645</v>
      </c>
      <c r="E1141" s="2">
        <v>6096.0399999999954</v>
      </c>
      <c r="F1141" s="2">
        <v>6342.0799999999963</v>
      </c>
      <c r="G1141" s="2">
        <v>4471.07</v>
      </c>
      <c r="H1141" s="2">
        <v>4568.2899999999991</v>
      </c>
      <c r="I1141" s="2">
        <v>4920.6099999999997</v>
      </c>
      <c r="J1141" s="2">
        <v>4902.3999999999987</v>
      </c>
      <c r="K1141" s="2">
        <v>2432.9699999999998</v>
      </c>
      <c r="L1141" s="2">
        <v>33733.460000000021</v>
      </c>
      <c r="M1141" t="s">
        <v>4400</v>
      </c>
      <c r="N1141" t="s">
        <v>4400</v>
      </c>
    </row>
    <row r="1142" spans="1:14" x14ac:dyDescent="0.4">
      <c r="A1142" t="s">
        <v>2563</v>
      </c>
      <c r="B1142" t="s">
        <v>2502</v>
      </c>
      <c r="C1142" t="s">
        <v>178</v>
      </c>
      <c r="D1142" t="s">
        <v>179</v>
      </c>
      <c r="E1142" s="2">
        <v>3581.0699999999997</v>
      </c>
      <c r="F1142" s="2">
        <v>4565.1899999999996</v>
      </c>
      <c r="G1142" s="2">
        <v>4516.57</v>
      </c>
      <c r="H1142" s="2">
        <v>3608.4100000000003</v>
      </c>
      <c r="I1142" s="2">
        <v>3723.8199999999993</v>
      </c>
      <c r="J1142" s="2">
        <v>5339.6600000000008</v>
      </c>
      <c r="K1142" s="2">
        <v>1151.1699999999998</v>
      </c>
      <c r="L1142" s="2">
        <v>26485.890000000003</v>
      </c>
      <c r="M1142" t="s">
        <v>4400</v>
      </c>
      <c r="N1142" t="s">
        <v>4400</v>
      </c>
    </row>
    <row r="1143" spans="1:14" x14ac:dyDescent="0.4">
      <c r="A1143" t="s">
        <v>2564</v>
      </c>
      <c r="B1143" t="s">
        <v>2502</v>
      </c>
      <c r="C1143" t="s">
        <v>186</v>
      </c>
      <c r="D1143" t="s">
        <v>190</v>
      </c>
      <c r="E1143" s="2">
        <v>4774.7599999999993</v>
      </c>
      <c r="F1143" s="2">
        <v>4480.12</v>
      </c>
      <c r="G1143" s="2">
        <v>3748.1299999999987</v>
      </c>
      <c r="H1143" s="2">
        <v>3061.66</v>
      </c>
      <c r="I1143" s="2">
        <v>2894.6200000000003</v>
      </c>
      <c r="J1143" s="2">
        <v>5254.66</v>
      </c>
      <c r="K1143" s="2">
        <v>2059.3399999999997</v>
      </c>
      <c r="L1143" s="2">
        <v>26273.29</v>
      </c>
      <c r="M1143" t="s">
        <v>4400</v>
      </c>
      <c r="N1143" t="s">
        <v>4400</v>
      </c>
    </row>
    <row r="1144" spans="1:14" x14ac:dyDescent="0.4">
      <c r="A1144" t="s">
        <v>2565</v>
      </c>
      <c r="B1144" t="s">
        <v>2502</v>
      </c>
      <c r="C1144" t="s">
        <v>1</v>
      </c>
      <c r="D1144" t="s">
        <v>1030</v>
      </c>
      <c r="E1144" s="2">
        <v>4124.66</v>
      </c>
      <c r="F1144" s="2">
        <v>4786.7800000000007</v>
      </c>
      <c r="G1144" s="2">
        <v>6864.2799999999979</v>
      </c>
      <c r="H1144" s="2">
        <v>4975.08</v>
      </c>
      <c r="I1144" s="2">
        <v>4990.2799999999988</v>
      </c>
      <c r="J1144" s="2">
        <v>5573.4199999999992</v>
      </c>
      <c r="K1144" s="2">
        <v>2214.1799999999998</v>
      </c>
      <c r="L1144" s="2">
        <v>33528.679999999964</v>
      </c>
      <c r="M1144" t="s">
        <v>4400</v>
      </c>
      <c r="N1144" t="s">
        <v>4400</v>
      </c>
    </row>
    <row r="1145" spans="1:14" x14ac:dyDescent="0.4">
      <c r="A1145" t="s">
        <v>2566</v>
      </c>
      <c r="B1145" t="s">
        <v>2502</v>
      </c>
      <c r="C1145" t="s">
        <v>220</v>
      </c>
      <c r="D1145" t="s">
        <v>221</v>
      </c>
      <c r="E1145" s="2">
        <v>750.25</v>
      </c>
      <c r="F1145" s="2">
        <v>741.12999999999988</v>
      </c>
      <c r="G1145" s="2">
        <v>3177.1099999999992</v>
      </c>
      <c r="H1145" s="2">
        <v>5269.9000000000005</v>
      </c>
      <c r="I1145" s="2">
        <v>3569</v>
      </c>
      <c r="J1145" s="2">
        <v>4206.8599999999997</v>
      </c>
      <c r="K1145" s="2">
        <v>1473.1399999999999</v>
      </c>
      <c r="L1145" s="2">
        <v>19187.389999999967</v>
      </c>
      <c r="M1145" t="s">
        <v>4400</v>
      </c>
      <c r="N1145" t="s">
        <v>4400</v>
      </c>
    </row>
    <row r="1146" spans="1:14" x14ac:dyDescent="0.4">
      <c r="A1146" t="s">
        <v>2567</v>
      </c>
      <c r="B1146" t="s">
        <v>2502</v>
      </c>
      <c r="C1146" t="s">
        <v>64</v>
      </c>
      <c r="D1146" t="s">
        <v>985</v>
      </c>
      <c r="E1146" s="2">
        <v>3098.13</v>
      </c>
      <c r="F1146" s="2">
        <v>2937.1499999999996</v>
      </c>
      <c r="G1146" s="2">
        <v>2900.6799999999994</v>
      </c>
      <c r="H1146" s="2">
        <v>3152.7699999999995</v>
      </c>
      <c r="I1146" s="2">
        <v>3717.7200000000003</v>
      </c>
      <c r="J1146" s="2">
        <v>2946.23</v>
      </c>
      <c r="K1146" s="2">
        <v>741.12</v>
      </c>
      <c r="L1146" s="2">
        <v>19493.799999999996</v>
      </c>
      <c r="M1146" t="s">
        <v>4400</v>
      </c>
      <c r="N1146" t="s">
        <v>4400</v>
      </c>
    </row>
    <row r="1147" spans="1:14" x14ac:dyDescent="0.4">
      <c r="A1147" t="s">
        <v>2568</v>
      </c>
      <c r="B1147" t="s">
        <v>2502</v>
      </c>
      <c r="C1147" t="s">
        <v>103</v>
      </c>
      <c r="D1147" t="s">
        <v>1882</v>
      </c>
      <c r="E1147" s="2">
        <v>3939.6299999999997</v>
      </c>
      <c r="F1147" s="2">
        <v>3496.1299999999997</v>
      </c>
      <c r="G1147" s="2">
        <v>3247.0499999999997</v>
      </c>
      <c r="H1147" s="2"/>
      <c r="I1147" s="2"/>
      <c r="J1147" s="2"/>
      <c r="K1147" s="2"/>
      <c r="L1147" s="2">
        <v>10682.809999999998</v>
      </c>
      <c r="M1147" t="s">
        <v>4400</v>
      </c>
      <c r="N1147" t="s">
        <v>4403</v>
      </c>
    </row>
    <row r="1148" spans="1:14" x14ac:dyDescent="0.4">
      <c r="A1148" t="s">
        <v>2569</v>
      </c>
      <c r="B1148" t="s">
        <v>2502</v>
      </c>
      <c r="C1148" t="s">
        <v>78</v>
      </c>
      <c r="D1148" t="s">
        <v>907</v>
      </c>
      <c r="E1148" s="2">
        <v>5631.5199999999995</v>
      </c>
      <c r="F1148" s="2">
        <v>4677.8200000000006</v>
      </c>
      <c r="G1148" s="2">
        <v>5503.9500000000007</v>
      </c>
      <c r="H1148" s="2">
        <v>4070.28</v>
      </c>
      <c r="I1148" s="2">
        <v>4121.92</v>
      </c>
      <c r="J1148" s="2">
        <v>6035.56</v>
      </c>
      <c r="K1148" s="2">
        <v>2196.14</v>
      </c>
      <c r="L1148" s="2">
        <v>32237.190000000006</v>
      </c>
      <c r="M1148" t="s">
        <v>4400</v>
      </c>
      <c r="N1148" t="s">
        <v>4400</v>
      </c>
    </row>
    <row r="1149" spans="1:14" x14ac:dyDescent="0.4">
      <c r="A1149" t="s">
        <v>2570</v>
      </c>
      <c r="B1149" t="s">
        <v>2502</v>
      </c>
      <c r="C1149" t="s">
        <v>1</v>
      </c>
      <c r="D1149" t="s">
        <v>1030</v>
      </c>
      <c r="E1149" s="2">
        <v>16459.799999999992</v>
      </c>
      <c r="F1149" s="2">
        <v>12978.839999999998</v>
      </c>
      <c r="G1149" s="2">
        <v>14776.890000000005</v>
      </c>
      <c r="H1149" s="2">
        <v>13054.730000000005</v>
      </c>
      <c r="I1149" s="2">
        <v>16562.959999999995</v>
      </c>
      <c r="J1149" s="2">
        <v>14767.88999999999</v>
      </c>
      <c r="K1149" s="2">
        <v>7210.7699999999959</v>
      </c>
      <c r="L1149" s="2">
        <v>95811.880000000107</v>
      </c>
      <c r="M1149" t="s">
        <v>4400</v>
      </c>
      <c r="N1149" t="s">
        <v>4400</v>
      </c>
    </row>
    <row r="1150" spans="1:14" x14ac:dyDescent="0.4">
      <c r="A1150" t="s">
        <v>2571</v>
      </c>
      <c r="B1150" t="s">
        <v>2502</v>
      </c>
      <c r="C1150" t="s">
        <v>163</v>
      </c>
      <c r="D1150" t="s">
        <v>164</v>
      </c>
      <c r="E1150" s="2"/>
      <c r="F1150" s="2"/>
      <c r="G1150" s="2"/>
      <c r="H1150" s="2">
        <v>1126.8500000000001</v>
      </c>
      <c r="I1150" s="2">
        <v>1579.48</v>
      </c>
      <c r="J1150" s="2">
        <v>1555.14</v>
      </c>
      <c r="K1150" s="2">
        <v>859.58</v>
      </c>
      <c r="L1150" s="2">
        <v>5121.0499999999993</v>
      </c>
      <c r="M1150" t="s">
        <v>4409</v>
      </c>
      <c r="N1150" t="s">
        <v>4400</v>
      </c>
    </row>
    <row r="1151" spans="1:14" x14ac:dyDescent="0.4">
      <c r="A1151" t="s">
        <v>2572</v>
      </c>
      <c r="B1151" t="s">
        <v>2502</v>
      </c>
      <c r="C1151" t="s">
        <v>35</v>
      </c>
      <c r="D1151" t="s">
        <v>2386</v>
      </c>
      <c r="E1151" s="2">
        <v>3477.7900000000004</v>
      </c>
      <c r="F1151" s="2">
        <v>4097.3900000000003</v>
      </c>
      <c r="G1151" s="2">
        <v>3669.1400000000003</v>
      </c>
      <c r="H1151" s="2">
        <v>5172.6499999999996</v>
      </c>
      <c r="I1151" s="2">
        <v>3450.4500000000003</v>
      </c>
      <c r="J1151" s="2">
        <v>4376.83</v>
      </c>
      <c r="K1151" s="2">
        <v>941.59</v>
      </c>
      <c r="L1151" s="2">
        <v>25185.839999999993</v>
      </c>
      <c r="M1151" t="s">
        <v>4400</v>
      </c>
      <c r="N1151" t="s">
        <v>4400</v>
      </c>
    </row>
    <row r="1152" spans="1:14" x14ac:dyDescent="0.4">
      <c r="A1152" t="s">
        <v>2573</v>
      </c>
      <c r="B1152" t="s">
        <v>2502</v>
      </c>
      <c r="C1152" t="s">
        <v>113</v>
      </c>
      <c r="D1152" t="s">
        <v>114</v>
      </c>
      <c r="E1152" s="2">
        <v>2891.5999999999995</v>
      </c>
      <c r="F1152" s="2">
        <v>3134.5799999999995</v>
      </c>
      <c r="G1152" s="2">
        <v>6004.9199999999992</v>
      </c>
      <c r="H1152" s="2">
        <v>5199.9199999999992</v>
      </c>
      <c r="I1152" s="2">
        <v>6597.2199999999993</v>
      </c>
      <c r="J1152" s="2">
        <v>6026.1399999999985</v>
      </c>
      <c r="K1152" s="2">
        <v>2016.7999999999997</v>
      </c>
      <c r="L1152" s="2">
        <v>31871.180000000004</v>
      </c>
      <c r="M1152" t="s">
        <v>4400</v>
      </c>
      <c r="N1152" t="s">
        <v>4400</v>
      </c>
    </row>
    <row r="1153" spans="1:14" x14ac:dyDescent="0.4">
      <c r="A1153" t="s">
        <v>2574</v>
      </c>
      <c r="B1153" t="s">
        <v>2502</v>
      </c>
      <c r="C1153" t="s">
        <v>113</v>
      </c>
      <c r="D1153" t="s">
        <v>114</v>
      </c>
      <c r="E1153" s="2">
        <v>3851.42</v>
      </c>
      <c r="F1153" s="2">
        <v>3101.1800000000003</v>
      </c>
      <c r="G1153" s="2">
        <v>5661.7499999999991</v>
      </c>
      <c r="H1153" s="2">
        <v>4206.8100000000004</v>
      </c>
      <c r="I1153" s="2">
        <v>4984.4099999999989</v>
      </c>
      <c r="J1153" s="2">
        <v>5664.7700000000013</v>
      </c>
      <c r="K1153" s="2">
        <v>2150.48</v>
      </c>
      <c r="L1153" s="2">
        <v>29620.819999999967</v>
      </c>
      <c r="M1153" t="s">
        <v>4400</v>
      </c>
      <c r="N1153" t="s">
        <v>4400</v>
      </c>
    </row>
    <row r="1154" spans="1:14" x14ac:dyDescent="0.4">
      <c r="A1154" t="s">
        <v>2575</v>
      </c>
      <c r="B1154" t="s">
        <v>2502</v>
      </c>
      <c r="C1154" t="s">
        <v>1</v>
      </c>
      <c r="D1154" t="s">
        <v>2</v>
      </c>
      <c r="E1154" s="2">
        <v>2229.56</v>
      </c>
      <c r="F1154" s="2">
        <v>2320.66</v>
      </c>
      <c r="G1154" s="2">
        <v>2973.71</v>
      </c>
      <c r="H1154" s="2">
        <v>3116.5</v>
      </c>
      <c r="I1154" s="2">
        <v>4389.2199999999984</v>
      </c>
      <c r="J1154" s="2">
        <v>2925.14</v>
      </c>
      <c r="K1154" s="2"/>
      <c r="L1154" s="2">
        <v>17954.789999999994</v>
      </c>
      <c r="M1154" t="s">
        <v>4400</v>
      </c>
      <c r="N1154" t="s">
        <v>4406</v>
      </c>
    </row>
    <row r="1155" spans="1:14" x14ac:dyDescent="0.4">
      <c r="A1155" t="s">
        <v>2576</v>
      </c>
      <c r="B1155" t="s">
        <v>2502</v>
      </c>
      <c r="C1155" t="s">
        <v>113</v>
      </c>
      <c r="D1155" t="s">
        <v>615</v>
      </c>
      <c r="E1155" s="2">
        <v>5361.0899999999992</v>
      </c>
      <c r="F1155" s="2">
        <v>3991.1999999999994</v>
      </c>
      <c r="G1155" s="2">
        <v>4124.8599999999997</v>
      </c>
      <c r="H1155" s="2">
        <v>5333.7999999999993</v>
      </c>
      <c r="I1155" s="2">
        <v>5886.59</v>
      </c>
      <c r="J1155" s="2">
        <v>5127.2</v>
      </c>
      <c r="K1155" s="2">
        <v>2539.2199999999998</v>
      </c>
      <c r="L1155" s="2">
        <v>32363.959999999992</v>
      </c>
      <c r="M1155" t="s">
        <v>4400</v>
      </c>
      <c r="N1155" t="s">
        <v>4400</v>
      </c>
    </row>
    <row r="1156" spans="1:14" x14ac:dyDescent="0.4">
      <c r="A1156" t="s">
        <v>2577</v>
      </c>
      <c r="B1156" t="s">
        <v>2502</v>
      </c>
      <c r="C1156" t="s">
        <v>167</v>
      </c>
      <c r="D1156" t="s">
        <v>1050</v>
      </c>
      <c r="E1156" s="2">
        <v>3641.9000000000005</v>
      </c>
      <c r="F1156" s="2">
        <v>3462.6900000000005</v>
      </c>
      <c r="G1156" s="2">
        <v>3465.73</v>
      </c>
      <c r="H1156" s="2">
        <v>4686.8200000000006</v>
      </c>
      <c r="I1156" s="2">
        <v>3760.3700000000008</v>
      </c>
      <c r="J1156" s="2">
        <v>3483.9700000000003</v>
      </c>
      <c r="K1156" s="2">
        <v>1539.9899999999998</v>
      </c>
      <c r="L1156" s="2">
        <v>24041.469999999979</v>
      </c>
      <c r="M1156" t="s">
        <v>4400</v>
      </c>
      <c r="N1156" t="s">
        <v>4400</v>
      </c>
    </row>
    <row r="1157" spans="1:14" x14ac:dyDescent="0.4">
      <c r="A1157" t="s">
        <v>2578</v>
      </c>
      <c r="B1157" t="s">
        <v>2502</v>
      </c>
      <c r="C1157" t="s">
        <v>1</v>
      </c>
      <c r="D1157" t="s">
        <v>85</v>
      </c>
      <c r="E1157" s="2">
        <v>1470.04</v>
      </c>
      <c r="F1157" s="2">
        <v>1482.1999999999998</v>
      </c>
      <c r="G1157" s="2">
        <v>1685.7199999999998</v>
      </c>
      <c r="H1157" s="2">
        <v>777.54</v>
      </c>
      <c r="I1157" s="2">
        <v>1527.8</v>
      </c>
      <c r="J1157" s="2"/>
      <c r="K1157" s="2">
        <v>917.29</v>
      </c>
      <c r="L1157" s="2">
        <v>7860.59</v>
      </c>
      <c r="M1157" t="s">
        <v>4400</v>
      </c>
      <c r="N1157" t="s">
        <v>4400</v>
      </c>
    </row>
    <row r="1158" spans="1:14" x14ac:dyDescent="0.4">
      <c r="A1158" t="s">
        <v>2579</v>
      </c>
      <c r="B1158" t="s">
        <v>622</v>
      </c>
      <c r="C1158" t="s">
        <v>78</v>
      </c>
      <c r="D1158" t="s">
        <v>768</v>
      </c>
      <c r="E1158" s="2"/>
      <c r="F1158" s="2">
        <v>2104.9300000000003</v>
      </c>
      <c r="G1158" s="2">
        <v>4887.2199999999966</v>
      </c>
      <c r="H1158" s="2">
        <v>4419.4299999999985</v>
      </c>
      <c r="I1158" s="2">
        <v>4276.7000000000016</v>
      </c>
      <c r="J1158" s="2">
        <v>5020.8499999999976</v>
      </c>
      <c r="K1158" s="2">
        <v>1959.1200000000006</v>
      </c>
      <c r="L1158" s="2">
        <v>22668.250000000011</v>
      </c>
      <c r="M1158" t="s">
        <v>4412</v>
      </c>
      <c r="N1158" t="s">
        <v>4400</v>
      </c>
    </row>
    <row r="1159" spans="1:14" x14ac:dyDescent="0.4">
      <c r="A1159" t="s">
        <v>2580</v>
      </c>
      <c r="B1159" t="s">
        <v>2502</v>
      </c>
      <c r="C1159" t="s">
        <v>5</v>
      </c>
      <c r="D1159" t="s">
        <v>56</v>
      </c>
      <c r="E1159" s="2">
        <v>5986.7300000000032</v>
      </c>
      <c r="F1159" s="2">
        <v>6211.5599999999995</v>
      </c>
      <c r="G1159" s="2">
        <v>4446.7699999999995</v>
      </c>
      <c r="H1159" s="2">
        <v>6746.1399999999994</v>
      </c>
      <c r="I1159" s="2">
        <v>4604.7100000000009</v>
      </c>
      <c r="J1159" s="2">
        <v>4604.7500000000009</v>
      </c>
      <c r="K1159" s="2">
        <v>953.72</v>
      </c>
      <c r="L1159" s="2">
        <v>33554.380000000005</v>
      </c>
      <c r="M1159" t="s">
        <v>4400</v>
      </c>
      <c r="N1159" t="s">
        <v>4400</v>
      </c>
    </row>
    <row r="1160" spans="1:14" x14ac:dyDescent="0.4">
      <c r="A1160" t="s">
        <v>2581</v>
      </c>
      <c r="B1160" t="s">
        <v>2502</v>
      </c>
      <c r="C1160" t="s">
        <v>220</v>
      </c>
      <c r="D1160" t="s">
        <v>2302</v>
      </c>
      <c r="E1160" s="2">
        <v>3742.1899999999996</v>
      </c>
      <c r="F1160" s="2">
        <v>4340.5999999999995</v>
      </c>
      <c r="G1160" s="2">
        <v>4507.6399999999994</v>
      </c>
      <c r="H1160" s="2">
        <v>3824.2199999999993</v>
      </c>
      <c r="I1160" s="2">
        <v>3690.56</v>
      </c>
      <c r="J1160" s="2">
        <v>5406.72</v>
      </c>
      <c r="K1160" s="2">
        <v>2032.0799999999997</v>
      </c>
      <c r="L1160" s="2">
        <v>27544.009999999977</v>
      </c>
      <c r="M1160" t="s">
        <v>4400</v>
      </c>
      <c r="N1160" t="s">
        <v>4400</v>
      </c>
    </row>
    <row r="1161" spans="1:14" x14ac:dyDescent="0.4">
      <c r="A1161" t="s">
        <v>2582</v>
      </c>
      <c r="B1161" t="s">
        <v>2502</v>
      </c>
      <c r="C1161" t="s">
        <v>113</v>
      </c>
      <c r="D1161" t="s">
        <v>114</v>
      </c>
      <c r="E1161" s="2">
        <v>7374.9400000000023</v>
      </c>
      <c r="F1161" s="2">
        <v>5455.25</v>
      </c>
      <c r="G1161" s="2">
        <v>6481.9600000000009</v>
      </c>
      <c r="H1161" s="2">
        <v>6767.4800000000014</v>
      </c>
      <c r="I1161" s="2">
        <v>7724.2700000000023</v>
      </c>
      <c r="J1161" s="2">
        <v>5342.86</v>
      </c>
      <c r="K1161" s="2">
        <v>2499.83</v>
      </c>
      <c r="L1161" s="2">
        <v>41646.589999999938</v>
      </c>
      <c r="M1161" t="s">
        <v>4400</v>
      </c>
      <c r="N1161" t="s">
        <v>4400</v>
      </c>
    </row>
    <row r="1162" spans="1:14" x14ac:dyDescent="0.4">
      <c r="A1162" t="s">
        <v>2583</v>
      </c>
      <c r="B1162" t="s">
        <v>2502</v>
      </c>
      <c r="C1162" t="s">
        <v>310</v>
      </c>
      <c r="D1162" t="s">
        <v>1952</v>
      </c>
      <c r="E1162" s="2">
        <v>1530.8500000000001</v>
      </c>
      <c r="F1162" s="2"/>
      <c r="G1162" s="2">
        <v>1464.0099999999998</v>
      </c>
      <c r="H1162" s="2">
        <v>744.17</v>
      </c>
      <c r="I1162" s="2">
        <v>1227.07</v>
      </c>
      <c r="J1162" s="2"/>
      <c r="K1162" s="2"/>
      <c r="L1162" s="2">
        <v>4966.1000000000004</v>
      </c>
      <c r="M1162" t="s">
        <v>4400</v>
      </c>
      <c r="N1162" t="s">
        <v>4401</v>
      </c>
    </row>
    <row r="1163" spans="1:14" x14ac:dyDescent="0.4">
      <c r="A1163" t="s">
        <v>2584</v>
      </c>
      <c r="B1163" t="s">
        <v>2502</v>
      </c>
      <c r="C1163" t="s">
        <v>291</v>
      </c>
      <c r="D1163" t="s">
        <v>295</v>
      </c>
      <c r="E1163" s="2">
        <v>5115.2500000000009</v>
      </c>
      <c r="F1163" s="2">
        <v>1998.7199999999998</v>
      </c>
      <c r="G1163" s="2">
        <v>3705.5599999999995</v>
      </c>
      <c r="H1163" s="2">
        <v>1084.33</v>
      </c>
      <c r="I1163" s="2">
        <v>1892.35</v>
      </c>
      <c r="J1163" s="2">
        <v>3921.3499999999995</v>
      </c>
      <c r="K1163" s="2">
        <v>889.99</v>
      </c>
      <c r="L1163" s="2">
        <v>18607.55</v>
      </c>
      <c r="M1163" t="s">
        <v>4400</v>
      </c>
      <c r="N1163" t="s">
        <v>4400</v>
      </c>
    </row>
    <row r="1164" spans="1:14" x14ac:dyDescent="0.4">
      <c r="A1164" t="s">
        <v>2585</v>
      </c>
      <c r="B1164" t="s">
        <v>2502</v>
      </c>
      <c r="C1164" t="s">
        <v>1</v>
      </c>
      <c r="D1164" t="s">
        <v>507</v>
      </c>
      <c r="E1164" s="2">
        <v>3040.41</v>
      </c>
      <c r="F1164" s="2">
        <v>6108.2199999999993</v>
      </c>
      <c r="G1164" s="2">
        <v>4209.7699999999995</v>
      </c>
      <c r="H1164" s="2">
        <v>1570.3</v>
      </c>
      <c r="I1164" s="2">
        <v>2405.5399999999995</v>
      </c>
      <c r="J1164" s="2"/>
      <c r="K1164" s="2">
        <v>850.48</v>
      </c>
      <c r="L1164" s="2">
        <v>18184.719999999983</v>
      </c>
      <c r="M1164" t="s">
        <v>4400</v>
      </c>
      <c r="N1164" t="s">
        <v>4400</v>
      </c>
    </row>
    <row r="1165" spans="1:14" x14ac:dyDescent="0.4">
      <c r="A1165" t="s">
        <v>2586</v>
      </c>
      <c r="B1165" t="s">
        <v>2502</v>
      </c>
      <c r="C1165" t="s">
        <v>9</v>
      </c>
      <c r="D1165" t="s">
        <v>10</v>
      </c>
      <c r="E1165" s="2">
        <v>2353.9899999999998</v>
      </c>
      <c r="F1165" s="2">
        <v>814.02</v>
      </c>
      <c r="G1165" s="2">
        <v>1512.62</v>
      </c>
      <c r="H1165" s="2">
        <v>1482.2599999999998</v>
      </c>
      <c r="I1165" s="2">
        <v>1102.58</v>
      </c>
      <c r="J1165" s="2">
        <v>2183.92</v>
      </c>
      <c r="K1165" s="2">
        <v>725.95</v>
      </c>
      <c r="L1165" s="2">
        <v>10175.339999999989</v>
      </c>
      <c r="M1165" t="s">
        <v>4400</v>
      </c>
      <c r="N1165" t="s">
        <v>4400</v>
      </c>
    </row>
    <row r="1166" spans="1:14" x14ac:dyDescent="0.4">
      <c r="A1166" t="s">
        <v>2587</v>
      </c>
      <c r="B1166" t="s">
        <v>2502</v>
      </c>
      <c r="C1166" t="s">
        <v>1</v>
      </c>
      <c r="D1166" t="s">
        <v>88</v>
      </c>
      <c r="E1166" s="2">
        <v>3611.5100000000007</v>
      </c>
      <c r="F1166" s="2">
        <v>5403.5400000000018</v>
      </c>
      <c r="G1166" s="2">
        <v>3900.1200000000003</v>
      </c>
      <c r="H1166" s="2">
        <v>3010.1200000000003</v>
      </c>
      <c r="I1166" s="2">
        <v>3228.79</v>
      </c>
      <c r="J1166" s="2">
        <v>2894.7</v>
      </c>
      <c r="K1166" s="2"/>
      <c r="L1166" s="2">
        <v>22048.779999999981</v>
      </c>
      <c r="M1166" t="s">
        <v>4400</v>
      </c>
      <c r="N1166" t="s">
        <v>4406</v>
      </c>
    </row>
    <row r="1167" spans="1:14" x14ac:dyDescent="0.4">
      <c r="A1167" t="s">
        <v>2588</v>
      </c>
      <c r="B1167" t="s">
        <v>2502</v>
      </c>
      <c r="C1167" t="s">
        <v>1</v>
      </c>
      <c r="D1167" t="s">
        <v>88</v>
      </c>
      <c r="E1167" s="2">
        <v>4361.7300000000005</v>
      </c>
      <c r="F1167" s="2">
        <v>3119.4300000000007</v>
      </c>
      <c r="G1167" s="2">
        <v>3805.8999999999983</v>
      </c>
      <c r="H1167" s="2">
        <v>2976.6699999999996</v>
      </c>
      <c r="I1167" s="2">
        <v>3474.7800000000007</v>
      </c>
      <c r="J1167" s="2">
        <v>2478.56</v>
      </c>
      <c r="K1167" s="2">
        <v>1470.11</v>
      </c>
      <c r="L1167" s="2">
        <v>21687.180000000004</v>
      </c>
      <c r="M1167" t="s">
        <v>4400</v>
      </c>
      <c r="N1167" t="s">
        <v>4400</v>
      </c>
    </row>
    <row r="1168" spans="1:14" x14ac:dyDescent="0.4">
      <c r="A1168" t="s">
        <v>2589</v>
      </c>
      <c r="B1168" t="s">
        <v>2502</v>
      </c>
      <c r="C1168" t="s">
        <v>5</v>
      </c>
      <c r="D1168" t="s">
        <v>56</v>
      </c>
      <c r="E1168" s="2">
        <v>3016.1699999999996</v>
      </c>
      <c r="F1168" s="2">
        <v>4841.7099999999991</v>
      </c>
      <c r="G1168" s="2">
        <v>4729.2899999999981</v>
      </c>
      <c r="H1168" s="2">
        <v>3918.33</v>
      </c>
      <c r="I1168" s="2">
        <v>3556.8700000000008</v>
      </c>
      <c r="J1168" s="2">
        <v>4003.360000000001</v>
      </c>
      <c r="K1168" s="2">
        <v>1464.08</v>
      </c>
      <c r="L1168" s="2">
        <v>25529.809999999976</v>
      </c>
      <c r="M1168" t="s">
        <v>4400</v>
      </c>
      <c r="N1168" t="s">
        <v>4400</v>
      </c>
    </row>
    <row r="1169" spans="1:14" x14ac:dyDescent="0.4">
      <c r="A1169" t="s">
        <v>2590</v>
      </c>
      <c r="B1169" t="s">
        <v>2502</v>
      </c>
      <c r="C1169" t="s">
        <v>195</v>
      </c>
      <c r="D1169" t="s">
        <v>196</v>
      </c>
      <c r="E1169" s="2">
        <v>4124.91</v>
      </c>
      <c r="F1169" s="2">
        <v>4000.3499999999995</v>
      </c>
      <c r="G1169" s="2">
        <v>4838.7099999999991</v>
      </c>
      <c r="H1169" s="2">
        <v>5194.0900000000011</v>
      </c>
      <c r="I1169" s="2">
        <v>4282.8700000000008</v>
      </c>
      <c r="J1169" s="2">
        <v>4829.5900000000011</v>
      </c>
      <c r="K1169" s="2">
        <v>2363.1799999999998</v>
      </c>
      <c r="L1169" s="2">
        <v>29633.699999999986</v>
      </c>
      <c r="M1169" t="s">
        <v>4400</v>
      </c>
      <c r="N1169" t="s">
        <v>4400</v>
      </c>
    </row>
    <row r="1170" spans="1:14" x14ac:dyDescent="0.4">
      <c r="A1170" t="s">
        <v>2591</v>
      </c>
      <c r="B1170" t="s">
        <v>2502</v>
      </c>
      <c r="C1170" t="s">
        <v>220</v>
      </c>
      <c r="D1170" t="s">
        <v>2302</v>
      </c>
      <c r="E1170" s="2">
        <v>10527.769999999999</v>
      </c>
      <c r="F1170" s="2">
        <v>9470.739999999998</v>
      </c>
      <c r="G1170" s="2">
        <v>12091.98</v>
      </c>
      <c r="H1170" s="2">
        <v>10770.669999999996</v>
      </c>
      <c r="I1170" s="2">
        <v>8507.73</v>
      </c>
      <c r="J1170" s="2">
        <v>10339.34</v>
      </c>
      <c r="K1170" s="2">
        <v>4674.59</v>
      </c>
      <c r="L1170" s="2">
        <v>66382.819999999934</v>
      </c>
      <c r="M1170" t="s">
        <v>4400</v>
      </c>
      <c r="N1170" t="s">
        <v>4400</v>
      </c>
    </row>
    <row r="1171" spans="1:14" x14ac:dyDescent="0.4">
      <c r="A1171" t="s">
        <v>2592</v>
      </c>
      <c r="B1171" t="s">
        <v>2502</v>
      </c>
      <c r="C1171" t="s">
        <v>195</v>
      </c>
      <c r="D1171" t="s">
        <v>1131</v>
      </c>
      <c r="E1171" s="2">
        <v>2785.3199999999997</v>
      </c>
      <c r="F1171" s="2">
        <v>4920.6399999999994</v>
      </c>
      <c r="G1171" s="2">
        <v>7374.8800000000019</v>
      </c>
      <c r="H1171" s="2">
        <v>6099.15</v>
      </c>
      <c r="I1171" s="2">
        <v>5121.0800000000017</v>
      </c>
      <c r="J1171" s="2">
        <v>5874.36</v>
      </c>
      <c r="K1171" s="2">
        <v>2533.21</v>
      </c>
      <c r="L1171" s="2">
        <v>34708.639999999985</v>
      </c>
      <c r="M1171" t="s">
        <v>4400</v>
      </c>
      <c r="N1171" t="s">
        <v>4400</v>
      </c>
    </row>
    <row r="1172" spans="1:14" x14ac:dyDescent="0.4">
      <c r="A1172" t="s">
        <v>2593</v>
      </c>
      <c r="B1172" t="s">
        <v>2502</v>
      </c>
      <c r="C1172" t="s">
        <v>9</v>
      </c>
      <c r="D1172" t="s">
        <v>10</v>
      </c>
      <c r="E1172" s="2">
        <v>3496.1600000000003</v>
      </c>
      <c r="F1172" s="2">
        <v>3632.8500000000004</v>
      </c>
      <c r="G1172" s="2">
        <v>4298.0600000000004</v>
      </c>
      <c r="H1172" s="2">
        <v>3687.5300000000007</v>
      </c>
      <c r="I1172" s="2">
        <v>2478.61</v>
      </c>
      <c r="J1172" s="2">
        <v>1707.08</v>
      </c>
      <c r="K1172" s="2">
        <v>1728.3400000000001</v>
      </c>
      <c r="L1172" s="2">
        <v>21028.630000000005</v>
      </c>
      <c r="M1172" t="s">
        <v>4400</v>
      </c>
      <c r="N1172" t="s">
        <v>4400</v>
      </c>
    </row>
    <row r="1173" spans="1:14" x14ac:dyDescent="0.4">
      <c r="A1173" t="s">
        <v>2594</v>
      </c>
      <c r="B1173" t="s">
        <v>2595</v>
      </c>
      <c r="C1173" t="s">
        <v>64</v>
      </c>
      <c r="D1173" t="s">
        <v>1760</v>
      </c>
      <c r="E1173" s="2">
        <v>3146.7400000000002</v>
      </c>
      <c r="F1173" s="2">
        <v>2554.48</v>
      </c>
      <c r="G1173" s="2">
        <v>725.95</v>
      </c>
      <c r="H1173" s="2"/>
      <c r="I1173" s="2"/>
      <c r="J1173" s="2"/>
      <c r="K1173" s="2"/>
      <c r="L1173" s="2">
        <v>6427.1699999999983</v>
      </c>
      <c r="M1173" t="s">
        <v>4400</v>
      </c>
      <c r="N1173" t="s">
        <v>4403</v>
      </c>
    </row>
    <row r="1174" spans="1:14" x14ac:dyDescent="0.4">
      <c r="A1174" t="s">
        <v>2596</v>
      </c>
      <c r="B1174" t="s">
        <v>2502</v>
      </c>
      <c r="C1174" t="s">
        <v>64</v>
      </c>
      <c r="D1174" t="s">
        <v>808</v>
      </c>
      <c r="E1174" s="2">
        <v>807.94</v>
      </c>
      <c r="F1174" s="2"/>
      <c r="G1174" s="2"/>
      <c r="H1174" s="2"/>
      <c r="I1174" s="2"/>
      <c r="J1174" s="2"/>
      <c r="K1174" s="2"/>
      <c r="L1174" s="2">
        <v>807.94</v>
      </c>
      <c r="M1174" t="s">
        <v>4400</v>
      </c>
      <c r="N1174" t="s">
        <v>4407</v>
      </c>
    </row>
    <row r="1175" spans="1:14" x14ac:dyDescent="0.4">
      <c r="A1175" t="s">
        <v>2597</v>
      </c>
      <c r="B1175" t="s">
        <v>2502</v>
      </c>
      <c r="C1175" t="s">
        <v>60</v>
      </c>
      <c r="D1175" t="s">
        <v>61</v>
      </c>
      <c r="E1175" s="2">
        <v>5288.2000000000025</v>
      </c>
      <c r="F1175" s="2">
        <v>3201.4999999999991</v>
      </c>
      <c r="G1175" s="2">
        <v>2873.44</v>
      </c>
      <c r="H1175" s="2">
        <v>3119.4799999999996</v>
      </c>
      <c r="I1175" s="2">
        <v>3441.46</v>
      </c>
      <c r="J1175" s="2">
        <v>4516.7300000000014</v>
      </c>
      <c r="K1175" s="2">
        <v>1139.0599999999997</v>
      </c>
      <c r="L1175" s="2">
        <v>23579.869999999988</v>
      </c>
      <c r="M1175" t="s">
        <v>4400</v>
      </c>
      <c r="N1175" t="s">
        <v>4400</v>
      </c>
    </row>
    <row r="1176" spans="1:14" x14ac:dyDescent="0.4">
      <c r="A1176" t="s">
        <v>2598</v>
      </c>
      <c r="B1176" t="s">
        <v>2502</v>
      </c>
      <c r="C1176" t="s">
        <v>939</v>
      </c>
      <c r="D1176" t="s">
        <v>1266</v>
      </c>
      <c r="E1176" s="2">
        <v>5880.63</v>
      </c>
      <c r="F1176" s="2">
        <v>4249.46</v>
      </c>
      <c r="G1176" s="2">
        <v>4334.53</v>
      </c>
      <c r="H1176" s="2">
        <v>4668.6400000000003</v>
      </c>
      <c r="I1176" s="2">
        <v>5075.6799999999994</v>
      </c>
      <c r="J1176" s="2">
        <v>2208.2699999999995</v>
      </c>
      <c r="K1176" s="2">
        <v>1017.5699999999999</v>
      </c>
      <c r="L1176" s="2">
        <v>27434.779999999977</v>
      </c>
      <c r="M1176" t="s">
        <v>4400</v>
      </c>
      <c r="N1176" t="s">
        <v>4400</v>
      </c>
    </row>
    <row r="1177" spans="1:14" x14ac:dyDescent="0.4">
      <c r="A1177" t="s">
        <v>2599</v>
      </c>
      <c r="B1177" t="s">
        <v>2502</v>
      </c>
      <c r="C1177" t="s">
        <v>167</v>
      </c>
      <c r="D1177" t="s">
        <v>1275</v>
      </c>
      <c r="E1177" s="2">
        <v>4398.1799999999994</v>
      </c>
      <c r="F1177" s="2">
        <v>3098.1800000000007</v>
      </c>
      <c r="G1177" s="2">
        <v>3389.7700000000004</v>
      </c>
      <c r="H1177" s="2">
        <v>4929.71</v>
      </c>
      <c r="I1177" s="2">
        <v>2949.3099999999995</v>
      </c>
      <c r="J1177" s="2">
        <v>6946.55</v>
      </c>
      <c r="K1177" s="2">
        <v>2742.8099999999995</v>
      </c>
      <c r="L1177" s="2">
        <v>28454.509999999966</v>
      </c>
      <c r="M1177" t="s">
        <v>4400</v>
      </c>
      <c r="N1177" t="s">
        <v>4400</v>
      </c>
    </row>
    <row r="1178" spans="1:14" x14ac:dyDescent="0.4">
      <c r="A1178" t="s">
        <v>2600</v>
      </c>
      <c r="B1178" t="s">
        <v>2502</v>
      </c>
      <c r="C1178" t="s">
        <v>274</v>
      </c>
      <c r="D1178" t="s">
        <v>2601</v>
      </c>
      <c r="E1178" s="2">
        <v>3304.8199999999988</v>
      </c>
      <c r="F1178" s="2">
        <v>3131.7299999999991</v>
      </c>
      <c r="G1178" s="2">
        <v>3642.0199999999986</v>
      </c>
      <c r="H1178" s="2">
        <v>5895.8799999999983</v>
      </c>
      <c r="I1178" s="2">
        <v>4428.7499999999991</v>
      </c>
      <c r="J1178" s="2">
        <v>3708.8699999999994</v>
      </c>
      <c r="K1178" s="2">
        <v>2375.3599999999997</v>
      </c>
      <c r="L1178" s="2">
        <v>26487.430000000029</v>
      </c>
      <c r="M1178" t="s">
        <v>4400</v>
      </c>
      <c r="N1178" t="s">
        <v>4400</v>
      </c>
    </row>
    <row r="1179" spans="1:14" x14ac:dyDescent="0.4">
      <c r="A1179" t="s">
        <v>2602</v>
      </c>
      <c r="B1179" t="s">
        <v>2502</v>
      </c>
      <c r="C1179" t="s">
        <v>220</v>
      </c>
      <c r="D1179" t="s">
        <v>2302</v>
      </c>
      <c r="E1179" s="2">
        <v>5871.4699999999993</v>
      </c>
      <c r="F1179" s="2">
        <v>3462.74</v>
      </c>
      <c r="G1179" s="2">
        <v>5269.9900000000016</v>
      </c>
      <c r="H1179" s="2">
        <v>4714.1099999999997</v>
      </c>
      <c r="I1179" s="2">
        <v>3796.8299999999995</v>
      </c>
      <c r="J1179" s="2">
        <v>2648.6300000000006</v>
      </c>
      <c r="K1179" s="2">
        <v>859.61</v>
      </c>
      <c r="L1179" s="2">
        <v>26623.379999999979</v>
      </c>
      <c r="M1179" t="s">
        <v>4400</v>
      </c>
      <c r="N1179" t="s">
        <v>4400</v>
      </c>
    </row>
    <row r="1180" spans="1:14" x14ac:dyDescent="0.4">
      <c r="A1180" t="s">
        <v>2603</v>
      </c>
      <c r="B1180" t="s">
        <v>2502</v>
      </c>
      <c r="C1180" t="s">
        <v>220</v>
      </c>
      <c r="D1180" t="s">
        <v>221</v>
      </c>
      <c r="E1180" s="2">
        <v>2906.7999999999993</v>
      </c>
      <c r="F1180" s="2">
        <v>3769.4299999999994</v>
      </c>
      <c r="G1180" s="2">
        <v>3942.4599999999996</v>
      </c>
      <c r="H1180" s="2">
        <v>3784.5399999999986</v>
      </c>
      <c r="I1180" s="2">
        <v>3650.8500000000004</v>
      </c>
      <c r="J1180" s="2">
        <v>2873.2799999999993</v>
      </c>
      <c r="K1180" s="2">
        <v>1840.6399999999996</v>
      </c>
      <c r="L1180" s="2">
        <v>22767.999999999953</v>
      </c>
      <c r="M1180" t="s">
        <v>4400</v>
      </c>
      <c r="N1180" t="s">
        <v>4400</v>
      </c>
    </row>
    <row r="1181" spans="1:14" x14ac:dyDescent="0.4">
      <c r="A1181" t="s">
        <v>2604</v>
      </c>
      <c r="B1181" t="s">
        <v>2502</v>
      </c>
      <c r="C1181" t="s">
        <v>274</v>
      </c>
      <c r="D1181" t="s">
        <v>2605</v>
      </c>
      <c r="E1181" s="2">
        <v>2369.2200000000003</v>
      </c>
      <c r="F1181" s="2">
        <v>2308.5</v>
      </c>
      <c r="G1181" s="2">
        <v>1658.42</v>
      </c>
      <c r="H1181" s="2">
        <v>3723.9700000000007</v>
      </c>
      <c r="I1181" s="2">
        <v>4231.2799999999988</v>
      </c>
      <c r="J1181" s="2">
        <v>3982.1600000000003</v>
      </c>
      <c r="K1181" s="2">
        <v>2414.83</v>
      </c>
      <c r="L1181" s="2">
        <v>20688.379999999983</v>
      </c>
      <c r="M1181" t="s">
        <v>4400</v>
      </c>
      <c r="N1181" t="s">
        <v>4400</v>
      </c>
    </row>
    <row r="1182" spans="1:14" x14ac:dyDescent="0.4">
      <c r="A1182" t="s">
        <v>2606</v>
      </c>
      <c r="B1182" t="s">
        <v>2502</v>
      </c>
      <c r="C1182" t="s">
        <v>542</v>
      </c>
      <c r="D1182" t="s">
        <v>1800</v>
      </c>
      <c r="E1182" s="2">
        <v>3180.2299999999996</v>
      </c>
      <c r="F1182" s="2">
        <v>2344.92</v>
      </c>
      <c r="G1182" s="2">
        <v>1451.9199999999998</v>
      </c>
      <c r="H1182" s="2"/>
      <c r="I1182" s="2"/>
      <c r="J1182" s="2"/>
      <c r="K1182" s="2"/>
      <c r="L1182" s="2">
        <v>6977.0699999999988</v>
      </c>
      <c r="M1182" t="s">
        <v>4400</v>
      </c>
      <c r="N1182" t="s">
        <v>4403</v>
      </c>
    </row>
    <row r="1183" spans="1:14" x14ac:dyDescent="0.4">
      <c r="A1183" t="s">
        <v>2607</v>
      </c>
      <c r="B1183" t="s">
        <v>2502</v>
      </c>
      <c r="C1183" t="s">
        <v>113</v>
      </c>
      <c r="D1183" t="s">
        <v>615</v>
      </c>
      <c r="E1183" s="2">
        <v>6004.9700000000012</v>
      </c>
      <c r="F1183" s="2">
        <v>5175.7800000000007</v>
      </c>
      <c r="G1183" s="2">
        <v>5725.5599999999995</v>
      </c>
      <c r="H1183" s="2">
        <v>5008.7300000000005</v>
      </c>
      <c r="I1183" s="2">
        <v>7213.87</v>
      </c>
      <c r="J1183" s="2">
        <v>4635.1200000000008</v>
      </c>
      <c r="K1183" s="2">
        <v>2621.2900000000004</v>
      </c>
      <c r="L1183" s="2">
        <v>36385.319999999985</v>
      </c>
      <c r="M1183" t="s">
        <v>4400</v>
      </c>
      <c r="N1183" t="s">
        <v>4400</v>
      </c>
    </row>
    <row r="1184" spans="1:14" x14ac:dyDescent="0.4">
      <c r="A1184" t="s">
        <v>2608</v>
      </c>
      <c r="B1184" t="s">
        <v>2502</v>
      </c>
      <c r="C1184" t="s">
        <v>220</v>
      </c>
      <c r="D1184" t="s">
        <v>224</v>
      </c>
      <c r="E1184" s="2">
        <v>14619.150000000001</v>
      </c>
      <c r="F1184" s="2">
        <v>14224.250000000002</v>
      </c>
      <c r="G1184" s="2">
        <v>19469.720000000005</v>
      </c>
      <c r="H1184" s="2">
        <v>20493.409999999996</v>
      </c>
      <c r="I1184" s="2">
        <v>16924.489999999998</v>
      </c>
      <c r="J1184" s="2">
        <v>19427.310000000001</v>
      </c>
      <c r="K1184" s="2">
        <v>9011.989999999998</v>
      </c>
      <c r="L1184" s="2">
        <v>114170.31999999985</v>
      </c>
      <c r="M1184" t="s">
        <v>4400</v>
      </c>
      <c r="N1184" t="s">
        <v>4400</v>
      </c>
    </row>
    <row r="1185" spans="1:14" x14ac:dyDescent="0.4">
      <c r="A1185" t="s">
        <v>2609</v>
      </c>
      <c r="B1185" t="s">
        <v>2502</v>
      </c>
      <c r="C1185" t="s">
        <v>291</v>
      </c>
      <c r="D1185" t="s">
        <v>295</v>
      </c>
      <c r="E1185" s="2">
        <v>1491.33</v>
      </c>
      <c r="F1185" s="2"/>
      <c r="G1185" s="2"/>
      <c r="H1185" s="2"/>
      <c r="I1185" s="2"/>
      <c r="J1185" s="2"/>
      <c r="K1185" s="2"/>
      <c r="L1185" s="2">
        <v>1491.33</v>
      </c>
      <c r="M1185" t="s">
        <v>4400</v>
      </c>
      <c r="N1185" t="s">
        <v>4407</v>
      </c>
    </row>
    <row r="1186" spans="1:14" x14ac:dyDescent="0.4">
      <c r="A1186" t="s">
        <v>2610</v>
      </c>
      <c r="B1186" t="s">
        <v>2502</v>
      </c>
      <c r="C1186" t="s">
        <v>163</v>
      </c>
      <c r="D1186" t="s">
        <v>164</v>
      </c>
      <c r="E1186" s="2">
        <v>3808.8000000000006</v>
      </c>
      <c r="F1186" s="2">
        <v>3735.8999999999992</v>
      </c>
      <c r="G1186" s="2">
        <v>2475.4699999999998</v>
      </c>
      <c r="H1186" s="2">
        <v>1792.04</v>
      </c>
      <c r="I1186" s="2">
        <v>5734.4799999999987</v>
      </c>
      <c r="J1186" s="2">
        <v>5521.869999999999</v>
      </c>
      <c r="K1186" s="2">
        <v>2466.3199999999997</v>
      </c>
      <c r="L1186" s="2">
        <v>25534.880000000001</v>
      </c>
      <c r="M1186" t="s">
        <v>4400</v>
      </c>
      <c r="N1186" t="s">
        <v>4400</v>
      </c>
    </row>
    <row r="1187" spans="1:14" x14ac:dyDescent="0.4">
      <c r="A1187" t="s">
        <v>2611</v>
      </c>
      <c r="B1187" t="s">
        <v>2502</v>
      </c>
      <c r="C1187" t="s">
        <v>9</v>
      </c>
      <c r="D1187" t="s">
        <v>45</v>
      </c>
      <c r="E1187" s="2">
        <v>3511.27</v>
      </c>
      <c r="F1187" s="2">
        <v>3240.9100000000003</v>
      </c>
      <c r="G1187" s="2">
        <v>3884.87</v>
      </c>
      <c r="H1187" s="2">
        <v>2976.6899999999996</v>
      </c>
      <c r="I1187" s="2">
        <v>738.1</v>
      </c>
      <c r="J1187" s="2">
        <v>2244.63</v>
      </c>
      <c r="K1187" s="2">
        <v>1445.7799999999997</v>
      </c>
      <c r="L1187" s="2">
        <v>18042.250000000007</v>
      </c>
      <c r="M1187" t="s">
        <v>4400</v>
      </c>
      <c r="N1187" t="s">
        <v>4400</v>
      </c>
    </row>
    <row r="1188" spans="1:14" x14ac:dyDescent="0.4">
      <c r="A1188" t="s">
        <v>2612</v>
      </c>
      <c r="B1188" t="s">
        <v>2502</v>
      </c>
      <c r="C1188" t="s">
        <v>1</v>
      </c>
      <c r="D1188" t="s">
        <v>1030</v>
      </c>
      <c r="E1188" s="2">
        <v>7696.72</v>
      </c>
      <c r="F1188" s="2">
        <v>6165.8500000000013</v>
      </c>
      <c r="G1188" s="2">
        <v>9707.4500000000025</v>
      </c>
      <c r="H1188" s="2">
        <v>6524.2500000000009</v>
      </c>
      <c r="I1188" s="2">
        <v>6539.4800000000014</v>
      </c>
      <c r="J1188" s="2">
        <v>6226.7000000000016</v>
      </c>
      <c r="K1188" s="2">
        <v>2961.4500000000003</v>
      </c>
      <c r="L1188" s="2">
        <v>45821.899999999994</v>
      </c>
      <c r="M1188" t="s">
        <v>4400</v>
      </c>
      <c r="N1188" t="s">
        <v>4400</v>
      </c>
    </row>
    <row r="1189" spans="1:14" x14ac:dyDescent="0.4">
      <c r="A1189" t="s">
        <v>2613</v>
      </c>
      <c r="B1189" t="s">
        <v>2502</v>
      </c>
      <c r="C1189" t="s">
        <v>186</v>
      </c>
      <c r="D1189" t="s">
        <v>187</v>
      </c>
      <c r="E1189" s="2">
        <v>1151.1899999999998</v>
      </c>
      <c r="F1189" s="2"/>
      <c r="G1189" s="2"/>
      <c r="H1189" s="2">
        <v>2742.8199999999997</v>
      </c>
      <c r="I1189" s="2">
        <v>1974.3299999999997</v>
      </c>
      <c r="J1189" s="2">
        <v>2226.41</v>
      </c>
      <c r="K1189" s="2">
        <v>1169.4000000000001</v>
      </c>
      <c r="L1189" s="2">
        <v>9264.15</v>
      </c>
      <c r="M1189" t="s">
        <v>4400</v>
      </c>
      <c r="N1189" t="s">
        <v>4400</v>
      </c>
    </row>
    <row r="1190" spans="1:14" x14ac:dyDescent="0.4">
      <c r="A1190" t="s">
        <v>2614</v>
      </c>
      <c r="B1190" t="s">
        <v>2502</v>
      </c>
      <c r="C1190" t="s">
        <v>9</v>
      </c>
      <c r="D1190" t="s">
        <v>1412</v>
      </c>
      <c r="E1190" s="2">
        <v>3104.2299999999991</v>
      </c>
      <c r="F1190" s="2">
        <v>3061.6999999999994</v>
      </c>
      <c r="G1190" s="2">
        <v>1503.5400000000002</v>
      </c>
      <c r="H1190" s="2">
        <v>2205.16</v>
      </c>
      <c r="I1190" s="2">
        <v>2779.1899999999996</v>
      </c>
      <c r="J1190" s="2">
        <v>3128.5399999999995</v>
      </c>
      <c r="K1190" s="2">
        <v>1621.96</v>
      </c>
      <c r="L1190" s="2">
        <v>17404.319999999992</v>
      </c>
      <c r="M1190" t="s">
        <v>4400</v>
      </c>
      <c r="N1190" t="s">
        <v>4400</v>
      </c>
    </row>
    <row r="1191" spans="1:14" x14ac:dyDescent="0.4">
      <c r="A1191" t="s">
        <v>2615</v>
      </c>
      <c r="B1191" t="s">
        <v>2502</v>
      </c>
      <c r="C1191" t="s">
        <v>64</v>
      </c>
      <c r="D1191" t="s">
        <v>630</v>
      </c>
      <c r="E1191" s="2">
        <v>5935.0300000000016</v>
      </c>
      <c r="F1191" s="2">
        <v>4218.88</v>
      </c>
      <c r="G1191" s="2">
        <v>6402.68</v>
      </c>
      <c r="H1191" s="2">
        <v>3456.4900000000002</v>
      </c>
      <c r="I1191" s="2">
        <v>5871.1599999999989</v>
      </c>
      <c r="J1191" s="2">
        <v>6019.9899999999989</v>
      </c>
      <c r="K1191" s="2">
        <v>2147.36</v>
      </c>
      <c r="L1191" s="2">
        <v>34051.58999999996</v>
      </c>
      <c r="M1191" t="s">
        <v>4400</v>
      </c>
      <c r="N1191" t="s">
        <v>4400</v>
      </c>
    </row>
    <row r="1192" spans="1:14" x14ac:dyDescent="0.4">
      <c r="A1192" t="s">
        <v>2616</v>
      </c>
      <c r="B1192" t="s">
        <v>2502</v>
      </c>
      <c r="C1192" t="s">
        <v>64</v>
      </c>
      <c r="D1192" t="s">
        <v>1424</v>
      </c>
      <c r="E1192" s="2">
        <v>2657.7799999999997</v>
      </c>
      <c r="F1192" s="2">
        <v>2997.9599999999996</v>
      </c>
      <c r="G1192" s="2">
        <v>4340.53</v>
      </c>
      <c r="H1192" s="2">
        <v>5014.8700000000008</v>
      </c>
      <c r="I1192" s="2">
        <v>3903.1800000000003</v>
      </c>
      <c r="J1192" s="2">
        <v>4000.3100000000004</v>
      </c>
      <c r="K1192" s="2">
        <v>1300.01</v>
      </c>
      <c r="L1192" s="2">
        <v>24214.639999999981</v>
      </c>
      <c r="M1192" t="s">
        <v>4400</v>
      </c>
      <c r="N1192" t="s">
        <v>4400</v>
      </c>
    </row>
    <row r="1193" spans="1:14" x14ac:dyDescent="0.4">
      <c r="A1193" t="s">
        <v>2617</v>
      </c>
      <c r="B1193" t="s">
        <v>2502</v>
      </c>
      <c r="C1193" t="s">
        <v>9</v>
      </c>
      <c r="D1193" t="s">
        <v>45</v>
      </c>
      <c r="E1193" s="2">
        <v>3480.8799999999987</v>
      </c>
      <c r="F1193" s="2">
        <v>3368.5099999999993</v>
      </c>
      <c r="G1193" s="2">
        <v>3256.12</v>
      </c>
      <c r="H1193" s="2">
        <v>3116.3999999999996</v>
      </c>
      <c r="I1193" s="2">
        <v>4267.6000000000004</v>
      </c>
      <c r="J1193" s="2">
        <v>4963.1499999999996</v>
      </c>
      <c r="K1193" s="2">
        <v>1816.38</v>
      </c>
      <c r="L1193" s="2">
        <v>24269.039999999975</v>
      </c>
      <c r="M1193" t="s">
        <v>4400</v>
      </c>
      <c r="N1193" t="s">
        <v>4400</v>
      </c>
    </row>
    <row r="1194" spans="1:14" x14ac:dyDescent="0.4">
      <c r="A1194" t="s">
        <v>2618</v>
      </c>
      <c r="B1194" t="s">
        <v>2502</v>
      </c>
      <c r="C1194" t="s">
        <v>64</v>
      </c>
      <c r="D1194" t="s">
        <v>2619</v>
      </c>
      <c r="E1194" s="2">
        <v>12168.009999999995</v>
      </c>
      <c r="F1194" s="2">
        <v>11311.439999999997</v>
      </c>
      <c r="G1194" s="2">
        <v>12210.499999999995</v>
      </c>
      <c r="H1194" s="2">
        <v>7162.2300000000005</v>
      </c>
      <c r="I1194" s="2">
        <v>5962.420000000001</v>
      </c>
      <c r="J1194" s="2">
        <v>7626.9899999999989</v>
      </c>
      <c r="K1194" s="2">
        <v>2044.1699999999998</v>
      </c>
      <c r="L1194" s="2">
        <v>58485.760000000082</v>
      </c>
      <c r="M1194" t="s">
        <v>4400</v>
      </c>
      <c r="N1194" t="s">
        <v>4400</v>
      </c>
    </row>
    <row r="1195" spans="1:14" x14ac:dyDescent="0.4">
      <c r="A1195" t="s">
        <v>2620</v>
      </c>
      <c r="B1195" t="s">
        <v>2502</v>
      </c>
      <c r="C1195" t="s">
        <v>9</v>
      </c>
      <c r="D1195" t="s">
        <v>913</v>
      </c>
      <c r="E1195" s="2">
        <v>3903.13</v>
      </c>
      <c r="F1195" s="2">
        <v>3189.33</v>
      </c>
      <c r="G1195" s="2">
        <v>4003.3999999999996</v>
      </c>
      <c r="H1195" s="2">
        <v>2554.5200000000004</v>
      </c>
      <c r="I1195" s="2">
        <v>3146.8500000000004</v>
      </c>
      <c r="J1195" s="2">
        <v>3878.8799999999992</v>
      </c>
      <c r="K1195" s="2">
        <v>1576.46</v>
      </c>
      <c r="L1195" s="2">
        <v>22252.569999999992</v>
      </c>
      <c r="M1195" t="s">
        <v>4400</v>
      </c>
      <c r="N1195" t="s">
        <v>4400</v>
      </c>
    </row>
    <row r="1196" spans="1:14" x14ac:dyDescent="0.4">
      <c r="A1196" t="s">
        <v>2621</v>
      </c>
      <c r="B1196" t="s">
        <v>2502</v>
      </c>
      <c r="C1196" t="s">
        <v>35</v>
      </c>
      <c r="D1196" t="s">
        <v>2386</v>
      </c>
      <c r="E1196" s="2">
        <v>6126.449999999998</v>
      </c>
      <c r="F1196" s="2">
        <v>4896.28</v>
      </c>
      <c r="G1196" s="2">
        <v>4218.96</v>
      </c>
      <c r="H1196" s="2">
        <v>4865.93</v>
      </c>
      <c r="I1196" s="2">
        <v>6253.97</v>
      </c>
      <c r="J1196" s="2">
        <v>5543.27</v>
      </c>
      <c r="K1196" s="2">
        <v>2323.63</v>
      </c>
      <c r="L1196" s="2">
        <v>34228.489999999991</v>
      </c>
      <c r="M1196" t="s">
        <v>4400</v>
      </c>
      <c r="N1196" t="s">
        <v>4400</v>
      </c>
    </row>
    <row r="1197" spans="1:14" x14ac:dyDescent="0.4">
      <c r="A1197" t="s">
        <v>2622</v>
      </c>
      <c r="B1197" t="s">
        <v>2502</v>
      </c>
      <c r="C1197" t="s">
        <v>163</v>
      </c>
      <c r="D1197" t="s">
        <v>2623</v>
      </c>
      <c r="E1197" s="2">
        <v>4541.0199999999995</v>
      </c>
      <c r="F1197" s="2">
        <v>2597.06</v>
      </c>
      <c r="G1197" s="2">
        <v>4586.6199999999981</v>
      </c>
      <c r="H1197" s="2">
        <v>2709.4700000000003</v>
      </c>
      <c r="I1197" s="2">
        <v>2940.3</v>
      </c>
      <c r="J1197" s="2">
        <v>2411.7799999999997</v>
      </c>
      <c r="K1197" s="2">
        <v>729</v>
      </c>
      <c r="L1197" s="2">
        <v>20515.249999999996</v>
      </c>
      <c r="M1197" t="s">
        <v>4400</v>
      </c>
      <c r="N1197" t="s">
        <v>4400</v>
      </c>
    </row>
    <row r="1198" spans="1:14" x14ac:dyDescent="0.4">
      <c r="A1198" t="s">
        <v>2624</v>
      </c>
      <c r="B1198" t="s">
        <v>2502</v>
      </c>
      <c r="C1198" t="s">
        <v>103</v>
      </c>
      <c r="D1198" t="s">
        <v>1619</v>
      </c>
      <c r="E1198" s="2">
        <v>3429.24</v>
      </c>
      <c r="F1198" s="2">
        <v>3906.1200000000003</v>
      </c>
      <c r="G1198" s="2">
        <v>4677.5800000000008</v>
      </c>
      <c r="H1198" s="2">
        <v>4261.4599999999991</v>
      </c>
      <c r="I1198" s="2">
        <v>4458.88</v>
      </c>
      <c r="J1198" s="2">
        <v>4950.9699999999975</v>
      </c>
      <c r="K1198" s="2">
        <v>2177.8300000000004</v>
      </c>
      <c r="L1198" s="2">
        <v>27862.079999999969</v>
      </c>
      <c r="M1198" t="s">
        <v>4400</v>
      </c>
      <c r="N1198" t="s">
        <v>4400</v>
      </c>
    </row>
    <row r="1199" spans="1:14" x14ac:dyDescent="0.4">
      <c r="A1199" t="s">
        <v>2625</v>
      </c>
      <c r="B1199" t="s">
        <v>2502</v>
      </c>
      <c r="C1199" t="s">
        <v>159</v>
      </c>
      <c r="D1199" t="s">
        <v>2230</v>
      </c>
      <c r="E1199" s="2">
        <v>3821.04</v>
      </c>
      <c r="F1199" s="2">
        <v>2593.88</v>
      </c>
      <c r="G1199" s="2">
        <v>4598.5299999999988</v>
      </c>
      <c r="H1199" s="2">
        <v>2782.22</v>
      </c>
      <c r="I1199" s="2">
        <v>3778.48</v>
      </c>
      <c r="J1199" s="2">
        <v>4926.6400000000003</v>
      </c>
      <c r="K1199" s="2">
        <v>1160.2800000000002</v>
      </c>
      <c r="L1199" s="2">
        <v>23661.069999999952</v>
      </c>
      <c r="M1199" t="s">
        <v>4400</v>
      </c>
      <c r="N1199" t="s">
        <v>4400</v>
      </c>
    </row>
    <row r="1200" spans="1:14" x14ac:dyDescent="0.4">
      <c r="A1200" t="s">
        <v>2626</v>
      </c>
      <c r="B1200" t="s">
        <v>2502</v>
      </c>
      <c r="C1200" t="s">
        <v>64</v>
      </c>
      <c r="D1200" t="s">
        <v>74</v>
      </c>
      <c r="E1200" s="2">
        <v>7250.3799999999974</v>
      </c>
      <c r="F1200" s="2">
        <v>6220.6799999999967</v>
      </c>
      <c r="G1200" s="2">
        <v>6803.8799999999956</v>
      </c>
      <c r="H1200" s="2">
        <v>6399.899999999996</v>
      </c>
      <c r="I1200" s="2">
        <v>4313.1599999999989</v>
      </c>
      <c r="J1200" s="2">
        <v>5029.9799999999987</v>
      </c>
      <c r="K1200" s="2">
        <v>1764.7400000000002</v>
      </c>
      <c r="L1200" s="2">
        <v>37782.720000000008</v>
      </c>
      <c r="M1200" t="s">
        <v>4400</v>
      </c>
      <c r="N1200" t="s">
        <v>4400</v>
      </c>
    </row>
    <row r="1201" spans="1:14" x14ac:dyDescent="0.4">
      <c r="A1201" t="s">
        <v>2627</v>
      </c>
      <c r="B1201" t="s">
        <v>2502</v>
      </c>
      <c r="C1201" t="s">
        <v>220</v>
      </c>
      <c r="D1201" t="s">
        <v>2543</v>
      </c>
      <c r="E1201" s="2">
        <v>5764.9400000000005</v>
      </c>
      <c r="F1201" s="2">
        <v>5576.6699999999992</v>
      </c>
      <c r="G1201" s="2">
        <v>6724.77</v>
      </c>
      <c r="H1201" s="2">
        <v>5919.8600000000006</v>
      </c>
      <c r="I1201" s="2">
        <v>5108.8899999999994</v>
      </c>
      <c r="J1201" s="2">
        <v>7146.9600000000009</v>
      </c>
      <c r="K1201" s="2">
        <v>2931.06</v>
      </c>
      <c r="L1201" s="2">
        <v>39173.149999999958</v>
      </c>
      <c r="M1201" t="s">
        <v>4400</v>
      </c>
      <c r="N1201" t="s">
        <v>4400</v>
      </c>
    </row>
    <row r="1202" spans="1:14" x14ac:dyDescent="0.4">
      <c r="A1202" t="s">
        <v>2628</v>
      </c>
      <c r="B1202" t="s">
        <v>2502</v>
      </c>
      <c r="C1202" t="s">
        <v>9</v>
      </c>
      <c r="D1202" t="s">
        <v>45</v>
      </c>
      <c r="E1202" s="2">
        <v>1624.99</v>
      </c>
      <c r="F1202" s="2">
        <v>2275.0099999999998</v>
      </c>
      <c r="G1202" s="2">
        <v>2199.0699999999993</v>
      </c>
      <c r="H1202" s="2">
        <v>1442.7399999999998</v>
      </c>
      <c r="I1202" s="2">
        <v>1482.2299999999998</v>
      </c>
      <c r="J1202" s="2">
        <v>2973.5800000000004</v>
      </c>
      <c r="K1202" s="2">
        <v>1518.68</v>
      </c>
      <c r="L1202" s="2">
        <v>13516.299999999994</v>
      </c>
      <c r="M1202" t="s">
        <v>4400</v>
      </c>
      <c r="N1202" t="s">
        <v>4400</v>
      </c>
    </row>
    <row r="1203" spans="1:14" x14ac:dyDescent="0.4">
      <c r="A1203" t="s">
        <v>2629</v>
      </c>
      <c r="B1203" t="s">
        <v>2502</v>
      </c>
      <c r="C1203" t="s">
        <v>1</v>
      </c>
      <c r="D1203" t="s">
        <v>1030</v>
      </c>
      <c r="E1203" s="2">
        <v>4173.3999999999996</v>
      </c>
      <c r="F1203" s="2">
        <v>4805.2100000000009</v>
      </c>
      <c r="G1203" s="2">
        <v>5333.7700000000013</v>
      </c>
      <c r="H1203" s="2">
        <v>5078.63</v>
      </c>
      <c r="I1203" s="2">
        <v>4844.7800000000007</v>
      </c>
      <c r="J1203" s="2">
        <v>5151.5499999999993</v>
      </c>
      <c r="K1203" s="2">
        <v>3754.3100000000004</v>
      </c>
      <c r="L1203" s="2">
        <v>33141.649999999972</v>
      </c>
      <c r="M1203" t="s">
        <v>4400</v>
      </c>
      <c r="N1203" t="s">
        <v>4400</v>
      </c>
    </row>
    <row r="1204" spans="1:14" x14ac:dyDescent="0.4">
      <c r="A1204" t="s">
        <v>2630</v>
      </c>
      <c r="B1204" t="s">
        <v>2502</v>
      </c>
      <c r="C1204" t="s">
        <v>220</v>
      </c>
      <c r="D1204" t="s">
        <v>221</v>
      </c>
      <c r="E1204" s="2">
        <v>4513.66</v>
      </c>
      <c r="F1204" s="2">
        <v>4501.53</v>
      </c>
      <c r="G1204" s="2">
        <v>6894.98</v>
      </c>
      <c r="H1204" s="2">
        <v>5534.17</v>
      </c>
      <c r="I1204" s="2">
        <v>5276.01</v>
      </c>
      <c r="J1204" s="2">
        <v>5819.75</v>
      </c>
      <c r="K1204" s="2">
        <v>2782.2699999999995</v>
      </c>
      <c r="L1204" s="2">
        <v>35322.369999999981</v>
      </c>
      <c r="M1204" t="s">
        <v>4400</v>
      </c>
      <c r="N1204" t="s">
        <v>4400</v>
      </c>
    </row>
    <row r="1205" spans="1:14" x14ac:dyDescent="0.4">
      <c r="A1205" t="s">
        <v>2631</v>
      </c>
      <c r="B1205" t="s">
        <v>2502</v>
      </c>
      <c r="C1205" t="s">
        <v>542</v>
      </c>
      <c r="D1205" t="s">
        <v>1636</v>
      </c>
      <c r="E1205" s="2">
        <v>5281.9900000000016</v>
      </c>
      <c r="F1205" s="2">
        <v>4513.5099999999993</v>
      </c>
      <c r="G1205" s="2"/>
      <c r="H1205" s="2"/>
      <c r="I1205" s="2"/>
      <c r="J1205" s="2"/>
      <c r="K1205" s="2"/>
      <c r="L1205" s="2">
        <v>9795.5000000000073</v>
      </c>
      <c r="M1205" t="s">
        <v>4400</v>
      </c>
      <c r="N1205" t="s">
        <v>4410</v>
      </c>
    </row>
    <row r="1206" spans="1:14" x14ac:dyDescent="0.4">
      <c r="A1206" t="s">
        <v>2632</v>
      </c>
      <c r="B1206" t="s">
        <v>2502</v>
      </c>
      <c r="C1206" t="s">
        <v>113</v>
      </c>
      <c r="D1206" t="s">
        <v>114</v>
      </c>
      <c r="E1206" s="2">
        <v>1090.4100000000001</v>
      </c>
      <c r="F1206" s="2">
        <v>2408.66</v>
      </c>
      <c r="G1206" s="2">
        <v>2888.5699999999997</v>
      </c>
      <c r="H1206" s="2">
        <v>1242.3</v>
      </c>
      <c r="I1206" s="2"/>
      <c r="J1206" s="2"/>
      <c r="K1206" s="2"/>
      <c r="L1206" s="2">
        <v>7629.94</v>
      </c>
      <c r="M1206" t="s">
        <v>4400</v>
      </c>
      <c r="N1206" t="s">
        <v>4402</v>
      </c>
    </row>
    <row r="1207" spans="1:14" x14ac:dyDescent="0.4">
      <c r="A1207" t="s">
        <v>2633</v>
      </c>
      <c r="B1207" t="s">
        <v>2502</v>
      </c>
      <c r="C1207" t="s">
        <v>35</v>
      </c>
      <c r="D1207" t="s">
        <v>1212</v>
      </c>
      <c r="E1207" s="2">
        <v>2779.22</v>
      </c>
      <c r="F1207" s="2">
        <v>1950</v>
      </c>
      <c r="G1207" s="2">
        <v>2518.0299999999997</v>
      </c>
      <c r="H1207" s="2">
        <v>1621.9699999999998</v>
      </c>
      <c r="I1207" s="2">
        <v>741.13</v>
      </c>
      <c r="J1207" s="2"/>
      <c r="K1207" s="2">
        <v>765.42</v>
      </c>
      <c r="L1207" s="2">
        <v>10375.769999999997</v>
      </c>
      <c r="M1207" t="s">
        <v>4400</v>
      </c>
      <c r="N1207" t="s">
        <v>4400</v>
      </c>
    </row>
    <row r="1208" spans="1:14" x14ac:dyDescent="0.4">
      <c r="A1208" t="s">
        <v>2634</v>
      </c>
      <c r="B1208" t="s">
        <v>2502</v>
      </c>
      <c r="C1208" t="s">
        <v>542</v>
      </c>
      <c r="D1208" t="s">
        <v>2506</v>
      </c>
      <c r="E1208" s="2">
        <v>3708.65</v>
      </c>
      <c r="F1208" s="2">
        <v>4331.3700000000008</v>
      </c>
      <c r="G1208" s="2">
        <v>2253.7499999999995</v>
      </c>
      <c r="H1208" s="2">
        <v>4401.2100000000009</v>
      </c>
      <c r="I1208" s="2">
        <v>2129.2199999999998</v>
      </c>
      <c r="J1208" s="2">
        <v>3936.5100000000007</v>
      </c>
      <c r="K1208" s="2">
        <v>926.42000000000007</v>
      </c>
      <c r="L1208" s="2">
        <v>21687.129999999997</v>
      </c>
      <c r="M1208" t="s">
        <v>4400</v>
      </c>
      <c r="N1208" t="s">
        <v>4400</v>
      </c>
    </row>
    <row r="1209" spans="1:14" x14ac:dyDescent="0.4">
      <c r="A1209" t="s">
        <v>2635</v>
      </c>
      <c r="B1209" t="s">
        <v>2502</v>
      </c>
      <c r="C1209" t="s">
        <v>186</v>
      </c>
      <c r="D1209" t="s">
        <v>1209</v>
      </c>
      <c r="E1209" s="2">
        <v>4373.91</v>
      </c>
      <c r="F1209" s="2">
        <v>4477.2000000000016</v>
      </c>
      <c r="G1209" s="2">
        <v>5452.2</v>
      </c>
      <c r="H1209" s="2">
        <v>4331.4100000000008</v>
      </c>
      <c r="I1209" s="2">
        <v>4070.2099999999996</v>
      </c>
      <c r="J1209" s="2">
        <v>5124.24</v>
      </c>
      <c r="K1209" s="2">
        <v>1603.81</v>
      </c>
      <c r="L1209" s="2">
        <v>29432.979999999989</v>
      </c>
      <c r="M1209" t="s">
        <v>4400</v>
      </c>
      <c r="N1209" t="s">
        <v>4400</v>
      </c>
    </row>
    <row r="1210" spans="1:14" x14ac:dyDescent="0.4">
      <c r="A1210" t="s">
        <v>2636</v>
      </c>
      <c r="B1210" t="s">
        <v>2502</v>
      </c>
      <c r="C1210" t="s">
        <v>163</v>
      </c>
      <c r="D1210" t="s">
        <v>2623</v>
      </c>
      <c r="E1210" s="2">
        <v>4036.69</v>
      </c>
      <c r="F1210" s="2">
        <v>3702.6199999999994</v>
      </c>
      <c r="G1210" s="2">
        <v>3128.54</v>
      </c>
      <c r="H1210" s="2">
        <v>3836.2199999999993</v>
      </c>
      <c r="I1210" s="2">
        <v>4972.2299999999987</v>
      </c>
      <c r="J1210" s="2">
        <v>2724.5400000000004</v>
      </c>
      <c r="K1210" s="2">
        <v>2439.0299999999997</v>
      </c>
      <c r="L1210" s="2">
        <v>24839.869999999984</v>
      </c>
      <c r="M1210" t="s">
        <v>4400</v>
      </c>
      <c r="N1210" t="s">
        <v>4400</v>
      </c>
    </row>
    <row r="1211" spans="1:14" x14ac:dyDescent="0.4">
      <c r="A1211" t="s">
        <v>2637</v>
      </c>
      <c r="B1211" t="s">
        <v>2502</v>
      </c>
      <c r="C1211" t="s">
        <v>78</v>
      </c>
      <c r="D1211" t="s">
        <v>841</v>
      </c>
      <c r="E1211" s="2">
        <v>3890.8199999999997</v>
      </c>
      <c r="F1211" s="2">
        <v>6873.5499999999984</v>
      </c>
      <c r="G1211" s="2">
        <v>7544.7900000000009</v>
      </c>
      <c r="H1211" s="2">
        <v>4838.4899999999989</v>
      </c>
      <c r="I1211" s="2">
        <v>6357.2000000000007</v>
      </c>
      <c r="J1211" s="2">
        <v>4877.95</v>
      </c>
      <c r="K1211" s="2">
        <v>3790.5599999999995</v>
      </c>
      <c r="L1211" s="2">
        <v>38173.360000000001</v>
      </c>
      <c r="M1211" t="s">
        <v>4400</v>
      </c>
      <c r="N1211" t="s">
        <v>4400</v>
      </c>
    </row>
    <row r="1212" spans="1:14" x14ac:dyDescent="0.4">
      <c r="A1212" t="s">
        <v>2638</v>
      </c>
      <c r="B1212" t="s">
        <v>2502</v>
      </c>
      <c r="C1212" t="s">
        <v>542</v>
      </c>
      <c r="D1212" t="s">
        <v>802</v>
      </c>
      <c r="E1212" s="2">
        <v>4792.9599999999991</v>
      </c>
      <c r="F1212" s="2">
        <v>3638.75</v>
      </c>
      <c r="G1212" s="2">
        <v>6171.9799999999987</v>
      </c>
      <c r="H1212" s="2">
        <v>4680.63</v>
      </c>
      <c r="I1212" s="2">
        <v>3328.9899999999993</v>
      </c>
      <c r="J1212" s="2">
        <v>4070.059999999999</v>
      </c>
      <c r="K1212" s="2">
        <v>2278.0100000000002</v>
      </c>
      <c r="L1212" s="2">
        <v>28961.379999999994</v>
      </c>
      <c r="M1212" t="s">
        <v>4400</v>
      </c>
      <c r="N1212" t="s">
        <v>4400</v>
      </c>
    </row>
    <row r="1213" spans="1:14" x14ac:dyDescent="0.4">
      <c r="A1213" t="s">
        <v>2639</v>
      </c>
      <c r="B1213" t="s">
        <v>2502</v>
      </c>
      <c r="C1213" t="s">
        <v>113</v>
      </c>
      <c r="D1213" t="s">
        <v>615</v>
      </c>
      <c r="E1213" s="2">
        <v>765.42</v>
      </c>
      <c r="F1213" s="2">
        <v>2114.0499999999993</v>
      </c>
      <c r="G1213" s="2">
        <v>2776.21</v>
      </c>
      <c r="H1213" s="2">
        <v>3019.1899999999996</v>
      </c>
      <c r="I1213" s="2">
        <v>1810.33</v>
      </c>
      <c r="J1213" s="2">
        <v>938.56999999999994</v>
      </c>
      <c r="K1213" s="2">
        <v>1060.07</v>
      </c>
      <c r="L1213" s="2">
        <v>12483.839999999998</v>
      </c>
      <c r="M1213" t="s">
        <v>4400</v>
      </c>
      <c r="N1213" t="s">
        <v>4400</v>
      </c>
    </row>
    <row r="1214" spans="1:14" x14ac:dyDescent="0.4">
      <c r="A1214" t="s">
        <v>2640</v>
      </c>
      <c r="B1214" t="s">
        <v>2502</v>
      </c>
      <c r="C1214" t="s">
        <v>103</v>
      </c>
      <c r="D1214" t="s">
        <v>1882</v>
      </c>
      <c r="E1214" s="2">
        <v>9932.4699999999975</v>
      </c>
      <c r="F1214" s="2">
        <v>9394.7900000000009</v>
      </c>
      <c r="G1214" s="2">
        <v>11681.99</v>
      </c>
      <c r="H1214" s="2">
        <v>11150.42</v>
      </c>
      <c r="I1214" s="2">
        <v>9267.2300000000014</v>
      </c>
      <c r="J1214" s="2">
        <v>11168.66</v>
      </c>
      <c r="K1214" s="2">
        <v>4726.2600000000011</v>
      </c>
      <c r="L1214" s="2">
        <v>67321.820000000036</v>
      </c>
      <c r="M1214" t="s">
        <v>4400</v>
      </c>
      <c r="N1214" t="s">
        <v>4400</v>
      </c>
    </row>
    <row r="1215" spans="1:14" x14ac:dyDescent="0.4">
      <c r="A1215" t="s">
        <v>2641</v>
      </c>
      <c r="B1215" t="s">
        <v>2502</v>
      </c>
      <c r="C1215" t="s">
        <v>1</v>
      </c>
      <c r="D1215" t="s">
        <v>2</v>
      </c>
      <c r="E1215" s="2">
        <v>4224.9500000000007</v>
      </c>
      <c r="F1215" s="2">
        <v>3031.2400000000007</v>
      </c>
      <c r="G1215" s="2">
        <v>3574.940000000001</v>
      </c>
      <c r="H1215" s="2">
        <v>2575.6499999999996</v>
      </c>
      <c r="I1215" s="2">
        <v>1239.23</v>
      </c>
      <c r="J1215" s="2">
        <v>1090.3899999999999</v>
      </c>
      <c r="K1215" s="2">
        <v>1108.6499999999999</v>
      </c>
      <c r="L1215" s="2">
        <v>16845.049999999981</v>
      </c>
      <c r="M1215" t="s">
        <v>4400</v>
      </c>
      <c r="N1215" t="s">
        <v>4400</v>
      </c>
    </row>
    <row r="1216" spans="1:14" x14ac:dyDescent="0.4">
      <c r="A1216" t="s">
        <v>2642</v>
      </c>
      <c r="B1216" t="s">
        <v>2502</v>
      </c>
      <c r="C1216" t="s">
        <v>64</v>
      </c>
      <c r="D1216" t="s">
        <v>2126</v>
      </c>
      <c r="E1216" s="2">
        <v>7253.34</v>
      </c>
      <c r="F1216" s="2">
        <v>9142.6499999999978</v>
      </c>
      <c r="G1216" s="2">
        <v>8957.36</v>
      </c>
      <c r="H1216" s="2">
        <v>9589.119999999999</v>
      </c>
      <c r="I1216" s="2">
        <v>6317.8299999999981</v>
      </c>
      <c r="J1216" s="2">
        <v>7912.4699999999993</v>
      </c>
      <c r="K1216" s="2">
        <v>3790.6699999999996</v>
      </c>
      <c r="L1216" s="2">
        <v>52963.440000000046</v>
      </c>
      <c r="M1216" t="s">
        <v>4400</v>
      </c>
      <c r="N1216" t="s">
        <v>4400</v>
      </c>
    </row>
    <row r="1217" spans="1:14" x14ac:dyDescent="0.4">
      <c r="A1217" t="s">
        <v>2643</v>
      </c>
      <c r="B1217" t="s">
        <v>2502</v>
      </c>
      <c r="C1217" t="s">
        <v>9</v>
      </c>
      <c r="D1217" t="s">
        <v>2644</v>
      </c>
      <c r="E1217" s="2">
        <v>2360.0499999999993</v>
      </c>
      <c r="F1217" s="2">
        <v>1707.0199999999998</v>
      </c>
      <c r="G1217" s="2">
        <v>2363.11</v>
      </c>
      <c r="H1217" s="2">
        <v>2584.829999999999</v>
      </c>
      <c r="I1217" s="2">
        <v>908.19</v>
      </c>
      <c r="J1217" s="2">
        <v>744.15</v>
      </c>
      <c r="K1217" s="2">
        <v>871.7299999999999</v>
      </c>
      <c r="L1217" s="2">
        <v>11539.079999999993</v>
      </c>
      <c r="M1217" t="s">
        <v>4400</v>
      </c>
      <c r="N1217" t="s">
        <v>4400</v>
      </c>
    </row>
    <row r="1218" spans="1:14" x14ac:dyDescent="0.4">
      <c r="A1218" t="s">
        <v>2645</v>
      </c>
      <c r="B1218" t="s">
        <v>2502</v>
      </c>
      <c r="C1218" t="s">
        <v>291</v>
      </c>
      <c r="D1218" t="s">
        <v>295</v>
      </c>
      <c r="E1218" s="2"/>
      <c r="F1218" s="2"/>
      <c r="G1218" s="2">
        <v>4872.0099999999984</v>
      </c>
      <c r="H1218" s="2">
        <v>2891.56</v>
      </c>
      <c r="I1218" s="2">
        <v>2563.5000000000005</v>
      </c>
      <c r="J1218" s="2">
        <v>5221.1600000000008</v>
      </c>
      <c r="K1218" s="2">
        <v>2514.9</v>
      </c>
      <c r="L1218" s="2">
        <v>18063.129999999972</v>
      </c>
      <c r="M1218" t="s">
        <v>4411</v>
      </c>
      <c r="N1218" t="s">
        <v>4400</v>
      </c>
    </row>
    <row r="1219" spans="1:14" x14ac:dyDescent="0.4">
      <c r="A1219" t="s">
        <v>2646</v>
      </c>
      <c r="B1219" t="s">
        <v>2502</v>
      </c>
      <c r="C1219" t="s">
        <v>291</v>
      </c>
      <c r="D1219" t="s">
        <v>295</v>
      </c>
      <c r="E1219" s="2"/>
      <c r="F1219" s="2"/>
      <c r="G1219" s="2">
        <v>3268.2899999999995</v>
      </c>
      <c r="H1219" s="2">
        <v>7241.2200000000012</v>
      </c>
      <c r="I1219" s="2">
        <v>7754.4999999999991</v>
      </c>
      <c r="J1219" s="2">
        <v>10002.089999999997</v>
      </c>
      <c r="K1219" s="2">
        <v>3635.7499999999995</v>
      </c>
      <c r="L1219" s="2">
        <v>31901.850000000013</v>
      </c>
      <c r="M1219" t="s">
        <v>4411</v>
      </c>
      <c r="N1219" t="s">
        <v>4400</v>
      </c>
    </row>
    <row r="1220" spans="1:14" x14ac:dyDescent="0.4">
      <c r="A1220" t="s">
        <v>2647</v>
      </c>
      <c r="B1220" t="s">
        <v>2648</v>
      </c>
      <c r="C1220" t="s">
        <v>64</v>
      </c>
      <c r="D1220" t="s">
        <v>2343</v>
      </c>
      <c r="E1220" s="2"/>
      <c r="F1220" s="2">
        <v>868.70999999999992</v>
      </c>
      <c r="G1220" s="2">
        <v>1306.1000000000001</v>
      </c>
      <c r="H1220" s="2"/>
      <c r="I1220" s="2"/>
      <c r="J1220" s="2">
        <v>1284.78</v>
      </c>
      <c r="K1220" s="2"/>
      <c r="L1220" s="2">
        <v>3459.5899999999992</v>
      </c>
      <c r="M1220" t="s">
        <v>4412</v>
      </c>
      <c r="N1220" t="s">
        <v>4406</v>
      </c>
    </row>
    <row r="1221" spans="1:14" x14ac:dyDescent="0.4">
      <c r="A1221" t="s">
        <v>2649</v>
      </c>
      <c r="B1221" t="s">
        <v>2650</v>
      </c>
      <c r="C1221" t="s">
        <v>64</v>
      </c>
      <c r="D1221" t="s">
        <v>1427</v>
      </c>
      <c r="E1221" s="2"/>
      <c r="F1221" s="2">
        <v>2041.1399999999996</v>
      </c>
      <c r="G1221" s="2">
        <v>1342.53</v>
      </c>
      <c r="H1221" s="2">
        <v>1142.05</v>
      </c>
      <c r="I1221" s="2"/>
      <c r="J1221" s="2"/>
      <c r="K1221" s="2"/>
      <c r="L1221" s="2">
        <v>4525.7199999999984</v>
      </c>
      <c r="M1221" t="s">
        <v>4412</v>
      </c>
      <c r="N1221" t="s">
        <v>4402</v>
      </c>
    </row>
    <row r="1222" spans="1:14" x14ac:dyDescent="0.4">
      <c r="A1222" t="s">
        <v>2651</v>
      </c>
      <c r="B1222" t="s">
        <v>2652</v>
      </c>
      <c r="C1222" t="s">
        <v>64</v>
      </c>
      <c r="D1222" t="s">
        <v>1377</v>
      </c>
      <c r="E1222" s="2">
        <v>1624.24</v>
      </c>
      <c r="F1222" s="2">
        <v>814.69</v>
      </c>
      <c r="G1222" s="2">
        <v>868.66000000000008</v>
      </c>
      <c r="H1222" s="2"/>
      <c r="I1222" s="2"/>
      <c r="J1222" s="2"/>
      <c r="K1222" s="2"/>
      <c r="L1222" s="2">
        <v>3307.5899999999983</v>
      </c>
      <c r="M1222" t="s">
        <v>4400</v>
      </c>
      <c r="N1222" t="s">
        <v>4403</v>
      </c>
    </row>
    <row r="1223" spans="1:14" x14ac:dyDescent="0.4">
      <c r="A1223" t="s">
        <v>2653</v>
      </c>
      <c r="B1223" t="s">
        <v>2652</v>
      </c>
      <c r="C1223" t="s">
        <v>220</v>
      </c>
      <c r="D1223" t="s">
        <v>2302</v>
      </c>
      <c r="E1223" s="2">
        <v>817.25999999999988</v>
      </c>
      <c r="F1223" s="2"/>
      <c r="G1223" s="2">
        <v>745.29999999999984</v>
      </c>
      <c r="H1223" s="2">
        <v>755.57999999999981</v>
      </c>
      <c r="I1223" s="2">
        <v>1087.1099999999999</v>
      </c>
      <c r="J1223" s="2"/>
      <c r="K1223" s="2"/>
      <c r="L1223" s="2">
        <v>3405.25</v>
      </c>
      <c r="M1223" t="s">
        <v>4400</v>
      </c>
      <c r="N1223" t="s">
        <v>4401</v>
      </c>
    </row>
    <row r="1224" spans="1:14" x14ac:dyDescent="0.4">
      <c r="A1224" t="s">
        <v>2654</v>
      </c>
      <c r="B1224" t="s">
        <v>2652</v>
      </c>
      <c r="C1224" t="s">
        <v>178</v>
      </c>
      <c r="D1224" t="s">
        <v>558</v>
      </c>
      <c r="E1224" s="2">
        <v>742.73</v>
      </c>
      <c r="F1224" s="2">
        <v>747.87</v>
      </c>
      <c r="G1224" s="2"/>
      <c r="H1224" s="2"/>
      <c r="I1224" s="2"/>
      <c r="J1224" s="2"/>
      <c r="K1224" s="2"/>
      <c r="L1224" s="2">
        <v>1490.6000000000004</v>
      </c>
      <c r="M1224" t="s">
        <v>4400</v>
      </c>
      <c r="N1224" t="s">
        <v>4410</v>
      </c>
    </row>
    <row r="1225" spans="1:14" x14ac:dyDescent="0.4">
      <c r="A1225" t="s">
        <v>2655</v>
      </c>
      <c r="B1225" t="s">
        <v>2652</v>
      </c>
      <c r="C1225" t="s">
        <v>64</v>
      </c>
      <c r="D1225" t="s">
        <v>68</v>
      </c>
      <c r="E1225" s="2">
        <v>3986.0699999999988</v>
      </c>
      <c r="F1225" s="2">
        <v>4826.4600000000009</v>
      </c>
      <c r="G1225" s="2">
        <v>5029.4900000000025</v>
      </c>
      <c r="H1225" s="2">
        <v>835.25</v>
      </c>
      <c r="I1225" s="2"/>
      <c r="J1225" s="2">
        <v>1318.41</v>
      </c>
      <c r="K1225" s="2"/>
      <c r="L1225" s="2">
        <v>15995.680000000006</v>
      </c>
      <c r="M1225" t="s">
        <v>4400</v>
      </c>
      <c r="N1225" t="s">
        <v>4406</v>
      </c>
    </row>
    <row r="1226" spans="1:14" x14ac:dyDescent="0.4">
      <c r="A1226" t="s">
        <v>2656</v>
      </c>
      <c r="B1226" t="s">
        <v>2652</v>
      </c>
      <c r="C1226" t="s">
        <v>1</v>
      </c>
      <c r="D1226" t="s">
        <v>88</v>
      </c>
      <c r="E1226" s="2">
        <v>3682.8100000000004</v>
      </c>
      <c r="F1226" s="2">
        <v>4823.8900000000003</v>
      </c>
      <c r="G1226" s="2">
        <v>6188.5599999999986</v>
      </c>
      <c r="H1226" s="2">
        <v>5044.91</v>
      </c>
      <c r="I1226" s="2">
        <v>4582.3100000000004</v>
      </c>
      <c r="J1226" s="2">
        <v>3418.1000000000004</v>
      </c>
      <c r="K1226" s="2">
        <v>2806.4399999999996</v>
      </c>
      <c r="L1226" s="2">
        <v>30547.019999999993</v>
      </c>
      <c r="M1226" t="s">
        <v>4400</v>
      </c>
      <c r="N1226" t="s">
        <v>4400</v>
      </c>
    </row>
    <row r="1227" spans="1:14" x14ac:dyDescent="0.4">
      <c r="A1227" t="s">
        <v>2657</v>
      </c>
      <c r="B1227" t="s">
        <v>2652</v>
      </c>
      <c r="C1227" t="s">
        <v>64</v>
      </c>
      <c r="D1227" t="s">
        <v>708</v>
      </c>
      <c r="E1227" s="2"/>
      <c r="F1227" s="2"/>
      <c r="G1227" s="2"/>
      <c r="H1227" s="2"/>
      <c r="I1227" s="2"/>
      <c r="J1227" s="2">
        <v>735.01999999999987</v>
      </c>
      <c r="K1227" s="2"/>
      <c r="L1227" s="2">
        <v>735.01999999999987</v>
      </c>
      <c r="M1227" t="s">
        <v>4405</v>
      </c>
      <c r="N1227" t="s">
        <v>4406</v>
      </c>
    </row>
    <row r="1228" spans="1:14" x14ac:dyDescent="0.4">
      <c r="A1228" t="s">
        <v>2658</v>
      </c>
      <c r="B1228" t="s">
        <v>2652</v>
      </c>
      <c r="C1228" t="s">
        <v>5</v>
      </c>
      <c r="D1228" t="s">
        <v>56</v>
      </c>
      <c r="E1228" s="2"/>
      <c r="F1228" s="2">
        <v>729.87999999999988</v>
      </c>
      <c r="G1228" s="2"/>
      <c r="H1228" s="2"/>
      <c r="I1228" s="2"/>
      <c r="J1228" s="2"/>
      <c r="K1228" s="2"/>
      <c r="L1228" s="2">
        <v>729.87999999999988</v>
      </c>
      <c r="M1228" t="s">
        <v>4412</v>
      </c>
      <c r="N1228" t="s">
        <v>4410</v>
      </c>
    </row>
    <row r="1229" spans="1:14" x14ac:dyDescent="0.4">
      <c r="A1229" t="s">
        <v>2659</v>
      </c>
      <c r="B1229" t="s">
        <v>2652</v>
      </c>
      <c r="C1229" t="s">
        <v>64</v>
      </c>
      <c r="D1229" t="s">
        <v>708</v>
      </c>
      <c r="E1229" s="2"/>
      <c r="F1229" s="2">
        <v>827.54</v>
      </c>
      <c r="G1229" s="2">
        <v>904.63999999999987</v>
      </c>
      <c r="H1229" s="2"/>
      <c r="I1229" s="2">
        <v>1542</v>
      </c>
      <c r="J1229" s="2">
        <v>925.19999999999982</v>
      </c>
      <c r="K1229" s="2"/>
      <c r="L1229" s="2">
        <v>4199.3800000000019</v>
      </c>
      <c r="M1229" t="s">
        <v>4412</v>
      </c>
      <c r="N1229" t="s">
        <v>4406</v>
      </c>
    </row>
    <row r="1230" spans="1:14" x14ac:dyDescent="0.4">
      <c r="A1230" t="s">
        <v>2660</v>
      </c>
      <c r="B1230" t="s">
        <v>2652</v>
      </c>
      <c r="C1230" t="s">
        <v>64</v>
      </c>
      <c r="D1230" t="s">
        <v>68</v>
      </c>
      <c r="E1230" s="2">
        <v>781.27999999999986</v>
      </c>
      <c r="F1230" s="2">
        <v>891.79</v>
      </c>
      <c r="G1230" s="2">
        <v>907.21</v>
      </c>
      <c r="H1230" s="2">
        <v>907.21</v>
      </c>
      <c r="I1230" s="2">
        <v>1053.6999999999998</v>
      </c>
      <c r="J1230" s="2">
        <v>2585.4200000000005</v>
      </c>
      <c r="K1230" s="2">
        <v>2312.9999999999995</v>
      </c>
      <c r="L1230" s="2">
        <v>9439.6100000000079</v>
      </c>
      <c r="M1230" t="s">
        <v>4400</v>
      </c>
      <c r="N1230" t="s">
        <v>4400</v>
      </c>
    </row>
    <row r="1231" spans="1:14" x14ac:dyDescent="0.4">
      <c r="A1231" t="s">
        <v>2661</v>
      </c>
      <c r="B1231" t="s">
        <v>2662</v>
      </c>
      <c r="C1231" t="s">
        <v>310</v>
      </c>
      <c r="D1231" t="s">
        <v>314</v>
      </c>
      <c r="E1231" s="2">
        <v>911.2199999999998</v>
      </c>
      <c r="F1231" s="2">
        <v>908.20999999999992</v>
      </c>
      <c r="G1231" s="2">
        <v>917.31</v>
      </c>
      <c r="H1231" s="2"/>
      <c r="I1231" s="2"/>
      <c r="J1231" s="2"/>
      <c r="K1231" s="2"/>
      <c r="L1231" s="2">
        <v>2736.7399999999993</v>
      </c>
      <c r="M1231" t="s">
        <v>4400</v>
      </c>
      <c r="N1231" t="s">
        <v>4403</v>
      </c>
    </row>
    <row r="1232" spans="1:14" x14ac:dyDescent="0.4">
      <c r="A1232" t="s">
        <v>2663</v>
      </c>
      <c r="B1232" t="s">
        <v>2652</v>
      </c>
      <c r="C1232" t="s">
        <v>1</v>
      </c>
      <c r="D1232" t="s">
        <v>88</v>
      </c>
      <c r="E1232" s="2">
        <v>3081.4299999999989</v>
      </c>
      <c r="F1232" s="2">
        <v>3035.1699999999996</v>
      </c>
      <c r="G1232" s="2">
        <v>773.57</v>
      </c>
      <c r="H1232" s="2">
        <v>1480.3199999999997</v>
      </c>
      <c r="I1232" s="2">
        <v>3122.5499999999997</v>
      </c>
      <c r="J1232" s="2">
        <v>2094.5499999999997</v>
      </c>
      <c r="K1232" s="2"/>
      <c r="L1232" s="2">
        <v>13587.589999999998</v>
      </c>
      <c r="M1232" t="s">
        <v>4400</v>
      </c>
      <c r="N1232" t="s">
        <v>4406</v>
      </c>
    </row>
    <row r="1233" spans="1:14" x14ac:dyDescent="0.4">
      <c r="A1233" t="s">
        <v>2664</v>
      </c>
      <c r="B1233" t="s">
        <v>2652</v>
      </c>
      <c r="C1233" t="s">
        <v>64</v>
      </c>
      <c r="D1233" t="s">
        <v>2665</v>
      </c>
      <c r="E1233" s="2"/>
      <c r="F1233" s="2"/>
      <c r="G1233" s="2"/>
      <c r="H1233" s="2">
        <v>1413.4999999999998</v>
      </c>
      <c r="I1233" s="2">
        <v>927.77</v>
      </c>
      <c r="J1233" s="2">
        <v>989.44999999999993</v>
      </c>
      <c r="K1233" s="2"/>
      <c r="L1233" s="2">
        <v>3330.72</v>
      </c>
      <c r="M1233" t="s">
        <v>4409</v>
      </c>
      <c r="N1233" t="s">
        <v>4406</v>
      </c>
    </row>
    <row r="1234" spans="1:14" x14ac:dyDescent="0.4">
      <c r="A1234" t="s">
        <v>2666</v>
      </c>
      <c r="B1234" t="s">
        <v>2652</v>
      </c>
      <c r="C1234" t="s">
        <v>1</v>
      </c>
      <c r="D1234" t="s">
        <v>507</v>
      </c>
      <c r="E1234" s="2">
        <v>2449.2100000000005</v>
      </c>
      <c r="F1234" s="2">
        <v>2688.2199999999993</v>
      </c>
      <c r="G1234" s="2">
        <v>1773.2999999999995</v>
      </c>
      <c r="H1234" s="2">
        <v>2122.8200000000002</v>
      </c>
      <c r="I1234" s="2">
        <v>2158.7999999999997</v>
      </c>
      <c r="J1234" s="2">
        <v>3487.4899999999993</v>
      </c>
      <c r="K1234" s="2">
        <v>894.36</v>
      </c>
      <c r="L1234" s="2">
        <v>15574.20000000001</v>
      </c>
      <c r="M1234" t="s">
        <v>4400</v>
      </c>
      <c r="N1234" t="s">
        <v>4400</v>
      </c>
    </row>
    <row r="1235" spans="1:14" x14ac:dyDescent="0.4">
      <c r="A1235" t="s">
        <v>2667</v>
      </c>
      <c r="B1235" t="s">
        <v>2668</v>
      </c>
      <c r="C1235" t="s">
        <v>64</v>
      </c>
      <c r="D1235" t="s">
        <v>2223</v>
      </c>
      <c r="E1235" s="2">
        <v>3028.2899999999995</v>
      </c>
      <c r="F1235" s="2">
        <v>3417.059999999999</v>
      </c>
      <c r="G1235" s="2">
        <v>3186.2300000000009</v>
      </c>
      <c r="H1235" s="2">
        <v>3906.0900000000006</v>
      </c>
      <c r="I1235" s="2">
        <v>3234.8400000000006</v>
      </c>
      <c r="J1235" s="2">
        <v>2888.57</v>
      </c>
      <c r="K1235" s="2">
        <v>2502.84</v>
      </c>
      <c r="L1235" s="2">
        <v>22163.91999999998</v>
      </c>
      <c r="M1235" t="s">
        <v>4400</v>
      </c>
      <c r="N1235" t="s">
        <v>4400</v>
      </c>
    </row>
    <row r="1236" spans="1:14" x14ac:dyDescent="0.4">
      <c r="A1236" t="s">
        <v>2669</v>
      </c>
      <c r="B1236" t="s">
        <v>2502</v>
      </c>
      <c r="C1236" t="s">
        <v>96</v>
      </c>
      <c r="D1236" t="s">
        <v>1010</v>
      </c>
      <c r="E1236" s="2">
        <v>2934.1399999999994</v>
      </c>
      <c r="F1236" s="2">
        <v>2177.8499999999995</v>
      </c>
      <c r="G1236" s="2">
        <v>2952.4</v>
      </c>
      <c r="H1236" s="2"/>
      <c r="I1236" s="2"/>
      <c r="J1236" s="2"/>
      <c r="K1236" s="2"/>
      <c r="L1236" s="2">
        <v>8064.389999999994</v>
      </c>
      <c r="M1236" t="s">
        <v>4400</v>
      </c>
      <c r="N1236" t="s">
        <v>4403</v>
      </c>
    </row>
    <row r="1237" spans="1:14" x14ac:dyDescent="0.4">
      <c r="A1237" t="s">
        <v>2670</v>
      </c>
      <c r="B1237" t="s">
        <v>2652</v>
      </c>
      <c r="C1237" t="s">
        <v>1</v>
      </c>
      <c r="D1237" t="s">
        <v>85</v>
      </c>
      <c r="E1237" s="2">
        <v>740.16</v>
      </c>
      <c r="F1237" s="2">
        <v>732.44999999999993</v>
      </c>
      <c r="G1237" s="2"/>
      <c r="H1237" s="2"/>
      <c r="I1237" s="2">
        <v>1498.3099999999997</v>
      </c>
      <c r="J1237" s="2">
        <v>855.81</v>
      </c>
      <c r="K1237" s="2">
        <v>719.59999999999991</v>
      </c>
      <c r="L1237" s="2">
        <v>4546.33</v>
      </c>
      <c r="M1237" t="s">
        <v>4400</v>
      </c>
      <c r="N1237" t="s">
        <v>4400</v>
      </c>
    </row>
    <row r="1238" spans="1:14" x14ac:dyDescent="0.4">
      <c r="A1238" t="s">
        <v>2671</v>
      </c>
      <c r="B1238" t="s">
        <v>2652</v>
      </c>
      <c r="C1238" t="s">
        <v>64</v>
      </c>
      <c r="D1238" t="s">
        <v>2672</v>
      </c>
      <c r="E1238" s="2">
        <v>1721.9</v>
      </c>
      <c r="F1238" s="2">
        <v>1678.21</v>
      </c>
      <c r="G1238" s="2">
        <v>1544.5699999999997</v>
      </c>
      <c r="H1238" s="2"/>
      <c r="I1238" s="2">
        <v>740.15999999999985</v>
      </c>
      <c r="J1238" s="2">
        <v>2251.3199999999997</v>
      </c>
      <c r="K1238" s="2"/>
      <c r="L1238" s="2">
        <v>7936.1600000000089</v>
      </c>
      <c r="M1238" t="s">
        <v>4400</v>
      </c>
      <c r="N1238" t="s">
        <v>4406</v>
      </c>
    </row>
    <row r="1239" spans="1:14" x14ac:dyDescent="0.4">
      <c r="A1239" t="s">
        <v>2673</v>
      </c>
      <c r="B1239" t="s">
        <v>2674</v>
      </c>
      <c r="C1239" t="s">
        <v>437</v>
      </c>
      <c r="D1239" t="s">
        <v>438</v>
      </c>
      <c r="E1239" s="2">
        <v>2590.92</v>
      </c>
      <c r="F1239" s="2">
        <v>1573.3799999999999</v>
      </c>
      <c r="G1239" s="2">
        <v>1910.54</v>
      </c>
      <c r="H1239" s="2">
        <v>1221.07</v>
      </c>
      <c r="I1239" s="2">
        <v>981.08</v>
      </c>
      <c r="J1239" s="2"/>
      <c r="K1239" s="2"/>
      <c r="L1239" s="2">
        <v>8276.9900000000016</v>
      </c>
      <c r="M1239" t="s">
        <v>4400</v>
      </c>
      <c r="N1239" t="s">
        <v>4401</v>
      </c>
    </row>
    <row r="1240" spans="1:14" x14ac:dyDescent="0.4">
      <c r="A1240" t="s">
        <v>2675</v>
      </c>
      <c r="B1240" t="s">
        <v>2676</v>
      </c>
      <c r="C1240" t="s">
        <v>5</v>
      </c>
      <c r="D1240" t="s">
        <v>6</v>
      </c>
      <c r="E1240" s="2">
        <v>1789.05</v>
      </c>
      <c r="F1240" s="2">
        <v>2648.6499999999992</v>
      </c>
      <c r="G1240" s="2">
        <v>3884.889999999999</v>
      </c>
      <c r="H1240" s="2">
        <v>2624.33</v>
      </c>
      <c r="I1240" s="2">
        <v>2685.09</v>
      </c>
      <c r="J1240" s="2">
        <v>3013.130000000001</v>
      </c>
      <c r="K1240" s="2">
        <v>1521.7600000000002</v>
      </c>
      <c r="L1240" s="2">
        <v>18166.900000000001</v>
      </c>
      <c r="M1240" t="s">
        <v>4400</v>
      </c>
      <c r="N1240" t="s">
        <v>4400</v>
      </c>
    </row>
    <row r="1241" spans="1:14" x14ac:dyDescent="0.4">
      <c r="A1241" t="s">
        <v>2677</v>
      </c>
      <c r="B1241" t="s">
        <v>2678</v>
      </c>
      <c r="C1241" t="s">
        <v>186</v>
      </c>
      <c r="D1241" t="s">
        <v>187</v>
      </c>
      <c r="E1241" s="2">
        <v>3344.2400000000007</v>
      </c>
      <c r="F1241" s="2">
        <v>3037.4300000000003</v>
      </c>
      <c r="G1241" s="2">
        <v>4361.78</v>
      </c>
      <c r="H1241" s="2">
        <v>3678.3399999999992</v>
      </c>
      <c r="I1241" s="2">
        <v>3292.57</v>
      </c>
      <c r="J1241" s="2">
        <v>4832.5699999999988</v>
      </c>
      <c r="K1241" s="2">
        <v>753.29000000000008</v>
      </c>
      <c r="L1241" s="2">
        <v>23300.219999999976</v>
      </c>
      <c r="M1241" t="s">
        <v>4400</v>
      </c>
      <c r="N1241" t="s">
        <v>4400</v>
      </c>
    </row>
    <row r="1242" spans="1:14" x14ac:dyDescent="0.4">
      <c r="A1242" t="s">
        <v>2679</v>
      </c>
      <c r="B1242" t="s">
        <v>2680</v>
      </c>
      <c r="C1242" t="s">
        <v>64</v>
      </c>
      <c r="D1242" t="s">
        <v>2165</v>
      </c>
      <c r="E1242" s="2">
        <v>911.23</v>
      </c>
      <c r="F1242" s="2">
        <v>917.31</v>
      </c>
      <c r="G1242" s="2">
        <v>1950.0399999999997</v>
      </c>
      <c r="H1242" s="2">
        <v>1725.2799999999997</v>
      </c>
      <c r="I1242" s="2">
        <v>1828.5199999999998</v>
      </c>
      <c r="J1242" s="2">
        <v>877.81999999999994</v>
      </c>
      <c r="K1242" s="2">
        <v>883.88999999999987</v>
      </c>
      <c r="L1242" s="2">
        <v>9094.0899999999947</v>
      </c>
      <c r="M1242" t="s">
        <v>4400</v>
      </c>
      <c r="N1242" t="s">
        <v>4400</v>
      </c>
    </row>
    <row r="1243" spans="1:14" x14ac:dyDescent="0.4">
      <c r="A1243" t="s">
        <v>2681</v>
      </c>
      <c r="B1243" t="s">
        <v>2652</v>
      </c>
      <c r="C1243" t="s">
        <v>35</v>
      </c>
      <c r="D1243" t="s">
        <v>36</v>
      </c>
      <c r="E1243" s="2"/>
      <c r="F1243" s="2">
        <v>904.64</v>
      </c>
      <c r="G1243" s="2">
        <v>1007.44</v>
      </c>
      <c r="H1243" s="2">
        <v>1164.21</v>
      </c>
      <c r="I1243" s="2">
        <v>950.9</v>
      </c>
      <c r="J1243" s="2">
        <v>1804.1399999999996</v>
      </c>
      <c r="K1243" s="2">
        <v>1007.4399999999999</v>
      </c>
      <c r="L1243" s="2">
        <v>6838.7700000000032</v>
      </c>
      <c r="M1243" t="s">
        <v>4412</v>
      </c>
      <c r="N1243" t="s">
        <v>4400</v>
      </c>
    </row>
    <row r="1244" spans="1:14" x14ac:dyDescent="0.4">
      <c r="A1244" t="s">
        <v>2682</v>
      </c>
      <c r="B1244" t="s">
        <v>2652</v>
      </c>
      <c r="C1244" t="s">
        <v>186</v>
      </c>
      <c r="D1244" t="s">
        <v>190</v>
      </c>
      <c r="E1244" s="2">
        <v>755.57999999999993</v>
      </c>
      <c r="F1244" s="2"/>
      <c r="G1244" s="2"/>
      <c r="H1244" s="2"/>
      <c r="I1244" s="2"/>
      <c r="J1244" s="2"/>
      <c r="K1244" s="2"/>
      <c r="L1244" s="2">
        <v>755.57999999999993</v>
      </c>
      <c r="M1244" t="s">
        <v>4400</v>
      </c>
      <c r="N1244" t="s">
        <v>4407</v>
      </c>
    </row>
    <row r="1245" spans="1:14" x14ac:dyDescent="0.4">
      <c r="A1245" t="s">
        <v>2683</v>
      </c>
      <c r="B1245" t="s">
        <v>2652</v>
      </c>
      <c r="C1245" t="s">
        <v>64</v>
      </c>
      <c r="D1245" t="s">
        <v>2684</v>
      </c>
      <c r="E1245" s="2">
        <v>3307.5899999999997</v>
      </c>
      <c r="F1245" s="2">
        <v>1613.9599999999998</v>
      </c>
      <c r="G1245" s="2">
        <v>1755.31</v>
      </c>
      <c r="H1245" s="2">
        <v>827.54</v>
      </c>
      <c r="I1245" s="2">
        <v>1685.9199999999996</v>
      </c>
      <c r="J1245" s="2">
        <v>886.65</v>
      </c>
      <c r="K1245" s="2">
        <v>866.08999999999992</v>
      </c>
      <c r="L1245" s="2">
        <v>10943.060000000005</v>
      </c>
      <c r="M1245" t="s">
        <v>4400</v>
      </c>
      <c r="N1245" t="s">
        <v>4400</v>
      </c>
    </row>
    <row r="1246" spans="1:14" x14ac:dyDescent="0.4">
      <c r="A1246" t="s">
        <v>2685</v>
      </c>
      <c r="B1246" t="s">
        <v>2686</v>
      </c>
      <c r="C1246" t="s">
        <v>64</v>
      </c>
      <c r="D1246" t="s">
        <v>1427</v>
      </c>
      <c r="E1246" s="2">
        <v>847.44000000000017</v>
      </c>
      <c r="F1246" s="2"/>
      <c r="G1246" s="2">
        <v>722.89999999999986</v>
      </c>
      <c r="H1246" s="2">
        <v>738.07999999999993</v>
      </c>
      <c r="I1246" s="2">
        <v>741.11999999999989</v>
      </c>
      <c r="J1246" s="2"/>
      <c r="K1246" s="2"/>
      <c r="L1246" s="2">
        <v>3049.5399999999991</v>
      </c>
      <c r="M1246" t="s">
        <v>4400</v>
      </c>
      <c r="N1246" t="s">
        <v>4401</v>
      </c>
    </row>
    <row r="1247" spans="1:14" x14ac:dyDescent="0.4">
      <c r="A1247" t="s">
        <v>2687</v>
      </c>
      <c r="B1247" t="s">
        <v>2688</v>
      </c>
      <c r="C1247" t="s">
        <v>433</v>
      </c>
      <c r="D1247" t="s">
        <v>1174</v>
      </c>
      <c r="E1247" s="2">
        <v>5614.3099999999977</v>
      </c>
      <c r="F1247" s="2">
        <v>6745.5399999999981</v>
      </c>
      <c r="G1247" s="2">
        <v>7853.8099999999931</v>
      </c>
      <c r="H1247" s="2">
        <v>7693.0299999999907</v>
      </c>
      <c r="I1247" s="2">
        <v>7311.6399999999931</v>
      </c>
      <c r="J1247" s="2">
        <v>5740.8099999999968</v>
      </c>
      <c r="K1247" s="2">
        <v>3314.8799999999997</v>
      </c>
      <c r="L1247" s="2">
        <v>44274.020000000019</v>
      </c>
      <c r="M1247" t="s">
        <v>4400</v>
      </c>
      <c r="N1247" t="s">
        <v>4400</v>
      </c>
    </row>
    <row r="1248" spans="1:14" x14ac:dyDescent="0.4">
      <c r="A1248" t="s">
        <v>2689</v>
      </c>
      <c r="B1248" t="s">
        <v>2690</v>
      </c>
      <c r="C1248" t="s">
        <v>64</v>
      </c>
      <c r="D1248" t="s">
        <v>2691</v>
      </c>
      <c r="E1248" s="2">
        <v>3641.69</v>
      </c>
      <c r="F1248" s="2">
        <v>2210.1999999999998</v>
      </c>
      <c r="G1248" s="2">
        <v>2220.48</v>
      </c>
      <c r="H1248" s="2">
        <v>1441.7700000000002</v>
      </c>
      <c r="I1248" s="2">
        <v>2318.14</v>
      </c>
      <c r="J1248" s="2">
        <v>1452.05</v>
      </c>
      <c r="K1248" s="2">
        <v>1524.01</v>
      </c>
      <c r="L1248" s="2">
        <v>14808.340000000024</v>
      </c>
      <c r="M1248" t="s">
        <v>4400</v>
      </c>
      <c r="N1248" t="s">
        <v>4400</v>
      </c>
    </row>
    <row r="1249" spans="1:14" x14ac:dyDescent="0.4">
      <c r="A1249" t="s">
        <v>2692</v>
      </c>
      <c r="B1249" t="s">
        <v>2652</v>
      </c>
      <c r="C1249" t="s">
        <v>172</v>
      </c>
      <c r="D1249" t="s">
        <v>173</v>
      </c>
      <c r="E1249" s="2"/>
      <c r="F1249" s="2"/>
      <c r="G1249" s="2"/>
      <c r="H1249" s="2">
        <v>727.30999999999983</v>
      </c>
      <c r="I1249" s="2"/>
      <c r="J1249" s="2"/>
      <c r="K1249" s="2"/>
      <c r="L1249" s="2">
        <v>727.30999999999983</v>
      </c>
      <c r="M1249" t="s">
        <v>4409</v>
      </c>
      <c r="N1249" t="s">
        <v>4402</v>
      </c>
    </row>
    <row r="1250" spans="1:14" x14ac:dyDescent="0.4">
      <c r="A1250" t="s">
        <v>2693</v>
      </c>
      <c r="B1250" t="s">
        <v>2694</v>
      </c>
      <c r="C1250" t="s">
        <v>291</v>
      </c>
      <c r="D1250" t="s">
        <v>295</v>
      </c>
      <c r="E1250" s="2">
        <v>3988.1499999999983</v>
      </c>
      <c r="F1250" s="2">
        <v>3161.989999999998</v>
      </c>
      <c r="G1250" s="2">
        <v>4100.5499999999993</v>
      </c>
      <c r="H1250" s="2">
        <v>3073.8799999999992</v>
      </c>
      <c r="I1250" s="2">
        <v>4401.2199999999984</v>
      </c>
      <c r="J1250" s="2">
        <v>2909.849999999999</v>
      </c>
      <c r="K1250" s="2">
        <v>1445.8000000000002</v>
      </c>
      <c r="L1250" s="2">
        <v>23081.440000000024</v>
      </c>
      <c r="M1250" t="s">
        <v>4400</v>
      </c>
      <c r="N1250" t="s">
        <v>4400</v>
      </c>
    </row>
    <row r="1251" spans="1:14" x14ac:dyDescent="0.4">
      <c r="A1251" t="s">
        <v>2695</v>
      </c>
      <c r="B1251" t="s">
        <v>2696</v>
      </c>
      <c r="C1251" t="s">
        <v>64</v>
      </c>
      <c r="D1251" t="s">
        <v>71</v>
      </c>
      <c r="E1251" s="2">
        <v>3611.5300000000007</v>
      </c>
      <c r="F1251" s="2">
        <v>2824.8799999999997</v>
      </c>
      <c r="G1251" s="2">
        <v>3863.68</v>
      </c>
      <c r="H1251" s="2">
        <v>2621.35</v>
      </c>
      <c r="I1251" s="2">
        <v>3402</v>
      </c>
      <c r="J1251" s="2">
        <v>5066.5199999999995</v>
      </c>
      <c r="K1251" s="2">
        <v>735.08</v>
      </c>
      <c r="L1251" s="2">
        <v>22125.039999999997</v>
      </c>
      <c r="M1251" t="s">
        <v>4400</v>
      </c>
      <c r="N1251" t="s">
        <v>4400</v>
      </c>
    </row>
    <row r="1252" spans="1:14" x14ac:dyDescent="0.4">
      <c r="A1252" t="s">
        <v>2697</v>
      </c>
      <c r="B1252" t="s">
        <v>2698</v>
      </c>
      <c r="C1252" t="s">
        <v>52</v>
      </c>
      <c r="D1252" t="s">
        <v>147</v>
      </c>
      <c r="E1252" s="2">
        <v>719.88</v>
      </c>
      <c r="F1252" s="2">
        <v>725.94999999999993</v>
      </c>
      <c r="G1252" s="2">
        <v>1494.4099999999999</v>
      </c>
      <c r="H1252" s="2">
        <v>1539.9799999999998</v>
      </c>
      <c r="I1252" s="2">
        <v>1880.1699999999996</v>
      </c>
      <c r="J1252" s="2">
        <v>744.17</v>
      </c>
      <c r="K1252" s="2"/>
      <c r="L1252" s="2">
        <v>7104.5600000000013</v>
      </c>
      <c r="M1252" t="s">
        <v>4400</v>
      </c>
      <c r="N1252" t="s">
        <v>4406</v>
      </c>
    </row>
    <row r="1253" spans="1:14" x14ac:dyDescent="0.4">
      <c r="A1253" t="s">
        <v>2699</v>
      </c>
      <c r="B1253" t="s">
        <v>2652</v>
      </c>
      <c r="C1253" t="s">
        <v>64</v>
      </c>
      <c r="D1253" t="s">
        <v>2514</v>
      </c>
      <c r="E1253" s="2">
        <v>3955.23</v>
      </c>
      <c r="F1253" s="2">
        <v>3243.3399999999992</v>
      </c>
      <c r="G1253" s="2">
        <v>3826.7299999999987</v>
      </c>
      <c r="H1253" s="2">
        <v>2462.0599999999995</v>
      </c>
      <c r="I1253" s="2">
        <v>1950.63</v>
      </c>
      <c r="J1253" s="2">
        <v>3880.6999999999989</v>
      </c>
      <c r="K1253" s="2">
        <v>2397.81</v>
      </c>
      <c r="L1253" s="2">
        <v>21716.500000000036</v>
      </c>
      <c r="M1253" t="s">
        <v>4400</v>
      </c>
      <c r="N1253" t="s">
        <v>4400</v>
      </c>
    </row>
    <row r="1254" spans="1:14" x14ac:dyDescent="0.4">
      <c r="A1254" t="s">
        <v>2700</v>
      </c>
      <c r="B1254" t="s">
        <v>2652</v>
      </c>
      <c r="C1254" t="s">
        <v>220</v>
      </c>
      <c r="D1254" t="s">
        <v>2302</v>
      </c>
      <c r="E1254" s="2"/>
      <c r="F1254" s="2">
        <v>781.28</v>
      </c>
      <c r="G1254" s="2"/>
      <c r="H1254" s="2"/>
      <c r="I1254" s="2"/>
      <c r="J1254" s="2"/>
      <c r="K1254" s="2"/>
      <c r="L1254" s="2">
        <v>781.28</v>
      </c>
      <c r="M1254" t="s">
        <v>4412</v>
      </c>
      <c r="N1254" t="s">
        <v>4410</v>
      </c>
    </row>
    <row r="1255" spans="1:14" x14ac:dyDescent="0.4">
      <c r="A1255" t="s">
        <v>2701</v>
      </c>
      <c r="B1255" t="s">
        <v>2652</v>
      </c>
      <c r="C1255" t="s">
        <v>35</v>
      </c>
      <c r="D1255" t="s">
        <v>1212</v>
      </c>
      <c r="E1255" s="2"/>
      <c r="F1255" s="2"/>
      <c r="G1255" s="2">
        <v>842.95999999999992</v>
      </c>
      <c r="H1255" s="2"/>
      <c r="I1255" s="2">
        <v>1626.8100000000002</v>
      </c>
      <c r="J1255" s="2"/>
      <c r="K1255" s="2"/>
      <c r="L1255" s="2">
        <v>2469.7699999999991</v>
      </c>
      <c r="M1255" t="s">
        <v>4411</v>
      </c>
      <c r="N1255" t="s">
        <v>4401</v>
      </c>
    </row>
    <row r="1256" spans="1:14" x14ac:dyDescent="0.4">
      <c r="A1256" t="s">
        <v>2702</v>
      </c>
      <c r="B1256" t="s">
        <v>2652</v>
      </c>
      <c r="C1256" t="s">
        <v>258</v>
      </c>
      <c r="D1256" t="s">
        <v>259</v>
      </c>
      <c r="E1256" s="2"/>
      <c r="F1256" s="2">
        <v>771.3</v>
      </c>
      <c r="G1256" s="2">
        <v>758.14999999999986</v>
      </c>
      <c r="H1256" s="2"/>
      <c r="I1256" s="2"/>
      <c r="J1256" s="2">
        <v>740.15999999999985</v>
      </c>
      <c r="K1256" s="2"/>
      <c r="L1256" s="2">
        <v>2269.61</v>
      </c>
      <c r="M1256" t="s">
        <v>4412</v>
      </c>
      <c r="N1256" t="s">
        <v>4406</v>
      </c>
    </row>
    <row r="1257" spans="1:14" x14ac:dyDescent="0.4">
      <c r="A1257" t="s">
        <v>2703</v>
      </c>
      <c r="B1257" t="s">
        <v>2652</v>
      </c>
      <c r="C1257" t="s">
        <v>64</v>
      </c>
      <c r="D1257" t="s">
        <v>2619</v>
      </c>
      <c r="E1257" s="2">
        <v>2883.5399999999995</v>
      </c>
      <c r="F1257" s="2">
        <v>992.01999999999987</v>
      </c>
      <c r="G1257" s="2">
        <v>1685.9199999999996</v>
      </c>
      <c r="H1257" s="2"/>
      <c r="I1257" s="2"/>
      <c r="J1257" s="2">
        <v>940.61999999999989</v>
      </c>
      <c r="K1257" s="2">
        <v>902.06999999999994</v>
      </c>
      <c r="L1257" s="2">
        <v>7404.1700000000055</v>
      </c>
      <c r="M1257" t="s">
        <v>4400</v>
      </c>
      <c r="N1257" t="s">
        <v>4400</v>
      </c>
    </row>
    <row r="1258" spans="1:14" x14ac:dyDescent="0.4">
      <c r="A1258" t="s">
        <v>2704</v>
      </c>
      <c r="B1258" t="s">
        <v>2705</v>
      </c>
      <c r="C1258" t="s">
        <v>303</v>
      </c>
      <c r="D1258" t="s">
        <v>304</v>
      </c>
      <c r="E1258" s="2">
        <v>3778.6299999999987</v>
      </c>
      <c r="F1258" s="2">
        <v>2676.0599999999995</v>
      </c>
      <c r="G1258" s="2"/>
      <c r="H1258" s="2"/>
      <c r="I1258" s="2"/>
      <c r="J1258" s="2"/>
      <c r="K1258" s="2"/>
      <c r="L1258" s="2">
        <v>6454.6900000000032</v>
      </c>
      <c r="M1258" t="s">
        <v>4400</v>
      </c>
      <c r="N1258" t="s">
        <v>4410</v>
      </c>
    </row>
    <row r="1259" spans="1:14" x14ac:dyDescent="0.4">
      <c r="A1259" t="s">
        <v>2706</v>
      </c>
      <c r="B1259" t="s">
        <v>2707</v>
      </c>
      <c r="C1259" t="s">
        <v>78</v>
      </c>
      <c r="D1259" t="s">
        <v>907</v>
      </c>
      <c r="E1259" s="2"/>
      <c r="F1259" s="2"/>
      <c r="G1259" s="2"/>
      <c r="H1259" s="2"/>
      <c r="I1259" s="2"/>
      <c r="J1259" s="2">
        <v>1789.0299999999997</v>
      </c>
      <c r="K1259" s="2"/>
      <c r="L1259" s="2">
        <v>1789.0299999999997</v>
      </c>
      <c r="M1259" t="s">
        <v>4405</v>
      </c>
      <c r="N1259" t="s">
        <v>4406</v>
      </c>
    </row>
    <row r="1260" spans="1:14" x14ac:dyDescent="0.4">
      <c r="A1260" t="s">
        <v>2708</v>
      </c>
      <c r="B1260" t="s">
        <v>2709</v>
      </c>
      <c r="C1260" t="s">
        <v>27</v>
      </c>
      <c r="D1260" t="s">
        <v>1333</v>
      </c>
      <c r="E1260" s="2"/>
      <c r="F1260" s="2"/>
      <c r="G1260" s="2"/>
      <c r="H1260" s="2"/>
      <c r="I1260" s="2"/>
      <c r="J1260" s="2">
        <v>1230.1499999999999</v>
      </c>
      <c r="K1260" s="2"/>
      <c r="L1260" s="2">
        <v>1230.1499999999999</v>
      </c>
      <c r="M1260" t="s">
        <v>4405</v>
      </c>
      <c r="N1260" t="s">
        <v>4406</v>
      </c>
    </row>
    <row r="1261" spans="1:14" x14ac:dyDescent="0.4">
      <c r="A1261" t="s">
        <v>2710</v>
      </c>
      <c r="B1261" t="s">
        <v>2502</v>
      </c>
      <c r="C1261" t="s">
        <v>199</v>
      </c>
      <c r="D1261" t="s">
        <v>203</v>
      </c>
      <c r="E1261" s="2">
        <v>944.63</v>
      </c>
      <c r="F1261" s="2"/>
      <c r="G1261" s="2">
        <v>835.28000000000009</v>
      </c>
      <c r="H1261" s="2">
        <v>838.32</v>
      </c>
      <c r="I1261" s="2"/>
      <c r="J1261" s="2"/>
      <c r="K1261" s="2"/>
      <c r="L1261" s="2">
        <v>2618.23</v>
      </c>
      <c r="M1261" t="s">
        <v>4400</v>
      </c>
      <c r="N1261" t="s">
        <v>4402</v>
      </c>
    </row>
    <row r="1262" spans="1:14" x14ac:dyDescent="0.4">
      <c r="A1262" t="s">
        <v>2711</v>
      </c>
      <c r="B1262" t="s">
        <v>2502</v>
      </c>
      <c r="C1262" t="s">
        <v>103</v>
      </c>
      <c r="D1262" t="s">
        <v>104</v>
      </c>
      <c r="E1262" s="2">
        <v>741.17000000000007</v>
      </c>
      <c r="F1262" s="2"/>
      <c r="G1262" s="2"/>
      <c r="H1262" s="2"/>
      <c r="I1262" s="2"/>
      <c r="J1262" s="2"/>
      <c r="K1262" s="2"/>
      <c r="L1262" s="2">
        <v>741.17000000000007</v>
      </c>
      <c r="M1262" t="s">
        <v>4400</v>
      </c>
      <c r="N1262" t="s">
        <v>4407</v>
      </c>
    </row>
    <row r="1263" spans="1:14" x14ac:dyDescent="0.4">
      <c r="A1263" t="s">
        <v>2712</v>
      </c>
      <c r="B1263" t="s">
        <v>2652</v>
      </c>
      <c r="C1263" t="s">
        <v>64</v>
      </c>
      <c r="D1263" t="s">
        <v>985</v>
      </c>
      <c r="E1263" s="2"/>
      <c r="F1263" s="2"/>
      <c r="G1263" s="2"/>
      <c r="H1263" s="2"/>
      <c r="I1263" s="2"/>
      <c r="J1263" s="2">
        <v>801.84000000000015</v>
      </c>
      <c r="K1263" s="2">
        <v>760.71999999999991</v>
      </c>
      <c r="L1263" s="2">
        <v>1562.56</v>
      </c>
      <c r="M1263" t="s">
        <v>4405</v>
      </c>
      <c r="N1263" t="s">
        <v>4400</v>
      </c>
    </row>
    <row r="1264" spans="1:14" x14ac:dyDescent="0.4">
      <c r="A1264" t="s">
        <v>2713</v>
      </c>
      <c r="B1264" t="s">
        <v>2502</v>
      </c>
      <c r="C1264" t="s">
        <v>35</v>
      </c>
      <c r="D1264" t="s">
        <v>1212</v>
      </c>
      <c r="E1264" s="2">
        <v>2205.2399999999998</v>
      </c>
      <c r="F1264" s="2">
        <v>1448.9000000000003</v>
      </c>
      <c r="G1264" s="2">
        <v>1464.09</v>
      </c>
      <c r="H1264" s="2">
        <v>1622.0200000000002</v>
      </c>
      <c r="I1264" s="2">
        <v>2991.91</v>
      </c>
      <c r="J1264" s="2">
        <v>2244.6500000000005</v>
      </c>
      <c r="K1264" s="2">
        <v>750.24</v>
      </c>
      <c r="L1264" s="2">
        <v>12727.04999999999</v>
      </c>
      <c r="M1264" t="s">
        <v>4400</v>
      </c>
      <c r="N1264" t="s">
        <v>4400</v>
      </c>
    </row>
    <row r="1265" spans="1:14" x14ac:dyDescent="0.4">
      <c r="A1265" t="s">
        <v>2714</v>
      </c>
      <c r="B1265" t="s">
        <v>2502</v>
      </c>
      <c r="C1265" t="s">
        <v>64</v>
      </c>
      <c r="D1265" t="s">
        <v>2514</v>
      </c>
      <c r="E1265" s="2">
        <v>1615.9099999999999</v>
      </c>
      <c r="F1265" s="2">
        <v>3222.6599999999989</v>
      </c>
      <c r="G1265" s="2">
        <v>4167.2799999999988</v>
      </c>
      <c r="H1265" s="2">
        <v>2590.9</v>
      </c>
      <c r="I1265" s="2">
        <v>2727.5600000000004</v>
      </c>
      <c r="J1265" s="2">
        <v>1703.9599999999996</v>
      </c>
      <c r="K1265" s="2">
        <v>886.91</v>
      </c>
      <c r="L1265" s="2">
        <v>16915.18</v>
      </c>
      <c r="M1265" t="s">
        <v>4400</v>
      </c>
      <c r="N1265" t="s">
        <v>4400</v>
      </c>
    </row>
    <row r="1266" spans="1:14" x14ac:dyDescent="0.4">
      <c r="A1266" t="s">
        <v>2715</v>
      </c>
      <c r="B1266" t="s">
        <v>2502</v>
      </c>
      <c r="C1266" t="s">
        <v>159</v>
      </c>
      <c r="D1266" t="s">
        <v>160</v>
      </c>
      <c r="E1266" s="2">
        <v>3204.52</v>
      </c>
      <c r="F1266" s="2">
        <v>3046.6400000000003</v>
      </c>
      <c r="G1266" s="2">
        <v>4805.3099999999995</v>
      </c>
      <c r="H1266" s="2">
        <v>2985.869999999999</v>
      </c>
      <c r="I1266" s="2">
        <v>4723.2999999999984</v>
      </c>
      <c r="J1266" s="2">
        <v>4556.2200000000012</v>
      </c>
      <c r="K1266" s="2">
        <v>2387.4299999999998</v>
      </c>
      <c r="L1266" s="2">
        <v>25709.289999999972</v>
      </c>
      <c r="M1266" t="s">
        <v>4400</v>
      </c>
      <c r="N1266" t="s">
        <v>4400</v>
      </c>
    </row>
    <row r="1267" spans="1:14" x14ac:dyDescent="0.4">
      <c r="A1267" t="s">
        <v>2716</v>
      </c>
      <c r="B1267" t="s">
        <v>2717</v>
      </c>
      <c r="C1267" t="s">
        <v>52</v>
      </c>
      <c r="D1267" t="s">
        <v>53</v>
      </c>
      <c r="E1267" s="2">
        <v>8438.0600000000013</v>
      </c>
      <c r="F1267" s="2">
        <v>10263.59</v>
      </c>
      <c r="G1267" s="2">
        <v>8331.75</v>
      </c>
      <c r="H1267" s="2">
        <v>8504.880000000001</v>
      </c>
      <c r="I1267" s="2">
        <v>10148.19</v>
      </c>
      <c r="J1267" s="2">
        <v>8374.3100000000013</v>
      </c>
      <c r="K1267" s="2">
        <v>4419.51</v>
      </c>
      <c r="L1267" s="2">
        <v>58480.289999999943</v>
      </c>
      <c r="M1267" t="s">
        <v>4400</v>
      </c>
      <c r="N1267" t="s">
        <v>4400</v>
      </c>
    </row>
    <row r="1268" spans="1:14" x14ac:dyDescent="0.4">
      <c r="A1268" t="s">
        <v>2718</v>
      </c>
      <c r="B1268" t="s">
        <v>2652</v>
      </c>
      <c r="C1268" t="s">
        <v>64</v>
      </c>
      <c r="D1268" t="s">
        <v>2343</v>
      </c>
      <c r="E1268" s="2">
        <v>3623.6999999999994</v>
      </c>
      <c r="F1268" s="2">
        <v>3667.389999999999</v>
      </c>
      <c r="G1268" s="2">
        <v>3035.17</v>
      </c>
      <c r="H1268" s="2">
        <v>5330.18</v>
      </c>
      <c r="I1268" s="2">
        <v>2675.37</v>
      </c>
      <c r="J1268" s="2">
        <v>3227.92</v>
      </c>
      <c r="K1268" s="2">
        <v>1904.37</v>
      </c>
      <c r="L1268" s="2">
        <v>23464.100000000017</v>
      </c>
      <c r="M1268" t="s">
        <v>4400</v>
      </c>
      <c r="N1268" t="s">
        <v>4400</v>
      </c>
    </row>
    <row r="1269" spans="1:14" x14ac:dyDescent="0.4">
      <c r="A1269" t="s">
        <v>2719</v>
      </c>
      <c r="B1269" t="s">
        <v>2652</v>
      </c>
      <c r="C1269" t="s">
        <v>64</v>
      </c>
      <c r="D1269" t="s">
        <v>2720</v>
      </c>
      <c r="E1269" s="2">
        <v>1570.2700000000002</v>
      </c>
      <c r="F1269" s="2">
        <v>1536.86</v>
      </c>
      <c r="G1269" s="2"/>
      <c r="H1269" s="2"/>
      <c r="I1269" s="2"/>
      <c r="J1269" s="2"/>
      <c r="K1269" s="2"/>
      <c r="L1269" s="2">
        <v>3107.1299999999997</v>
      </c>
      <c r="M1269" t="s">
        <v>4400</v>
      </c>
      <c r="N1269" t="s">
        <v>4410</v>
      </c>
    </row>
    <row r="1270" spans="1:14" x14ac:dyDescent="0.4">
      <c r="A1270" t="s">
        <v>2721</v>
      </c>
      <c r="B1270" t="s">
        <v>2652</v>
      </c>
      <c r="C1270" t="s">
        <v>64</v>
      </c>
      <c r="D1270" t="s">
        <v>708</v>
      </c>
      <c r="E1270" s="2">
        <v>768.43</v>
      </c>
      <c r="F1270" s="2"/>
      <c r="G1270" s="2"/>
      <c r="H1270" s="2"/>
      <c r="I1270" s="2">
        <v>1518.8699999999997</v>
      </c>
      <c r="J1270" s="2"/>
      <c r="K1270" s="2"/>
      <c r="L1270" s="2">
        <v>2287.2999999999997</v>
      </c>
      <c r="M1270" t="s">
        <v>4400</v>
      </c>
      <c r="N1270" t="s">
        <v>4401</v>
      </c>
    </row>
    <row r="1271" spans="1:14" x14ac:dyDescent="0.4">
      <c r="A1271" t="s">
        <v>2722</v>
      </c>
      <c r="B1271" t="s">
        <v>2723</v>
      </c>
      <c r="C1271" t="s">
        <v>64</v>
      </c>
      <c r="D1271" t="s">
        <v>74</v>
      </c>
      <c r="E1271" s="2">
        <v>1279.8599999999999</v>
      </c>
      <c r="F1271" s="2"/>
      <c r="G1271" s="2"/>
      <c r="H1271" s="2">
        <v>1128.23</v>
      </c>
      <c r="I1271" s="2"/>
      <c r="J1271" s="2">
        <v>1387.8</v>
      </c>
      <c r="K1271" s="2"/>
      <c r="L1271" s="2">
        <v>3795.8899999999994</v>
      </c>
      <c r="M1271" t="s">
        <v>4400</v>
      </c>
      <c r="N1271" t="s">
        <v>4406</v>
      </c>
    </row>
    <row r="1272" spans="1:14" x14ac:dyDescent="0.4">
      <c r="A1272" t="s">
        <v>2724</v>
      </c>
      <c r="B1272" t="s">
        <v>2725</v>
      </c>
      <c r="C1272" t="s">
        <v>310</v>
      </c>
      <c r="D1272" t="s">
        <v>314</v>
      </c>
      <c r="E1272" s="2">
        <v>7903.2999999999993</v>
      </c>
      <c r="F1272" s="2">
        <v>5713.28</v>
      </c>
      <c r="G1272" s="2">
        <v>5859.0899999999983</v>
      </c>
      <c r="H1272" s="2">
        <v>6615.3899999999985</v>
      </c>
      <c r="I1272" s="2">
        <v>7693.6599999999989</v>
      </c>
      <c r="J1272" s="2">
        <v>5613.07</v>
      </c>
      <c r="K1272" s="2">
        <v>2997.8999999999996</v>
      </c>
      <c r="L1272" s="2">
        <v>42395.69000000001</v>
      </c>
      <c r="M1272" t="s">
        <v>4400</v>
      </c>
      <c r="N1272" t="s">
        <v>4400</v>
      </c>
    </row>
    <row r="1273" spans="1:14" x14ac:dyDescent="0.4">
      <c r="A1273" t="s">
        <v>2726</v>
      </c>
      <c r="B1273" t="s">
        <v>2727</v>
      </c>
      <c r="C1273" t="s">
        <v>64</v>
      </c>
      <c r="D1273" t="s">
        <v>2728</v>
      </c>
      <c r="E1273" s="2">
        <v>3620.6799999999994</v>
      </c>
      <c r="F1273" s="2">
        <v>2797.4999999999995</v>
      </c>
      <c r="G1273" s="2">
        <v>1804.2600000000002</v>
      </c>
      <c r="H1273" s="2">
        <v>4832.59</v>
      </c>
      <c r="I1273" s="2">
        <v>1895.3999999999996</v>
      </c>
      <c r="J1273" s="2">
        <v>3022.3099999999995</v>
      </c>
      <c r="K1273" s="2">
        <v>1193.73</v>
      </c>
      <c r="L1273" s="2">
        <v>19166.46999999999</v>
      </c>
      <c r="M1273" t="s">
        <v>4400</v>
      </c>
      <c r="N1273" t="s">
        <v>4400</v>
      </c>
    </row>
    <row r="1274" spans="1:14" x14ac:dyDescent="0.4">
      <c r="A1274" t="s">
        <v>2729</v>
      </c>
      <c r="B1274" t="s">
        <v>2730</v>
      </c>
      <c r="C1274" t="s">
        <v>64</v>
      </c>
      <c r="D1274" t="s">
        <v>2731</v>
      </c>
      <c r="E1274" s="2">
        <v>1628.0499999999997</v>
      </c>
      <c r="F1274" s="2">
        <v>732.02</v>
      </c>
      <c r="G1274" s="2">
        <v>777.57999999999993</v>
      </c>
      <c r="H1274" s="2"/>
      <c r="I1274" s="2">
        <v>1588.57</v>
      </c>
      <c r="J1274" s="2"/>
      <c r="K1274" s="2"/>
      <c r="L1274" s="2">
        <v>4726.2199999999984</v>
      </c>
      <c r="M1274" t="s">
        <v>4400</v>
      </c>
      <c r="N1274" t="s">
        <v>4401</v>
      </c>
    </row>
    <row r="1275" spans="1:14" x14ac:dyDescent="0.4">
      <c r="A1275" t="s">
        <v>2732</v>
      </c>
      <c r="B1275" t="s">
        <v>2733</v>
      </c>
      <c r="C1275" t="s">
        <v>9</v>
      </c>
      <c r="D1275" t="s">
        <v>45</v>
      </c>
      <c r="E1275" s="2">
        <v>9628.5</v>
      </c>
      <c r="F1275" s="2">
        <v>9628.4500000000007</v>
      </c>
      <c r="G1275" s="2">
        <v>8377.130000000001</v>
      </c>
      <c r="H1275" s="2">
        <v>12221.3</v>
      </c>
      <c r="I1275" s="2">
        <v>6150.86</v>
      </c>
      <c r="J1275" s="2">
        <v>7320.3000000000011</v>
      </c>
      <c r="K1275" s="2">
        <v>1579.5</v>
      </c>
      <c r="L1275" s="2">
        <v>54906.040000000059</v>
      </c>
      <c r="M1275" t="s">
        <v>4400</v>
      </c>
      <c r="N1275" t="s">
        <v>4400</v>
      </c>
    </row>
    <row r="1276" spans="1:14" x14ac:dyDescent="0.4">
      <c r="A1276" t="s">
        <v>2734</v>
      </c>
      <c r="B1276" t="s">
        <v>2735</v>
      </c>
      <c r="C1276" t="s">
        <v>9</v>
      </c>
      <c r="D1276" t="s">
        <v>45</v>
      </c>
      <c r="E1276" s="2">
        <v>1011.47</v>
      </c>
      <c r="F1276" s="2"/>
      <c r="G1276" s="2"/>
      <c r="H1276" s="2"/>
      <c r="I1276" s="2"/>
      <c r="J1276" s="2"/>
      <c r="K1276" s="2"/>
      <c r="L1276" s="2">
        <v>1011.47</v>
      </c>
      <c r="M1276" t="s">
        <v>4400</v>
      </c>
      <c r="N1276" t="s">
        <v>4407</v>
      </c>
    </row>
    <row r="1277" spans="1:14" x14ac:dyDescent="0.4">
      <c r="A1277" t="s">
        <v>2736</v>
      </c>
      <c r="B1277" t="s">
        <v>2737</v>
      </c>
      <c r="C1277" t="s">
        <v>78</v>
      </c>
      <c r="D1277" t="s">
        <v>907</v>
      </c>
      <c r="E1277" s="2">
        <v>1090.44</v>
      </c>
      <c r="F1277" s="2"/>
      <c r="G1277" s="2"/>
      <c r="H1277" s="2">
        <v>971.98</v>
      </c>
      <c r="I1277" s="2"/>
      <c r="J1277" s="2"/>
      <c r="K1277" s="2"/>
      <c r="L1277" s="2">
        <v>2062.42</v>
      </c>
      <c r="M1277" t="s">
        <v>4400</v>
      </c>
      <c r="N1277" t="s">
        <v>4402</v>
      </c>
    </row>
    <row r="1278" spans="1:14" x14ac:dyDescent="0.4">
      <c r="A1278" t="s">
        <v>2738</v>
      </c>
      <c r="B1278" t="s">
        <v>2739</v>
      </c>
      <c r="C1278" t="s">
        <v>291</v>
      </c>
      <c r="D1278" t="s">
        <v>295</v>
      </c>
      <c r="E1278" s="2">
        <v>3365.3699999999994</v>
      </c>
      <c r="F1278" s="2">
        <v>3246.93</v>
      </c>
      <c r="G1278" s="2">
        <v>1552.1000000000001</v>
      </c>
      <c r="H1278" s="2"/>
      <c r="I1278" s="2">
        <v>1439.7200000000005</v>
      </c>
      <c r="J1278" s="2"/>
      <c r="K1278" s="2"/>
      <c r="L1278" s="2">
        <v>9604.1199999999917</v>
      </c>
      <c r="M1278" t="s">
        <v>4400</v>
      </c>
      <c r="N1278" t="s">
        <v>4401</v>
      </c>
    </row>
    <row r="1279" spans="1:14" x14ac:dyDescent="0.4">
      <c r="A1279" t="s">
        <v>2740</v>
      </c>
      <c r="B1279" t="s">
        <v>2741</v>
      </c>
      <c r="C1279" t="s">
        <v>64</v>
      </c>
      <c r="D1279" t="s">
        <v>2742</v>
      </c>
      <c r="E1279" s="2">
        <v>3960.3699999999994</v>
      </c>
      <c r="F1279" s="2">
        <v>5543.49</v>
      </c>
      <c r="G1279" s="2">
        <v>5844.180000000003</v>
      </c>
      <c r="H1279" s="2">
        <v>3384.69</v>
      </c>
      <c r="I1279" s="2">
        <v>3055.73</v>
      </c>
      <c r="J1279" s="2">
        <v>5831.329999999999</v>
      </c>
      <c r="K1279" s="2">
        <v>2310.4300000000003</v>
      </c>
      <c r="L1279" s="2">
        <v>29930.220000000052</v>
      </c>
      <c r="M1279" t="s">
        <v>4400</v>
      </c>
      <c r="N1279" t="s">
        <v>4400</v>
      </c>
    </row>
    <row r="1280" spans="1:14" x14ac:dyDescent="0.4">
      <c r="A1280" t="s">
        <v>2743</v>
      </c>
      <c r="B1280" t="s">
        <v>2744</v>
      </c>
      <c r="C1280" t="s">
        <v>64</v>
      </c>
      <c r="D1280" t="s">
        <v>2742</v>
      </c>
      <c r="E1280" s="2">
        <v>798.86</v>
      </c>
      <c r="F1280" s="2"/>
      <c r="G1280" s="2">
        <v>1740.49</v>
      </c>
      <c r="H1280" s="2">
        <v>1840.6999999999998</v>
      </c>
      <c r="I1280" s="2">
        <v>941.61000000000013</v>
      </c>
      <c r="J1280" s="2">
        <v>1151.2100000000003</v>
      </c>
      <c r="K1280" s="2">
        <v>2165.6799999999998</v>
      </c>
      <c r="L1280" s="2">
        <v>8638.5500000000011</v>
      </c>
      <c r="M1280" t="s">
        <v>4400</v>
      </c>
      <c r="N1280" t="s">
        <v>4400</v>
      </c>
    </row>
    <row r="1281" spans="1:14" x14ac:dyDescent="0.4">
      <c r="A1281" t="s">
        <v>2745</v>
      </c>
      <c r="B1281" t="s">
        <v>2746</v>
      </c>
      <c r="C1281" t="s">
        <v>310</v>
      </c>
      <c r="D1281" t="s">
        <v>314</v>
      </c>
      <c r="E1281" s="2">
        <v>4790.0500000000011</v>
      </c>
      <c r="F1281" s="2">
        <v>3660.1199999999985</v>
      </c>
      <c r="G1281" s="2">
        <v>3754.2699999999991</v>
      </c>
      <c r="H1281" s="2">
        <v>3720.849999999999</v>
      </c>
      <c r="I1281" s="2">
        <v>5029.9800000000005</v>
      </c>
      <c r="J1281" s="2">
        <v>3887.9099999999989</v>
      </c>
      <c r="K1281" s="2">
        <v>1901.4299999999996</v>
      </c>
      <c r="L1281" s="2">
        <v>26744.609999999993</v>
      </c>
      <c r="M1281" t="s">
        <v>4400</v>
      </c>
      <c r="N1281" t="s">
        <v>4400</v>
      </c>
    </row>
    <row r="1282" spans="1:14" x14ac:dyDescent="0.4">
      <c r="A1282" t="s">
        <v>2747</v>
      </c>
      <c r="B1282" t="s">
        <v>2652</v>
      </c>
      <c r="C1282" t="s">
        <v>64</v>
      </c>
      <c r="D1282" t="s">
        <v>2223</v>
      </c>
      <c r="E1282" s="2">
        <v>2063.71</v>
      </c>
      <c r="F1282" s="2">
        <v>2207.63</v>
      </c>
      <c r="G1282" s="2">
        <v>1017.72</v>
      </c>
      <c r="H1282" s="2">
        <v>1924.93</v>
      </c>
      <c r="I1282" s="2">
        <v>1087.1099999999999</v>
      </c>
      <c r="J1282" s="2">
        <v>917.4899999999999</v>
      </c>
      <c r="K1282" s="2"/>
      <c r="L1282" s="2">
        <v>9218.5900000000092</v>
      </c>
      <c r="M1282" t="s">
        <v>4400</v>
      </c>
      <c r="N1282" t="s">
        <v>4406</v>
      </c>
    </row>
    <row r="1283" spans="1:14" x14ac:dyDescent="0.4">
      <c r="A1283" t="s">
        <v>2748</v>
      </c>
      <c r="B1283" t="s">
        <v>2749</v>
      </c>
      <c r="C1283" t="s">
        <v>359</v>
      </c>
      <c r="D1283" t="s">
        <v>360</v>
      </c>
      <c r="E1283" s="2">
        <v>971.94</v>
      </c>
      <c r="F1283" s="2">
        <v>1512.59</v>
      </c>
      <c r="G1283" s="2">
        <v>759.33999999999992</v>
      </c>
      <c r="H1283" s="2"/>
      <c r="I1283" s="2">
        <v>1354.68</v>
      </c>
      <c r="J1283" s="2">
        <v>783.65000000000009</v>
      </c>
      <c r="K1283" s="2">
        <v>899.07999999999993</v>
      </c>
      <c r="L1283" s="2">
        <v>6281.2800000000007</v>
      </c>
      <c r="M1283" t="s">
        <v>4400</v>
      </c>
      <c r="N1283" t="s">
        <v>4400</v>
      </c>
    </row>
    <row r="1284" spans="1:14" x14ac:dyDescent="0.4">
      <c r="A1284" t="s">
        <v>2750</v>
      </c>
      <c r="B1284" t="s">
        <v>2652</v>
      </c>
      <c r="C1284" t="s">
        <v>35</v>
      </c>
      <c r="D1284" t="s">
        <v>36</v>
      </c>
      <c r="E1284" s="2">
        <v>2256.4599999999996</v>
      </c>
      <c r="F1284" s="2">
        <v>819.82999999999993</v>
      </c>
      <c r="G1284" s="2">
        <v>986.88</v>
      </c>
      <c r="H1284" s="2">
        <v>1968.6199999999997</v>
      </c>
      <c r="I1284" s="2">
        <v>1840.1199999999994</v>
      </c>
      <c r="J1284" s="2">
        <v>2181.9299999999994</v>
      </c>
      <c r="K1284" s="2">
        <v>1392.9399999999998</v>
      </c>
      <c r="L1284" s="2">
        <v>11446.780000000004</v>
      </c>
      <c r="M1284" t="s">
        <v>4400</v>
      </c>
      <c r="N1284" t="s">
        <v>4400</v>
      </c>
    </row>
    <row r="1285" spans="1:14" x14ac:dyDescent="0.4">
      <c r="A1285" t="s">
        <v>2751</v>
      </c>
      <c r="B1285" t="s">
        <v>593</v>
      </c>
      <c r="C1285" t="s">
        <v>350</v>
      </c>
      <c r="D1285" t="s">
        <v>351</v>
      </c>
      <c r="E1285" s="2">
        <v>5245.369999999999</v>
      </c>
      <c r="F1285" s="2">
        <v>5296.7699999999995</v>
      </c>
      <c r="G1285" s="2">
        <v>4294.4699999999984</v>
      </c>
      <c r="H1285" s="2">
        <v>5222.2400000000025</v>
      </c>
      <c r="I1285" s="2">
        <v>5247.9399999999987</v>
      </c>
      <c r="J1285" s="2">
        <v>5880.1600000000035</v>
      </c>
      <c r="K1285" s="2">
        <v>2207.6299999999997</v>
      </c>
      <c r="L1285" s="2">
        <v>33394.580000000016</v>
      </c>
      <c r="M1285" t="s">
        <v>4400</v>
      </c>
      <c r="N1285" t="s">
        <v>4400</v>
      </c>
    </row>
    <row r="1286" spans="1:14" x14ac:dyDescent="0.4">
      <c r="A1286" t="s">
        <v>2752</v>
      </c>
      <c r="B1286" t="s">
        <v>502</v>
      </c>
      <c r="C1286" t="s">
        <v>310</v>
      </c>
      <c r="D1286" t="s">
        <v>314</v>
      </c>
      <c r="E1286" s="2">
        <v>3675.2799999999988</v>
      </c>
      <c r="F1286" s="2">
        <v>3845.3599999999979</v>
      </c>
      <c r="G1286" s="2"/>
      <c r="H1286" s="2">
        <v>4240.2499999999973</v>
      </c>
      <c r="I1286" s="2">
        <v>3338.1099999999997</v>
      </c>
      <c r="J1286" s="2">
        <v>3432.2699999999986</v>
      </c>
      <c r="K1286" s="2">
        <v>908.18000000000018</v>
      </c>
      <c r="L1286" s="2">
        <v>19439.449999999993</v>
      </c>
      <c r="M1286" t="s">
        <v>4400</v>
      </c>
      <c r="N1286" t="s">
        <v>4400</v>
      </c>
    </row>
    <row r="1287" spans="1:14" x14ac:dyDescent="0.4">
      <c r="A1287" t="s">
        <v>2753</v>
      </c>
      <c r="B1287" t="s">
        <v>2754</v>
      </c>
      <c r="C1287" t="s">
        <v>103</v>
      </c>
      <c r="D1287" t="s">
        <v>104</v>
      </c>
      <c r="E1287" s="2"/>
      <c r="F1287" s="2"/>
      <c r="G1287" s="2"/>
      <c r="H1287" s="2"/>
      <c r="I1287" s="2"/>
      <c r="J1287" s="2">
        <v>1564.29</v>
      </c>
      <c r="K1287" s="2">
        <v>1603.7800000000002</v>
      </c>
      <c r="L1287" s="2">
        <v>3168.07</v>
      </c>
      <c r="M1287" t="s">
        <v>4405</v>
      </c>
      <c r="N1287" t="s">
        <v>4400</v>
      </c>
    </row>
    <row r="1288" spans="1:14" x14ac:dyDescent="0.4">
      <c r="A1288" t="s">
        <v>2755</v>
      </c>
      <c r="B1288" t="s">
        <v>750</v>
      </c>
      <c r="C1288" t="s">
        <v>433</v>
      </c>
      <c r="D1288" t="s">
        <v>1174</v>
      </c>
      <c r="E1288" s="2">
        <v>3095.0799999999995</v>
      </c>
      <c r="F1288" s="2">
        <v>3452.06</v>
      </c>
      <c r="G1288" s="2">
        <v>6317.57</v>
      </c>
      <c r="H1288" s="2">
        <v>4027.5700000000015</v>
      </c>
      <c r="I1288" s="2">
        <v>5175.6799999999994</v>
      </c>
      <c r="J1288" s="2">
        <v>3684.28</v>
      </c>
      <c r="K1288" s="2">
        <v>4224.9800000000005</v>
      </c>
      <c r="L1288" s="2">
        <v>29977.219999999947</v>
      </c>
      <c r="M1288" t="s">
        <v>4400</v>
      </c>
      <c r="N1288" t="s">
        <v>4400</v>
      </c>
    </row>
    <row r="1289" spans="1:14" x14ac:dyDescent="0.4">
      <c r="A1289" t="s">
        <v>2756</v>
      </c>
      <c r="B1289" t="s">
        <v>2757</v>
      </c>
      <c r="C1289" t="s">
        <v>64</v>
      </c>
      <c r="D1289" t="s">
        <v>2223</v>
      </c>
      <c r="E1289" s="2"/>
      <c r="F1289" s="2"/>
      <c r="G1289" s="2"/>
      <c r="H1289" s="2"/>
      <c r="I1289" s="2">
        <v>786.69999999999993</v>
      </c>
      <c r="J1289" s="2"/>
      <c r="K1289" s="2"/>
      <c r="L1289" s="2">
        <v>786.69999999999993</v>
      </c>
      <c r="M1289" t="s">
        <v>4408</v>
      </c>
      <c r="N1289" t="s">
        <v>4401</v>
      </c>
    </row>
    <row r="1290" spans="1:14" x14ac:dyDescent="0.4">
      <c r="A1290" t="s">
        <v>2758</v>
      </c>
      <c r="B1290" t="s">
        <v>2652</v>
      </c>
      <c r="C1290" t="s">
        <v>64</v>
      </c>
      <c r="D1290" t="s">
        <v>985</v>
      </c>
      <c r="E1290" s="2">
        <v>1192.48</v>
      </c>
      <c r="F1290" s="2">
        <v>2063.7099999999996</v>
      </c>
      <c r="G1290" s="2"/>
      <c r="H1290" s="2"/>
      <c r="I1290" s="2">
        <v>1051.1299999999999</v>
      </c>
      <c r="J1290" s="2">
        <v>1966.0499999999997</v>
      </c>
      <c r="K1290" s="2"/>
      <c r="L1290" s="2">
        <v>6273.3700000000053</v>
      </c>
      <c r="M1290" t="s">
        <v>4400</v>
      </c>
      <c r="N1290" t="s">
        <v>4406</v>
      </c>
    </row>
    <row r="1291" spans="1:14" x14ac:dyDescent="0.4">
      <c r="A1291" t="s">
        <v>2759</v>
      </c>
      <c r="B1291" t="s">
        <v>2760</v>
      </c>
      <c r="C1291" t="s">
        <v>35</v>
      </c>
      <c r="D1291" t="s">
        <v>1212</v>
      </c>
      <c r="E1291" s="2">
        <v>1703.9099999999999</v>
      </c>
      <c r="F1291" s="2">
        <v>3302.4500000000003</v>
      </c>
      <c r="G1291" s="2">
        <v>4420.4000000000005</v>
      </c>
      <c r="H1291" s="2">
        <v>3032.5999999999995</v>
      </c>
      <c r="I1291" s="2">
        <v>3603.1399999999994</v>
      </c>
      <c r="J1291" s="2">
        <v>4453.8100000000004</v>
      </c>
      <c r="K1291" s="2">
        <v>2351.5499999999997</v>
      </c>
      <c r="L1291" s="2">
        <v>22867.860000000033</v>
      </c>
      <c r="M1291" t="s">
        <v>4400</v>
      </c>
      <c r="N1291" t="s">
        <v>4400</v>
      </c>
    </row>
    <row r="1292" spans="1:14" x14ac:dyDescent="0.4">
      <c r="A1292" t="s">
        <v>2761</v>
      </c>
      <c r="B1292" t="s">
        <v>2762</v>
      </c>
      <c r="C1292" t="s">
        <v>240</v>
      </c>
      <c r="D1292" t="s">
        <v>241</v>
      </c>
      <c r="E1292" s="2">
        <v>2503.1799999999998</v>
      </c>
      <c r="F1292" s="2">
        <v>3245.91</v>
      </c>
      <c r="G1292" s="2">
        <v>1837.55</v>
      </c>
      <c r="H1292" s="2">
        <v>1583.1200000000001</v>
      </c>
      <c r="I1292" s="2">
        <v>1719.3300000000002</v>
      </c>
      <c r="J1292" s="2">
        <v>1215.6099999999999</v>
      </c>
      <c r="K1292" s="2"/>
      <c r="L1292" s="2">
        <v>12104.700000000004</v>
      </c>
      <c r="M1292" t="s">
        <v>4400</v>
      </c>
      <c r="N1292" t="s">
        <v>4406</v>
      </c>
    </row>
    <row r="1293" spans="1:14" x14ac:dyDescent="0.4">
      <c r="A1293" t="s">
        <v>2763</v>
      </c>
      <c r="B1293" t="s">
        <v>2764</v>
      </c>
      <c r="C1293" t="s">
        <v>178</v>
      </c>
      <c r="D1293" t="s">
        <v>179</v>
      </c>
      <c r="E1293" s="2">
        <v>984.1400000000001</v>
      </c>
      <c r="F1293" s="2"/>
      <c r="G1293" s="2"/>
      <c r="H1293" s="2"/>
      <c r="I1293" s="2"/>
      <c r="J1293" s="2">
        <v>1050.97</v>
      </c>
      <c r="K1293" s="2">
        <v>978.07000000000016</v>
      </c>
      <c r="L1293" s="2">
        <v>3013.1799999999989</v>
      </c>
      <c r="M1293" t="s">
        <v>4400</v>
      </c>
      <c r="N1293" t="s">
        <v>4400</v>
      </c>
    </row>
    <row r="1294" spans="1:14" x14ac:dyDescent="0.4">
      <c r="A1294" t="s">
        <v>2765</v>
      </c>
      <c r="B1294" t="s">
        <v>2766</v>
      </c>
      <c r="C1294" t="s">
        <v>113</v>
      </c>
      <c r="D1294" t="s">
        <v>114</v>
      </c>
      <c r="E1294" s="2">
        <v>719.59999999999991</v>
      </c>
      <c r="F1294" s="2">
        <v>745.3</v>
      </c>
      <c r="G1294" s="2">
        <v>745.3</v>
      </c>
      <c r="H1294" s="2"/>
      <c r="I1294" s="2"/>
      <c r="J1294" s="2"/>
      <c r="K1294" s="2"/>
      <c r="L1294" s="2">
        <v>2210.1999999999998</v>
      </c>
      <c r="M1294" t="s">
        <v>4400</v>
      </c>
      <c r="N1294" t="s">
        <v>4403</v>
      </c>
    </row>
    <row r="1295" spans="1:14" x14ac:dyDescent="0.4">
      <c r="A1295" t="s">
        <v>2767</v>
      </c>
      <c r="B1295" t="s">
        <v>398</v>
      </c>
      <c r="C1295" t="s">
        <v>390</v>
      </c>
      <c r="D1295" t="s">
        <v>394</v>
      </c>
      <c r="E1295" s="2"/>
      <c r="F1295" s="2">
        <v>2369.2500000000005</v>
      </c>
      <c r="G1295" s="2">
        <v>2469.4899999999998</v>
      </c>
      <c r="H1295" s="2">
        <v>3863.6699999999987</v>
      </c>
      <c r="I1295" s="2">
        <v>3487.0199999999991</v>
      </c>
      <c r="J1295" s="2">
        <v>3335.1600000000008</v>
      </c>
      <c r="K1295" s="2">
        <v>759.34999999999991</v>
      </c>
      <c r="L1295" s="2">
        <v>16283.93999999999</v>
      </c>
      <c r="M1295" t="s">
        <v>4412</v>
      </c>
      <c r="N1295" t="s">
        <v>4400</v>
      </c>
    </row>
    <row r="1296" spans="1:14" x14ac:dyDescent="0.4">
      <c r="A1296" t="s">
        <v>2768</v>
      </c>
      <c r="B1296" t="s">
        <v>2769</v>
      </c>
      <c r="C1296" t="s">
        <v>35</v>
      </c>
      <c r="D1296" t="s">
        <v>1212</v>
      </c>
      <c r="E1296" s="2">
        <v>1397.2200000000003</v>
      </c>
      <c r="F1296" s="2">
        <v>1063.0999999999999</v>
      </c>
      <c r="G1296" s="2">
        <v>1524.7999999999997</v>
      </c>
      <c r="H1296" s="2">
        <v>1433.6499999999999</v>
      </c>
      <c r="I1296" s="2">
        <v>1211.9099999999999</v>
      </c>
      <c r="J1296" s="2">
        <v>1500.4799999999998</v>
      </c>
      <c r="K1296" s="2">
        <v>1038.78</v>
      </c>
      <c r="L1296" s="2">
        <v>9169.94</v>
      </c>
      <c r="M1296" t="s">
        <v>4400</v>
      </c>
      <c r="N1296" t="s">
        <v>4400</v>
      </c>
    </row>
    <row r="1297" spans="1:14" x14ac:dyDescent="0.4">
      <c r="A1297" t="s">
        <v>2770</v>
      </c>
      <c r="B1297" t="s">
        <v>2652</v>
      </c>
      <c r="C1297" t="s">
        <v>64</v>
      </c>
      <c r="D1297" t="s">
        <v>2165</v>
      </c>
      <c r="E1297" s="2"/>
      <c r="F1297" s="2"/>
      <c r="G1297" s="2"/>
      <c r="H1297" s="2"/>
      <c r="I1297" s="2">
        <v>866.08999999999992</v>
      </c>
      <c r="J1297" s="2"/>
      <c r="K1297" s="2"/>
      <c r="L1297" s="2">
        <v>866.08999999999992</v>
      </c>
      <c r="M1297" t="s">
        <v>4408</v>
      </c>
      <c r="N1297" t="s">
        <v>4401</v>
      </c>
    </row>
    <row r="1298" spans="1:14" x14ac:dyDescent="0.4">
      <c r="A1298" t="s">
        <v>2771</v>
      </c>
      <c r="B1298" t="s">
        <v>2772</v>
      </c>
      <c r="C1298" t="s">
        <v>447</v>
      </c>
      <c r="D1298" t="s">
        <v>784</v>
      </c>
      <c r="E1298" s="2">
        <v>3827.1</v>
      </c>
      <c r="F1298" s="2">
        <v>3878.87</v>
      </c>
      <c r="G1298" s="2">
        <v>4902.3</v>
      </c>
      <c r="H1298" s="2">
        <v>2861.22</v>
      </c>
      <c r="I1298" s="2">
        <v>4938.7799999999988</v>
      </c>
      <c r="J1298" s="2">
        <v>3881.7599999999993</v>
      </c>
      <c r="K1298" s="2">
        <v>2022.9000000000003</v>
      </c>
      <c r="L1298" s="2">
        <v>26312.929999999993</v>
      </c>
      <c r="M1298" t="s">
        <v>4400</v>
      </c>
      <c r="N1298" t="s">
        <v>4400</v>
      </c>
    </row>
    <row r="1299" spans="1:14" x14ac:dyDescent="0.4">
      <c r="A1299" t="s">
        <v>2773</v>
      </c>
      <c r="B1299" t="s">
        <v>2774</v>
      </c>
      <c r="C1299" t="s">
        <v>64</v>
      </c>
      <c r="D1299" t="s">
        <v>2297</v>
      </c>
      <c r="E1299" s="2">
        <v>23191.680000000015</v>
      </c>
      <c r="F1299" s="2">
        <v>21289.880000000016</v>
      </c>
      <c r="G1299" s="2">
        <v>20673.080000000013</v>
      </c>
      <c r="H1299" s="2">
        <v>19490.880000000019</v>
      </c>
      <c r="I1299" s="2">
        <v>16794.950000000015</v>
      </c>
      <c r="J1299" s="2">
        <v>15476.54000000001</v>
      </c>
      <c r="K1299" s="2">
        <v>7108.619999999999</v>
      </c>
      <c r="L1299" s="2">
        <v>124025.62999999963</v>
      </c>
      <c r="M1299" t="s">
        <v>4400</v>
      </c>
      <c r="N1299" t="s">
        <v>4400</v>
      </c>
    </row>
    <row r="1300" spans="1:14" x14ac:dyDescent="0.4">
      <c r="A1300" t="s">
        <v>2775</v>
      </c>
      <c r="B1300" t="s">
        <v>2410</v>
      </c>
      <c r="C1300" t="s">
        <v>602</v>
      </c>
      <c r="D1300" t="s">
        <v>1638</v>
      </c>
      <c r="E1300" s="2"/>
      <c r="F1300" s="2"/>
      <c r="G1300" s="2"/>
      <c r="H1300" s="2">
        <v>807.96</v>
      </c>
      <c r="I1300" s="2"/>
      <c r="J1300" s="2"/>
      <c r="K1300" s="2"/>
      <c r="L1300" s="2">
        <v>807.96</v>
      </c>
      <c r="M1300" t="s">
        <v>4409</v>
      </c>
      <c r="N1300" t="s">
        <v>4402</v>
      </c>
    </row>
    <row r="1301" spans="1:14" x14ac:dyDescent="0.4">
      <c r="A1301" t="s">
        <v>2776</v>
      </c>
      <c r="B1301" t="s">
        <v>2777</v>
      </c>
      <c r="C1301" t="s">
        <v>64</v>
      </c>
      <c r="D1301" t="s">
        <v>2778</v>
      </c>
      <c r="E1301" s="2">
        <v>3319.91</v>
      </c>
      <c r="F1301" s="2"/>
      <c r="G1301" s="2">
        <v>3912.2</v>
      </c>
      <c r="H1301" s="2">
        <v>2317.56</v>
      </c>
      <c r="I1301" s="2">
        <v>2268.9300000000003</v>
      </c>
      <c r="J1301" s="2">
        <v>3031.3799999999997</v>
      </c>
      <c r="K1301" s="2">
        <v>725.96</v>
      </c>
      <c r="L1301" s="2">
        <v>15575.939999999997</v>
      </c>
      <c r="M1301" t="s">
        <v>4400</v>
      </c>
      <c r="N1301" t="s">
        <v>4400</v>
      </c>
    </row>
    <row r="1302" spans="1:14" x14ac:dyDescent="0.4">
      <c r="A1302" t="s">
        <v>2779</v>
      </c>
      <c r="B1302" t="s">
        <v>2652</v>
      </c>
      <c r="C1302" t="s">
        <v>35</v>
      </c>
      <c r="D1302" t="s">
        <v>36</v>
      </c>
      <c r="E1302" s="2"/>
      <c r="F1302" s="2"/>
      <c r="G1302" s="2"/>
      <c r="H1302" s="2"/>
      <c r="I1302" s="2"/>
      <c r="J1302" s="2">
        <v>830.11</v>
      </c>
      <c r="K1302" s="2"/>
      <c r="L1302" s="2">
        <v>830.11</v>
      </c>
      <c r="M1302" t="s">
        <v>4405</v>
      </c>
      <c r="N1302" t="s">
        <v>4406</v>
      </c>
    </row>
    <row r="1303" spans="1:14" x14ac:dyDescent="0.4">
      <c r="A1303" t="s">
        <v>2780</v>
      </c>
      <c r="B1303" t="s">
        <v>2781</v>
      </c>
      <c r="C1303" t="s">
        <v>423</v>
      </c>
      <c r="D1303" t="s">
        <v>424</v>
      </c>
      <c r="E1303" s="2">
        <v>6105.1600000000026</v>
      </c>
      <c r="F1303" s="2">
        <v>1670.52</v>
      </c>
      <c r="G1303" s="2">
        <v>3401.84</v>
      </c>
      <c r="H1303" s="2">
        <v>3395.7200000000007</v>
      </c>
      <c r="I1303" s="2">
        <v>3389.68</v>
      </c>
      <c r="J1303" s="2">
        <v>947.66</v>
      </c>
      <c r="K1303" s="2"/>
      <c r="L1303" s="2">
        <v>18910.579999999987</v>
      </c>
      <c r="M1303" t="s">
        <v>4400</v>
      </c>
      <c r="N1303" t="s">
        <v>4406</v>
      </c>
    </row>
    <row r="1304" spans="1:14" x14ac:dyDescent="0.4">
      <c r="A1304" t="s">
        <v>2782</v>
      </c>
      <c r="B1304" t="s">
        <v>980</v>
      </c>
      <c r="C1304" t="s">
        <v>60</v>
      </c>
      <c r="D1304" t="s">
        <v>61</v>
      </c>
      <c r="E1304" s="2">
        <v>3903.06</v>
      </c>
      <c r="F1304" s="2">
        <v>2642.56</v>
      </c>
      <c r="G1304" s="2">
        <v>1682.7200000000003</v>
      </c>
      <c r="H1304" s="2"/>
      <c r="I1304" s="2"/>
      <c r="J1304" s="2"/>
      <c r="K1304" s="2"/>
      <c r="L1304" s="2">
        <v>8228.3399999999983</v>
      </c>
      <c r="M1304" t="s">
        <v>4400</v>
      </c>
      <c r="N1304" t="s">
        <v>4403</v>
      </c>
    </row>
    <row r="1305" spans="1:14" x14ac:dyDescent="0.4">
      <c r="A1305" t="s">
        <v>2783</v>
      </c>
      <c r="B1305" t="s">
        <v>2652</v>
      </c>
      <c r="C1305" t="s">
        <v>64</v>
      </c>
      <c r="D1305" t="s">
        <v>2514</v>
      </c>
      <c r="E1305" s="2">
        <v>3145.6799999999989</v>
      </c>
      <c r="F1305" s="2">
        <v>2947.7899999999991</v>
      </c>
      <c r="G1305" s="2">
        <v>3926.9599999999991</v>
      </c>
      <c r="H1305" s="2">
        <v>2341.27</v>
      </c>
      <c r="I1305" s="2">
        <v>3299.8799999999992</v>
      </c>
      <c r="J1305" s="2">
        <v>2965.7799999999993</v>
      </c>
      <c r="K1305" s="2">
        <v>1727.0399999999997</v>
      </c>
      <c r="L1305" s="2">
        <v>20354.400000000034</v>
      </c>
      <c r="M1305" t="s">
        <v>4400</v>
      </c>
      <c r="N1305" t="s">
        <v>4400</v>
      </c>
    </row>
    <row r="1306" spans="1:14" x14ac:dyDescent="0.4">
      <c r="A1306" t="s">
        <v>2784</v>
      </c>
      <c r="B1306" t="s">
        <v>2785</v>
      </c>
      <c r="C1306" t="s">
        <v>64</v>
      </c>
      <c r="D1306" t="s">
        <v>71</v>
      </c>
      <c r="E1306" s="2">
        <v>1858.1099999999997</v>
      </c>
      <c r="F1306" s="2">
        <v>1004.87</v>
      </c>
      <c r="G1306" s="2">
        <v>791.56</v>
      </c>
      <c r="H1306" s="2">
        <v>1076.83</v>
      </c>
      <c r="I1306" s="2">
        <v>1002.3</v>
      </c>
      <c r="J1306" s="2">
        <v>1369.81</v>
      </c>
      <c r="K1306" s="2">
        <v>1066.55</v>
      </c>
      <c r="L1306" s="2">
        <v>8170.0300000000016</v>
      </c>
      <c r="M1306" t="s">
        <v>4400</v>
      </c>
      <c r="N1306" t="s">
        <v>4400</v>
      </c>
    </row>
    <row r="1307" spans="1:14" x14ac:dyDescent="0.4">
      <c r="A1307" t="s">
        <v>2786</v>
      </c>
      <c r="B1307" t="s">
        <v>2787</v>
      </c>
      <c r="C1307" t="s">
        <v>64</v>
      </c>
      <c r="D1307" t="s">
        <v>2312</v>
      </c>
      <c r="E1307" s="2">
        <v>2721.5400000000009</v>
      </c>
      <c r="F1307" s="2">
        <v>6712.71</v>
      </c>
      <c r="G1307" s="2">
        <v>5084.6499999999996</v>
      </c>
      <c r="H1307" s="2">
        <v>3119.4299999999994</v>
      </c>
      <c r="I1307" s="2">
        <v>5518.9999999999991</v>
      </c>
      <c r="J1307" s="2">
        <v>2882.4800000000005</v>
      </c>
      <c r="K1307" s="2">
        <v>929.43999999999983</v>
      </c>
      <c r="L1307" s="2">
        <v>26969.249999999978</v>
      </c>
      <c r="M1307" t="s">
        <v>4400</v>
      </c>
      <c r="N1307" t="s">
        <v>4400</v>
      </c>
    </row>
    <row r="1308" spans="1:14" x14ac:dyDescent="0.4">
      <c r="A1308" t="s">
        <v>2788</v>
      </c>
      <c r="B1308" t="s">
        <v>2789</v>
      </c>
      <c r="C1308" t="s">
        <v>64</v>
      </c>
      <c r="D1308" t="s">
        <v>985</v>
      </c>
      <c r="E1308" s="2">
        <v>905.17</v>
      </c>
      <c r="F1308" s="2"/>
      <c r="G1308" s="2">
        <v>2235.5600000000004</v>
      </c>
      <c r="H1308" s="2">
        <v>1959.15</v>
      </c>
      <c r="I1308" s="2">
        <v>4337.43</v>
      </c>
      <c r="J1308" s="2">
        <v>2770.1</v>
      </c>
      <c r="K1308" s="2">
        <v>3213.5999999999995</v>
      </c>
      <c r="L1308" s="2">
        <v>15421.009999999977</v>
      </c>
      <c r="M1308" t="s">
        <v>4400</v>
      </c>
      <c r="N1308" t="s">
        <v>4400</v>
      </c>
    </row>
    <row r="1309" spans="1:14" x14ac:dyDescent="0.4">
      <c r="A1309" t="s">
        <v>2790</v>
      </c>
      <c r="B1309" t="s">
        <v>2791</v>
      </c>
      <c r="C1309" t="s">
        <v>1</v>
      </c>
      <c r="D1309" t="s">
        <v>88</v>
      </c>
      <c r="E1309" s="2">
        <v>728.99</v>
      </c>
      <c r="F1309" s="2">
        <v>765.43999999999983</v>
      </c>
      <c r="G1309" s="2"/>
      <c r="H1309" s="2"/>
      <c r="I1309" s="2"/>
      <c r="J1309" s="2"/>
      <c r="K1309" s="2"/>
      <c r="L1309" s="2">
        <v>1494.4299999999998</v>
      </c>
      <c r="M1309" t="s">
        <v>4400</v>
      </c>
      <c r="N1309" t="s">
        <v>4410</v>
      </c>
    </row>
    <row r="1310" spans="1:14" x14ac:dyDescent="0.4">
      <c r="A1310" t="s">
        <v>2792</v>
      </c>
      <c r="B1310" t="s">
        <v>2793</v>
      </c>
      <c r="C1310" t="s">
        <v>113</v>
      </c>
      <c r="D1310" t="s">
        <v>805</v>
      </c>
      <c r="E1310" s="2">
        <v>1779.9799999999998</v>
      </c>
      <c r="F1310" s="2">
        <v>1591.6599999999999</v>
      </c>
      <c r="G1310" s="2">
        <v>3086.11</v>
      </c>
      <c r="H1310" s="2">
        <v>1989.5700000000002</v>
      </c>
      <c r="I1310" s="2">
        <v>1919.6999999999998</v>
      </c>
      <c r="J1310" s="2">
        <v>2648.7</v>
      </c>
      <c r="K1310" s="2">
        <v>968.95999999999992</v>
      </c>
      <c r="L1310" s="2">
        <v>13984.679999999993</v>
      </c>
      <c r="M1310" t="s">
        <v>4400</v>
      </c>
      <c r="N1310" t="s">
        <v>4400</v>
      </c>
    </row>
    <row r="1311" spans="1:14" x14ac:dyDescent="0.4">
      <c r="A1311" t="s">
        <v>2794</v>
      </c>
      <c r="B1311" t="s">
        <v>2795</v>
      </c>
      <c r="C1311" t="s">
        <v>5</v>
      </c>
      <c r="D1311" t="s">
        <v>56</v>
      </c>
      <c r="E1311" s="2">
        <v>984.13</v>
      </c>
      <c r="F1311" s="2">
        <v>1807.24</v>
      </c>
      <c r="G1311" s="2">
        <v>4064.0299999999997</v>
      </c>
      <c r="H1311" s="2">
        <v>728.97</v>
      </c>
      <c r="I1311" s="2">
        <v>947.67999999999984</v>
      </c>
      <c r="J1311" s="2">
        <v>3189.2399999999993</v>
      </c>
      <c r="K1311" s="2">
        <v>3420.1299999999997</v>
      </c>
      <c r="L1311" s="2">
        <v>15141.42</v>
      </c>
      <c r="M1311" t="s">
        <v>4400</v>
      </c>
      <c r="N1311" t="s">
        <v>4400</v>
      </c>
    </row>
    <row r="1312" spans="1:14" x14ac:dyDescent="0.4">
      <c r="A1312" t="s">
        <v>2796</v>
      </c>
      <c r="B1312" t="s">
        <v>2652</v>
      </c>
      <c r="C1312" t="s">
        <v>35</v>
      </c>
      <c r="D1312" t="s">
        <v>1921</v>
      </c>
      <c r="E1312" s="2">
        <v>2325.8500000000004</v>
      </c>
      <c r="F1312" s="2">
        <v>1583.1200000000001</v>
      </c>
      <c r="G1312" s="2">
        <v>1472.6100000000001</v>
      </c>
      <c r="H1312" s="2">
        <v>2251.3200000000002</v>
      </c>
      <c r="I1312" s="2">
        <v>745.29999999999984</v>
      </c>
      <c r="J1312" s="2">
        <v>791.55999999999983</v>
      </c>
      <c r="K1312" s="2">
        <v>760.71999999999991</v>
      </c>
      <c r="L1312" s="2">
        <v>9930.480000000005</v>
      </c>
      <c r="M1312" t="s">
        <v>4400</v>
      </c>
      <c r="N1312" t="s">
        <v>4400</v>
      </c>
    </row>
    <row r="1313" spans="1:14" x14ac:dyDescent="0.4">
      <c r="A1313" t="s">
        <v>2797</v>
      </c>
      <c r="B1313" t="s">
        <v>2680</v>
      </c>
      <c r="C1313" t="s">
        <v>64</v>
      </c>
      <c r="D1313" t="s">
        <v>2165</v>
      </c>
      <c r="E1313" s="2">
        <v>4674.579999999999</v>
      </c>
      <c r="F1313" s="2">
        <v>4121.78</v>
      </c>
      <c r="G1313" s="2">
        <v>3465.67</v>
      </c>
      <c r="H1313" s="2">
        <v>3739.0699999999997</v>
      </c>
      <c r="I1313" s="2">
        <v>4419.4299999999994</v>
      </c>
      <c r="J1313" s="2">
        <v>2934.1599999999994</v>
      </c>
      <c r="K1313" s="2">
        <v>935.52</v>
      </c>
      <c r="L1313" s="2">
        <v>24290.209999999985</v>
      </c>
      <c r="M1313" t="s">
        <v>4400</v>
      </c>
      <c r="N1313" t="s">
        <v>4400</v>
      </c>
    </row>
    <row r="1314" spans="1:14" x14ac:dyDescent="0.4">
      <c r="A1314" t="s">
        <v>2798</v>
      </c>
      <c r="B1314" t="s">
        <v>2652</v>
      </c>
      <c r="C1314" t="s">
        <v>103</v>
      </c>
      <c r="D1314" t="s">
        <v>104</v>
      </c>
      <c r="E1314" s="2">
        <v>935.48</v>
      </c>
      <c r="F1314" s="2"/>
      <c r="G1314" s="2">
        <v>1827.2699999999995</v>
      </c>
      <c r="H1314" s="2">
        <v>850.67</v>
      </c>
      <c r="I1314" s="2"/>
      <c r="J1314" s="2">
        <v>714.45999999999992</v>
      </c>
      <c r="K1314" s="2">
        <v>920.05999999999983</v>
      </c>
      <c r="L1314" s="2">
        <v>5247.9400000000041</v>
      </c>
      <c r="M1314" t="s">
        <v>4400</v>
      </c>
      <c r="N1314" t="s">
        <v>4400</v>
      </c>
    </row>
    <row r="1315" spans="1:14" x14ac:dyDescent="0.4">
      <c r="A1315" t="s">
        <v>2799</v>
      </c>
      <c r="B1315" t="s">
        <v>2800</v>
      </c>
      <c r="C1315" t="s">
        <v>64</v>
      </c>
      <c r="D1315" t="s">
        <v>2312</v>
      </c>
      <c r="E1315" s="2">
        <v>5946.98</v>
      </c>
      <c r="F1315" s="2">
        <v>3839.5799999999995</v>
      </c>
      <c r="G1315" s="2">
        <v>3438.6599999999985</v>
      </c>
      <c r="H1315" s="2">
        <v>3500.3399999999988</v>
      </c>
      <c r="I1315" s="2">
        <v>4921.5499999999984</v>
      </c>
      <c r="J1315" s="2">
        <v>2587.9899999999998</v>
      </c>
      <c r="K1315" s="2">
        <v>1819.56</v>
      </c>
      <c r="L1315" s="2">
        <v>26054.660000000007</v>
      </c>
      <c r="M1315" t="s">
        <v>4400</v>
      </c>
      <c r="N1315" t="s">
        <v>4400</v>
      </c>
    </row>
    <row r="1316" spans="1:14" x14ac:dyDescent="0.4">
      <c r="A1316" t="s">
        <v>2801</v>
      </c>
      <c r="B1316" t="s">
        <v>2802</v>
      </c>
      <c r="C1316" t="s">
        <v>91</v>
      </c>
      <c r="D1316" t="s">
        <v>1885</v>
      </c>
      <c r="E1316" s="2">
        <v>744.16</v>
      </c>
      <c r="F1316" s="2">
        <v>804.91</v>
      </c>
      <c r="G1316" s="2"/>
      <c r="H1316" s="2">
        <v>774.55</v>
      </c>
      <c r="I1316" s="2"/>
      <c r="J1316" s="2"/>
      <c r="K1316" s="2"/>
      <c r="L1316" s="2">
        <v>2323.6199999999994</v>
      </c>
      <c r="M1316" t="s">
        <v>4400</v>
      </c>
      <c r="N1316" t="s">
        <v>4402</v>
      </c>
    </row>
    <row r="1317" spans="1:14" x14ac:dyDescent="0.4">
      <c r="A1317" t="s">
        <v>2803</v>
      </c>
      <c r="B1317" t="s">
        <v>2804</v>
      </c>
      <c r="C1317" t="s">
        <v>78</v>
      </c>
      <c r="D1317" t="s">
        <v>768</v>
      </c>
      <c r="E1317" s="2"/>
      <c r="F1317" s="2"/>
      <c r="G1317" s="2"/>
      <c r="H1317" s="2">
        <v>896.05</v>
      </c>
      <c r="I1317" s="2">
        <v>1880.2100000000003</v>
      </c>
      <c r="J1317" s="2">
        <v>1047.94</v>
      </c>
      <c r="K1317" s="2">
        <v>874.8</v>
      </c>
      <c r="L1317" s="2">
        <v>4698.9999999999991</v>
      </c>
      <c r="M1317" t="s">
        <v>4409</v>
      </c>
      <c r="N1317" t="s">
        <v>4400</v>
      </c>
    </row>
    <row r="1318" spans="1:14" x14ac:dyDescent="0.4">
      <c r="A1318" t="s">
        <v>2805</v>
      </c>
      <c r="B1318" t="s">
        <v>2806</v>
      </c>
      <c r="C1318" t="s">
        <v>78</v>
      </c>
      <c r="D1318" t="s">
        <v>1240</v>
      </c>
      <c r="E1318" s="2">
        <v>2796.16</v>
      </c>
      <c r="F1318" s="2">
        <v>1963.48</v>
      </c>
      <c r="G1318" s="2">
        <v>2091.98</v>
      </c>
      <c r="H1318" s="2"/>
      <c r="I1318" s="2">
        <v>2169.08</v>
      </c>
      <c r="J1318" s="2">
        <v>2950.3599999999992</v>
      </c>
      <c r="K1318" s="2">
        <v>1696.2000000000003</v>
      </c>
      <c r="L1318" s="2">
        <v>13667.260000000013</v>
      </c>
      <c r="M1318" t="s">
        <v>4400</v>
      </c>
      <c r="N1318" t="s">
        <v>4400</v>
      </c>
    </row>
    <row r="1319" spans="1:14" x14ac:dyDescent="0.4">
      <c r="A1319" t="s">
        <v>2807</v>
      </c>
      <c r="B1319" t="s">
        <v>2808</v>
      </c>
      <c r="C1319" t="s">
        <v>178</v>
      </c>
      <c r="D1319" t="s">
        <v>558</v>
      </c>
      <c r="E1319" s="2"/>
      <c r="F1319" s="2">
        <v>1737.3200000000002</v>
      </c>
      <c r="G1319" s="2"/>
      <c r="H1319" s="2"/>
      <c r="I1319" s="2">
        <v>904.63999999999987</v>
      </c>
      <c r="J1319" s="2">
        <v>2127.9600000000005</v>
      </c>
      <c r="K1319" s="2"/>
      <c r="L1319" s="2">
        <v>4769.920000000001</v>
      </c>
      <c r="M1319" t="s">
        <v>4412</v>
      </c>
      <c r="N1319" t="s">
        <v>4406</v>
      </c>
    </row>
    <row r="1320" spans="1:14" x14ac:dyDescent="0.4">
      <c r="A1320" t="s">
        <v>2809</v>
      </c>
      <c r="B1320" t="s">
        <v>2810</v>
      </c>
      <c r="C1320" t="s">
        <v>163</v>
      </c>
      <c r="D1320" t="s">
        <v>2811</v>
      </c>
      <c r="E1320" s="2"/>
      <c r="F1320" s="2">
        <v>735.02</v>
      </c>
      <c r="G1320" s="2"/>
      <c r="H1320" s="2"/>
      <c r="I1320" s="2"/>
      <c r="J1320" s="2"/>
      <c r="K1320" s="2"/>
      <c r="L1320" s="2">
        <v>735.02</v>
      </c>
      <c r="M1320" t="s">
        <v>4412</v>
      </c>
      <c r="N1320" t="s">
        <v>4410</v>
      </c>
    </row>
    <row r="1321" spans="1:14" x14ac:dyDescent="0.4">
      <c r="A1321" t="s">
        <v>2812</v>
      </c>
      <c r="B1321" t="s">
        <v>2813</v>
      </c>
      <c r="C1321" t="s">
        <v>123</v>
      </c>
      <c r="D1321" t="s">
        <v>124</v>
      </c>
      <c r="E1321" s="2">
        <v>996.31000000000006</v>
      </c>
      <c r="F1321" s="2"/>
      <c r="G1321" s="2"/>
      <c r="H1321" s="2"/>
      <c r="I1321" s="2"/>
      <c r="J1321" s="2"/>
      <c r="K1321" s="2"/>
      <c r="L1321" s="2">
        <v>996.31000000000006</v>
      </c>
      <c r="M1321" t="s">
        <v>4400</v>
      </c>
      <c r="N1321" t="s">
        <v>4407</v>
      </c>
    </row>
    <row r="1322" spans="1:14" x14ac:dyDescent="0.4">
      <c r="A1322" t="s">
        <v>2814</v>
      </c>
      <c r="B1322" t="s">
        <v>2815</v>
      </c>
      <c r="C1322" t="s">
        <v>163</v>
      </c>
      <c r="D1322" t="s">
        <v>164</v>
      </c>
      <c r="E1322" s="2">
        <v>810.9699999999998</v>
      </c>
      <c r="F1322" s="2"/>
      <c r="G1322" s="2"/>
      <c r="H1322" s="2"/>
      <c r="I1322" s="2"/>
      <c r="J1322" s="2"/>
      <c r="K1322" s="2">
        <v>732.01</v>
      </c>
      <c r="L1322" s="2">
        <v>1542.9799999999996</v>
      </c>
      <c r="M1322" t="s">
        <v>4400</v>
      </c>
      <c r="N1322" t="s">
        <v>4400</v>
      </c>
    </row>
    <row r="1323" spans="1:14" x14ac:dyDescent="0.4">
      <c r="A1323" t="s">
        <v>2816</v>
      </c>
      <c r="B1323" t="s">
        <v>2817</v>
      </c>
      <c r="C1323" t="s">
        <v>78</v>
      </c>
      <c r="D1323" t="s">
        <v>1553</v>
      </c>
      <c r="E1323" s="2"/>
      <c r="F1323" s="2"/>
      <c r="G1323" s="2"/>
      <c r="H1323" s="2"/>
      <c r="I1323" s="2">
        <v>801.90000000000009</v>
      </c>
      <c r="J1323" s="2">
        <v>768.48</v>
      </c>
      <c r="K1323" s="2"/>
      <c r="L1323" s="2">
        <v>1570.3800000000003</v>
      </c>
      <c r="M1323" t="s">
        <v>4408</v>
      </c>
      <c r="N1323" t="s">
        <v>4406</v>
      </c>
    </row>
    <row r="1324" spans="1:14" x14ac:dyDescent="0.4">
      <c r="A1324" t="s">
        <v>2818</v>
      </c>
      <c r="B1324" t="s">
        <v>2819</v>
      </c>
      <c r="C1324" t="s">
        <v>103</v>
      </c>
      <c r="D1324" t="s">
        <v>1619</v>
      </c>
      <c r="E1324" s="2">
        <v>927.77</v>
      </c>
      <c r="F1324" s="2"/>
      <c r="G1324" s="2"/>
      <c r="H1324" s="2"/>
      <c r="I1324" s="2"/>
      <c r="J1324" s="2">
        <v>717.03</v>
      </c>
      <c r="K1324" s="2">
        <v>1444.34</v>
      </c>
      <c r="L1324" s="2">
        <v>3089.1399999999994</v>
      </c>
      <c r="M1324" t="s">
        <v>4400</v>
      </c>
      <c r="N1324" t="s">
        <v>4400</v>
      </c>
    </row>
    <row r="1325" spans="1:14" x14ac:dyDescent="0.4">
      <c r="A1325" t="s">
        <v>2820</v>
      </c>
      <c r="B1325" t="s">
        <v>2652</v>
      </c>
      <c r="C1325" t="s">
        <v>64</v>
      </c>
      <c r="D1325" t="s">
        <v>1427</v>
      </c>
      <c r="E1325" s="2"/>
      <c r="F1325" s="2"/>
      <c r="G1325" s="2"/>
      <c r="H1325" s="2">
        <v>822.4</v>
      </c>
      <c r="I1325" s="2"/>
      <c r="J1325" s="2"/>
      <c r="K1325" s="2">
        <v>858.38</v>
      </c>
      <c r="L1325" s="2">
        <v>1680.78</v>
      </c>
      <c r="M1325" t="s">
        <v>4409</v>
      </c>
      <c r="N1325" t="s">
        <v>4400</v>
      </c>
    </row>
    <row r="1326" spans="1:14" x14ac:dyDescent="0.4">
      <c r="A1326" t="s">
        <v>2821</v>
      </c>
      <c r="B1326" t="s">
        <v>2822</v>
      </c>
      <c r="C1326" t="s">
        <v>64</v>
      </c>
      <c r="D1326" t="s">
        <v>2672</v>
      </c>
      <c r="E1326" s="2">
        <v>2946.2</v>
      </c>
      <c r="F1326" s="2">
        <v>4039.7</v>
      </c>
      <c r="G1326" s="2">
        <v>7031.5</v>
      </c>
      <c r="H1326" s="2">
        <v>7957.9</v>
      </c>
      <c r="I1326" s="2">
        <v>7168.3000000000011</v>
      </c>
      <c r="J1326" s="2">
        <v>5072.2999999999993</v>
      </c>
      <c r="K1326" s="2">
        <v>6422.4299999999985</v>
      </c>
      <c r="L1326" s="2">
        <v>40638.32999999998</v>
      </c>
      <c r="M1326" t="s">
        <v>4400</v>
      </c>
      <c r="N1326" t="s">
        <v>4400</v>
      </c>
    </row>
    <row r="1327" spans="1:14" x14ac:dyDescent="0.4">
      <c r="A1327" t="s">
        <v>2823</v>
      </c>
      <c r="B1327" t="s">
        <v>2824</v>
      </c>
      <c r="C1327" t="s">
        <v>5</v>
      </c>
      <c r="D1327" t="s">
        <v>56</v>
      </c>
      <c r="E1327" s="2">
        <v>2624.2200000000003</v>
      </c>
      <c r="F1327" s="2">
        <v>2873.3199999999997</v>
      </c>
      <c r="G1327" s="2">
        <v>2697.12</v>
      </c>
      <c r="H1327" s="2">
        <v>2323.46</v>
      </c>
      <c r="I1327" s="2">
        <v>1640.2</v>
      </c>
      <c r="J1327" s="2">
        <v>1099.49</v>
      </c>
      <c r="K1327" s="2">
        <v>2110.92</v>
      </c>
      <c r="L1327" s="2">
        <v>15368.729999999992</v>
      </c>
      <c r="M1327" t="s">
        <v>4400</v>
      </c>
      <c r="N1327" t="s">
        <v>4400</v>
      </c>
    </row>
    <row r="1328" spans="1:14" x14ac:dyDescent="0.4">
      <c r="A1328" t="s">
        <v>2825</v>
      </c>
      <c r="B1328" t="s">
        <v>70</v>
      </c>
      <c r="C1328" t="s">
        <v>64</v>
      </c>
      <c r="D1328" t="s">
        <v>2826</v>
      </c>
      <c r="E1328" s="2">
        <v>729.88</v>
      </c>
      <c r="F1328" s="2">
        <v>717.03</v>
      </c>
      <c r="G1328" s="2">
        <v>732.45</v>
      </c>
      <c r="H1328" s="2">
        <v>819.82999999999993</v>
      </c>
      <c r="I1328" s="2">
        <v>806.98</v>
      </c>
      <c r="J1328" s="2"/>
      <c r="K1328" s="2"/>
      <c r="L1328" s="2">
        <v>3806.170000000001</v>
      </c>
      <c r="M1328" t="s">
        <v>4400</v>
      </c>
      <c r="N1328" t="s">
        <v>4401</v>
      </c>
    </row>
    <row r="1329" spans="1:14" x14ac:dyDescent="0.4">
      <c r="A1329" t="s">
        <v>2827</v>
      </c>
      <c r="B1329" t="s">
        <v>2652</v>
      </c>
      <c r="C1329" t="s">
        <v>64</v>
      </c>
      <c r="D1329" t="s">
        <v>2312</v>
      </c>
      <c r="E1329" s="2">
        <v>3269.04</v>
      </c>
      <c r="F1329" s="2">
        <v>881.50999999999988</v>
      </c>
      <c r="G1329" s="2">
        <v>3328.1499999999987</v>
      </c>
      <c r="H1329" s="2">
        <v>2711.349999999999</v>
      </c>
      <c r="I1329" s="2">
        <v>994.58999999999992</v>
      </c>
      <c r="J1329" s="2">
        <v>3379.5499999999988</v>
      </c>
      <c r="K1329" s="2">
        <v>1482.8899999999996</v>
      </c>
      <c r="L1329" s="2">
        <v>16047.080000000033</v>
      </c>
      <c r="M1329" t="s">
        <v>4400</v>
      </c>
      <c r="N1329" t="s">
        <v>4400</v>
      </c>
    </row>
    <row r="1330" spans="1:14" x14ac:dyDescent="0.4">
      <c r="A1330" t="s">
        <v>2828</v>
      </c>
      <c r="B1330" t="s">
        <v>2829</v>
      </c>
      <c r="C1330" t="s">
        <v>64</v>
      </c>
      <c r="D1330" t="s">
        <v>645</v>
      </c>
      <c r="E1330" s="2"/>
      <c r="F1330" s="2"/>
      <c r="G1330" s="2"/>
      <c r="H1330" s="2">
        <v>1439.1999999999998</v>
      </c>
      <c r="I1330" s="2">
        <v>2811.58</v>
      </c>
      <c r="J1330" s="2">
        <v>1254.1599999999999</v>
      </c>
      <c r="K1330" s="2"/>
      <c r="L1330" s="2">
        <v>5504.9399999999987</v>
      </c>
      <c r="M1330" t="s">
        <v>4409</v>
      </c>
      <c r="N1330" t="s">
        <v>4406</v>
      </c>
    </row>
    <row r="1331" spans="1:14" x14ac:dyDescent="0.4">
      <c r="A1331" t="s">
        <v>2830</v>
      </c>
      <c r="B1331" t="s">
        <v>2831</v>
      </c>
      <c r="C1331" t="s">
        <v>199</v>
      </c>
      <c r="D1331" t="s">
        <v>217</v>
      </c>
      <c r="E1331" s="2">
        <v>1986.4799999999998</v>
      </c>
      <c r="F1331" s="2">
        <v>2445.1299999999997</v>
      </c>
      <c r="G1331" s="2">
        <v>2120.09</v>
      </c>
      <c r="H1331" s="2">
        <v>1697.95</v>
      </c>
      <c r="I1331" s="2">
        <v>725.96</v>
      </c>
      <c r="J1331" s="2">
        <v>1464.0499999999997</v>
      </c>
      <c r="K1331" s="2"/>
      <c r="L1331" s="2">
        <v>10439.659999999998</v>
      </c>
      <c r="M1331" t="s">
        <v>4400</v>
      </c>
      <c r="N1331" t="s">
        <v>4406</v>
      </c>
    </row>
    <row r="1332" spans="1:14" x14ac:dyDescent="0.4">
      <c r="A1332" t="s">
        <v>2832</v>
      </c>
      <c r="B1332" t="s">
        <v>2833</v>
      </c>
      <c r="C1332" t="s">
        <v>1</v>
      </c>
      <c r="D1332" t="s">
        <v>88</v>
      </c>
      <c r="E1332" s="2">
        <v>853.24</v>
      </c>
      <c r="F1332" s="2">
        <v>2719.0599999999995</v>
      </c>
      <c r="G1332" s="2">
        <v>4073.4499999999989</v>
      </c>
      <c r="H1332" s="2">
        <v>2446.6400000000003</v>
      </c>
      <c r="I1332" s="2">
        <v>3070.1099999999997</v>
      </c>
      <c r="J1332" s="2">
        <v>1912.14</v>
      </c>
      <c r="K1332" s="2">
        <v>1033.1399999999999</v>
      </c>
      <c r="L1332" s="2">
        <v>16107.78</v>
      </c>
      <c r="M1332" t="s">
        <v>4400</v>
      </c>
      <c r="N1332" t="s">
        <v>4400</v>
      </c>
    </row>
    <row r="1333" spans="1:14" x14ac:dyDescent="0.4">
      <c r="A1333" t="s">
        <v>2834</v>
      </c>
      <c r="B1333" t="s">
        <v>2819</v>
      </c>
      <c r="C1333" t="s">
        <v>64</v>
      </c>
      <c r="D1333" t="s">
        <v>74</v>
      </c>
      <c r="E1333" s="2">
        <v>2266.7400000000002</v>
      </c>
      <c r="F1333" s="2">
        <v>776.14</v>
      </c>
      <c r="G1333" s="2">
        <v>858.38</v>
      </c>
      <c r="H1333" s="2">
        <v>912.34999999999991</v>
      </c>
      <c r="I1333" s="2">
        <v>994.58999999999992</v>
      </c>
      <c r="J1333" s="2">
        <v>1033.1399999999999</v>
      </c>
      <c r="K1333" s="2">
        <v>771</v>
      </c>
      <c r="L1333" s="2">
        <v>7612.34</v>
      </c>
      <c r="M1333" t="s">
        <v>4400</v>
      </c>
      <c r="N1333" t="s">
        <v>4400</v>
      </c>
    </row>
    <row r="1334" spans="1:14" x14ac:dyDescent="0.4">
      <c r="A1334" t="s">
        <v>2835</v>
      </c>
      <c r="B1334" t="s">
        <v>2836</v>
      </c>
      <c r="C1334" t="s">
        <v>64</v>
      </c>
      <c r="D1334" t="s">
        <v>2312</v>
      </c>
      <c r="E1334" s="2"/>
      <c r="F1334" s="2"/>
      <c r="G1334" s="2"/>
      <c r="H1334" s="2"/>
      <c r="I1334" s="2"/>
      <c r="J1334" s="2"/>
      <c r="K1334" s="2">
        <v>837.81999999999994</v>
      </c>
      <c r="L1334" s="2">
        <v>837.81999999999994</v>
      </c>
      <c r="M1334" t="s">
        <v>4404</v>
      </c>
      <c r="N1334" t="s">
        <v>4400</v>
      </c>
    </row>
    <row r="1335" spans="1:14" x14ac:dyDescent="0.4">
      <c r="A1335" t="s">
        <v>2837</v>
      </c>
      <c r="B1335" t="s">
        <v>2838</v>
      </c>
      <c r="C1335" t="s">
        <v>113</v>
      </c>
      <c r="D1335" t="s">
        <v>120</v>
      </c>
      <c r="E1335" s="2">
        <v>3587.7199999999993</v>
      </c>
      <c r="F1335" s="2">
        <v>3708.5099999999998</v>
      </c>
      <c r="G1335" s="2">
        <v>1909.51</v>
      </c>
      <c r="H1335" s="2"/>
      <c r="I1335" s="2"/>
      <c r="J1335" s="2"/>
      <c r="K1335" s="2"/>
      <c r="L1335" s="2">
        <v>9205.7400000000016</v>
      </c>
      <c r="M1335" t="s">
        <v>4400</v>
      </c>
      <c r="N1335" t="s">
        <v>4403</v>
      </c>
    </row>
    <row r="1336" spans="1:14" x14ac:dyDescent="0.4">
      <c r="A1336" t="s">
        <v>2839</v>
      </c>
      <c r="B1336" t="s">
        <v>2840</v>
      </c>
      <c r="C1336" t="s">
        <v>35</v>
      </c>
      <c r="D1336" t="s">
        <v>1702</v>
      </c>
      <c r="E1336" s="2"/>
      <c r="F1336" s="2"/>
      <c r="G1336" s="2">
        <v>768.4699999999998</v>
      </c>
      <c r="H1336" s="2"/>
      <c r="I1336" s="2"/>
      <c r="J1336" s="2"/>
      <c r="K1336" s="2"/>
      <c r="L1336" s="2">
        <v>768.4699999999998</v>
      </c>
      <c r="M1336" t="s">
        <v>4411</v>
      </c>
      <c r="N1336" t="s">
        <v>4403</v>
      </c>
    </row>
    <row r="1337" spans="1:14" x14ac:dyDescent="0.4">
      <c r="A1337" t="s">
        <v>2841</v>
      </c>
      <c r="B1337" t="s">
        <v>2842</v>
      </c>
      <c r="C1337" t="s">
        <v>103</v>
      </c>
      <c r="D1337" t="s">
        <v>104</v>
      </c>
      <c r="E1337" s="2">
        <v>2436.02</v>
      </c>
      <c r="F1337" s="2">
        <v>820.11</v>
      </c>
      <c r="G1337" s="2">
        <v>926.41</v>
      </c>
      <c r="H1337" s="2"/>
      <c r="I1337" s="2"/>
      <c r="J1337" s="2">
        <v>899.08999999999992</v>
      </c>
      <c r="K1337" s="2">
        <v>1084.3599999999999</v>
      </c>
      <c r="L1337" s="2">
        <v>6165.9900000000007</v>
      </c>
      <c r="M1337" t="s">
        <v>4400</v>
      </c>
      <c r="N1337" t="s">
        <v>4400</v>
      </c>
    </row>
    <row r="1338" spans="1:14" x14ac:dyDescent="0.4">
      <c r="A1338" t="s">
        <v>2843</v>
      </c>
      <c r="B1338" t="s">
        <v>2833</v>
      </c>
      <c r="C1338" t="s">
        <v>64</v>
      </c>
      <c r="D1338" t="s">
        <v>2514</v>
      </c>
      <c r="E1338" s="2">
        <v>2428.65</v>
      </c>
      <c r="F1338" s="2">
        <v>2428.65</v>
      </c>
      <c r="G1338" s="2">
        <v>2994.0499999999997</v>
      </c>
      <c r="H1338" s="2">
        <v>2767.89</v>
      </c>
      <c r="I1338" s="2"/>
      <c r="J1338" s="2"/>
      <c r="K1338" s="2"/>
      <c r="L1338" s="2">
        <v>10619.240000000002</v>
      </c>
      <c r="M1338" t="s">
        <v>4400</v>
      </c>
      <c r="N1338" t="s">
        <v>4402</v>
      </c>
    </row>
    <row r="1339" spans="1:14" x14ac:dyDescent="0.4">
      <c r="A1339" t="s">
        <v>2844</v>
      </c>
      <c r="B1339" t="s">
        <v>2764</v>
      </c>
      <c r="C1339" t="s">
        <v>178</v>
      </c>
      <c r="D1339" t="s">
        <v>179</v>
      </c>
      <c r="E1339" s="2">
        <v>2241.6200000000003</v>
      </c>
      <c r="F1339" s="2">
        <v>2332.7400000000002</v>
      </c>
      <c r="G1339" s="2">
        <v>1406.3200000000002</v>
      </c>
      <c r="H1339" s="2">
        <v>2275.0100000000002</v>
      </c>
      <c r="I1339" s="2">
        <v>1136</v>
      </c>
      <c r="J1339" s="2">
        <v>1764.74</v>
      </c>
      <c r="K1339" s="2">
        <v>923.37999999999988</v>
      </c>
      <c r="L1339" s="2">
        <v>12079.81</v>
      </c>
      <c r="M1339" t="s">
        <v>4400</v>
      </c>
      <c r="N1339" t="s">
        <v>4400</v>
      </c>
    </row>
    <row r="1340" spans="1:14" x14ac:dyDescent="0.4">
      <c r="A1340" t="s">
        <v>2845</v>
      </c>
      <c r="B1340" t="s">
        <v>2652</v>
      </c>
      <c r="C1340" t="s">
        <v>64</v>
      </c>
      <c r="D1340" t="s">
        <v>2684</v>
      </c>
      <c r="E1340" s="2">
        <v>866.0899999999998</v>
      </c>
      <c r="F1340" s="2"/>
      <c r="G1340" s="2"/>
      <c r="H1340" s="2">
        <v>925.1999999999997</v>
      </c>
      <c r="I1340" s="2">
        <v>2079.1299999999997</v>
      </c>
      <c r="J1340" s="2">
        <v>1069.1199999999999</v>
      </c>
      <c r="K1340" s="2"/>
      <c r="L1340" s="2">
        <v>4939.5400000000009</v>
      </c>
      <c r="M1340" t="s">
        <v>4400</v>
      </c>
      <c r="N1340" t="s">
        <v>4406</v>
      </c>
    </row>
    <row r="1341" spans="1:14" x14ac:dyDescent="0.4">
      <c r="A1341" t="s">
        <v>2846</v>
      </c>
      <c r="B1341" t="s">
        <v>2847</v>
      </c>
      <c r="C1341" t="s">
        <v>64</v>
      </c>
      <c r="D1341" t="s">
        <v>2514</v>
      </c>
      <c r="E1341" s="2">
        <v>4650.2199999999993</v>
      </c>
      <c r="F1341" s="2">
        <v>4525.7</v>
      </c>
      <c r="G1341" s="2">
        <v>3462.6000000000008</v>
      </c>
      <c r="H1341" s="2">
        <v>3265.21</v>
      </c>
      <c r="I1341" s="2">
        <v>4121.68</v>
      </c>
      <c r="J1341" s="2">
        <v>2909.8</v>
      </c>
      <c r="K1341" s="2">
        <v>832.24</v>
      </c>
      <c r="L1341" s="2">
        <v>23767.449999999968</v>
      </c>
      <c r="M1341" t="s">
        <v>4400</v>
      </c>
      <c r="N1341" t="s">
        <v>4400</v>
      </c>
    </row>
    <row r="1342" spans="1:14" x14ac:dyDescent="0.4">
      <c r="A1342" t="s">
        <v>2848</v>
      </c>
      <c r="B1342" t="s">
        <v>2652</v>
      </c>
      <c r="C1342" t="s">
        <v>91</v>
      </c>
      <c r="D1342" t="s">
        <v>1885</v>
      </c>
      <c r="E1342" s="2">
        <v>2279.5899999999997</v>
      </c>
      <c r="F1342" s="2">
        <v>2225.6199999999994</v>
      </c>
      <c r="G1342" s="2">
        <v>2189.6400000000003</v>
      </c>
      <c r="H1342" s="2">
        <v>1464.8999999999996</v>
      </c>
      <c r="I1342" s="2">
        <v>2284.7300000000005</v>
      </c>
      <c r="J1342" s="2">
        <v>2215.34</v>
      </c>
      <c r="K1342" s="2">
        <v>740.16</v>
      </c>
      <c r="L1342" s="2">
        <v>13399.980000000009</v>
      </c>
      <c r="M1342" t="s">
        <v>4400</v>
      </c>
      <c r="N1342" t="s">
        <v>4400</v>
      </c>
    </row>
    <row r="1343" spans="1:14" x14ac:dyDescent="0.4">
      <c r="A1343" t="s">
        <v>2849</v>
      </c>
      <c r="B1343" t="s">
        <v>70</v>
      </c>
      <c r="C1343" t="s">
        <v>64</v>
      </c>
      <c r="D1343" t="s">
        <v>2850</v>
      </c>
      <c r="E1343" s="2">
        <v>1256.73</v>
      </c>
      <c r="F1343" s="2">
        <v>1274.7199999999996</v>
      </c>
      <c r="G1343" s="2">
        <v>1164.21</v>
      </c>
      <c r="H1343" s="2">
        <v>3148.2499999999991</v>
      </c>
      <c r="I1343" s="2">
        <v>3356.4199999999996</v>
      </c>
      <c r="J1343" s="2">
        <v>3030.0299999999993</v>
      </c>
      <c r="K1343" s="2"/>
      <c r="L1343" s="2">
        <v>13230.360000000006</v>
      </c>
      <c r="M1343" t="s">
        <v>4400</v>
      </c>
      <c r="N1343" t="s">
        <v>4406</v>
      </c>
    </row>
    <row r="1344" spans="1:14" x14ac:dyDescent="0.4">
      <c r="A1344" t="s">
        <v>2851</v>
      </c>
      <c r="B1344" t="s">
        <v>2852</v>
      </c>
      <c r="C1344" t="s">
        <v>64</v>
      </c>
      <c r="D1344" t="s">
        <v>2850</v>
      </c>
      <c r="E1344" s="2">
        <v>774.55000000000007</v>
      </c>
      <c r="F1344" s="2"/>
      <c r="G1344" s="2"/>
      <c r="H1344" s="2"/>
      <c r="I1344" s="2"/>
      <c r="J1344" s="2"/>
      <c r="K1344" s="2"/>
      <c r="L1344" s="2">
        <v>774.55000000000007</v>
      </c>
      <c r="M1344" t="s">
        <v>4400</v>
      </c>
      <c r="N1344" t="s">
        <v>4407</v>
      </c>
    </row>
    <row r="1345" spans="1:14" x14ac:dyDescent="0.4">
      <c r="A1345" t="s">
        <v>2853</v>
      </c>
      <c r="B1345" t="s">
        <v>2652</v>
      </c>
      <c r="C1345" t="s">
        <v>696</v>
      </c>
      <c r="D1345" t="s">
        <v>697</v>
      </c>
      <c r="E1345" s="2">
        <v>732.44999999999993</v>
      </c>
      <c r="F1345" s="2"/>
      <c r="G1345" s="2"/>
      <c r="H1345" s="2"/>
      <c r="I1345" s="2"/>
      <c r="J1345" s="2"/>
      <c r="K1345" s="2"/>
      <c r="L1345" s="2">
        <v>732.44999999999993</v>
      </c>
      <c r="M1345" t="s">
        <v>4400</v>
      </c>
      <c r="N1345" t="s">
        <v>4407</v>
      </c>
    </row>
    <row r="1346" spans="1:14" x14ac:dyDescent="0.4">
      <c r="A1346" t="s">
        <v>2854</v>
      </c>
      <c r="B1346" t="s">
        <v>2855</v>
      </c>
      <c r="C1346" t="s">
        <v>5</v>
      </c>
      <c r="D1346" t="s">
        <v>56</v>
      </c>
      <c r="E1346" s="2">
        <v>1527.8299999999997</v>
      </c>
      <c r="F1346" s="2"/>
      <c r="G1346" s="2"/>
      <c r="H1346" s="2"/>
      <c r="I1346" s="2"/>
      <c r="J1346" s="2">
        <v>804.91</v>
      </c>
      <c r="K1346" s="2">
        <v>1527.82</v>
      </c>
      <c r="L1346" s="2">
        <v>3860.5599999999986</v>
      </c>
      <c r="M1346" t="s">
        <v>4400</v>
      </c>
      <c r="N1346" t="s">
        <v>4400</v>
      </c>
    </row>
    <row r="1347" spans="1:14" x14ac:dyDescent="0.4">
      <c r="A1347" t="s">
        <v>2856</v>
      </c>
      <c r="B1347" t="s">
        <v>2857</v>
      </c>
      <c r="C1347" t="s">
        <v>78</v>
      </c>
      <c r="D1347" t="s">
        <v>907</v>
      </c>
      <c r="E1347" s="2">
        <v>3602.3799999999997</v>
      </c>
      <c r="F1347" s="2">
        <v>3265.2299999999991</v>
      </c>
      <c r="G1347" s="2">
        <v>3377.6</v>
      </c>
      <c r="H1347" s="2">
        <v>1707</v>
      </c>
      <c r="I1347" s="2">
        <v>4923.6099999999997</v>
      </c>
      <c r="J1347" s="2">
        <v>2496.7600000000002</v>
      </c>
      <c r="K1347" s="2">
        <v>1634.1299999999999</v>
      </c>
      <c r="L1347" s="2">
        <v>21006.710000000006</v>
      </c>
      <c r="M1347" t="s">
        <v>4400</v>
      </c>
      <c r="N1347" t="s">
        <v>4400</v>
      </c>
    </row>
    <row r="1348" spans="1:14" x14ac:dyDescent="0.4">
      <c r="A1348" t="s">
        <v>2858</v>
      </c>
      <c r="B1348" t="s">
        <v>2859</v>
      </c>
      <c r="C1348" t="s">
        <v>113</v>
      </c>
      <c r="D1348" t="s">
        <v>114</v>
      </c>
      <c r="E1348" s="2"/>
      <c r="F1348" s="2">
        <v>968.93000000000006</v>
      </c>
      <c r="G1348" s="2">
        <v>786.67000000000007</v>
      </c>
      <c r="H1348" s="2">
        <v>801.86999999999989</v>
      </c>
      <c r="I1348" s="2">
        <v>747.18999999999994</v>
      </c>
      <c r="J1348" s="2">
        <v>2274.9900000000002</v>
      </c>
      <c r="K1348" s="2">
        <v>1488.3200000000002</v>
      </c>
      <c r="L1348" s="2">
        <v>7067.9699999999912</v>
      </c>
      <c r="M1348" t="s">
        <v>4412</v>
      </c>
      <c r="N1348" t="s">
        <v>4400</v>
      </c>
    </row>
    <row r="1349" spans="1:14" x14ac:dyDescent="0.4">
      <c r="A1349" t="s">
        <v>2860</v>
      </c>
      <c r="B1349" t="s">
        <v>2652</v>
      </c>
      <c r="C1349" t="s">
        <v>244</v>
      </c>
      <c r="D1349" t="s">
        <v>248</v>
      </c>
      <c r="E1349" s="2">
        <v>2963.2099999999996</v>
      </c>
      <c r="F1349" s="2">
        <v>1063.9799999999998</v>
      </c>
      <c r="G1349" s="2">
        <v>1906.94</v>
      </c>
      <c r="H1349" s="2">
        <v>2109.9699999999998</v>
      </c>
      <c r="I1349" s="2">
        <v>925.19999999999982</v>
      </c>
      <c r="J1349" s="2">
        <v>2269.31</v>
      </c>
      <c r="K1349" s="2"/>
      <c r="L1349" s="2">
        <v>11238.610000000013</v>
      </c>
      <c r="M1349" t="s">
        <v>4400</v>
      </c>
      <c r="N1349" t="s">
        <v>4406</v>
      </c>
    </row>
    <row r="1350" spans="1:14" x14ac:dyDescent="0.4">
      <c r="A1350" t="s">
        <v>2861</v>
      </c>
      <c r="B1350" t="s">
        <v>2862</v>
      </c>
      <c r="C1350" t="s">
        <v>337</v>
      </c>
      <c r="D1350" t="s">
        <v>347</v>
      </c>
      <c r="E1350" s="2">
        <v>3511.2999999999988</v>
      </c>
      <c r="F1350" s="2">
        <v>3939.5700000000006</v>
      </c>
      <c r="G1350" s="2">
        <v>3772.5099999999998</v>
      </c>
      <c r="H1350" s="2">
        <v>2700.29</v>
      </c>
      <c r="I1350" s="2">
        <v>4355.76</v>
      </c>
      <c r="J1350" s="2">
        <v>3268.3399999999997</v>
      </c>
      <c r="K1350" s="2">
        <v>1697.9499999999998</v>
      </c>
      <c r="L1350" s="2">
        <v>23245.719999999983</v>
      </c>
      <c r="M1350" t="s">
        <v>4400</v>
      </c>
      <c r="N1350" t="s">
        <v>4400</v>
      </c>
    </row>
    <row r="1351" spans="1:14" x14ac:dyDescent="0.4">
      <c r="A1351" t="s">
        <v>2863</v>
      </c>
      <c r="B1351" t="s">
        <v>2864</v>
      </c>
      <c r="C1351" t="s">
        <v>178</v>
      </c>
      <c r="D1351" t="s">
        <v>1228</v>
      </c>
      <c r="E1351" s="2">
        <v>965.88</v>
      </c>
      <c r="F1351" s="2"/>
      <c r="G1351" s="2"/>
      <c r="H1351" s="2"/>
      <c r="I1351" s="2"/>
      <c r="J1351" s="2"/>
      <c r="K1351" s="2"/>
      <c r="L1351" s="2">
        <v>965.88</v>
      </c>
      <c r="M1351" t="s">
        <v>4400</v>
      </c>
      <c r="N1351" t="s">
        <v>4407</v>
      </c>
    </row>
    <row r="1352" spans="1:14" x14ac:dyDescent="0.4">
      <c r="A1352" t="s">
        <v>2865</v>
      </c>
      <c r="B1352" t="s">
        <v>2866</v>
      </c>
      <c r="C1352" t="s">
        <v>64</v>
      </c>
      <c r="D1352" t="s">
        <v>2514</v>
      </c>
      <c r="E1352" s="2"/>
      <c r="F1352" s="2"/>
      <c r="G1352" s="2"/>
      <c r="H1352" s="2">
        <v>1069.1199999999999</v>
      </c>
      <c r="I1352" s="2">
        <v>1868.3899999999994</v>
      </c>
      <c r="J1352" s="2">
        <v>742.73</v>
      </c>
      <c r="K1352" s="2"/>
      <c r="L1352" s="2">
        <v>3680.24</v>
      </c>
      <c r="M1352" t="s">
        <v>4409</v>
      </c>
      <c r="N1352" t="s">
        <v>4406</v>
      </c>
    </row>
    <row r="1353" spans="1:14" x14ac:dyDescent="0.4">
      <c r="A1353" t="s">
        <v>2867</v>
      </c>
      <c r="B1353" t="s">
        <v>2868</v>
      </c>
      <c r="C1353" t="s">
        <v>64</v>
      </c>
      <c r="D1353" t="s">
        <v>1143</v>
      </c>
      <c r="E1353" s="2">
        <v>6010.9900000000007</v>
      </c>
      <c r="F1353" s="2">
        <v>7168.2200000000021</v>
      </c>
      <c r="G1353" s="2">
        <v>5786.21</v>
      </c>
      <c r="H1353" s="2">
        <v>2678.97</v>
      </c>
      <c r="I1353" s="2">
        <v>7310.9900000000034</v>
      </c>
      <c r="J1353" s="2">
        <v>4729.2199999999993</v>
      </c>
      <c r="K1353" s="2">
        <v>1861.9199999999996</v>
      </c>
      <c r="L1353" s="2">
        <v>35546.51999999996</v>
      </c>
      <c r="M1353" t="s">
        <v>4400</v>
      </c>
      <c r="N1353" t="s">
        <v>4400</v>
      </c>
    </row>
    <row r="1354" spans="1:14" x14ac:dyDescent="0.4">
      <c r="A1354" t="s">
        <v>2869</v>
      </c>
      <c r="B1354" t="s">
        <v>2870</v>
      </c>
      <c r="C1354" t="s">
        <v>64</v>
      </c>
      <c r="D1354" t="s">
        <v>2871</v>
      </c>
      <c r="E1354" s="2">
        <v>2691.15</v>
      </c>
      <c r="F1354" s="2">
        <v>3641.8400000000006</v>
      </c>
      <c r="G1354" s="2">
        <v>2918.96</v>
      </c>
      <c r="H1354" s="2">
        <v>2205.1699999999996</v>
      </c>
      <c r="I1354" s="2">
        <v>3599.3499999999995</v>
      </c>
      <c r="J1354" s="2">
        <v>1214.9499999999998</v>
      </c>
      <c r="K1354" s="2">
        <v>1233.19</v>
      </c>
      <c r="L1354" s="2">
        <v>17504.609999999997</v>
      </c>
      <c r="M1354" t="s">
        <v>4400</v>
      </c>
      <c r="N1354" t="s">
        <v>4400</v>
      </c>
    </row>
    <row r="1355" spans="1:14" x14ac:dyDescent="0.4">
      <c r="A1355" t="s">
        <v>2872</v>
      </c>
      <c r="B1355" t="s">
        <v>2652</v>
      </c>
      <c r="C1355" t="s">
        <v>64</v>
      </c>
      <c r="D1355" t="s">
        <v>2778</v>
      </c>
      <c r="E1355" s="2"/>
      <c r="F1355" s="2"/>
      <c r="G1355" s="2"/>
      <c r="H1355" s="2"/>
      <c r="I1355" s="2"/>
      <c r="J1355" s="2">
        <v>1012.5799999999999</v>
      </c>
      <c r="K1355" s="2"/>
      <c r="L1355" s="2">
        <v>1012.5799999999999</v>
      </c>
      <c r="M1355" t="s">
        <v>4405</v>
      </c>
      <c r="N1355" t="s">
        <v>4406</v>
      </c>
    </row>
    <row r="1356" spans="1:14" x14ac:dyDescent="0.4">
      <c r="A1356" t="s">
        <v>2873</v>
      </c>
      <c r="B1356" t="s">
        <v>2874</v>
      </c>
      <c r="C1356" t="s">
        <v>291</v>
      </c>
      <c r="D1356" t="s">
        <v>295</v>
      </c>
      <c r="E1356" s="2"/>
      <c r="F1356" s="2">
        <v>971.96</v>
      </c>
      <c r="G1356" s="2">
        <v>2290.2800000000002</v>
      </c>
      <c r="H1356" s="2">
        <v>3307.8100000000004</v>
      </c>
      <c r="I1356" s="2">
        <v>3994.2300000000005</v>
      </c>
      <c r="J1356" s="2">
        <v>3444.4699999999993</v>
      </c>
      <c r="K1356" s="2"/>
      <c r="L1356" s="2">
        <v>14008.749999999993</v>
      </c>
      <c r="M1356" t="s">
        <v>4412</v>
      </c>
      <c r="N1356" t="s">
        <v>4406</v>
      </c>
    </row>
    <row r="1357" spans="1:14" x14ac:dyDescent="0.4">
      <c r="A1357" t="s">
        <v>2875</v>
      </c>
      <c r="B1357" t="s">
        <v>2876</v>
      </c>
      <c r="C1357" t="s">
        <v>109</v>
      </c>
      <c r="D1357" t="s">
        <v>1374</v>
      </c>
      <c r="E1357" s="2">
        <v>3796.6899999999987</v>
      </c>
      <c r="F1357" s="2">
        <v>2991.81</v>
      </c>
      <c r="G1357" s="2">
        <v>3031.2799999999997</v>
      </c>
      <c r="H1357" s="2">
        <v>2417.7399999999998</v>
      </c>
      <c r="I1357" s="2">
        <v>3757.2000000000003</v>
      </c>
      <c r="J1357" s="2">
        <v>3204.4099999999994</v>
      </c>
      <c r="K1357" s="2">
        <v>1555.12</v>
      </c>
      <c r="L1357" s="2">
        <v>20754.249999999978</v>
      </c>
      <c r="M1357" t="s">
        <v>4400</v>
      </c>
      <c r="N1357" t="s">
        <v>4400</v>
      </c>
    </row>
    <row r="1358" spans="1:14" x14ac:dyDescent="0.4">
      <c r="A1358" t="s">
        <v>2877</v>
      </c>
      <c r="B1358" t="s">
        <v>2878</v>
      </c>
      <c r="C1358" t="s">
        <v>64</v>
      </c>
      <c r="D1358" t="s">
        <v>645</v>
      </c>
      <c r="E1358" s="2">
        <v>6597.19</v>
      </c>
      <c r="F1358" s="2">
        <v>7753.6900000000023</v>
      </c>
      <c r="G1358" s="2">
        <v>7532.6699999999973</v>
      </c>
      <c r="H1358" s="2">
        <v>4608.0099999999993</v>
      </c>
      <c r="I1358" s="2">
        <v>5422.6999999999971</v>
      </c>
      <c r="J1358" s="2">
        <v>1714.19</v>
      </c>
      <c r="K1358" s="2"/>
      <c r="L1358" s="2">
        <v>33628.450000000063</v>
      </c>
      <c r="M1358" t="s">
        <v>4400</v>
      </c>
      <c r="N1358" t="s">
        <v>4406</v>
      </c>
    </row>
    <row r="1359" spans="1:14" x14ac:dyDescent="0.4">
      <c r="A1359" t="s">
        <v>2879</v>
      </c>
      <c r="B1359" t="s">
        <v>2880</v>
      </c>
      <c r="C1359" t="s">
        <v>113</v>
      </c>
      <c r="D1359" t="s">
        <v>120</v>
      </c>
      <c r="E1359" s="2"/>
      <c r="F1359" s="2">
        <v>765.45</v>
      </c>
      <c r="G1359" s="2">
        <v>719.85</v>
      </c>
      <c r="H1359" s="2"/>
      <c r="I1359" s="2"/>
      <c r="J1359" s="2">
        <v>962.88</v>
      </c>
      <c r="K1359" s="2"/>
      <c r="L1359" s="2">
        <v>2448.1799999999998</v>
      </c>
      <c r="M1359" t="s">
        <v>4412</v>
      </c>
      <c r="N1359" t="s">
        <v>4406</v>
      </c>
    </row>
    <row r="1360" spans="1:14" x14ac:dyDescent="0.4">
      <c r="A1360" t="s">
        <v>2881</v>
      </c>
      <c r="B1360" t="s">
        <v>2882</v>
      </c>
      <c r="C1360" t="s">
        <v>35</v>
      </c>
      <c r="D1360" t="s">
        <v>1702</v>
      </c>
      <c r="E1360" s="2"/>
      <c r="F1360" s="2"/>
      <c r="G1360" s="2"/>
      <c r="H1360" s="2">
        <v>798.86</v>
      </c>
      <c r="I1360" s="2"/>
      <c r="J1360" s="2"/>
      <c r="K1360" s="2"/>
      <c r="L1360" s="2">
        <v>798.86</v>
      </c>
      <c r="M1360" t="s">
        <v>4409</v>
      </c>
      <c r="N1360" t="s">
        <v>4402</v>
      </c>
    </row>
    <row r="1361" spans="1:14" x14ac:dyDescent="0.4">
      <c r="A1361" t="s">
        <v>2883</v>
      </c>
      <c r="B1361" t="s">
        <v>2884</v>
      </c>
      <c r="C1361" t="s">
        <v>64</v>
      </c>
      <c r="D1361" t="s">
        <v>2885</v>
      </c>
      <c r="E1361" s="2">
        <v>753.27999999999986</v>
      </c>
      <c r="F1361" s="2">
        <v>777.58</v>
      </c>
      <c r="G1361" s="2">
        <v>750.24</v>
      </c>
      <c r="H1361" s="2">
        <v>1035.73</v>
      </c>
      <c r="I1361" s="2"/>
      <c r="J1361" s="2"/>
      <c r="K1361" s="2"/>
      <c r="L1361" s="2">
        <v>3316.829999999999</v>
      </c>
      <c r="M1361" t="s">
        <v>4400</v>
      </c>
      <c r="N1361" t="s">
        <v>4402</v>
      </c>
    </row>
    <row r="1362" spans="1:14" x14ac:dyDescent="0.4">
      <c r="A1362" t="s">
        <v>2886</v>
      </c>
      <c r="B1362" t="s">
        <v>2652</v>
      </c>
      <c r="C1362" t="s">
        <v>337</v>
      </c>
      <c r="D1362" t="s">
        <v>344</v>
      </c>
      <c r="E1362" s="2"/>
      <c r="F1362" s="2"/>
      <c r="G1362" s="2"/>
      <c r="H1362" s="2"/>
      <c r="I1362" s="2">
        <v>753.30000000000007</v>
      </c>
      <c r="J1362" s="2">
        <v>728.98</v>
      </c>
      <c r="K1362" s="2"/>
      <c r="L1362" s="2">
        <v>1482.2799999999997</v>
      </c>
      <c r="M1362" t="s">
        <v>4408</v>
      </c>
      <c r="N1362" t="s">
        <v>4406</v>
      </c>
    </row>
    <row r="1363" spans="1:14" x14ac:dyDescent="0.4">
      <c r="A1363" t="s">
        <v>2887</v>
      </c>
      <c r="B1363" t="s">
        <v>2888</v>
      </c>
      <c r="C1363" t="s">
        <v>220</v>
      </c>
      <c r="D1363" t="s">
        <v>797</v>
      </c>
      <c r="E1363" s="2"/>
      <c r="F1363" s="2">
        <v>926.42999999999984</v>
      </c>
      <c r="G1363" s="2">
        <v>2445.1700000000005</v>
      </c>
      <c r="H1363" s="2">
        <v>917.31</v>
      </c>
      <c r="I1363" s="2"/>
      <c r="J1363" s="2"/>
      <c r="K1363" s="2">
        <v>978.04</v>
      </c>
      <c r="L1363" s="2">
        <v>5266.949999999998</v>
      </c>
      <c r="M1363" t="s">
        <v>4412</v>
      </c>
      <c r="N1363" t="s">
        <v>4400</v>
      </c>
    </row>
    <row r="1364" spans="1:14" x14ac:dyDescent="0.4">
      <c r="A1364" t="s">
        <v>2889</v>
      </c>
      <c r="B1364" t="s">
        <v>2890</v>
      </c>
      <c r="C1364" t="s">
        <v>52</v>
      </c>
      <c r="D1364" t="s">
        <v>156</v>
      </c>
      <c r="E1364" s="2"/>
      <c r="F1364" s="2">
        <v>741.1099999999999</v>
      </c>
      <c r="G1364" s="2">
        <v>2211.2399999999998</v>
      </c>
      <c r="H1364" s="2">
        <v>3450.5099999999989</v>
      </c>
      <c r="I1364" s="2">
        <v>2445.1</v>
      </c>
      <c r="J1364" s="2">
        <v>2460.31</v>
      </c>
      <c r="K1364" s="2">
        <v>956.7800000000002</v>
      </c>
      <c r="L1364" s="2">
        <v>12265.049999999996</v>
      </c>
      <c r="M1364" t="s">
        <v>4412</v>
      </c>
      <c r="N1364" t="s">
        <v>4400</v>
      </c>
    </row>
    <row r="1365" spans="1:14" x14ac:dyDescent="0.4">
      <c r="A1365" t="s">
        <v>2891</v>
      </c>
      <c r="B1365" t="s">
        <v>2878</v>
      </c>
      <c r="C1365" t="s">
        <v>64</v>
      </c>
      <c r="D1365" t="s">
        <v>2892</v>
      </c>
      <c r="E1365" s="2">
        <v>3659.6799999999994</v>
      </c>
      <c r="F1365" s="2">
        <v>2783.3099999999995</v>
      </c>
      <c r="G1365" s="2">
        <v>3335.8599999999992</v>
      </c>
      <c r="H1365" s="2">
        <v>4528.3399999999992</v>
      </c>
      <c r="I1365" s="2">
        <v>2323.2799999999997</v>
      </c>
      <c r="J1365" s="2">
        <v>3171.3799999999992</v>
      </c>
      <c r="K1365" s="2">
        <v>1446.9099999999999</v>
      </c>
      <c r="L1365" s="2">
        <v>21248.760000000013</v>
      </c>
      <c r="M1365" t="s">
        <v>4400</v>
      </c>
      <c r="N1365" t="s">
        <v>4400</v>
      </c>
    </row>
    <row r="1366" spans="1:14" x14ac:dyDescent="0.4">
      <c r="A1366" t="s">
        <v>2893</v>
      </c>
      <c r="B1366" t="s">
        <v>2894</v>
      </c>
      <c r="C1366" t="s">
        <v>172</v>
      </c>
      <c r="D1366" t="s">
        <v>173</v>
      </c>
      <c r="E1366" s="2">
        <v>756.32</v>
      </c>
      <c r="F1366" s="2"/>
      <c r="G1366" s="2">
        <v>725.96</v>
      </c>
      <c r="H1366" s="2"/>
      <c r="I1366" s="2"/>
      <c r="J1366" s="2"/>
      <c r="K1366" s="2"/>
      <c r="L1366" s="2">
        <v>1482.2800000000002</v>
      </c>
      <c r="M1366" t="s">
        <v>4400</v>
      </c>
      <c r="N1366" t="s">
        <v>4403</v>
      </c>
    </row>
    <row r="1367" spans="1:14" x14ac:dyDescent="0.4">
      <c r="A1367" t="s">
        <v>2895</v>
      </c>
      <c r="B1367" t="s">
        <v>2896</v>
      </c>
      <c r="C1367" t="s">
        <v>113</v>
      </c>
      <c r="D1367" t="s">
        <v>117</v>
      </c>
      <c r="E1367" s="2">
        <v>841.38000000000011</v>
      </c>
      <c r="F1367" s="2">
        <v>856.55000000000007</v>
      </c>
      <c r="G1367" s="2">
        <v>1561.2199999999998</v>
      </c>
      <c r="H1367" s="2">
        <v>1473.1099999999997</v>
      </c>
      <c r="I1367" s="2">
        <v>1998.61</v>
      </c>
      <c r="J1367" s="2">
        <v>744.16000000000008</v>
      </c>
      <c r="K1367" s="2">
        <v>817.05</v>
      </c>
      <c r="L1367" s="2">
        <v>8292.08</v>
      </c>
      <c r="M1367" t="s">
        <v>4400</v>
      </c>
      <c r="N1367" t="s">
        <v>4400</v>
      </c>
    </row>
    <row r="1368" spans="1:14" x14ac:dyDescent="0.4">
      <c r="A1368" t="s">
        <v>2897</v>
      </c>
      <c r="B1368" t="s">
        <v>2652</v>
      </c>
      <c r="C1368" t="s">
        <v>9</v>
      </c>
      <c r="D1368" t="s">
        <v>45</v>
      </c>
      <c r="E1368" s="2">
        <v>858.38</v>
      </c>
      <c r="F1368" s="2"/>
      <c r="G1368" s="2"/>
      <c r="H1368" s="2"/>
      <c r="I1368" s="2"/>
      <c r="J1368" s="2">
        <v>750.43999999999994</v>
      </c>
      <c r="K1368" s="2"/>
      <c r="L1368" s="2">
        <v>1608.8200000000002</v>
      </c>
      <c r="M1368" t="s">
        <v>4400</v>
      </c>
      <c r="N1368" t="s">
        <v>4406</v>
      </c>
    </row>
    <row r="1369" spans="1:14" x14ac:dyDescent="0.4">
      <c r="A1369" t="s">
        <v>2898</v>
      </c>
      <c r="B1369" t="s">
        <v>2899</v>
      </c>
      <c r="C1369" t="s">
        <v>5</v>
      </c>
      <c r="D1369" t="s">
        <v>1059</v>
      </c>
      <c r="E1369" s="2"/>
      <c r="F1369" s="2"/>
      <c r="G1369" s="2"/>
      <c r="H1369" s="2">
        <v>732.06000000000006</v>
      </c>
      <c r="I1369" s="2"/>
      <c r="J1369" s="2"/>
      <c r="K1369" s="2"/>
      <c r="L1369" s="2">
        <v>732.06000000000006</v>
      </c>
      <c r="M1369" t="s">
        <v>4409</v>
      </c>
      <c r="N1369" t="s">
        <v>4402</v>
      </c>
    </row>
    <row r="1370" spans="1:14" x14ac:dyDescent="0.4">
      <c r="A1370" t="s">
        <v>2900</v>
      </c>
      <c r="B1370" t="s">
        <v>2901</v>
      </c>
      <c r="C1370" t="s">
        <v>64</v>
      </c>
      <c r="D1370" t="s">
        <v>2165</v>
      </c>
      <c r="E1370" s="2">
        <v>4261.5</v>
      </c>
      <c r="F1370" s="2">
        <v>3092.16</v>
      </c>
      <c r="G1370" s="2">
        <v>5810.6</v>
      </c>
      <c r="H1370" s="2">
        <v>3769.4699999999993</v>
      </c>
      <c r="I1370" s="2">
        <v>3933.4900000000002</v>
      </c>
      <c r="J1370" s="2">
        <v>4200.7699999999995</v>
      </c>
      <c r="K1370" s="2">
        <v>1880.1800000000003</v>
      </c>
      <c r="L1370" s="2">
        <v>26948.16999999994</v>
      </c>
      <c r="M1370" t="s">
        <v>4400</v>
      </c>
      <c r="N1370" t="s">
        <v>4400</v>
      </c>
    </row>
    <row r="1371" spans="1:14" x14ac:dyDescent="0.4">
      <c r="A1371" t="s">
        <v>2902</v>
      </c>
      <c r="B1371" t="s">
        <v>1481</v>
      </c>
      <c r="C1371" t="s">
        <v>113</v>
      </c>
      <c r="D1371" t="s">
        <v>120</v>
      </c>
      <c r="E1371" s="2">
        <v>4152.09</v>
      </c>
      <c r="F1371" s="2">
        <v>3766.3800000000006</v>
      </c>
      <c r="G1371" s="2">
        <v>3204.4500000000007</v>
      </c>
      <c r="H1371" s="2">
        <v>3538.6000000000008</v>
      </c>
      <c r="I1371" s="2">
        <v>4003.3100000000013</v>
      </c>
      <c r="J1371" s="2">
        <v>3003.99</v>
      </c>
      <c r="K1371" s="2">
        <v>1618.92</v>
      </c>
      <c r="L1371" s="2">
        <v>23287.740000000005</v>
      </c>
      <c r="M1371" t="s">
        <v>4400</v>
      </c>
      <c r="N1371" t="s">
        <v>4400</v>
      </c>
    </row>
    <row r="1372" spans="1:14" x14ac:dyDescent="0.4">
      <c r="A1372" t="s">
        <v>2903</v>
      </c>
      <c r="B1372" t="s">
        <v>2904</v>
      </c>
      <c r="C1372" t="s">
        <v>5</v>
      </c>
      <c r="D1372" t="s">
        <v>1059</v>
      </c>
      <c r="E1372" s="2">
        <v>1710.1299999999999</v>
      </c>
      <c r="F1372" s="2">
        <v>2496.85</v>
      </c>
      <c r="G1372" s="2">
        <v>5017.9799999999996</v>
      </c>
      <c r="H1372" s="2">
        <v>1609.84</v>
      </c>
      <c r="I1372" s="2">
        <v>2375.33</v>
      </c>
      <c r="J1372" s="2">
        <v>3076.9199999999996</v>
      </c>
      <c r="K1372" s="2"/>
      <c r="L1372" s="2">
        <v>16287.05</v>
      </c>
      <c r="M1372" t="s">
        <v>4400</v>
      </c>
      <c r="N1372" t="s">
        <v>4406</v>
      </c>
    </row>
    <row r="1373" spans="1:14" x14ac:dyDescent="0.4">
      <c r="A1373" t="s">
        <v>2905</v>
      </c>
      <c r="B1373" t="s">
        <v>2906</v>
      </c>
      <c r="C1373" t="s">
        <v>163</v>
      </c>
      <c r="D1373" t="s">
        <v>2811</v>
      </c>
      <c r="E1373" s="2"/>
      <c r="F1373" s="2"/>
      <c r="G1373" s="2"/>
      <c r="H1373" s="2"/>
      <c r="I1373" s="2"/>
      <c r="J1373" s="2">
        <v>1482.3200000000002</v>
      </c>
      <c r="K1373" s="2"/>
      <c r="L1373" s="2">
        <v>1482.3200000000002</v>
      </c>
      <c r="M1373" t="s">
        <v>4405</v>
      </c>
      <c r="N1373" t="s">
        <v>4406</v>
      </c>
    </row>
    <row r="1374" spans="1:14" x14ac:dyDescent="0.4">
      <c r="A1374" t="s">
        <v>2907</v>
      </c>
      <c r="B1374" t="s">
        <v>2678</v>
      </c>
      <c r="C1374" t="s">
        <v>167</v>
      </c>
      <c r="D1374" t="s">
        <v>1275</v>
      </c>
      <c r="E1374" s="2">
        <v>1713.1400000000003</v>
      </c>
      <c r="F1374" s="2"/>
      <c r="G1374" s="2">
        <v>2423.900000000001</v>
      </c>
      <c r="H1374" s="2">
        <v>3183.24</v>
      </c>
      <c r="I1374" s="2">
        <v>4404.3599999999979</v>
      </c>
      <c r="J1374" s="2">
        <v>3004.01</v>
      </c>
      <c r="K1374" s="2">
        <v>1473.1499999999996</v>
      </c>
      <c r="L1374" s="2">
        <v>16201.799999999976</v>
      </c>
      <c r="M1374" t="s">
        <v>4400</v>
      </c>
      <c r="N1374" t="s">
        <v>4400</v>
      </c>
    </row>
    <row r="1375" spans="1:14" x14ac:dyDescent="0.4">
      <c r="A1375" t="s">
        <v>2908</v>
      </c>
      <c r="B1375" t="s">
        <v>2909</v>
      </c>
      <c r="C1375" t="s">
        <v>64</v>
      </c>
      <c r="D1375" t="s">
        <v>2343</v>
      </c>
      <c r="E1375" s="2">
        <v>2648.6</v>
      </c>
      <c r="F1375" s="2">
        <v>4100.4799999999996</v>
      </c>
      <c r="G1375" s="2">
        <v>3031.3199999999993</v>
      </c>
      <c r="H1375" s="2">
        <v>3313.79</v>
      </c>
      <c r="I1375" s="2">
        <v>2742.6299999999997</v>
      </c>
      <c r="J1375" s="2">
        <v>3088.88</v>
      </c>
      <c r="K1375" s="2">
        <v>1825.3899999999996</v>
      </c>
      <c r="L1375" s="2">
        <v>20751.089999999982</v>
      </c>
      <c r="M1375" t="s">
        <v>4400</v>
      </c>
      <c r="N1375" t="s">
        <v>4400</v>
      </c>
    </row>
    <row r="1376" spans="1:14" x14ac:dyDescent="0.4">
      <c r="A1376" t="s">
        <v>2910</v>
      </c>
      <c r="B1376" t="s">
        <v>2836</v>
      </c>
      <c r="C1376" t="s">
        <v>64</v>
      </c>
      <c r="D1376" t="s">
        <v>2312</v>
      </c>
      <c r="E1376" s="2">
        <v>945.76</v>
      </c>
      <c r="F1376" s="2"/>
      <c r="G1376" s="2">
        <v>853.24</v>
      </c>
      <c r="H1376" s="2"/>
      <c r="I1376" s="2">
        <v>2595.6999999999998</v>
      </c>
      <c r="J1376" s="2"/>
      <c r="K1376" s="2"/>
      <c r="L1376" s="2">
        <v>4394.7000000000007</v>
      </c>
      <c r="M1376" t="s">
        <v>4400</v>
      </c>
      <c r="N1376" t="s">
        <v>4401</v>
      </c>
    </row>
    <row r="1377" spans="1:14" x14ac:dyDescent="0.4">
      <c r="A1377" t="s">
        <v>2911</v>
      </c>
      <c r="B1377" t="s">
        <v>2502</v>
      </c>
      <c r="C1377" t="s">
        <v>220</v>
      </c>
      <c r="D1377" t="s">
        <v>2302</v>
      </c>
      <c r="E1377" s="2">
        <v>2326.7000000000003</v>
      </c>
      <c r="F1377" s="2">
        <v>3386.78</v>
      </c>
      <c r="G1377" s="2">
        <v>4234.2299999999987</v>
      </c>
      <c r="H1377" s="2">
        <v>3632.7899999999991</v>
      </c>
      <c r="I1377" s="2">
        <v>3158.9399999999996</v>
      </c>
      <c r="J1377" s="2">
        <v>3903.1299999999997</v>
      </c>
      <c r="K1377" s="2">
        <v>1895.3600000000001</v>
      </c>
      <c r="L1377" s="2">
        <v>22537.930000000018</v>
      </c>
      <c r="M1377" t="s">
        <v>4400</v>
      </c>
      <c r="N1377" t="s">
        <v>4400</v>
      </c>
    </row>
    <row r="1378" spans="1:14" x14ac:dyDescent="0.4">
      <c r="A1378" t="s">
        <v>2912</v>
      </c>
      <c r="B1378" t="s">
        <v>2913</v>
      </c>
      <c r="C1378" t="s">
        <v>113</v>
      </c>
      <c r="D1378" t="s">
        <v>114</v>
      </c>
      <c r="E1378" s="2"/>
      <c r="F1378" s="2"/>
      <c r="G1378" s="2"/>
      <c r="H1378" s="2"/>
      <c r="I1378" s="2">
        <v>880.84999999999991</v>
      </c>
      <c r="J1378" s="2">
        <v>1673.6400000000003</v>
      </c>
      <c r="K1378" s="2"/>
      <c r="L1378" s="2">
        <v>2554.4899999999998</v>
      </c>
      <c r="M1378" t="s">
        <v>4408</v>
      </c>
      <c r="N1378" t="s">
        <v>4406</v>
      </c>
    </row>
    <row r="1379" spans="1:14" x14ac:dyDescent="0.4">
      <c r="A1379" t="s">
        <v>2914</v>
      </c>
      <c r="B1379" t="s">
        <v>762</v>
      </c>
      <c r="C1379" t="s">
        <v>35</v>
      </c>
      <c r="D1379" t="s">
        <v>1212</v>
      </c>
      <c r="E1379" s="2">
        <v>2593.1299999999992</v>
      </c>
      <c r="F1379" s="2">
        <v>2395.2399999999993</v>
      </c>
      <c r="G1379" s="2">
        <v>2287.2999999999997</v>
      </c>
      <c r="H1379" s="2">
        <v>2431.2200000000003</v>
      </c>
      <c r="I1379" s="2">
        <v>2269.309999999999</v>
      </c>
      <c r="J1379" s="2">
        <v>2958.0699999999993</v>
      </c>
      <c r="K1379" s="2">
        <v>1513.7299999999998</v>
      </c>
      <c r="L1379" s="2">
        <v>16448.000000000022</v>
      </c>
      <c r="M1379" t="s">
        <v>4400</v>
      </c>
      <c r="N1379" t="s">
        <v>4400</v>
      </c>
    </row>
    <row r="1380" spans="1:14" x14ac:dyDescent="0.4">
      <c r="A1380" t="s">
        <v>2915</v>
      </c>
      <c r="B1380" t="s">
        <v>2916</v>
      </c>
      <c r="C1380" t="s">
        <v>35</v>
      </c>
      <c r="D1380" t="s">
        <v>1712</v>
      </c>
      <c r="E1380" s="2">
        <v>996.2700000000001</v>
      </c>
      <c r="F1380" s="2">
        <v>880.8599999999999</v>
      </c>
      <c r="G1380" s="2">
        <v>1333.4399999999998</v>
      </c>
      <c r="H1380" s="2">
        <v>971.99</v>
      </c>
      <c r="I1380" s="2">
        <v>908.19999999999982</v>
      </c>
      <c r="J1380" s="2">
        <v>1214.97</v>
      </c>
      <c r="K1380" s="2"/>
      <c r="L1380" s="2">
        <v>6305.729999999995</v>
      </c>
      <c r="M1380" t="s">
        <v>4400</v>
      </c>
      <c r="N1380" t="s">
        <v>4406</v>
      </c>
    </row>
    <row r="1381" spans="1:14" x14ac:dyDescent="0.4">
      <c r="A1381" t="s">
        <v>2917</v>
      </c>
      <c r="B1381" t="s">
        <v>2918</v>
      </c>
      <c r="C1381" t="s">
        <v>163</v>
      </c>
      <c r="D1381" t="s">
        <v>2811</v>
      </c>
      <c r="E1381" s="2"/>
      <c r="F1381" s="2"/>
      <c r="G1381" s="2"/>
      <c r="H1381" s="2"/>
      <c r="I1381" s="2"/>
      <c r="J1381" s="2">
        <v>2490.67</v>
      </c>
      <c r="K1381" s="2"/>
      <c r="L1381" s="2">
        <v>2490.67</v>
      </c>
      <c r="M1381" t="s">
        <v>4405</v>
      </c>
      <c r="N1381" t="s">
        <v>4406</v>
      </c>
    </row>
    <row r="1382" spans="1:14" x14ac:dyDescent="0.4">
      <c r="A1382" t="s">
        <v>2919</v>
      </c>
      <c r="B1382" t="s">
        <v>2920</v>
      </c>
      <c r="C1382" t="s">
        <v>13</v>
      </c>
      <c r="D1382" t="s">
        <v>14</v>
      </c>
      <c r="E1382" s="2">
        <v>4027.6099999999992</v>
      </c>
      <c r="F1382" s="2">
        <v>1640.1999999999998</v>
      </c>
      <c r="G1382" s="2">
        <v>3808.91</v>
      </c>
      <c r="H1382" s="2">
        <v>2642.54</v>
      </c>
      <c r="I1382" s="2">
        <v>728.98</v>
      </c>
      <c r="J1382" s="2">
        <v>820.09999999999991</v>
      </c>
      <c r="K1382" s="2">
        <v>729</v>
      </c>
      <c r="L1382" s="2">
        <v>14397.339999999998</v>
      </c>
      <c r="M1382" t="s">
        <v>4400</v>
      </c>
      <c r="N1382" t="s">
        <v>4400</v>
      </c>
    </row>
    <row r="1383" spans="1:14" x14ac:dyDescent="0.4">
      <c r="A1383" t="s">
        <v>2921</v>
      </c>
      <c r="B1383" t="s">
        <v>2922</v>
      </c>
      <c r="C1383" t="s">
        <v>78</v>
      </c>
      <c r="D1383" t="s">
        <v>1240</v>
      </c>
      <c r="E1383" s="2">
        <v>826.15999999999985</v>
      </c>
      <c r="F1383" s="2">
        <v>1002.3499999999998</v>
      </c>
      <c r="G1383" s="2">
        <v>847.44</v>
      </c>
      <c r="H1383" s="2">
        <v>1060.05</v>
      </c>
      <c r="I1383" s="2">
        <v>1078.28</v>
      </c>
      <c r="J1383" s="2">
        <v>847.43999999999994</v>
      </c>
      <c r="K1383" s="2"/>
      <c r="L1383" s="2">
        <v>5661.7199999999966</v>
      </c>
      <c r="M1383" t="s">
        <v>4400</v>
      </c>
      <c r="N1383" t="s">
        <v>4406</v>
      </c>
    </row>
    <row r="1384" spans="1:14" x14ac:dyDescent="0.4">
      <c r="A1384" t="s">
        <v>2923</v>
      </c>
      <c r="B1384" t="s">
        <v>2924</v>
      </c>
      <c r="C1384" t="s">
        <v>78</v>
      </c>
      <c r="D1384" t="s">
        <v>1553</v>
      </c>
      <c r="E1384" s="2"/>
      <c r="F1384" s="2">
        <v>2584.8799999999992</v>
      </c>
      <c r="G1384" s="2">
        <v>1224.0899999999999</v>
      </c>
      <c r="H1384" s="2">
        <v>2177.83</v>
      </c>
      <c r="I1384" s="2">
        <v>932.48</v>
      </c>
      <c r="J1384" s="2"/>
      <c r="K1384" s="2">
        <v>1066.1399999999999</v>
      </c>
      <c r="L1384" s="2">
        <v>7985.4199999999992</v>
      </c>
      <c r="M1384" t="s">
        <v>4412</v>
      </c>
      <c r="N1384" t="s">
        <v>4400</v>
      </c>
    </row>
    <row r="1385" spans="1:14" x14ac:dyDescent="0.4">
      <c r="A1385" t="s">
        <v>2925</v>
      </c>
      <c r="B1385" t="s">
        <v>2926</v>
      </c>
      <c r="C1385" t="s">
        <v>78</v>
      </c>
      <c r="D1385" t="s">
        <v>1553</v>
      </c>
      <c r="E1385" s="2">
        <v>1789.0299999999997</v>
      </c>
      <c r="F1385" s="2">
        <v>968.95</v>
      </c>
      <c r="G1385" s="2">
        <v>1202.83</v>
      </c>
      <c r="H1385" s="2">
        <v>917.31</v>
      </c>
      <c r="I1385" s="2">
        <v>1953.0700000000002</v>
      </c>
      <c r="J1385" s="2">
        <v>1983.4299999999998</v>
      </c>
      <c r="K1385" s="2">
        <v>2287.1799999999998</v>
      </c>
      <c r="L1385" s="2">
        <v>11101.799999999996</v>
      </c>
      <c r="M1385" t="s">
        <v>4400</v>
      </c>
      <c r="N1385" t="s">
        <v>4400</v>
      </c>
    </row>
    <row r="1386" spans="1:14" x14ac:dyDescent="0.4">
      <c r="A1386" t="s">
        <v>2927</v>
      </c>
      <c r="B1386" t="s">
        <v>2928</v>
      </c>
      <c r="C1386" t="s">
        <v>64</v>
      </c>
      <c r="D1386" t="s">
        <v>985</v>
      </c>
      <c r="E1386" s="2"/>
      <c r="F1386" s="2"/>
      <c r="G1386" s="2"/>
      <c r="H1386" s="2">
        <v>722.8900000000001</v>
      </c>
      <c r="I1386" s="2">
        <v>2047.1899999999998</v>
      </c>
      <c r="J1386" s="2">
        <v>3942.5299999999997</v>
      </c>
      <c r="K1386" s="2">
        <v>862.6400000000001</v>
      </c>
      <c r="L1386" s="2">
        <v>7575.2499999999964</v>
      </c>
      <c r="M1386" t="s">
        <v>4409</v>
      </c>
      <c r="N1386" t="s">
        <v>4400</v>
      </c>
    </row>
    <row r="1387" spans="1:14" x14ac:dyDescent="0.4">
      <c r="A1387" t="s">
        <v>2929</v>
      </c>
      <c r="B1387" t="s">
        <v>2930</v>
      </c>
      <c r="C1387" t="s">
        <v>542</v>
      </c>
      <c r="D1387" t="s">
        <v>802</v>
      </c>
      <c r="E1387" s="2"/>
      <c r="F1387" s="2"/>
      <c r="G1387" s="2"/>
      <c r="H1387" s="2">
        <v>817.26</v>
      </c>
      <c r="I1387" s="2"/>
      <c r="J1387" s="2"/>
      <c r="K1387" s="2"/>
      <c r="L1387" s="2">
        <v>817.26</v>
      </c>
      <c r="M1387" t="s">
        <v>4409</v>
      </c>
      <c r="N1387" t="s">
        <v>4402</v>
      </c>
    </row>
    <row r="1388" spans="1:14" x14ac:dyDescent="0.4">
      <c r="A1388" t="s">
        <v>2931</v>
      </c>
      <c r="B1388" t="s">
        <v>762</v>
      </c>
      <c r="C1388" t="s">
        <v>113</v>
      </c>
      <c r="D1388" t="s">
        <v>120</v>
      </c>
      <c r="E1388" s="2">
        <v>2415.8000000000002</v>
      </c>
      <c r="F1388" s="2">
        <v>2940.0799999999995</v>
      </c>
      <c r="G1388" s="2">
        <v>3708.5099999999989</v>
      </c>
      <c r="H1388" s="2">
        <v>3155.9599999999991</v>
      </c>
      <c r="I1388" s="2">
        <v>2860.4099999999989</v>
      </c>
      <c r="J1388" s="2">
        <v>2886.1099999999997</v>
      </c>
      <c r="K1388" s="2">
        <v>1657.65</v>
      </c>
      <c r="L1388" s="2">
        <v>19624.520000000066</v>
      </c>
      <c r="M1388" t="s">
        <v>4400</v>
      </c>
      <c r="N1388" t="s">
        <v>4400</v>
      </c>
    </row>
    <row r="1389" spans="1:14" x14ac:dyDescent="0.4">
      <c r="A1389" t="s">
        <v>2932</v>
      </c>
      <c r="B1389" t="s">
        <v>2933</v>
      </c>
      <c r="C1389" t="s">
        <v>220</v>
      </c>
      <c r="D1389" t="s">
        <v>928</v>
      </c>
      <c r="E1389" s="2"/>
      <c r="F1389" s="2">
        <v>2542.46</v>
      </c>
      <c r="G1389" s="2">
        <v>2466.44</v>
      </c>
      <c r="H1389" s="2">
        <v>3739.1399999999994</v>
      </c>
      <c r="I1389" s="2">
        <v>4133.9199999999992</v>
      </c>
      <c r="J1389" s="2">
        <v>5394.35</v>
      </c>
      <c r="K1389" s="2">
        <v>3010.08</v>
      </c>
      <c r="L1389" s="2">
        <v>21286.389999999989</v>
      </c>
      <c r="M1389" t="s">
        <v>4412</v>
      </c>
      <c r="N1389" t="s">
        <v>4400</v>
      </c>
    </row>
    <row r="1390" spans="1:14" x14ac:dyDescent="0.4">
      <c r="A1390" t="s">
        <v>2934</v>
      </c>
      <c r="B1390" t="s">
        <v>2935</v>
      </c>
      <c r="C1390" t="s">
        <v>78</v>
      </c>
      <c r="D1390" t="s">
        <v>1240</v>
      </c>
      <c r="E1390" s="2">
        <v>929.46999999999991</v>
      </c>
      <c r="F1390" s="2">
        <v>1883.22</v>
      </c>
      <c r="G1390" s="2">
        <v>1877.1199999999997</v>
      </c>
      <c r="H1390" s="2">
        <v>844.40000000000009</v>
      </c>
      <c r="I1390" s="2">
        <v>2542.3200000000002</v>
      </c>
      <c r="J1390" s="2">
        <v>1621.98</v>
      </c>
      <c r="K1390" s="2">
        <v>1029.69</v>
      </c>
      <c r="L1390" s="2">
        <v>10728.199999999992</v>
      </c>
      <c r="M1390" t="s">
        <v>4400</v>
      </c>
      <c r="N1390" t="s">
        <v>4400</v>
      </c>
    </row>
    <row r="1391" spans="1:14" x14ac:dyDescent="0.4">
      <c r="A1391" t="s">
        <v>2936</v>
      </c>
      <c r="B1391" t="s">
        <v>2937</v>
      </c>
      <c r="C1391" t="s">
        <v>423</v>
      </c>
      <c r="D1391" t="s">
        <v>430</v>
      </c>
      <c r="E1391" s="2">
        <v>722.89</v>
      </c>
      <c r="F1391" s="2"/>
      <c r="G1391" s="2"/>
      <c r="H1391" s="2"/>
      <c r="I1391" s="2"/>
      <c r="J1391" s="2"/>
      <c r="K1391" s="2"/>
      <c r="L1391" s="2">
        <v>722.89</v>
      </c>
      <c r="M1391" t="s">
        <v>4400</v>
      </c>
      <c r="N1391" t="s">
        <v>4407</v>
      </c>
    </row>
    <row r="1392" spans="1:14" x14ac:dyDescent="0.4">
      <c r="A1392" t="s">
        <v>2938</v>
      </c>
      <c r="B1392" t="s">
        <v>2652</v>
      </c>
      <c r="C1392" t="s">
        <v>64</v>
      </c>
      <c r="D1392" t="s">
        <v>65</v>
      </c>
      <c r="E1392" s="2">
        <v>1084.3500000000001</v>
      </c>
      <c r="F1392" s="2">
        <v>1014.46</v>
      </c>
      <c r="G1392" s="2">
        <v>1135.97</v>
      </c>
      <c r="H1392" s="2"/>
      <c r="I1392" s="2">
        <v>1296.9700000000003</v>
      </c>
      <c r="J1392" s="2">
        <v>1342.5200000000002</v>
      </c>
      <c r="K1392" s="2"/>
      <c r="L1392" s="2">
        <v>5874.2699999999968</v>
      </c>
      <c r="M1392" t="s">
        <v>4400</v>
      </c>
      <c r="N1392" t="s">
        <v>4406</v>
      </c>
    </row>
    <row r="1393" spans="1:14" x14ac:dyDescent="0.4">
      <c r="A1393" t="s">
        <v>2939</v>
      </c>
      <c r="B1393" t="s">
        <v>2940</v>
      </c>
      <c r="C1393" t="s">
        <v>64</v>
      </c>
      <c r="D1393" t="s">
        <v>2941</v>
      </c>
      <c r="E1393" s="2">
        <v>1087.1099999999999</v>
      </c>
      <c r="F1393" s="2">
        <v>976.59999999999991</v>
      </c>
      <c r="G1393" s="2">
        <v>912.35000000000014</v>
      </c>
      <c r="H1393" s="2">
        <v>1107.67</v>
      </c>
      <c r="I1393" s="2"/>
      <c r="J1393" s="2"/>
      <c r="K1393" s="2">
        <v>873.8</v>
      </c>
      <c r="L1393" s="2">
        <v>4957.5299999999988</v>
      </c>
      <c r="M1393" t="s">
        <v>4400</v>
      </c>
      <c r="N1393" t="s">
        <v>4400</v>
      </c>
    </row>
    <row r="1394" spans="1:14" x14ac:dyDescent="0.4">
      <c r="A1394" t="s">
        <v>2942</v>
      </c>
      <c r="B1394" t="s">
        <v>2943</v>
      </c>
      <c r="C1394" t="s">
        <v>78</v>
      </c>
      <c r="D1394" t="s">
        <v>907</v>
      </c>
      <c r="E1394" s="2">
        <v>6628.03</v>
      </c>
      <c r="F1394" s="2">
        <v>3150.8199999999997</v>
      </c>
      <c r="G1394" s="2">
        <v>9046.4</v>
      </c>
      <c r="H1394" s="2">
        <v>1249.02</v>
      </c>
      <c r="I1394" s="2">
        <v>2947.7899999999995</v>
      </c>
      <c r="J1394" s="2">
        <v>3806.1699999999996</v>
      </c>
      <c r="K1394" s="2">
        <v>2567.4299999999998</v>
      </c>
      <c r="L1394" s="2">
        <v>29395.659999999993</v>
      </c>
      <c r="M1394" t="s">
        <v>4400</v>
      </c>
      <c r="N1394" t="s">
        <v>4400</v>
      </c>
    </row>
    <row r="1395" spans="1:14" x14ac:dyDescent="0.4">
      <c r="A1395" t="s">
        <v>2944</v>
      </c>
      <c r="B1395" t="s">
        <v>2945</v>
      </c>
      <c r="C1395" t="s">
        <v>64</v>
      </c>
      <c r="D1395" t="s">
        <v>2691</v>
      </c>
      <c r="E1395" s="2"/>
      <c r="F1395" s="2">
        <v>732.44999999999993</v>
      </c>
      <c r="G1395" s="2"/>
      <c r="H1395" s="2"/>
      <c r="I1395" s="2">
        <v>817.26</v>
      </c>
      <c r="J1395" s="2">
        <v>1040.8500000000001</v>
      </c>
      <c r="K1395" s="2">
        <v>1143.6500000000001</v>
      </c>
      <c r="L1395" s="2">
        <v>3734.2099999999991</v>
      </c>
      <c r="M1395" t="s">
        <v>4412</v>
      </c>
      <c r="N1395" t="s">
        <v>4400</v>
      </c>
    </row>
    <row r="1396" spans="1:14" x14ac:dyDescent="0.4">
      <c r="A1396" t="s">
        <v>2946</v>
      </c>
      <c r="B1396" t="s">
        <v>2947</v>
      </c>
      <c r="C1396" t="s">
        <v>96</v>
      </c>
      <c r="D1396" t="s">
        <v>1010</v>
      </c>
      <c r="E1396" s="2"/>
      <c r="F1396" s="2">
        <v>732.05</v>
      </c>
      <c r="G1396" s="2"/>
      <c r="H1396" s="2"/>
      <c r="I1396" s="2"/>
      <c r="J1396" s="2"/>
      <c r="K1396" s="2"/>
      <c r="L1396" s="2">
        <v>732.05</v>
      </c>
      <c r="M1396" t="s">
        <v>4412</v>
      </c>
      <c r="N1396" t="s">
        <v>4410</v>
      </c>
    </row>
    <row r="1397" spans="1:14" x14ac:dyDescent="0.4">
      <c r="A1397" t="s">
        <v>2948</v>
      </c>
      <c r="B1397" t="s">
        <v>2949</v>
      </c>
      <c r="C1397" t="s">
        <v>64</v>
      </c>
      <c r="D1397" t="s">
        <v>2871</v>
      </c>
      <c r="E1397" s="2"/>
      <c r="F1397" s="2">
        <v>745.3</v>
      </c>
      <c r="G1397" s="2"/>
      <c r="H1397" s="2"/>
      <c r="I1397" s="2"/>
      <c r="J1397" s="2">
        <v>724.74</v>
      </c>
      <c r="K1397" s="2">
        <v>758.15</v>
      </c>
      <c r="L1397" s="2">
        <v>2228.1899999999996</v>
      </c>
      <c r="M1397" t="s">
        <v>4412</v>
      </c>
      <c r="N1397" t="s">
        <v>4400</v>
      </c>
    </row>
    <row r="1398" spans="1:14" x14ac:dyDescent="0.4">
      <c r="A1398" t="s">
        <v>2950</v>
      </c>
      <c r="B1398" t="s">
        <v>2951</v>
      </c>
      <c r="C1398" t="s">
        <v>5</v>
      </c>
      <c r="D1398" t="s">
        <v>6</v>
      </c>
      <c r="E1398" s="2">
        <v>780.63</v>
      </c>
      <c r="F1398" s="2"/>
      <c r="G1398" s="2">
        <v>1187.6300000000001</v>
      </c>
      <c r="H1398" s="2"/>
      <c r="I1398" s="2"/>
      <c r="J1398" s="2">
        <v>938.57</v>
      </c>
      <c r="K1398" s="2"/>
      <c r="L1398" s="2">
        <v>2906.8299999999995</v>
      </c>
      <c r="M1398" t="s">
        <v>4400</v>
      </c>
      <c r="N1398" t="s">
        <v>4406</v>
      </c>
    </row>
    <row r="1399" spans="1:14" x14ac:dyDescent="0.4">
      <c r="A1399" t="s">
        <v>2952</v>
      </c>
      <c r="B1399" t="s">
        <v>2652</v>
      </c>
      <c r="C1399" t="s">
        <v>64</v>
      </c>
      <c r="D1399" t="s">
        <v>2223</v>
      </c>
      <c r="E1399" s="2">
        <v>1461.01</v>
      </c>
      <c r="F1399" s="2">
        <v>735.05000000000007</v>
      </c>
      <c r="G1399" s="2"/>
      <c r="H1399" s="2"/>
      <c r="I1399" s="2"/>
      <c r="J1399" s="2"/>
      <c r="K1399" s="2"/>
      <c r="L1399" s="2">
        <v>2196.06</v>
      </c>
      <c r="M1399" t="s">
        <v>4400</v>
      </c>
      <c r="N1399" t="s">
        <v>4410</v>
      </c>
    </row>
    <row r="1400" spans="1:14" x14ac:dyDescent="0.4">
      <c r="A1400" t="s">
        <v>2953</v>
      </c>
      <c r="B1400" t="s">
        <v>2954</v>
      </c>
      <c r="C1400" t="s">
        <v>64</v>
      </c>
      <c r="D1400" t="s">
        <v>2885</v>
      </c>
      <c r="E1400" s="2"/>
      <c r="F1400" s="2">
        <v>1357.75</v>
      </c>
      <c r="G1400" s="2">
        <v>990.19999999999993</v>
      </c>
      <c r="H1400" s="2"/>
      <c r="I1400" s="2"/>
      <c r="J1400" s="2"/>
      <c r="K1400" s="2"/>
      <c r="L1400" s="2">
        <v>2347.9500000000003</v>
      </c>
      <c r="M1400" t="s">
        <v>4412</v>
      </c>
      <c r="N1400" t="s">
        <v>4403</v>
      </c>
    </row>
    <row r="1401" spans="1:14" x14ac:dyDescent="0.4">
      <c r="A1401" t="s">
        <v>2955</v>
      </c>
      <c r="B1401" t="s">
        <v>2956</v>
      </c>
      <c r="C1401" t="s">
        <v>91</v>
      </c>
      <c r="D1401" t="s">
        <v>1885</v>
      </c>
      <c r="E1401" s="2">
        <v>3711.7699999999995</v>
      </c>
      <c r="F1401" s="2">
        <v>3253.1299999999987</v>
      </c>
      <c r="G1401" s="2">
        <v>3329.0700000000006</v>
      </c>
      <c r="H1401" s="2">
        <v>2830.9299999999994</v>
      </c>
      <c r="I1401" s="2">
        <v>3973.0299999999988</v>
      </c>
      <c r="J1401" s="2">
        <v>2669.91</v>
      </c>
      <c r="K1401" s="2">
        <v>1989.5299999999997</v>
      </c>
      <c r="L1401" s="2">
        <v>21757.369999999992</v>
      </c>
      <c r="M1401" t="s">
        <v>4400</v>
      </c>
      <c r="N1401" t="s">
        <v>4400</v>
      </c>
    </row>
    <row r="1402" spans="1:14" x14ac:dyDescent="0.4">
      <c r="A1402" t="s">
        <v>2957</v>
      </c>
      <c r="B1402" t="s">
        <v>2958</v>
      </c>
      <c r="C1402" t="s">
        <v>96</v>
      </c>
      <c r="D1402" t="s">
        <v>100</v>
      </c>
      <c r="E1402" s="2"/>
      <c r="F1402" s="2"/>
      <c r="G1402" s="2"/>
      <c r="H1402" s="2">
        <v>908.18000000000006</v>
      </c>
      <c r="I1402" s="2">
        <v>905.13</v>
      </c>
      <c r="J1402" s="2">
        <v>2369.14</v>
      </c>
      <c r="K1402" s="2">
        <v>1901.3799999999997</v>
      </c>
      <c r="L1402" s="2">
        <v>6083.8300000000008</v>
      </c>
      <c r="M1402" t="s">
        <v>4409</v>
      </c>
      <c r="N1402" t="s">
        <v>4400</v>
      </c>
    </row>
    <row r="1403" spans="1:14" x14ac:dyDescent="0.4">
      <c r="A1403" t="s">
        <v>2959</v>
      </c>
      <c r="B1403" t="s">
        <v>2960</v>
      </c>
      <c r="C1403" t="s">
        <v>27</v>
      </c>
      <c r="D1403" t="s">
        <v>28</v>
      </c>
      <c r="E1403" s="2"/>
      <c r="F1403" s="2"/>
      <c r="G1403" s="2">
        <v>1731.2899999999995</v>
      </c>
      <c r="H1403" s="2">
        <v>1324.29</v>
      </c>
      <c r="I1403" s="2"/>
      <c r="J1403" s="2">
        <v>2059.3599999999997</v>
      </c>
      <c r="K1403" s="2">
        <v>1789.03</v>
      </c>
      <c r="L1403" s="2">
        <v>6903.9700000000012</v>
      </c>
      <c r="M1403" t="s">
        <v>4411</v>
      </c>
      <c r="N1403" t="s">
        <v>4400</v>
      </c>
    </row>
    <row r="1404" spans="1:14" x14ac:dyDescent="0.4">
      <c r="A1404" t="s">
        <v>2961</v>
      </c>
      <c r="B1404" t="s">
        <v>2962</v>
      </c>
      <c r="C1404" t="s">
        <v>178</v>
      </c>
      <c r="D1404" t="s">
        <v>179</v>
      </c>
      <c r="E1404" s="2">
        <v>1591.6000000000001</v>
      </c>
      <c r="F1404" s="2">
        <v>2906.7599999999998</v>
      </c>
      <c r="G1404" s="2">
        <v>2921.9700000000003</v>
      </c>
      <c r="H1404" s="2">
        <v>2177.8099999999995</v>
      </c>
      <c r="I1404" s="2">
        <v>2940.1799999999989</v>
      </c>
      <c r="J1404" s="2">
        <v>3726.8999999999996</v>
      </c>
      <c r="K1404" s="2">
        <v>1524.7700000000002</v>
      </c>
      <c r="L1404" s="2">
        <v>17789.990000000009</v>
      </c>
      <c r="M1404" t="s">
        <v>4400</v>
      </c>
      <c r="N1404" t="s">
        <v>4400</v>
      </c>
    </row>
    <row r="1405" spans="1:14" x14ac:dyDescent="0.4">
      <c r="A1405" t="s">
        <v>2963</v>
      </c>
      <c r="B1405" t="s">
        <v>2964</v>
      </c>
      <c r="C1405" t="s">
        <v>64</v>
      </c>
      <c r="D1405" t="s">
        <v>2277</v>
      </c>
      <c r="E1405" s="2"/>
      <c r="F1405" s="2"/>
      <c r="G1405" s="2"/>
      <c r="H1405" s="2"/>
      <c r="I1405" s="2"/>
      <c r="J1405" s="2">
        <v>2630.4</v>
      </c>
      <c r="K1405" s="2"/>
      <c r="L1405" s="2">
        <v>2630.4</v>
      </c>
      <c r="M1405" t="s">
        <v>4405</v>
      </c>
      <c r="N1405" t="s">
        <v>4406</v>
      </c>
    </row>
    <row r="1406" spans="1:14" x14ac:dyDescent="0.4">
      <c r="A1406" t="s">
        <v>2965</v>
      </c>
      <c r="B1406" t="s">
        <v>2966</v>
      </c>
      <c r="C1406" t="s">
        <v>310</v>
      </c>
      <c r="D1406" t="s">
        <v>314</v>
      </c>
      <c r="E1406" s="2">
        <v>1524.8100000000002</v>
      </c>
      <c r="F1406" s="2">
        <v>1497.48</v>
      </c>
      <c r="G1406" s="2">
        <v>2305.4800000000005</v>
      </c>
      <c r="H1406" s="2">
        <v>1597.71</v>
      </c>
      <c r="I1406" s="2">
        <v>1512.6799999999998</v>
      </c>
      <c r="J1406" s="2">
        <v>1646.3400000000001</v>
      </c>
      <c r="K1406" s="2">
        <v>847.45</v>
      </c>
      <c r="L1406" s="2">
        <v>10931.949999999992</v>
      </c>
      <c r="M1406" t="s">
        <v>4400</v>
      </c>
      <c r="N1406" t="s">
        <v>4400</v>
      </c>
    </row>
    <row r="1407" spans="1:14" x14ac:dyDescent="0.4">
      <c r="A1407" t="s">
        <v>2967</v>
      </c>
      <c r="B1407" t="s">
        <v>2968</v>
      </c>
      <c r="C1407" t="s">
        <v>64</v>
      </c>
      <c r="D1407" t="s">
        <v>2312</v>
      </c>
      <c r="E1407" s="2"/>
      <c r="F1407" s="2"/>
      <c r="G1407" s="2"/>
      <c r="H1407" s="2"/>
      <c r="I1407" s="2">
        <v>1017.55</v>
      </c>
      <c r="J1407" s="2"/>
      <c r="K1407" s="2"/>
      <c r="L1407" s="2">
        <v>1017.55</v>
      </c>
      <c r="M1407" t="s">
        <v>4408</v>
      </c>
      <c r="N1407" t="s">
        <v>4401</v>
      </c>
    </row>
    <row r="1408" spans="1:14" x14ac:dyDescent="0.4">
      <c r="A1408" t="s">
        <v>2969</v>
      </c>
      <c r="B1408" t="s">
        <v>2970</v>
      </c>
      <c r="C1408" t="s">
        <v>64</v>
      </c>
      <c r="D1408" t="s">
        <v>2971</v>
      </c>
      <c r="E1408" s="2">
        <v>1446.91</v>
      </c>
      <c r="F1408" s="2">
        <v>735.01999999999987</v>
      </c>
      <c r="G1408" s="2"/>
      <c r="H1408" s="2"/>
      <c r="I1408" s="2"/>
      <c r="J1408" s="2"/>
      <c r="K1408" s="2"/>
      <c r="L1408" s="2">
        <v>2181.9299999999998</v>
      </c>
      <c r="M1408" t="s">
        <v>4400</v>
      </c>
      <c r="N1408" t="s">
        <v>4410</v>
      </c>
    </row>
    <row r="1409" spans="1:14" x14ac:dyDescent="0.4">
      <c r="A1409" t="s">
        <v>2972</v>
      </c>
      <c r="B1409" t="s">
        <v>2973</v>
      </c>
      <c r="C1409" t="s">
        <v>64</v>
      </c>
      <c r="D1409" t="s">
        <v>2728</v>
      </c>
      <c r="E1409" s="2">
        <v>1678.2100000000003</v>
      </c>
      <c r="F1409" s="2">
        <v>717.03</v>
      </c>
      <c r="G1409" s="2">
        <v>1847.8299999999997</v>
      </c>
      <c r="H1409" s="2"/>
      <c r="I1409" s="2">
        <v>812.11999999999989</v>
      </c>
      <c r="J1409" s="2">
        <v>740.16</v>
      </c>
      <c r="K1409" s="2">
        <v>971.45999999999992</v>
      </c>
      <c r="L1409" s="2">
        <v>6766.8100000000031</v>
      </c>
      <c r="M1409" t="s">
        <v>4400</v>
      </c>
      <c r="N1409" t="s">
        <v>4400</v>
      </c>
    </row>
    <row r="1410" spans="1:14" x14ac:dyDescent="0.4">
      <c r="A1410" t="s">
        <v>2974</v>
      </c>
      <c r="B1410" t="s">
        <v>2975</v>
      </c>
      <c r="C1410" t="s">
        <v>602</v>
      </c>
      <c r="D1410" t="s">
        <v>603</v>
      </c>
      <c r="E1410" s="2">
        <v>759.42000000000007</v>
      </c>
      <c r="F1410" s="2">
        <v>1625.1399999999999</v>
      </c>
      <c r="G1410" s="2">
        <v>2493.9000000000005</v>
      </c>
      <c r="H1410" s="2">
        <v>2338.9899999999993</v>
      </c>
      <c r="I1410" s="2">
        <v>1521.86</v>
      </c>
      <c r="J1410" s="2">
        <v>868.75999999999988</v>
      </c>
      <c r="K1410" s="2">
        <v>886.9899999999999</v>
      </c>
      <c r="L1410" s="2">
        <v>10495.059999999998</v>
      </c>
      <c r="M1410" t="s">
        <v>4400</v>
      </c>
      <c r="N1410" t="s">
        <v>4400</v>
      </c>
    </row>
    <row r="1411" spans="1:14" x14ac:dyDescent="0.4">
      <c r="A1411" t="s">
        <v>2976</v>
      </c>
      <c r="B1411" t="s">
        <v>2977</v>
      </c>
      <c r="C1411" t="s">
        <v>5</v>
      </c>
      <c r="D1411" t="s">
        <v>56</v>
      </c>
      <c r="E1411" s="2">
        <v>1533.85</v>
      </c>
      <c r="F1411" s="2">
        <v>744.14999999999986</v>
      </c>
      <c r="G1411" s="2"/>
      <c r="H1411" s="2"/>
      <c r="I1411" s="2"/>
      <c r="J1411" s="2"/>
      <c r="K1411" s="2"/>
      <c r="L1411" s="2">
        <v>2278.0000000000005</v>
      </c>
      <c r="M1411" t="s">
        <v>4400</v>
      </c>
      <c r="N1411" t="s">
        <v>4410</v>
      </c>
    </row>
    <row r="1412" spans="1:14" x14ac:dyDescent="0.4">
      <c r="A1412" t="s">
        <v>2978</v>
      </c>
      <c r="B1412" t="s">
        <v>2652</v>
      </c>
      <c r="C1412" t="s">
        <v>64</v>
      </c>
      <c r="D1412" t="s">
        <v>1143</v>
      </c>
      <c r="E1412" s="2">
        <v>747.22</v>
      </c>
      <c r="F1412" s="2"/>
      <c r="G1412" s="2"/>
      <c r="H1412" s="2"/>
      <c r="I1412" s="2"/>
      <c r="J1412" s="2"/>
      <c r="K1412" s="2"/>
      <c r="L1412" s="2">
        <v>747.22</v>
      </c>
      <c r="M1412" t="s">
        <v>4400</v>
      </c>
      <c r="N1412" t="s">
        <v>4407</v>
      </c>
    </row>
    <row r="1413" spans="1:14" x14ac:dyDescent="0.4">
      <c r="A1413" t="s">
        <v>2979</v>
      </c>
      <c r="B1413" t="s">
        <v>2980</v>
      </c>
      <c r="C1413" t="s">
        <v>78</v>
      </c>
      <c r="D1413" t="s">
        <v>907</v>
      </c>
      <c r="E1413" s="2">
        <v>1457.19</v>
      </c>
      <c r="F1413" s="2">
        <v>1439.2</v>
      </c>
      <c r="G1413" s="2"/>
      <c r="H1413" s="2"/>
      <c r="I1413" s="2"/>
      <c r="J1413" s="2"/>
      <c r="K1413" s="2"/>
      <c r="L1413" s="2">
        <v>2896.39</v>
      </c>
      <c r="M1413" t="s">
        <v>4400</v>
      </c>
      <c r="N1413" t="s">
        <v>4410</v>
      </c>
    </row>
    <row r="1414" spans="1:14" x14ac:dyDescent="0.4">
      <c r="A1414" t="s">
        <v>2981</v>
      </c>
      <c r="B1414" t="s">
        <v>2652</v>
      </c>
      <c r="C1414" t="s">
        <v>64</v>
      </c>
      <c r="D1414" t="s">
        <v>2223</v>
      </c>
      <c r="E1414" s="2"/>
      <c r="F1414" s="2">
        <v>747.21</v>
      </c>
      <c r="G1414" s="2"/>
      <c r="H1414" s="2">
        <v>716.83999999999992</v>
      </c>
      <c r="I1414" s="2">
        <v>725.94999999999993</v>
      </c>
      <c r="J1414" s="2"/>
      <c r="K1414" s="2">
        <v>732.02</v>
      </c>
      <c r="L1414" s="2">
        <v>2922.02</v>
      </c>
      <c r="M1414" t="s">
        <v>4412</v>
      </c>
      <c r="N1414" t="s">
        <v>4400</v>
      </c>
    </row>
    <row r="1415" spans="1:14" x14ac:dyDescent="0.4">
      <c r="A1415" t="s">
        <v>2982</v>
      </c>
      <c r="B1415" t="s">
        <v>2983</v>
      </c>
      <c r="C1415" t="s">
        <v>113</v>
      </c>
      <c r="D1415" t="s">
        <v>114</v>
      </c>
      <c r="E1415" s="2">
        <v>1105.6000000000001</v>
      </c>
      <c r="F1415" s="2"/>
      <c r="G1415" s="2"/>
      <c r="H1415" s="2"/>
      <c r="I1415" s="2"/>
      <c r="J1415" s="2"/>
      <c r="K1415" s="2"/>
      <c r="L1415" s="2">
        <v>1105.6000000000001</v>
      </c>
      <c r="M1415" t="s">
        <v>4400</v>
      </c>
      <c r="N1415" t="s">
        <v>4407</v>
      </c>
    </row>
    <row r="1416" spans="1:14" x14ac:dyDescent="0.4">
      <c r="A1416" t="s">
        <v>2984</v>
      </c>
      <c r="B1416" t="s">
        <v>2985</v>
      </c>
      <c r="C1416" t="s">
        <v>5</v>
      </c>
      <c r="D1416" t="s">
        <v>1059</v>
      </c>
      <c r="E1416" s="2"/>
      <c r="F1416" s="2"/>
      <c r="G1416" s="2">
        <v>747.20999999999992</v>
      </c>
      <c r="H1416" s="2">
        <v>2472.4299999999994</v>
      </c>
      <c r="I1416" s="2"/>
      <c r="J1416" s="2"/>
      <c r="K1416" s="2"/>
      <c r="L1416" s="2">
        <v>3219.6399999999985</v>
      </c>
      <c r="M1416" t="s">
        <v>4411</v>
      </c>
      <c r="N1416" t="s">
        <v>4402</v>
      </c>
    </row>
    <row r="1417" spans="1:14" x14ac:dyDescent="0.4">
      <c r="A1417" t="s">
        <v>2986</v>
      </c>
      <c r="B1417" t="s">
        <v>2987</v>
      </c>
      <c r="C1417" t="s">
        <v>78</v>
      </c>
      <c r="D1417" t="s">
        <v>1240</v>
      </c>
      <c r="E1417" s="2">
        <v>732.45</v>
      </c>
      <c r="F1417" s="2"/>
      <c r="G1417" s="2">
        <v>904.63999999999976</v>
      </c>
      <c r="H1417" s="2"/>
      <c r="I1417" s="2"/>
      <c r="J1417" s="2"/>
      <c r="K1417" s="2"/>
      <c r="L1417" s="2">
        <v>1637.09</v>
      </c>
      <c r="M1417" t="s">
        <v>4400</v>
      </c>
      <c r="N1417" t="s">
        <v>4403</v>
      </c>
    </row>
    <row r="1418" spans="1:14" x14ac:dyDescent="0.4">
      <c r="A1418" t="s">
        <v>2988</v>
      </c>
      <c r="B1418" t="s">
        <v>2989</v>
      </c>
      <c r="C1418" t="s">
        <v>103</v>
      </c>
      <c r="D1418" t="s">
        <v>104</v>
      </c>
      <c r="E1418" s="2"/>
      <c r="F1418" s="2">
        <v>984.12000000000012</v>
      </c>
      <c r="G1418" s="2">
        <v>959.83999999999992</v>
      </c>
      <c r="H1418" s="2"/>
      <c r="I1418" s="2"/>
      <c r="J1418" s="2">
        <v>917.3</v>
      </c>
      <c r="K1418" s="2">
        <v>1837.6299999999999</v>
      </c>
      <c r="L1418" s="2">
        <v>4698.8900000000012</v>
      </c>
      <c r="M1418" t="s">
        <v>4412</v>
      </c>
      <c r="N1418" t="s">
        <v>4400</v>
      </c>
    </row>
    <row r="1419" spans="1:14" x14ac:dyDescent="0.4">
      <c r="A1419" t="s">
        <v>2990</v>
      </c>
      <c r="B1419" t="s">
        <v>2991</v>
      </c>
      <c r="C1419" t="s">
        <v>78</v>
      </c>
      <c r="D1419" t="s">
        <v>1553</v>
      </c>
      <c r="E1419" s="2">
        <v>2445.1899999999996</v>
      </c>
      <c r="F1419" s="2">
        <v>1661.5</v>
      </c>
      <c r="G1419" s="2"/>
      <c r="H1419" s="2"/>
      <c r="I1419" s="2"/>
      <c r="J1419" s="2">
        <v>4234.1399999999994</v>
      </c>
      <c r="K1419" s="2">
        <v>1931.82</v>
      </c>
      <c r="L1419" s="2">
        <v>10272.650000000001</v>
      </c>
      <c r="M1419" t="s">
        <v>4400</v>
      </c>
      <c r="N1419" t="s">
        <v>4400</v>
      </c>
    </row>
    <row r="1420" spans="1:14" x14ac:dyDescent="0.4">
      <c r="A1420" t="s">
        <v>2992</v>
      </c>
      <c r="B1420" t="s">
        <v>2993</v>
      </c>
      <c r="C1420" t="s">
        <v>64</v>
      </c>
      <c r="D1420" t="s">
        <v>1424</v>
      </c>
      <c r="E1420" s="2">
        <v>1079.3999999999999</v>
      </c>
      <c r="F1420" s="2">
        <v>788.9899999999999</v>
      </c>
      <c r="G1420" s="2">
        <v>971.45999999999992</v>
      </c>
      <c r="H1420" s="2"/>
      <c r="I1420" s="2">
        <v>1904.37</v>
      </c>
      <c r="J1420" s="2"/>
      <c r="K1420" s="2"/>
      <c r="L1420" s="2">
        <v>4744.2200000000012</v>
      </c>
      <c r="M1420" t="s">
        <v>4400</v>
      </c>
      <c r="N1420" t="s">
        <v>4401</v>
      </c>
    </row>
    <row r="1421" spans="1:14" x14ac:dyDescent="0.4">
      <c r="A1421" t="s">
        <v>2994</v>
      </c>
      <c r="B1421" t="s">
        <v>2502</v>
      </c>
      <c r="C1421" t="s">
        <v>19</v>
      </c>
      <c r="D1421" t="s">
        <v>20</v>
      </c>
      <c r="E1421" s="2"/>
      <c r="F1421" s="2">
        <v>1227.1600000000001</v>
      </c>
      <c r="G1421" s="2">
        <v>2770.2099999999996</v>
      </c>
      <c r="H1421" s="2">
        <v>2013.8100000000002</v>
      </c>
      <c r="I1421" s="2">
        <v>2153.4700000000003</v>
      </c>
      <c r="J1421" s="2">
        <v>3778.4</v>
      </c>
      <c r="K1421" s="2">
        <v>2113.98</v>
      </c>
      <c r="L1421" s="2">
        <v>14057.029999999997</v>
      </c>
      <c r="M1421" t="s">
        <v>4412</v>
      </c>
      <c r="N1421" t="s">
        <v>4400</v>
      </c>
    </row>
    <row r="1422" spans="1:14" x14ac:dyDescent="0.4">
      <c r="A1422" t="s">
        <v>2995</v>
      </c>
      <c r="B1422" t="s">
        <v>2996</v>
      </c>
      <c r="C1422" t="s">
        <v>374</v>
      </c>
      <c r="D1422" t="s">
        <v>375</v>
      </c>
      <c r="E1422" s="2"/>
      <c r="F1422" s="2">
        <v>738.09</v>
      </c>
      <c r="G1422" s="2"/>
      <c r="H1422" s="2"/>
      <c r="I1422" s="2"/>
      <c r="J1422" s="2"/>
      <c r="K1422" s="2"/>
      <c r="L1422" s="2">
        <v>738.09</v>
      </c>
      <c r="M1422" t="s">
        <v>4412</v>
      </c>
      <c r="N1422" t="s">
        <v>4410</v>
      </c>
    </row>
    <row r="1423" spans="1:14" x14ac:dyDescent="0.4">
      <c r="A1423" t="s">
        <v>2997</v>
      </c>
      <c r="B1423" t="s">
        <v>2998</v>
      </c>
      <c r="C1423" t="s">
        <v>31</v>
      </c>
      <c r="D1423" t="s">
        <v>32</v>
      </c>
      <c r="E1423" s="2">
        <v>789.7</v>
      </c>
      <c r="F1423" s="2"/>
      <c r="G1423" s="2"/>
      <c r="H1423" s="2"/>
      <c r="I1423" s="2"/>
      <c r="J1423" s="2"/>
      <c r="K1423" s="2"/>
      <c r="L1423" s="2">
        <v>789.7</v>
      </c>
      <c r="M1423" t="s">
        <v>4400</v>
      </c>
      <c r="N1423" t="s">
        <v>4407</v>
      </c>
    </row>
    <row r="1424" spans="1:14" x14ac:dyDescent="0.4">
      <c r="A1424" t="s">
        <v>2999</v>
      </c>
      <c r="B1424" t="s">
        <v>762</v>
      </c>
      <c r="C1424" t="s">
        <v>542</v>
      </c>
      <c r="D1424" t="s">
        <v>2506</v>
      </c>
      <c r="E1424" s="2">
        <v>5247.9400000000005</v>
      </c>
      <c r="F1424" s="2">
        <v>3518.3299999999995</v>
      </c>
      <c r="G1424" s="2">
        <v>5137.4300000000012</v>
      </c>
      <c r="H1424" s="2">
        <v>3546.6000000000013</v>
      </c>
      <c r="I1424" s="2">
        <v>4733.9400000000014</v>
      </c>
      <c r="J1424" s="2">
        <v>5558.91</v>
      </c>
      <c r="K1424" s="2">
        <v>4320.17</v>
      </c>
      <c r="L1424" s="2">
        <v>32063.320000000058</v>
      </c>
      <c r="M1424" t="s">
        <v>4400</v>
      </c>
      <c r="N1424" t="s">
        <v>4400</v>
      </c>
    </row>
    <row r="1425" spans="1:14" x14ac:dyDescent="0.4">
      <c r="A1425" t="s">
        <v>3000</v>
      </c>
      <c r="B1425" t="s">
        <v>2878</v>
      </c>
      <c r="C1425" t="s">
        <v>64</v>
      </c>
      <c r="D1425" t="s">
        <v>2971</v>
      </c>
      <c r="E1425" s="2">
        <v>4736.51</v>
      </c>
      <c r="F1425" s="2">
        <v>2924.66</v>
      </c>
      <c r="G1425" s="2">
        <v>2600.8399999999997</v>
      </c>
      <c r="H1425" s="2">
        <v>2626.54</v>
      </c>
      <c r="I1425" s="2">
        <v>3042.8799999999997</v>
      </c>
      <c r="J1425" s="2">
        <v>3191.9399999999996</v>
      </c>
      <c r="K1425" s="2">
        <v>1608.8199999999997</v>
      </c>
      <c r="L1425" s="2">
        <v>20732.190000000021</v>
      </c>
      <c r="M1425" t="s">
        <v>4400</v>
      </c>
      <c r="N1425" t="s">
        <v>4400</v>
      </c>
    </row>
    <row r="1426" spans="1:14" x14ac:dyDescent="0.4">
      <c r="A1426" t="s">
        <v>3001</v>
      </c>
      <c r="B1426" t="s">
        <v>3002</v>
      </c>
      <c r="C1426" t="s">
        <v>178</v>
      </c>
      <c r="D1426" t="s">
        <v>179</v>
      </c>
      <c r="E1426" s="2">
        <v>1886.2299999999998</v>
      </c>
      <c r="F1426" s="2">
        <v>975</v>
      </c>
      <c r="G1426" s="2">
        <v>1816.36</v>
      </c>
      <c r="H1426" s="2">
        <v>1782.9299999999998</v>
      </c>
      <c r="I1426" s="2">
        <v>3468.6500000000005</v>
      </c>
      <c r="J1426" s="2">
        <v>2290.16</v>
      </c>
      <c r="K1426" s="2">
        <v>1099.52</v>
      </c>
      <c r="L1426" s="2">
        <v>13318.849999999993</v>
      </c>
      <c r="M1426" t="s">
        <v>4400</v>
      </c>
      <c r="N1426" t="s">
        <v>4400</v>
      </c>
    </row>
    <row r="1427" spans="1:14" x14ac:dyDescent="0.4">
      <c r="A1427" t="s">
        <v>3003</v>
      </c>
      <c r="B1427" t="s">
        <v>3004</v>
      </c>
      <c r="C1427" t="s">
        <v>163</v>
      </c>
      <c r="D1427" t="s">
        <v>2623</v>
      </c>
      <c r="E1427" s="2">
        <v>2326.6900000000005</v>
      </c>
      <c r="F1427" s="2">
        <v>2311.4900000000002</v>
      </c>
      <c r="G1427" s="2">
        <v>3001.0000000000005</v>
      </c>
      <c r="H1427" s="2">
        <v>1594.6499999999999</v>
      </c>
      <c r="I1427" s="2">
        <v>3152.8499999999995</v>
      </c>
      <c r="J1427" s="2">
        <v>1488.34</v>
      </c>
      <c r="K1427" s="2">
        <v>1476.1800000000003</v>
      </c>
      <c r="L1427" s="2">
        <v>15351.199999999981</v>
      </c>
      <c r="M1427" t="s">
        <v>4400</v>
      </c>
      <c r="N1427" t="s">
        <v>4400</v>
      </c>
    </row>
    <row r="1428" spans="1:14" x14ac:dyDescent="0.4">
      <c r="A1428" t="s">
        <v>3005</v>
      </c>
      <c r="B1428" t="s">
        <v>2652</v>
      </c>
      <c r="C1428" t="s">
        <v>1</v>
      </c>
      <c r="D1428" t="s">
        <v>507</v>
      </c>
      <c r="E1428" s="2">
        <v>796.69999999999982</v>
      </c>
      <c r="F1428" s="2">
        <v>1549.7099999999998</v>
      </c>
      <c r="G1428" s="2">
        <v>1570.27</v>
      </c>
      <c r="H1428" s="2"/>
      <c r="I1428" s="2">
        <v>765.8599999999999</v>
      </c>
      <c r="J1428" s="2">
        <v>765.8599999999999</v>
      </c>
      <c r="K1428" s="2"/>
      <c r="L1428" s="2">
        <v>5448.4000000000005</v>
      </c>
      <c r="M1428" t="s">
        <v>4400</v>
      </c>
      <c r="N1428" t="s">
        <v>4406</v>
      </c>
    </row>
    <row r="1429" spans="1:14" x14ac:dyDescent="0.4">
      <c r="A1429" t="s">
        <v>3006</v>
      </c>
      <c r="B1429" t="s">
        <v>3007</v>
      </c>
      <c r="C1429" t="s">
        <v>791</v>
      </c>
      <c r="D1429" t="s">
        <v>792</v>
      </c>
      <c r="E1429" s="2">
        <v>844.39999999999986</v>
      </c>
      <c r="F1429" s="2"/>
      <c r="G1429" s="2"/>
      <c r="H1429" s="2">
        <v>838.33999999999992</v>
      </c>
      <c r="I1429" s="2"/>
      <c r="J1429" s="2"/>
      <c r="K1429" s="2"/>
      <c r="L1429" s="2">
        <v>1682.7399999999998</v>
      </c>
      <c r="M1429" t="s">
        <v>4400</v>
      </c>
      <c r="N1429" t="s">
        <v>4402</v>
      </c>
    </row>
    <row r="1430" spans="1:14" x14ac:dyDescent="0.4">
      <c r="A1430" t="s">
        <v>3008</v>
      </c>
      <c r="B1430" t="s">
        <v>3009</v>
      </c>
      <c r="C1430" t="s">
        <v>103</v>
      </c>
      <c r="D1430" t="s">
        <v>104</v>
      </c>
      <c r="E1430" s="2"/>
      <c r="F1430" s="2">
        <v>1485.32</v>
      </c>
      <c r="G1430" s="2">
        <v>1120.8</v>
      </c>
      <c r="H1430" s="2"/>
      <c r="I1430" s="2"/>
      <c r="J1430" s="2">
        <v>1120.82</v>
      </c>
      <c r="K1430" s="2"/>
      <c r="L1430" s="2">
        <v>3726.9399999999996</v>
      </c>
      <c r="M1430" t="s">
        <v>4412</v>
      </c>
      <c r="N1430" t="s">
        <v>4406</v>
      </c>
    </row>
    <row r="1431" spans="1:14" x14ac:dyDescent="0.4">
      <c r="A1431" t="s">
        <v>3010</v>
      </c>
      <c r="B1431" t="s">
        <v>1769</v>
      </c>
      <c r="C1431" t="s">
        <v>113</v>
      </c>
      <c r="D1431" t="s">
        <v>120</v>
      </c>
      <c r="E1431" s="2">
        <v>2850.1299999999992</v>
      </c>
      <c r="F1431" s="2">
        <v>3952.659999999998</v>
      </c>
      <c r="G1431" s="2">
        <v>2143.38</v>
      </c>
      <c r="H1431" s="2">
        <v>2765.3199999999988</v>
      </c>
      <c r="I1431" s="2">
        <v>1531.7199999999996</v>
      </c>
      <c r="J1431" s="2">
        <v>2752.47</v>
      </c>
      <c r="K1431" s="2"/>
      <c r="L1431" s="2">
        <v>15995.680000000037</v>
      </c>
      <c r="M1431" t="s">
        <v>4400</v>
      </c>
      <c r="N1431" t="s">
        <v>4406</v>
      </c>
    </row>
    <row r="1432" spans="1:14" x14ac:dyDescent="0.4">
      <c r="A1432" t="s">
        <v>3011</v>
      </c>
      <c r="B1432" t="s">
        <v>3012</v>
      </c>
      <c r="C1432" t="s">
        <v>27</v>
      </c>
      <c r="D1432" t="s">
        <v>1333</v>
      </c>
      <c r="E1432" s="2">
        <v>2423.7999999999997</v>
      </c>
      <c r="F1432" s="2">
        <v>3040.3699999999994</v>
      </c>
      <c r="G1432" s="2">
        <v>2208.17</v>
      </c>
      <c r="H1432" s="2">
        <v>1813.2599999999995</v>
      </c>
      <c r="I1432" s="2">
        <v>2824.74</v>
      </c>
      <c r="J1432" s="2">
        <v>3356.2400000000002</v>
      </c>
      <c r="K1432" s="2">
        <v>1871.0499999999997</v>
      </c>
      <c r="L1432" s="2">
        <v>17537.629999999983</v>
      </c>
      <c r="M1432" t="s">
        <v>4400</v>
      </c>
      <c r="N1432" t="s">
        <v>4400</v>
      </c>
    </row>
    <row r="1433" spans="1:14" x14ac:dyDescent="0.4">
      <c r="A1433" t="s">
        <v>3013</v>
      </c>
      <c r="B1433" t="s">
        <v>3014</v>
      </c>
      <c r="C1433" t="s">
        <v>35</v>
      </c>
      <c r="D1433" t="s">
        <v>1212</v>
      </c>
      <c r="E1433" s="2">
        <v>2226.3999999999996</v>
      </c>
      <c r="F1433" s="2">
        <v>732.01</v>
      </c>
      <c r="G1433" s="2">
        <v>3486.92</v>
      </c>
      <c r="H1433" s="2">
        <v>2138.3000000000002</v>
      </c>
      <c r="I1433" s="2">
        <v>1931.76</v>
      </c>
      <c r="J1433" s="2">
        <v>2712.38</v>
      </c>
      <c r="K1433" s="2">
        <v>735.05</v>
      </c>
      <c r="L1433" s="2">
        <v>13962.819999999991</v>
      </c>
      <c r="M1433" t="s">
        <v>4400</v>
      </c>
      <c r="N1433" t="s">
        <v>4400</v>
      </c>
    </row>
    <row r="1434" spans="1:14" x14ac:dyDescent="0.4">
      <c r="A1434" t="s">
        <v>3015</v>
      </c>
      <c r="B1434" t="s">
        <v>3016</v>
      </c>
      <c r="C1434" t="s">
        <v>19</v>
      </c>
      <c r="D1434" t="s">
        <v>20</v>
      </c>
      <c r="E1434" s="2">
        <v>3058.6499999999992</v>
      </c>
      <c r="F1434" s="2">
        <v>3550.7299999999991</v>
      </c>
      <c r="G1434" s="2">
        <v>3954.7299999999991</v>
      </c>
      <c r="H1434" s="2">
        <v>1579.46</v>
      </c>
      <c r="I1434" s="2">
        <v>2490.6899999999996</v>
      </c>
      <c r="J1434" s="2">
        <v>935.5200000000001</v>
      </c>
      <c r="K1434" s="2">
        <v>1570.35</v>
      </c>
      <c r="L1434" s="2">
        <v>17140.129999999994</v>
      </c>
      <c r="M1434" t="s">
        <v>4400</v>
      </c>
      <c r="N1434" t="s">
        <v>4400</v>
      </c>
    </row>
    <row r="1435" spans="1:14" x14ac:dyDescent="0.4">
      <c r="A1435" t="s">
        <v>3017</v>
      </c>
      <c r="B1435" t="s">
        <v>3018</v>
      </c>
      <c r="C1435" t="s">
        <v>113</v>
      </c>
      <c r="D1435" t="s">
        <v>120</v>
      </c>
      <c r="E1435" s="2"/>
      <c r="F1435" s="2">
        <v>2478.4999999999995</v>
      </c>
      <c r="G1435" s="2">
        <v>1989.5</v>
      </c>
      <c r="H1435" s="2"/>
      <c r="I1435" s="2"/>
      <c r="J1435" s="2"/>
      <c r="K1435" s="2"/>
      <c r="L1435" s="2">
        <v>4468.0000000000009</v>
      </c>
      <c r="M1435" t="s">
        <v>4412</v>
      </c>
      <c r="N1435" t="s">
        <v>4403</v>
      </c>
    </row>
    <row r="1436" spans="1:14" x14ac:dyDescent="0.4">
      <c r="A1436" t="s">
        <v>3019</v>
      </c>
      <c r="B1436" t="s">
        <v>3020</v>
      </c>
      <c r="C1436" t="s">
        <v>64</v>
      </c>
      <c r="D1436" t="s">
        <v>1427</v>
      </c>
      <c r="E1436" s="2">
        <v>2083.6599999999994</v>
      </c>
      <c r="F1436" s="2">
        <v>811</v>
      </c>
      <c r="G1436" s="2">
        <v>865.66</v>
      </c>
      <c r="H1436" s="2">
        <v>1585.5300000000002</v>
      </c>
      <c r="I1436" s="2">
        <v>1919.6599999999996</v>
      </c>
      <c r="J1436" s="2">
        <v>1755.6399999999996</v>
      </c>
      <c r="K1436" s="2"/>
      <c r="L1436" s="2">
        <v>9021.1500000000033</v>
      </c>
      <c r="M1436" t="s">
        <v>4400</v>
      </c>
      <c r="N1436" t="s">
        <v>4406</v>
      </c>
    </row>
    <row r="1437" spans="1:14" x14ac:dyDescent="0.4">
      <c r="A1437" t="s">
        <v>3021</v>
      </c>
      <c r="B1437" t="s">
        <v>3022</v>
      </c>
      <c r="C1437" t="s">
        <v>64</v>
      </c>
      <c r="D1437" t="s">
        <v>71</v>
      </c>
      <c r="E1437" s="2">
        <v>747.87</v>
      </c>
      <c r="F1437" s="2">
        <v>1495.74</v>
      </c>
      <c r="G1437" s="2">
        <v>2233.33</v>
      </c>
      <c r="H1437" s="2">
        <v>1475.18</v>
      </c>
      <c r="I1437" s="2">
        <v>2143.38</v>
      </c>
      <c r="J1437" s="2">
        <v>1434.06</v>
      </c>
      <c r="K1437" s="2"/>
      <c r="L1437" s="2">
        <v>9529.5600000000122</v>
      </c>
      <c r="M1437" t="s">
        <v>4400</v>
      </c>
      <c r="N1437" t="s">
        <v>4406</v>
      </c>
    </row>
    <row r="1438" spans="1:14" x14ac:dyDescent="0.4">
      <c r="A1438" t="s">
        <v>3023</v>
      </c>
      <c r="B1438" t="s">
        <v>2652</v>
      </c>
      <c r="C1438" t="s">
        <v>64</v>
      </c>
      <c r="D1438" t="s">
        <v>2223</v>
      </c>
      <c r="E1438" s="2">
        <v>795.8</v>
      </c>
      <c r="F1438" s="2"/>
      <c r="G1438" s="2">
        <v>728.98</v>
      </c>
      <c r="H1438" s="2"/>
      <c r="I1438" s="2"/>
      <c r="J1438" s="2"/>
      <c r="K1438" s="2"/>
      <c r="L1438" s="2">
        <v>1524.78</v>
      </c>
      <c r="M1438" t="s">
        <v>4400</v>
      </c>
      <c r="N1438" t="s">
        <v>4403</v>
      </c>
    </row>
    <row r="1439" spans="1:14" x14ac:dyDescent="0.4">
      <c r="A1439" t="s">
        <v>3024</v>
      </c>
      <c r="B1439" t="s">
        <v>3025</v>
      </c>
      <c r="C1439" t="s">
        <v>178</v>
      </c>
      <c r="D1439" t="s">
        <v>179</v>
      </c>
      <c r="E1439" s="2">
        <v>3872.9899999999989</v>
      </c>
      <c r="F1439" s="2">
        <v>4160.83</v>
      </c>
      <c r="G1439" s="2">
        <v>5597.4599999999991</v>
      </c>
      <c r="H1439" s="2">
        <v>3220.2099999999991</v>
      </c>
      <c r="I1439" s="2">
        <v>2611.1199999999994</v>
      </c>
      <c r="J1439" s="2"/>
      <c r="K1439" s="2">
        <v>878.93999999999994</v>
      </c>
      <c r="L1439" s="2">
        <v>20341.550000000017</v>
      </c>
      <c r="M1439" t="s">
        <v>4400</v>
      </c>
      <c r="N1439" t="s">
        <v>4400</v>
      </c>
    </row>
    <row r="1440" spans="1:14" x14ac:dyDescent="0.4">
      <c r="A1440" t="s">
        <v>3026</v>
      </c>
      <c r="B1440" t="s">
        <v>2888</v>
      </c>
      <c r="C1440" t="s">
        <v>1</v>
      </c>
      <c r="D1440" t="s">
        <v>507</v>
      </c>
      <c r="E1440" s="2">
        <v>4000.38</v>
      </c>
      <c r="F1440" s="2">
        <v>6339.2999999999984</v>
      </c>
      <c r="G1440" s="2">
        <v>6202.5699999999988</v>
      </c>
      <c r="H1440" s="2">
        <v>7107.78</v>
      </c>
      <c r="I1440" s="2">
        <v>8784.58</v>
      </c>
      <c r="J1440" s="2">
        <v>8128.41</v>
      </c>
      <c r="K1440" s="2">
        <v>4219.1000000000004</v>
      </c>
      <c r="L1440" s="2">
        <v>44782.12000000001</v>
      </c>
      <c r="M1440" t="s">
        <v>4400</v>
      </c>
      <c r="N1440" t="s">
        <v>4400</v>
      </c>
    </row>
    <row r="1441" spans="1:14" x14ac:dyDescent="0.4">
      <c r="A1441" t="s">
        <v>3027</v>
      </c>
      <c r="B1441" t="s">
        <v>2791</v>
      </c>
      <c r="C1441" t="s">
        <v>1</v>
      </c>
      <c r="D1441" t="s">
        <v>1030</v>
      </c>
      <c r="E1441" s="2">
        <v>6326.91</v>
      </c>
      <c r="F1441" s="2">
        <v>5275.9699999999984</v>
      </c>
      <c r="G1441" s="2">
        <v>4361.72</v>
      </c>
      <c r="H1441" s="2">
        <v>4455.8900000000003</v>
      </c>
      <c r="I1441" s="2">
        <v>5382.26</v>
      </c>
      <c r="J1441" s="2">
        <v>2548.4000000000005</v>
      </c>
      <c r="K1441" s="2">
        <v>1664.5199999999998</v>
      </c>
      <c r="L1441" s="2">
        <v>30015.669999999951</v>
      </c>
      <c r="M1441" t="s">
        <v>4400</v>
      </c>
      <c r="N1441" t="s">
        <v>4400</v>
      </c>
    </row>
    <row r="1442" spans="1:14" x14ac:dyDescent="0.4">
      <c r="A1442" t="s">
        <v>3028</v>
      </c>
      <c r="B1442" t="s">
        <v>2652</v>
      </c>
      <c r="C1442" t="s">
        <v>64</v>
      </c>
      <c r="D1442" t="s">
        <v>2165</v>
      </c>
      <c r="E1442" s="2"/>
      <c r="F1442" s="2"/>
      <c r="G1442" s="2">
        <v>1403.2899999999997</v>
      </c>
      <c r="H1442" s="2">
        <v>1029.69</v>
      </c>
      <c r="I1442" s="2">
        <v>2174.7999999999997</v>
      </c>
      <c r="J1442" s="2"/>
      <c r="K1442" s="2"/>
      <c r="L1442" s="2">
        <v>4607.7799999999988</v>
      </c>
      <c r="M1442" t="s">
        <v>4411</v>
      </c>
      <c r="N1442" t="s">
        <v>4401</v>
      </c>
    </row>
    <row r="1443" spans="1:14" x14ac:dyDescent="0.4">
      <c r="A1443" t="s">
        <v>3029</v>
      </c>
      <c r="B1443" t="s">
        <v>3030</v>
      </c>
      <c r="C1443" t="s">
        <v>64</v>
      </c>
      <c r="D1443" t="s">
        <v>1143</v>
      </c>
      <c r="E1443" s="2">
        <v>1588.5700000000002</v>
      </c>
      <c r="F1443" s="2">
        <v>735.04</v>
      </c>
      <c r="G1443" s="2"/>
      <c r="H1443" s="2"/>
      <c r="I1443" s="2"/>
      <c r="J1443" s="2"/>
      <c r="K1443" s="2"/>
      <c r="L1443" s="2">
        <v>2323.61</v>
      </c>
      <c r="M1443" t="s">
        <v>4400</v>
      </c>
      <c r="N1443" t="s">
        <v>4410</v>
      </c>
    </row>
    <row r="1444" spans="1:14" x14ac:dyDescent="0.4">
      <c r="A1444" t="s">
        <v>3031</v>
      </c>
      <c r="B1444" t="s">
        <v>3032</v>
      </c>
      <c r="C1444" t="s">
        <v>437</v>
      </c>
      <c r="D1444" t="s">
        <v>3033</v>
      </c>
      <c r="E1444" s="2"/>
      <c r="F1444" s="2"/>
      <c r="G1444" s="2"/>
      <c r="H1444" s="2">
        <v>783.65999999999985</v>
      </c>
      <c r="I1444" s="2">
        <v>1527.84</v>
      </c>
      <c r="J1444" s="2">
        <v>1549.1100000000001</v>
      </c>
      <c r="K1444" s="2">
        <v>826.18999999999994</v>
      </c>
      <c r="L1444" s="2">
        <v>4686.7999999999993</v>
      </c>
      <c r="M1444" t="s">
        <v>4409</v>
      </c>
      <c r="N1444" t="s">
        <v>4400</v>
      </c>
    </row>
    <row r="1445" spans="1:14" x14ac:dyDescent="0.4">
      <c r="A1445" t="s">
        <v>3034</v>
      </c>
      <c r="B1445" t="s">
        <v>3035</v>
      </c>
      <c r="C1445" t="s">
        <v>363</v>
      </c>
      <c r="D1445" t="s">
        <v>364</v>
      </c>
      <c r="E1445" s="2">
        <v>3298.5599999999995</v>
      </c>
      <c r="F1445" s="2">
        <v>3972.8999999999996</v>
      </c>
      <c r="G1445" s="2">
        <v>4443.7899999999991</v>
      </c>
      <c r="H1445" s="2">
        <v>2922.03</v>
      </c>
      <c r="I1445" s="2">
        <v>3496.1299999999997</v>
      </c>
      <c r="J1445" s="2">
        <v>2809.68</v>
      </c>
      <c r="K1445" s="2">
        <v>2183.88</v>
      </c>
      <c r="L1445" s="2">
        <v>23126.96999999999</v>
      </c>
      <c r="M1445" t="s">
        <v>4400</v>
      </c>
      <c r="N1445" t="s">
        <v>4400</v>
      </c>
    </row>
    <row r="1446" spans="1:14" x14ac:dyDescent="0.4">
      <c r="A1446" t="s">
        <v>3036</v>
      </c>
      <c r="B1446" t="s">
        <v>1631</v>
      </c>
      <c r="C1446" t="s">
        <v>267</v>
      </c>
      <c r="D1446" t="s">
        <v>518</v>
      </c>
      <c r="E1446" s="2"/>
      <c r="F1446" s="2"/>
      <c r="G1446" s="2"/>
      <c r="H1446" s="2"/>
      <c r="I1446" s="2"/>
      <c r="J1446" s="2">
        <v>896.93</v>
      </c>
      <c r="K1446" s="2"/>
      <c r="L1446" s="2">
        <v>896.93</v>
      </c>
      <c r="M1446" t="s">
        <v>4405</v>
      </c>
      <c r="N1446" t="s">
        <v>4406</v>
      </c>
    </row>
    <row r="1447" spans="1:14" x14ac:dyDescent="0.4">
      <c r="A1447" t="s">
        <v>3037</v>
      </c>
      <c r="B1447" t="s">
        <v>3038</v>
      </c>
      <c r="C1447" t="s">
        <v>390</v>
      </c>
      <c r="D1447" t="s">
        <v>394</v>
      </c>
      <c r="E1447" s="2">
        <v>3371.5299999999997</v>
      </c>
      <c r="F1447" s="2">
        <v>2417.77</v>
      </c>
      <c r="G1447" s="2">
        <v>3732.9399999999991</v>
      </c>
      <c r="H1447" s="2">
        <v>2706.37</v>
      </c>
      <c r="I1447" s="2"/>
      <c r="J1447" s="2"/>
      <c r="K1447" s="2"/>
      <c r="L1447" s="2">
        <v>12228.609999999995</v>
      </c>
      <c r="M1447" t="s">
        <v>4400</v>
      </c>
      <c r="N1447" t="s">
        <v>4402</v>
      </c>
    </row>
    <row r="1448" spans="1:14" x14ac:dyDescent="0.4">
      <c r="A1448" t="s">
        <v>3039</v>
      </c>
      <c r="B1448" t="s">
        <v>3040</v>
      </c>
      <c r="C1448" t="s">
        <v>64</v>
      </c>
      <c r="D1448" t="s">
        <v>2619</v>
      </c>
      <c r="E1448" s="2">
        <v>2739.81</v>
      </c>
      <c r="F1448" s="2">
        <v>3338.17</v>
      </c>
      <c r="G1448" s="2">
        <v>4255.5200000000004</v>
      </c>
      <c r="H1448" s="2">
        <v>2539.3300000000004</v>
      </c>
      <c r="I1448" s="2">
        <v>3307.85</v>
      </c>
      <c r="J1448" s="2">
        <v>3341.27</v>
      </c>
      <c r="K1448" s="2">
        <v>1895.37</v>
      </c>
      <c r="L1448" s="2">
        <v>21417.319999999978</v>
      </c>
      <c r="M1448" t="s">
        <v>4400</v>
      </c>
      <c r="N1448" t="s">
        <v>4400</v>
      </c>
    </row>
    <row r="1449" spans="1:14" x14ac:dyDescent="0.4">
      <c r="A1449" t="s">
        <v>3041</v>
      </c>
      <c r="B1449" t="s">
        <v>3042</v>
      </c>
      <c r="C1449" t="s">
        <v>78</v>
      </c>
      <c r="D1449" t="s">
        <v>907</v>
      </c>
      <c r="E1449" s="2"/>
      <c r="F1449" s="2"/>
      <c r="G1449" s="2"/>
      <c r="H1449" s="2">
        <v>908.15</v>
      </c>
      <c r="I1449" s="2"/>
      <c r="J1449" s="2"/>
      <c r="K1449" s="2"/>
      <c r="L1449" s="2">
        <v>908.15</v>
      </c>
      <c r="M1449" t="s">
        <v>4409</v>
      </c>
      <c r="N1449" t="s">
        <v>4402</v>
      </c>
    </row>
    <row r="1450" spans="1:14" x14ac:dyDescent="0.4">
      <c r="A1450" t="s">
        <v>3043</v>
      </c>
      <c r="B1450" t="s">
        <v>3044</v>
      </c>
      <c r="C1450" t="s">
        <v>163</v>
      </c>
      <c r="D1450" t="s">
        <v>164</v>
      </c>
      <c r="E1450" s="2"/>
      <c r="F1450" s="2"/>
      <c r="G1450" s="2"/>
      <c r="H1450" s="2"/>
      <c r="I1450" s="2">
        <v>716.83999999999992</v>
      </c>
      <c r="J1450" s="2">
        <v>750.24</v>
      </c>
      <c r="K1450" s="2"/>
      <c r="L1450" s="2">
        <v>1467.08</v>
      </c>
      <c r="M1450" t="s">
        <v>4408</v>
      </c>
      <c r="N1450" t="s">
        <v>4406</v>
      </c>
    </row>
    <row r="1451" spans="1:14" x14ac:dyDescent="0.4">
      <c r="A1451" t="s">
        <v>3045</v>
      </c>
      <c r="B1451" t="s">
        <v>3025</v>
      </c>
      <c r="C1451" t="s">
        <v>178</v>
      </c>
      <c r="D1451" t="s">
        <v>179</v>
      </c>
      <c r="E1451" s="2">
        <v>2906.7600000000007</v>
      </c>
      <c r="F1451" s="2">
        <v>3216.57</v>
      </c>
      <c r="G1451" s="2">
        <v>3918.18</v>
      </c>
      <c r="H1451" s="2">
        <v>3748.09</v>
      </c>
      <c r="I1451" s="2">
        <v>3353.2499999999995</v>
      </c>
      <c r="J1451" s="2">
        <v>4203.79</v>
      </c>
      <c r="K1451" s="2">
        <v>1713.0899999999997</v>
      </c>
      <c r="L1451" s="2">
        <v>23059.72999999997</v>
      </c>
      <c r="M1451" t="s">
        <v>4400</v>
      </c>
      <c r="N1451" t="s">
        <v>4400</v>
      </c>
    </row>
    <row r="1452" spans="1:14" x14ac:dyDescent="0.4">
      <c r="A1452" t="s">
        <v>3046</v>
      </c>
      <c r="B1452" t="s">
        <v>843</v>
      </c>
      <c r="C1452" t="s">
        <v>31</v>
      </c>
      <c r="D1452" t="s">
        <v>471</v>
      </c>
      <c r="E1452" s="2">
        <v>1637.17</v>
      </c>
      <c r="F1452" s="2">
        <v>1497.45</v>
      </c>
      <c r="G1452" s="2">
        <v>1470.1</v>
      </c>
      <c r="H1452" s="2">
        <v>2991.81</v>
      </c>
      <c r="I1452" s="2">
        <v>3672.1399999999985</v>
      </c>
      <c r="J1452" s="2">
        <v>3006.97</v>
      </c>
      <c r="K1452" s="2">
        <v>1457.96</v>
      </c>
      <c r="L1452" s="2">
        <v>15733.599999999984</v>
      </c>
      <c r="M1452" t="s">
        <v>4400</v>
      </c>
      <c r="N1452" t="s">
        <v>4400</v>
      </c>
    </row>
    <row r="1453" spans="1:14" x14ac:dyDescent="0.4">
      <c r="A1453" t="s">
        <v>3047</v>
      </c>
      <c r="B1453" t="s">
        <v>3048</v>
      </c>
      <c r="C1453" t="s">
        <v>437</v>
      </c>
      <c r="D1453" t="s">
        <v>438</v>
      </c>
      <c r="E1453" s="2">
        <v>741.13</v>
      </c>
      <c r="F1453" s="2">
        <v>737.81</v>
      </c>
      <c r="G1453" s="2">
        <v>762.38000000000011</v>
      </c>
      <c r="H1453" s="2"/>
      <c r="I1453" s="2"/>
      <c r="J1453" s="2">
        <v>944.63000000000011</v>
      </c>
      <c r="K1453" s="2"/>
      <c r="L1453" s="2">
        <v>3185.9499999999989</v>
      </c>
      <c r="M1453" t="s">
        <v>4400</v>
      </c>
      <c r="N1453" t="s">
        <v>4406</v>
      </c>
    </row>
    <row r="1454" spans="1:14" x14ac:dyDescent="0.4">
      <c r="A1454" t="s">
        <v>3049</v>
      </c>
      <c r="B1454" t="s">
        <v>3050</v>
      </c>
      <c r="C1454" t="s">
        <v>78</v>
      </c>
      <c r="D1454" t="s">
        <v>1240</v>
      </c>
      <c r="E1454" s="2"/>
      <c r="F1454" s="2"/>
      <c r="G1454" s="2"/>
      <c r="H1454" s="2"/>
      <c r="I1454" s="2"/>
      <c r="J1454" s="2"/>
      <c r="K1454" s="2">
        <v>1874.08</v>
      </c>
      <c r="L1454" s="2">
        <v>1874.08</v>
      </c>
      <c r="M1454" t="s">
        <v>4404</v>
      </c>
      <c r="N1454" t="s">
        <v>4400</v>
      </c>
    </row>
    <row r="1455" spans="1:14" x14ac:dyDescent="0.4">
      <c r="A1455" t="s">
        <v>3051</v>
      </c>
      <c r="B1455" t="s">
        <v>1769</v>
      </c>
      <c r="C1455" t="s">
        <v>1</v>
      </c>
      <c r="D1455" t="s">
        <v>1030</v>
      </c>
      <c r="E1455" s="2">
        <v>1526.5800000000002</v>
      </c>
      <c r="F1455" s="2">
        <v>837.82</v>
      </c>
      <c r="G1455" s="2">
        <v>768.43000000000006</v>
      </c>
      <c r="H1455" s="2">
        <v>1603.6799999999994</v>
      </c>
      <c r="I1455" s="2">
        <v>735.02</v>
      </c>
      <c r="J1455" s="2">
        <v>745.3</v>
      </c>
      <c r="K1455" s="2">
        <v>729.88</v>
      </c>
      <c r="L1455" s="2">
        <v>6946.7100000000037</v>
      </c>
      <c r="M1455" t="s">
        <v>4400</v>
      </c>
      <c r="N1455" t="s">
        <v>4400</v>
      </c>
    </row>
    <row r="1456" spans="1:14" x14ac:dyDescent="0.4">
      <c r="A1456" t="s">
        <v>3052</v>
      </c>
      <c r="B1456" t="s">
        <v>3053</v>
      </c>
      <c r="C1456" t="s">
        <v>35</v>
      </c>
      <c r="D1456" t="s">
        <v>1212</v>
      </c>
      <c r="E1456" s="2">
        <v>4214.7999999999993</v>
      </c>
      <c r="F1456" s="2">
        <v>1616.53</v>
      </c>
      <c r="G1456" s="2">
        <v>4309.8900000000003</v>
      </c>
      <c r="H1456" s="2">
        <v>2436.3599999999997</v>
      </c>
      <c r="I1456" s="2">
        <v>4050.3199999999988</v>
      </c>
      <c r="J1456" s="2">
        <v>4340.7300000000014</v>
      </c>
      <c r="K1456" s="2">
        <v>2246.1799999999994</v>
      </c>
      <c r="L1456" s="2">
        <v>23214.810000000041</v>
      </c>
      <c r="M1456" t="s">
        <v>4400</v>
      </c>
      <c r="N1456" t="s">
        <v>4400</v>
      </c>
    </row>
    <row r="1457" spans="1:14" x14ac:dyDescent="0.4">
      <c r="A1457" t="s">
        <v>3054</v>
      </c>
      <c r="B1457" t="s">
        <v>12</v>
      </c>
      <c r="C1457" t="s">
        <v>13</v>
      </c>
      <c r="D1457" t="s">
        <v>14</v>
      </c>
      <c r="E1457" s="2">
        <v>5941.26</v>
      </c>
      <c r="F1457" s="2">
        <v>3459.6199999999994</v>
      </c>
      <c r="G1457" s="2">
        <v>3632.74</v>
      </c>
      <c r="H1457" s="2">
        <v>3845.4100000000003</v>
      </c>
      <c r="I1457" s="2">
        <v>4920.7099999999991</v>
      </c>
      <c r="J1457" s="2">
        <v>3307.7399999999993</v>
      </c>
      <c r="K1457" s="2">
        <v>1503.5299999999997</v>
      </c>
      <c r="L1457" s="2">
        <v>26611.009999999984</v>
      </c>
      <c r="M1457" t="s">
        <v>4400</v>
      </c>
      <c r="N1457" t="s">
        <v>4400</v>
      </c>
    </row>
    <row r="1458" spans="1:14" x14ac:dyDescent="0.4">
      <c r="A1458" t="s">
        <v>3055</v>
      </c>
      <c r="B1458" t="s">
        <v>3056</v>
      </c>
      <c r="C1458" t="s">
        <v>64</v>
      </c>
      <c r="D1458" t="s">
        <v>2971</v>
      </c>
      <c r="E1458" s="2">
        <v>2347.9299999999998</v>
      </c>
      <c r="F1458" s="2">
        <v>3167.99</v>
      </c>
      <c r="G1458" s="2">
        <v>3344.1800000000003</v>
      </c>
      <c r="H1458" s="2">
        <v>1946.96</v>
      </c>
      <c r="I1458" s="2">
        <v>2654.6800000000003</v>
      </c>
      <c r="J1458" s="2">
        <v>1564.27</v>
      </c>
      <c r="K1458" s="2">
        <v>908.19</v>
      </c>
      <c r="L1458" s="2">
        <v>15934.199999999979</v>
      </c>
      <c r="M1458" t="s">
        <v>4400</v>
      </c>
      <c r="N1458" t="s">
        <v>4400</v>
      </c>
    </row>
    <row r="1459" spans="1:14" x14ac:dyDescent="0.4">
      <c r="A1459" t="s">
        <v>3057</v>
      </c>
      <c r="B1459" t="s">
        <v>2652</v>
      </c>
      <c r="C1459" t="s">
        <v>1</v>
      </c>
      <c r="D1459" t="s">
        <v>507</v>
      </c>
      <c r="E1459" s="2"/>
      <c r="F1459" s="2"/>
      <c r="G1459" s="2"/>
      <c r="H1459" s="2">
        <v>907.20999999999992</v>
      </c>
      <c r="I1459" s="2"/>
      <c r="J1459" s="2"/>
      <c r="K1459" s="2"/>
      <c r="L1459" s="2">
        <v>907.20999999999992</v>
      </c>
      <c r="M1459" t="s">
        <v>4409</v>
      </c>
      <c r="N1459" t="s">
        <v>4402</v>
      </c>
    </row>
    <row r="1460" spans="1:14" x14ac:dyDescent="0.4">
      <c r="A1460" t="s">
        <v>3058</v>
      </c>
      <c r="B1460" t="s">
        <v>3059</v>
      </c>
      <c r="C1460" t="s">
        <v>64</v>
      </c>
      <c r="D1460" t="s">
        <v>2665</v>
      </c>
      <c r="E1460" s="2">
        <v>4729.2899999999991</v>
      </c>
      <c r="F1460" s="2">
        <v>4802.1599999999989</v>
      </c>
      <c r="G1460" s="2">
        <v>4568.26</v>
      </c>
      <c r="H1460" s="2">
        <v>3253.0799999999995</v>
      </c>
      <c r="I1460" s="2">
        <v>4115.72</v>
      </c>
      <c r="J1460" s="2">
        <v>4480.1900000000005</v>
      </c>
      <c r="K1460" s="2">
        <v>1451.89</v>
      </c>
      <c r="L1460" s="2">
        <v>27400.58999999996</v>
      </c>
      <c r="M1460" t="s">
        <v>4400</v>
      </c>
      <c r="N1460" t="s">
        <v>4400</v>
      </c>
    </row>
    <row r="1461" spans="1:14" x14ac:dyDescent="0.4">
      <c r="A1461" t="s">
        <v>3060</v>
      </c>
      <c r="B1461" t="s">
        <v>3061</v>
      </c>
      <c r="C1461" t="s">
        <v>64</v>
      </c>
      <c r="D1461" t="s">
        <v>2871</v>
      </c>
      <c r="E1461" s="2">
        <v>5282.14</v>
      </c>
      <c r="F1461" s="2">
        <v>6345.0199999999995</v>
      </c>
      <c r="G1461" s="2">
        <v>6360.1399999999994</v>
      </c>
      <c r="H1461" s="2">
        <v>4042.78</v>
      </c>
      <c r="I1461" s="2">
        <v>3748.0899999999997</v>
      </c>
      <c r="J1461" s="2"/>
      <c r="K1461" s="2"/>
      <c r="L1461" s="2">
        <v>25778.169999999973</v>
      </c>
      <c r="M1461" t="s">
        <v>4400</v>
      </c>
      <c r="N1461" t="s">
        <v>4401</v>
      </c>
    </row>
    <row r="1462" spans="1:14" x14ac:dyDescent="0.4">
      <c r="A1462" t="s">
        <v>3062</v>
      </c>
      <c r="B1462" t="s">
        <v>3063</v>
      </c>
      <c r="C1462" t="s">
        <v>244</v>
      </c>
      <c r="D1462" t="s">
        <v>248</v>
      </c>
      <c r="E1462" s="2">
        <v>6855.4399999999987</v>
      </c>
      <c r="F1462" s="2">
        <v>5127.2099999999991</v>
      </c>
      <c r="G1462" s="2">
        <v>5242.6000000000004</v>
      </c>
      <c r="H1462" s="2">
        <v>7153.1699999999992</v>
      </c>
      <c r="I1462" s="2">
        <v>5710.4000000000005</v>
      </c>
      <c r="J1462" s="2">
        <v>5194.010000000002</v>
      </c>
      <c r="K1462" s="2">
        <v>3158.93</v>
      </c>
      <c r="L1462" s="2">
        <v>38441.75999999998</v>
      </c>
      <c r="M1462" t="s">
        <v>4400</v>
      </c>
      <c r="N1462" t="s">
        <v>4400</v>
      </c>
    </row>
    <row r="1463" spans="1:14" x14ac:dyDescent="0.4">
      <c r="A1463" t="s">
        <v>3064</v>
      </c>
      <c r="B1463" t="s">
        <v>3065</v>
      </c>
      <c r="C1463" t="s">
        <v>35</v>
      </c>
      <c r="D1463" t="s">
        <v>1921</v>
      </c>
      <c r="E1463" s="2">
        <v>2937.1799999999994</v>
      </c>
      <c r="F1463" s="2">
        <v>3699.4900000000007</v>
      </c>
      <c r="G1463" s="2">
        <v>3073.8000000000006</v>
      </c>
      <c r="H1463" s="2">
        <v>2991.81</v>
      </c>
      <c r="I1463" s="2">
        <v>3887.7999999999997</v>
      </c>
      <c r="J1463" s="2">
        <v>2189.94</v>
      </c>
      <c r="K1463" s="2">
        <v>817.04</v>
      </c>
      <c r="L1463" s="2">
        <v>19597.059999999983</v>
      </c>
      <c r="M1463" t="s">
        <v>4400</v>
      </c>
      <c r="N1463" t="s">
        <v>4400</v>
      </c>
    </row>
    <row r="1464" spans="1:14" x14ac:dyDescent="0.4">
      <c r="A1464" t="s">
        <v>3066</v>
      </c>
      <c r="B1464" t="s">
        <v>3067</v>
      </c>
      <c r="C1464" t="s">
        <v>227</v>
      </c>
      <c r="D1464" t="s">
        <v>3068</v>
      </c>
      <c r="E1464" s="2">
        <v>1512.67</v>
      </c>
      <c r="F1464" s="2">
        <v>1734.3999999999999</v>
      </c>
      <c r="G1464" s="2">
        <v>1801.2200000000003</v>
      </c>
      <c r="H1464" s="2">
        <v>1804.2599999999995</v>
      </c>
      <c r="I1464" s="2">
        <v>2903.8199999999993</v>
      </c>
      <c r="J1464" s="2">
        <v>2092.7899999999995</v>
      </c>
      <c r="K1464" s="2">
        <v>844.4</v>
      </c>
      <c r="L1464" s="2">
        <v>12693.559999999989</v>
      </c>
      <c r="M1464" t="s">
        <v>4400</v>
      </c>
      <c r="N1464" t="s">
        <v>4400</v>
      </c>
    </row>
    <row r="1465" spans="1:14" x14ac:dyDescent="0.4">
      <c r="A1465" t="s">
        <v>3069</v>
      </c>
      <c r="B1465" t="s">
        <v>2652</v>
      </c>
      <c r="C1465" t="s">
        <v>64</v>
      </c>
      <c r="D1465" t="s">
        <v>1427</v>
      </c>
      <c r="E1465" s="2">
        <v>1015.15</v>
      </c>
      <c r="F1465" s="2">
        <v>827.54</v>
      </c>
      <c r="G1465" s="2">
        <v>1595.9699999999998</v>
      </c>
      <c r="H1465" s="2"/>
      <c r="I1465" s="2">
        <v>1542</v>
      </c>
      <c r="J1465" s="2">
        <v>1331.26</v>
      </c>
      <c r="K1465" s="2">
        <v>1267.0099999999998</v>
      </c>
      <c r="L1465" s="2">
        <v>7578.9300000000012</v>
      </c>
      <c r="M1465" t="s">
        <v>4400</v>
      </c>
      <c r="N1465" t="s">
        <v>4400</v>
      </c>
    </row>
    <row r="1466" spans="1:14" x14ac:dyDescent="0.4">
      <c r="A1466" t="s">
        <v>3070</v>
      </c>
      <c r="B1466" t="s">
        <v>2502</v>
      </c>
      <c r="C1466" t="s">
        <v>1</v>
      </c>
      <c r="D1466" t="s">
        <v>507</v>
      </c>
      <c r="E1466" s="2">
        <v>1558.2100000000003</v>
      </c>
      <c r="F1466" s="2">
        <v>1667.5699999999997</v>
      </c>
      <c r="G1466" s="2">
        <v>801.88000000000011</v>
      </c>
      <c r="H1466" s="2">
        <v>3225.7599999999989</v>
      </c>
      <c r="I1466" s="2">
        <v>1521.7400000000002</v>
      </c>
      <c r="J1466" s="2">
        <v>3213.5799999999995</v>
      </c>
      <c r="K1466" s="2">
        <v>1196.74</v>
      </c>
      <c r="L1466" s="2">
        <v>13185.479999999994</v>
      </c>
      <c r="M1466" t="s">
        <v>4400</v>
      </c>
      <c r="N1466" t="s">
        <v>4400</v>
      </c>
    </row>
    <row r="1467" spans="1:14" x14ac:dyDescent="0.4">
      <c r="A1467" t="s">
        <v>3071</v>
      </c>
      <c r="B1467" t="s">
        <v>3072</v>
      </c>
      <c r="C1467" t="s">
        <v>5</v>
      </c>
      <c r="D1467" t="s">
        <v>56</v>
      </c>
      <c r="E1467" s="2">
        <v>1461.0599999999997</v>
      </c>
      <c r="F1467" s="2"/>
      <c r="G1467" s="2"/>
      <c r="H1467" s="2"/>
      <c r="I1467" s="2"/>
      <c r="J1467" s="2"/>
      <c r="K1467" s="2"/>
      <c r="L1467" s="2">
        <v>1461.0599999999997</v>
      </c>
      <c r="M1467" t="s">
        <v>4400</v>
      </c>
      <c r="N1467" t="s">
        <v>4407</v>
      </c>
    </row>
    <row r="1468" spans="1:14" x14ac:dyDescent="0.4">
      <c r="A1468" t="s">
        <v>3073</v>
      </c>
      <c r="B1468" t="s">
        <v>3074</v>
      </c>
      <c r="C1468" t="s">
        <v>35</v>
      </c>
      <c r="D1468" t="s">
        <v>36</v>
      </c>
      <c r="E1468" s="2"/>
      <c r="F1468" s="2"/>
      <c r="G1468" s="2"/>
      <c r="H1468" s="2">
        <v>2600.8399999999997</v>
      </c>
      <c r="I1468" s="2">
        <v>3541.46</v>
      </c>
      <c r="J1468" s="2">
        <v>1048.56</v>
      </c>
      <c r="K1468" s="2"/>
      <c r="L1468" s="2">
        <v>7190.8600000000006</v>
      </c>
      <c r="M1468" t="s">
        <v>4409</v>
      </c>
      <c r="N1468" t="s">
        <v>4406</v>
      </c>
    </row>
    <row r="1469" spans="1:14" x14ac:dyDescent="0.4">
      <c r="A1469" t="s">
        <v>3075</v>
      </c>
      <c r="B1469" t="s">
        <v>3076</v>
      </c>
      <c r="C1469" t="s">
        <v>64</v>
      </c>
      <c r="D1469" t="s">
        <v>3077</v>
      </c>
      <c r="E1469" s="2">
        <v>3225.7299999999987</v>
      </c>
      <c r="F1469" s="2">
        <v>3939.5199999999982</v>
      </c>
      <c r="G1469" s="2">
        <v>3028.2999999999993</v>
      </c>
      <c r="H1469" s="2">
        <v>3207.5199999999986</v>
      </c>
      <c r="I1469" s="2">
        <v>3304.7099999999996</v>
      </c>
      <c r="J1469" s="2">
        <v>2308.4300000000003</v>
      </c>
      <c r="K1469" s="2">
        <v>777.58</v>
      </c>
      <c r="L1469" s="2">
        <v>19791.78999999999</v>
      </c>
      <c r="M1469" t="s">
        <v>4400</v>
      </c>
      <c r="N1469" t="s">
        <v>4400</v>
      </c>
    </row>
    <row r="1470" spans="1:14" x14ac:dyDescent="0.4">
      <c r="A1470" t="s">
        <v>3078</v>
      </c>
      <c r="B1470" t="s">
        <v>3079</v>
      </c>
      <c r="C1470" t="s">
        <v>78</v>
      </c>
      <c r="D1470" t="s">
        <v>768</v>
      </c>
      <c r="E1470" s="2"/>
      <c r="F1470" s="2"/>
      <c r="G1470" s="2"/>
      <c r="H1470" s="2"/>
      <c r="I1470" s="2"/>
      <c r="J1470" s="2">
        <v>902.06999999999994</v>
      </c>
      <c r="K1470" s="2"/>
      <c r="L1470" s="2">
        <v>902.06999999999994</v>
      </c>
      <c r="M1470" t="s">
        <v>4405</v>
      </c>
      <c r="N1470" t="s">
        <v>4406</v>
      </c>
    </row>
    <row r="1471" spans="1:14" x14ac:dyDescent="0.4">
      <c r="A1471" t="s">
        <v>3080</v>
      </c>
      <c r="B1471" t="s">
        <v>3081</v>
      </c>
      <c r="C1471" t="s">
        <v>64</v>
      </c>
      <c r="D1471" t="s">
        <v>74</v>
      </c>
      <c r="E1471" s="2">
        <v>2212.77</v>
      </c>
      <c r="F1471" s="2">
        <v>1477.75</v>
      </c>
      <c r="G1471" s="2">
        <v>735.02</v>
      </c>
      <c r="H1471" s="2">
        <v>2428.6499999999996</v>
      </c>
      <c r="I1471" s="2"/>
      <c r="J1471" s="2">
        <v>1485.4599999999998</v>
      </c>
      <c r="K1471" s="2"/>
      <c r="L1471" s="2">
        <v>8339.6500000000015</v>
      </c>
      <c r="M1471" t="s">
        <v>4400</v>
      </c>
      <c r="N1471" t="s">
        <v>4406</v>
      </c>
    </row>
    <row r="1472" spans="1:14" x14ac:dyDescent="0.4">
      <c r="A1472" t="s">
        <v>3082</v>
      </c>
      <c r="B1472" t="s">
        <v>3083</v>
      </c>
      <c r="C1472" t="s">
        <v>64</v>
      </c>
      <c r="D1472" t="s">
        <v>2343</v>
      </c>
      <c r="E1472" s="2">
        <v>2782.24</v>
      </c>
      <c r="F1472" s="2">
        <v>2442</v>
      </c>
      <c r="G1472" s="2">
        <v>2296.1999999999998</v>
      </c>
      <c r="H1472" s="2">
        <v>1734.2699999999998</v>
      </c>
      <c r="I1472" s="2">
        <v>1691.8300000000002</v>
      </c>
      <c r="J1472" s="2">
        <v>2050.25</v>
      </c>
      <c r="K1472" s="2">
        <v>938.56</v>
      </c>
      <c r="L1472" s="2">
        <v>13935.349999999997</v>
      </c>
      <c r="M1472" t="s">
        <v>4400</v>
      </c>
      <c r="N1472" t="s">
        <v>4400</v>
      </c>
    </row>
    <row r="1473" spans="1:14" x14ac:dyDescent="0.4">
      <c r="A1473" t="s">
        <v>3084</v>
      </c>
      <c r="B1473" t="s">
        <v>3085</v>
      </c>
      <c r="C1473" t="s">
        <v>78</v>
      </c>
      <c r="D1473" t="s">
        <v>907</v>
      </c>
      <c r="E1473" s="2">
        <v>2310.4299999999998</v>
      </c>
      <c r="F1473" s="2">
        <v>2534.0199999999995</v>
      </c>
      <c r="G1473" s="2">
        <v>5039.7699999999995</v>
      </c>
      <c r="H1473" s="2">
        <v>5281.3499999999995</v>
      </c>
      <c r="I1473" s="2">
        <v>2282.16</v>
      </c>
      <c r="J1473" s="2">
        <v>4638.8499999999995</v>
      </c>
      <c r="K1473" s="2">
        <v>958.6099999999999</v>
      </c>
      <c r="L1473" s="2">
        <v>23045.19</v>
      </c>
      <c r="M1473" t="s">
        <v>4400</v>
      </c>
      <c r="N1473" t="s">
        <v>4400</v>
      </c>
    </row>
    <row r="1474" spans="1:14" x14ac:dyDescent="0.4">
      <c r="A1474" t="s">
        <v>3086</v>
      </c>
      <c r="B1474" t="s">
        <v>3087</v>
      </c>
      <c r="C1474" t="s">
        <v>78</v>
      </c>
      <c r="D1474" t="s">
        <v>1553</v>
      </c>
      <c r="E1474" s="2">
        <v>2122.8199999999993</v>
      </c>
      <c r="F1474" s="2">
        <v>2760.1799999999989</v>
      </c>
      <c r="G1474" s="2">
        <v>3461.7900000000004</v>
      </c>
      <c r="H1474" s="2">
        <v>1452.05</v>
      </c>
      <c r="I1474" s="2">
        <v>2904.0999999999995</v>
      </c>
      <c r="J1474" s="2">
        <v>2684.7299999999987</v>
      </c>
      <c r="K1474" s="2">
        <v>2505.75</v>
      </c>
      <c r="L1474" s="2">
        <v>17891.42000000002</v>
      </c>
      <c r="M1474" t="s">
        <v>4400</v>
      </c>
      <c r="N1474" t="s">
        <v>4400</v>
      </c>
    </row>
    <row r="1475" spans="1:14" x14ac:dyDescent="0.4">
      <c r="A1475" t="s">
        <v>3088</v>
      </c>
      <c r="B1475" t="s">
        <v>3089</v>
      </c>
      <c r="C1475" t="s">
        <v>337</v>
      </c>
      <c r="D1475" t="s">
        <v>344</v>
      </c>
      <c r="E1475" s="2">
        <v>3152.89</v>
      </c>
      <c r="F1475" s="2"/>
      <c r="G1475" s="2"/>
      <c r="H1475" s="2"/>
      <c r="I1475" s="2"/>
      <c r="J1475" s="2"/>
      <c r="K1475" s="2"/>
      <c r="L1475" s="2">
        <v>3152.89</v>
      </c>
      <c r="M1475" t="s">
        <v>4400</v>
      </c>
      <c r="N1475" t="s">
        <v>4407</v>
      </c>
    </row>
    <row r="1476" spans="1:14" x14ac:dyDescent="0.4">
      <c r="A1476" t="s">
        <v>3090</v>
      </c>
      <c r="B1476" t="s">
        <v>3091</v>
      </c>
      <c r="C1476" t="s">
        <v>78</v>
      </c>
      <c r="D1476" t="s">
        <v>841</v>
      </c>
      <c r="E1476" s="2">
        <v>835.28000000000009</v>
      </c>
      <c r="F1476" s="2"/>
      <c r="G1476" s="2"/>
      <c r="H1476" s="2"/>
      <c r="I1476" s="2">
        <v>838.33</v>
      </c>
      <c r="J1476" s="2"/>
      <c r="K1476" s="2"/>
      <c r="L1476" s="2">
        <v>1673.6100000000001</v>
      </c>
      <c r="M1476" t="s">
        <v>4400</v>
      </c>
      <c r="N1476" t="s">
        <v>4401</v>
      </c>
    </row>
    <row r="1477" spans="1:14" x14ac:dyDescent="0.4">
      <c r="A1477" t="s">
        <v>3092</v>
      </c>
      <c r="B1477" t="s">
        <v>398</v>
      </c>
      <c r="C1477" t="s">
        <v>390</v>
      </c>
      <c r="D1477" t="s">
        <v>394</v>
      </c>
      <c r="E1477" s="2">
        <v>2569.7200000000003</v>
      </c>
      <c r="F1477" s="2">
        <v>5318.630000000001</v>
      </c>
      <c r="G1477" s="2">
        <v>3031.4000000000005</v>
      </c>
      <c r="H1477" s="2">
        <v>2809.6400000000003</v>
      </c>
      <c r="I1477" s="2">
        <v>2642.6099999999997</v>
      </c>
      <c r="J1477" s="2">
        <v>2581.8799999999997</v>
      </c>
      <c r="K1477" s="2">
        <v>862.63999999999987</v>
      </c>
      <c r="L1477" s="2">
        <v>19816.519999999957</v>
      </c>
      <c r="M1477" t="s">
        <v>4400</v>
      </c>
      <c r="N1477" t="s">
        <v>4400</v>
      </c>
    </row>
    <row r="1478" spans="1:14" x14ac:dyDescent="0.4">
      <c r="A1478" t="s">
        <v>3093</v>
      </c>
      <c r="B1478" t="s">
        <v>3094</v>
      </c>
      <c r="C1478" t="s">
        <v>64</v>
      </c>
      <c r="D1478" t="s">
        <v>2312</v>
      </c>
      <c r="E1478" s="2">
        <v>741.14</v>
      </c>
      <c r="F1478" s="2"/>
      <c r="G1478" s="2"/>
      <c r="H1478" s="2">
        <v>759.3599999999999</v>
      </c>
      <c r="I1478" s="2">
        <v>832.2399999999999</v>
      </c>
      <c r="J1478" s="2"/>
      <c r="K1478" s="2"/>
      <c r="L1478" s="2">
        <v>2332.7400000000002</v>
      </c>
      <c r="M1478" t="s">
        <v>4400</v>
      </c>
      <c r="N1478" t="s">
        <v>4401</v>
      </c>
    </row>
    <row r="1479" spans="1:14" x14ac:dyDescent="0.4">
      <c r="A1479" t="s">
        <v>3095</v>
      </c>
      <c r="B1479" t="s">
        <v>3096</v>
      </c>
      <c r="C1479" t="s">
        <v>13</v>
      </c>
      <c r="D1479" t="s">
        <v>14</v>
      </c>
      <c r="E1479" s="2">
        <v>3866.62</v>
      </c>
      <c r="F1479" s="2">
        <v>5245.5599999999986</v>
      </c>
      <c r="G1479" s="2">
        <v>3982.02</v>
      </c>
      <c r="H1479" s="2">
        <v>3161.96</v>
      </c>
      <c r="I1479" s="2">
        <v>4228.0699999999988</v>
      </c>
      <c r="J1479" s="2">
        <v>3790.68</v>
      </c>
      <c r="K1479" s="2">
        <v>2946.29</v>
      </c>
      <c r="L1479" s="2">
        <v>27221.199999999968</v>
      </c>
      <c r="M1479" t="s">
        <v>4400</v>
      </c>
      <c r="N1479" t="s">
        <v>4400</v>
      </c>
    </row>
    <row r="1480" spans="1:14" x14ac:dyDescent="0.4">
      <c r="A1480" t="s">
        <v>3097</v>
      </c>
      <c r="B1480" t="s">
        <v>2901</v>
      </c>
      <c r="C1480" t="s">
        <v>64</v>
      </c>
      <c r="D1480" t="s">
        <v>2165</v>
      </c>
      <c r="E1480" s="2">
        <v>2326.6299999999997</v>
      </c>
      <c r="F1480" s="2">
        <v>3486.8900000000003</v>
      </c>
      <c r="G1480" s="2">
        <v>4127.7</v>
      </c>
      <c r="H1480" s="2">
        <v>2882.4399999999996</v>
      </c>
      <c r="I1480" s="2">
        <v>3426.15</v>
      </c>
      <c r="J1480" s="2">
        <v>4850.7299999999996</v>
      </c>
      <c r="K1480" s="2">
        <v>1916.5699999999997</v>
      </c>
      <c r="L1480" s="2">
        <v>23017.109999999971</v>
      </c>
      <c r="M1480" t="s">
        <v>4400</v>
      </c>
      <c r="N1480" t="s">
        <v>4400</v>
      </c>
    </row>
    <row r="1481" spans="1:14" x14ac:dyDescent="0.4">
      <c r="A1481" t="s">
        <v>3098</v>
      </c>
      <c r="B1481" t="s">
        <v>3099</v>
      </c>
      <c r="C1481" t="s">
        <v>240</v>
      </c>
      <c r="D1481" t="s">
        <v>241</v>
      </c>
      <c r="E1481" s="2">
        <v>750.24</v>
      </c>
      <c r="F1481" s="2"/>
      <c r="G1481" s="2">
        <v>735.05000000000007</v>
      </c>
      <c r="H1481" s="2">
        <v>932.47</v>
      </c>
      <c r="I1481" s="2">
        <v>817.04</v>
      </c>
      <c r="J1481" s="2"/>
      <c r="K1481" s="2">
        <v>880.84</v>
      </c>
      <c r="L1481" s="2">
        <v>4115.6399999999985</v>
      </c>
      <c r="M1481" t="s">
        <v>4400</v>
      </c>
      <c r="N1481" t="s">
        <v>4400</v>
      </c>
    </row>
    <row r="1482" spans="1:14" x14ac:dyDescent="0.4">
      <c r="A1482" t="s">
        <v>3100</v>
      </c>
      <c r="B1482" t="s">
        <v>3101</v>
      </c>
      <c r="C1482" t="s">
        <v>78</v>
      </c>
      <c r="D1482" t="s">
        <v>907</v>
      </c>
      <c r="E1482" s="2"/>
      <c r="F1482" s="2"/>
      <c r="G1482" s="2"/>
      <c r="H1482" s="2"/>
      <c r="I1482" s="2">
        <v>1008.4</v>
      </c>
      <c r="J1482" s="2">
        <v>826.17000000000007</v>
      </c>
      <c r="K1482" s="2"/>
      <c r="L1482" s="2">
        <v>1834.57</v>
      </c>
      <c r="M1482" t="s">
        <v>4408</v>
      </c>
      <c r="N1482" t="s">
        <v>4406</v>
      </c>
    </row>
    <row r="1483" spans="1:14" x14ac:dyDescent="0.4">
      <c r="A1483" t="s">
        <v>3102</v>
      </c>
      <c r="B1483" t="s">
        <v>1648</v>
      </c>
      <c r="C1483" t="s">
        <v>291</v>
      </c>
      <c r="D1483" t="s">
        <v>1649</v>
      </c>
      <c r="E1483" s="2"/>
      <c r="F1483" s="2"/>
      <c r="G1483" s="2"/>
      <c r="H1483" s="2"/>
      <c r="I1483" s="2"/>
      <c r="J1483" s="2">
        <v>1190.6600000000001</v>
      </c>
      <c r="K1483" s="2"/>
      <c r="L1483" s="2">
        <v>1190.6600000000001</v>
      </c>
      <c r="M1483" t="s">
        <v>4405</v>
      </c>
      <c r="N1483" t="s">
        <v>4406</v>
      </c>
    </row>
    <row r="1484" spans="1:14" x14ac:dyDescent="0.4">
      <c r="A1484" t="s">
        <v>3103</v>
      </c>
      <c r="B1484" t="s">
        <v>3104</v>
      </c>
      <c r="C1484" t="s">
        <v>113</v>
      </c>
      <c r="D1484" t="s">
        <v>117</v>
      </c>
      <c r="E1484" s="2">
        <v>2767.11</v>
      </c>
      <c r="F1484" s="2">
        <v>753.29</v>
      </c>
      <c r="G1484" s="2">
        <v>2645.5899999999997</v>
      </c>
      <c r="H1484" s="2">
        <v>850.48</v>
      </c>
      <c r="I1484" s="2">
        <v>917.3</v>
      </c>
      <c r="J1484" s="2"/>
      <c r="K1484" s="2"/>
      <c r="L1484" s="2">
        <v>7933.769999999995</v>
      </c>
      <c r="M1484" t="s">
        <v>4400</v>
      </c>
      <c r="N1484" t="s">
        <v>4401</v>
      </c>
    </row>
    <row r="1485" spans="1:14" x14ac:dyDescent="0.4">
      <c r="A1485" t="s">
        <v>3105</v>
      </c>
      <c r="B1485" t="s">
        <v>3106</v>
      </c>
      <c r="C1485" t="s">
        <v>240</v>
      </c>
      <c r="D1485" t="s">
        <v>241</v>
      </c>
      <c r="E1485" s="2"/>
      <c r="F1485" s="2"/>
      <c r="G1485" s="2"/>
      <c r="H1485" s="2">
        <v>1616.5299999999997</v>
      </c>
      <c r="I1485" s="2">
        <v>1706.4799999999998</v>
      </c>
      <c r="J1485" s="2">
        <v>801.8399999999998</v>
      </c>
      <c r="K1485" s="2"/>
      <c r="L1485" s="2">
        <v>4124.8499999999995</v>
      </c>
      <c r="M1485" t="s">
        <v>4409</v>
      </c>
      <c r="N1485" t="s">
        <v>4406</v>
      </c>
    </row>
    <row r="1486" spans="1:14" x14ac:dyDescent="0.4">
      <c r="A1486" t="s">
        <v>3107</v>
      </c>
      <c r="B1486" t="s">
        <v>2880</v>
      </c>
      <c r="C1486" t="s">
        <v>113</v>
      </c>
      <c r="D1486" t="s">
        <v>120</v>
      </c>
      <c r="E1486" s="2"/>
      <c r="F1486" s="2">
        <v>1002.3700000000001</v>
      </c>
      <c r="G1486" s="2">
        <v>1011.45</v>
      </c>
      <c r="H1486" s="2"/>
      <c r="I1486" s="2"/>
      <c r="J1486" s="2">
        <v>883.89</v>
      </c>
      <c r="K1486" s="2"/>
      <c r="L1486" s="2">
        <v>2897.71</v>
      </c>
      <c r="M1486" t="s">
        <v>4412</v>
      </c>
      <c r="N1486" t="s">
        <v>4406</v>
      </c>
    </row>
    <row r="1487" spans="1:14" x14ac:dyDescent="0.4">
      <c r="A1487" t="s">
        <v>3108</v>
      </c>
      <c r="B1487" t="s">
        <v>3109</v>
      </c>
      <c r="C1487" t="s">
        <v>64</v>
      </c>
      <c r="D1487" t="s">
        <v>1377</v>
      </c>
      <c r="E1487" s="2">
        <v>2344.8899999999994</v>
      </c>
      <c r="F1487" s="2">
        <v>2238.59</v>
      </c>
      <c r="G1487" s="2">
        <v>3772.4699999999993</v>
      </c>
      <c r="H1487" s="2">
        <v>1846.73</v>
      </c>
      <c r="I1487" s="2">
        <v>1479.2</v>
      </c>
      <c r="J1487" s="2">
        <v>1448.83</v>
      </c>
      <c r="K1487" s="2"/>
      <c r="L1487" s="2">
        <v>13130.709999999994</v>
      </c>
      <c r="M1487" t="s">
        <v>4400</v>
      </c>
      <c r="N1487" t="s">
        <v>4406</v>
      </c>
    </row>
    <row r="1488" spans="1:14" x14ac:dyDescent="0.4">
      <c r="A1488" t="s">
        <v>3110</v>
      </c>
      <c r="B1488" t="s">
        <v>3111</v>
      </c>
      <c r="C1488" t="s">
        <v>64</v>
      </c>
      <c r="D1488" t="s">
        <v>2850</v>
      </c>
      <c r="E1488" s="2"/>
      <c r="F1488" s="2"/>
      <c r="G1488" s="2"/>
      <c r="H1488" s="2">
        <v>744.19999999999993</v>
      </c>
      <c r="I1488" s="2"/>
      <c r="J1488" s="2"/>
      <c r="K1488" s="2"/>
      <c r="L1488" s="2">
        <v>744.19999999999993</v>
      </c>
      <c r="M1488" t="s">
        <v>4409</v>
      </c>
      <c r="N1488" t="s">
        <v>4402</v>
      </c>
    </row>
    <row r="1489" spans="1:14" x14ac:dyDescent="0.4">
      <c r="A1489" t="s">
        <v>3112</v>
      </c>
      <c r="B1489" t="s">
        <v>2918</v>
      </c>
      <c r="C1489" t="s">
        <v>113</v>
      </c>
      <c r="D1489" t="s">
        <v>117</v>
      </c>
      <c r="E1489" s="2">
        <v>5312.4799999999987</v>
      </c>
      <c r="F1489" s="2">
        <v>3617.55</v>
      </c>
      <c r="G1489" s="2">
        <v>3811.9700000000003</v>
      </c>
      <c r="H1489" s="2">
        <v>3717.8199999999997</v>
      </c>
      <c r="I1489" s="2">
        <v>3742.11</v>
      </c>
      <c r="J1489" s="2"/>
      <c r="K1489" s="2"/>
      <c r="L1489" s="2">
        <v>20201.930000000011</v>
      </c>
      <c r="M1489" t="s">
        <v>4400</v>
      </c>
      <c r="N1489" t="s">
        <v>4401</v>
      </c>
    </row>
    <row r="1490" spans="1:14" x14ac:dyDescent="0.4">
      <c r="A1490" t="s">
        <v>3113</v>
      </c>
      <c r="B1490" t="s">
        <v>762</v>
      </c>
      <c r="C1490" t="s">
        <v>113</v>
      </c>
      <c r="D1490" t="s">
        <v>114</v>
      </c>
      <c r="E1490" s="2">
        <v>2991.4799999999996</v>
      </c>
      <c r="F1490" s="2">
        <v>2174.2199999999993</v>
      </c>
      <c r="G1490" s="2"/>
      <c r="H1490" s="2"/>
      <c r="I1490" s="2">
        <v>729.88</v>
      </c>
      <c r="J1490" s="2">
        <v>2174.2199999999998</v>
      </c>
      <c r="K1490" s="2">
        <v>1452.0499999999997</v>
      </c>
      <c r="L1490" s="2">
        <v>9521.8500000000131</v>
      </c>
      <c r="M1490" t="s">
        <v>4400</v>
      </c>
      <c r="N1490" t="s">
        <v>4400</v>
      </c>
    </row>
    <row r="1491" spans="1:14" x14ac:dyDescent="0.4">
      <c r="A1491" t="s">
        <v>3114</v>
      </c>
      <c r="B1491" t="s">
        <v>3115</v>
      </c>
      <c r="C1491" t="s">
        <v>363</v>
      </c>
      <c r="D1491" t="s">
        <v>364</v>
      </c>
      <c r="E1491" s="2">
        <v>3234.8700000000003</v>
      </c>
      <c r="F1491" s="2">
        <v>3067.8100000000004</v>
      </c>
      <c r="G1491" s="2">
        <v>3128.5800000000004</v>
      </c>
      <c r="H1491" s="2">
        <v>1667.56</v>
      </c>
      <c r="I1491" s="2">
        <v>3043.4999999999995</v>
      </c>
      <c r="J1491" s="2">
        <v>2253.7599999999989</v>
      </c>
      <c r="K1491" s="2">
        <v>1445.8</v>
      </c>
      <c r="L1491" s="2">
        <v>17841.879999999994</v>
      </c>
      <c r="M1491" t="s">
        <v>4400</v>
      </c>
      <c r="N1491" t="s">
        <v>4400</v>
      </c>
    </row>
    <row r="1492" spans="1:14" x14ac:dyDescent="0.4">
      <c r="A1492" t="s">
        <v>3116</v>
      </c>
      <c r="B1492" t="s">
        <v>3117</v>
      </c>
      <c r="C1492" t="s">
        <v>64</v>
      </c>
      <c r="D1492" t="s">
        <v>545</v>
      </c>
      <c r="E1492" s="2"/>
      <c r="F1492" s="2"/>
      <c r="G1492" s="2"/>
      <c r="H1492" s="2"/>
      <c r="I1492" s="2">
        <v>990.19</v>
      </c>
      <c r="J1492" s="2"/>
      <c r="K1492" s="2"/>
      <c r="L1492" s="2">
        <v>990.19</v>
      </c>
      <c r="M1492" t="s">
        <v>4408</v>
      </c>
      <c r="N1492" t="s">
        <v>4401</v>
      </c>
    </row>
    <row r="1493" spans="1:14" x14ac:dyDescent="0.4">
      <c r="A1493" t="s">
        <v>3118</v>
      </c>
      <c r="B1493" t="s">
        <v>3119</v>
      </c>
      <c r="C1493" t="s">
        <v>64</v>
      </c>
      <c r="D1493" t="s">
        <v>693</v>
      </c>
      <c r="E1493" s="2"/>
      <c r="F1493" s="2"/>
      <c r="G1493" s="2"/>
      <c r="H1493" s="2"/>
      <c r="I1493" s="2">
        <v>1840.72</v>
      </c>
      <c r="J1493" s="2"/>
      <c r="K1493" s="2"/>
      <c r="L1493" s="2">
        <v>1840.72</v>
      </c>
      <c r="M1493" t="s">
        <v>4408</v>
      </c>
      <c r="N1493" t="s">
        <v>4401</v>
      </c>
    </row>
    <row r="1494" spans="1:14" x14ac:dyDescent="0.4">
      <c r="A1494" t="s">
        <v>3120</v>
      </c>
      <c r="B1494" t="s">
        <v>3121</v>
      </c>
      <c r="C1494" t="s">
        <v>113</v>
      </c>
      <c r="D1494" t="s">
        <v>117</v>
      </c>
      <c r="E1494" s="2">
        <v>1221.03</v>
      </c>
      <c r="F1494" s="2"/>
      <c r="G1494" s="2"/>
      <c r="H1494" s="2">
        <v>2852.1299999999997</v>
      </c>
      <c r="I1494" s="2">
        <v>868.72000000000014</v>
      </c>
      <c r="J1494" s="2">
        <v>1421.5199999999998</v>
      </c>
      <c r="K1494" s="2"/>
      <c r="L1494" s="2">
        <v>6363.4000000000015</v>
      </c>
      <c r="M1494" t="s">
        <v>4400</v>
      </c>
      <c r="N1494" t="s">
        <v>4406</v>
      </c>
    </row>
    <row r="1495" spans="1:14" x14ac:dyDescent="0.4">
      <c r="A1495" t="s">
        <v>3122</v>
      </c>
      <c r="B1495" t="s">
        <v>3123</v>
      </c>
      <c r="C1495" t="s">
        <v>64</v>
      </c>
      <c r="D1495" t="s">
        <v>1112</v>
      </c>
      <c r="E1495" s="2">
        <v>2994.8999999999987</v>
      </c>
      <c r="F1495" s="2">
        <v>3851.4399999999978</v>
      </c>
      <c r="G1495" s="2">
        <v>3453.6</v>
      </c>
      <c r="H1495" s="2">
        <v>3055.7100000000005</v>
      </c>
      <c r="I1495" s="2">
        <v>3748.2600000000007</v>
      </c>
      <c r="J1495" s="2">
        <v>3818.09</v>
      </c>
      <c r="K1495" s="2">
        <v>1470.12</v>
      </c>
      <c r="L1495" s="2">
        <v>22392.120000000006</v>
      </c>
      <c r="M1495" t="s">
        <v>4400</v>
      </c>
      <c r="N1495" t="s">
        <v>4400</v>
      </c>
    </row>
    <row r="1496" spans="1:14" x14ac:dyDescent="0.4">
      <c r="A1496" t="s">
        <v>3124</v>
      </c>
      <c r="B1496" t="s">
        <v>3125</v>
      </c>
      <c r="C1496" t="s">
        <v>64</v>
      </c>
      <c r="D1496" t="s">
        <v>1143</v>
      </c>
      <c r="E1496" s="2">
        <v>4811.33</v>
      </c>
      <c r="F1496" s="2">
        <v>4498.4199999999992</v>
      </c>
      <c r="G1496" s="2">
        <v>4507.4999999999991</v>
      </c>
      <c r="H1496" s="2">
        <v>4386.0199999999986</v>
      </c>
      <c r="I1496" s="2">
        <v>5515.9399999999978</v>
      </c>
      <c r="J1496" s="2">
        <v>3839.27</v>
      </c>
      <c r="K1496" s="2">
        <v>2168.6999999999998</v>
      </c>
      <c r="L1496" s="2">
        <v>29727.179999999946</v>
      </c>
      <c r="M1496" t="s">
        <v>4400</v>
      </c>
      <c r="N1496" t="s">
        <v>4400</v>
      </c>
    </row>
    <row r="1497" spans="1:14" x14ac:dyDescent="0.4">
      <c r="A1497" t="s">
        <v>3126</v>
      </c>
      <c r="B1497" t="s">
        <v>1397</v>
      </c>
      <c r="C1497" t="s">
        <v>60</v>
      </c>
      <c r="D1497" t="s">
        <v>61</v>
      </c>
      <c r="E1497" s="2">
        <v>1017.55</v>
      </c>
      <c r="F1497" s="2"/>
      <c r="G1497" s="2"/>
      <c r="H1497" s="2"/>
      <c r="I1497" s="2"/>
      <c r="J1497" s="2"/>
      <c r="K1497" s="2"/>
      <c r="L1497" s="2">
        <v>1017.55</v>
      </c>
      <c r="M1497" t="s">
        <v>4400</v>
      </c>
      <c r="N1497" t="s">
        <v>4407</v>
      </c>
    </row>
    <row r="1498" spans="1:14" x14ac:dyDescent="0.4">
      <c r="A1498" t="s">
        <v>3127</v>
      </c>
      <c r="B1498" t="s">
        <v>3128</v>
      </c>
      <c r="C1498" t="s">
        <v>64</v>
      </c>
      <c r="D1498" t="s">
        <v>2514</v>
      </c>
      <c r="E1498" s="2">
        <v>4446.7600000000011</v>
      </c>
      <c r="F1498" s="2">
        <v>3022.22</v>
      </c>
      <c r="G1498" s="2">
        <v>3016.18</v>
      </c>
      <c r="H1498" s="2"/>
      <c r="I1498" s="2"/>
      <c r="J1498" s="2"/>
      <c r="K1498" s="2"/>
      <c r="L1498" s="2">
        <v>10485.16</v>
      </c>
      <c r="M1498" t="s">
        <v>4400</v>
      </c>
      <c r="N1498" t="s">
        <v>4403</v>
      </c>
    </row>
    <row r="1499" spans="1:14" x14ac:dyDescent="0.4">
      <c r="A1499" t="s">
        <v>3129</v>
      </c>
      <c r="B1499" t="s">
        <v>3130</v>
      </c>
      <c r="C1499" t="s">
        <v>78</v>
      </c>
      <c r="D1499" t="s">
        <v>1240</v>
      </c>
      <c r="E1499" s="2"/>
      <c r="F1499" s="2"/>
      <c r="G1499" s="2"/>
      <c r="H1499" s="2"/>
      <c r="I1499" s="2">
        <v>1477.75</v>
      </c>
      <c r="J1499" s="2"/>
      <c r="K1499" s="2"/>
      <c r="L1499" s="2">
        <v>1477.75</v>
      </c>
      <c r="M1499" t="s">
        <v>4408</v>
      </c>
      <c r="N1499" t="s">
        <v>4401</v>
      </c>
    </row>
    <row r="1500" spans="1:14" x14ac:dyDescent="0.4">
      <c r="A1500" t="s">
        <v>3131</v>
      </c>
      <c r="B1500" t="s">
        <v>2870</v>
      </c>
      <c r="C1500" t="s">
        <v>64</v>
      </c>
      <c r="D1500" t="s">
        <v>74</v>
      </c>
      <c r="E1500" s="2">
        <v>791.56</v>
      </c>
      <c r="F1500" s="2">
        <v>724.74</v>
      </c>
      <c r="G1500" s="2">
        <v>778.71</v>
      </c>
      <c r="H1500" s="2">
        <v>930.3399999999998</v>
      </c>
      <c r="I1500" s="2">
        <v>871.23</v>
      </c>
      <c r="J1500" s="2">
        <v>845.53</v>
      </c>
      <c r="K1500" s="2"/>
      <c r="L1500" s="2">
        <v>4942.1099999999979</v>
      </c>
      <c r="M1500" t="s">
        <v>4400</v>
      </c>
      <c r="N1500" t="s">
        <v>4406</v>
      </c>
    </row>
    <row r="1501" spans="1:14" x14ac:dyDescent="0.4">
      <c r="A1501" t="s">
        <v>3132</v>
      </c>
      <c r="B1501" t="s">
        <v>3133</v>
      </c>
      <c r="C1501" t="s">
        <v>78</v>
      </c>
      <c r="D1501" t="s">
        <v>907</v>
      </c>
      <c r="E1501" s="2"/>
      <c r="F1501" s="2"/>
      <c r="G1501" s="2"/>
      <c r="H1501" s="2"/>
      <c r="I1501" s="2">
        <v>724.7399999999999</v>
      </c>
      <c r="J1501" s="2"/>
      <c r="K1501" s="2"/>
      <c r="L1501" s="2">
        <v>724.7399999999999</v>
      </c>
      <c r="M1501" t="s">
        <v>4408</v>
      </c>
      <c r="N1501" t="s">
        <v>4401</v>
      </c>
    </row>
    <row r="1502" spans="1:14" x14ac:dyDescent="0.4">
      <c r="A1502" t="s">
        <v>3134</v>
      </c>
      <c r="B1502" t="s">
        <v>3135</v>
      </c>
      <c r="C1502" t="s">
        <v>113</v>
      </c>
      <c r="D1502" t="s">
        <v>120</v>
      </c>
      <c r="E1502" s="2"/>
      <c r="F1502" s="2">
        <v>1020.5699999999999</v>
      </c>
      <c r="G1502" s="2">
        <v>1363.84</v>
      </c>
      <c r="H1502" s="2"/>
      <c r="I1502" s="2"/>
      <c r="J1502" s="2"/>
      <c r="K1502" s="2"/>
      <c r="L1502" s="2">
        <v>2384.41</v>
      </c>
      <c r="M1502" t="s">
        <v>4412</v>
      </c>
      <c r="N1502" t="s">
        <v>4403</v>
      </c>
    </row>
    <row r="1503" spans="1:14" x14ac:dyDescent="0.4">
      <c r="A1503" t="s">
        <v>3136</v>
      </c>
      <c r="B1503" t="s">
        <v>3137</v>
      </c>
      <c r="C1503" t="s">
        <v>64</v>
      </c>
      <c r="D1503" t="s">
        <v>2971</v>
      </c>
      <c r="E1503" s="2"/>
      <c r="F1503" s="2">
        <v>722.90000000000009</v>
      </c>
      <c r="G1503" s="2"/>
      <c r="H1503" s="2"/>
      <c r="I1503" s="2">
        <v>735.04000000000008</v>
      </c>
      <c r="J1503" s="2"/>
      <c r="K1503" s="2">
        <v>728.97</v>
      </c>
      <c r="L1503" s="2">
        <v>2186.9100000000003</v>
      </c>
      <c r="M1503" t="s">
        <v>4412</v>
      </c>
      <c r="N1503" t="s">
        <v>4400</v>
      </c>
    </row>
    <row r="1504" spans="1:14" x14ac:dyDescent="0.4">
      <c r="A1504" t="s">
        <v>3138</v>
      </c>
      <c r="B1504" t="s">
        <v>2866</v>
      </c>
      <c r="C1504" t="s">
        <v>64</v>
      </c>
      <c r="D1504" t="s">
        <v>2850</v>
      </c>
      <c r="E1504" s="2"/>
      <c r="F1504" s="2"/>
      <c r="G1504" s="2"/>
      <c r="H1504" s="2">
        <v>3053.1600000000003</v>
      </c>
      <c r="I1504" s="2">
        <v>3191.9400000000005</v>
      </c>
      <c r="J1504" s="2">
        <v>747.86999999999989</v>
      </c>
      <c r="K1504" s="2">
        <v>1567.7000000000003</v>
      </c>
      <c r="L1504" s="2">
        <v>8560.6700000000037</v>
      </c>
      <c r="M1504" t="s">
        <v>4409</v>
      </c>
      <c r="N1504" t="s">
        <v>4400</v>
      </c>
    </row>
    <row r="1505" spans="1:14" x14ac:dyDescent="0.4">
      <c r="A1505" t="s">
        <v>3139</v>
      </c>
      <c r="B1505" t="s">
        <v>3140</v>
      </c>
      <c r="C1505" t="s">
        <v>64</v>
      </c>
      <c r="D1505" t="s">
        <v>1427</v>
      </c>
      <c r="E1505" s="2"/>
      <c r="F1505" s="2"/>
      <c r="G1505" s="2">
        <v>717.03</v>
      </c>
      <c r="H1505" s="2"/>
      <c r="I1505" s="2"/>
      <c r="J1505" s="2"/>
      <c r="K1505" s="2"/>
      <c r="L1505" s="2">
        <v>717.03</v>
      </c>
      <c r="M1505" t="s">
        <v>4411</v>
      </c>
      <c r="N1505" t="s">
        <v>4403</v>
      </c>
    </row>
    <row r="1506" spans="1:14" x14ac:dyDescent="0.4">
      <c r="A1506" t="s">
        <v>3141</v>
      </c>
      <c r="B1506" t="s">
        <v>3142</v>
      </c>
      <c r="C1506" t="s">
        <v>5</v>
      </c>
      <c r="D1506" t="s">
        <v>56</v>
      </c>
      <c r="E1506" s="2">
        <v>3915.3299999999995</v>
      </c>
      <c r="F1506" s="2">
        <v>905.17</v>
      </c>
      <c r="G1506" s="2">
        <v>944.65</v>
      </c>
      <c r="H1506" s="2">
        <v>3751.29</v>
      </c>
      <c r="I1506" s="2">
        <v>2068.5300000000002</v>
      </c>
      <c r="J1506" s="2">
        <v>877.84</v>
      </c>
      <c r="K1506" s="2"/>
      <c r="L1506" s="2">
        <v>12462.809999999996</v>
      </c>
      <c r="M1506" t="s">
        <v>4400</v>
      </c>
      <c r="N1506" t="s">
        <v>4406</v>
      </c>
    </row>
    <row r="1507" spans="1:14" x14ac:dyDescent="0.4">
      <c r="A1507" t="s">
        <v>3143</v>
      </c>
      <c r="B1507" t="s">
        <v>3144</v>
      </c>
      <c r="C1507" t="s">
        <v>1</v>
      </c>
      <c r="D1507" t="s">
        <v>1030</v>
      </c>
      <c r="E1507" s="2">
        <v>2979.6699999999992</v>
      </c>
      <c r="F1507" s="2">
        <v>2278.06</v>
      </c>
      <c r="G1507" s="2">
        <v>3930.3499999999995</v>
      </c>
      <c r="H1507" s="2">
        <v>2517.9799999999996</v>
      </c>
      <c r="I1507" s="2">
        <v>3146.7299999999996</v>
      </c>
      <c r="J1507" s="2">
        <v>2375.2299999999996</v>
      </c>
      <c r="K1507" s="2">
        <v>801.87999999999988</v>
      </c>
      <c r="L1507" s="2">
        <v>18029.899999999991</v>
      </c>
      <c r="M1507" t="s">
        <v>4400</v>
      </c>
      <c r="N1507" t="s">
        <v>4400</v>
      </c>
    </row>
    <row r="1508" spans="1:14" x14ac:dyDescent="0.4">
      <c r="A1508" t="s">
        <v>3145</v>
      </c>
      <c r="B1508" t="s">
        <v>3146</v>
      </c>
      <c r="C1508" t="s">
        <v>186</v>
      </c>
      <c r="D1508" t="s">
        <v>190</v>
      </c>
      <c r="E1508" s="2"/>
      <c r="F1508" s="2"/>
      <c r="G1508" s="2"/>
      <c r="H1508" s="2"/>
      <c r="I1508" s="2"/>
      <c r="J1508" s="2">
        <v>966.31999999999982</v>
      </c>
      <c r="K1508" s="2"/>
      <c r="L1508" s="2">
        <v>966.31999999999982</v>
      </c>
      <c r="M1508" t="s">
        <v>4405</v>
      </c>
      <c r="N1508" t="s">
        <v>4406</v>
      </c>
    </row>
    <row r="1509" spans="1:14" x14ac:dyDescent="0.4">
      <c r="A1509" t="s">
        <v>3147</v>
      </c>
      <c r="B1509" t="s">
        <v>2652</v>
      </c>
      <c r="C1509" t="s">
        <v>64</v>
      </c>
      <c r="D1509" t="s">
        <v>2223</v>
      </c>
      <c r="E1509" s="2">
        <v>3045.4499999999994</v>
      </c>
      <c r="F1509" s="2">
        <v>3690.5199999999995</v>
      </c>
      <c r="G1509" s="2">
        <v>2374.6799999999994</v>
      </c>
      <c r="H1509" s="2">
        <v>1531.7199999999996</v>
      </c>
      <c r="I1509" s="2">
        <v>1482.8899999999999</v>
      </c>
      <c r="J1509" s="2">
        <v>732.44999999999993</v>
      </c>
      <c r="K1509" s="2"/>
      <c r="L1509" s="2">
        <v>12857.71000000001</v>
      </c>
      <c r="M1509" t="s">
        <v>4400</v>
      </c>
      <c r="N1509" t="s">
        <v>4406</v>
      </c>
    </row>
    <row r="1510" spans="1:14" x14ac:dyDescent="0.4">
      <c r="A1510" t="s">
        <v>3148</v>
      </c>
      <c r="B1510" t="s">
        <v>3149</v>
      </c>
      <c r="C1510" t="s">
        <v>113</v>
      </c>
      <c r="D1510" t="s">
        <v>114</v>
      </c>
      <c r="E1510" s="2">
        <v>3730.0099999999998</v>
      </c>
      <c r="F1510" s="2">
        <v>1457.98</v>
      </c>
      <c r="G1510" s="2">
        <v>820.12000000000012</v>
      </c>
      <c r="H1510" s="2">
        <v>1488.3799999999999</v>
      </c>
      <c r="I1510" s="2">
        <v>1564.2999999999997</v>
      </c>
      <c r="J1510" s="2">
        <v>1679.7199999999998</v>
      </c>
      <c r="K1510" s="2">
        <v>865.68999999999994</v>
      </c>
      <c r="L1510" s="2">
        <v>11606.19999999999</v>
      </c>
      <c r="M1510" t="s">
        <v>4400</v>
      </c>
      <c r="N1510" t="s">
        <v>4400</v>
      </c>
    </row>
    <row r="1511" spans="1:14" x14ac:dyDescent="0.4">
      <c r="A1511" t="s">
        <v>3150</v>
      </c>
      <c r="B1511" t="s">
        <v>3067</v>
      </c>
      <c r="C1511" t="s">
        <v>220</v>
      </c>
      <c r="D1511" t="s">
        <v>2302</v>
      </c>
      <c r="E1511" s="2">
        <v>1631.1299999999997</v>
      </c>
      <c r="F1511" s="2">
        <v>838.35</v>
      </c>
      <c r="G1511" s="2">
        <v>1773.8999999999999</v>
      </c>
      <c r="H1511" s="2">
        <v>759.35</v>
      </c>
      <c r="I1511" s="2">
        <v>2086.7299999999996</v>
      </c>
      <c r="J1511" s="2">
        <v>996.28000000000009</v>
      </c>
      <c r="K1511" s="2">
        <v>999.31999999999994</v>
      </c>
      <c r="L1511" s="2">
        <v>9085.059999999994</v>
      </c>
      <c r="M1511" t="s">
        <v>4400</v>
      </c>
      <c r="N1511" t="s">
        <v>4400</v>
      </c>
    </row>
    <row r="1512" spans="1:14" x14ac:dyDescent="0.4">
      <c r="A1512" t="s">
        <v>3151</v>
      </c>
      <c r="B1512" t="s">
        <v>2870</v>
      </c>
      <c r="C1512" t="s">
        <v>64</v>
      </c>
      <c r="D1512" t="s">
        <v>1560</v>
      </c>
      <c r="E1512" s="2">
        <v>3228.7000000000003</v>
      </c>
      <c r="F1512" s="2">
        <v>5433.8000000000011</v>
      </c>
      <c r="G1512" s="2">
        <v>4841.5200000000004</v>
      </c>
      <c r="H1512" s="2">
        <v>3301.6000000000004</v>
      </c>
      <c r="I1512" s="2">
        <v>4771.699999999998</v>
      </c>
      <c r="J1512" s="2">
        <v>7089.2600000000011</v>
      </c>
      <c r="K1512" s="2">
        <v>2836.8899999999994</v>
      </c>
      <c r="L1512" s="2">
        <v>31503.469999999954</v>
      </c>
      <c r="M1512" t="s">
        <v>4400</v>
      </c>
      <c r="N1512" t="s">
        <v>4400</v>
      </c>
    </row>
    <row r="1513" spans="1:14" x14ac:dyDescent="0.4">
      <c r="A1513" t="s">
        <v>3152</v>
      </c>
      <c r="B1513" t="s">
        <v>3153</v>
      </c>
      <c r="C1513" t="s">
        <v>64</v>
      </c>
      <c r="D1513" t="s">
        <v>3154</v>
      </c>
      <c r="E1513" s="2"/>
      <c r="F1513" s="2"/>
      <c r="G1513" s="2"/>
      <c r="H1513" s="2"/>
      <c r="I1513" s="2"/>
      <c r="J1513" s="2">
        <v>904.63999999999976</v>
      </c>
      <c r="K1513" s="2">
        <v>745.29999999999984</v>
      </c>
      <c r="L1513" s="2">
        <v>1649.9399999999994</v>
      </c>
      <c r="M1513" t="s">
        <v>4405</v>
      </c>
      <c r="N1513" t="s">
        <v>4400</v>
      </c>
    </row>
    <row r="1514" spans="1:14" x14ac:dyDescent="0.4">
      <c r="A1514" t="s">
        <v>3155</v>
      </c>
      <c r="B1514" t="s">
        <v>3156</v>
      </c>
      <c r="C1514" t="s">
        <v>64</v>
      </c>
      <c r="D1514" t="s">
        <v>1427</v>
      </c>
      <c r="E1514" s="2">
        <v>3177.119999999999</v>
      </c>
      <c r="F1514" s="2">
        <v>1716.1499999999999</v>
      </c>
      <c r="G1514" s="2">
        <v>2633.4699999999989</v>
      </c>
      <c r="H1514" s="2">
        <v>2918.9899999999989</v>
      </c>
      <c r="I1514" s="2">
        <v>1631.0499999999997</v>
      </c>
      <c r="J1514" s="2">
        <v>3243.9599999999987</v>
      </c>
      <c r="K1514" s="2"/>
      <c r="L1514" s="2">
        <v>15320.739999999994</v>
      </c>
      <c r="M1514" t="s">
        <v>4400</v>
      </c>
      <c r="N1514" t="s">
        <v>4406</v>
      </c>
    </row>
    <row r="1515" spans="1:14" x14ac:dyDescent="0.4">
      <c r="A1515" t="s">
        <v>3157</v>
      </c>
      <c r="B1515" t="s">
        <v>3158</v>
      </c>
      <c r="C1515" t="s">
        <v>35</v>
      </c>
      <c r="D1515" t="s">
        <v>36</v>
      </c>
      <c r="E1515" s="2"/>
      <c r="F1515" s="2"/>
      <c r="G1515" s="2"/>
      <c r="H1515" s="2">
        <v>2981.2000000000003</v>
      </c>
      <c r="I1515" s="2">
        <v>1495.74</v>
      </c>
      <c r="J1515" s="2"/>
      <c r="K1515" s="2"/>
      <c r="L1515" s="2">
        <v>4476.9400000000005</v>
      </c>
      <c r="M1515" t="s">
        <v>4409</v>
      </c>
      <c r="N1515" t="s">
        <v>4401</v>
      </c>
    </row>
    <row r="1516" spans="1:14" x14ac:dyDescent="0.4">
      <c r="A1516" t="s">
        <v>3159</v>
      </c>
      <c r="B1516" t="s">
        <v>3160</v>
      </c>
      <c r="C1516" t="s">
        <v>5</v>
      </c>
      <c r="D1516" t="s">
        <v>56</v>
      </c>
      <c r="E1516" s="2">
        <v>1454.94</v>
      </c>
      <c r="F1516" s="2">
        <v>719.86999999999989</v>
      </c>
      <c r="G1516" s="2">
        <v>1473.1599999999999</v>
      </c>
      <c r="H1516" s="2">
        <v>728.98</v>
      </c>
      <c r="I1516" s="2">
        <v>2193.02</v>
      </c>
      <c r="J1516" s="2">
        <v>738.09999999999991</v>
      </c>
      <c r="K1516" s="2">
        <v>747.22000000000014</v>
      </c>
      <c r="L1516" s="2">
        <v>8055.289999999989</v>
      </c>
      <c r="M1516" t="s">
        <v>4400</v>
      </c>
      <c r="N1516" t="s">
        <v>4400</v>
      </c>
    </row>
    <row r="1517" spans="1:14" x14ac:dyDescent="0.4">
      <c r="A1517" t="s">
        <v>3161</v>
      </c>
      <c r="B1517" t="s">
        <v>3065</v>
      </c>
      <c r="C1517" t="s">
        <v>78</v>
      </c>
      <c r="D1517" t="s">
        <v>1240</v>
      </c>
      <c r="E1517" s="2">
        <v>3857.4500000000003</v>
      </c>
      <c r="F1517" s="2">
        <v>3019.1400000000003</v>
      </c>
      <c r="G1517" s="2">
        <v>3101.1500000000005</v>
      </c>
      <c r="H1517" s="2">
        <v>3210.5199999999991</v>
      </c>
      <c r="I1517" s="2">
        <v>4045.8</v>
      </c>
      <c r="J1517" s="2">
        <v>3872.619999999999</v>
      </c>
      <c r="K1517" s="2">
        <v>1998.6799999999998</v>
      </c>
      <c r="L1517" s="2">
        <v>23105.35999999999</v>
      </c>
      <c r="M1517" t="s">
        <v>4400</v>
      </c>
      <c r="N1517" t="s">
        <v>4400</v>
      </c>
    </row>
    <row r="1518" spans="1:14" x14ac:dyDescent="0.4">
      <c r="A1518" t="s">
        <v>3162</v>
      </c>
      <c r="B1518" t="s">
        <v>3163</v>
      </c>
      <c r="C1518" t="s">
        <v>163</v>
      </c>
      <c r="D1518" t="s">
        <v>164</v>
      </c>
      <c r="E1518" s="2">
        <v>725.95999999999992</v>
      </c>
      <c r="F1518" s="2">
        <v>732.04</v>
      </c>
      <c r="G1518" s="2">
        <v>738.12</v>
      </c>
      <c r="H1518" s="2">
        <v>735.05</v>
      </c>
      <c r="I1518" s="2">
        <v>874.80000000000007</v>
      </c>
      <c r="J1518" s="2"/>
      <c r="K1518" s="2">
        <v>1114.75</v>
      </c>
      <c r="L1518" s="2">
        <v>4920.7199999999993</v>
      </c>
      <c r="M1518" t="s">
        <v>4400</v>
      </c>
      <c r="N1518" t="s">
        <v>4400</v>
      </c>
    </row>
    <row r="1519" spans="1:14" x14ac:dyDescent="0.4">
      <c r="A1519" t="s">
        <v>3164</v>
      </c>
      <c r="B1519" t="s">
        <v>3056</v>
      </c>
      <c r="C1519" t="s">
        <v>178</v>
      </c>
      <c r="D1519" t="s">
        <v>179</v>
      </c>
      <c r="E1519" s="2">
        <v>820.08000000000015</v>
      </c>
      <c r="F1519" s="2"/>
      <c r="G1519" s="2"/>
      <c r="H1519" s="2"/>
      <c r="I1519" s="2"/>
      <c r="J1519" s="2">
        <v>880.85</v>
      </c>
      <c r="K1519" s="2"/>
      <c r="L1519" s="2">
        <v>1700.9300000000005</v>
      </c>
      <c r="M1519" t="s">
        <v>4400</v>
      </c>
      <c r="N1519" t="s">
        <v>4406</v>
      </c>
    </row>
    <row r="1520" spans="1:14" x14ac:dyDescent="0.4">
      <c r="A1520" t="s">
        <v>3165</v>
      </c>
      <c r="B1520" t="s">
        <v>1820</v>
      </c>
      <c r="C1520" t="s">
        <v>109</v>
      </c>
      <c r="D1520" t="s">
        <v>1374</v>
      </c>
      <c r="E1520" s="2">
        <v>3723.9</v>
      </c>
      <c r="F1520" s="2">
        <v>3319.9</v>
      </c>
      <c r="G1520" s="2">
        <v>3411.0100000000007</v>
      </c>
      <c r="H1520" s="2">
        <v>3599.2799999999993</v>
      </c>
      <c r="I1520" s="2">
        <v>4039.6899999999996</v>
      </c>
      <c r="J1520" s="2">
        <v>3019.15</v>
      </c>
      <c r="K1520" s="2">
        <v>1533.8799999999997</v>
      </c>
      <c r="L1520" s="2">
        <v>22646.809999999965</v>
      </c>
      <c r="M1520" t="s">
        <v>4400</v>
      </c>
      <c r="N1520" t="s">
        <v>4400</v>
      </c>
    </row>
    <row r="1521" spans="1:14" x14ac:dyDescent="0.4">
      <c r="A1521" t="s">
        <v>3166</v>
      </c>
      <c r="B1521" t="s">
        <v>3167</v>
      </c>
      <c r="C1521" t="s">
        <v>303</v>
      </c>
      <c r="D1521" t="s">
        <v>304</v>
      </c>
      <c r="E1521" s="2"/>
      <c r="F1521" s="2"/>
      <c r="G1521" s="2"/>
      <c r="H1521" s="2"/>
      <c r="I1521" s="2"/>
      <c r="J1521" s="2">
        <v>1542.9999999999998</v>
      </c>
      <c r="K1521" s="2">
        <v>786.68999999999994</v>
      </c>
      <c r="L1521" s="2">
        <v>2329.6899999999996</v>
      </c>
      <c r="M1521" t="s">
        <v>4405</v>
      </c>
      <c r="N1521" t="s">
        <v>4400</v>
      </c>
    </row>
    <row r="1522" spans="1:14" x14ac:dyDescent="0.4">
      <c r="A1522" t="s">
        <v>3168</v>
      </c>
      <c r="B1522" t="s">
        <v>2690</v>
      </c>
      <c r="C1522" t="s">
        <v>64</v>
      </c>
      <c r="D1522" t="s">
        <v>2691</v>
      </c>
      <c r="E1522" s="2">
        <v>3788.179999999998</v>
      </c>
      <c r="F1522" s="2">
        <v>2880.9699999999993</v>
      </c>
      <c r="G1522" s="2">
        <v>2901.5299999999997</v>
      </c>
      <c r="H1522" s="2">
        <v>2973.4900000000007</v>
      </c>
      <c r="I1522" s="2">
        <v>3705.9399999999991</v>
      </c>
      <c r="J1522" s="2">
        <v>2932.3700000000003</v>
      </c>
      <c r="K1522" s="2">
        <v>1454.6200000000001</v>
      </c>
      <c r="L1522" s="2">
        <v>20637.100000000039</v>
      </c>
      <c r="M1522" t="s">
        <v>4400</v>
      </c>
      <c r="N1522" t="s">
        <v>4400</v>
      </c>
    </row>
    <row r="1523" spans="1:14" x14ac:dyDescent="0.4">
      <c r="A1523" t="s">
        <v>3169</v>
      </c>
      <c r="B1523" t="s">
        <v>924</v>
      </c>
      <c r="C1523" t="s">
        <v>27</v>
      </c>
      <c r="D1523" t="s">
        <v>28</v>
      </c>
      <c r="E1523" s="2"/>
      <c r="F1523" s="2">
        <v>2226.42</v>
      </c>
      <c r="G1523" s="2">
        <v>817.06</v>
      </c>
      <c r="H1523" s="2">
        <v>744.16</v>
      </c>
      <c r="I1523" s="2">
        <v>798.83999999999992</v>
      </c>
      <c r="J1523" s="2">
        <v>774.54</v>
      </c>
      <c r="K1523" s="2"/>
      <c r="L1523" s="2">
        <v>5361.0199999999959</v>
      </c>
      <c r="M1523" t="s">
        <v>4412</v>
      </c>
      <c r="N1523" t="s">
        <v>4406</v>
      </c>
    </row>
    <row r="1524" spans="1:14" x14ac:dyDescent="0.4">
      <c r="A1524" t="s">
        <v>3170</v>
      </c>
      <c r="B1524" t="s">
        <v>2973</v>
      </c>
      <c r="C1524" t="s">
        <v>64</v>
      </c>
      <c r="D1524" t="s">
        <v>1143</v>
      </c>
      <c r="E1524" s="2"/>
      <c r="F1524" s="2">
        <v>806.9799999999999</v>
      </c>
      <c r="G1524" s="2"/>
      <c r="H1524" s="2"/>
      <c r="I1524" s="2"/>
      <c r="J1524" s="2"/>
      <c r="K1524" s="2">
        <v>835.25</v>
      </c>
      <c r="L1524" s="2">
        <v>1642.2299999999996</v>
      </c>
      <c r="M1524" t="s">
        <v>4412</v>
      </c>
      <c r="N1524" t="s">
        <v>4400</v>
      </c>
    </row>
    <row r="1525" spans="1:14" x14ac:dyDescent="0.4">
      <c r="A1525" t="s">
        <v>3171</v>
      </c>
      <c r="B1525" t="s">
        <v>3172</v>
      </c>
      <c r="C1525" t="s">
        <v>113</v>
      </c>
      <c r="D1525" t="s">
        <v>120</v>
      </c>
      <c r="E1525" s="2">
        <v>5285.2100000000019</v>
      </c>
      <c r="F1525" s="2">
        <v>4443.8200000000006</v>
      </c>
      <c r="G1525" s="2">
        <v>3991.1999999999989</v>
      </c>
      <c r="H1525" s="2">
        <v>3881.8899999999994</v>
      </c>
      <c r="I1525" s="2">
        <v>4717.21</v>
      </c>
      <c r="J1525" s="2">
        <v>3891.0199999999991</v>
      </c>
      <c r="K1525" s="2">
        <v>1919.6899999999996</v>
      </c>
      <c r="L1525" s="2">
        <v>28130.039999999954</v>
      </c>
      <c r="M1525" t="s">
        <v>4400</v>
      </c>
      <c r="N1525" t="s">
        <v>4400</v>
      </c>
    </row>
    <row r="1526" spans="1:14" x14ac:dyDescent="0.4">
      <c r="A1526" t="s">
        <v>3173</v>
      </c>
      <c r="B1526" t="s">
        <v>3174</v>
      </c>
      <c r="C1526" t="s">
        <v>310</v>
      </c>
      <c r="D1526" t="s">
        <v>314</v>
      </c>
      <c r="E1526" s="2">
        <v>2442.11</v>
      </c>
      <c r="F1526" s="2">
        <v>984.15</v>
      </c>
      <c r="G1526" s="2">
        <v>853.54</v>
      </c>
      <c r="H1526" s="2">
        <v>1142.1000000000001</v>
      </c>
      <c r="I1526" s="2">
        <v>1193.72</v>
      </c>
      <c r="J1526" s="2"/>
      <c r="K1526" s="2">
        <v>771.52</v>
      </c>
      <c r="L1526" s="2">
        <v>7387.1399999999958</v>
      </c>
      <c r="M1526" t="s">
        <v>4400</v>
      </c>
      <c r="N1526" t="s">
        <v>4400</v>
      </c>
    </row>
    <row r="1527" spans="1:14" x14ac:dyDescent="0.4">
      <c r="A1527" t="s">
        <v>3175</v>
      </c>
      <c r="B1527" t="s">
        <v>3176</v>
      </c>
      <c r="C1527" t="s">
        <v>64</v>
      </c>
      <c r="D1527" t="s">
        <v>2619</v>
      </c>
      <c r="E1527" s="2">
        <v>2964.56</v>
      </c>
      <c r="F1527" s="2">
        <v>3028.3699999999994</v>
      </c>
      <c r="G1527" s="2">
        <v>4850.8900000000003</v>
      </c>
      <c r="H1527" s="2">
        <v>3772.5999999999995</v>
      </c>
      <c r="I1527" s="2">
        <v>4042.8999999999987</v>
      </c>
      <c r="J1527" s="2">
        <v>5042.1900000000005</v>
      </c>
      <c r="K1527" s="2">
        <v>2120.14</v>
      </c>
      <c r="L1527" s="2">
        <v>25821.650000000027</v>
      </c>
      <c r="M1527" t="s">
        <v>4400</v>
      </c>
      <c r="N1527" t="s">
        <v>4400</v>
      </c>
    </row>
    <row r="1528" spans="1:14" x14ac:dyDescent="0.4">
      <c r="A1528" t="s">
        <v>3177</v>
      </c>
      <c r="B1528" t="s">
        <v>2980</v>
      </c>
      <c r="C1528" t="s">
        <v>78</v>
      </c>
      <c r="D1528" t="s">
        <v>907</v>
      </c>
      <c r="E1528" s="2">
        <v>2446.64</v>
      </c>
      <c r="F1528" s="2">
        <v>845.53</v>
      </c>
      <c r="G1528" s="2">
        <v>1472.61</v>
      </c>
      <c r="H1528" s="2">
        <v>727.30999999999983</v>
      </c>
      <c r="I1528" s="2">
        <v>2929.7999999999984</v>
      </c>
      <c r="J1528" s="2"/>
      <c r="K1528" s="2"/>
      <c r="L1528" s="2">
        <v>8421.8900000000049</v>
      </c>
      <c r="M1528" t="s">
        <v>4400</v>
      </c>
      <c r="N1528" t="s">
        <v>4401</v>
      </c>
    </row>
    <row r="1529" spans="1:14" x14ac:dyDescent="0.4">
      <c r="A1529" t="s">
        <v>3178</v>
      </c>
      <c r="B1529" t="s">
        <v>2762</v>
      </c>
      <c r="C1529" t="s">
        <v>39</v>
      </c>
      <c r="D1529" t="s">
        <v>40</v>
      </c>
      <c r="E1529" s="2">
        <v>7129.1799999999994</v>
      </c>
      <c r="F1529" s="2">
        <v>6869.6100000000042</v>
      </c>
      <c r="G1529" s="2">
        <v>9246.8600000000042</v>
      </c>
      <c r="H1529" s="2">
        <v>6021.5100000000029</v>
      </c>
      <c r="I1529" s="2">
        <v>6150.0100000000039</v>
      </c>
      <c r="J1529" s="2">
        <v>5941.170000000001</v>
      </c>
      <c r="K1529" s="2">
        <v>3497.77</v>
      </c>
      <c r="L1529" s="2">
        <v>44856.109999999942</v>
      </c>
      <c r="M1529" t="s">
        <v>4400</v>
      </c>
      <c r="N1529" t="s">
        <v>4400</v>
      </c>
    </row>
    <row r="1530" spans="1:14" x14ac:dyDescent="0.4">
      <c r="A1530" t="s">
        <v>3179</v>
      </c>
      <c r="B1530" t="s">
        <v>3180</v>
      </c>
      <c r="C1530" t="s">
        <v>64</v>
      </c>
      <c r="D1530" t="s">
        <v>2223</v>
      </c>
      <c r="E1530" s="2">
        <v>2420.7399999999998</v>
      </c>
      <c r="F1530" s="2">
        <v>1594.6</v>
      </c>
      <c r="G1530" s="2">
        <v>2338.7099999999996</v>
      </c>
      <c r="H1530" s="2">
        <v>2569.5699999999997</v>
      </c>
      <c r="I1530" s="2">
        <v>3371.41</v>
      </c>
      <c r="J1530" s="2">
        <v>1895.3</v>
      </c>
      <c r="K1530" s="2">
        <v>1716.0800000000002</v>
      </c>
      <c r="L1530" s="2">
        <v>15906.410000000011</v>
      </c>
      <c r="M1530" t="s">
        <v>4400</v>
      </c>
      <c r="N1530" t="s">
        <v>4400</v>
      </c>
    </row>
    <row r="1531" spans="1:14" x14ac:dyDescent="0.4">
      <c r="A1531" t="s">
        <v>3181</v>
      </c>
      <c r="B1531" t="s">
        <v>3182</v>
      </c>
      <c r="C1531" t="s">
        <v>64</v>
      </c>
      <c r="D1531" t="s">
        <v>2731</v>
      </c>
      <c r="E1531" s="2">
        <v>728.97</v>
      </c>
      <c r="F1531" s="2">
        <v>1634.07</v>
      </c>
      <c r="G1531" s="2">
        <v>735.03</v>
      </c>
      <c r="H1531" s="2"/>
      <c r="I1531" s="2">
        <v>716.81000000000006</v>
      </c>
      <c r="J1531" s="2"/>
      <c r="K1531" s="2">
        <v>716.8</v>
      </c>
      <c r="L1531" s="2">
        <v>4531.6799999999994</v>
      </c>
      <c r="M1531" t="s">
        <v>4400</v>
      </c>
      <c r="N1531" t="s">
        <v>4400</v>
      </c>
    </row>
    <row r="1532" spans="1:14" x14ac:dyDescent="0.4">
      <c r="A1532" t="s">
        <v>3183</v>
      </c>
      <c r="B1532" t="s">
        <v>3184</v>
      </c>
      <c r="C1532" t="s">
        <v>52</v>
      </c>
      <c r="D1532" t="s">
        <v>153</v>
      </c>
      <c r="E1532" s="2">
        <v>747.86999999999989</v>
      </c>
      <c r="F1532" s="2">
        <v>719.59999999999991</v>
      </c>
      <c r="G1532" s="2">
        <v>1488.0299999999997</v>
      </c>
      <c r="H1532" s="2">
        <v>812.11999999999989</v>
      </c>
      <c r="I1532" s="2"/>
      <c r="J1532" s="2"/>
      <c r="K1532" s="2"/>
      <c r="L1532" s="2">
        <v>3767.6199999999985</v>
      </c>
      <c r="M1532" t="s">
        <v>4400</v>
      </c>
      <c r="N1532" t="s">
        <v>4402</v>
      </c>
    </row>
    <row r="1533" spans="1:14" x14ac:dyDescent="0.4">
      <c r="A1533" t="s">
        <v>3185</v>
      </c>
      <c r="B1533" t="s">
        <v>3186</v>
      </c>
      <c r="C1533" t="s">
        <v>1</v>
      </c>
      <c r="D1533" t="s">
        <v>85</v>
      </c>
      <c r="E1533" s="2">
        <v>729.88000000000011</v>
      </c>
      <c r="F1533" s="2">
        <v>2220.48</v>
      </c>
      <c r="G1533" s="2">
        <v>3731.64</v>
      </c>
      <c r="H1533" s="2">
        <v>1452.0499999999997</v>
      </c>
      <c r="I1533" s="2">
        <v>2611.1199999999994</v>
      </c>
      <c r="J1533" s="2">
        <v>3911.5399999999991</v>
      </c>
      <c r="K1533" s="2">
        <v>1516.2999999999997</v>
      </c>
      <c r="L1533" s="2">
        <v>16173.010000000002</v>
      </c>
      <c r="M1533" t="s">
        <v>4400</v>
      </c>
      <c r="N1533" t="s">
        <v>4400</v>
      </c>
    </row>
    <row r="1534" spans="1:14" x14ac:dyDescent="0.4">
      <c r="A1534" t="s">
        <v>3187</v>
      </c>
      <c r="B1534" t="s">
        <v>3188</v>
      </c>
      <c r="C1534" t="s">
        <v>64</v>
      </c>
      <c r="D1534" t="s">
        <v>2514</v>
      </c>
      <c r="E1534" s="2">
        <v>781.28</v>
      </c>
      <c r="F1534" s="2">
        <v>997.15999999999985</v>
      </c>
      <c r="G1534" s="2">
        <v>1524.0100000000002</v>
      </c>
      <c r="H1534" s="2"/>
      <c r="I1534" s="2">
        <v>974.03</v>
      </c>
      <c r="J1534" s="2"/>
      <c r="K1534" s="2"/>
      <c r="L1534" s="2">
        <v>4276.4800000000005</v>
      </c>
      <c r="M1534" t="s">
        <v>4400</v>
      </c>
      <c r="N1534" t="s">
        <v>4401</v>
      </c>
    </row>
    <row r="1535" spans="1:14" x14ac:dyDescent="0.4">
      <c r="A1535" t="s">
        <v>3189</v>
      </c>
      <c r="B1535" t="s">
        <v>3190</v>
      </c>
      <c r="C1535" t="s">
        <v>291</v>
      </c>
      <c r="D1535" t="s">
        <v>295</v>
      </c>
      <c r="E1535" s="2">
        <v>1643.3</v>
      </c>
      <c r="F1535" s="2">
        <v>1503.53</v>
      </c>
      <c r="G1535" s="2">
        <v>2199.1399999999994</v>
      </c>
      <c r="H1535" s="2"/>
      <c r="I1535" s="2"/>
      <c r="J1535" s="2"/>
      <c r="K1535" s="2"/>
      <c r="L1535" s="2">
        <v>5345.9699999999975</v>
      </c>
      <c r="M1535" t="s">
        <v>4400</v>
      </c>
      <c r="N1535" t="s">
        <v>4403</v>
      </c>
    </row>
    <row r="1536" spans="1:14" x14ac:dyDescent="0.4">
      <c r="A1536" t="s">
        <v>3191</v>
      </c>
      <c r="B1536" t="s">
        <v>3192</v>
      </c>
      <c r="C1536" t="s">
        <v>1</v>
      </c>
      <c r="D1536" t="s">
        <v>507</v>
      </c>
      <c r="E1536" s="2">
        <v>1533.9499999999998</v>
      </c>
      <c r="F1536" s="2">
        <v>1515.7099999999996</v>
      </c>
      <c r="G1536" s="2">
        <v>1464.1</v>
      </c>
      <c r="H1536" s="2"/>
      <c r="I1536" s="2"/>
      <c r="J1536" s="2"/>
      <c r="K1536" s="2"/>
      <c r="L1536" s="2">
        <v>4513.7600000000011</v>
      </c>
      <c r="M1536" t="s">
        <v>4400</v>
      </c>
      <c r="N1536" t="s">
        <v>4403</v>
      </c>
    </row>
    <row r="1537" spans="1:14" x14ac:dyDescent="0.4">
      <c r="A1537" t="s">
        <v>3193</v>
      </c>
      <c r="B1537" t="s">
        <v>202</v>
      </c>
      <c r="C1537" t="s">
        <v>199</v>
      </c>
      <c r="D1537" t="s">
        <v>203</v>
      </c>
      <c r="E1537" s="2">
        <v>3145.68</v>
      </c>
      <c r="F1537" s="2">
        <v>3251.0499999999997</v>
      </c>
      <c r="G1537" s="2">
        <v>4348.4400000000005</v>
      </c>
      <c r="H1537" s="2">
        <v>3202.22</v>
      </c>
      <c r="I1537" s="2">
        <v>4294.4699999999993</v>
      </c>
      <c r="J1537" s="2">
        <v>5579.4699999999993</v>
      </c>
      <c r="K1537" s="2">
        <v>2215.34</v>
      </c>
      <c r="L1537" s="2">
        <v>26036.670000000013</v>
      </c>
      <c r="M1537" t="s">
        <v>4400</v>
      </c>
      <c r="N1537" t="s">
        <v>4400</v>
      </c>
    </row>
    <row r="1538" spans="1:14" x14ac:dyDescent="0.4">
      <c r="A1538" t="s">
        <v>3194</v>
      </c>
      <c r="B1538" t="s">
        <v>1431</v>
      </c>
      <c r="C1538" t="s">
        <v>310</v>
      </c>
      <c r="D1538" t="s">
        <v>311</v>
      </c>
      <c r="E1538" s="2">
        <v>2325.849999999999</v>
      </c>
      <c r="F1538" s="2">
        <v>2264.1699999999992</v>
      </c>
      <c r="G1538" s="2">
        <v>1613.96</v>
      </c>
      <c r="H1538" s="2">
        <v>1534.29</v>
      </c>
      <c r="I1538" s="2">
        <v>3212.4999999999995</v>
      </c>
      <c r="J1538" s="2">
        <v>1457.19</v>
      </c>
      <c r="K1538" s="2">
        <v>1480.32</v>
      </c>
      <c r="L1538" s="2">
        <v>13888.280000000013</v>
      </c>
      <c r="M1538" t="s">
        <v>4400</v>
      </c>
      <c r="N1538" t="s">
        <v>4400</v>
      </c>
    </row>
    <row r="1539" spans="1:14" x14ac:dyDescent="0.4">
      <c r="A1539" t="s">
        <v>3195</v>
      </c>
      <c r="B1539" t="s">
        <v>3196</v>
      </c>
      <c r="C1539" t="s">
        <v>178</v>
      </c>
      <c r="D1539" t="s">
        <v>179</v>
      </c>
      <c r="E1539" s="2">
        <v>3817.92</v>
      </c>
      <c r="F1539" s="2">
        <v>3799.71</v>
      </c>
      <c r="G1539" s="2">
        <v>5278.9600000000009</v>
      </c>
      <c r="H1539" s="2">
        <v>5254.64</v>
      </c>
      <c r="I1539" s="2">
        <v>5160.4900000000007</v>
      </c>
      <c r="J1539" s="2">
        <v>4443.68</v>
      </c>
      <c r="K1539" s="2">
        <v>1913.5500000000002</v>
      </c>
      <c r="L1539" s="2">
        <v>29668.949999999957</v>
      </c>
      <c r="M1539" t="s">
        <v>4400</v>
      </c>
      <c r="N1539" t="s">
        <v>4400</v>
      </c>
    </row>
    <row r="1540" spans="1:14" x14ac:dyDescent="0.4">
      <c r="A1540" t="s">
        <v>3197</v>
      </c>
      <c r="B1540" t="s">
        <v>3198</v>
      </c>
      <c r="C1540" t="s">
        <v>64</v>
      </c>
      <c r="D1540" t="s">
        <v>2742</v>
      </c>
      <c r="E1540" s="2">
        <v>3297.3099999999995</v>
      </c>
      <c r="F1540" s="2">
        <v>3251.0499999999997</v>
      </c>
      <c r="G1540" s="2">
        <v>3729.0699999999997</v>
      </c>
      <c r="H1540" s="2"/>
      <c r="I1540" s="2">
        <v>1500.88</v>
      </c>
      <c r="J1540" s="2">
        <v>2207.63</v>
      </c>
      <c r="K1540" s="2"/>
      <c r="L1540" s="2">
        <v>13985.939999999995</v>
      </c>
      <c r="M1540" t="s">
        <v>4400</v>
      </c>
      <c r="N1540" t="s">
        <v>4406</v>
      </c>
    </row>
    <row r="1541" spans="1:14" x14ac:dyDescent="0.4">
      <c r="A1541" t="s">
        <v>3199</v>
      </c>
      <c r="B1541" t="s">
        <v>3200</v>
      </c>
      <c r="C1541" t="s">
        <v>220</v>
      </c>
      <c r="D1541" t="s">
        <v>797</v>
      </c>
      <c r="E1541" s="2">
        <v>2587.8900000000003</v>
      </c>
      <c r="F1541" s="2">
        <v>5780.2299999999987</v>
      </c>
      <c r="G1541" s="2">
        <v>6153.76</v>
      </c>
      <c r="H1541" s="2">
        <v>4449.8100000000004</v>
      </c>
      <c r="I1541" s="2">
        <v>4635.0899999999974</v>
      </c>
      <c r="J1541" s="2">
        <v>7693.7699999999986</v>
      </c>
      <c r="K1541" s="2">
        <v>3250</v>
      </c>
      <c r="L1541" s="2">
        <v>34550.550000000003</v>
      </c>
      <c r="M1541" t="s">
        <v>4400</v>
      </c>
      <c r="N1541" t="s">
        <v>4400</v>
      </c>
    </row>
    <row r="1542" spans="1:14" x14ac:dyDescent="0.4">
      <c r="A1542" t="s">
        <v>3201</v>
      </c>
      <c r="B1542" t="s">
        <v>1394</v>
      </c>
      <c r="C1542" t="s">
        <v>410</v>
      </c>
      <c r="D1542" t="s">
        <v>414</v>
      </c>
      <c r="E1542" s="2"/>
      <c r="F1542" s="2">
        <v>1196.74</v>
      </c>
      <c r="G1542" s="2"/>
      <c r="H1542" s="2"/>
      <c r="I1542" s="2">
        <v>1764.7399999999998</v>
      </c>
      <c r="J1542" s="2"/>
      <c r="K1542" s="2"/>
      <c r="L1542" s="2">
        <v>2961.4799999999996</v>
      </c>
      <c r="M1542" t="s">
        <v>4412</v>
      </c>
      <c r="N1542" t="s">
        <v>4401</v>
      </c>
    </row>
    <row r="1543" spans="1:14" x14ac:dyDescent="0.4">
      <c r="A1543" t="s">
        <v>3202</v>
      </c>
      <c r="B1543" t="s">
        <v>3203</v>
      </c>
      <c r="C1543" t="s">
        <v>64</v>
      </c>
      <c r="D1543" t="s">
        <v>808</v>
      </c>
      <c r="E1543" s="2">
        <v>4425.6799999999994</v>
      </c>
      <c r="F1543" s="2">
        <v>3724</v>
      </c>
      <c r="G1543" s="2">
        <v>3490.0899999999997</v>
      </c>
      <c r="H1543" s="2">
        <v>3666.2699999999995</v>
      </c>
      <c r="I1543" s="2">
        <v>3283.54</v>
      </c>
      <c r="J1543" s="2">
        <v>2700.34</v>
      </c>
      <c r="K1543" s="2">
        <v>1956.16</v>
      </c>
      <c r="L1543" s="2">
        <v>23246.080000000009</v>
      </c>
      <c r="M1543" t="s">
        <v>4400</v>
      </c>
      <c r="N1543" t="s">
        <v>4400</v>
      </c>
    </row>
    <row r="1544" spans="1:14" x14ac:dyDescent="0.4">
      <c r="A1544" t="s">
        <v>3204</v>
      </c>
      <c r="B1544" t="s">
        <v>2676</v>
      </c>
      <c r="C1544" t="s">
        <v>5</v>
      </c>
      <c r="D1544" t="s">
        <v>6</v>
      </c>
      <c r="E1544" s="2">
        <v>1512.6700000000003</v>
      </c>
      <c r="F1544" s="2">
        <v>2733.7299999999996</v>
      </c>
      <c r="G1544" s="2">
        <v>3058.690000000001</v>
      </c>
      <c r="H1544" s="2">
        <v>3247.0000000000009</v>
      </c>
      <c r="I1544" s="2">
        <v>2393.5100000000002</v>
      </c>
      <c r="J1544" s="2">
        <v>3174.1300000000006</v>
      </c>
      <c r="K1544" s="2">
        <v>1612.8899999999999</v>
      </c>
      <c r="L1544" s="2">
        <v>17732.619999999988</v>
      </c>
      <c r="M1544" t="s">
        <v>4400</v>
      </c>
      <c r="N1544" t="s">
        <v>4400</v>
      </c>
    </row>
    <row r="1545" spans="1:14" x14ac:dyDescent="0.4">
      <c r="A1545" t="s">
        <v>3205</v>
      </c>
      <c r="B1545" t="s">
        <v>3206</v>
      </c>
      <c r="C1545" t="s">
        <v>587</v>
      </c>
      <c r="D1545" t="s">
        <v>1935</v>
      </c>
      <c r="E1545" s="2">
        <v>2071.54</v>
      </c>
      <c r="F1545" s="2">
        <v>1099.55</v>
      </c>
      <c r="G1545" s="2"/>
      <c r="H1545" s="2"/>
      <c r="I1545" s="2"/>
      <c r="J1545" s="2"/>
      <c r="K1545" s="2"/>
      <c r="L1545" s="2">
        <v>3171.0899999999997</v>
      </c>
      <c r="M1545" t="s">
        <v>4400</v>
      </c>
      <c r="N1545" t="s">
        <v>4410</v>
      </c>
    </row>
    <row r="1546" spans="1:14" x14ac:dyDescent="0.4">
      <c r="A1546" t="s">
        <v>3207</v>
      </c>
      <c r="B1546" t="s">
        <v>3208</v>
      </c>
      <c r="C1546" t="s">
        <v>64</v>
      </c>
      <c r="D1546" t="s">
        <v>2277</v>
      </c>
      <c r="E1546" s="2"/>
      <c r="F1546" s="2">
        <v>908.18</v>
      </c>
      <c r="G1546" s="2"/>
      <c r="H1546" s="2">
        <v>1114.74</v>
      </c>
      <c r="I1546" s="2">
        <v>996.25</v>
      </c>
      <c r="J1546" s="2"/>
      <c r="K1546" s="2"/>
      <c r="L1546" s="2">
        <v>3019.1699999999992</v>
      </c>
      <c r="M1546" t="s">
        <v>4412</v>
      </c>
      <c r="N1546" t="s">
        <v>4401</v>
      </c>
    </row>
    <row r="1547" spans="1:14" x14ac:dyDescent="0.4">
      <c r="A1547" t="s">
        <v>3209</v>
      </c>
      <c r="B1547" t="s">
        <v>1230</v>
      </c>
      <c r="C1547" t="s">
        <v>350</v>
      </c>
      <c r="D1547" t="s">
        <v>356</v>
      </c>
      <c r="E1547" s="2"/>
      <c r="F1547" s="2"/>
      <c r="G1547" s="2"/>
      <c r="H1547" s="2"/>
      <c r="I1547" s="2"/>
      <c r="J1547" s="2">
        <v>1624.9999999999995</v>
      </c>
      <c r="K1547" s="2"/>
      <c r="L1547" s="2">
        <v>1624.9999999999995</v>
      </c>
      <c r="M1547" t="s">
        <v>4405</v>
      </c>
      <c r="N1547" t="s">
        <v>4406</v>
      </c>
    </row>
    <row r="1548" spans="1:14" x14ac:dyDescent="0.4">
      <c r="A1548" t="s">
        <v>3210</v>
      </c>
      <c r="B1548" t="s">
        <v>3211</v>
      </c>
      <c r="C1548" t="s">
        <v>96</v>
      </c>
      <c r="D1548" t="s">
        <v>97</v>
      </c>
      <c r="E1548" s="2">
        <v>4361.7399999999989</v>
      </c>
      <c r="F1548" s="2">
        <v>3401.89</v>
      </c>
      <c r="G1548" s="2">
        <v>3231.7699999999995</v>
      </c>
      <c r="H1548" s="2">
        <v>5625.24</v>
      </c>
      <c r="I1548" s="2">
        <v>5014.7699999999995</v>
      </c>
      <c r="J1548" s="2">
        <v>4452.7799999999988</v>
      </c>
      <c r="K1548" s="2">
        <v>1108.6699999999996</v>
      </c>
      <c r="L1548" s="2">
        <v>27196.860000000004</v>
      </c>
      <c r="M1548" t="s">
        <v>4400</v>
      </c>
      <c r="N1548" t="s">
        <v>4400</v>
      </c>
    </row>
    <row r="1549" spans="1:14" x14ac:dyDescent="0.4">
      <c r="A1549" t="s">
        <v>3212</v>
      </c>
      <c r="B1549" t="s">
        <v>3213</v>
      </c>
      <c r="C1549" t="s">
        <v>64</v>
      </c>
      <c r="D1549" t="s">
        <v>808</v>
      </c>
      <c r="E1549" s="2"/>
      <c r="F1549" s="2"/>
      <c r="G1549" s="2"/>
      <c r="H1549" s="2">
        <v>1743.4599999999998</v>
      </c>
      <c r="I1549" s="2">
        <v>2220.38</v>
      </c>
      <c r="J1549" s="2">
        <v>1971.3099999999997</v>
      </c>
      <c r="K1549" s="2">
        <v>902.13</v>
      </c>
      <c r="L1549" s="2">
        <v>6837.2799999999988</v>
      </c>
      <c r="M1549" t="s">
        <v>4409</v>
      </c>
      <c r="N1549" t="s">
        <v>4400</v>
      </c>
    </row>
    <row r="1550" spans="1:14" x14ac:dyDescent="0.4">
      <c r="A1550" t="s">
        <v>3214</v>
      </c>
      <c r="B1550" t="s">
        <v>3215</v>
      </c>
      <c r="C1550" t="s">
        <v>113</v>
      </c>
      <c r="D1550" t="s">
        <v>615</v>
      </c>
      <c r="E1550" s="2"/>
      <c r="F1550" s="2"/>
      <c r="G1550" s="2">
        <v>728.98</v>
      </c>
      <c r="H1550" s="2">
        <v>762.39</v>
      </c>
      <c r="I1550" s="2"/>
      <c r="J1550" s="2"/>
      <c r="K1550" s="2"/>
      <c r="L1550" s="2">
        <v>1491.37</v>
      </c>
      <c r="M1550" t="s">
        <v>4411</v>
      </c>
      <c r="N1550" t="s">
        <v>4402</v>
      </c>
    </row>
    <row r="1551" spans="1:14" x14ac:dyDescent="0.4">
      <c r="A1551" t="s">
        <v>3216</v>
      </c>
      <c r="B1551" t="s">
        <v>3217</v>
      </c>
      <c r="C1551" t="s">
        <v>1</v>
      </c>
      <c r="D1551" t="s">
        <v>88</v>
      </c>
      <c r="E1551" s="2">
        <v>756.33</v>
      </c>
      <c r="F1551" s="2"/>
      <c r="G1551" s="2"/>
      <c r="H1551" s="2">
        <v>801.89</v>
      </c>
      <c r="I1551" s="2">
        <v>1506.5900000000001</v>
      </c>
      <c r="J1551" s="2">
        <v>3538.64</v>
      </c>
      <c r="K1551" s="2">
        <v>868.71</v>
      </c>
      <c r="L1551" s="2">
        <v>7472.16</v>
      </c>
      <c r="M1551" t="s">
        <v>4400</v>
      </c>
      <c r="N1551" t="s">
        <v>4400</v>
      </c>
    </row>
    <row r="1552" spans="1:14" x14ac:dyDescent="0.4">
      <c r="A1552" t="s">
        <v>3218</v>
      </c>
      <c r="B1552" t="s">
        <v>3219</v>
      </c>
      <c r="C1552" t="s">
        <v>35</v>
      </c>
      <c r="D1552" t="s">
        <v>36</v>
      </c>
      <c r="E1552" s="2"/>
      <c r="F1552" s="2"/>
      <c r="G1552" s="2">
        <v>1318.2499999999998</v>
      </c>
      <c r="H1552" s="2">
        <v>1057.02</v>
      </c>
      <c r="I1552" s="2"/>
      <c r="J1552" s="2"/>
      <c r="K1552" s="2">
        <v>1385.0600000000002</v>
      </c>
      <c r="L1552" s="2">
        <v>3760.3299999999995</v>
      </c>
      <c r="M1552" t="s">
        <v>4411</v>
      </c>
      <c r="N1552" t="s">
        <v>4400</v>
      </c>
    </row>
    <row r="1553" spans="1:14" x14ac:dyDescent="0.4">
      <c r="A1553" t="s">
        <v>3220</v>
      </c>
      <c r="B1553" t="s">
        <v>3221</v>
      </c>
      <c r="C1553" t="s">
        <v>186</v>
      </c>
      <c r="D1553" t="s">
        <v>190</v>
      </c>
      <c r="E1553" s="2"/>
      <c r="F1553" s="2"/>
      <c r="G1553" s="2"/>
      <c r="H1553" s="2"/>
      <c r="I1553" s="2"/>
      <c r="J1553" s="2">
        <v>744.16999999999985</v>
      </c>
      <c r="K1553" s="2"/>
      <c r="L1553" s="2">
        <v>744.16999999999985</v>
      </c>
      <c r="M1553" t="s">
        <v>4405</v>
      </c>
      <c r="N1553" t="s">
        <v>4406</v>
      </c>
    </row>
    <row r="1554" spans="1:14" x14ac:dyDescent="0.4">
      <c r="A1554" t="s">
        <v>3222</v>
      </c>
      <c r="B1554" t="s">
        <v>843</v>
      </c>
      <c r="C1554" t="s">
        <v>31</v>
      </c>
      <c r="D1554" t="s">
        <v>471</v>
      </c>
      <c r="E1554" s="2">
        <v>4139.9499999999989</v>
      </c>
      <c r="F1554" s="2">
        <v>3197.0099999999989</v>
      </c>
      <c r="G1554" s="2">
        <v>1673.6100000000001</v>
      </c>
      <c r="H1554" s="2">
        <v>3073.82</v>
      </c>
      <c r="I1554" s="2">
        <v>3912.159999999998</v>
      </c>
      <c r="J1554" s="2">
        <v>3344.1699999999987</v>
      </c>
      <c r="K1554" s="2">
        <v>2238.56</v>
      </c>
      <c r="L1554" s="2">
        <v>21579.280000000002</v>
      </c>
      <c r="M1554" t="s">
        <v>4400</v>
      </c>
      <c r="N1554" t="s">
        <v>4400</v>
      </c>
    </row>
    <row r="1555" spans="1:14" x14ac:dyDescent="0.4">
      <c r="A1555" t="s">
        <v>3223</v>
      </c>
      <c r="B1555" t="s">
        <v>3224</v>
      </c>
      <c r="C1555" t="s">
        <v>674</v>
      </c>
      <c r="D1555" t="s">
        <v>675</v>
      </c>
      <c r="E1555" s="2"/>
      <c r="F1555" s="2"/>
      <c r="G1555" s="2"/>
      <c r="H1555" s="2">
        <v>798.86</v>
      </c>
      <c r="I1555" s="2"/>
      <c r="J1555" s="2"/>
      <c r="K1555" s="2"/>
      <c r="L1555" s="2">
        <v>798.86</v>
      </c>
      <c r="M1555" t="s">
        <v>4409</v>
      </c>
      <c r="N1555" t="s">
        <v>4402</v>
      </c>
    </row>
    <row r="1556" spans="1:14" x14ac:dyDescent="0.4">
      <c r="A1556" t="s">
        <v>3225</v>
      </c>
      <c r="B1556" t="s">
        <v>2922</v>
      </c>
      <c r="C1556" t="s">
        <v>78</v>
      </c>
      <c r="D1556" t="s">
        <v>1240</v>
      </c>
      <c r="E1556" s="2">
        <v>2858.1800000000003</v>
      </c>
      <c r="F1556" s="2">
        <v>3702.5799999999995</v>
      </c>
      <c r="G1556" s="2">
        <v>1740.4199999999998</v>
      </c>
      <c r="H1556" s="2">
        <v>2776.18</v>
      </c>
      <c r="I1556" s="2">
        <v>1688.7900000000002</v>
      </c>
      <c r="J1556" s="2">
        <v>777.56999999999994</v>
      </c>
      <c r="K1556" s="2">
        <v>823.12999999999977</v>
      </c>
      <c r="L1556" s="2">
        <v>14366.849999999997</v>
      </c>
      <c r="M1556" t="s">
        <v>4400</v>
      </c>
      <c r="N1556" t="s">
        <v>4400</v>
      </c>
    </row>
    <row r="1557" spans="1:14" x14ac:dyDescent="0.4">
      <c r="A1557" t="s">
        <v>3226</v>
      </c>
      <c r="B1557" t="s">
        <v>3227</v>
      </c>
      <c r="C1557" t="s">
        <v>310</v>
      </c>
      <c r="D1557" t="s">
        <v>311</v>
      </c>
      <c r="E1557" s="2">
        <v>2317.5899999999997</v>
      </c>
      <c r="F1557" s="2">
        <v>1506.6099999999997</v>
      </c>
      <c r="G1557" s="2">
        <v>777.58</v>
      </c>
      <c r="H1557" s="2">
        <v>1549.0999999999995</v>
      </c>
      <c r="I1557" s="2">
        <v>2272.0099999999998</v>
      </c>
      <c r="J1557" s="2">
        <v>1539.9999999999998</v>
      </c>
      <c r="K1557" s="2">
        <v>795.81999999999994</v>
      </c>
      <c r="L1557" s="2">
        <v>10758.710000000003</v>
      </c>
      <c r="M1557" t="s">
        <v>4400</v>
      </c>
      <c r="N1557" t="s">
        <v>4400</v>
      </c>
    </row>
    <row r="1558" spans="1:14" x14ac:dyDescent="0.4">
      <c r="A1558" t="s">
        <v>3228</v>
      </c>
      <c r="B1558" t="s">
        <v>3229</v>
      </c>
      <c r="C1558" t="s">
        <v>64</v>
      </c>
      <c r="D1558" t="s">
        <v>65</v>
      </c>
      <c r="E1558" s="2"/>
      <c r="F1558" s="2">
        <v>719.87999999999988</v>
      </c>
      <c r="G1558" s="2">
        <v>978.06</v>
      </c>
      <c r="H1558" s="2">
        <v>947.66</v>
      </c>
      <c r="I1558" s="2"/>
      <c r="J1558" s="2">
        <v>716.82999999999993</v>
      </c>
      <c r="K1558" s="2"/>
      <c r="L1558" s="2">
        <v>3362.4299999999994</v>
      </c>
      <c r="M1558" t="s">
        <v>4412</v>
      </c>
      <c r="N1558" t="s">
        <v>4406</v>
      </c>
    </row>
    <row r="1559" spans="1:14" x14ac:dyDescent="0.4">
      <c r="A1559" t="s">
        <v>3230</v>
      </c>
      <c r="B1559" t="s">
        <v>3221</v>
      </c>
      <c r="C1559" t="s">
        <v>186</v>
      </c>
      <c r="D1559" t="s">
        <v>190</v>
      </c>
      <c r="E1559" s="2">
        <v>759.35999999999979</v>
      </c>
      <c r="F1559" s="2"/>
      <c r="G1559" s="2">
        <v>777.55</v>
      </c>
      <c r="H1559" s="2"/>
      <c r="I1559" s="2"/>
      <c r="J1559" s="2"/>
      <c r="K1559" s="2"/>
      <c r="L1559" s="2">
        <v>1536.9099999999994</v>
      </c>
      <c r="M1559" t="s">
        <v>4400</v>
      </c>
      <c r="N1559" t="s">
        <v>4403</v>
      </c>
    </row>
    <row r="1560" spans="1:14" x14ac:dyDescent="0.4">
      <c r="A1560" t="s">
        <v>3231</v>
      </c>
      <c r="B1560" t="s">
        <v>3232</v>
      </c>
      <c r="C1560" t="s">
        <v>52</v>
      </c>
      <c r="D1560" t="s">
        <v>156</v>
      </c>
      <c r="E1560" s="2">
        <v>1441.77</v>
      </c>
      <c r="F1560" s="2">
        <v>2179.3599999999992</v>
      </c>
      <c r="G1560" s="2">
        <v>1459.7599999999998</v>
      </c>
      <c r="H1560" s="2">
        <v>1562.5599999999997</v>
      </c>
      <c r="I1560" s="2">
        <v>1459.7599999999995</v>
      </c>
      <c r="J1560" s="2">
        <v>1449.4800000000002</v>
      </c>
      <c r="K1560" s="2">
        <v>719.6</v>
      </c>
      <c r="L1560" s="2">
        <v>10272.290000000003</v>
      </c>
      <c r="M1560" t="s">
        <v>4400</v>
      </c>
      <c r="N1560" t="s">
        <v>4400</v>
      </c>
    </row>
    <row r="1561" spans="1:14" x14ac:dyDescent="0.4">
      <c r="A1561" t="s">
        <v>3233</v>
      </c>
      <c r="B1561" t="s">
        <v>3234</v>
      </c>
      <c r="C1561" t="s">
        <v>9</v>
      </c>
      <c r="D1561" t="s">
        <v>45</v>
      </c>
      <c r="E1561" s="2">
        <v>2927.23</v>
      </c>
      <c r="F1561" s="2">
        <v>2906.67</v>
      </c>
      <c r="G1561" s="2">
        <v>1459.7599999999995</v>
      </c>
      <c r="H1561" s="2"/>
      <c r="I1561" s="2"/>
      <c r="J1561" s="2"/>
      <c r="K1561" s="2"/>
      <c r="L1561" s="2">
        <v>7293.6600000000062</v>
      </c>
      <c r="M1561" t="s">
        <v>4400</v>
      </c>
      <c r="N1561" t="s">
        <v>4403</v>
      </c>
    </row>
    <row r="1562" spans="1:14" x14ac:dyDescent="0.4">
      <c r="A1562" t="s">
        <v>3235</v>
      </c>
      <c r="B1562" t="s">
        <v>3236</v>
      </c>
      <c r="C1562" t="s">
        <v>27</v>
      </c>
      <c r="D1562" t="s">
        <v>28</v>
      </c>
      <c r="E1562" s="2"/>
      <c r="F1562" s="2">
        <v>750.28</v>
      </c>
      <c r="G1562" s="2">
        <v>1543.0699999999997</v>
      </c>
      <c r="H1562" s="2">
        <v>1543.08</v>
      </c>
      <c r="I1562" s="2">
        <v>1506.62</v>
      </c>
      <c r="J1562" s="2">
        <v>2387.4699999999998</v>
      </c>
      <c r="K1562" s="2">
        <v>929.46</v>
      </c>
      <c r="L1562" s="2">
        <v>8659.98</v>
      </c>
      <c r="M1562" t="s">
        <v>4412</v>
      </c>
      <c r="N1562" t="s">
        <v>4400</v>
      </c>
    </row>
    <row r="1563" spans="1:14" x14ac:dyDescent="0.4">
      <c r="A1563" t="s">
        <v>3237</v>
      </c>
      <c r="B1563" t="s">
        <v>3238</v>
      </c>
      <c r="C1563" t="s">
        <v>64</v>
      </c>
      <c r="D1563" t="s">
        <v>2223</v>
      </c>
      <c r="E1563" s="2">
        <v>1175.46</v>
      </c>
      <c r="F1563" s="2"/>
      <c r="G1563" s="2"/>
      <c r="H1563" s="2"/>
      <c r="I1563" s="2"/>
      <c r="J1563" s="2"/>
      <c r="K1563" s="2"/>
      <c r="L1563" s="2">
        <v>1175.46</v>
      </c>
      <c r="M1563" t="s">
        <v>4400</v>
      </c>
      <c r="N1563" t="s">
        <v>4407</v>
      </c>
    </row>
    <row r="1564" spans="1:14" x14ac:dyDescent="0.4">
      <c r="A1564" t="s">
        <v>3239</v>
      </c>
      <c r="B1564" t="s">
        <v>2652</v>
      </c>
      <c r="C1564" t="s">
        <v>64</v>
      </c>
      <c r="D1564" t="s">
        <v>2223</v>
      </c>
      <c r="E1564" s="2"/>
      <c r="F1564" s="2">
        <v>1058.8399999999999</v>
      </c>
      <c r="G1564" s="2"/>
      <c r="H1564" s="2"/>
      <c r="I1564" s="2"/>
      <c r="J1564" s="2"/>
      <c r="K1564" s="2"/>
      <c r="L1564" s="2">
        <v>1058.8399999999999</v>
      </c>
      <c r="M1564" t="s">
        <v>4412</v>
      </c>
      <c r="N1564" t="s">
        <v>4410</v>
      </c>
    </row>
    <row r="1565" spans="1:14" x14ac:dyDescent="0.4">
      <c r="A1565" t="s">
        <v>3240</v>
      </c>
      <c r="B1565" t="s">
        <v>2410</v>
      </c>
      <c r="C1565" t="s">
        <v>64</v>
      </c>
      <c r="D1565" t="s">
        <v>2826</v>
      </c>
      <c r="E1565" s="2"/>
      <c r="F1565" s="2"/>
      <c r="G1565" s="2">
        <v>841.38999999999987</v>
      </c>
      <c r="H1565" s="2">
        <v>801.88000000000011</v>
      </c>
      <c r="I1565" s="2">
        <v>862.63999999999987</v>
      </c>
      <c r="J1565" s="2">
        <v>1664.5400000000002</v>
      </c>
      <c r="K1565" s="2">
        <v>1497.45</v>
      </c>
      <c r="L1565" s="2">
        <v>5667.8999999999987</v>
      </c>
      <c r="M1565" t="s">
        <v>4411</v>
      </c>
      <c r="N1565" t="s">
        <v>4400</v>
      </c>
    </row>
    <row r="1566" spans="1:14" x14ac:dyDescent="0.4">
      <c r="A1566" t="s">
        <v>3241</v>
      </c>
      <c r="B1566" t="s">
        <v>3242</v>
      </c>
      <c r="C1566" t="s">
        <v>19</v>
      </c>
      <c r="D1566" t="s">
        <v>20</v>
      </c>
      <c r="E1566" s="2">
        <v>1441.77</v>
      </c>
      <c r="F1566" s="2">
        <v>737.59</v>
      </c>
      <c r="G1566" s="2">
        <v>2364.3999999999996</v>
      </c>
      <c r="H1566" s="2">
        <v>719.59999999999991</v>
      </c>
      <c r="I1566" s="2">
        <v>1470.04</v>
      </c>
      <c r="J1566" s="2">
        <v>2202.4899999999998</v>
      </c>
      <c r="K1566" s="2">
        <v>740.16000000000008</v>
      </c>
      <c r="L1566" s="2">
        <v>9676.0499999999975</v>
      </c>
      <c r="M1566" t="s">
        <v>4400</v>
      </c>
      <c r="N1566" t="s">
        <v>4400</v>
      </c>
    </row>
    <row r="1567" spans="1:14" x14ac:dyDescent="0.4">
      <c r="A1567" t="s">
        <v>3243</v>
      </c>
      <c r="B1567" t="s">
        <v>3056</v>
      </c>
      <c r="C1567" t="s">
        <v>52</v>
      </c>
      <c r="D1567" t="s">
        <v>156</v>
      </c>
      <c r="E1567" s="2"/>
      <c r="F1567" s="2">
        <v>1524.7700000000002</v>
      </c>
      <c r="G1567" s="2">
        <v>747.18</v>
      </c>
      <c r="H1567" s="2">
        <v>1576.37</v>
      </c>
      <c r="I1567" s="2"/>
      <c r="J1567" s="2">
        <v>3037.3799999999997</v>
      </c>
      <c r="K1567" s="2">
        <v>1081.31</v>
      </c>
      <c r="L1567" s="2">
        <v>7967.0099999999993</v>
      </c>
      <c r="M1567" t="s">
        <v>4412</v>
      </c>
      <c r="N1567" t="s">
        <v>4400</v>
      </c>
    </row>
    <row r="1568" spans="1:14" x14ac:dyDescent="0.4">
      <c r="A1568" t="s">
        <v>3244</v>
      </c>
      <c r="B1568" t="s">
        <v>3245</v>
      </c>
      <c r="C1568" t="s">
        <v>35</v>
      </c>
      <c r="D1568" t="s">
        <v>36</v>
      </c>
      <c r="E1568" s="2"/>
      <c r="F1568" s="2"/>
      <c r="G1568" s="2"/>
      <c r="H1568" s="2">
        <v>799.27</v>
      </c>
      <c r="I1568" s="2">
        <v>745.3</v>
      </c>
      <c r="J1568" s="2"/>
      <c r="K1568" s="2"/>
      <c r="L1568" s="2">
        <v>1544.5700000000002</v>
      </c>
      <c r="M1568" t="s">
        <v>4409</v>
      </c>
      <c r="N1568" t="s">
        <v>4401</v>
      </c>
    </row>
    <row r="1569" spans="1:14" x14ac:dyDescent="0.4">
      <c r="A1569" t="s">
        <v>3246</v>
      </c>
      <c r="B1569" t="s">
        <v>3247</v>
      </c>
      <c r="C1569" t="s">
        <v>96</v>
      </c>
      <c r="D1569" t="s">
        <v>1010</v>
      </c>
      <c r="E1569" s="2">
        <v>814.04</v>
      </c>
      <c r="F1569" s="2">
        <v>771.5</v>
      </c>
      <c r="G1569" s="2"/>
      <c r="H1569" s="2"/>
      <c r="I1569" s="2"/>
      <c r="J1569" s="2"/>
      <c r="K1569" s="2"/>
      <c r="L1569" s="2">
        <v>1585.5400000000002</v>
      </c>
      <c r="M1569" t="s">
        <v>4400</v>
      </c>
      <c r="N1569" t="s">
        <v>4410</v>
      </c>
    </row>
    <row r="1570" spans="1:14" x14ac:dyDescent="0.4">
      <c r="A1570" t="s">
        <v>3248</v>
      </c>
      <c r="B1570" t="s">
        <v>3249</v>
      </c>
      <c r="C1570" t="s">
        <v>48</v>
      </c>
      <c r="D1570" t="s">
        <v>1914</v>
      </c>
      <c r="E1570" s="2">
        <v>4944.9800000000014</v>
      </c>
      <c r="F1570" s="2">
        <v>1697.9299999999996</v>
      </c>
      <c r="G1570" s="2">
        <v>1707.0800000000002</v>
      </c>
      <c r="H1570" s="2">
        <v>3162.04</v>
      </c>
      <c r="I1570" s="2">
        <v>2065.46</v>
      </c>
      <c r="J1570" s="2">
        <v>2733.7</v>
      </c>
      <c r="K1570" s="2"/>
      <c r="L1570" s="2">
        <v>16311.189999999995</v>
      </c>
      <c r="M1570" t="s">
        <v>4400</v>
      </c>
      <c r="N1570" t="s">
        <v>4406</v>
      </c>
    </row>
    <row r="1571" spans="1:14" x14ac:dyDescent="0.4">
      <c r="A1571" t="s">
        <v>3250</v>
      </c>
      <c r="B1571" t="s">
        <v>3251</v>
      </c>
      <c r="C1571" t="s">
        <v>48</v>
      </c>
      <c r="D1571" t="s">
        <v>1914</v>
      </c>
      <c r="E1571" s="2"/>
      <c r="F1571" s="2"/>
      <c r="G1571" s="2"/>
      <c r="H1571" s="2"/>
      <c r="I1571" s="2"/>
      <c r="J1571" s="2">
        <v>1995.5199999999995</v>
      </c>
      <c r="K1571" s="2"/>
      <c r="L1571" s="2">
        <v>1995.5199999999995</v>
      </c>
      <c r="M1571" t="s">
        <v>4405</v>
      </c>
      <c r="N1571" t="s">
        <v>4406</v>
      </c>
    </row>
    <row r="1572" spans="1:14" x14ac:dyDescent="0.4">
      <c r="A1572" t="s">
        <v>3252</v>
      </c>
      <c r="B1572" t="s">
        <v>622</v>
      </c>
      <c r="C1572" t="s">
        <v>64</v>
      </c>
      <c r="D1572" t="s">
        <v>708</v>
      </c>
      <c r="E1572" s="2">
        <v>4893.1999999999989</v>
      </c>
      <c r="F1572" s="2">
        <v>5099.7699999999968</v>
      </c>
      <c r="G1572" s="2">
        <v>5345.8599999999979</v>
      </c>
      <c r="H1572" s="2">
        <v>4027.59</v>
      </c>
      <c r="I1572" s="2">
        <v>4650.2699999999995</v>
      </c>
      <c r="J1572" s="2">
        <v>6569.8899999999994</v>
      </c>
      <c r="K1572" s="2">
        <v>2885.53</v>
      </c>
      <c r="L1572" s="2">
        <v>33472.11000000003</v>
      </c>
      <c r="M1572" t="s">
        <v>4400</v>
      </c>
      <c r="N1572" t="s">
        <v>4400</v>
      </c>
    </row>
    <row r="1573" spans="1:14" x14ac:dyDescent="0.4">
      <c r="A1573" t="s">
        <v>3253</v>
      </c>
      <c r="B1573" t="s">
        <v>3254</v>
      </c>
      <c r="C1573" t="s">
        <v>64</v>
      </c>
      <c r="D1573" t="s">
        <v>1377</v>
      </c>
      <c r="E1573" s="2">
        <v>2909.8500000000004</v>
      </c>
      <c r="F1573" s="2">
        <v>1372.8999999999999</v>
      </c>
      <c r="G1573" s="2">
        <v>4197.6899999999996</v>
      </c>
      <c r="H1573" s="2">
        <v>777.57999999999993</v>
      </c>
      <c r="I1573" s="2">
        <v>1877.12</v>
      </c>
      <c r="J1573" s="2">
        <v>1539.9699999999996</v>
      </c>
      <c r="K1573" s="2">
        <v>1728.3099999999997</v>
      </c>
      <c r="L1573" s="2">
        <v>14403.419999999976</v>
      </c>
      <c r="M1573" t="s">
        <v>4400</v>
      </c>
      <c r="N1573" t="s">
        <v>4400</v>
      </c>
    </row>
    <row r="1574" spans="1:14" x14ac:dyDescent="0.4">
      <c r="A1574" t="s">
        <v>3255</v>
      </c>
      <c r="B1574" t="s">
        <v>3256</v>
      </c>
      <c r="C1574" t="s">
        <v>1</v>
      </c>
      <c r="D1574" t="s">
        <v>88</v>
      </c>
      <c r="E1574" s="2">
        <v>716.84</v>
      </c>
      <c r="F1574" s="2"/>
      <c r="G1574" s="2">
        <v>1889.3099999999997</v>
      </c>
      <c r="H1574" s="2">
        <v>1090.45</v>
      </c>
      <c r="I1574" s="2">
        <v>1224.0999999999999</v>
      </c>
      <c r="J1574" s="2">
        <v>923.3900000000001</v>
      </c>
      <c r="K1574" s="2">
        <v>959.84</v>
      </c>
      <c r="L1574" s="2">
        <v>6803.93</v>
      </c>
      <c r="M1574" t="s">
        <v>4400</v>
      </c>
      <c r="N1574" t="s">
        <v>4400</v>
      </c>
    </row>
    <row r="1575" spans="1:14" x14ac:dyDescent="0.4">
      <c r="A1575" t="s">
        <v>3257</v>
      </c>
      <c r="B1575" t="s">
        <v>3258</v>
      </c>
      <c r="C1575" t="s">
        <v>113</v>
      </c>
      <c r="D1575" t="s">
        <v>117</v>
      </c>
      <c r="E1575" s="2">
        <v>3511.2799999999997</v>
      </c>
      <c r="F1575" s="2">
        <v>3037.4800000000005</v>
      </c>
      <c r="G1575" s="2">
        <v>1245.3599999999999</v>
      </c>
      <c r="H1575" s="2"/>
      <c r="I1575" s="2">
        <v>1382.05</v>
      </c>
      <c r="J1575" s="2">
        <v>3520.4500000000003</v>
      </c>
      <c r="K1575" s="2"/>
      <c r="L1575" s="2">
        <v>12696.619999999995</v>
      </c>
      <c r="M1575" t="s">
        <v>4400</v>
      </c>
      <c r="N1575" t="s">
        <v>4406</v>
      </c>
    </row>
    <row r="1576" spans="1:14" x14ac:dyDescent="0.4">
      <c r="A1576" t="s">
        <v>3259</v>
      </c>
      <c r="B1576" t="s">
        <v>3260</v>
      </c>
      <c r="C1576" t="s">
        <v>220</v>
      </c>
      <c r="D1576" t="s">
        <v>2302</v>
      </c>
      <c r="E1576" s="2">
        <v>2727.6099999999997</v>
      </c>
      <c r="F1576" s="2">
        <v>2703.3299999999995</v>
      </c>
      <c r="G1576" s="2">
        <v>6032.34</v>
      </c>
      <c r="H1576" s="2">
        <v>5679.9599999999991</v>
      </c>
      <c r="I1576" s="2">
        <v>5707.3599999999979</v>
      </c>
      <c r="J1576" s="2">
        <v>6083.93</v>
      </c>
      <c r="K1576" s="2">
        <v>1949.9999999999998</v>
      </c>
      <c r="L1576" s="2">
        <v>30884.529999999977</v>
      </c>
      <c r="M1576" t="s">
        <v>4400</v>
      </c>
      <c r="N1576" t="s">
        <v>4400</v>
      </c>
    </row>
    <row r="1577" spans="1:14" x14ac:dyDescent="0.4">
      <c r="A1577" t="s">
        <v>3261</v>
      </c>
      <c r="B1577" t="s">
        <v>3262</v>
      </c>
      <c r="C1577" t="s">
        <v>27</v>
      </c>
      <c r="D1577" t="s">
        <v>28</v>
      </c>
      <c r="E1577" s="2">
        <v>1649.28</v>
      </c>
      <c r="F1577" s="2"/>
      <c r="G1577" s="2">
        <v>3085.940000000001</v>
      </c>
      <c r="H1577" s="2"/>
      <c r="I1577" s="2">
        <v>1600.6999999999998</v>
      </c>
      <c r="J1577" s="2">
        <v>2481.5400000000004</v>
      </c>
      <c r="K1577" s="2">
        <v>1874.08</v>
      </c>
      <c r="L1577" s="2">
        <v>10691.539999999992</v>
      </c>
      <c r="M1577" t="s">
        <v>4400</v>
      </c>
      <c r="N1577" t="s">
        <v>4400</v>
      </c>
    </row>
    <row r="1578" spans="1:14" x14ac:dyDescent="0.4">
      <c r="A1578" t="s">
        <v>3263</v>
      </c>
      <c r="B1578" t="s">
        <v>3264</v>
      </c>
      <c r="C1578" t="s">
        <v>64</v>
      </c>
      <c r="D1578" t="s">
        <v>2971</v>
      </c>
      <c r="E1578" s="2">
        <v>1459.08</v>
      </c>
      <c r="F1578" s="2">
        <v>2456.9199999999996</v>
      </c>
      <c r="G1578" s="2">
        <v>3189.3700000000008</v>
      </c>
      <c r="H1578" s="2">
        <v>2927.2299999999996</v>
      </c>
      <c r="I1578" s="2">
        <v>3536.3199999999997</v>
      </c>
      <c r="J1578" s="2">
        <v>1701.34</v>
      </c>
      <c r="K1578" s="2">
        <v>2310.4299999999998</v>
      </c>
      <c r="L1578" s="2">
        <v>17580.689999999999</v>
      </c>
      <c r="M1578" t="s">
        <v>4400</v>
      </c>
      <c r="N1578" t="s">
        <v>4400</v>
      </c>
    </row>
    <row r="1579" spans="1:14" x14ac:dyDescent="0.4">
      <c r="A1579" t="s">
        <v>3265</v>
      </c>
      <c r="B1579" t="s">
        <v>3266</v>
      </c>
      <c r="C1579" t="s">
        <v>64</v>
      </c>
      <c r="D1579" t="s">
        <v>3154</v>
      </c>
      <c r="E1579" s="2"/>
      <c r="F1579" s="2"/>
      <c r="G1579" s="2"/>
      <c r="H1579" s="2"/>
      <c r="I1579" s="2"/>
      <c r="J1579" s="2"/>
      <c r="K1579" s="2">
        <v>1248.4199999999998</v>
      </c>
      <c r="L1579" s="2">
        <v>1248.4199999999998</v>
      </c>
      <c r="M1579" t="s">
        <v>4404</v>
      </c>
      <c r="N1579" t="s">
        <v>4400</v>
      </c>
    </row>
    <row r="1580" spans="1:14" x14ac:dyDescent="0.4">
      <c r="A1580" t="s">
        <v>3267</v>
      </c>
      <c r="B1580" t="s">
        <v>2940</v>
      </c>
      <c r="C1580" t="s">
        <v>64</v>
      </c>
      <c r="D1580" t="s">
        <v>1427</v>
      </c>
      <c r="E1580" s="2">
        <v>1028</v>
      </c>
      <c r="F1580" s="2">
        <v>891.79</v>
      </c>
      <c r="G1580" s="2">
        <v>912.35000000000014</v>
      </c>
      <c r="H1580" s="2">
        <v>853.24</v>
      </c>
      <c r="I1580" s="2"/>
      <c r="J1580" s="2"/>
      <c r="K1580" s="2"/>
      <c r="L1580" s="2">
        <v>3685.3799999999987</v>
      </c>
      <c r="M1580" t="s">
        <v>4400</v>
      </c>
      <c r="N1580" t="s">
        <v>4402</v>
      </c>
    </row>
    <row r="1581" spans="1:14" x14ac:dyDescent="0.4">
      <c r="A1581" t="s">
        <v>3268</v>
      </c>
      <c r="B1581" t="s">
        <v>3269</v>
      </c>
      <c r="C1581" t="s">
        <v>64</v>
      </c>
      <c r="D1581" t="s">
        <v>2971</v>
      </c>
      <c r="E1581" s="2"/>
      <c r="F1581" s="2"/>
      <c r="G1581" s="2"/>
      <c r="H1581" s="2">
        <v>1467.47</v>
      </c>
      <c r="I1581" s="2"/>
      <c r="J1581" s="2"/>
      <c r="K1581" s="2"/>
      <c r="L1581" s="2">
        <v>1467.47</v>
      </c>
      <c r="M1581" t="s">
        <v>4409</v>
      </c>
      <c r="N1581" t="s">
        <v>4402</v>
      </c>
    </row>
    <row r="1582" spans="1:14" x14ac:dyDescent="0.4">
      <c r="A1582" t="s">
        <v>3270</v>
      </c>
      <c r="B1582" t="s">
        <v>3271</v>
      </c>
      <c r="C1582" t="s">
        <v>9</v>
      </c>
      <c r="D1582" t="s">
        <v>45</v>
      </c>
      <c r="E1582" s="2">
        <v>1102.5999999999999</v>
      </c>
      <c r="F1582" s="2">
        <v>838.33999999999992</v>
      </c>
      <c r="G1582" s="2">
        <v>923.3599999999999</v>
      </c>
      <c r="H1582" s="2">
        <v>2044.1999999999998</v>
      </c>
      <c r="I1582" s="2"/>
      <c r="J1582" s="2"/>
      <c r="K1582" s="2">
        <v>1160.26</v>
      </c>
      <c r="L1582" s="2">
        <v>6068.7599999999993</v>
      </c>
      <c r="M1582" t="s">
        <v>4400</v>
      </c>
      <c r="N1582" t="s">
        <v>4400</v>
      </c>
    </row>
    <row r="1583" spans="1:14" x14ac:dyDescent="0.4">
      <c r="A1583" t="s">
        <v>3272</v>
      </c>
      <c r="B1583" t="s">
        <v>3273</v>
      </c>
      <c r="C1583" t="s">
        <v>64</v>
      </c>
      <c r="D1583" t="s">
        <v>2165</v>
      </c>
      <c r="E1583" s="2">
        <v>838.36000000000013</v>
      </c>
      <c r="F1583" s="2"/>
      <c r="G1583" s="2">
        <v>1640.16</v>
      </c>
      <c r="H1583" s="2">
        <v>744.18000000000006</v>
      </c>
      <c r="I1583" s="2">
        <v>789.72</v>
      </c>
      <c r="J1583" s="2"/>
      <c r="K1583" s="2"/>
      <c r="L1583" s="2">
        <v>4012.4200000000005</v>
      </c>
      <c r="M1583" t="s">
        <v>4400</v>
      </c>
      <c r="N1583" t="s">
        <v>4401</v>
      </c>
    </row>
    <row r="1584" spans="1:14" x14ac:dyDescent="0.4">
      <c r="A1584" t="s">
        <v>3274</v>
      </c>
      <c r="B1584" t="s">
        <v>3275</v>
      </c>
      <c r="C1584" t="s">
        <v>64</v>
      </c>
      <c r="D1584" t="s">
        <v>1377</v>
      </c>
      <c r="E1584" s="2">
        <v>2765.3199999999993</v>
      </c>
      <c r="F1584" s="2">
        <v>1382.6599999999999</v>
      </c>
      <c r="G1584" s="2">
        <v>2816.7199999999993</v>
      </c>
      <c r="H1584" s="2">
        <v>1382.6599999999999</v>
      </c>
      <c r="I1584" s="2">
        <v>1367.24</v>
      </c>
      <c r="J1584" s="2">
        <v>1449.48</v>
      </c>
      <c r="K1584" s="2"/>
      <c r="L1584" s="2">
        <v>11164.080000000007</v>
      </c>
      <c r="M1584" t="s">
        <v>4400</v>
      </c>
      <c r="N1584" t="s">
        <v>4406</v>
      </c>
    </row>
    <row r="1585" spans="1:14" x14ac:dyDescent="0.4">
      <c r="A1585" t="s">
        <v>3276</v>
      </c>
      <c r="B1585" t="s">
        <v>762</v>
      </c>
      <c r="C1585" t="s">
        <v>78</v>
      </c>
      <c r="D1585" t="s">
        <v>841</v>
      </c>
      <c r="E1585" s="2">
        <v>2374.6799999999998</v>
      </c>
      <c r="F1585" s="2">
        <v>1619.0999999999995</v>
      </c>
      <c r="G1585" s="2">
        <v>1603.6799999999996</v>
      </c>
      <c r="H1585" s="2">
        <v>1775.8699999999997</v>
      </c>
      <c r="I1585" s="2">
        <v>2994.0499999999993</v>
      </c>
      <c r="J1585" s="2">
        <v>1613.9599999999998</v>
      </c>
      <c r="K1585" s="2">
        <v>794.12999999999988</v>
      </c>
      <c r="L1585" s="2">
        <v>12775.470000000012</v>
      </c>
      <c r="M1585" t="s">
        <v>4400</v>
      </c>
      <c r="N1585" t="s">
        <v>4400</v>
      </c>
    </row>
    <row r="1586" spans="1:14" x14ac:dyDescent="0.4">
      <c r="A1586" t="s">
        <v>3277</v>
      </c>
      <c r="B1586" t="s">
        <v>2781</v>
      </c>
      <c r="C1586" t="s">
        <v>423</v>
      </c>
      <c r="D1586" t="s">
        <v>430</v>
      </c>
      <c r="E1586" s="2">
        <v>3559.8500000000004</v>
      </c>
      <c r="F1586" s="2">
        <v>3225.7299999999996</v>
      </c>
      <c r="G1586" s="2">
        <v>4073.1600000000012</v>
      </c>
      <c r="H1586" s="2">
        <v>3034.369999999999</v>
      </c>
      <c r="I1586" s="2">
        <v>3696.5000000000009</v>
      </c>
      <c r="J1586" s="2">
        <v>3110.3</v>
      </c>
      <c r="K1586" s="2">
        <v>1670.58</v>
      </c>
      <c r="L1586" s="2">
        <v>22370.489999999994</v>
      </c>
      <c r="M1586" t="s">
        <v>4400</v>
      </c>
      <c r="N1586" t="s">
        <v>4400</v>
      </c>
    </row>
    <row r="1587" spans="1:14" x14ac:dyDescent="0.4">
      <c r="A1587" t="s">
        <v>3278</v>
      </c>
      <c r="B1587" t="s">
        <v>2901</v>
      </c>
      <c r="C1587" t="s">
        <v>64</v>
      </c>
      <c r="D1587" t="s">
        <v>2665</v>
      </c>
      <c r="E1587" s="2">
        <v>4039.6299999999997</v>
      </c>
      <c r="F1587" s="2">
        <v>4549.9899999999989</v>
      </c>
      <c r="G1587" s="2">
        <v>3295.4999999999995</v>
      </c>
      <c r="H1587" s="2">
        <v>2742.6800000000003</v>
      </c>
      <c r="I1587" s="2">
        <v>3061.6</v>
      </c>
      <c r="J1587" s="2">
        <v>3544.5800000000008</v>
      </c>
      <c r="K1587" s="2">
        <v>2633.3599999999997</v>
      </c>
      <c r="L1587" s="2">
        <v>23867.33999999996</v>
      </c>
      <c r="M1587" t="s">
        <v>4400</v>
      </c>
      <c r="N1587" t="s">
        <v>4400</v>
      </c>
    </row>
    <row r="1588" spans="1:14" x14ac:dyDescent="0.4">
      <c r="A1588" t="s">
        <v>3279</v>
      </c>
      <c r="B1588" t="s">
        <v>3280</v>
      </c>
      <c r="C1588" t="s">
        <v>163</v>
      </c>
      <c r="D1588" t="s">
        <v>164</v>
      </c>
      <c r="E1588" s="2">
        <v>1943.9499999999996</v>
      </c>
      <c r="F1588" s="2">
        <v>1910.5199999999995</v>
      </c>
      <c r="G1588" s="2">
        <v>2223.37</v>
      </c>
      <c r="H1588" s="2">
        <v>2688.1099999999997</v>
      </c>
      <c r="I1588" s="2">
        <v>1272.69</v>
      </c>
      <c r="J1588" s="2">
        <v>938.55</v>
      </c>
      <c r="K1588" s="2"/>
      <c r="L1588" s="2">
        <v>10977.189999999995</v>
      </c>
      <c r="M1588" t="s">
        <v>4400</v>
      </c>
      <c r="N1588" t="s">
        <v>4406</v>
      </c>
    </row>
    <row r="1589" spans="1:14" x14ac:dyDescent="0.4">
      <c r="A1589" t="s">
        <v>3281</v>
      </c>
      <c r="B1589" t="s">
        <v>3282</v>
      </c>
      <c r="C1589" t="s">
        <v>310</v>
      </c>
      <c r="D1589" t="s">
        <v>314</v>
      </c>
      <c r="E1589" s="2">
        <v>4774.8300000000008</v>
      </c>
      <c r="F1589" s="2">
        <v>3909.1499999999992</v>
      </c>
      <c r="G1589" s="2">
        <v>3845.39</v>
      </c>
      <c r="H1589" s="2">
        <v>4167.3399999999992</v>
      </c>
      <c r="I1589" s="2">
        <v>5279.04</v>
      </c>
      <c r="J1589" s="2">
        <v>4446.7899999999991</v>
      </c>
      <c r="K1589" s="2">
        <v>1880.1599999999994</v>
      </c>
      <c r="L1589" s="2">
        <v>28302.69999999999</v>
      </c>
      <c r="M1589" t="s">
        <v>4400</v>
      </c>
      <c r="N1589" t="s">
        <v>4400</v>
      </c>
    </row>
    <row r="1590" spans="1:14" x14ac:dyDescent="0.4">
      <c r="A1590" t="s">
        <v>3283</v>
      </c>
      <c r="B1590" t="s">
        <v>3284</v>
      </c>
      <c r="C1590" t="s">
        <v>602</v>
      </c>
      <c r="D1590" t="s">
        <v>3285</v>
      </c>
      <c r="E1590" s="2">
        <v>741.10000000000014</v>
      </c>
      <c r="F1590" s="2">
        <v>950.68999999999994</v>
      </c>
      <c r="G1590" s="2">
        <v>759.34</v>
      </c>
      <c r="H1590" s="2"/>
      <c r="I1590" s="2"/>
      <c r="J1590" s="2">
        <v>1491.38</v>
      </c>
      <c r="K1590" s="2">
        <v>780.60000000000014</v>
      </c>
      <c r="L1590" s="2">
        <v>4723.1099999999979</v>
      </c>
      <c r="M1590" t="s">
        <v>4400</v>
      </c>
      <c r="N1590" t="s">
        <v>4400</v>
      </c>
    </row>
    <row r="1591" spans="1:14" x14ac:dyDescent="0.4">
      <c r="A1591" t="s">
        <v>3286</v>
      </c>
      <c r="B1591" t="s">
        <v>3287</v>
      </c>
      <c r="C1591" t="s">
        <v>167</v>
      </c>
      <c r="D1591" t="s">
        <v>168</v>
      </c>
      <c r="E1591" s="2">
        <v>750.28000000000009</v>
      </c>
      <c r="F1591" s="2">
        <v>1564.3099999999997</v>
      </c>
      <c r="G1591" s="2">
        <v>719.8900000000001</v>
      </c>
      <c r="H1591" s="2">
        <v>774.57</v>
      </c>
      <c r="I1591" s="2">
        <v>902.13000000000011</v>
      </c>
      <c r="J1591" s="2"/>
      <c r="K1591" s="2">
        <v>941.62</v>
      </c>
      <c r="L1591" s="2">
        <v>5652.8000000000011</v>
      </c>
      <c r="M1591" t="s">
        <v>4400</v>
      </c>
      <c r="N1591" t="s">
        <v>4400</v>
      </c>
    </row>
    <row r="1592" spans="1:14" x14ac:dyDescent="0.4">
      <c r="A1592" t="s">
        <v>3288</v>
      </c>
      <c r="B1592" t="s">
        <v>3289</v>
      </c>
      <c r="C1592" t="s">
        <v>1</v>
      </c>
      <c r="D1592" t="s">
        <v>507</v>
      </c>
      <c r="E1592" s="2">
        <v>5783.2099999999982</v>
      </c>
      <c r="F1592" s="2">
        <v>3125.49</v>
      </c>
      <c r="G1592" s="2"/>
      <c r="H1592" s="2"/>
      <c r="I1592" s="2"/>
      <c r="J1592" s="2"/>
      <c r="K1592" s="2"/>
      <c r="L1592" s="2">
        <v>8908.6999999999898</v>
      </c>
      <c r="M1592" t="s">
        <v>4400</v>
      </c>
      <c r="N1592" t="s">
        <v>4410</v>
      </c>
    </row>
    <row r="1593" spans="1:14" x14ac:dyDescent="0.4">
      <c r="A1593" t="s">
        <v>3290</v>
      </c>
      <c r="B1593" t="s">
        <v>3291</v>
      </c>
      <c r="C1593" t="s">
        <v>64</v>
      </c>
      <c r="D1593" t="s">
        <v>1427</v>
      </c>
      <c r="E1593" s="2">
        <v>2690.79</v>
      </c>
      <c r="F1593" s="2">
        <v>3592.8599999999997</v>
      </c>
      <c r="G1593" s="2">
        <v>1829.84</v>
      </c>
      <c r="H1593" s="2">
        <v>3639.1199999999994</v>
      </c>
      <c r="I1593" s="2">
        <v>1860.68</v>
      </c>
      <c r="J1593" s="2">
        <v>2844.9899999999993</v>
      </c>
      <c r="K1593" s="2">
        <v>2713.9199999999992</v>
      </c>
      <c r="L1593" s="2">
        <v>19172.200000000019</v>
      </c>
      <c r="M1593" t="s">
        <v>4400</v>
      </c>
      <c r="N1593" t="s">
        <v>4400</v>
      </c>
    </row>
    <row r="1594" spans="1:14" x14ac:dyDescent="0.4">
      <c r="A1594" t="s">
        <v>3292</v>
      </c>
      <c r="B1594" t="s">
        <v>2918</v>
      </c>
      <c r="C1594" t="s">
        <v>163</v>
      </c>
      <c r="D1594" t="s">
        <v>2811</v>
      </c>
      <c r="E1594" s="2">
        <v>795.81999999999994</v>
      </c>
      <c r="F1594" s="2">
        <v>1497.46</v>
      </c>
      <c r="G1594" s="2">
        <v>1536.9299999999996</v>
      </c>
      <c r="H1594" s="2">
        <v>789.73</v>
      </c>
      <c r="I1594" s="2">
        <v>713.78</v>
      </c>
      <c r="J1594" s="2">
        <v>984.12</v>
      </c>
      <c r="K1594" s="2"/>
      <c r="L1594" s="2">
        <v>6317.8399999999965</v>
      </c>
      <c r="M1594" t="s">
        <v>4400</v>
      </c>
      <c r="N1594" t="s">
        <v>4406</v>
      </c>
    </row>
    <row r="1595" spans="1:14" x14ac:dyDescent="0.4">
      <c r="A1595" t="s">
        <v>3293</v>
      </c>
      <c r="B1595" t="s">
        <v>3065</v>
      </c>
      <c r="C1595" t="s">
        <v>64</v>
      </c>
      <c r="D1595" t="s">
        <v>1424</v>
      </c>
      <c r="E1595" s="2">
        <v>3064.77</v>
      </c>
      <c r="F1595" s="2">
        <v>3262.1899999999996</v>
      </c>
      <c r="G1595" s="2">
        <v>2727.61</v>
      </c>
      <c r="H1595" s="2">
        <v>2800.5</v>
      </c>
      <c r="I1595" s="2">
        <v>2457.25</v>
      </c>
      <c r="J1595" s="2">
        <v>2399.5500000000002</v>
      </c>
      <c r="K1595" s="2">
        <v>911.21000000000015</v>
      </c>
      <c r="L1595" s="2">
        <v>17623.079999999984</v>
      </c>
      <c r="M1595" t="s">
        <v>4400</v>
      </c>
      <c r="N1595" t="s">
        <v>4400</v>
      </c>
    </row>
    <row r="1596" spans="1:14" x14ac:dyDescent="0.4">
      <c r="A1596" t="s">
        <v>3294</v>
      </c>
      <c r="B1596" t="s">
        <v>3056</v>
      </c>
      <c r="C1596" t="s">
        <v>35</v>
      </c>
      <c r="D1596" t="s">
        <v>36</v>
      </c>
      <c r="E1596" s="2"/>
      <c r="F1596" s="2"/>
      <c r="G1596" s="2"/>
      <c r="H1596" s="2"/>
      <c r="I1596" s="2"/>
      <c r="J1596" s="2"/>
      <c r="K1596" s="2">
        <v>908.21000000000015</v>
      </c>
      <c r="L1596" s="2">
        <v>908.21000000000015</v>
      </c>
      <c r="M1596" t="s">
        <v>4404</v>
      </c>
      <c r="N1596" t="s">
        <v>4400</v>
      </c>
    </row>
    <row r="1597" spans="1:14" x14ac:dyDescent="0.4">
      <c r="A1597" t="s">
        <v>3295</v>
      </c>
      <c r="B1597" t="s">
        <v>3056</v>
      </c>
      <c r="C1597" t="s">
        <v>64</v>
      </c>
      <c r="D1597" t="s">
        <v>2165</v>
      </c>
      <c r="E1597" s="2"/>
      <c r="F1597" s="2">
        <v>823.15</v>
      </c>
      <c r="G1597" s="2"/>
      <c r="H1597" s="2"/>
      <c r="I1597" s="2"/>
      <c r="J1597" s="2"/>
      <c r="K1597" s="2"/>
      <c r="L1597" s="2">
        <v>823.15</v>
      </c>
      <c r="M1597" t="s">
        <v>4412</v>
      </c>
      <c r="N1597" t="s">
        <v>4410</v>
      </c>
    </row>
    <row r="1598" spans="1:14" x14ac:dyDescent="0.4">
      <c r="A1598" t="s">
        <v>3296</v>
      </c>
      <c r="B1598" t="s">
        <v>3297</v>
      </c>
      <c r="C1598" t="s">
        <v>64</v>
      </c>
      <c r="D1598" t="s">
        <v>74</v>
      </c>
      <c r="E1598" s="2">
        <v>2243.61</v>
      </c>
      <c r="F1598" s="2">
        <v>2207.6299999999997</v>
      </c>
      <c r="G1598" s="2">
        <v>1518.8699999999997</v>
      </c>
      <c r="H1598" s="2">
        <v>819.82999999999993</v>
      </c>
      <c r="I1598" s="2">
        <v>2569.9999999999991</v>
      </c>
      <c r="J1598" s="2">
        <v>2027.7299999999996</v>
      </c>
      <c r="K1598" s="2">
        <v>1680.7799999999997</v>
      </c>
      <c r="L1598" s="2">
        <v>13068.450000000006</v>
      </c>
      <c r="M1598" t="s">
        <v>4400</v>
      </c>
      <c r="N1598" t="s">
        <v>4400</v>
      </c>
    </row>
    <row r="1599" spans="1:14" x14ac:dyDescent="0.4">
      <c r="A1599" t="s">
        <v>3298</v>
      </c>
      <c r="B1599" t="s">
        <v>3299</v>
      </c>
      <c r="C1599" t="s">
        <v>310</v>
      </c>
      <c r="D1599" t="s">
        <v>3300</v>
      </c>
      <c r="E1599" s="2"/>
      <c r="F1599" s="2"/>
      <c r="G1599" s="2"/>
      <c r="H1599" s="2"/>
      <c r="I1599" s="2">
        <v>1950.0199999999995</v>
      </c>
      <c r="J1599" s="2">
        <v>2557.5199999999991</v>
      </c>
      <c r="K1599" s="2">
        <v>774.54</v>
      </c>
      <c r="L1599" s="2">
        <v>5282.0799999999963</v>
      </c>
      <c r="M1599" t="s">
        <v>4408</v>
      </c>
      <c r="N1599" t="s">
        <v>4400</v>
      </c>
    </row>
    <row r="1600" spans="1:14" x14ac:dyDescent="0.4">
      <c r="A1600" t="s">
        <v>3301</v>
      </c>
      <c r="B1600" t="s">
        <v>3302</v>
      </c>
      <c r="C1600" t="s">
        <v>602</v>
      </c>
      <c r="D1600" t="s">
        <v>1638</v>
      </c>
      <c r="E1600" s="2">
        <v>2284.1999999999998</v>
      </c>
      <c r="F1600" s="2">
        <v>1312.16</v>
      </c>
      <c r="G1600" s="2">
        <v>3553.7999999999993</v>
      </c>
      <c r="H1600" s="2">
        <v>1324.32</v>
      </c>
      <c r="I1600" s="2">
        <v>1263.56</v>
      </c>
      <c r="J1600" s="2">
        <v>2381.36</v>
      </c>
      <c r="K1600" s="2">
        <v>1105.6600000000001</v>
      </c>
      <c r="L1600" s="2">
        <v>13225.059999999989</v>
      </c>
      <c r="M1600" t="s">
        <v>4400</v>
      </c>
      <c r="N1600" t="s">
        <v>4400</v>
      </c>
    </row>
    <row r="1601" spans="1:14" x14ac:dyDescent="0.4">
      <c r="A1601" t="s">
        <v>3303</v>
      </c>
      <c r="B1601" t="s">
        <v>3304</v>
      </c>
      <c r="C1601" t="s">
        <v>48</v>
      </c>
      <c r="D1601" t="s">
        <v>1914</v>
      </c>
      <c r="E1601" s="2">
        <v>3869.66</v>
      </c>
      <c r="F1601" s="2">
        <v>5909.1499999999987</v>
      </c>
      <c r="G1601" s="2">
        <v>6502.9199999999992</v>
      </c>
      <c r="H1601" s="2">
        <v>4401.09</v>
      </c>
      <c r="I1601" s="2">
        <v>4378.17</v>
      </c>
      <c r="J1601" s="2">
        <v>5898.5300000000007</v>
      </c>
      <c r="K1601" s="2">
        <v>2590.81</v>
      </c>
      <c r="L1601" s="2">
        <v>33550.329999999951</v>
      </c>
      <c r="M1601" t="s">
        <v>4400</v>
      </c>
      <c r="N1601" t="s">
        <v>4400</v>
      </c>
    </row>
    <row r="1602" spans="1:14" x14ac:dyDescent="0.4">
      <c r="A1602" t="s">
        <v>3305</v>
      </c>
      <c r="B1602" t="s">
        <v>3306</v>
      </c>
      <c r="C1602" t="s">
        <v>267</v>
      </c>
      <c r="D1602" t="s">
        <v>518</v>
      </c>
      <c r="E1602" s="2">
        <v>1002.3500000000001</v>
      </c>
      <c r="F1602" s="2"/>
      <c r="G1602" s="2"/>
      <c r="H1602" s="2"/>
      <c r="I1602" s="2"/>
      <c r="J1602" s="2"/>
      <c r="K1602" s="2"/>
      <c r="L1602" s="2">
        <v>1002.3500000000001</v>
      </c>
      <c r="M1602" t="s">
        <v>4400</v>
      </c>
      <c r="N1602" t="s">
        <v>4407</v>
      </c>
    </row>
    <row r="1603" spans="1:14" x14ac:dyDescent="0.4">
      <c r="A1603" t="s">
        <v>3307</v>
      </c>
      <c r="B1603" t="s">
        <v>3308</v>
      </c>
      <c r="C1603" t="s">
        <v>64</v>
      </c>
      <c r="D1603" t="s">
        <v>2619</v>
      </c>
      <c r="E1603" s="2"/>
      <c r="F1603" s="2"/>
      <c r="G1603" s="2"/>
      <c r="H1603" s="2"/>
      <c r="I1603" s="2">
        <v>789.74999999999989</v>
      </c>
      <c r="J1603" s="2">
        <v>795.81</v>
      </c>
      <c r="K1603" s="2">
        <v>1169.4199999999998</v>
      </c>
      <c r="L1603" s="2">
        <v>2754.9799999999996</v>
      </c>
      <c r="M1603" t="s">
        <v>4408</v>
      </c>
      <c r="N1603" t="s">
        <v>4400</v>
      </c>
    </row>
    <row r="1604" spans="1:14" x14ac:dyDescent="0.4">
      <c r="A1604" t="s">
        <v>3309</v>
      </c>
      <c r="B1604" t="s">
        <v>1452</v>
      </c>
      <c r="C1604" t="s">
        <v>13</v>
      </c>
      <c r="D1604" t="s">
        <v>14</v>
      </c>
      <c r="E1604" s="2">
        <v>1542.9800000000002</v>
      </c>
      <c r="F1604" s="2">
        <v>938.55</v>
      </c>
      <c r="G1604" s="2">
        <v>1284.81</v>
      </c>
      <c r="H1604" s="2">
        <v>768.46</v>
      </c>
      <c r="I1604" s="2">
        <v>1008.4100000000001</v>
      </c>
      <c r="J1604" s="2">
        <v>820.09999999999991</v>
      </c>
      <c r="K1604" s="2"/>
      <c r="L1604" s="2">
        <v>6363.3100000000013</v>
      </c>
      <c r="M1604" t="s">
        <v>4400</v>
      </c>
      <c r="N1604" t="s">
        <v>4406</v>
      </c>
    </row>
    <row r="1605" spans="1:14" x14ac:dyDescent="0.4">
      <c r="A1605" t="s">
        <v>3310</v>
      </c>
      <c r="B1605" t="s">
        <v>3311</v>
      </c>
      <c r="C1605" t="s">
        <v>64</v>
      </c>
      <c r="D1605" t="s">
        <v>2826</v>
      </c>
      <c r="E1605" s="2">
        <v>753.26</v>
      </c>
      <c r="F1605" s="2">
        <v>771.47999999999979</v>
      </c>
      <c r="G1605" s="2"/>
      <c r="H1605" s="2"/>
      <c r="I1605" s="2"/>
      <c r="J1605" s="2"/>
      <c r="K1605" s="2">
        <v>780.61</v>
      </c>
      <c r="L1605" s="2">
        <v>2305.3500000000004</v>
      </c>
      <c r="M1605" t="s">
        <v>4400</v>
      </c>
      <c r="N1605" t="s">
        <v>4400</v>
      </c>
    </row>
    <row r="1606" spans="1:14" x14ac:dyDescent="0.4">
      <c r="A1606" t="s">
        <v>3312</v>
      </c>
      <c r="B1606" t="s">
        <v>3313</v>
      </c>
      <c r="C1606" t="s">
        <v>113</v>
      </c>
      <c r="D1606" t="s">
        <v>805</v>
      </c>
      <c r="E1606" s="2">
        <v>2241.6600000000003</v>
      </c>
      <c r="F1606" s="2">
        <v>2955.4200000000005</v>
      </c>
      <c r="G1606" s="2">
        <v>2918.96</v>
      </c>
      <c r="H1606" s="2">
        <v>2211.2399999999998</v>
      </c>
      <c r="I1606" s="2">
        <v>3007.0199999999995</v>
      </c>
      <c r="J1606" s="2">
        <v>2290.2400000000002</v>
      </c>
      <c r="K1606" s="2">
        <v>1509.6100000000001</v>
      </c>
      <c r="L1606" s="2">
        <v>17134.149999999987</v>
      </c>
      <c r="M1606" t="s">
        <v>4400</v>
      </c>
      <c r="N1606" t="s">
        <v>4400</v>
      </c>
    </row>
    <row r="1607" spans="1:14" x14ac:dyDescent="0.4">
      <c r="A1607" t="s">
        <v>3314</v>
      </c>
      <c r="B1607" t="s">
        <v>3315</v>
      </c>
      <c r="C1607" t="s">
        <v>64</v>
      </c>
      <c r="D1607" t="s">
        <v>2871</v>
      </c>
      <c r="E1607" s="2"/>
      <c r="F1607" s="2"/>
      <c r="G1607" s="2"/>
      <c r="H1607" s="2">
        <v>1896.66</v>
      </c>
      <c r="I1607" s="2">
        <v>758.15</v>
      </c>
      <c r="J1607" s="2">
        <v>719.59999999999991</v>
      </c>
      <c r="K1607" s="2"/>
      <c r="L1607" s="2">
        <v>3374.4100000000003</v>
      </c>
      <c r="M1607" t="s">
        <v>4409</v>
      </c>
      <c r="N1607" t="s">
        <v>4406</v>
      </c>
    </row>
    <row r="1608" spans="1:14" x14ac:dyDescent="0.4">
      <c r="A1608" t="s">
        <v>3316</v>
      </c>
      <c r="B1608" t="s">
        <v>1732</v>
      </c>
      <c r="C1608" t="s">
        <v>186</v>
      </c>
      <c r="D1608" t="s">
        <v>3317</v>
      </c>
      <c r="E1608" s="2">
        <v>735.02</v>
      </c>
      <c r="F1608" s="2">
        <v>2184.4999999999995</v>
      </c>
      <c r="G1608" s="2">
        <v>1493.1699999999998</v>
      </c>
      <c r="H1608" s="2">
        <v>2441.4999999999995</v>
      </c>
      <c r="I1608" s="2">
        <v>3323.0099999999989</v>
      </c>
      <c r="J1608" s="2"/>
      <c r="K1608" s="2"/>
      <c r="L1608" s="2">
        <v>10177.200000000003</v>
      </c>
      <c r="M1608" t="s">
        <v>4400</v>
      </c>
      <c r="N1608" t="s">
        <v>4401</v>
      </c>
    </row>
    <row r="1609" spans="1:14" x14ac:dyDescent="0.4">
      <c r="A1609" t="s">
        <v>3318</v>
      </c>
      <c r="B1609" t="s">
        <v>3319</v>
      </c>
      <c r="C1609" t="s">
        <v>78</v>
      </c>
      <c r="D1609" t="s">
        <v>768</v>
      </c>
      <c r="E1609" s="2">
        <v>3119.98</v>
      </c>
      <c r="F1609" s="2">
        <v>3996.3500000000004</v>
      </c>
      <c r="G1609" s="2">
        <v>3119.9800000000005</v>
      </c>
      <c r="H1609" s="2">
        <v>2888.68</v>
      </c>
      <c r="I1609" s="2">
        <v>2888.68</v>
      </c>
      <c r="J1609" s="2">
        <v>3610.85</v>
      </c>
      <c r="K1609" s="2">
        <v>1444.34</v>
      </c>
      <c r="L1609" s="2">
        <v>21068.860000000033</v>
      </c>
      <c r="M1609" t="s">
        <v>4400</v>
      </c>
      <c r="N1609" t="s">
        <v>4400</v>
      </c>
    </row>
    <row r="1610" spans="1:14" x14ac:dyDescent="0.4">
      <c r="A1610" t="s">
        <v>3320</v>
      </c>
      <c r="B1610" t="s">
        <v>3321</v>
      </c>
      <c r="C1610" t="s">
        <v>78</v>
      </c>
      <c r="D1610" t="s">
        <v>768</v>
      </c>
      <c r="E1610" s="2">
        <v>722.8900000000001</v>
      </c>
      <c r="F1610" s="2">
        <v>744.15000000000009</v>
      </c>
      <c r="G1610" s="2">
        <v>759.33999999999992</v>
      </c>
      <c r="H1610" s="2">
        <v>719.84999999999991</v>
      </c>
      <c r="I1610" s="2">
        <v>1473.08</v>
      </c>
      <c r="J1610" s="2">
        <v>1488.34</v>
      </c>
      <c r="K1610" s="2">
        <v>908.16</v>
      </c>
      <c r="L1610" s="2">
        <v>6815.8099999999949</v>
      </c>
      <c r="M1610" t="s">
        <v>4400</v>
      </c>
      <c r="N1610" t="s">
        <v>4400</v>
      </c>
    </row>
    <row r="1611" spans="1:14" x14ac:dyDescent="0.4">
      <c r="A1611" t="s">
        <v>3322</v>
      </c>
      <c r="B1611" t="s">
        <v>3323</v>
      </c>
      <c r="C1611" t="s">
        <v>423</v>
      </c>
      <c r="D1611" t="s">
        <v>424</v>
      </c>
      <c r="E1611" s="2">
        <v>6187.4500000000007</v>
      </c>
      <c r="F1611" s="2">
        <v>7050.04</v>
      </c>
      <c r="G1611" s="2">
        <v>5756</v>
      </c>
      <c r="H1611" s="2">
        <v>2900.83</v>
      </c>
      <c r="I1611" s="2">
        <v>7991.4199999999983</v>
      </c>
      <c r="J1611" s="2">
        <v>5667.9300000000012</v>
      </c>
      <c r="K1611" s="2">
        <v>3559.98</v>
      </c>
      <c r="L1611" s="2">
        <v>39113.650000000023</v>
      </c>
      <c r="M1611" t="s">
        <v>4400</v>
      </c>
      <c r="N1611" t="s">
        <v>4400</v>
      </c>
    </row>
    <row r="1612" spans="1:14" x14ac:dyDescent="0.4">
      <c r="A1612" t="s">
        <v>3324</v>
      </c>
      <c r="B1612" t="s">
        <v>3325</v>
      </c>
      <c r="C1612" t="s">
        <v>64</v>
      </c>
      <c r="D1612" t="s">
        <v>630</v>
      </c>
      <c r="E1612" s="2">
        <v>3626.5799999999995</v>
      </c>
      <c r="F1612" s="2">
        <v>4549.99</v>
      </c>
      <c r="G1612" s="2">
        <v>4112.619999999999</v>
      </c>
      <c r="H1612" s="2">
        <v>3936.4499999999985</v>
      </c>
      <c r="I1612" s="2">
        <v>2596.9799999999996</v>
      </c>
      <c r="J1612" s="2">
        <v>2569.6199999999994</v>
      </c>
      <c r="K1612" s="2"/>
      <c r="L1612" s="2">
        <v>21392.239999999976</v>
      </c>
      <c r="M1612" t="s">
        <v>4400</v>
      </c>
      <c r="N1612" t="s">
        <v>4406</v>
      </c>
    </row>
    <row r="1613" spans="1:14" x14ac:dyDescent="0.4">
      <c r="A1613" t="s">
        <v>3326</v>
      </c>
      <c r="B1613" t="s">
        <v>3327</v>
      </c>
      <c r="C1613" t="s">
        <v>163</v>
      </c>
      <c r="D1613" t="s">
        <v>931</v>
      </c>
      <c r="E1613" s="2"/>
      <c r="F1613" s="2">
        <v>1561.2599999999998</v>
      </c>
      <c r="G1613" s="2">
        <v>1758.6299999999999</v>
      </c>
      <c r="H1613" s="2">
        <v>2022.9399999999996</v>
      </c>
      <c r="I1613" s="2">
        <v>2454.1800000000003</v>
      </c>
      <c r="J1613" s="2">
        <v>871.72</v>
      </c>
      <c r="K1613" s="2">
        <v>896.0200000000001</v>
      </c>
      <c r="L1613" s="2">
        <v>9564.7499999999964</v>
      </c>
      <c r="M1613" t="s">
        <v>4412</v>
      </c>
      <c r="N1613" t="s">
        <v>4400</v>
      </c>
    </row>
    <row r="1614" spans="1:14" x14ac:dyDescent="0.4">
      <c r="A1614" t="s">
        <v>3328</v>
      </c>
      <c r="B1614" t="s">
        <v>3329</v>
      </c>
      <c r="C1614" t="s">
        <v>303</v>
      </c>
      <c r="D1614" t="s">
        <v>334</v>
      </c>
      <c r="E1614" s="2">
        <v>4790.0200000000004</v>
      </c>
      <c r="F1614" s="2">
        <v>2244.67</v>
      </c>
      <c r="G1614" s="2">
        <v>3386.7300000000005</v>
      </c>
      <c r="H1614" s="2">
        <v>4896.29</v>
      </c>
      <c r="I1614" s="2">
        <v>2688.1200000000003</v>
      </c>
      <c r="J1614" s="2">
        <v>5026.8999999999969</v>
      </c>
      <c r="K1614" s="2">
        <v>1254.4499999999998</v>
      </c>
      <c r="L1614" s="2">
        <v>24287.179999999975</v>
      </c>
      <c r="M1614" t="s">
        <v>4400</v>
      </c>
      <c r="N1614" t="s">
        <v>4400</v>
      </c>
    </row>
    <row r="1615" spans="1:14" x14ac:dyDescent="0.4">
      <c r="A1615" t="s">
        <v>3330</v>
      </c>
      <c r="B1615" t="s">
        <v>3331</v>
      </c>
      <c r="C1615" t="s">
        <v>64</v>
      </c>
      <c r="D1615" t="s">
        <v>985</v>
      </c>
      <c r="E1615" s="2"/>
      <c r="F1615" s="2"/>
      <c r="G1615" s="2"/>
      <c r="H1615" s="2"/>
      <c r="I1615" s="2"/>
      <c r="J1615" s="2">
        <v>747.20999999999992</v>
      </c>
      <c r="K1615" s="2">
        <v>744.17000000000007</v>
      </c>
      <c r="L1615" s="2">
        <v>1491.38</v>
      </c>
      <c r="M1615" t="s">
        <v>4405</v>
      </c>
      <c r="N1615" t="s">
        <v>4400</v>
      </c>
    </row>
    <row r="1616" spans="1:14" x14ac:dyDescent="0.4">
      <c r="A1616" t="s">
        <v>3332</v>
      </c>
      <c r="B1616" t="s">
        <v>3333</v>
      </c>
      <c r="C1616" t="s">
        <v>64</v>
      </c>
      <c r="D1616" t="s">
        <v>2165</v>
      </c>
      <c r="E1616" s="2"/>
      <c r="F1616" s="2"/>
      <c r="G1616" s="2">
        <v>4076.2899999999991</v>
      </c>
      <c r="H1616" s="2">
        <v>2540.1899999999996</v>
      </c>
      <c r="I1616" s="2">
        <v>3405.2499999999991</v>
      </c>
      <c r="J1616" s="2">
        <v>1809.2800000000002</v>
      </c>
      <c r="K1616" s="2"/>
      <c r="L1616" s="2">
        <v>11831.010000000002</v>
      </c>
      <c r="M1616" t="s">
        <v>4411</v>
      </c>
      <c r="N1616" t="s">
        <v>4406</v>
      </c>
    </row>
    <row r="1617" spans="1:14" x14ac:dyDescent="0.4">
      <c r="A1617" t="s">
        <v>3334</v>
      </c>
      <c r="B1617" t="s">
        <v>3335</v>
      </c>
      <c r="C1617" t="s">
        <v>437</v>
      </c>
      <c r="D1617" t="s">
        <v>552</v>
      </c>
      <c r="E1617" s="2">
        <v>841.36</v>
      </c>
      <c r="F1617" s="2">
        <v>880.84999999999991</v>
      </c>
      <c r="G1617" s="2">
        <v>1943.95</v>
      </c>
      <c r="H1617" s="2">
        <v>1008.4100000000001</v>
      </c>
      <c r="I1617" s="2"/>
      <c r="J1617" s="2"/>
      <c r="K1617" s="2">
        <v>2323.65</v>
      </c>
      <c r="L1617" s="2">
        <v>6998.2200000000012</v>
      </c>
      <c r="M1617" t="s">
        <v>4400</v>
      </c>
      <c r="N1617" t="s">
        <v>4400</v>
      </c>
    </row>
    <row r="1618" spans="1:14" x14ac:dyDescent="0.4">
      <c r="A1618" t="s">
        <v>3336</v>
      </c>
      <c r="B1618" t="s">
        <v>3337</v>
      </c>
      <c r="C1618" t="s">
        <v>35</v>
      </c>
      <c r="D1618" t="s">
        <v>1212</v>
      </c>
      <c r="E1618" s="2">
        <v>2736.77</v>
      </c>
      <c r="F1618" s="2">
        <v>826.20999999999981</v>
      </c>
      <c r="G1618" s="2">
        <v>2186.9799999999996</v>
      </c>
      <c r="H1618" s="2">
        <v>1172.45</v>
      </c>
      <c r="I1618" s="2">
        <v>2612.2000000000003</v>
      </c>
      <c r="J1618" s="2">
        <v>753.29</v>
      </c>
      <c r="K1618" s="2">
        <v>1461.01</v>
      </c>
      <c r="L1618" s="2">
        <v>11748.91</v>
      </c>
      <c r="M1618" t="s">
        <v>4400</v>
      </c>
      <c r="N1618" t="s">
        <v>4400</v>
      </c>
    </row>
    <row r="1619" spans="1:14" x14ac:dyDescent="0.4">
      <c r="A1619" t="s">
        <v>3338</v>
      </c>
      <c r="B1619" t="s">
        <v>762</v>
      </c>
      <c r="C1619" t="s">
        <v>35</v>
      </c>
      <c r="D1619" t="s">
        <v>1212</v>
      </c>
      <c r="E1619" s="2">
        <v>2644.5299999999993</v>
      </c>
      <c r="F1619" s="2">
        <v>2379.8199999999997</v>
      </c>
      <c r="G1619" s="2">
        <v>2279.5899999999997</v>
      </c>
      <c r="H1619" s="2">
        <v>2320.7099999999996</v>
      </c>
      <c r="I1619" s="2">
        <v>2266.7399999999998</v>
      </c>
      <c r="J1619" s="2">
        <v>3939.8099999999986</v>
      </c>
      <c r="K1619" s="2"/>
      <c r="L1619" s="2">
        <v>15831.200000000024</v>
      </c>
      <c r="M1619" t="s">
        <v>4400</v>
      </c>
      <c r="N1619" t="s">
        <v>4406</v>
      </c>
    </row>
    <row r="1620" spans="1:14" x14ac:dyDescent="0.4">
      <c r="A1620" t="s">
        <v>3339</v>
      </c>
      <c r="B1620" t="s">
        <v>3340</v>
      </c>
      <c r="C1620" t="s">
        <v>78</v>
      </c>
      <c r="D1620" t="s">
        <v>1553</v>
      </c>
      <c r="E1620" s="2"/>
      <c r="F1620" s="2">
        <v>868.66000000000008</v>
      </c>
      <c r="G1620" s="2">
        <v>2297.5799999999995</v>
      </c>
      <c r="H1620" s="2">
        <v>778.70999999999992</v>
      </c>
      <c r="I1620" s="2">
        <v>788.9899999999999</v>
      </c>
      <c r="J1620" s="2"/>
      <c r="K1620" s="2"/>
      <c r="L1620" s="2">
        <v>4733.9400000000005</v>
      </c>
      <c r="M1620" t="s">
        <v>4412</v>
      </c>
      <c r="N1620" t="s">
        <v>4401</v>
      </c>
    </row>
    <row r="1621" spans="1:14" x14ac:dyDescent="0.4">
      <c r="A1621" t="s">
        <v>3341</v>
      </c>
      <c r="B1621" t="s">
        <v>3342</v>
      </c>
      <c r="C1621" t="s">
        <v>64</v>
      </c>
      <c r="D1621" t="s">
        <v>645</v>
      </c>
      <c r="E1621" s="2"/>
      <c r="F1621" s="2"/>
      <c r="G1621" s="2"/>
      <c r="H1621" s="2">
        <v>1356.96</v>
      </c>
      <c r="I1621" s="2">
        <v>2472.34</v>
      </c>
      <c r="J1621" s="2">
        <v>1906.9399999999996</v>
      </c>
      <c r="K1621" s="2"/>
      <c r="L1621" s="2">
        <v>5736.2400000000007</v>
      </c>
      <c r="M1621" t="s">
        <v>4409</v>
      </c>
      <c r="N1621" t="s">
        <v>4406</v>
      </c>
    </row>
    <row r="1622" spans="1:14" x14ac:dyDescent="0.4">
      <c r="A1622" t="s">
        <v>3343</v>
      </c>
      <c r="B1622" t="s">
        <v>3344</v>
      </c>
      <c r="C1622" t="s">
        <v>27</v>
      </c>
      <c r="D1622" t="s">
        <v>28</v>
      </c>
      <c r="E1622" s="2">
        <v>3790.77</v>
      </c>
      <c r="F1622" s="2">
        <v>3863.7000000000007</v>
      </c>
      <c r="G1622" s="2">
        <v>1716.1900000000003</v>
      </c>
      <c r="H1622" s="2"/>
      <c r="I1622" s="2"/>
      <c r="J1622" s="2"/>
      <c r="K1622" s="2"/>
      <c r="L1622" s="2">
        <v>9370.6599999999908</v>
      </c>
      <c r="M1622" t="s">
        <v>4400</v>
      </c>
      <c r="N1622" t="s">
        <v>4403</v>
      </c>
    </row>
    <row r="1623" spans="1:14" x14ac:dyDescent="0.4">
      <c r="A1623" t="s">
        <v>3345</v>
      </c>
      <c r="B1623" t="s">
        <v>3346</v>
      </c>
      <c r="C1623" t="s">
        <v>23</v>
      </c>
      <c r="D1623" t="s">
        <v>3347</v>
      </c>
      <c r="E1623" s="2">
        <v>8140.3</v>
      </c>
      <c r="F1623" s="2">
        <v>4981.3999999999996</v>
      </c>
      <c r="G1623" s="2">
        <v>4070.1499999999996</v>
      </c>
      <c r="H1623" s="2">
        <v>2657.75</v>
      </c>
      <c r="I1623" s="2">
        <v>4054.95</v>
      </c>
      <c r="J1623" s="2">
        <v>2794.3999999999996</v>
      </c>
      <c r="K1623" s="2">
        <v>1397.1999999999998</v>
      </c>
      <c r="L1623" s="2">
        <v>28096.150000000005</v>
      </c>
      <c r="M1623" t="s">
        <v>4400</v>
      </c>
      <c r="N1623" t="s">
        <v>4400</v>
      </c>
    </row>
    <row r="1624" spans="1:14" x14ac:dyDescent="0.4">
      <c r="A1624" t="s">
        <v>3348</v>
      </c>
      <c r="B1624" t="s">
        <v>3264</v>
      </c>
      <c r="C1624" t="s">
        <v>64</v>
      </c>
      <c r="D1624" t="s">
        <v>2312</v>
      </c>
      <c r="E1624" s="2"/>
      <c r="F1624" s="2"/>
      <c r="G1624" s="2"/>
      <c r="H1624" s="2"/>
      <c r="I1624" s="2">
        <v>719.6</v>
      </c>
      <c r="J1624" s="2"/>
      <c r="K1624" s="2">
        <v>1061.4099999999999</v>
      </c>
      <c r="L1624" s="2">
        <v>1781.0099999999998</v>
      </c>
      <c r="M1624" t="s">
        <v>4408</v>
      </c>
      <c r="N1624" t="s">
        <v>4400</v>
      </c>
    </row>
    <row r="1625" spans="1:14" x14ac:dyDescent="0.4">
      <c r="A1625" t="s">
        <v>3349</v>
      </c>
      <c r="B1625" t="s">
        <v>824</v>
      </c>
      <c r="C1625" t="s">
        <v>103</v>
      </c>
      <c r="D1625" t="s">
        <v>1262</v>
      </c>
      <c r="E1625" s="2"/>
      <c r="F1625" s="2"/>
      <c r="G1625" s="2"/>
      <c r="H1625" s="2">
        <v>2475.59</v>
      </c>
      <c r="I1625" s="2">
        <v>3086.0899999999997</v>
      </c>
      <c r="J1625" s="2">
        <v>5200.1399999999985</v>
      </c>
      <c r="K1625" s="2">
        <v>2065.46</v>
      </c>
      <c r="L1625" s="2">
        <v>12827.27999999999</v>
      </c>
      <c r="M1625" t="s">
        <v>4409</v>
      </c>
      <c r="N1625" t="s">
        <v>4400</v>
      </c>
    </row>
    <row r="1626" spans="1:14" x14ac:dyDescent="0.4">
      <c r="A1626" t="s">
        <v>3350</v>
      </c>
      <c r="B1626" t="s">
        <v>3351</v>
      </c>
      <c r="C1626" t="s">
        <v>64</v>
      </c>
      <c r="D1626" t="s">
        <v>693</v>
      </c>
      <c r="E1626" s="2">
        <v>771.5</v>
      </c>
      <c r="F1626" s="2"/>
      <c r="G1626" s="2"/>
      <c r="H1626" s="2"/>
      <c r="I1626" s="2"/>
      <c r="J1626" s="2"/>
      <c r="K1626" s="2">
        <v>738.08999999999992</v>
      </c>
      <c r="L1626" s="2">
        <v>1509.59</v>
      </c>
      <c r="M1626" t="s">
        <v>4400</v>
      </c>
      <c r="N1626" t="s">
        <v>4400</v>
      </c>
    </row>
    <row r="1627" spans="1:14" x14ac:dyDescent="0.4">
      <c r="A1627" t="s">
        <v>3352</v>
      </c>
      <c r="B1627" t="s">
        <v>3353</v>
      </c>
      <c r="C1627" t="s">
        <v>279</v>
      </c>
      <c r="D1627" t="s">
        <v>280</v>
      </c>
      <c r="E1627" s="2"/>
      <c r="F1627" s="2">
        <v>2731.9099999999994</v>
      </c>
      <c r="G1627" s="2"/>
      <c r="H1627" s="2"/>
      <c r="I1627" s="2"/>
      <c r="J1627" s="2"/>
      <c r="K1627" s="2"/>
      <c r="L1627" s="2">
        <v>2731.9099999999994</v>
      </c>
      <c r="M1627" t="s">
        <v>4412</v>
      </c>
      <c r="N1627" t="s">
        <v>4410</v>
      </c>
    </row>
    <row r="1628" spans="1:14" x14ac:dyDescent="0.4">
      <c r="A1628" t="s">
        <v>3354</v>
      </c>
      <c r="B1628" t="s">
        <v>3355</v>
      </c>
      <c r="C1628" t="s">
        <v>78</v>
      </c>
      <c r="D1628" t="s">
        <v>768</v>
      </c>
      <c r="E1628" s="2"/>
      <c r="F1628" s="2"/>
      <c r="G1628" s="2">
        <v>3933.5099999999998</v>
      </c>
      <c r="H1628" s="2">
        <v>2594.0300000000002</v>
      </c>
      <c r="I1628" s="2">
        <v>3058.77</v>
      </c>
      <c r="J1628" s="2">
        <v>3022.3399999999997</v>
      </c>
      <c r="K1628" s="2">
        <v>1749.6000000000001</v>
      </c>
      <c r="L1628" s="2">
        <v>14358.249999999985</v>
      </c>
      <c r="M1628" t="s">
        <v>4411</v>
      </c>
      <c r="N1628" t="s">
        <v>4400</v>
      </c>
    </row>
    <row r="1629" spans="1:14" x14ac:dyDescent="0.4">
      <c r="A1629" t="s">
        <v>3356</v>
      </c>
      <c r="B1629" t="s">
        <v>3327</v>
      </c>
      <c r="C1629" t="s">
        <v>542</v>
      </c>
      <c r="D1629" t="s">
        <v>2506</v>
      </c>
      <c r="E1629" s="2">
        <v>2426.8599999999997</v>
      </c>
      <c r="F1629" s="2">
        <v>1558.1699999999998</v>
      </c>
      <c r="G1629" s="2">
        <v>2657.6699999999996</v>
      </c>
      <c r="H1629" s="2">
        <v>1682.6899999999998</v>
      </c>
      <c r="I1629" s="2">
        <v>2278.0099999999993</v>
      </c>
      <c r="J1629" s="2">
        <v>1676.6200000000001</v>
      </c>
      <c r="K1629" s="2">
        <v>1488.31</v>
      </c>
      <c r="L1629" s="2">
        <v>13768.33</v>
      </c>
      <c r="M1629" t="s">
        <v>4400</v>
      </c>
      <c r="N1629" t="s">
        <v>4400</v>
      </c>
    </row>
    <row r="1630" spans="1:14" x14ac:dyDescent="0.4">
      <c r="A1630" t="s">
        <v>3357</v>
      </c>
      <c r="B1630" t="s">
        <v>3358</v>
      </c>
      <c r="C1630" t="s">
        <v>64</v>
      </c>
      <c r="D1630" t="s">
        <v>1377</v>
      </c>
      <c r="E1630" s="2">
        <v>1937.8699999999992</v>
      </c>
      <c r="F1630" s="2">
        <v>859.59</v>
      </c>
      <c r="G1630" s="2">
        <v>993.23</v>
      </c>
      <c r="H1630" s="2">
        <v>1995.5900000000001</v>
      </c>
      <c r="I1630" s="2">
        <v>968.94000000000017</v>
      </c>
      <c r="J1630" s="2">
        <v>2174.79</v>
      </c>
      <c r="K1630" s="2">
        <v>1035.7500000000002</v>
      </c>
      <c r="L1630" s="2">
        <v>9965.7599999999875</v>
      </c>
      <c r="M1630" t="s">
        <v>4400</v>
      </c>
      <c r="N1630" t="s">
        <v>4400</v>
      </c>
    </row>
    <row r="1631" spans="1:14" x14ac:dyDescent="0.4">
      <c r="A1631" t="s">
        <v>3359</v>
      </c>
      <c r="B1631" t="s">
        <v>3360</v>
      </c>
      <c r="C1631" t="s">
        <v>350</v>
      </c>
      <c r="D1631" t="s">
        <v>351</v>
      </c>
      <c r="E1631" s="2">
        <v>3432.3600000000006</v>
      </c>
      <c r="F1631" s="2">
        <v>3404.9999999999995</v>
      </c>
      <c r="G1631" s="2">
        <v>3991.2400000000002</v>
      </c>
      <c r="H1631" s="2">
        <v>4058.0699999999997</v>
      </c>
      <c r="I1631" s="2">
        <v>4058.0599999999986</v>
      </c>
      <c r="J1631" s="2">
        <v>4477.2199999999984</v>
      </c>
      <c r="K1631" s="2">
        <v>2065.48</v>
      </c>
      <c r="L1631" s="2">
        <v>25487.430000000004</v>
      </c>
      <c r="M1631" t="s">
        <v>4400</v>
      </c>
      <c r="N1631" t="s">
        <v>4400</v>
      </c>
    </row>
    <row r="1632" spans="1:14" x14ac:dyDescent="0.4">
      <c r="A1632" t="s">
        <v>3361</v>
      </c>
      <c r="B1632" t="s">
        <v>3284</v>
      </c>
      <c r="C1632" t="s">
        <v>602</v>
      </c>
      <c r="D1632" t="s">
        <v>3285</v>
      </c>
      <c r="E1632" s="2">
        <v>1488.3400000000001</v>
      </c>
      <c r="F1632" s="2">
        <v>2490.67</v>
      </c>
      <c r="G1632" s="2">
        <v>789.73</v>
      </c>
      <c r="H1632" s="2">
        <v>1445.8100000000002</v>
      </c>
      <c r="I1632" s="2">
        <v>1457.9599999999998</v>
      </c>
      <c r="J1632" s="2">
        <v>1290.8899999999999</v>
      </c>
      <c r="K1632" s="2">
        <v>732.01</v>
      </c>
      <c r="L1632" s="2">
        <v>9695.4099999999889</v>
      </c>
      <c r="M1632" t="s">
        <v>4400</v>
      </c>
      <c r="N1632" t="s">
        <v>4400</v>
      </c>
    </row>
    <row r="1633" spans="1:14" x14ac:dyDescent="0.4">
      <c r="A1633" t="s">
        <v>3362</v>
      </c>
      <c r="B1633" t="s">
        <v>3363</v>
      </c>
      <c r="C1633" t="s">
        <v>447</v>
      </c>
      <c r="D1633" t="s">
        <v>451</v>
      </c>
      <c r="E1633" s="2">
        <v>3441.36</v>
      </c>
      <c r="F1633" s="2">
        <v>4957.1299999999992</v>
      </c>
      <c r="G1633" s="2">
        <v>5768.0199999999977</v>
      </c>
      <c r="H1633" s="2">
        <v>3696.47</v>
      </c>
      <c r="I1633" s="2">
        <v>4720.0699999999988</v>
      </c>
      <c r="J1633" s="2">
        <v>5786.2299999999987</v>
      </c>
      <c r="K1633" s="2">
        <v>2806.5600000000004</v>
      </c>
      <c r="L1633" s="2">
        <v>31175.84</v>
      </c>
      <c r="M1633" t="s">
        <v>4400</v>
      </c>
      <c r="N1633" t="s">
        <v>4400</v>
      </c>
    </row>
    <row r="1634" spans="1:14" x14ac:dyDescent="0.4">
      <c r="A1634" t="s">
        <v>3364</v>
      </c>
      <c r="B1634" t="s">
        <v>1704</v>
      </c>
      <c r="C1634" t="s">
        <v>433</v>
      </c>
      <c r="D1634" t="s">
        <v>1174</v>
      </c>
      <c r="E1634" s="2"/>
      <c r="F1634" s="2"/>
      <c r="G1634" s="2"/>
      <c r="H1634" s="2"/>
      <c r="I1634" s="2"/>
      <c r="J1634" s="2">
        <v>911.21</v>
      </c>
      <c r="K1634" s="2"/>
      <c r="L1634" s="2">
        <v>911.21</v>
      </c>
      <c r="M1634" t="s">
        <v>4405</v>
      </c>
      <c r="N1634" t="s">
        <v>4406</v>
      </c>
    </row>
    <row r="1635" spans="1:14" x14ac:dyDescent="0.4">
      <c r="A1635" t="s">
        <v>3365</v>
      </c>
      <c r="B1635" t="s">
        <v>1983</v>
      </c>
      <c r="C1635" t="s">
        <v>258</v>
      </c>
      <c r="D1635" t="s">
        <v>259</v>
      </c>
      <c r="E1635" s="2">
        <v>750.44</v>
      </c>
      <c r="F1635" s="2"/>
      <c r="G1635" s="2">
        <v>1171.92</v>
      </c>
      <c r="H1635" s="2"/>
      <c r="I1635" s="2"/>
      <c r="J1635" s="2"/>
      <c r="K1635" s="2"/>
      <c r="L1635" s="2">
        <v>1922.3600000000001</v>
      </c>
      <c r="M1635" t="s">
        <v>4400</v>
      </c>
      <c r="N1635" t="s">
        <v>4403</v>
      </c>
    </row>
    <row r="1636" spans="1:14" x14ac:dyDescent="0.4">
      <c r="A1636" t="s">
        <v>3366</v>
      </c>
      <c r="B1636" t="s">
        <v>3367</v>
      </c>
      <c r="C1636" t="s">
        <v>78</v>
      </c>
      <c r="D1636" t="s">
        <v>768</v>
      </c>
      <c r="E1636" s="2"/>
      <c r="F1636" s="2">
        <v>3787.5999999999985</v>
      </c>
      <c r="G1636" s="2">
        <v>5312.3999999999978</v>
      </c>
      <c r="H1636" s="2">
        <v>3149.75</v>
      </c>
      <c r="I1636" s="2">
        <v>2587.8300000000004</v>
      </c>
      <c r="J1636" s="2">
        <v>4416.3200000000006</v>
      </c>
      <c r="K1636" s="2">
        <v>804.91</v>
      </c>
      <c r="L1636" s="2">
        <v>20058.809999999976</v>
      </c>
      <c r="M1636" t="s">
        <v>4412</v>
      </c>
      <c r="N1636" t="s">
        <v>4400</v>
      </c>
    </row>
    <row r="1637" spans="1:14" x14ac:dyDescent="0.4">
      <c r="A1637" t="s">
        <v>3368</v>
      </c>
      <c r="B1637" t="s">
        <v>3369</v>
      </c>
      <c r="C1637" t="s">
        <v>78</v>
      </c>
      <c r="D1637" t="s">
        <v>841</v>
      </c>
      <c r="E1637" s="2">
        <v>880.8599999999999</v>
      </c>
      <c r="F1637" s="2"/>
      <c r="G1637" s="2"/>
      <c r="H1637" s="2"/>
      <c r="I1637" s="2">
        <v>722.16999999999985</v>
      </c>
      <c r="J1637" s="2"/>
      <c r="K1637" s="2"/>
      <c r="L1637" s="2">
        <v>1603.0299999999995</v>
      </c>
      <c r="M1637" t="s">
        <v>4400</v>
      </c>
      <c r="N1637" t="s">
        <v>4401</v>
      </c>
    </row>
    <row r="1638" spans="1:14" x14ac:dyDescent="0.4">
      <c r="A1638" t="s">
        <v>3370</v>
      </c>
      <c r="B1638" t="s">
        <v>3371</v>
      </c>
      <c r="C1638" t="s">
        <v>64</v>
      </c>
      <c r="D1638" t="s">
        <v>630</v>
      </c>
      <c r="E1638" s="2">
        <v>2618.29</v>
      </c>
      <c r="F1638" s="2"/>
      <c r="G1638" s="2">
        <v>1883.27</v>
      </c>
      <c r="H1638" s="2"/>
      <c r="I1638" s="2">
        <v>938.57999999999993</v>
      </c>
      <c r="J1638" s="2">
        <v>1193.73</v>
      </c>
      <c r="K1638" s="2"/>
      <c r="L1638" s="2">
        <v>6633.87</v>
      </c>
      <c r="M1638" t="s">
        <v>4400</v>
      </c>
      <c r="N1638" t="s">
        <v>4406</v>
      </c>
    </row>
    <row r="1639" spans="1:14" x14ac:dyDescent="0.4">
      <c r="A1639" t="s">
        <v>3372</v>
      </c>
      <c r="B1639" t="s">
        <v>2502</v>
      </c>
      <c r="C1639" t="s">
        <v>64</v>
      </c>
      <c r="D1639" t="s">
        <v>2343</v>
      </c>
      <c r="E1639" s="2"/>
      <c r="F1639" s="2">
        <v>999.32</v>
      </c>
      <c r="G1639" s="2">
        <v>1943.98</v>
      </c>
      <c r="H1639" s="2"/>
      <c r="I1639" s="2">
        <v>984.12999999999988</v>
      </c>
      <c r="J1639" s="2">
        <v>2004.6999999999996</v>
      </c>
      <c r="K1639" s="2">
        <v>968.94</v>
      </c>
      <c r="L1639" s="2">
        <v>6901.0700000000015</v>
      </c>
      <c r="M1639" t="s">
        <v>4412</v>
      </c>
      <c r="N1639" t="s">
        <v>4400</v>
      </c>
    </row>
    <row r="1640" spans="1:14" x14ac:dyDescent="0.4">
      <c r="A1640" t="s">
        <v>3373</v>
      </c>
      <c r="B1640" t="s">
        <v>3374</v>
      </c>
      <c r="C1640" t="s">
        <v>496</v>
      </c>
      <c r="D1640" t="s">
        <v>1608</v>
      </c>
      <c r="E1640" s="2">
        <v>4410.2800000000007</v>
      </c>
      <c r="F1640" s="2">
        <v>3034.3500000000004</v>
      </c>
      <c r="G1640" s="2">
        <v>5324.53</v>
      </c>
      <c r="H1640" s="2">
        <v>4303.9800000000005</v>
      </c>
      <c r="I1640" s="2">
        <v>3535.53</v>
      </c>
      <c r="J1640" s="2">
        <v>4209.7800000000007</v>
      </c>
      <c r="K1640" s="2">
        <v>3046.4799999999996</v>
      </c>
      <c r="L1640" s="2">
        <v>27864.929999999942</v>
      </c>
      <c r="M1640" t="s">
        <v>4400</v>
      </c>
      <c r="N1640" t="s">
        <v>4400</v>
      </c>
    </row>
    <row r="1641" spans="1:14" x14ac:dyDescent="0.4">
      <c r="A1641" t="s">
        <v>3375</v>
      </c>
      <c r="B1641" t="s">
        <v>1697</v>
      </c>
      <c r="C1641" t="s">
        <v>123</v>
      </c>
      <c r="D1641" t="s">
        <v>129</v>
      </c>
      <c r="E1641" s="2">
        <v>3289.56</v>
      </c>
      <c r="F1641" s="2">
        <v>3061.79</v>
      </c>
      <c r="G1641" s="2">
        <v>4203.8799999999992</v>
      </c>
      <c r="H1641" s="2">
        <v>4316.29</v>
      </c>
      <c r="I1641" s="2">
        <v>3942.6599999999994</v>
      </c>
      <c r="J1641" s="2">
        <v>3729.9899999999993</v>
      </c>
      <c r="K1641" s="2">
        <v>1810.3199999999997</v>
      </c>
      <c r="L1641" s="2">
        <v>24354.48999999998</v>
      </c>
      <c r="M1641" t="s">
        <v>4400</v>
      </c>
      <c r="N1641" t="s">
        <v>4400</v>
      </c>
    </row>
    <row r="1642" spans="1:14" x14ac:dyDescent="0.4">
      <c r="A1642" t="s">
        <v>3376</v>
      </c>
      <c r="B1642" t="s">
        <v>2922</v>
      </c>
      <c r="C1642" t="s">
        <v>64</v>
      </c>
      <c r="D1642" t="s">
        <v>2343</v>
      </c>
      <c r="E1642" s="2">
        <v>2603.0499999999993</v>
      </c>
      <c r="F1642" s="2">
        <v>941.59999999999991</v>
      </c>
      <c r="G1642" s="2">
        <v>1870.9899999999998</v>
      </c>
      <c r="H1642" s="2">
        <v>838.31999999999994</v>
      </c>
      <c r="I1642" s="2">
        <v>929.43999999999994</v>
      </c>
      <c r="J1642" s="2">
        <v>981.07999999999993</v>
      </c>
      <c r="K1642" s="2"/>
      <c r="L1642" s="2">
        <v>8164.4799999999905</v>
      </c>
      <c r="M1642" t="s">
        <v>4400</v>
      </c>
      <c r="N1642" t="s">
        <v>4406</v>
      </c>
    </row>
    <row r="1643" spans="1:14" x14ac:dyDescent="0.4">
      <c r="A1643" t="s">
        <v>3377</v>
      </c>
      <c r="B1643" t="s">
        <v>3378</v>
      </c>
      <c r="C1643" t="s">
        <v>64</v>
      </c>
      <c r="D1643" t="s">
        <v>808</v>
      </c>
      <c r="E1643" s="2">
        <v>1707.04</v>
      </c>
      <c r="F1643" s="2">
        <v>2706.3699999999994</v>
      </c>
      <c r="G1643" s="2">
        <v>3417.0899999999997</v>
      </c>
      <c r="H1643" s="2">
        <v>917.30000000000007</v>
      </c>
      <c r="I1643" s="2">
        <v>1846.7599999999998</v>
      </c>
      <c r="J1643" s="2">
        <v>3848.5299999999997</v>
      </c>
      <c r="K1643" s="2">
        <v>1063.1000000000001</v>
      </c>
      <c r="L1643" s="2">
        <v>15506.189999999991</v>
      </c>
      <c r="M1643" t="s">
        <v>4400</v>
      </c>
      <c r="N1643" t="s">
        <v>4400</v>
      </c>
    </row>
    <row r="1644" spans="1:14" x14ac:dyDescent="0.4">
      <c r="A1644" t="s">
        <v>3379</v>
      </c>
      <c r="B1644" t="s">
        <v>3380</v>
      </c>
      <c r="C1644" t="s">
        <v>220</v>
      </c>
      <c r="D1644" t="s">
        <v>2302</v>
      </c>
      <c r="E1644" s="2"/>
      <c r="F1644" s="2"/>
      <c r="G1644" s="2"/>
      <c r="H1644" s="2">
        <v>950.73000000000013</v>
      </c>
      <c r="I1644" s="2"/>
      <c r="J1644" s="2"/>
      <c r="K1644" s="2"/>
      <c r="L1644" s="2">
        <v>950.73000000000013</v>
      </c>
      <c r="M1644" t="s">
        <v>4409</v>
      </c>
      <c r="N1644" t="s">
        <v>4402</v>
      </c>
    </row>
    <row r="1645" spans="1:14" x14ac:dyDescent="0.4">
      <c r="A1645" t="s">
        <v>3381</v>
      </c>
      <c r="B1645" t="s">
        <v>3382</v>
      </c>
      <c r="C1645" t="s">
        <v>109</v>
      </c>
      <c r="D1645" t="s">
        <v>1374</v>
      </c>
      <c r="E1645" s="2">
        <v>3180.0900000000006</v>
      </c>
      <c r="F1645" s="2">
        <v>2906.71</v>
      </c>
      <c r="G1645" s="2">
        <v>3183.1</v>
      </c>
      <c r="H1645" s="2">
        <v>4252.26</v>
      </c>
      <c r="I1645" s="2">
        <v>3966.8100000000013</v>
      </c>
      <c r="J1645" s="2">
        <v>2393.41</v>
      </c>
      <c r="K1645" s="2"/>
      <c r="L1645" s="2">
        <v>19882.379999999976</v>
      </c>
      <c r="M1645" t="s">
        <v>4400</v>
      </c>
      <c r="N1645" t="s">
        <v>4406</v>
      </c>
    </row>
    <row r="1646" spans="1:14" x14ac:dyDescent="0.4">
      <c r="A1646" t="s">
        <v>3383</v>
      </c>
      <c r="B1646" t="s">
        <v>3384</v>
      </c>
      <c r="C1646" t="s">
        <v>199</v>
      </c>
      <c r="D1646" t="s">
        <v>211</v>
      </c>
      <c r="E1646" s="2">
        <v>1476.23</v>
      </c>
      <c r="F1646" s="2">
        <v>1524.8300000000002</v>
      </c>
      <c r="G1646" s="2">
        <v>1540</v>
      </c>
      <c r="H1646" s="2">
        <v>1576.47</v>
      </c>
      <c r="I1646" s="2">
        <v>1546.0700000000002</v>
      </c>
      <c r="J1646" s="2">
        <v>1543.0400000000002</v>
      </c>
      <c r="K1646" s="2">
        <v>1582.5400000000002</v>
      </c>
      <c r="L1646" s="2">
        <v>10789.179999999993</v>
      </c>
      <c r="M1646" t="s">
        <v>4400</v>
      </c>
      <c r="N1646" t="s">
        <v>4400</v>
      </c>
    </row>
    <row r="1647" spans="1:14" x14ac:dyDescent="0.4">
      <c r="A1647" t="s">
        <v>3385</v>
      </c>
      <c r="B1647" t="s">
        <v>3386</v>
      </c>
      <c r="C1647" t="s">
        <v>64</v>
      </c>
      <c r="D1647" t="s">
        <v>2885</v>
      </c>
      <c r="E1647" s="2"/>
      <c r="F1647" s="2"/>
      <c r="G1647" s="2"/>
      <c r="H1647" s="2"/>
      <c r="I1647" s="2"/>
      <c r="J1647" s="2"/>
      <c r="K1647" s="2">
        <v>902.06999999999994</v>
      </c>
      <c r="L1647" s="2">
        <v>902.06999999999994</v>
      </c>
      <c r="M1647" t="s">
        <v>4404</v>
      </c>
      <c r="N1647" t="s">
        <v>4400</v>
      </c>
    </row>
    <row r="1648" spans="1:14" x14ac:dyDescent="0.4">
      <c r="A1648" t="s">
        <v>3387</v>
      </c>
      <c r="B1648" t="s">
        <v>3388</v>
      </c>
      <c r="C1648" t="s">
        <v>64</v>
      </c>
      <c r="D1648" t="s">
        <v>2728</v>
      </c>
      <c r="E1648" s="2">
        <v>975.01</v>
      </c>
      <c r="F1648" s="2"/>
      <c r="G1648" s="2"/>
      <c r="H1648" s="2"/>
      <c r="I1648" s="2"/>
      <c r="J1648" s="2"/>
      <c r="K1648" s="2"/>
      <c r="L1648" s="2">
        <v>975.01</v>
      </c>
      <c r="M1648" t="s">
        <v>4400</v>
      </c>
      <c r="N1648" t="s">
        <v>4407</v>
      </c>
    </row>
    <row r="1649" spans="1:14" x14ac:dyDescent="0.4">
      <c r="A1649" t="s">
        <v>3389</v>
      </c>
      <c r="B1649" t="s">
        <v>3390</v>
      </c>
      <c r="C1649" t="s">
        <v>113</v>
      </c>
      <c r="D1649" t="s">
        <v>117</v>
      </c>
      <c r="E1649" s="2"/>
      <c r="F1649" s="2"/>
      <c r="G1649" s="2"/>
      <c r="H1649" s="2"/>
      <c r="I1649" s="2"/>
      <c r="J1649" s="2">
        <v>959.83999999999992</v>
      </c>
      <c r="K1649" s="2">
        <v>823.14999999999986</v>
      </c>
      <c r="L1649" s="2">
        <v>1782.99</v>
      </c>
      <c r="M1649" t="s">
        <v>4405</v>
      </c>
      <c r="N1649" t="s">
        <v>4400</v>
      </c>
    </row>
    <row r="1650" spans="1:14" x14ac:dyDescent="0.4">
      <c r="A1650" t="s">
        <v>3391</v>
      </c>
      <c r="B1650" t="s">
        <v>2922</v>
      </c>
      <c r="C1650" t="s">
        <v>78</v>
      </c>
      <c r="D1650" t="s">
        <v>1240</v>
      </c>
      <c r="E1650" s="2">
        <v>2599.9999999999995</v>
      </c>
      <c r="F1650" s="2">
        <v>2417.7600000000002</v>
      </c>
      <c r="G1650" s="2">
        <v>3240.88</v>
      </c>
      <c r="H1650" s="2">
        <v>2259.8199999999997</v>
      </c>
      <c r="I1650" s="2">
        <v>2104.91</v>
      </c>
      <c r="J1650" s="2">
        <v>1995.56</v>
      </c>
      <c r="K1650" s="2">
        <v>2259.8199999999997</v>
      </c>
      <c r="L1650" s="2">
        <v>16878.749999999993</v>
      </c>
      <c r="M1650" t="s">
        <v>4400</v>
      </c>
      <c r="N1650" t="s">
        <v>4400</v>
      </c>
    </row>
    <row r="1651" spans="1:14" x14ac:dyDescent="0.4">
      <c r="A1651" t="s">
        <v>3392</v>
      </c>
      <c r="B1651" t="s">
        <v>2940</v>
      </c>
      <c r="C1651" t="s">
        <v>64</v>
      </c>
      <c r="D1651" t="s">
        <v>2941</v>
      </c>
      <c r="E1651" s="2">
        <v>907.20999999999981</v>
      </c>
      <c r="F1651" s="2">
        <v>745.3</v>
      </c>
      <c r="G1651" s="2">
        <v>737.58999999999992</v>
      </c>
      <c r="H1651" s="2">
        <v>781.28</v>
      </c>
      <c r="I1651" s="2"/>
      <c r="J1651" s="2"/>
      <c r="K1651" s="2">
        <v>727.31</v>
      </c>
      <c r="L1651" s="2">
        <v>3898.6899999999982</v>
      </c>
      <c r="M1651" t="s">
        <v>4400</v>
      </c>
      <c r="N1651" t="s">
        <v>4400</v>
      </c>
    </row>
    <row r="1652" spans="1:14" x14ac:dyDescent="0.4">
      <c r="A1652" t="s">
        <v>3393</v>
      </c>
      <c r="B1652" t="s">
        <v>495</v>
      </c>
      <c r="C1652" t="s">
        <v>496</v>
      </c>
      <c r="D1652" t="s">
        <v>497</v>
      </c>
      <c r="E1652" s="2">
        <v>3763.42</v>
      </c>
      <c r="F1652" s="2">
        <v>3523.47</v>
      </c>
      <c r="G1652" s="2">
        <v>3511.3199999999997</v>
      </c>
      <c r="H1652" s="2">
        <v>4635.170000000001</v>
      </c>
      <c r="I1652" s="2">
        <v>3669.2499999999995</v>
      </c>
      <c r="J1652" s="2">
        <v>3541.69</v>
      </c>
      <c r="K1652" s="2">
        <v>2013.84</v>
      </c>
      <c r="L1652" s="2">
        <v>24658.159999999985</v>
      </c>
      <c r="M1652" t="s">
        <v>4400</v>
      </c>
      <c r="N1652" t="s">
        <v>4400</v>
      </c>
    </row>
    <row r="1653" spans="1:14" x14ac:dyDescent="0.4">
      <c r="A1653" t="s">
        <v>3394</v>
      </c>
      <c r="B1653" t="s">
        <v>3395</v>
      </c>
      <c r="C1653" t="s">
        <v>178</v>
      </c>
      <c r="D1653" t="s">
        <v>179</v>
      </c>
      <c r="E1653" s="2"/>
      <c r="F1653" s="2"/>
      <c r="G1653" s="2">
        <v>1169.3899999999999</v>
      </c>
      <c r="H1653" s="2"/>
      <c r="I1653" s="2"/>
      <c r="J1653" s="2"/>
      <c r="K1653" s="2"/>
      <c r="L1653" s="2">
        <v>1169.3899999999999</v>
      </c>
      <c r="M1653" t="s">
        <v>4411</v>
      </c>
      <c r="N1653" t="s">
        <v>4403</v>
      </c>
    </row>
    <row r="1654" spans="1:14" x14ac:dyDescent="0.4">
      <c r="A1654" t="s">
        <v>3396</v>
      </c>
      <c r="B1654" t="s">
        <v>3397</v>
      </c>
      <c r="C1654" t="s">
        <v>64</v>
      </c>
      <c r="D1654" t="s">
        <v>1427</v>
      </c>
      <c r="E1654" s="2">
        <v>920.05999999999983</v>
      </c>
      <c r="F1654" s="2">
        <v>806.98</v>
      </c>
      <c r="G1654" s="2">
        <v>1022.86</v>
      </c>
      <c r="H1654" s="2">
        <v>994.58999999999992</v>
      </c>
      <c r="I1654" s="2">
        <v>1621.6699999999998</v>
      </c>
      <c r="J1654" s="2">
        <v>1598.5399999999997</v>
      </c>
      <c r="K1654" s="2"/>
      <c r="L1654" s="2">
        <v>6964.6999999999989</v>
      </c>
      <c r="M1654" t="s">
        <v>4400</v>
      </c>
      <c r="N1654" t="s">
        <v>4406</v>
      </c>
    </row>
    <row r="1655" spans="1:14" x14ac:dyDescent="0.4">
      <c r="A1655" t="s">
        <v>3398</v>
      </c>
      <c r="B1655" t="s">
        <v>3399</v>
      </c>
      <c r="C1655" t="s">
        <v>113</v>
      </c>
      <c r="D1655" t="s">
        <v>120</v>
      </c>
      <c r="E1655" s="2">
        <v>1494.4199999999998</v>
      </c>
      <c r="F1655" s="2">
        <v>1500.4999999999998</v>
      </c>
      <c r="G1655" s="2">
        <v>868.71999999999991</v>
      </c>
      <c r="H1655" s="2">
        <v>2691.18</v>
      </c>
      <c r="I1655" s="2">
        <v>2144.42</v>
      </c>
      <c r="J1655" s="2">
        <v>899.0799999999997</v>
      </c>
      <c r="K1655" s="2">
        <v>1135.9999999999998</v>
      </c>
      <c r="L1655" s="2">
        <v>10734.319999999989</v>
      </c>
      <c r="M1655" t="s">
        <v>4400</v>
      </c>
      <c r="N1655" t="s">
        <v>4400</v>
      </c>
    </row>
    <row r="1656" spans="1:14" x14ac:dyDescent="0.4">
      <c r="A1656" t="s">
        <v>3400</v>
      </c>
      <c r="B1656" t="s">
        <v>134</v>
      </c>
      <c r="C1656" t="s">
        <v>5</v>
      </c>
      <c r="D1656" t="s">
        <v>135</v>
      </c>
      <c r="E1656" s="2">
        <v>1567.3</v>
      </c>
      <c r="F1656" s="2">
        <v>2587.8499999999995</v>
      </c>
      <c r="G1656" s="2">
        <v>3085.9799999999991</v>
      </c>
      <c r="H1656" s="2">
        <v>4015.4500000000003</v>
      </c>
      <c r="I1656" s="2">
        <v>4334.3099999999995</v>
      </c>
      <c r="J1656" s="2">
        <v>3122.4700000000003</v>
      </c>
      <c r="K1656" s="2">
        <v>1497.46</v>
      </c>
      <c r="L1656" s="2">
        <v>20210.819999999989</v>
      </c>
      <c r="M1656" t="s">
        <v>4400</v>
      </c>
      <c r="N1656" t="s">
        <v>4400</v>
      </c>
    </row>
    <row r="1657" spans="1:14" x14ac:dyDescent="0.4">
      <c r="A1657" t="s">
        <v>3401</v>
      </c>
      <c r="B1657" t="s">
        <v>3402</v>
      </c>
      <c r="C1657" t="s">
        <v>64</v>
      </c>
      <c r="D1657" t="s">
        <v>693</v>
      </c>
      <c r="E1657" s="2">
        <v>1956.0899999999997</v>
      </c>
      <c r="F1657" s="2">
        <v>2481.579999999999</v>
      </c>
      <c r="G1657" s="2">
        <v>899.06999999999994</v>
      </c>
      <c r="H1657" s="2">
        <v>2475.4899999999989</v>
      </c>
      <c r="I1657" s="2">
        <v>3465.7299999999996</v>
      </c>
      <c r="J1657" s="2">
        <v>892.98999999999978</v>
      </c>
      <c r="K1657" s="2">
        <v>1230.1499999999999</v>
      </c>
      <c r="L1657" s="2">
        <v>13401.099999999984</v>
      </c>
      <c r="M1657" t="s">
        <v>4400</v>
      </c>
      <c r="N1657" t="s">
        <v>4400</v>
      </c>
    </row>
    <row r="1658" spans="1:14" x14ac:dyDescent="0.4">
      <c r="A1658" t="s">
        <v>3403</v>
      </c>
      <c r="B1658" t="s">
        <v>762</v>
      </c>
      <c r="C1658" t="s">
        <v>113</v>
      </c>
      <c r="D1658" t="s">
        <v>114</v>
      </c>
      <c r="E1658" s="2">
        <v>3454.0800000000004</v>
      </c>
      <c r="F1658" s="2">
        <v>3125.12</v>
      </c>
      <c r="G1658" s="2">
        <v>1634.5199999999998</v>
      </c>
      <c r="H1658" s="2">
        <v>1585.6899999999996</v>
      </c>
      <c r="I1658" s="2">
        <v>6183.4200000000055</v>
      </c>
      <c r="J1658" s="2">
        <v>3865.2799999999997</v>
      </c>
      <c r="K1658" s="2">
        <v>3240.7699999999982</v>
      </c>
      <c r="L1658" s="2">
        <v>23088.880000000045</v>
      </c>
      <c r="M1658" t="s">
        <v>4400</v>
      </c>
      <c r="N1658" t="s">
        <v>4400</v>
      </c>
    </row>
    <row r="1659" spans="1:14" x14ac:dyDescent="0.4">
      <c r="A1659" t="s">
        <v>3404</v>
      </c>
      <c r="B1659" t="s">
        <v>3405</v>
      </c>
      <c r="C1659" t="s">
        <v>64</v>
      </c>
      <c r="D1659" t="s">
        <v>1427</v>
      </c>
      <c r="E1659" s="2"/>
      <c r="F1659" s="2">
        <v>1497.4299999999998</v>
      </c>
      <c r="G1659" s="2">
        <v>3921.2199999999993</v>
      </c>
      <c r="H1659" s="2">
        <v>1758.6599999999999</v>
      </c>
      <c r="I1659" s="2"/>
      <c r="J1659" s="2"/>
      <c r="K1659" s="2">
        <v>774.5100000000001</v>
      </c>
      <c r="L1659" s="2">
        <v>7951.8199999999961</v>
      </c>
      <c r="M1659" t="s">
        <v>4412</v>
      </c>
      <c r="N1659" t="s">
        <v>4400</v>
      </c>
    </row>
    <row r="1660" spans="1:14" x14ac:dyDescent="0.4">
      <c r="A1660" t="s">
        <v>3406</v>
      </c>
      <c r="B1660" t="s">
        <v>877</v>
      </c>
      <c r="C1660" t="s">
        <v>258</v>
      </c>
      <c r="D1660" t="s">
        <v>259</v>
      </c>
      <c r="E1660" s="2">
        <v>5187.8999999999987</v>
      </c>
      <c r="F1660" s="2">
        <v>3313.7699999999995</v>
      </c>
      <c r="G1660" s="2">
        <v>3204.43</v>
      </c>
      <c r="H1660" s="2">
        <v>3924.3200000000006</v>
      </c>
      <c r="I1660" s="2">
        <v>3231.8199999999997</v>
      </c>
      <c r="J1660" s="2">
        <v>4668.49</v>
      </c>
      <c r="K1660" s="2">
        <v>1837.65</v>
      </c>
      <c r="L1660" s="2">
        <v>25368.379999999983</v>
      </c>
      <c r="M1660" t="s">
        <v>4400</v>
      </c>
      <c r="N1660" t="s">
        <v>4400</v>
      </c>
    </row>
    <row r="1661" spans="1:14" x14ac:dyDescent="0.4">
      <c r="A1661" t="s">
        <v>3407</v>
      </c>
      <c r="B1661" t="s">
        <v>3061</v>
      </c>
      <c r="C1661" t="s">
        <v>1</v>
      </c>
      <c r="D1661" t="s">
        <v>1030</v>
      </c>
      <c r="E1661" s="2">
        <v>5282.14</v>
      </c>
      <c r="F1661" s="2">
        <v>6345.0199999999995</v>
      </c>
      <c r="G1661" s="2">
        <v>6360.1399999999994</v>
      </c>
      <c r="H1661" s="2">
        <v>4042.78</v>
      </c>
      <c r="I1661" s="2">
        <v>3748.0899999999997</v>
      </c>
      <c r="J1661" s="2">
        <v>3447.3599999999988</v>
      </c>
      <c r="K1661" s="2">
        <v>938.55</v>
      </c>
      <c r="L1661" s="2">
        <v>30164.079999999973</v>
      </c>
      <c r="M1661" t="s">
        <v>4400</v>
      </c>
      <c r="N1661" t="s">
        <v>4400</v>
      </c>
    </row>
    <row r="1662" spans="1:14" x14ac:dyDescent="0.4">
      <c r="A1662" t="s">
        <v>3408</v>
      </c>
      <c r="B1662" t="s">
        <v>622</v>
      </c>
      <c r="C1662" t="s">
        <v>1</v>
      </c>
      <c r="D1662" t="s">
        <v>85</v>
      </c>
      <c r="E1662" s="2"/>
      <c r="F1662" s="2">
        <v>3969.9299999999989</v>
      </c>
      <c r="G1662" s="2">
        <v>4711.0299999999979</v>
      </c>
      <c r="H1662" s="2">
        <v>3584.139999999999</v>
      </c>
      <c r="I1662" s="2">
        <v>3805.9000000000005</v>
      </c>
      <c r="J1662" s="2">
        <v>4944.9499999999971</v>
      </c>
      <c r="K1662" s="2">
        <v>2029.0099999999998</v>
      </c>
      <c r="L1662" s="2">
        <v>23044.959999999988</v>
      </c>
      <c r="M1662" t="s">
        <v>4412</v>
      </c>
      <c r="N1662" t="s">
        <v>4400</v>
      </c>
    </row>
    <row r="1663" spans="1:14" x14ac:dyDescent="0.4">
      <c r="A1663" t="s">
        <v>3409</v>
      </c>
      <c r="B1663" t="s">
        <v>230</v>
      </c>
      <c r="C1663" t="s">
        <v>13</v>
      </c>
      <c r="D1663" t="s">
        <v>231</v>
      </c>
      <c r="E1663" s="2">
        <v>2749.8999999999996</v>
      </c>
      <c r="F1663" s="2"/>
      <c r="G1663" s="2"/>
      <c r="H1663" s="2"/>
      <c r="I1663" s="2"/>
      <c r="J1663" s="2">
        <v>3227.9199999999996</v>
      </c>
      <c r="K1663" s="2">
        <v>1577.9799999999998</v>
      </c>
      <c r="L1663" s="2">
        <v>7555.7999999999993</v>
      </c>
      <c r="M1663" t="s">
        <v>4400</v>
      </c>
      <c r="N1663" t="s">
        <v>4400</v>
      </c>
    </row>
    <row r="1664" spans="1:14" x14ac:dyDescent="0.4">
      <c r="A1664" t="s">
        <v>3410</v>
      </c>
      <c r="B1664" t="s">
        <v>2410</v>
      </c>
      <c r="C1664" t="s">
        <v>64</v>
      </c>
      <c r="D1664" t="s">
        <v>2971</v>
      </c>
      <c r="E1664" s="2">
        <v>1300.03</v>
      </c>
      <c r="F1664" s="2"/>
      <c r="G1664" s="2"/>
      <c r="H1664" s="2">
        <v>759.34999999999991</v>
      </c>
      <c r="I1664" s="2">
        <v>820.09999999999991</v>
      </c>
      <c r="J1664" s="2"/>
      <c r="K1664" s="2"/>
      <c r="L1664" s="2">
        <v>2879.4800000000005</v>
      </c>
      <c r="M1664" t="s">
        <v>4400</v>
      </c>
      <c r="N1664" t="s">
        <v>4401</v>
      </c>
    </row>
    <row r="1665" spans="1:14" x14ac:dyDescent="0.4">
      <c r="A1665" t="s">
        <v>3411</v>
      </c>
      <c r="B1665" t="s">
        <v>976</v>
      </c>
      <c r="C1665" t="s">
        <v>696</v>
      </c>
      <c r="D1665" t="s">
        <v>697</v>
      </c>
      <c r="E1665" s="2">
        <v>3207.3599999999992</v>
      </c>
      <c r="F1665" s="2">
        <v>3158.5299999999993</v>
      </c>
      <c r="G1665" s="2">
        <v>3798.4599999999987</v>
      </c>
      <c r="H1665" s="2">
        <v>3048.0199999999995</v>
      </c>
      <c r="I1665" s="2">
        <v>3711.0799999999986</v>
      </c>
      <c r="J1665" s="2">
        <v>2878.3999999999992</v>
      </c>
      <c r="K1665" s="2">
        <v>1467.47</v>
      </c>
      <c r="L1665" s="2">
        <v>21269.320000000043</v>
      </c>
      <c r="M1665" t="s">
        <v>4400</v>
      </c>
      <c r="N1665" t="s">
        <v>4400</v>
      </c>
    </row>
    <row r="1666" spans="1:14" x14ac:dyDescent="0.4">
      <c r="A1666" t="s">
        <v>3412</v>
      </c>
      <c r="B1666" t="s">
        <v>3413</v>
      </c>
      <c r="C1666" t="s">
        <v>5</v>
      </c>
      <c r="D1666" t="s">
        <v>6</v>
      </c>
      <c r="E1666" s="2">
        <v>1491.3599999999997</v>
      </c>
      <c r="F1666" s="2">
        <v>2205.17</v>
      </c>
      <c r="G1666" s="2">
        <v>2183.9199999999996</v>
      </c>
      <c r="H1666" s="2">
        <v>735.06</v>
      </c>
      <c r="I1666" s="2">
        <v>1457.9800000000002</v>
      </c>
      <c r="J1666" s="2">
        <v>1482.2799999999995</v>
      </c>
      <c r="K1666" s="2"/>
      <c r="L1666" s="2">
        <v>9555.7699999999841</v>
      </c>
      <c r="M1666" t="s">
        <v>4400</v>
      </c>
      <c r="N1666" t="s">
        <v>4406</v>
      </c>
    </row>
    <row r="1667" spans="1:14" x14ac:dyDescent="0.4">
      <c r="A1667" t="s">
        <v>3414</v>
      </c>
      <c r="B1667" t="s">
        <v>3415</v>
      </c>
      <c r="C1667" t="s">
        <v>1</v>
      </c>
      <c r="D1667" t="s">
        <v>88</v>
      </c>
      <c r="E1667" s="2"/>
      <c r="F1667" s="2"/>
      <c r="G1667" s="2">
        <v>944.6099999999999</v>
      </c>
      <c r="H1667" s="2"/>
      <c r="I1667" s="2"/>
      <c r="J1667" s="2"/>
      <c r="K1667" s="2"/>
      <c r="L1667" s="2">
        <v>944.6099999999999</v>
      </c>
      <c r="M1667" t="s">
        <v>4411</v>
      </c>
      <c r="N1667" t="s">
        <v>4403</v>
      </c>
    </row>
    <row r="1668" spans="1:14" x14ac:dyDescent="0.4">
      <c r="A1668" t="s">
        <v>3416</v>
      </c>
      <c r="B1668" t="s">
        <v>3417</v>
      </c>
      <c r="C1668" t="s">
        <v>64</v>
      </c>
      <c r="D1668" t="s">
        <v>2514</v>
      </c>
      <c r="E1668" s="2">
        <v>1480.32</v>
      </c>
      <c r="F1668" s="2">
        <v>2020.02</v>
      </c>
      <c r="G1668" s="2">
        <v>1112.81</v>
      </c>
      <c r="H1668" s="2"/>
      <c r="I1668" s="2"/>
      <c r="J1668" s="2">
        <v>832.68</v>
      </c>
      <c r="K1668" s="2">
        <v>768.43000000000006</v>
      </c>
      <c r="L1668" s="2">
        <v>6214.260000000002</v>
      </c>
      <c r="M1668" t="s">
        <v>4400</v>
      </c>
      <c r="N1668" t="s">
        <v>4400</v>
      </c>
    </row>
    <row r="1669" spans="1:14" x14ac:dyDescent="0.4">
      <c r="A1669" t="s">
        <v>3418</v>
      </c>
      <c r="B1669" t="s">
        <v>3419</v>
      </c>
      <c r="C1669" t="s">
        <v>291</v>
      </c>
      <c r="D1669" t="s">
        <v>745</v>
      </c>
      <c r="E1669" s="2">
        <v>3031.3400000000006</v>
      </c>
      <c r="F1669" s="2">
        <v>3016.1700000000005</v>
      </c>
      <c r="G1669" s="2">
        <v>1694.8799999999999</v>
      </c>
      <c r="H1669" s="2">
        <v>3538.57</v>
      </c>
      <c r="I1669" s="2">
        <v>3438.3400000000006</v>
      </c>
      <c r="J1669" s="2">
        <v>3113.35</v>
      </c>
      <c r="K1669" s="2">
        <v>1524.79</v>
      </c>
      <c r="L1669" s="2">
        <v>19357.439999999981</v>
      </c>
      <c r="M1669" t="s">
        <v>4400</v>
      </c>
      <c r="N1669" t="s">
        <v>4400</v>
      </c>
    </row>
    <row r="1670" spans="1:14" x14ac:dyDescent="0.4">
      <c r="A1670" t="s">
        <v>3420</v>
      </c>
      <c r="B1670" t="s">
        <v>3421</v>
      </c>
      <c r="C1670" t="s">
        <v>113</v>
      </c>
      <c r="D1670" t="s">
        <v>615</v>
      </c>
      <c r="E1670" s="2">
        <v>3801.0299999999993</v>
      </c>
      <c r="F1670" s="2">
        <v>750.43999999999994</v>
      </c>
      <c r="G1670" s="2">
        <v>1542</v>
      </c>
      <c r="H1670" s="2">
        <v>2307.8599999999997</v>
      </c>
      <c r="I1670" s="2">
        <v>3197.0799999999986</v>
      </c>
      <c r="J1670" s="2">
        <v>1526.5799999999997</v>
      </c>
      <c r="K1670" s="2"/>
      <c r="L1670" s="2">
        <v>13124.990000000009</v>
      </c>
      <c r="M1670" t="s">
        <v>4400</v>
      </c>
      <c r="N1670" t="s">
        <v>4406</v>
      </c>
    </row>
    <row r="1671" spans="1:14" x14ac:dyDescent="0.4">
      <c r="A1671" t="s">
        <v>3422</v>
      </c>
      <c r="B1671" t="s">
        <v>3423</v>
      </c>
      <c r="C1671" t="s">
        <v>220</v>
      </c>
      <c r="D1671" t="s">
        <v>2302</v>
      </c>
      <c r="E1671" s="2">
        <v>1837.6099999999997</v>
      </c>
      <c r="F1671" s="2">
        <v>3711.7100000000005</v>
      </c>
      <c r="G1671" s="2">
        <v>2873.369999999999</v>
      </c>
      <c r="H1671" s="2">
        <v>3529.51</v>
      </c>
      <c r="I1671" s="2">
        <v>3857.5499999999988</v>
      </c>
      <c r="J1671" s="2">
        <v>3690.4699999999993</v>
      </c>
      <c r="K1671" s="2"/>
      <c r="L1671" s="2">
        <v>19500.219999999998</v>
      </c>
      <c r="M1671" t="s">
        <v>4400</v>
      </c>
      <c r="N1671" t="s">
        <v>4406</v>
      </c>
    </row>
    <row r="1672" spans="1:14" x14ac:dyDescent="0.4">
      <c r="A1672" t="s">
        <v>3424</v>
      </c>
      <c r="B1672" t="s">
        <v>2690</v>
      </c>
      <c r="C1672" t="s">
        <v>78</v>
      </c>
      <c r="D1672" t="s">
        <v>1553</v>
      </c>
      <c r="E1672" s="2">
        <v>2928.0499999999984</v>
      </c>
      <c r="F1672" s="2">
        <v>2931.5000000000009</v>
      </c>
      <c r="G1672" s="2">
        <v>2212.7699999999995</v>
      </c>
      <c r="H1672" s="2">
        <v>2158.7999999999997</v>
      </c>
      <c r="I1672" s="2">
        <v>727.31000000000006</v>
      </c>
      <c r="J1672" s="2">
        <v>717.03</v>
      </c>
      <c r="K1672" s="2">
        <v>714.46</v>
      </c>
      <c r="L1672" s="2">
        <v>12389.920000000011</v>
      </c>
      <c r="M1672" t="s">
        <v>4400</v>
      </c>
      <c r="N1672" t="s">
        <v>4400</v>
      </c>
    </row>
    <row r="1673" spans="1:14" x14ac:dyDescent="0.4">
      <c r="A1673" t="s">
        <v>3425</v>
      </c>
      <c r="B1673" t="s">
        <v>3426</v>
      </c>
      <c r="C1673" t="s">
        <v>78</v>
      </c>
      <c r="D1673" t="s">
        <v>1553</v>
      </c>
      <c r="E1673" s="2"/>
      <c r="F1673" s="2">
        <v>747.21</v>
      </c>
      <c r="G1673" s="2"/>
      <c r="H1673" s="2"/>
      <c r="I1673" s="2"/>
      <c r="J1673" s="2"/>
      <c r="K1673" s="2"/>
      <c r="L1673" s="2">
        <v>747.21</v>
      </c>
      <c r="M1673" t="s">
        <v>4412</v>
      </c>
      <c r="N1673" t="s">
        <v>4410</v>
      </c>
    </row>
    <row r="1674" spans="1:14" x14ac:dyDescent="0.4">
      <c r="A1674" t="s">
        <v>3427</v>
      </c>
      <c r="B1674" t="s">
        <v>3428</v>
      </c>
      <c r="C1674" t="s">
        <v>64</v>
      </c>
      <c r="D1674" t="s">
        <v>2871</v>
      </c>
      <c r="E1674" s="2">
        <v>1467.0599999999997</v>
      </c>
      <c r="F1674" s="2">
        <v>2952.2400000000002</v>
      </c>
      <c r="G1674" s="2">
        <v>2238.4999999999995</v>
      </c>
      <c r="H1674" s="2">
        <v>1467.03</v>
      </c>
      <c r="I1674" s="2"/>
      <c r="J1674" s="2"/>
      <c r="K1674" s="2"/>
      <c r="L1674" s="2">
        <v>8124.8299999999954</v>
      </c>
      <c r="M1674" t="s">
        <v>4400</v>
      </c>
      <c r="N1674" t="s">
        <v>4402</v>
      </c>
    </row>
    <row r="1675" spans="1:14" x14ac:dyDescent="0.4">
      <c r="A1675" t="s">
        <v>3429</v>
      </c>
      <c r="B1675" t="s">
        <v>3430</v>
      </c>
      <c r="C1675" t="s">
        <v>78</v>
      </c>
      <c r="D1675" t="s">
        <v>1240</v>
      </c>
      <c r="E1675" s="2">
        <v>1044.8799999999999</v>
      </c>
      <c r="F1675" s="2">
        <v>2830.86</v>
      </c>
      <c r="G1675" s="2"/>
      <c r="H1675" s="2"/>
      <c r="I1675" s="2">
        <v>3444.4599999999996</v>
      </c>
      <c r="J1675" s="2"/>
      <c r="K1675" s="2"/>
      <c r="L1675" s="2">
        <v>7320.1999999999989</v>
      </c>
      <c r="M1675" t="s">
        <v>4400</v>
      </c>
      <c r="N1675" t="s">
        <v>4401</v>
      </c>
    </row>
    <row r="1676" spans="1:14" x14ac:dyDescent="0.4">
      <c r="A1676" t="s">
        <v>3431</v>
      </c>
      <c r="B1676" t="s">
        <v>3432</v>
      </c>
      <c r="C1676" t="s">
        <v>64</v>
      </c>
      <c r="D1676" t="s">
        <v>2971</v>
      </c>
      <c r="E1676" s="2">
        <v>1658.46</v>
      </c>
      <c r="F1676" s="2">
        <v>3253.11</v>
      </c>
      <c r="G1676" s="2">
        <v>1579.4800000000002</v>
      </c>
      <c r="H1676" s="2">
        <v>795.81999999999994</v>
      </c>
      <c r="I1676" s="2">
        <v>1685.8</v>
      </c>
      <c r="J1676" s="2">
        <v>1445.8400000000001</v>
      </c>
      <c r="K1676" s="2">
        <v>914.28</v>
      </c>
      <c r="L1676" s="2">
        <v>11332.789999999988</v>
      </c>
      <c r="M1676" t="s">
        <v>4400</v>
      </c>
      <c r="N1676" t="s">
        <v>4400</v>
      </c>
    </row>
    <row r="1677" spans="1:14" x14ac:dyDescent="0.4">
      <c r="A1677" t="s">
        <v>3433</v>
      </c>
      <c r="B1677" t="s">
        <v>3434</v>
      </c>
      <c r="C1677" t="s">
        <v>1</v>
      </c>
      <c r="D1677" t="s">
        <v>1030</v>
      </c>
      <c r="E1677" s="2">
        <v>1682.7600000000004</v>
      </c>
      <c r="F1677" s="2">
        <v>3553.8099999999986</v>
      </c>
      <c r="G1677" s="2">
        <v>3781.7000000000003</v>
      </c>
      <c r="H1677" s="2">
        <v>2247.75</v>
      </c>
      <c r="I1677" s="2">
        <v>2287.2199999999998</v>
      </c>
      <c r="J1677" s="2">
        <v>3860.5899999999997</v>
      </c>
      <c r="K1677" s="2">
        <v>1558.2400000000002</v>
      </c>
      <c r="L1677" s="2">
        <v>18972.069999999996</v>
      </c>
      <c r="M1677" t="s">
        <v>4400</v>
      </c>
      <c r="N1677" t="s">
        <v>4400</v>
      </c>
    </row>
    <row r="1678" spans="1:14" x14ac:dyDescent="0.4">
      <c r="A1678" t="s">
        <v>3435</v>
      </c>
      <c r="B1678" t="s">
        <v>2973</v>
      </c>
      <c r="C1678" t="s">
        <v>64</v>
      </c>
      <c r="D1678" t="s">
        <v>2728</v>
      </c>
      <c r="E1678" s="2">
        <v>1649.9399999999998</v>
      </c>
      <c r="F1678" s="2">
        <v>732.44999999999993</v>
      </c>
      <c r="G1678" s="2">
        <v>729.88</v>
      </c>
      <c r="H1678" s="2">
        <v>1655.0799999999997</v>
      </c>
      <c r="I1678" s="2">
        <v>1637.09</v>
      </c>
      <c r="J1678" s="2">
        <v>791.56</v>
      </c>
      <c r="K1678" s="2"/>
      <c r="L1678" s="2">
        <v>7196.0000000000027</v>
      </c>
      <c r="M1678" t="s">
        <v>4400</v>
      </c>
      <c r="N1678" t="s">
        <v>4406</v>
      </c>
    </row>
    <row r="1679" spans="1:14" x14ac:dyDescent="0.4">
      <c r="A1679" t="s">
        <v>3436</v>
      </c>
      <c r="B1679" t="s">
        <v>3437</v>
      </c>
      <c r="C1679" t="s">
        <v>199</v>
      </c>
      <c r="D1679" t="s">
        <v>203</v>
      </c>
      <c r="E1679" s="2">
        <v>3994.1600000000003</v>
      </c>
      <c r="F1679" s="2">
        <v>4261.45</v>
      </c>
      <c r="G1679" s="2">
        <v>5813.5299999999988</v>
      </c>
      <c r="H1679" s="2">
        <v>5613.0599999999995</v>
      </c>
      <c r="I1679" s="2">
        <v>3963.7800000000025</v>
      </c>
      <c r="J1679" s="2">
        <v>6132.4399999999987</v>
      </c>
      <c r="K1679" s="2">
        <v>2569.6100000000006</v>
      </c>
      <c r="L1679" s="2">
        <v>32348.029999999992</v>
      </c>
      <c r="M1679" t="s">
        <v>4400</v>
      </c>
      <c r="N1679" t="s">
        <v>4400</v>
      </c>
    </row>
    <row r="1680" spans="1:14" x14ac:dyDescent="0.4">
      <c r="A1680" t="s">
        <v>3438</v>
      </c>
      <c r="B1680" t="s">
        <v>3221</v>
      </c>
      <c r="C1680" t="s">
        <v>186</v>
      </c>
      <c r="D1680" t="s">
        <v>190</v>
      </c>
      <c r="E1680" s="2"/>
      <c r="F1680" s="2"/>
      <c r="G1680" s="2"/>
      <c r="H1680" s="2"/>
      <c r="I1680" s="2">
        <v>1561.2099999999998</v>
      </c>
      <c r="J1680" s="2">
        <v>789.71999999999991</v>
      </c>
      <c r="K1680" s="2">
        <v>744.19</v>
      </c>
      <c r="L1680" s="2">
        <v>3095.1199999999994</v>
      </c>
      <c r="M1680" t="s">
        <v>4408</v>
      </c>
      <c r="N1680" t="s">
        <v>4400</v>
      </c>
    </row>
    <row r="1681" spans="1:14" x14ac:dyDescent="0.4">
      <c r="A1681" t="s">
        <v>3439</v>
      </c>
      <c r="B1681" t="s">
        <v>3440</v>
      </c>
      <c r="C1681" t="s">
        <v>64</v>
      </c>
      <c r="D1681" t="s">
        <v>2871</v>
      </c>
      <c r="E1681" s="2"/>
      <c r="F1681" s="2"/>
      <c r="G1681" s="2">
        <v>3210.5899999999992</v>
      </c>
      <c r="H1681" s="2"/>
      <c r="I1681" s="2"/>
      <c r="J1681" s="2"/>
      <c r="K1681" s="2"/>
      <c r="L1681" s="2">
        <v>3210.5899999999992</v>
      </c>
      <c r="M1681" t="s">
        <v>4411</v>
      </c>
      <c r="N1681" t="s">
        <v>4403</v>
      </c>
    </row>
    <row r="1682" spans="1:14" x14ac:dyDescent="0.4">
      <c r="A1682" t="s">
        <v>3441</v>
      </c>
      <c r="B1682" t="s">
        <v>2222</v>
      </c>
      <c r="C1682" t="s">
        <v>35</v>
      </c>
      <c r="D1682" t="s">
        <v>36</v>
      </c>
      <c r="E1682" s="2"/>
      <c r="F1682" s="2">
        <v>826.18000000000006</v>
      </c>
      <c r="G1682" s="2">
        <v>3113.35</v>
      </c>
      <c r="H1682" s="2">
        <v>1485.3000000000002</v>
      </c>
      <c r="I1682" s="2">
        <v>3614.49</v>
      </c>
      <c r="J1682" s="2">
        <v>807.96</v>
      </c>
      <c r="K1682" s="2"/>
      <c r="L1682" s="2">
        <v>9847.2799999999988</v>
      </c>
      <c r="M1682" t="s">
        <v>4412</v>
      </c>
      <c r="N1682" t="s">
        <v>4406</v>
      </c>
    </row>
    <row r="1683" spans="1:14" x14ac:dyDescent="0.4">
      <c r="A1683" t="s">
        <v>3442</v>
      </c>
      <c r="B1683" t="s">
        <v>3443</v>
      </c>
      <c r="C1683" t="s">
        <v>64</v>
      </c>
      <c r="D1683" t="s">
        <v>1033</v>
      </c>
      <c r="E1683" s="2"/>
      <c r="F1683" s="2">
        <v>1099.54</v>
      </c>
      <c r="G1683" s="2"/>
      <c r="H1683" s="2"/>
      <c r="I1683" s="2"/>
      <c r="J1683" s="2"/>
      <c r="K1683" s="2"/>
      <c r="L1683" s="2">
        <v>1099.54</v>
      </c>
      <c r="M1683" t="s">
        <v>4412</v>
      </c>
      <c r="N1683" t="s">
        <v>4410</v>
      </c>
    </row>
    <row r="1684" spans="1:14" x14ac:dyDescent="0.4">
      <c r="A1684" t="s">
        <v>3444</v>
      </c>
      <c r="B1684" t="s">
        <v>3445</v>
      </c>
      <c r="C1684" t="s">
        <v>64</v>
      </c>
      <c r="D1684" t="s">
        <v>985</v>
      </c>
      <c r="E1684" s="2">
        <v>759.36</v>
      </c>
      <c r="F1684" s="2">
        <v>920.32999999999981</v>
      </c>
      <c r="G1684" s="2"/>
      <c r="H1684" s="2"/>
      <c r="I1684" s="2"/>
      <c r="J1684" s="2"/>
      <c r="K1684" s="2"/>
      <c r="L1684" s="2">
        <v>1679.6899999999998</v>
      </c>
      <c r="M1684" t="s">
        <v>4400</v>
      </c>
      <c r="N1684" t="s">
        <v>4410</v>
      </c>
    </row>
    <row r="1685" spans="1:14" x14ac:dyDescent="0.4">
      <c r="A1685" t="s">
        <v>3446</v>
      </c>
      <c r="B1685" t="s">
        <v>3447</v>
      </c>
      <c r="C1685" t="s">
        <v>163</v>
      </c>
      <c r="D1685" t="s">
        <v>164</v>
      </c>
      <c r="E1685" s="2"/>
      <c r="F1685" s="2">
        <v>801.90000000000009</v>
      </c>
      <c r="G1685" s="2"/>
      <c r="H1685" s="2"/>
      <c r="I1685" s="2"/>
      <c r="J1685" s="2"/>
      <c r="K1685" s="2"/>
      <c r="L1685" s="2">
        <v>801.90000000000009</v>
      </c>
      <c r="M1685" t="s">
        <v>4412</v>
      </c>
      <c r="N1685" t="s">
        <v>4410</v>
      </c>
    </row>
    <row r="1686" spans="1:14" x14ac:dyDescent="0.4">
      <c r="A1686" t="s">
        <v>3448</v>
      </c>
      <c r="B1686" t="s">
        <v>3449</v>
      </c>
      <c r="C1686" t="s">
        <v>35</v>
      </c>
      <c r="D1686" t="s">
        <v>36</v>
      </c>
      <c r="E1686" s="2"/>
      <c r="F1686" s="2"/>
      <c r="G1686" s="2"/>
      <c r="H1686" s="2"/>
      <c r="I1686" s="2">
        <v>1010.01</v>
      </c>
      <c r="J1686" s="2"/>
      <c r="K1686" s="2"/>
      <c r="L1686" s="2">
        <v>1010.01</v>
      </c>
      <c r="M1686" t="s">
        <v>4408</v>
      </c>
      <c r="N1686" t="s">
        <v>4401</v>
      </c>
    </row>
    <row r="1687" spans="1:14" x14ac:dyDescent="0.4">
      <c r="A1687" t="s">
        <v>3450</v>
      </c>
      <c r="B1687" t="s">
        <v>1312</v>
      </c>
      <c r="C1687" t="s">
        <v>291</v>
      </c>
      <c r="D1687" t="s">
        <v>292</v>
      </c>
      <c r="E1687" s="2">
        <v>4532.0000000000009</v>
      </c>
      <c r="F1687" s="2">
        <v>3632.8999999999996</v>
      </c>
      <c r="G1687" s="2">
        <v>1874.1699999999996</v>
      </c>
      <c r="H1687" s="2">
        <v>5379.45</v>
      </c>
      <c r="I1687" s="2">
        <v>5962.5600000000022</v>
      </c>
      <c r="J1687" s="2">
        <v>3985.1599999999994</v>
      </c>
      <c r="K1687" s="2">
        <v>2347.9599999999996</v>
      </c>
      <c r="L1687" s="2">
        <v>27714.199999999957</v>
      </c>
      <c r="M1687" t="s">
        <v>4400</v>
      </c>
      <c r="N1687" t="s">
        <v>4400</v>
      </c>
    </row>
    <row r="1688" spans="1:14" x14ac:dyDescent="0.4">
      <c r="A1688" t="s">
        <v>3451</v>
      </c>
      <c r="B1688" t="s">
        <v>3452</v>
      </c>
      <c r="C1688" t="s">
        <v>35</v>
      </c>
      <c r="D1688" t="s">
        <v>36</v>
      </c>
      <c r="E1688" s="2">
        <v>1634.5199999999995</v>
      </c>
      <c r="F1688" s="2"/>
      <c r="G1688" s="2"/>
      <c r="H1688" s="2"/>
      <c r="I1688" s="2"/>
      <c r="J1688" s="2"/>
      <c r="K1688" s="2"/>
      <c r="L1688" s="2">
        <v>1634.5199999999995</v>
      </c>
      <c r="M1688" t="s">
        <v>4400</v>
      </c>
      <c r="N1688" t="s">
        <v>4407</v>
      </c>
    </row>
    <row r="1689" spans="1:14" x14ac:dyDescent="0.4">
      <c r="A1689" t="s">
        <v>3453</v>
      </c>
      <c r="B1689" t="s">
        <v>2956</v>
      </c>
      <c r="C1689" t="s">
        <v>91</v>
      </c>
      <c r="D1689" t="s">
        <v>1885</v>
      </c>
      <c r="E1689" s="2">
        <v>1770.8600000000001</v>
      </c>
      <c r="F1689" s="2">
        <v>1837.6699999999994</v>
      </c>
      <c r="G1689" s="2">
        <v>1843.7199999999996</v>
      </c>
      <c r="H1689" s="2">
        <v>1904.4900000000002</v>
      </c>
      <c r="I1689" s="2">
        <v>2189.98</v>
      </c>
      <c r="J1689" s="2">
        <v>1187.6499999999999</v>
      </c>
      <c r="K1689" s="2">
        <v>899.09999999999991</v>
      </c>
      <c r="L1689" s="2">
        <v>11633.469999999998</v>
      </c>
      <c r="M1689" t="s">
        <v>4400</v>
      </c>
      <c r="N1689" t="s">
        <v>4400</v>
      </c>
    </row>
    <row r="1690" spans="1:14" x14ac:dyDescent="0.4">
      <c r="A1690" t="s">
        <v>3454</v>
      </c>
      <c r="B1690" t="s">
        <v>3455</v>
      </c>
      <c r="C1690" t="s">
        <v>220</v>
      </c>
      <c r="D1690" t="s">
        <v>3456</v>
      </c>
      <c r="E1690" s="2">
        <v>1914.6499999999996</v>
      </c>
      <c r="F1690" s="2">
        <v>3089.139999999999</v>
      </c>
      <c r="G1690" s="2">
        <v>3168.8099999999995</v>
      </c>
      <c r="H1690" s="2">
        <v>1973.7599999999998</v>
      </c>
      <c r="I1690" s="2">
        <v>1395.51</v>
      </c>
      <c r="J1690" s="2">
        <v>4847.0200000000004</v>
      </c>
      <c r="K1690" s="2">
        <v>956.04</v>
      </c>
      <c r="L1690" s="2">
        <v>17344.930000000011</v>
      </c>
      <c r="M1690" t="s">
        <v>4400</v>
      </c>
      <c r="N1690" t="s">
        <v>4400</v>
      </c>
    </row>
    <row r="1691" spans="1:14" x14ac:dyDescent="0.4">
      <c r="A1691" t="s">
        <v>3457</v>
      </c>
      <c r="B1691" t="s">
        <v>3203</v>
      </c>
      <c r="C1691" t="s">
        <v>64</v>
      </c>
      <c r="D1691" t="s">
        <v>808</v>
      </c>
      <c r="E1691" s="2">
        <v>2326.5999999999995</v>
      </c>
      <c r="F1691" s="2">
        <v>3079.8699999999994</v>
      </c>
      <c r="G1691" s="2">
        <v>2678.93</v>
      </c>
      <c r="H1691" s="2">
        <v>2223.31</v>
      </c>
      <c r="I1691" s="2">
        <v>2356.9499999999998</v>
      </c>
      <c r="J1691" s="2">
        <v>4054.7999999999988</v>
      </c>
      <c r="K1691" s="2">
        <v>1949.94</v>
      </c>
      <c r="L1691" s="2">
        <v>18670.399999999987</v>
      </c>
      <c r="M1691" t="s">
        <v>4400</v>
      </c>
      <c r="N1691" t="s">
        <v>4400</v>
      </c>
    </row>
    <row r="1692" spans="1:14" x14ac:dyDescent="0.4">
      <c r="A1692" t="s">
        <v>3458</v>
      </c>
      <c r="B1692" t="s">
        <v>3459</v>
      </c>
      <c r="C1692" t="s">
        <v>78</v>
      </c>
      <c r="D1692" t="s">
        <v>768</v>
      </c>
      <c r="E1692" s="2">
        <v>3162</v>
      </c>
      <c r="F1692" s="2">
        <v>2360.1</v>
      </c>
      <c r="G1692" s="2"/>
      <c r="H1692" s="2"/>
      <c r="I1692" s="2"/>
      <c r="J1692" s="2">
        <v>920.34999999999991</v>
      </c>
      <c r="K1692" s="2">
        <v>1840.6999999999998</v>
      </c>
      <c r="L1692" s="2">
        <v>8283.1500000000033</v>
      </c>
      <c r="M1692" t="s">
        <v>4400</v>
      </c>
      <c r="N1692" t="s">
        <v>4400</v>
      </c>
    </row>
    <row r="1693" spans="1:14" x14ac:dyDescent="0.4">
      <c r="A1693" t="s">
        <v>3460</v>
      </c>
      <c r="B1693" t="s">
        <v>1150</v>
      </c>
      <c r="C1693" t="s">
        <v>696</v>
      </c>
      <c r="D1693" t="s">
        <v>697</v>
      </c>
      <c r="E1693" s="2">
        <v>3180.19</v>
      </c>
      <c r="F1693" s="2">
        <v>2433.0099999999998</v>
      </c>
      <c r="G1693" s="2">
        <v>4495.3900000000003</v>
      </c>
      <c r="H1693" s="2">
        <v>1713.12</v>
      </c>
      <c r="I1693" s="2">
        <v>4301.0200000000004</v>
      </c>
      <c r="J1693" s="2">
        <v>2284.1400000000003</v>
      </c>
      <c r="K1693" s="2"/>
      <c r="L1693" s="2">
        <v>18406.869999999988</v>
      </c>
      <c r="M1693" t="s">
        <v>4400</v>
      </c>
      <c r="N1693" t="s">
        <v>4406</v>
      </c>
    </row>
    <row r="1694" spans="1:14" x14ac:dyDescent="0.4">
      <c r="A1694" t="s">
        <v>3461</v>
      </c>
      <c r="B1694" t="s">
        <v>3462</v>
      </c>
      <c r="C1694" t="s">
        <v>163</v>
      </c>
      <c r="D1694" t="s">
        <v>2811</v>
      </c>
      <c r="E1694" s="2"/>
      <c r="F1694" s="2"/>
      <c r="G1694" s="2"/>
      <c r="H1694" s="2"/>
      <c r="I1694" s="2"/>
      <c r="J1694" s="2">
        <v>807.93999999999994</v>
      </c>
      <c r="K1694" s="2"/>
      <c r="L1694" s="2">
        <v>807.93999999999994</v>
      </c>
      <c r="M1694" t="s">
        <v>4405</v>
      </c>
      <c r="N1694" t="s">
        <v>4406</v>
      </c>
    </row>
    <row r="1695" spans="1:14" x14ac:dyDescent="0.4">
      <c r="A1695" t="s">
        <v>3463</v>
      </c>
      <c r="B1695" t="s">
        <v>3464</v>
      </c>
      <c r="C1695" t="s">
        <v>91</v>
      </c>
      <c r="D1695" t="s">
        <v>555</v>
      </c>
      <c r="E1695" s="2">
        <v>1145.1399999999999</v>
      </c>
      <c r="F1695" s="2"/>
      <c r="G1695" s="2"/>
      <c r="H1695" s="2"/>
      <c r="I1695" s="2"/>
      <c r="J1695" s="2"/>
      <c r="K1695" s="2"/>
      <c r="L1695" s="2">
        <v>1145.1399999999999</v>
      </c>
      <c r="M1695" t="s">
        <v>4400</v>
      </c>
      <c r="N1695" t="s">
        <v>4407</v>
      </c>
    </row>
    <row r="1696" spans="1:14" x14ac:dyDescent="0.4">
      <c r="A1696" t="s">
        <v>3465</v>
      </c>
      <c r="B1696" t="s">
        <v>3466</v>
      </c>
      <c r="C1696" t="s">
        <v>64</v>
      </c>
      <c r="D1696" t="s">
        <v>1143</v>
      </c>
      <c r="E1696" s="2">
        <v>4410.2399999999989</v>
      </c>
      <c r="F1696" s="2">
        <v>5582.5999999999985</v>
      </c>
      <c r="G1696" s="2">
        <v>4170.2599999999993</v>
      </c>
      <c r="H1696" s="2">
        <v>3723.8700000000003</v>
      </c>
      <c r="I1696" s="2">
        <v>4914.5200000000004</v>
      </c>
      <c r="J1696" s="2">
        <v>5524.9699999999984</v>
      </c>
      <c r="K1696" s="2">
        <v>1138.98</v>
      </c>
      <c r="L1696" s="2">
        <v>29465.440000000006</v>
      </c>
      <c r="M1696" t="s">
        <v>4400</v>
      </c>
      <c r="N1696" t="s">
        <v>4400</v>
      </c>
    </row>
    <row r="1697" spans="1:14" x14ac:dyDescent="0.4">
      <c r="A1697" t="s">
        <v>3467</v>
      </c>
      <c r="B1697" t="s">
        <v>3468</v>
      </c>
      <c r="C1697" t="s">
        <v>64</v>
      </c>
      <c r="D1697" t="s">
        <v>2126</v>
      </c>
      <c r="E1697" s="2">
        <v>944.66</v>
      </c>
      <c r="F1697" s="2">
        <v>1934.8799999999999</v>
      </c>
      <c r="G1697" s="2">
        <v>2010.8099999999997</v>
      </c>
      <c r="H1697" s="2">
        <v>844.42</v>
      </c>
      <c r="I1697" s="2">
        <v>1044.8699999999999</v>
      </c>
      <c r="J1697" s="2">
        <v>2754.9799999999996</v>
      </c>
      <c r="K1697" s="2">
        <v>959.84</v>
      </c>
      <c r="L1697" s="2">
        <v>10494.459999999994</v>
      </c>
      <c r="M1697" t="s">
        <v>4400</v>
      </c>
      <c r="N1697" t="s">
        <v>4400</v>
      </c>
    </row>
    <row r="1698" spans="1:14" x14ac:dyDescent="0.4">
      <c r="A1698" t="s">
        <v>3469</v>
      </c>
      <c r="B1698" t="s">
        <v>3470</v>
      </c>
      <c r="C1698" t="s">
        <v>447</v>
      </c>
      <c r="D1698" t="s">
        <v>784</v>
      </c>
      <c r="E1698" s="2">
        <v>2767.13</v>
      </c>
      <c r="F1698" s="2">
        <v>2773.2100000000005</v>
      </c>
      <c r="G1698" s="2">
        <v>3641.8599999999997</v>
      </c>
      <c r="H1698" s="2">
        <v>3714.73</v>
      </c>
      <c r="I1698" s="2">
        <v>2921.96</v>
      </c>
      <c r="J1698" s="2">
        <v>3086.0399999999995</v>
      </c>
      <c r="K1698" s="2">
        <v>893.01999999999987</v>
      </c>
      <c r="L1698" s="2">
        <v>19797.949999999986</v>
      </c>
      <c r="M1698" t="s">
        <v>4400</v>
      </c>
      <c r="N1698" t="s">
        <v>4400</v>
      </c>
    </row>
    <row r="1699" spans="1:14" x14ac:dyDescent="0.4">
      <c r="A1699" t="s">
        <v>3471</v>
      </c>
      <c r="B1699" t="s">
        <v>108</v>
      </c>
      <c r="C1699" t="s">
        <v>109</v>
      </c>
      <c r="D1699" t="s">
        <v>1374</v>
      </c>
      <c r="E1699" s="2">
        <v>2912.89</v>
      </c>
      <c r="F1699" s="2"/>
      <c r="G1699" s="2"/>
      <c r="H1699" s="2"/>
      <c r="I1699" s="2"/>
      <c r="J1699" s="2"/>
      <c r="K1699" s="2"/>
      <c r="L1699" s="2">
        <v>2912.89</v>
      </c>
      <c r="M1699" t="s">
        <v>4400</v>
      </c>
      <c r="N1699" t="s">
        <v>4407</v>
      </c>
    </row>
    <row r="1700" spans="1:14" x14ac:dyDescent="0.4">
      <c r="A1700" t="s">
        <v>3472</v>
      </c>
      <c r="B1700" t="s">
        <v>3473</v>
      </c>
      <c r="C1700" t="s">
        <v>113</v>
      </c>
      <c r="D1700" t="s">
        <v>114</v>
      </c>
      <c r="E1700" s="2">
        <v>4501.3899999999985</v>
      </c>
      <c r="F1700" s="2">
        <v>3256.0999999999985</v>
      </c>
      <c r="G1700" s="2">
        <v>3104.21</v>
      </c>
      <c r="H1700" s="2">
        <v>3037.389999999999</v>
      </c>
      <c r="I1700" s="2">
        <v>3599.33</v>
      </c>
      <c r="J1700" s="2">
        <v>2906.7999999999997</v>
      </c>
      <c r="K1700" s="2">
        <v>747.21</v>
      </c>
      <c r="L1700" s="2">
        <v>21152.429999999997</v>
      </c>
      <c r="M1700" t="s">
        <v>4400</v>
      </c>
      <c r="N1700" t="s">
        <v>4400</v>
      </c>
    </row>
    <row r="1701" spans="1:14" x14ac:dyDescent="0.4">
      <c r="A1701" t="s">
        <v>3474</v>
      </c>
      <c r="B1701" t="s">
        <v>3315</v>
      </c>
      <c r="C1701" t="s">
        <v>64</v>
      </c>
      <c r="D1701" t="s">
        <v>2720</v>
      </c>
      <c r="E1701" s="2"/>
      <c r="F1701" s="2"/>
      <c r="G1701" s="2"/>
      <c r="H1701" s="2">
        <v>925.19999999999982</v>
      </c>
      <c r="I1701" s="2">
        <v>791.56000000000006</v>
      </c>
      <c r="J1701" s="2"/>
      <c r="K1701" s="2"/>
      <c r="L1701" s="2">
        <v>1716.7599999999998</v>
      </c>
      <c r="M1701" t="s">
        <v>4409</v>
      </c>
      <c r="N1701" t="s">
        <v>4401</v>
      </c>
    </row>
    <row r="1702" spans="1:14" x14ac:dyDescent="0.4">
      <c r="A1702" t="s">
        <v>3475</v>
      </c>
      <c r="B1702" t="s">
        <v>3476</v>
      </c>
      <c r="C1702" t="s">
        <v>447</v>
      </c>
      <c r="D1702" t="s">
        <v>1016</v>
      </c>
      <c r="E1702" s="2">
        <v>4534.829999999999</v>
      </c>
      <c r="F1702" s="2">
        <v>5947.1999999999971</v>
      </c>
      <c r="G1702" s="2">
        <v>8006.5799999999963</v>
      </c>
      <c r="H1702" s="2">
        <v>5786.2599999999984</v>
      </c>
      <c r="I1702" s="2">
        <v>5856.12</v>
      </c>
      <c r="J1702" s="2">
        <v>7517.59</v>
      </c>
      <c r="K1702" s="2">
        <v>3250.0199999999995</v>
      </c>
      <c r="L1702" s="2">
        <v>40898.60000000002</v>
      </c>
      <c r="M1702" t="s">
        <v>4400</v>
      </c>
      <c r="N1702" t="s">
        <v>4400</v>
      </c>
    </row>
    <row r="1703" spans="1:14" x14ac:dyDescent="0.4">
      <c r="A1703" t="s">
        <v>3477</v>
      </c>
      <c r="B1703" t="s">
        <v>3478</v>
      </c>
      <c r="C1703" t="s">
        <v>64</v>
      </c>
      <c r="D1703" t="s">
        <v>2223</v>
      </c>
      <c r="E1703" s="2"/>
      <c r="F1703" s="2"/>
      <c r="G1703" s="2"/>
      <c r="H1703" s="2"/>
      <c r="I1703" s="2">
        <v>886.94000000000017</v>
      </c>
      <c r="J1703" s="2">
        <v>2688.1099999999997</v>
      </c>
      <c r="K1703" s="2">
        <v>1749.54</v>
      </c>
      <c r="L1703" s="2">
        <v>5324.5899999999992</v>
      </c>
      <c r="M1703" t="s">
        <v>4408</v>
      </c>
      <c r="N1703" t="s">
        <v>4400</v>
      </c>
    </row>
    <row r="1704" spans="1:14" x14ac:dyDescent="0.4">
      <c r="A1704" t="s">
        <v>3479</v>
      </c>
      <c r="B1704" t="s">
        <v>3480</v>
      </c>
      <c r="C1704" t="s">
        <v>186</v>
      </c>
      <c r="D1704" t="s">
        <v>956</v>
      </c>
      <c r="E1704" s="2">
        <v>4623.0300000000007</v>
      </c>
      <c r="F1704" s="2">
        <v>3881.8899999999994</v>
      </c>
      <c r="G1704" s="2">
        <v>5895.76</v>
      </c>
      <c r="H1704" s="2">
        <v>4246.38</v>
      </c>
      <c r="I1704" s="2">
        <v>3681.4</v>
      </c>
      <c r="J1704" s="2">
        <v>4173.47</v>
      </c>
      <c r="K1704" s="2">
        <v>1634.15</v>
      </c>
      <c r="L1704" s="2">
        <v>28136.079999999994</v>
      </c>
      <c r="M1704" t="s">
        <v>4400</v>
      </c>
      <c r="N1704" t="s">
        <v>4400</v>
      </c>
    </row>
    <row r="1705" spans="1:14" x14ac:dyDescent="0.4">
      <c r="A1705" t="s">
        <v>3481</v>
      </c>
      <c r="B1705" t="s">
        <v>3482</v>
      </c>
      <c r="C1705" t="s">
        <v>163</v>
      </c>
      <c r="D1705" t="s">
        <v>164</v>
      </c>
      <c r="E1705" s="2"/>
      <c r="F1705" s="2"/>
      <c r="G1705" s="2">
        <v>1700.9799999999996</v>
      </c>
      <c r="H1705" s="2"/>
      <c r="I1705" s="2"/>
      <c r="J1705" s="2">
        <v>829.20999999999992</v>
      </c>
      <c r="K1705" s="2"/>
      <c r="L1705" s="2">
        <v>2530.1899999999991</v>
      </c>
      <c r="M1705" t="s">
        <v>4411</v>
      </c>
      <c r="N1705" t="s">
        <v>4406</v>
      </c>
    </row>
    <row r="1706" spans="1:14" x14ac:dyDescent="0.4">
      <c r="A1706" t="s">
        <v>3483</v>
      </c>
      <c r="B1706" t="s">
        <v>3484</v>
      </c>
      <c r="C1706" t="s">
        <v>78</v>
      </c>
      <c r="D1706" t="s">
        <v>1553</v>
      </c>
      <c r="E1706" s="2">
        <v>5181.8999999999996</v>
      </c>
      <c r="F1706" s="2">
        <v>4027.63</v>
      </c>
      <c r="G1706" s="2">
        <v>3745.170000000001</v>
      </c>
      <c r="H1706" s="2">
        <v>4170.34</v>
      </c>
      <c r="I1706" s="2">
        <v>5312.41</v>
      </c>
      <c r="J1706" s="2">
        <v>4829.47</v>
      </c>
      <c r="K1706" s="2">
        <v>1828.5099999999998</v>
      </c>
      <c r="L1706" s="2">
        <v>29095.429999999957</v>
      </c>
      <c r="M1706" t="s">
        <v>4400</v>
      </c>
      <c r="N1706" t="s">
        <v>4400</v>
      </c>
    </row>
    <row r="1707" spans="1:14" x14ac:dyDescent="0.4">
      <c r="A1707" t="s">
        <v>3485</v>
      </c>
      <c r="B1707" t="s">
        <v>3061</v>
      </c>
      <c r="C1707" t="s">
        <v>1</v>
      </c>
      <c r="D1707" t="s">
        <v>88</v>
      </c>
      <c r="E1707" s="2">
        <v>5248.7</v>
      </c>
      <c r="F1707" s="2">
        <v>3246.9899999999993</v>
      </c>
      <c r="G1707" s="2">
        <v>3751.2</v>
      </c>
      <c r="H1707" s="2">
        <v>3960.8199999999997</v>
      </c>
      <c r="I1707" s="2">
        <v>5391.3499999999976</v>
      </c>
      <c r="J1707" s="2">
        <v>4264.5199999999986</v>
      </c>
      <c r="K1707" s="2">
        <v>2278.06</v>
      </c>
      <c r="L1707" s="2">
        <v>28141.639999999985</v>
      </c>
      <c r="M1707" t="s">
        <v>4400</v>
      </c>
      <c r="N1707" t="s">
        <v>4400</v>
      </c>
    </row>
    <row r="1708" spans="1:14" x14ac:dyDescent="0.4">
      <c r="A1708" t="s">
        <v>3486</v>
      </c>
      <c r="B1708" t="s">
        <v>3346</v>
      </c>
      <c r="C1708" t="s">
        <v>23</v>
      </c>
      <c r="D1708" t="s">
        <v>3347</v>
      </c>
      <c r="E1708" s="2">
        <v>1230.1500000000001</v>
      </c>
      <c r="F1708" s="2"/>
      <c r="G1708" s="2">
        <v>1047.9000000000001</v>
      </c>
      <c r="H1708" s="2"/>
      <c r="I1708" s="2">
        <v>1928.75</v>
      </c>
      <c r="J1708" s="2">
        <v>1047.9000000000001</v>
      </c>
      <c r="K1708" s="2"/>
      <c r="L1708" s="2">
        <v>5254.7</v>
      </c>
      <c r="M1708" t="s">
        <v>4400</v>
      </c>
      <c r="N1708" t="s">
        <v>4406</v>
      </c>
    </row>
    <row r="1709" spans="1:14" x14ac:dyDescent="0.4">
      <c r="A1709" t="s">
        <v>3487</v>
      </c>
      <c r="B1709" t="s">
        <v>3488</v>
      </c>
      <c r="C1709" t="s">
        <v>64</v>
      </c>
      <c r="D1709" t="s">
        <v>2672</v>
      </c>
      <c r="E1709" s="2">
        <v>2754.97</v>
      </c>
      <c r="F1709" s="2">
        <v>3611.49</v>
      </c>
      <c r="G1709" s="2">
        <v>4158.2300000000005</v>
      </c>
      <c r="H1709" s="2">
        <v>4061.0099999999993</v>
      </c>
      <c r="I1709" s="2">
        <v>3004.0699999999993</v>
      </c>
      <c r="J1709" s="2">
        <v>1655.4299999999998</v>
      </c>
      <c r="K1709" s="2">
        <v>1816.4099999999999</v>
      </c>
      <c r="L1709" s="2">
        <v>21061.609999999964</v>
      </c>
      <c r="M1709" t="s">
        <v>4400</v>
      </c>
      <c r="N1709" t="s">
        <v>4400</v>
      </c>
    </row>
    <row r="1710" spans="1:14" x14ac:dyDescent="0.4">
      <c r="A1710" t="s">
        <v>3489</v>
      </c>
      <c r="B1710" t="s">
        <v>3473</v>
      </c>
      <c r="C1710" t="s">
        <v>113</v>
      </c>
      <c r="D1710" t="s">
        <v>120</v>
      </c>
      <c r="E1710" s="2">
        <v>4203.82</v>
      </c>
      <c r="F1710" s="2">
        <v>3237.91</v>
      </c>
      <c r="G1710" s="2"/>
      <c r="H1710" s="2"/>
      <c r="I1710" s="2"/>
      <c r="J1710" s="2">
        <v>2469.3999999999996</v>
      </c>
      <c r="K1710" s="2">
        <v>719.83999999999992</v>
      </c>
      <c r="L1710" s="2">
        <v>10630.969999999979</v>
      </c>
      <c r="M1710" t="s">
        <v>4400</v>
      </c>
      <c r="N1710" t="s">
        <v>4400</v>
      </c>
    </row>
    <row r="1711" spans="1:14" x14ac:dyDescent="0.4">
      <c r="A1711" t="s">
        <v>3490</v>
      </c>
      <c r="B1711" t="s">
        <v>3491</v>
      </c>
      <c r="C1711" t="s">
        <v>186</v>
      </c>
      <c r="D1711" t="s">
        <v>187</v>
      </c>
      <c r="E1711" s="2"/>
      <c r="F1711" s="2">
        <v>880.86000000000013</v>
      </c>
      <c r="G1711" s="2"/>
      <c r="H1711" s="2">
        <v>1193.72</v>
      </c>
      <c r="I1711" s="2"/>
      <c r="J1711" s="2"/>
      <c r="K1711" s="2"/>
      <c r="L1711" s="2">
        <v>2074.58</v>
      </c>
      <c r="M1711" t="s">
        <v>4412</v>
      </c>
      <c r="N1711" t="s">
        <v>4402</v>
      </c>
    </row>
    <row r="1712" spans="1:14" x14ac:dyDescent="0.4">
      <c r="A1712" t="s">
        <v>3492</v>
      </c>
      <c r="B1712" t="s">
        <v>3493</v>
      </c>
      <c r="C1712" t="s">
        <v>163</v>
      </c>
      <c r="D1712" t="s">
        <v>164</v>
      </c>
      <c r="E1712" s="2">
        <v>1199.8</v>
      </c>
      <c r="F1712" s="2">
        <v>1886.2700000000002</v>
      </c>
      <c r="G1712" s="2">
        <v>1117.8200000000002</v>
      </c>
      <c r="H1712" s="2"/>
      <c r="I1712" s="2"/>
      <c r="J1712" s="2"/>
      <c r="K1712" s="2"/>
      <c r="L1712" s="2">
        <v>4203.8900000000003</v>
      </c>
      <c r="M1712" t="s">
        <v>4400</v>
      </c>
      <c r="N1712" t="s">
        <v>4403</v>
      </c>
    </row>
    <row r="1713" spans="1:14" x14ac:dyDescent="0.4">
      <c r="A1713" t="s">
        <v>3494</v>
      </c>
      <c r="B1713" t="s">
        <v>2922</v>
      </c>
      <c r="C1713" t="s">
        <v>78</v>
      </c>
      <c r="D1713" t="s">
        <v>841</v>
      </c>
      <c r="E1713" s="2">
        <v>2414.7300000000005</v>
      </c>
      <c r="F1713" s="2">
        <v>1928.7600000000002</v>
      </c>
      <c r="G1713" s="2">
        <v>2669.8700000000003</v>
      </c>
      <c r="H1713" s="2">
        <v>2985.7899999999995</v>
      </c>
      <c r="I1713" s="2">
        <v>2885.53</v>
      </c>
      <c r="J1713" s="2">
        <v>2733.6300000000006</v>
      </c>
      <c r="K1713" s="2">
        <v>3675.2099999999996</v>
      </c>
      <c r="L1713" s="2">
        <v>19293.519999999971</v>
      </c>
      <c r="M1713" t="s">
        <v>4400</v>
      </c>
      <c r="N1713" t="s">
        <v>4400</v>
      </c>
    </row>
    <row r="1714" spans="1:14" x14ac:dyDescent="0.4">
      <c r="A1714" t="s">
        <v>3495</v>
      </c>
      <c r="B1714" t="s">
        <v>3496</v>
      </c>
      <c r="C1714" t="s">
        <v>1</v>
      </c>
      <c r="D1714" t="s">
        <v>88</v>
      </c>
      <c r="E1714" s="2"/>
      <c r="F1714" s="2"/>
      <c r="G1714" s="2"/>
      <c r="H1714" s="2"/>
      <c r="I1714" s="2"/>
      <c r="J1714" s="2"/>
      <c r="K1714" s="2">
        <v>1529.1500000000003</v>
      </c>
      <c r="L1714" s="2">
        <v>1529.1500000000003</v>
      </c>
      <c r="M1714" t="s">
        <v>4404</v>
      </c>
      <c r="N1714" t="s">
        <v>4400</v>
      </c>
    </row>
    <row r="1715" spans="1:14" x14ac:dyDescent="0.4">
      <c r="A1715" t="s">
        <v>3497</v>
      </c>
      <c r="B1715" t="s">
        <v>3188</v>
      </c>
      <c r="C1715" t="s">
        <v>64</v>
      </c>
      <c r="D1715" t="s">
        <v>2720</v>
      </c>
      <c r="E1715" s="2">
        <v>804.41000000000008</v>
      </c>
      <c r="F1715" s="2"/>
      <c r="G1715" s="2">
        <v>1444.34</v>
      </c>
      <c r="H1715" s="2"/>
      <c r="I1715" s="2">
        <v>1845.2599999999995</v>
      </c>
      <c r="J1715" s="2">
        <v>1721.9</v>
      </c>
      <c r="K1715" s="2"/>
      <c r="L1715" s="2">
        <v>5815.91</v>
      </c>
      <c r="M1715" t="s">
        <v>4400</v>
      </c>
      <c r="N1715" t="s">
        <v>4406</v>
      </c>
    </row>
    <row r="1716" spans="1:14" x14ac:dyDescent="0.4">
      <c r="A1716" t="s">
        <v>3498</v>
      </c>
      <c r="B1716" t="s">
        <v>3499</v>
      </c>
      <c r="C1716" t="s">
        <v>64</v>
      </c>
      <c r="D1716" t="s">
        <v>1143</v>
      </c>
      <c r="E1716" s="2">
        <v>812.11999999999989</v>
      </c>
      <c r="F1716" s="2">
        <v>1534.2900000000002</v>
      </c>
      <c r="G1716" s="2">
        <v>755.57999999999981</v>
      </c>
      <c r="H1716" s="2">
        <v>809.54999999999984</v>
      </c>
      <c r="I1716" s="2">
        <v>1665.3600000000001</v>
      </c>
      <c r="J1716" s="2">
        <v>830.1099999999999</v>
      </c>
      <c r="K1716" s="2">
        <v>1498.31</v>
      </c>
      <c r="L1716" s="2">
        <v>7905.3200000000161</v>
      </c>
      <c r="M1716" t="s">
        <v>4400</v>
      </c>
      <c r="N1716" t="s">
        <v>4400</v>
      </c>
    </row>
    <row r="1717" spans="1:14" x14ac:dyDescent="0.4">
      <c r="A1717" t="s">
        <v>3500</v>
      </c>
      <c r="B1717" t="s">
        <v>3501</v>
      </c>
      <c r="C1717" t="s">
        <v>64</v>
      </c>
      <c r="D1717" t="s">
        <v>2731</v>
      </c>
      <c r="E1717" s="2">
        <v>1786</v>
      </c>
      <c r="F1717" s="2">
        <v>1810.29</v>
      </c>
      <c r="G1717" s="2">
        <v>2530.1800000000003</v>
      </c>
      <c r="H1717" s="2">
        <v>908.18000000000006</v>
      </c>
      <c r="I1717" s="2">
        <v>1060.06</v>
      </c>
      <c r="J1717" s="2"/>
      <c r="K1717" s="2"/>
      <c r="L1717" s="2">
        <v>8094.7099999999973</v>
      </c>
      <c r="M1717" t="s">
        <v>4400</v>
      </c>
      <c r="N1717" t="s">
        <v>4401</v>
      </c>
    </row>
    <row r="1718" spans="1:14" x14ac:dyDescent="0.4">
      <c r="A1718" t="s">
        <v>3502</v>
      </c>
      <c r="B1718" t="s">
        <v>3503</v>
      </c>
      <c r="C1718" t="s">
        <v>447</v>
      </c>
      <c r="D1718" t="s">
        <v>784</v>
      </c>
      <c r="E1718" s="2">
        <v>3827.0499999999993</v>
      </c>
      <c r="F1718" s="2">
        <v>3495.9900000000002</v>
      </c>
      <c r="G1718" s="2">
        <v>4294.7499999999991</v>
      </c>
      <c r="H1718" s="2">
        <v>3687.2799999999993</v>
      </c>
      <c r="I1718" s="2">
        <v>1904.4</v>
      </c>
      <c r="J1718" s="2">
        <v>1801.11</v>
      </c>
      <c r="K1718" s="2">
        <v>1005.34</v>
      </c>
      <c r="L1718" s="2">
        <v>20015.919999999998</v>
      </c>
      <c r="M1718" t="s">
        <v>4400</v>
      </c>
      <c r="N1718" t="s">
        <v>4400</v>
      </c>
    </row>
    <row r="1719" spans="1:14" x14ac:dyDescent="0.4">
      <c r="A1719" t="s">
        <v>3504</v>
      </c>
      <c r="B1719" t="s">
        <v>3505</v>
      </c>
      <c r="C1719" t="s">
        <v>64</v>
      </c>
      <c r="D1719" t="s">
        <v>2277</v>
      </c>
      <c r="E1719" s="2">
        <v>4117.1400000000003</v>
      </c>
      <c r="F1719" s="2">
        <v>3153.3900000000003</v>
      </c>
      <c r="G1719" s="2">
        <v>3035.17</v>
      </c>
      <c r="H1719" s="2">
        <v>2199.9199999999996</v>
      </c>
      <c r="I1719" s="2">
        <v>1477.75</v>
      </c>
      <c r="J1719" s="2">
        <v>1472.6100000000001</v>
      </c>
      <c r="K1719" s="2">
        <v>732.44999999999993</v>
      </c>
      <c r="L1719" s="2">
        <v>16188.430000000028</v>
      </c>
      <c r="M1719" t="s">
        <v>4400</v>
      </c>
      <c r="N1719" t="s">
        <v>4400</v>
      </c>
    </row>
    <row r="1720" spans="1:14" x14ac:dyDescent="0.4">
      <c r="A1720" t="s">
        <v>3506</v>
      </c>
      <c r="B1720" t="s">
        <v>3507</v>
      </c>
      <c r="C1720" t="s">
        <v>2319</v>
      </c>
      <c r="D1720" t="s">
        <v>2320</v>
      </c>
      <c r="E1720" s="2"/>
      <c r="F1720" s="2"/>
      <c r="G1720" s="2">
        <v>6997.2800000000007</v>
      </c>
      <c r="H1720" s="2"/>
      <c r="I1720" s="2"/>
      <c r="J1720" s="2"/>
      <c r="K1720" s="2"/>
      <c r="L1720" s="2">
        <v>6997.2800000000007</v>
      </c>
      <c r="M1720" t="s">
        <v>4411</v>
      </c>
      <c r="N1720" t="s">
        <v>4403</v>
      </c>
    </row>
    <row r="1721" spans="1:14" x14ac:dyDescent="0.4">
      <c r="A1721" t="s">
        <v>3508</v>
      </c>
      <c r="B1721" t="s">
        <v>3509</v>
      </c>
      <c r="C1721" t="s">
        <v>39</v>
      </c>
      <c r="D1721" t="s">
        <v>40</v>
      </c>
      <c r="E1721" s="2">
        <v>4440.6900000000014</v>
      </c>
      <c r="F1721" s="2">
        <v>1752.5799999999997</v>
      </c>
      <c r="G1721" s="2">
        <v>3942.5900000000011</v>
      </c>
      <c r="H1721" s="2">
        <v>3763.35</v>
      </c>
      <c r="I1721" s="2">
        <v>3429.2300000000014</v>
      </c>
      <c r="J1721" s="2">
        <v>2533.1999999999998</v>
      </c>
      <c r="K1721" s="2">
        <v>1758.6599999999996</v>
      </c>
      <c r="L1721" s="2">
        <v>21620.29999999997</v>
      </c>
      <c r="M1721" t="s">
        <v>4400</v>
      </c>
      <c r="N1721" t="s">
        <v>4400</v>
      </c>
    </row>
    <row r="1722" spans="1:14" x14ac:dyDescent="0.4">
      <c r="A1722" t="s">
        <v>3510</v>
      </c>
      <c r="B1722" t="s">
        <v>3511</v>
      </c>
      <c r="C1722" t="s">
        <v>64</v>
      </c>
      <c r="D1722" t="s">
        <v>2126</v>
      </c>
      <c r="E1722" s="2"/>
      <c r="F1722" s="2"/>
      <c r="G1722" s="2">
        <v>783.85</v>
      </c>
      <c r="H1722" s="2"/>
      <c r="I1722" s="2">
        <v>950.89999999999986</v>
      </c>
      <c r="J1722" s="2">
        <v>1097.3900000000001</v>
      </c>
      <c r="K1722" s="2"/>
      <c r="L1722" s="2">
        <v>2832.1399999999994</v>
      </c>
      <c r="M1722" t="s">
        <v>4411</v>
      </c>
      <c r="N1722" t="s">
        <v>4406</v>
      </c>
    </row>
    <row r="1723" spans="1:14" x14ac:dyDescent="0.4">
      <c r="A1723" t="s">
        <v>3512</v>
      </c>
      <c r="B1723" t="s">
        <v>1431</v>
      </c>
      <c r="C1723" t="s">
        <v>310</v>
      </c>
      <c r="D1723" t="s">
        <v>311</v>
      </c>
      <c r="E1723" s="2">
        <v>4029.7599999999993</v>
      </c>
      <c r="F1723" s="2">
        <v>5373.87</v>
      </c>
      <c r="G1723" s="2">
        <v>5512.65</v>
      </c>
      <c r="H1723" s="2">
        <v>3654.5399999999986</v>
      </c>
      <c r="I1723" s="2">
        <v>4052.889999999999</v>
      </c>
      <c r="J1723" s="2">
        <v>6034.3599999999988</v>
      </c>
      <c r="K1723" s="2">
        <v>2156.23</v>
      </c>
      <c r="L1723" s="2">
        <v>30814.300000000047</v>
      </c>
      <c r="M1723" t="s">
        <v>4400</v>
      </c>
      <c r="N1723" t="s">
        <v>4400</v>
      </c>
    </row>
    <row r="1724" spans="1:14" x14ac:dyDescent="0.4">
      <c r="A1724" t="s">
        <v>3513</v>
      </c>
      <c r="B1724" t="s">
        <v>2918</v>
      </c>
      <c r="C1724" t="s">
        <v>163</v>
      </c>
      <c r="D1724" t="s">
        <v>2811</v>
      </c>
      <c r="E1724" s="2">
        <v>1646.31</v>
      </c>
      <c r="F1724" s="2"/>
      <c r="G1724" s="2"/>
      <c r="H1724" s="2"/>
      <c r="I1724" s="2"/>
      <c r="J1724" s="2"/>
      <c r="K1724" s="2"/>
      <c r="L1724" s="2">
        <v>1646.31</v>
      </c>
      <c r="M1724" t="s">
        <v>4400</v>
      </c>
      <c r="N1724" t="s">
        <v>4407</v>
      </c>
    </row>
    <row r="1725" spans="1:14" x14ac:dyDescent="0.4">
      <c r="A1725" t="s">
        <v>3514</v>
      </c>
      <c r="B1725" t="s">
        <v>3515</v>
      </c>
      <c r="C1725" t="s">
        <v>35</v>
      </c>
      <c r="D1725" t="s">
        <v>1212</v>
      </c>
      <c r="E1725" s="2"/>
      <c r="F1725" s="2"/>
      <c r="G1725" s="2">
        <v>1063.1000000000001</v>
      </c>
      <c r="H1725" s="2"/>
      <c r="I1725" s="2">
        <v>896.02</v>
      </c>
      <c r="J1725" s="2"/>
      <c r="K1725" s="2"/>
      <c r="L1725" s="2">
        <v>1959.12</v>
      </c>
      <c r="M1725" t="s">
        <v>4411</v>
      </c>
      <c r="N1725" t="s">
        <v>4401</v>
      </c>
    </row>
    <row r="1726" spans="1:14" x14ac:dyDescent="0.4">
      <c r="A1726" t="s">
        <v>3516</v>
      </c>
      <c r="B1726" t="s">
        <v>2802</v>
      </c>
      <c r="C1726" t="s">
        <v>91</v>
      </c>
      <c r="D1726" t="s">
        <v>1885</v>
      </c>
      <c r="E1726" s="2">
        <v>2581.8199999999997</v>
      </c>
      <c r="F1726" s="2">
        <v>3842.2999999999997</v>
      </c>
      <c r="G1726" s="2">
        <v>4659.3999999999978</v>
      </c>
      <c r="H1726" s="2">
        <v>3960.8199999999983</v>
      </c>
      <c r="I1726" s="2">
        <v>2718.4499999999994</v>
      </c>
      <c r="J1726" s="2">
        <v>1886.2199999999998</v>
      </c>
      <c r="K1726" s="2">
        <v>932.4899999999999</v>
      </c>
      <c r="L1726" s="2">
        <v>20581.500000000004</v>
      </c>
      <c r="M1726" t="s">
        <v>4400</v>
      </c>
      <c r="N1726" t="s">
        <v>4400</v>
      </c>
    </row>
    <row r="1727" spans="1:14" x14ac:dyDescent="0.4">
      <c r="A1727" t="s">
        <v>3517</v>
      </c>
      <c r="B1727" t="s">
        <v>685</v>
      </c>
      <c r="C1727" t="s">
        <v>186</v>
      </c>
      <c r="D1727" t="s">
        <v>1209</v>
      </c>
      <c r="E1727" s="2">
        <v>4281.6199999999981</v>
      </c>
      <c r="F1727" s="2">
        <v>3998.92</v>
      </c>
      <c r="G1727" s="2">
        <v>4561.7499999999982</v>
      </c>
      <c r="H1727" s="2">
        <v>2940.0800000000004</v>
      </c>
      <c r="I1727" s="2"/>
      <c r="J1727" s="2"/>
      <c r="K1727" s="2"/>
      <c r="L1727" s="2">
        <v>15782.370000000023</v>
      </c>
      <c r="M1727" t="s">
        <v>4400</v>
      </c>
      <c r="N1727" t="s">
        <v>4402</v>
      </c>
    </row>
    <row r="1728" spans="1:14" x14ac:dyDescent="0.4">
      <c r="A1728" t="s">
        <v>3518</v>
      </c>
      <c r="B1728" t="s">
        <v>3519</v>
      </c>
      <c r="C1728" t="s">
        <v>113</v>
      </c>
      <c r="D1728" t="s">
        <v>114</v>
      </c>
      <c r="E1728" s="2"/>
      <c r="F1728" s="2"/>
      <c r="G1728" s="2"/>
      <c r="H1728" s="2"/>
      <c r="I1728" s="2"/>
      <c r="J1728" s="2">
        <v>908.17</v>
      </c>
      <c r="K1728" s="2"/>
      <c r="L1728" s="2">
        <v>908.17</v>
      </c>
      <c r="M1728" t="s">
        <v>4405</v>
      </c>
      <c r="N1728" t="s">
        <v>4406</v>
      </c>
    </row>
    <row r="1729" spans="1:14" x14ac:dyDescent="0.4">
      <c r="A1729" t="s">
        <v>3520</v>
      </c>
      <c r="B1729" t="s">
        <v>3521</v>
      </c>
      <c r="C1729" t="s">
        <v>64</v>
      </c>
      <c r="D1729" t="s">
        <v>2885</v>
      </c>
      <c r="E1729" s="2"/>
      <c r="F1729" s="2"/>
      <c r="G1729" s="2"/>
      <c r="H1729" s="2"/>
      <c r="I1729" s="2"/>
      <c r="J1729" s="2"/>
      <c r="K1729" s="2">
        <v>842.96</v>
      </c>
      <c r="L1729" s="2">
        <v>842.96</v>
      </c>
      <c r="M1729" t="s">
        <v>4404</v>
      </c>
      <c r="N1729" t="s">
        <v>4400</v>
      </c>
    </row>
    <row r="1730" spans="1:14" x14ac:dyDescent="0.4">
      <c r="A1730" t="s">
        <v>3522</v>
      </c>
      <c r="B1730" t="s">
        <v>3523</v>
      </c>
      <c r="C1730" t="s">
        <v>1</v>
      </c>
      <c r="D1730" t="s">
        <v>1030</v>
      </c>
      <c r="E1730" s="2">
        <v>1576.45</v>
      </c>
      <c r="F1730" s="2">
        <v>1837.6599999999999</v>
      </c>
      <c r="G1730" s="2">
        <v>801.8900000000001</v>
      </c>
      <c r="H1730" s="2">
        <v>820.1099999999999</v>
      </c>
      <c r="I1730" s="2">
        <v>3608.4700000000007</v>
      </c>
      <c r="J1730" s="2">
        <v>2414.75</v>
      </c>
      <c r="K1730" s="2">
        <v>1655.38</v>
      </c>
      <c r="L1730" s="2">
        <v>12714.709999999988</v>
      </c>
      <c r="M1730" t="s">
        <v>4400</v>
      </c>
      <c r="N1730" t="s">
        <v>4400</v>
      </c>
    </row>
    <row r="1731" spans="1:14" x14ac:dyDescent="0.4">
      <c r="A1731" t="s">
        <v>3524</v>
      </c>
      <c r="B1731" t="s">
        <v>3525</v>
      </c>
      <c r="C1731" t="s">
        <v>64</v>
      </c>
      <c r="D1731" t="s">
        <v>2089</v>
      </c>
      <c r="E1731" s="2">
        <v>3662.2499999999977</v>
      </c>
      <c r="F1731" s="2">
        <v>4739.08</v>
      </c>
      <c r="G1731" s="2">
        <v>3595.4299999999994</v>
      </c>
      <c r="H1731" s="2">
        <v>3844.7199999999993</v>
      </c>
      <c r="I1731" s="2">
        <v>4546.3300000000008</v>
      </c>
      <c r="J1731" s="2">
        <v>4931.829999999999</v>
      </c>
      <c r="K1731" s="2">
        <v>945.76</v>
      </c>
      <c r="L1731" s="2">
        <v>26265.400000000041</v>
      </c>
      <c r="M1731" t="s">
        <v>4400</v>
      </c>
      <c r="N1731" t="s">
        <v>4400</v>
      </c>
    </row>
    <row r="1732" spans="1:14" x14ac:dyDescent="0.4">
      <c r="A1732" t="s">
        <v>3526</v>
      </c>
      <c r="B1732" t="s">
        <v>3527</v>
      </c>
      <c r="C1732" t="s">
        <v>860</v>
      </c>
      <c r="D1732" t="s">
        <v>1134</v>
      </c>
      <c r="E1732" s="2">
        <v>932.90999999999985</v>
      </c>
      <c r="F1732" s="2"/>
      <c r="G1732" s="2"/>
      <c r="H1732" s="2">
        <v>1161.6399999999999</v>
      </c>
      <c r="I1732" s="2">
        <v>3785.6099999999997</v>
      </c>
      <c r="J1732" s="2">
        <v>3420.49</v>
      </c>
      <c r="K1732" s="2">
        <v>2089.41</v>
      </c>
      <c r="L1732" s="2">
        <v>11390.060000000009</v>
      </c>
      <c r="M1732" t="s">
        <v>4400</v>
      </c>
      <c r="N1732" t="s">
        <v>4400</v>
      </c>
    </row>
    <row r="1733" spans="1:14" x14ac:dyDescent="0.4">
      <c r="A1733" t="s">
        <v>3528</v>
      </c>
      <c r="B1733" t="s">
        <v>2980</v>
      </c>
      <c r="C1733" t="s">
        <v>78</v>
      </c>
      <c r="D1733" t="s">
        <v>907</v>
      </c>
      <c r="E1733" s="2"/>
      <c r="F1733" s="2">
        <v>719.59999999999991</v>
      </c>
      <c r="G1733" s="2"/>
      <c r="H1733" s="2">
        <v>1755.6800000000003</v>
      </c>
      <c r="I1733" s="2"/>
      <c r="J1733" s="2"/>
      <c r="K1733" s="2">
        <v>744.15000000000009</v>
      </c>
      <c r="L1733" s="2">
        <v>3219.43</v>
      </c>
      <c r="M1733" t="s">
        <v>4412</v>
      </c>
      <c r="N1733" t="s">
        <v>4400</v>
      </c>
    </row>
    <row r="1734" spans="1:14" x14ac:dyDescent="0.4">
      <c r="A1734" t="s">
        <v>3529</v>
      </c>
      <c r="B1734" t="s">
        <v>3530</v>
      </c>
      <c r="C1734" t="s">
        <v>199</v>
      </c>
      <c r="D1734" t="s">
        <v>203</v>
      </c>
      <c r="E1734" s="2">
        <v>2952.3399999999992</v>
      </c>
      <c r="F1734" s="2">
        <v>2900.7099999999991</v>
      </c>
      <c r="G1734" s="2">
        <v>3663.0999999999976</v>
      </c>
      <c r="H1734" s="2">
        <v>2226.41</v>
      </c>
      <c r="I1734" s="2">
        <v>2211.2299999999991</v>
      </c>
      <c r="J1734" s="2">
        <v>2961.4499999999994</v>
      </c>
      <c r="K1734" s="2">
        <v>1467.07</v>
      </c>
      <c r="L1734" s="2">
        <v>18382.309999999994</v>
      </c>
      <c r="M1734" t="s">
        <v>4400</v>
      </c>
      <c r="N1734" t="s">
        <v>4400</v>
      </c>
    </row>
    <row r="1735" spans="1:14" x14ac:dyDescent="0.4">
      <c r="A1735" t="s">
        <v>3531</v>
      </c>
      <c r="B1735" t="s">
        <v>2296</v>
      </c>
      <c r="C1735" t="s">
        <v>64</v>
      </c>
      <c r="D1735" t="s">
        <v>2297</v>
      </c>
      <c r="E1735" s="2">
        <v>855.81</v>
      </c>
      <c r="F1735" s="2"/>
      <c r="G1735" s="2">
        <v>1002.3000000000001</v>
      </c>
      <c r="H1735" s="2"/>
      <c r="I1735" s="2"/>
      <c r="J1735" s="2"/>
      <c r="K1735" s="2"/>
      <c r="L1735" s="2">
        <v>1858.1099999999994</v>
      </c>
      <c r="M1735" t="s">
        <v>4400</v>
      </c>
      <c r="N1735" t="s">
        <v>4403</v>
      </c>
    </row>
    <row r="1736" spans="1:14" x14ac:dyDescent="0.4">
      <c r="A1736" t="s">
        <v>3532</v>
      </c>
      <c r="B1736" t="s">
        <v>3533</v>
      </c>
      <c r="C1736" t="s">
        <v>1</v>
      </c>
      <c r="D1736" t="s">
        <v>88</v>
      </c>
      <c r="E1736" s="2"/>
      <c r="F1736" s="2"/>
      <c r="G1736" s="2"/>
      <c r="H1736" s="2"/>
      <c r="I1736" s="2"/>
      <c r="J1736" s="2">
        <v>1224.07</v>
      </c>
      <c r="K1736" s="2"/>
      <c r="L1736" s="2">
        <v>1224.07</v>
      </c>
      <c r="M1736" t="s">
        <v>4405</v>
      </c>
      <c r="N1736" t="s">
        <v>4406</v>
      </c>
    </row>
    <row r="1737" spans="1:14" x14ac:dyDescent="0.4">
      <c r="A1737" t="s">
        <v>3534</v>
      </c>
      <c r="B1737" t="s">
        <v>1995</v>
      </c>
      <c r="C1737" t="s">
        <v>310</v>
      </c>
      <c r="D1737" t="s">
        <v>314</v>
      </c>
      <c r="E1737" s="2"/>
      <c r="F1737" s="2"/>
      <c r="G1737" s="2"/>
      <c r="H1737" s="2">
        <v>1637.1799999999998</v>
      </c>
      <c r="I1737" s="2"/>
      <c r="J1737" s="2"/>
      <c r="K1737" s="2"/>
      <c r="L1737" s="2">
        <v>1637.1799999999998</v>
      </c>
      <c r="M1737" t="s">
        <v>4409</v>
      </c>
      <c r="N1737" t="s">
        <v>4402</v>
      </c>
    </row>
    <row r="1738" spans="1:14" x14ac:dyDescent="0.4">
      <c r="A1738" t="s">
        <v>3535</v>
      </c>
      <c r="B1738" t="s">
        <v>3536</v>
      </c>
      <c r="C1738" t="s">
        <v>291</v>
      </c>
      <c r="D1738" t="s">
        <v>295</v>
      </c>
      <c r="E1738" s="2">
        <v>2539.3700000000003</v>
      </c>
      <c r="F1738" s="2">
        <v>835.31</v>
      </c>
      <c r="G1738" s="2">
        <v>765.46</v>
      </c>
      <c r="H1738" s="2">
        <v>1664.5600000000002</v>
      </c>
      <c r="I1738" s="2">
        <v>2490.7599999999998</v>
      </c>
      <c r="J1738" s="2">
        <v>2420.92</v>
      </c>
      <c r="K1738" s="2">
        <v>1530.94</v>
      </c>
      <c r="L1738" s="2">
        <v>12247.320000000003</v>
      </c>
      <c r="M1738" t="s">
        <v>4400</v>
      </c>
      <c r="N1738" t="s">
        <v>4400</v>
      </c>
    </row>
    <row r="1739" spans="1:14" x14ac:dyDescent="0.4">
      <c r="A1739" t="s">
        <v>3537</v>
      </c>
      <c r="B1739" t="s">
        <v>1909</v>
      </c>
      <c r="C1739" t="s">
        <v>163</v>
      </c>
      <c r="D1739" t="s">
        <v>164</v>
      </c>
      <c r="E1739" s="2">
        <v>4404.1599999999989</v>
      </c>
      <c r="F1739" s="2">
        <v>2827.7699999999995</v>
      </c>
      <c r="G1739" s="2">
        <v>2083.62</v>
      </c>
      <c r="H1739" s="2"/>
      <c r="I1739" s="2">
        <v>1111.68</v>
      </c>
      <c r="J1739" s="2">
        <v>892.98</v>
      </c>
      <c r="K1739" s="2">
        <v>892.98</v>
      </c>
      <c r="L1739" s="2">
        <v>12213.19</v>
      </c>
      <c r="M1739" t="s">
        <v>4400</v>
      </c>
      <c r="N1739" t="s">
        <v>4400</v>
      </c>
    </row>
    <row r="1740" spans="1:14" x14ac:dyDescent="0.4">
      <c r="A1740" t="s">
        <v>3538</v>
      </c>
      <c r="B1740" t="s">
        <v>3539</v>
      </c>
      <c r="C1740" t="s">
        <v>178</v>
      </c>
      <c r="D1740" t="s">
        <v>558</v>
      </c>
      <c r="E1740" s="2"/>
      <c r="F1740" s="2"/>
      <c r="G1740" s="2"/>
      <c r="H1740" s="2"/>
      <c r="I1740" s="2">
        <v>1883.1699999999996</v>
      </c>
      <c r="J1740" s="2">
        <v>853.52</v>
      </c>
      <c r="K1740" s="2">
        <v>923.38</v>
      </c>
      <c r="L1740" s="2">
        <v>3660.0699999999997</v>
      </c>
      <c r="M1740" t="s">
        <v>4408</v>
      </c>
      <c r="N1740" t="s">
        <v>4400</v>
      </c>
    </row>
    <row r="1741" spans="1:14" x14ac:dyDescent="0.4">
      <c r="A1741" t="s">
        <v>3540</v>
      </c>
      <c r="B1741" t="s">
        <v>3541</v>
      </c>
      <c r="C1741" t="s">
        <v>447</v>
      </c>
      <c r="D1741" t="s">
        <v>784</v>
      </c>
      <c r="E1741" s="2">
        <v>4586.4500000000007</v>
      </c>
      <c r="F1741" s="2">
        <v>6332.9800000000005</v>
      </c>
      <c r="G1741" s="2">
        <v>7262.4</v>
      </c>
      <c r="H1741" s="2">
        <v>5555.4000000000005</v>
      </c>
      <c r="I1741" s="2">
        <v>4398.1499999999996</v>
      </c>
      <c r="J1741" s="2">
        <v>5655.64</v>
      </c>
      <c r="K1741" s="2">
        <v>2056.31</v>
      </c>
      <c r="L1741" s="2">
        <v>35847.330000000009</v>
      </c>
      <c r="M1741" t="s">
        <v>4400</v>
      </c>
      <c r="N1741" t="s">
        <v>4400</v>
      </c>
    </row>
    <row r="1742" spans="1:14" x14ac:dyDescent="0.4">
      <c r="A1742" t="s">
        <v>3542</v>
      </c>
      <c r="B1742" t="s">
        <v>3543</v>
      </c>
      <c r="C1742" t="s">
        <v>64</v>
      </c>
      <c r="D1742" t="s">
        <v>2089</v>
      </c>
      <c r="E1742" s="2">
        <v>3089.1000000000004</v>
      </c>
      <c r="F1742" s="2">
        <v>1603.7599999999998</v>
      </c>
      <c r="G1742" s="2">
        <v>3389.809999999999</v>
      </c>
      <c r="H1742" s="2">
        <v>2754.9799999999996</v>
      </c>
      <c r="I1742" s="2">
        <v>2423.87</v>
      </c>
      <c r="J1742" s="2">
        <v>774.51</v>
      </c>
      <c r="K1742" s="2">
        <v>738.1</v>
      </c>
      <c r="L1742" s="2">
        <v>14774.130000000005</v>
      </c>
      <c r="M1742" t="s">
        <v>4400</v>
      </c>
      <c r="N1742" t="s">
        <v>4400</v>
      </c>
    </row>
    <row r="1743" spans="1:14" x14ac:dyDescent="0.4">
      <c r="A1743" t="s">
        <v>3544</v>
      </c>
      <c r="B1743" t="s">
        <v>3545</v>
      </c>
      <c r="C1743" t="s">
        <v>27</v>
      </c>
      <c r="D1743" t="s">
        <v>1333</v>
      </c>
      <c r="E1743" s="2"/>
      <c r="F1743" s="2"/>
      <c r="G1743" s="2">
        <v>738.09</v>
      </c>
      <c r="H1743" s="2">
        <v>902.1099999999999</v>
      </c>
      <c r="I1743" s="2"/>
      <c r="J1743" s="2"/>
      <c r="K1743" s="2"/>
      <c r="L1743" s="2">
        <v>1640.2000000000005</v>
      </c>
      <c r="M1743" t="s">
        <v>4411</v>
      </c>
      <c r="N1743" t="s">
        <v>4402</v>
      </c>
    </row>
    <row r="1744" spans="1:14" x14ac:dyDescent="0.4">
      <c r="A1744" t="s">
        <v>3546</v>
      </c>
      <c r="B1744" t="s">
        <v>762</v>
      </c>
      <c r="C1744" t="s">
        <v>113</v>
      </c>
      <c r="D1744" t="s">
        <v>1087</v>
      </c>
      <c r="E1744" s="2">
        <v>4515.489999999998</v>
      </c>
      <c r="F1744" s="2">
        <v>4317.6000000000004</v>
      </c>
      <c r="G1744" s="2">
        <v>4325.3099999999995</v>
      </c>
      <c r="H1744" s="2">
        <v>5366.1600000000008</v>
      </c>
      <c r="I1744" s="2">
        <v>3955.2299999999987</v>
      </c>
      <c r="J1744" s="2">
        <v>4032.3299999999986</v>
      </c>
      <c r="K1744" s="2">
        <v>2297.58</v>
      </c>
      <c r="L1744" s="2">
        <v>28809.700000000044</v>
      </c>
      <c r="M1744" t="s">
        <v>4400</v>
      </c>
      <c r="N1744" t="s">
        <v>4400</v>
      </c>
    </row>
    <row r="1745" spans="1:14" x14ac:dyDescent="0.4">
      <c r="A1745" t="s">
        <v>3547</v>
      </c>
      <c r="B1745" t="s">
        <v>3548</v>
      </c>
      <c r="C1745" t="s">
        <v>64</v>
      </c>
      <c r="D1745" t="s">
        <v>1143</v>
      </c>
      <c r="E1745" s="2"/>
      <c r="F1745" s="2">
        <v>940.62</v>
      </c>
      <c r="G1745" s="2">
        <v>914.91999999999985</v>
      </c>
      <c r="H1745" s="2"/>
      <c r="I1745" s="2"/>
      <c r="J1745" s="2">
        <v>922.63</v>
      </c>
      <c r="K1745" s="2"/>
      <c r="L1745" s="2">
        <v>2778.17</v>
      </c>
      <c r="M1745" t="s">
        <v>4412</v>
      </c>
      <c r="N1745" t="s">
        <v>4406</v>
      </c>
    </row>
    <row r="1746" spans="1:14" x14ac:dyDescent="0.4">
      <c r="A1746" t="s">
        <v>3549</v>
      </c>
      <c r="B1746" t="s">
        <v>622</v>
      </c>
      <c r="C1746" t="s">
        <v>64</v>
      </c>
      <c r="D1746" t="s">
        <v>1377</v>
      </c>
      <c r="E1746" s="2">
        <v>3237.8500000000004</v>
      </c>
      <c r="F1746" s="2">
        <v>3581.119999999999</v>
      </c>
      <c r="G1746" s="2">
        <v>4811.2199999999975</v>
      </c>
      <c r="H1746" s="2">
        <v>3678.2700000000004</v>
      </c>
      <c r="I1746" s="2">
        <v>4282.72</v>
      </c>
      <c r="J1746" s="2">
        <v>5503.7099999999955</v>
      </c>
      <c r="K1746" s="2">
        <v>2086.69</v>
      </c>
      <c r="L1746" s="2">
        <v>27181.580000000016</v>
      </c>
      <c r="M1746" t="s">
        <v>4400</v>
      </c>
      <c r="N1746" t="s">
        <v>4400</v>
      </c>
    </row>
    <row r="1747" spans="1:14" x14ac:dyDescent="0.4">
      <c r="A1747" t="s">
        <v>3550</v>
      </c>
      <c r="B1747" t="s">
        <v>3323</v>
      </c>
      <c r="C1747" t="s">
        <v>423</v>
      </c>
      <c r="D1747" t="s">
        <v>424</v>
      </c>
      <c r="E1747" s="2">
        <v>1874.1</v>
      </c>
      <c r="F1747" s="2">
        <v>1719.1999999999998</v>
      </c>
      <c r="G1747" s="2"/>
      <c r="H1747" s="2">
        <v>1962.23</v>
      </c>
      <c r="I1747" s="2"/>
      <c r="J1747" s="2"/>
      <c r="K1747" s="2"/>
      <c r="L1747" s="2">
        <v>5555.5299999999988</v>
      </c>
      <c r="M1747" t="s">
        <v>4400</v>
      </c>
      <c r="N1747" t="s">
        <v>4402</v>
      </c>
    </row>
    <row r="1748" spans="1:14" x14ac:dyDescent="0.4">
      <c r="A1748" t="s">
        <v>3551</v>
      </c>
      <c r="B1748" t="s">
        <v>3488</v>
      </c>
      <c r="C1748" t="s">
        <v>64</v>
      </c>
      <c r="D1748" t="s">
        <v>2720</v>
      </c>
      <c r="E1748" s="2">
        <v>4729.1400000000021</v>
      </c>
      <c r="F1748" s="2">
        <v>3626.61</v>
      </c>
      <c r="G1748" s="2">
        <v>5977.579999999999</v>
      </c>
      <c r="H1748" s="2">
        <v>5117.9600000000009</v>
      </c>
      <c r="I1748" s="2">
        <v>5096.74</v>
      </c>
      <c r="J1748" s="2">
        <v>6484.7499999999982</v>
      </c>
      <c r="K1748" s="2">
        <v>3307.69</v>
      </c>
      <c r="L1748" s="2">
        <v>34340.469999999965</v>
      </c>
      <c r="M1748" t="s">
        <v>4400</v>
      </c>
      <c r="N1748" t="s">
        <v>4400</v>
      </c>
    </row>
    <row r="1749" spans="1:14" x14ac:dyDescent="0.4">
      <c r="A1749" t="s">
        <v>3552</v>
      </c>
      <c r="B1749" t="s">
        <v>3553</v>
      </c>
      <c r="C1749" t="s">
        <v>359</v>
      </c>
      <c r="D1749" t="s">
        <v>3554</v>
      </c>
      <c r="E1749" s="2">
        <v>3046.54</v>
      </c>
      <c r="F1749" s="2">
        <v>3003.98</v>
      </c>
      <c r="G1749" s="2">
        <v>2943.2599999999998</v>
      </c>
      <c r="H1749" s="2">
        <v>4650.3100000000013</v>
      </c>
      <c r="I1749" s="2">
        <v>2931.1699999999996</v>
      </c>
      <c r="J1749" s="2">
        <v>3022.27</v>
      </c>
      <c r="K1749" s="2">
        <v>1473.1399999999999</v>
      </c>
      <c r="L1749" s="2">
        <v>21070.669999999969</v>
      </c>
      <c r="M1749" t="s">
        <v>4400</v>
      </c>
      <c r="N1749" t="s">
        <v>4400</v>
      </c>
    </row>
    <row r="1750" spans="1:14" x14ac:dyDescent="0.4">
      <c r="A1750" t="s">
        <v>3555</v>
      </c>
      <c r="B1750" t="s">
        <v>3089</v>
      </c>
      <c r="C1750" t="s">
        <v>337</v>
      </c>
      <c r="D1750" t="s">
        <v>344</v>
      </c>
      <c r="E1750" s="2">
        <v>3304.8299999999995</v>
      </c>
      <c r="F1750" s="2">
        <v>2988.9100000000008</v>
      </c>
      <c r="G1750" s="2"/>
      <c r="H1750" s="2"/>
      <c r="I1750" s="2"/>
      <c r="J1750" s="2"/>
      <c r="K1750" s="2"/>
      <c r="L1750" s="2">
        <v>6293.7399999999989</v>
      </c>
      <c r="M1750" t="s">
        <v>4400</v>
      </c>
      <c r="N1750" t="s">
        <v>4410</v>
      </c>
    </row>
    <row r="1751" spans="1:14" x14ac:dyDescent="0.4">
      <c r="A1751" t="s">
        <v>3556</v>
      </c>
      <c r="B1751" t="s">
        <v>3557</v>
      </c>
      <c r="C1751" t="s">
        <v>163</v>
      </c>
      <c r="D1751" t="s">
        <v>164</v>
      </c>
      <c r="E1751" s="2">
        <v>9944.5399999999991</v>
      </c>
      <c r="F1751" s="2">
        <v>3246.99</v>
      </c>
      <c r="G1751" s="2">
        <v>6396.8300000000017</v>
      </c>
      <c r="H1751" s="2">
        <v>5765.04</v>
      </c>
      <c r="I1751" s="2">
        <v>4085.3900000000003</v>
      </c>
      <c r="J1751" s="2">
        <v>3936.52</v>
      </c>
      <c r="K1751" s="2">
        <v>1612.87</v>
      </c>
      <c r="L1751" s="2">
        <v>34988.180000000022</v>
      </c>
      <c r="M1751" t="s">
        <v>4400</v>
      </c>
      <c r="N1751" t="s">
        <v>4400</v>
      </c>
    </row>
    <row r="1752" spans="1:14" x14ac:dyDescent="0.4">
      <c r="A1752" t="s">
        <v>3558</v>
      </c>
      <c r="B1752" t="s">
        <v>3559</v>
      </c>
      <c r="C1752" t="s">
        <v>113</v>
      </c>
      <c r="D1752" t="s">
        <v>117</v>
      </c>
      <c r="E1752" s="2">
        <v>2378.3399999999997</v>
      </c>
      <c r="F1752" s="2">
        <v>786.70999999999981</v>
      </c>
      <c r="G1752" s="2"/>
      <c r="H1752" s="2">
        <v>935.55000000000007</v>
      </c>
      <c r="I1752" s="2">
        <v>896.06</v>
      </c>
      <c r="J1752" s="2"/>
      <c r="K1752" s="2"/>
      <c r="L1752" s="2">
        <v>4996.6600000000008</v>
      </c>
      <c r="M1752" t="s">
        <v>4400</v>
      </c>
      <c r="N1752" t="s">
        <v>4401</v>
      </c>
    </row>
    <row r="1753" spans="1:14" x14ac:dyDescent="0.4">
      <c r="A1753" t="s">
        <v>3560</v>
      </c>
      <c r="B1753" t="s">
        <v>3561</v>
      </c>
      <c r="C1753" t="s">
        <v>64</v>
      </c>
      <c r="D1753" t="s">
        <v>985</v>
      </c>
      <c r="E1753" s="2">
        <v>3313.91</v>
      </c>
      <c r="F1753" s="2">
        <v>3778.619999999999</v>
      </c>
      <c r="G1753" s="2">
        <v>4993.659999999998</v>
      </c>
      <c r="H1753" s="2">
        <v>4832.58</v>
      </c>
      <c r="I1753" s="2">
        <v>6129.5399999999981</v>
      </c>
      <c r="J1753" s="2">
        <v>4468.0199999999986</v>
      </c>
      <c r="K1753" s="2">
        <v>1922.69</v>
      </c>
      <c r="L1753" s="2">
        <v>29439.019999999957</v>
      </c>
      <c r="M1753" t="s">
        <v>4400</v>
      </c>
      <c r="N1753" t="s">
        <v>4400</v>
      </c>
    </row>
    <row r="1754" spans="1:14" x14ac:dyDescent="0.4">
      <c r="A1754" t="s">
        <v>3562</v>
      </c>
      <c r="B1754" t="s">
        <v>3563</v>
      </c>
      <c r="C1754" t="s">
        <v>64</v>
      </c>
      <c r="D1754" t="s">
        <v>2971</v>
      </c>
      <c r="E1754" s="2"/>
      <c r="F1754" s="2"/>
      <c r="G1754" s="2">
        <v>1454.92</v>
      </c>
      <c r="H1754" s="2">
        <v>1467.0899999999997</v>
      </c>
      <c r="I1754" s="2">
        <v>1464.04</v>
      </c>
      <c r="J1754" s="2">
        <v>1491.38</v>
      </c>
      <c r="K1754" s="2"/>
      <c r="L1754" s="2">
        <v>5877.4299999999985</v>
      </c>
      <c r="M1754" t="s">
        <v>4411</v>
      </c>
      <c r="N1754" t="s">
        <v>4406</v>
      </c>
    </row>
    <row r="1755" spans="1:14" x14ac:dyDescent="0.4">
      <c r="A1755" t="s">
        <v>3564</v>
      </c>
      <c r="B1755" t="s">
        <v>3565</v>
      </c>
      <c r="C1755" t="s">
        <v>113</v>
      </c>
      <c r="D1755" t="s">
        <v>1148</v>
      </c>
      <c r="E1755" s="2">
        <v>2429.96</v>
      </c>
      <c r="F1755" s="2">
        <v>1221.05</v>
      </c>
      <c r="G1755" s="2">
        <v>2217.2999999999997</v>
      </c>
      <c r="H1755" s="2">
        <v>2120.11</v>
      </c>
      <c r="I1755" s="2">
        <v>1928.7299999999998</v>
      </c>
      <c r="J1755" s="2">
        <v>2274.9899999999998</v>
      </c>
      <c r="K1755" s="2">
        <v>850.48000000000013</v>
      </c>
      <c r="L1755" s="2">
        <v>13042.619999999997</v>
      </c>
      <c r="M1755" t="s">
        <v>4400</v>
      </c>
      <c r="N1755" t="s">
        <v>4400</v>
      </c>
    </row>
    <row r="1756" spans="1:14" x14ac:dyDescent="0.4">
      <c r="A1756" t="s">
        <v>3566</v>
      </c>
      <c r="B1756" t="s">
        <v>1816</v>
      </c>
      <c r="C1756" t="s">
        <v>35</v>
      </c>
      <c r="D1756" t="s">
        <v>1712</v>
      </c>
      <c r="E1756" s="2">
        <v>3231.7999999999997</v>
      </c>
      <c r="F1756" s="2">
        <v>2894.68</v>
      </c>
      <c r="G1756" s="2">
        <v>3778.56</v>
      </c>
      <c r="H1756" s="2">
        <v>3028.34</v>
      </c>
      <c r="I1756" s="2">
        <v>4595.6399999999985</v>
      </c>
      <c r="J1756" s="2">
        <v>4179.5300000000007</v>
      </c>
      <c r="K1756" s="2">
        <v>2272.0099999999998</v>
      </c>
      <c r="L1756" s="2">
        <v>23980.55999999999</v>
      </c>
      <c r="M1756" t="s">
        <v>4400</v>
      </c>
      <c r="N1756" t="s">
        <v>4400</v>
      </c>
    </row>
    <row r="1757" spans="1:14" x14ac:dyDescent="0.4">
      <c r="A1757" t="s">
        <v>3567</v>
      </c>
      <c r="B1757" t="s">
        <v>3568</v>
      </c>
      <c r="C1757" t="s">
        <v>64</v>
      </c>
      <c r="D1757" t="s">
        <v>2165</v>
      </c>
      <c r="E1757" s="2">
        <v>1546.0699999999997</v>
      </c>
      <c r="F1757" s="2">
        <v>2229.5</v>
      </c>
      <c r="G1757" s="2">
        <v>735.06</v>
      </c>
      <c r="H1757" s="2"/>
      <c r="I1757" s="2">
        <v>783.67000000000019</v>
      </c>
      <c r="J1757" s="2">
        <v>3295.6600000000003</v>
      </c>
      <c r="K1757" s="2">
        <v>735.05</v>
      </c>
      <c r="L1757" s="2">
        <v>9325.0099999999948</v>
      </c>
      <c r="M1757" t="s">
        <v>4400</v>
      </c>
      <c r="N1757" t="s">
        <v>4400</v>
      </c>
    </row>
    <row r="1758" spans="1:14" x14ac:dyDescent="0.4">
      <c r="A1758" t="s">
        <v>3569</v>
      </c>
      <c r="B1758" t="s">
        <v>1621</v>
      </c>
      <c r="C1758" t="s">
        <v>31</v>
      </c>
      <c r="D1758" t="s">
        <v>963</v>
      </c>
      <c r="E1758" s="2">
        <v>4197.78</v>
      </c>
      <c r="F1758" s="2">
        <v>4544.079999999999</v>
      </c>
      <c r="G1758" s="2">
        <v>3092.1400000000003</v>
      </c>
      <c r="H1758" s="2">
        <v>4890.3</v>
      </c>
      <c r="I1758" s="2">
        <v>2858.25</v>
      </c>
      <c r="J1758" s="2">
        <v>3790.6800000000003</v>
      </c>
      <c r="K1758" s="2">
        <v>2417.7800000000007</v>
      </c>
      <c r="L1758" s="2">
        <v>25791.009999999969</v>
      </c>
      <c r="M1758" t="s">
        <v>4400</v>
      </c>
      <c r="N1758" t="s">
        <v>4400</v>
      </c>
    </row>
    <row r="1759" spans="1:14" x14ac:dyDescent="0.4">
      <c r="A1759" t="s">
        <v>3570</v>
      </c>
      <c r="B1759" t="s">
        <v>3571</v>
      </c>
      <c r="C1759" t="s">
        <v>64</v>
      </c>
      <c r="D1759" t="s">
        <v>808</v>
      </c>
      <c r="E1759" s="2"/>
      <c r="F1759" s="2"/>
      <c r="G1759" s="2"/>
      <c r="H1759" s="2"/>
      <c r="I1759" s="2"/>
      <c r="J1759" s="2">
        <v>719.88</v>
      </c>
      <c r="K1759" s="2">
        <v>1196.7499999999998</v>
      </c>
      <c r="L1759" s="2">
        <v>1916.6299999999999</v>
      </c>
      <c r="M1759" t="s">
        <v>4405</v>
      </c>
      <c r="N1759" t="s">
        <v>4400</v>
      </c>
    </row>
    <row r="1760" spans="1:14" x14ac:dyDescent="0.4">
      <c r="A1760" t="s">
        <v>3572</v>
      </c>
      <c r="B1760" t="s">
        <v>3573</v>
      </c>
      <c r="C1760" t="s">
        <v>64</v>
      </c>
      <c r="D1760" t="s">
        <v>693</v>
      </c>
      <c r="E1760" s="2"/>
      <c r="F1760" s="2">
        <v>899.08</v>
      </c>
      <c r="G1760" s="2"/>
      <c r="H1760" s="2"/>
      <c r="I1760" s="2">
        <v>968.93</v>
      </c>
      <c r="J1760" s="2">
        <v>959.81999999999994</v>
      </c>
      <c r="K1760" s="2">
        <v>750.25</v>
      </c>
      <c r="L1760" s="2">
        <v>3578.0800000000013</v>
      </c>
      <c r="M1760" t="s">
        <v>4412</v>
      </c>
      <c r="N1760" t="s">
        <v>4400</v>
      </c>
    </row>
    <row r="1761" spans="1:14" x14ac:dyDescent="0.4">
      <c r="A1761" t="s">
        <v>3574</v>
      </c>
      <c r="B1761" t="s">
        <v>3575</v>
      </c>
      <c r="C1761" t="s">
        <v>64</v>
      </c>
      <c r="D1761" t="s">
        <v>2312</v>
      </c>
      <c r="E1761" s="2">
        <v>4368.9999999999991</v>
      </c>
      <c r="F1761" s="2">
        <v>4153.12</v>
      </c>
      <c r="G1761" s="2">
        <v>3888.4099999999989</v>
      </c>
      <c r="H1761" s="2">
        <v>1392.94</v>
      </c>
      <c r="I1761" s="2">
        <v>3009.47</v>
      </c>
      <c r="J1761" s="2">
        <v>3009.47</v>
      </c>
      <c r="K1761" s="2">
        <v>2726.77</v>
      </c>
      <c r="L1761" s="2">
        <v>22549.180000000018</v>
      </c>
      <c r="M1761" t="s">
        <v>4400</v>
      </c>
      <c r="N1761" t="s">
        <v>4400</v>
      </c>
    </row>
    <row r="1762" spans="1:14" x14ac:dyDescent="0.4">
      <c r="A1762" t="s">
        <v>3576</v>
      </c>
      <c r="B1762" t="s">
        <v>622</v>
      </c>
      <c r="C1762" t="s">
        <v>64</v>
      </c>
      <c r="D1762" t="s">
        <v>645</v>
      </c>
      <c r="E1762" s="2">
        <v>3629.7200000000007</v>
      </c>
      <c r="F1762" s="2">
        <v>3529.53</v>
      </c>
      <c r="G1762" s="2">
        <v>4428.579999999999</v>
      </c>
      <c r="H1762" s="2">
        <v>4225.0700000000006</v>
      </c>
      <c r="I1762" s="2">
        <v>4009.41</v>
      </c>
      <c r="J1762" s="2">
        <v>6077.8799999999992</v>
      </c>
      <c r="K1762" s="2">
        <v>1892.3300000000002</v>
      </c>
      <c r="L1762" s="2">
        <v>27792.51999999999</v>
      </c>
      <c r="M1762" t="s">
        <v>4400</v>
      </c>
      <c r="N1762" t="s">
        <v>4400</v>
      </c>
    </row>
    <row r="1763" spans="1:14" x14ac:dyDescent="0.4">
      <c r="A1763" t="s">
        <v>3577</v>
      </c>
      <c r="B1763" t="s">
        <v>3327</v>
      </c>
      <c r="C1763" t="s">
        <v>542</v>
      </c>
      <c r="D1763" t="s">
        <v>2506</v>
      </c>
      <c r="E1763" s="2">
        <v>756.30000000000007</v>
      </c>
      <c r="F1763" s="2"/>
      <c r="G1763" s="2"/>
      <c r="H1763" s="2">
        <v>1339.4999999999998</v>
      </c>
      <c r="I1763" s="2">
        <v>1792.0700000000004</v>
      </c>
      <c r="J1763" s="2">
        <v>1594.65</v>
      </c>
      <c r="K1763" s="2">
        <v>1035.75</v>
      </c>
      <c r="L1763" s="2">
        <v>6518.2700000000023</v>
      </c>
      <c r="M1763" t="s">
        <v>4400</v>
      </c>
      <c r="N1763" t="s">
        <v>4400</v>
      </c>
    </row>
    <row r="1764" spans="1:14" x14ac:dyDescent="0.4">
      <c r="A1764" t="s">
        <v>3578</v>
      </c>
      <c r="B1764" t="s">
        <v>3579</v>
      </c>
      <c r="C1764" t="s">
        <v>35</v>
      </c>
      <c r="D1764" t="s">
        <v>36</v>
      </c>
      <c r="E1764" s="2">
        <v>1673.0700000000002</v>
      </c>
      <c r="F1764" s="2">
        <v>1621.6700000000003</v>
      </c>
      <c r="G1764" s="2">
        <v>3297.3099999999986</v>
      </c>
      <c r="H1764" s="2">
        <v>2372.1099999999992</v>
      </c>
      <c r="I1764" s="2">
        <v>2235.9</v>
      </c>
      <c r="J1764" s="2">
        <v>745.3</v>
      </c>
      <c r="K1764" s="2">
        <v>1567.7000000000003</v>
      </c>
      <c r="L1764" s="2">
        <v>13513.060000000014</v>
      </c>
      <c r="M1764" t="s">
        <v>4400</v>
      </c>
      <c r="N1764" t="s">
        <v>4400</v>
      </c>
    </row>
    <row r="1765" spans="1:14" x14ac:dyDescent="0.4">
      <c r="A1765" t="s">
        <v>3580</v>
      </c>
      <c r="B1765" t="s">
        <v>3581</v>
      </c>
      <c r="C1765" t="s">
        <v>64</v>
      </c>
      <c r="D1765" t="s">
        <v>1424</v>
      </c>
      <c r="E1765" s="2">
        <v>4222.07</v>
      </c>
      <c r="F1765" s="2">
        <v>2442.1299999999997</v>
      </c>
      <c r="G1765" s="2">
        <v>2293.2799999999997</v>
      </c>
      <c r="H1765" s="2">
        <v>1500.5</v>
      </c>
      <c r="I1765" s="2">
        <v>2278.1</v>
      </c>
      <c r="J1765" s="2">
        <v>2253.7999999999997</v>
      </c>
      <c r="K1765" s="2">
        <v>1786.0300000000002</v>
      </c>
      <c r="L1765" s="2">
        <v>16775.909999999985</v>
      </c>
      <c r="M1765" t="s">
        <v>4400</v>
      </c>
      <c r="N1765" t="s">
        <v>4400</v>
      </c>
    </row>
    <row r="1766" spans="1:14" x14ac:dyDescent="0.4">
      <c r="A1766" t="s">
        <v>3582</v>
      </c>
      <c r="B1766" t="s">
        <v>3583</v>
      </c>
      <c r="C1766" t="s">
        <v>178</v>
      </c>
      <c r="D1766" t="s">
        <v>179</v>
      </c>
      <c r="E1766" s="2"/>
      <c r="F1766" s="2"/>
      <c r="G1766" s="2"/>
      <c r="H1766" s="2"/>
      <c r="I1766" s="2"/>
      <c r="J1766" s="2">
        <v>2323.62</v>
      </c>
      <c r="K1766" s="2"/>
      <c r="L1766" s="2">
        <v>2323.62</v>
      </c>
      <c r="M1766" t="s">
        <v>4405</v>
      </c>
      <c r="N1766" t="s">
        <v>4406</v>
      </c>
    </row>
    <row r="1767" spans="1:14" x14ac:dyDescent="0.4">
      <c r="A1767" t="s">
        <v>3584</v>
      </c>
      <c r="B1767" t="s">
        <v>3585</v>
      </c>
      <c r="C1767" t="s">
        <v>27</v>
      </c>
      <c r="D1767" t="s">
        <v>28</v>
      </c>
      <c r="E1767" s="2"/>
      <c r="F1767" s="2"/>
      <c r="G1767" s="2"/>
      <c r="H1767" s="2"/>
      <c r="I1767" s="2"/>
      <c r="J1767" s="2">
        <v>750.25</v>
      </c>
      <c r="K1767" s="2">
        <v>826.18</v>
      </c>
      <c r="L1767" s="2">
        <v>1576.43</v>
      </c>
      <c r="M1767" t="s">
        <v>4405</v>
      </c>
      <c r="N1767" t="s">
        <v>4400</v>
      </c>
    </row>
    <row r="1768" spans="1:14" x14ac:dyDescent="0.4">
      <c r="A1768" t="s">
        <v>3586</v>
      </c>
      <c r="B1768" t="s">
        <v>3587</v>
      </c>
      <c r="C1768" t="s">
        <v>64</v>
      </c>
      <c r="D1768" t="s">
        <v>545</v>
      </c>
      <c r="E1768" s="2"/>
      <c r="F1768" s="2"/>
      <c r="G1768" s="2">
        <v>923.34999999999991</v>
      </c>
      <c r="H1768" s="2"/>
      <c r="I1768" s="2"/>
      <c r="J1768" s="2"/>
      <c r="K1768" s="2"/>
      <c r="L1768" s="2">
        <v>923.34999999999991</v>
      </c>
      <c r="M1768" t="s">
        <v>4411</v>
      </c>
      <c r="N1768" t="s">
        <v>4403</v>
      </c>
    </row>
    <row r="1769" spans="1:14" x14ac:dyDescent="0.4">
      <c r="A1769" t="s">
        <v>3588</v>
      </c>
      <c r="B1769" t="s">
        <v>3589</v>
      </c>
      <c r="C1769" t="s">
        <v>5</v>
      </c>
      <c r="D1769" t="s">
        <v>132</v>
      </c>
      <c r="E1769" s="2">
        <v>2916.9499999999994</v>
      </c>
      <c r="F1769" s="2">
        <v>1431.4899999999996</v>
      </c>
      <c r="G1769" s="2">
        <v>1439.1999999999994</v>
      </c>
      <c r="H1769" s="2"/>
      <c r="I1769" s="2">
        <v>1649.9399999999998</v>
      </c>
      <c r="J1769" s="2">
        <v>742.73</v>
      </c>
      <c r="K1769" s="2">
        <v>763.29</v>
      </c>
      <c r="L1769" s="2">
        <v>8943.6000000000076</v>
      </c>
      <c r="M1769" t="s">
        <v>4400</v>
      </c>
      <c r="N1769" t="s">
        <v>4400</v>
      </c>
    </row>
    <row r="1770" spans="1:14" x14ac:dyDescent="0.4">
      <c r="A1770" t="s">
        <v>3590</v>
      </c>
      <c r="B1770" t="s">
        <v>578</v>
      </c>
      <c r="C1770" t="s">
        <v>244</v>
      </c>
      <c r="D1770" t="s">
        <v>248</v>
      </c>
      <c r="E1770" s="2">
        <v>3298.66</v>
      </c>
      <c r="F1770" s="2">
        <v>3192.3999999999992</v>
      </c>
      <c r="G1770" s="2">
        <v>2311.52</v>
      </c>
      <c r="H1770" s="2">
        <v>2332.8000000000002</v>
      </c>
      <c r="I1770" s="2">
        <v>2420.8700000000003</v>
      </c>
      <c r="J1770" s="2">
        <v>1570.3900000000003</v>
      </c>
      <c r="K1770" s="2">
        <v>841.3900000000001</v>
      </c>
      <c r="L1770" s="2">
        <v>15968.029999999999</v>
      </c>
      <c r="M1770" t="s">
        <v>4400</v>
      </c>
      <c r="N1770" t="s">
        <v>4400</v>
      </c>
    </row>
    <row r="1771" spans="1:14" x14ac:dyDescent="0.4">
      <c r="A1771" t="s">
        <v>3591</v>
      </c>
      <c r="B1771" t="s">
        <v>762</v>
      </c>
      <c r="C1771" t="s">
        <v>113</v>
      </c>
      <c r="D1771" t="s">
        <v>114</v>
      </c>
      <c r="E1771" s="2">
        <v>2559.7199999999998</v>
      </c>
      <c r="F1771" s="2">
        <v>3073.719999999998</v>
      </c>
      <c r="G1771" s="2">
        <v>3040.3099999999986</v>
      </c>
      <c r="H1771" s="2">
        <v>4099.1499999999987</v>
      </c>
      <c r="I1771" s="2">
        <v>5880.1600000000017</v>
      </c>
      <c r="J1771" s="2">
        <v>7082.9200000000028</v>
      </c>
      <c r="K1771" s="2">
        <v>3986.0699999999997</v>
      </c>
      <c r="L1771" s="2">
        <v>29722.050000000076</v>
      </c>
      <c r="M1771" t="s">
        <v>4400</v>
      </c>
      <c r="N1771" t="s">
        <v>4400</v>
      </c>
    </row>
    <row r="1772" spans="1:14" x14ac:dyDescent="0.4">
      <c r="A1772" t="s">
        <v>3592</v>
      </c>
      <c r="B1772" t="s">
        <v>3593</v>
      </c>
      <c r="C1772" t="s">
        <v>78</v>
      </c>
      <c r="D1772" t="s">
        <v>907</v>
      </c>
      <c r="E1772" s="2">
        <v>722.16999999999985</v>
      </c>
      <c r="F1772" s="2">
        <v>737.58999999999992</v>
      </c>
      <c r="G1772" s="2"/>
      <c r="H1772" s="2">
        <v>714.45999999999992</v>
      </c>
      <c r="I1772" s="2">
        <v>799.2700000000001</v>
      </c>
      <c r="J1772" s="2"/>
      <c r="K1772" s="2"/>
      <c r="L1772" s="2">
        <v>2973.4899999999993</v>
      </c>
      <c r="M1772" t="s">
        <v>4400</v>
      </c>
      <c r="N1772" t="s">
        <v>4401</v>
      </c>
    </row>
    <row r="1773" spans="1:14" x14ac:dyDescent="0.4">
      <c r="A1773" t="s">
        <v>3594</v>
      </c>
      <c r="B1773" t="s">
        <v>3327</v>
      </c>
      <c r="C1773" t="s">
        <v>163</v>
      </c>
      <c r="D1773" t="s">
        <v>164</v>
      </c>
      <c r="E1773" s="2"/>
      <c r="F1773" s="2"/>
      <c r="G1773" s="2"/>
      <c r="H1773" s="2"/>
      <c r="I1773" s="2"/>
      <c r="J1773" s="2">
        <v>719.87</v>
      </c>
      <c r="K1773" s="2"/>
      <c r="L1773" s="2">
        <v>719.87</v>
      </c>
      <c r="M1773" t="s">
        <v>4405</v>
      </c>
      <c r="N1773" t="s">
        <v>4406</v>
      </c>
    </row>
    <row r="1774" spans="1:14" x14ac:dyDescent="0.4">
      <c r="A1774" t="s">
        <v>3595</v>
      </c>
      <c r="B1774" t="s">
        <v>3596</v>
      </c>
      <c r="C1774" t="s">
        <v>359</v>
      </c>
      <c r="D1774" t="s">
        <v>360</v>
      </c>
      <c r="E1774" s="2"/>
      <c r="F1774" s="2">
        <v>1697.84</v>
      </c>
      <c r="G1774" s="2">
        <v>1682.7200000000003</v>
      </c>
      <c r="H1774" s="2"/>
      <c r="I1774" s="2"/>
      <c r="J1774" s="2"/>
      <c r="K1774" s="2"/>
      <c r="L1774" s="2">
        <v>3380.5599999999995</v>
      </c>
      <c r="M1774" t="s">
        <v>4412</v>
      </c>
      <c r="N1774" t="s">
        <v>4403</v>
      </c>
    </row>
    <row r="1775" spans="1:14" x14ac:dyDescent="0.4">
      <c r="A1775" t="s">
        <v>3597</v>
      </c>
      <c r="B1775" t="s">
        <v>3598</v>
      </c>
      <c r="C1775" t="s">
        <v>587</v>
      </c>
      <c r="D1775" t="s">
        <v>1935</v>
      </c>
      <c r="E1775" s="2">
        <v>1922.36</v>
      </c>
      <c r="F1775" s="2">
        <v>1943.9199999999998</v>
      </c>
      <c r="G1775" s="2">
        <v>1874.0299999999997</v>
      </c>
      <c r="H1775" s="2">
        <v>850.48</v>
      </c>
      <c r="I1775" s="2">
        <v>2074.5500000000002</v>
      </c>
      <c r="J1775" s="2">
        <v>1524.7399999999998</v>
      </c>
      <c r="K1775" s="2">
        <v>1269.6100000000001</v>
      </c>
      <c r="L1775" s="2">
        <v>11459.689999999997</v>
      </c>
      <c r="M1775" t="s">
        <v>4400</v>
      </c>
      <c r="N1775" t="s">
        <v>4400</v>
      </c>
    </row>
    <row r="1776" spans="1:14" x14ac:dyDescent="0.4">
      <c r="A1776" t="s">
        <v>3599</v>
      </c>
      <c r="B1776" t="s">
        <v>3600</v>
      </c>
      <c r="C1776" t="s">
        <v>5</v>
      </c>
      <c r="D1776" t="s">
        <v>135</v>
      </c>
      <c r="E1776" s="2">
        <v>1526.5800000000002</v>
      </c>
      <c r="F1776" s="2">
        <v>835.25</v>
      </c>
      <c r="G1776" s="2">
        <v>917.4899999999999</v>
      </c>
      <c r="H1776" s="2">
        <v>760.71999999999991</v>
      </c>
      <c r="I1776" s="2">
        <v>1634.5199999999998</v>
      </c>
      <c r="J1776" s="2">
        <v>1536.86</v>
      </c>
      <c r="K1776" s="2">
        <v>830.1099999999999</v>
      </c>
      <c r="L1776" s="2">
        <v>8041.5300000000007</v>
      </c>
      <c r="M1776" t="s">
        <v>4400</v>
      </c>
      <c r="N1776" t="s">
        <v>4400</v>
      </c>
    </row>
    <row r="1777" spans="1:14" x14ac:dyDescent="0.4">
      <c r="A1777" t="s">
        <v>3601</v>
      </c>
      <c r="B1777" t="s">
        <v>3602</v>
      </c>
      <c r="C1777" t="s">
        <v>78</v>
      </c>
      <c r="D1777" t="s">
        <v>1553</v>
      </c>
      <c r="E1777" s="2">
        <v>905.17000000000007</v>
      </c>
      <c r="F1777" s="2"/>
      <c r="G1777" s="2">
        <v>1643.28</v>
      </c>
      <c r="H1777" s="2"/>
      <c r="I1777" s="2">
        <v>993.26</v>
      </c>
      <c r="J1777" s="2">
        <v>959.8599999999999</v>
      </c>
      <c r="K1777" s="2"/>
      <c r="L1777" s="2">
        <v>4501.57</v>
      </c>
      <c r="M1777" t="s">
        <v>4400</v>
      </c>
      <c r="N1777" t="s">
        <v>4406</v>
      </c>
    </row>
    <row r="1778" spans="1:14" x14ac:dyDescent="0.4">
      <c r="A1778" t="s">
        <v>3603</v>
      </c>
      <c r="B1778" t="s">
        <v>3337</v>
      </c>
      <c r="C1778" t="s">
        <v>35</v>
      </c>
      <c r="D1778" t="s">
        <v>1702</v>
      </c>
      <c r="E1778" s="2">
        <v>7493.5099999999993</v>
      </c>
      <c r="F1778" s="2">
        <v>5261.01</v>
      </c>
      <c r="G1778" s="2">
        <v>5370.329999999999</v>
      </c>
      <c r="H1778" s="2">
        <v>4449.9399999999978</v>
      </c>
      <c r="I1778" s="2">
        <v>6949.8299999999981</v>
      </c>
      <c r="J1778" s="2">
        <v>5312.5999999999995</v>
      </c>
      <c r="K1778" s="2">
        <v>2724.6400000000003</v>
      </c>
      <c r="L1778" s="2">
        <v>37561.860000000044</v>
      </c>
      <c r="M1778" t="s">
        <v>4400</v>
      </c>
      <c r="N1778" t="s">
        <v>4400</v>
      </c>
    </row>
    <row r="1779" spans="1:14" x14ac:dyDescent="0.4">
      <c r="A1779" t="s">
        <v>3604</v>
      </c>
      <c r="B1779" t="s">
        <v>3605</v>
      </c>
      <c r="C1779" t="s">
        <v>220</v>
      </c>
      <c r="D1779" t="s">
        <v>797</v>
      </c>
      <c r="E1779" s="2"/>
      <c r="F1779" s="2">
        <v>990.16000000000008</v>
      </c>
      <c r="G1779" s="2"/>
      <c r="H1779" s="2">
        <v>984.09999999999991</v>
      </c>
      <c r="I1779" s="2">
        <v>735.06</v>
      </c>
      <c r="J1779" s="2">
        <v>732.03</v>
      </c>
      <c r="K1779" s="2"/>
      <c r="L1779" s="2">
        <v>3441.3500000000004</v>
      </c>
      <c r="M1779" t="s">
        <v>4412</v>
      </c>
      <c r="N1779" t="s">
        <v>4406</v>
      </c>
    </row>
    <row r="1780" spans="1:14" x14ac:dyDescent="0.4">
      <c r="A1780" t="s">
        <v>3606</v>
      </c>
      <c r="B1780" t="s">
        <v>3607</v>
      </c>
      <c r="C1780" t="s">
        <v>227</v>
      </c>
      <c r="D1780" t="s">
        <v>910</v>
      </c>
      <c r="E1780" s="2"/>
      <c r="F1780" s="2">
        <v>1526.58</v>
      </c>
      <c r="G1780" s="2">
        <v>724.74</v>
      </c>
      <c r="H1780" s="2">
        <v>727.31</v>
      </c>
      <c r="I1780" s="2">
        <v>1495.7399999999998</v>
      </c>
      <c r="J1780" s="2">
        <v>722.17000000000007</v>
      </c>
      <c r="K1780" s="2"/>
      <c r="L1780" s="2">
        <v>5196.5399999999991</v>
      </c>
      <c r="M1780" t="s">
        <v>4412</v>
      </c>
      <c r="N1780" t="s">
        <v>4406</v>
      </c>
    </row>
    <row r="1781" spans="1:14" x14ac:dyDescent="0.4">
      <c r="A1781" t="s">
        <v>3608</v>
      </c>
      <c r="B1781" t="s">
        <v>3609</v>
      </c>
      <c r="C1781" t="s">
        <v>64</v>
      </c>
      <c r="D1781" t="s">
        <v>2312</v>
      </c>
      <c r="E1781" s="2">
        <v>1816.3899999999999</v>
      </c>
      <c r="F1781" s="2"/>
      <c r="G1781" s="2"/>
      <c r="H1781" s="2"/>
      <c r="I1781" s="2"/>
      <c r="J1781" s="2">
        <v>738.07999999999993</v>
      </c>
      <c r="K1781" s="2">
        <v>1072.2</v>
      </c>
      <c r="L1781" s="2">
        <v>3626.67</v>
      </c>
      <c r="M1781" t="s">
        <v>4400</v>
      </c>
      <c r="N1781" t="s">
        <v>4400</v>
      </c>
    </row>
    <row r="1782" spans="1:14" x14ac:dyDescent="0.4">
      <c r="A1782" t="s">
        <v>3610</v>
      </c>
      <c r="B1782" t="s">
        <v>3611</v>
      </c>
      <c r="C1782" t="s">
        <v>113</v>
      </c>
      <c r="D1782" t="s">
        <v>117</v>
      </c>
      <c r="E1782" s="2"/>
      <c r="F1782" s="2">
        <v>2126.2299999999996</v>
      </c>
      <c r="G1782" s="2"/>
      <c r="H1782" s="2"/>
      <c r="I1782" s="2"/>
      <c r="J1782" s="2"/>
      <c r="K1782" s="2"/>
      <c r="L1782" s="2">
        <v>2126.2299999999996</v>
      </c>
      <c r="M1782" t="s">
        <v>4412</v>
      </c>
      <c r="N1782" t="s">
        <v>4410</v>
      </c>
    </row>
    <row r="1783" spans="1:14" x14ac:dyDescent="0.4">
      <c r="A1783" t="s">
        <v>3612</v>
      </c>
      <c r="B1783" t="s">
        <v>3613</v>
      </c>
      <c r="C1783" t="s">
        <v>78</v>
      </c>
      <c r="D1783" t="s">
        <v>1240</v>
      </c>
      <c r="E1783" s="2">
        <v>1642.23</v>
      </c>
      <c r="F1783" s="2">
        <v>1547.1399999999999</v>
      </c>
      <c r="G1783" s="2">
        <v>845.52999999999986</v>
      </c>
      <c r="H1783" s="2"/>
      <c r="I1783" s="2">
        <v>917.49</v>
      </c>
      <c r="J1783" s="2">
        <v>966.31999999999994</v>
      </c>
      <c r="K1783" s="2"/>
      <c r="L1783" s="2">
        <v>5918.7100000000046</v>
      </c>
      <c r="M1783" t="s">
        <v>4400</v>
      </c>
      <c r="N1783" t="s">
        <v>4406</v>
      </c>
    </row>
    <row r="1784" spans="1:14" x14ac:dyDescent="0.4">
      <c r="A1784" t="s">
        <v>3614</v>
      </c>
      <c r="B1784" t="s">
        <v>2690</v>
      </c>
      <c r="C1784" t="s">
        <v>78</v>
      </c>
      <c r="D1784" t="s">
        <v>841</v>
      </c>
      <c r="E1784" s="2">
        <v>728.9799999999999</v>
      </c>
      <c r="F1784" s="2"/>
      <c r="G1784" s="2"/>
      <c r="H1784" s="2"/>
      <c r="I1784" s="2"/>
      <c r="J1784" s="2"/>
      <c r="K1784" s="2"/>
      <c r="L1784" s="2">
        <v>728.9799999999999</v>
      </c>
      <c r="M1784" t="s">
        <v>4400</v>
      </c>
      <c r="N1784" t="s">
        <v>4407</v>
      </c>
    </row>
    <row r="1785" spans="1:14" x14ac:dyDescent="0.4">
      <c r="A1785" t="s">
        <v>3615</v>
      </c>
      <c r="B1785" t="s">
        <v>3616</v>
      </c>
      <c r="C1785" t="s">
        <v>1</v>
      </c>
      <c r="D1785" t="s">
        <v>1030</v>
      </c>
      <c r="E1785" s="2">
        <v>2299.3200000000006</v>
      </c>
      <c r="F1785" s="2">
        <v>2238.5599999999995</v>
      </c>
      <c r="G1785" s="2">
        <v>3714.7400000000007</v>
      </c>
      <c r="H1785" s="2">
        <v>3122.47</v>
      </c>
      <c r="I1785" s="2">
        <v>3571.949999999998</v>
      </c>
      <c r="J1785" s="2">
        <v>4416.3099999999995</v>
      </c>
      <c r="K1785" s="2">
        <v>1855.8399999999997</v>
      </c>
      <c r="L1785" s="2">
        <v>21219.189999999988</v>
      </c>
      <c r="M1785" t="s">
        <v>4400</v>
      </c>
      <c r="N1785" t="s">
        <v>4400</v>
      </c>
    </row>
    <row r="1786" spans="1:14" x14ac:dyDescent="0.4">
      <c r="A1786" t="s">
        <v>3617</v>
      </c>
      <c r="B1786" t="s">
        <v>3618</v>
      </c>
      <c r="C1786" t="s">
        <v>159</v>
      </c>
      <c r="D1786" t="s">
        <v>160</v>
      </c>
      <c r="E1786" s="2">
        <v>877.84999999999991</v>
      </c>
      <c r="F1786" s="2"/>
      <c r="G1786" s="2"/>
      <c r="H1786" s="2"/>
      <c r="I1786" s="2">
        <v>1694.91</v>
      </c>
      <c r="J1786" s="2">
        <v>3210.56</v>
      </c>
      <c r="K1786" s="2">
        <v>2499.8600000000006</v>
      </c>
      <c r="L1786" s="2">
        <v>8283.18</v>
      </c>
      <c r="M1786" t="s">
        <v>4400</v>
      </c>
      <c r="N1786" t="s">
        <v>4400</v>
      </c>
    </row>
    <row r="1787" spans="1:14" x14ac:dyDescent="0.4">
      <c r="A1787" t="s">
        <v>3619</v>
      </c>
      <c r="B1787" t="s">
        <v>3620</v>
      </c>
      <c r="C1787" t="s">
        <v>64</v>
      </c>
      <c r="D1787" t="s">
        <v>1560</v>
      </c>
      <c r="E1787" s="2">
        <v>1840.6600000000003</v>
      </c>
      <c r="F1787" s="2">
        <v>3723.8399999999997</v>
      </c>
      <c r="G1787" s="2">
        <v>3945.5600000000004</v>
      </c>
      <c r="H1787" s="2">
        <v>4249.3899999999994</v>
      </c>
      <c r="I1787" s="2">
        <v>4744.54</v>
      </c>
      <c r="J1787" s="2">
        <v>4489.3499999999985</v>
      </c>
      <c r="K1787" s="2">
        <v>2202.14</v>
      </c>
      <c r="L1787" s="2">
        <v>25195.479999999992</v>
      </c>
      <c r="M1787" t="s">
        <v>4400</v>
      </c>
      <c r="N1787" t="s">
        <v>4400</v>
      </c>
    </row>
    <row r="1788" spans="1:14" x14ac:dyDescent="0.4">
      <c r="A1788" t="s">
        <v>3621</v>
      </c>
      <c r="B1788" t="s">
        <v>3622</v>
      </c>
      <c r="C1788" t="s">
        <v>220</v>
      </c>
      <c r="D1788" t="s">
        <v>2154</v>
      </c>
      <c r="E1788" s="2"/>
      <c r="F1788" s="2"/>
      <c r="G1788" s="2"/>
      <c r="H1788" s="2"/>
      <c r="I1788" s="2"/>
      <c r="J1788" s="2">
        <v>735.01999999999987</v>
      </c>
      <c r="K1788" s="2"/>
      <c r="L1788" s="2">
        <v>735.01999999999987</v>
      </c>
      <c r="M1788" t="s">
        <v>4405</v>
      </c>
      <c r="N1788" t="s">
        <v>4406</v>
      </c>
    </row>
    <row r="1789" spans="1:14" x14ac:dyDescent="0.4">
      <c r="A1789" t="s">
        <v>3623</v>
      </c>
      <c r="B1789" t="s">
        <v>3221</v>
      </c>
      <c r="C1789" t="s">
        <v>186</v>
      </c>
      <c r="D1789" t="s">
        <v>190</v>
      </c>
      <c r="E1789" s="2">
        <v>728.9899999999999</v>
      </c>
      <c r="F1789" s="2">
        <v>2654.7000000000007</v>
      </c>
      <c r="G1789" s="2">
        <v>765.43</v>
      </c>
      <c r="H1789" s="2"/>
      <c r="I1789" s="2">
        <v>735.06</v>
      </c>
      <c r="J1789" s="2">
        <v>859.58999999999992</v>
      </c>
      <c r="K1789" s="2"/>
      <c r="L1789" s="2">
        <v>5743.7699999999941</v>
      </c>
      <c r="M1789" t="s">
        <v>4400</v>
      </c>
      <c r="N1789" t="s">
        <v>4406</v>
      </c>
    </row>
    <row r="1790" spans="1:14" x14ac:dyDescent="0.4">
      <c r="A1790" t="s">
        <v>3624</v>
      </c>
      <c r="B1790" t="s">
        <v>3625</v>
      </c>
      <c r="C1790" t="s">
        <v>52</v>
      </c>
      <c r="D1790" t="s">
        <v>147</v>
      </c>
      <c r="E1790" s="2">
        <v>2001.7199999999998</v>
      </c>
      <c r="F1790" s="2">
        <v>1518.78</v>
      </c>
      <c r="G1790" s="2">
        <v>2363.2199999999993</v>
      </c>
      <c r="H1790" s="2">
        <v>1555.21</v>
      </c>
      <c r="I1790" s="2">
        <v>829.25</v>
      </c>
      <c r="J1790" s="2">
        <v>725.94</v>
      </c>
      <c r="K1790" s="2">
        <v>756.31</v>
      </c>
      <c r="L1790" s="2">
        <v>9750.43</v>
      </c>
      <c r="M1790" t="s">
        <v>4400</v>
      </c>
      <c r="N1790" t="s">
        <v>4400</v>
      </c>
    </row>
    <row r="1791" spans="1:14" x14ac:dyDescent="0.4">
      <c r="A1791" t="s">
        <v>3626</v>
      </c>
      <c r="B1791" t="s">
        <v>3184</v>
      </c>
      <c r="C1791" t="s">
        <v>52</v>
      </c>
      <c r="D1791" t="s">
        <v>153</v>
      </c>
      <c r="E1791" s="2">
        <v>1698.7700000000002</v>
      </c>
      <c r="F1791" s="2">
        <v>2323.2799999999997</v>
      </c>
      <c r="G1791" s="2">
        <v>2166.5099999999998</v>
      </c>
      <c r="H1791" s="2">
        <v>2418.37</v>
      </c>
      <c r="I1791" s="2">
        <v>3960.3699999999985</v>
      </c>
      <c r="J1791" s="2">
        <v>3371.8399999999997</v>
      </c>
      <c r="K1791" s="2">
        <v>2464.6299999999997</v>
      </c>
      <c r="L1791" s="2">
        <v>18403.770000000011</v>
      </c>
      <c r="M1791" t="s">
        <v>4400</v>
      </c>
      <c r="N1791" t="s">
        <v>4400</v>
      </c>
    </row>
    <row r="1792" spans="1:14" x14ac:dyDescent="0.4">
      <c r="A1792" t="s">
        <v>3627</v>
      </c>
      <c r="B1792" t="s">
        <v>3628</v>
      </c>
      <c r="C1792" t="s">
        <v>64</v>
      </c>
      <c r="D1792" t="s">
        <v>68</v>
      </c>
      <c r="E1792" s="2">
        <v>3863.55</v>
      </c>
      <c r="F1792" s="2">
        <v>3751.1599999999989</v>
      </c>
      <c r="G1792" s="2">
        <v>3912.16</v>
      </c>
      <c r="H1792" s="2">
        <v>4443.68</v>
      </c>
      <c r="I1792" s="2">
        <v>4468.0300000000007</v>
      </c>
      <c r="J1792" s="2">
        <v>2150.46</v>
      </c>
      <c r="K1792" s="2">
        <v>2393.46</v>
      </c>
      <c r="L1792" s="2">
        <v>24982.499999999978</v>
      </c>
      <c r="M1792" t="s">
        <v>4400</v>
      </c>
      <c r="N1792" t="s">
        <v>4400</v>
      </c>
    </row>
    <row r="1793" spans="1:14" x14ac:dyDescent="0.4">
      <c r="A1793" t="s">
        <v>3629</v>
      </c>
      <c r="B1793" t="s">
        <v>3630</v>
      </c>
      <c r="C1793" t="s">
        <v>1</v>
      </c>
      <c r="D1793" t="s">
        <v>507</v>
      </c>
      <c r="E1793" s="2">
        <v>809.55000000000007</v>
      </c>
      <c r="F1793" s="2"/>
      <c r="G1793" s="2"/>
      <c r="H1793" s="2"/>
      <c r="I1793" s="2">
        <v>768.43000000000006</v>
      </c>
      <c r="J1793" s="2"/>
      <c r="K1793" s="2">
        <v>755.57999999999993</v>
      </c>
      <c r="L1793" s="2">
        <v>2333.56</v>
      </c>
      <c r="M1793" t="s">
        <v>4400</v>
      </c>
      <c r="N1793" t="s">
        <v>4400</v>
      </c>
    </row>
    <row r="1794" spans="1:14" x14ac:dyDescent="0.4">
      <c r="A1794" t="s">
        <v>3631</v>
      </c>
      <c r="B1794" t="s">
        <v>1610</v>
      </c>
      <c r="C1794" t="s">
        <v>109</v>
      </c>
      <c r="D1794" t="s">
        <v>110</v>
      </c>
      <c r="E1794" s="2">
        <v>9185.2500000000018</v>
      </c>
      <c r="F1794" s="2">
        <v>6536.5999999999995</v>
      </c>
      <c r="G1794" s="2">
        <v>6439.37</v>
      </c>
      <c r="H1794" s="2">
        <v>8283.1200000000008</v>
      </c>
      <c r="I1794" s="2">
        <v>10816.350000000002</v>
      </c>
      <c r="J1794" s="2">
        <v>8510.9499999999989</v>
      </c>
      <c r="K1794" s="2">
        <v>4212.9599999999991</v>
      </c>
      <c r="L1794" s="2">
        <v>53984.600000000042</v>
      </c>
      <c r="M1794" t="s">
        <v>4400</v>
      </c>
      <c r="N1794" t="s">
        <v>4400</v>
      </c>
    </row>
    <row r="1795" spans="1:14" x14ac:dyDescent="0.4">
      <c r="A1795" t="s">
        <v>3632</v>
      </c>
      <c r="B1795" t="s">
        <v>2880</v>
      </c>
      <c r="C1795" t="s">
        <v>113</v>
      </c>
      <c r="D1795" t="s">
        <v>120</v>
      </c>
      <c r="E1795" s="2"/>
      <c r="F1795" s="2">
        <v>911.22</v>
      </c>
      <c r="G1795" s="2">
        <v>923.38000000000011</v>
      </c>
      <c r="H1795" s="2"/>
      <c r="I1795" s="2"/>
      <c r="J1795" s="2">
        <v>883.89</v>
      </c>
      <c r="K1795" s="2"/>
      <c r="L1795" s="2">
        <v>2718.4900000000002</v>
      </c>
      <c r="M1795" t="s">
        <v>4412</v>
      </c>
      <c r="N1795" t="s">
        <v>4406</v>
      </c>
    </row>
    <row r="1796" spans="1:14" x14ac:dyDescent="0.4">
      <c r="A1796" t="s">
        <v>3633</v>
      </c>
      <c r="B1796" t="s">
        <v>3417</v>
      </c>
      <c r="C1796" t="s">
        <v>64</v>
      </c>
      <c r="D1796" t="s">
        <v>2514</v>
      </c>
      <c r="E1796" s="2"/>
      <c r="F1796" s="2"/>
      <c r="G1796" s="2">
        <v>740.16</v>
      </c>
      <c r="H1796" s="2"/>
      <c r="I1796" s="2"/>
      <c r="J1796" s="2"/>
      <c r="K1796" s="2"/>
      <c r="L1796" s="2">
        <v>740.16</v>
      </c>
      <c r="M1796" t="s">
        <v>4411</v>
      </c>
      <c r="N1796" t="s">
        <v>4403</v>
      </c>
    </row>
    <row r="1797" spans="1:14" x14ac:dyDescent="0.4">
      <c r="A1797" t="s">
        <v>3634</v>
      </c>
      <c r="B1797" t="s">
        <v>3221</v>
      </c>
      <c r="C1797" t="s">
        <v>186</v>
      </c>
      <c r="D1797" t="s">
        <v>190</v>
      </c>
      <c r="E1797" s="2">
        <v>1448.8900000000003</v>
      </c>
      <c r="F1797" s="2">
        <v>1497.4300000000003</v>
      </c>
      <c r="G1797" s="2">
        <v>2232.54</v>
      </c>
      <c r="H1797" s="2">
        <v>1470.1000000000001</v>
      </c>
      <c r="I1797" s="2"/>
      <c r="J1797" s="2">
        <v>722.89999999999986</v>
      </c>
      <c r="K1797" s="2">
        <v>738.07999999999993</v>
      </c>
      <c r="L1797" s="2">
        <v>8109.9399999999914</v>
      </c>
      <c r="M1797" t="s">
        <v>4400</v>
      </c>
      <c r="N1797" t="s">
        <v>4400</v>
      </c>
    </row>
    <row r="1798" spans="1:14" x14ac:dyDescent="0.4">
      <c r="A1798" t="s">
        <v>3635</v>
      </c>
      <c r="B1798" t="s">
        <v>389</v>
      </c>
      <c r="C1798" t="s">
        <v>390</v>
      </c>
      <c r="D1798" t="s">
        <v>391</v>
      </c>
      <c r="E1798" s="2">
        <v>2308.4500000000003</v>
      </c>
      <c r="F1798" s="2">
        <v>4780.9399999999978</v>
      </c>
      <c r="G1798" s="2">
        <v>4622.9599999999991</v>
      </c>
      <c r="H1798" s="2">
        <v>3830.1799999999994</v>
      </c>
      <c r="I1798" s="2">
        <v>5215.2599999999984</v>
      </c>
      <c r="J1798" s="2">
        <v>3696.56</v>
      </c>
      <c r="K1798" s="2">
        <v>829.23</v>
      </c>
      <c r="L1798" s="2">
        <v>25283.58</v>
      </c>
      <c r="M1798" t="s">
        <v>4400</v>
      </c>
      <c r="N1798" t="s">
        <v>4400</v>
      </c>
    </row>
    <row r="1799" spans="1:14" x14ac:dyDescent="0.4">
      <c r="A1799" t="s">
        <v>3636</v>
      </c>
      <c r="B1799" t="s">
        <v>3637</v>
      </c>
      <c r="C1799" t="s">
        <v>64</v>
      </c>
      <c r="D1799" t="s">
        <v>3638</v>
      </c>
      <c r="E1799" s="2">
        <v>3014.6099999999997</v>
      </c>
      <c r="F1799" s="2">
        <v>2531.4499999999994</v>
      </c>
      <c r="G1799" s="2">
        <v>2950.3599999999992</v>
      </c>
      <c r="H1799" s="2">
        <v>2608.5499999999997</v>
      </c>
      <c r="I1799" s="2">
        <v>717.03</v>
      </c>
      <c r="J1799" s="2"/>
      <c r="K1799" s="2"/>
      <c r="L1799" s="2">
        <v>11822.000000000007</v>
      </c>
      <c r="M1799" t="s">
        <v>4400</v>
      </c>
      <c r="N1799" t="s">
        <v>4401</v>
      </c>
    </row>
    <row r="1800" spans="1:14" x14ac:dyDescent="0.4">
      <c r="A1800" t="s">
        <v>3639</v>
      </c>
      <c r="B1800" t="s">
        <v>3640</v>
      </c>
      <c r="C1800" t="s">
        <v>78</v>
      </c>
      <c r="D1800" t="s">
        <v>1553</v>
      </c>
      <c r="E1800" s="2">
        <v>719.8599999999999</v>
      </c>
      <c r="F1800" s="2">
        <v>747.2</v>
      </c>
      <c r="G1800" s="2">
        <v>1105.6200000000001</v>
      </c>
      <c r="H1800" s="2">
        <v>1026.6599999999999</v>
      </c>
      <c r="I1800" s="2"/>
      <c r="J1800" s="2">
        <v>1892.3399999999997</v>
      </c>
      <c r="K1800" s="2">
        <v>899.1</v>
      </c>
      <c r="L1800" s="2">
        <v>6390.7800000000007</v>
      </c>
      <c r="M1800" t="s">
        <v>4400</v>
      </c>
      <c r="N1800" t="s">
        <v>4400</v>
      </c>
    </row>
    <row r="1801" spans="1:14" x14ac:dyDescent="0.4">
      <c r="A1801" t="s">
        <v>3641</v>
      </c>
      <c r="B1801" t="s">
        <v>3642</v>
      </c>
      <c r="C1801" t="s">
        <v>64</v>
      </c>
      <c r="D1801" t="s">
        <v>2297</v>
      </c>
      <c r="E1801" s="2"/>
      <c r="F1801" s="2"/>
      <c r="G1801" s="2"/>
      <c r="H1801" s="2"/>
      <c r="I1801" s="2"/>
      <c r="J1801" s="2">
        <v>912.3499999999998</v>
      </c>
      <c r="K1801" s="2"/>
      <c r="L1801" s="2">
        <v>912.3499999999998</v>
      </c>
      <c r="M1801" t="s">
        <v>4405</v>
      </c>
      <c r="N1801" t="s">
        <v>4406</v>
      </c>
    </row>
    <row r="1802" spans="1:14" x14ac:dyDescent="0.4">
      <c r="A1802" t="s">
        <v>3643</v>
      </c>
      <c r="B1802" t="s">
        <v>1155</v>
      </c>
      <c r="C1802" t="s">
        <v>303</v>
      </c>
      <c r="D1802" t="s">
        <v>2189</v>
      </c>
      <c r="E1802" s="2">
        <v>3265.2899999999986</v>
      </c>
      <c r="F1802" s="2">
        <v>4094.52</v>
      </c>
      <c r="G1802" s="2">
        <v>3957.8199999999993</v>
      </c>
      <c r="H1802" s="2">
        <v>3784.6999999999994</v>
      </c>
      <c r="I1802" s="2">
        <v>1740.4799999999998</v>
      </c>
      <c r="J1802" s="2">
        <v>1543.04</v>
      </c>
      <c r="K1802" s="2">
        <v>2511.9999999999991</v>
      </c>
      <c r="L1802" s="2">
        <v>20897.849999999955</v>
      </c>
      <c r="M1802" t="s">
        <v>4400</v>
      </c>
      <c r="N1802" t="s">
        <v>4400</v>
      </c>
    </row>
    <row r="1803" spans="1:14" x14ac:dyDescent="0.4">
      <c r="A1803" t="s">
        <v>3644</v>
      </c>
      <c r="B1803" t="s">
        <v>3645</v>
      </c>
      <c r="C1803" t="s">
        <v>78</v>
      </c>
      <c r="D1803" t="s">
        <v>907</v>
      </c>
      <c r="E1803" s="2">
        <v>762.37000000000012</v>
      </c>
      <c r="F1803" s="2"/>
      <c r="G1803" s="2"/>
      <c r="H1803" s="2"/>
      <c r="I1803" s="2"/>
      <c r="J1803" s="2"/>
      <c r="K1803" s="2"/>
      <c r="L1803" s="2">
        <v>762.37000000000012</v>
      </c>
      <c r="M1803" t="s">
        <v>4400</v>
      </c>
      <c r="N1803" t="s">
        <v>4407</v>
      </c>
    </row>
    <row r="1804" spans="1:14" x14ac:dyDescent="0.4">
      <c r="A1804" t="s">
        <v>3646</v>
      </c>
      <c r="B1804" t="s">
        <v>3647</v>
      </c>
      <c r="C1804" t="s">
        <v>64</v>
      </c>
      <c r="D1804" t="s">
        <v>630</v>
      </c>
      <c r="E1804" s="2">
        <v>1485.3099999999997</v>
      </c>
      <c r="F1804" s="2">
        <v>728.9899999999999</v>
      </c>
      <c r="G1804" s="2">
        <v>1442.78</v>
      </c>
      <c r="H1804" s="2">
        <v>728.99</v>
      </c>
      <c r="I1804" s="2">
        <v>1491.3799999999997</v>
      </c>
      <c r="J1804" s="2">
        <v>728.98000000000013</v>
      </c>
      <c r="K1804" s="2">
        <v>741.13000000000011</v>
      </c>
      <c r="L1804" s="2">
        <v>7347.5599999999968</v>
      </c>
      <c r="M1804" t="s">
        <v>4400</v>
      </c>
      <c r="N1804" t="s">
        <v>4400</v>
      </c>
    </row>
    <row r="1805" spans="1:14" x14ac:dyDescent="0.4">
      <c r="A1805" t="s">
        <v>3648</v>
      </c>
      <c r="B1805" t="s">
        <v>3649</v>
      </c>
      <c r="C1805" t="s">
        <v>251</v>
      </c>
      <c r="D1805" t="s">
        <v>255</v>
      </c>
      <c r="E1805" s="2">
        <v>725.92999999999984</v>
      </c>
      <c r="F1805" s="2">
        <v>987.15</v>
      </c>
      <c r="G1805" s="2">
        <v>1962.1399999999996</v>
      </c>
      <c r="H1805" s="2"/>
      <c r="I1805" s="2"/>
      <c r="J1805" s="2"/>
      <c r="K1805" s="2"/>
      <c r="L1805" s="2">
        <v>3675.22</v>
      </c>
      <c r="M1805" t="s">
        <v>4400</v>
      </c>
      <c r="N1805" t="s">
        <v>4403</v>
      </c>
    </row>
    <row r="1806" spans="1:14" x14ac:dyDescent="0.4">
      <c r="A1806" t="s">
        <v>3650</v>
      </c>
      <c r="B1806" t="s">
        <v>3651</v>
      </c>
      <c r="C1806" t="s">
        <v>96</v>
      </c>
      <c r="D1806" t="s">
        <v>1010</v>
      </c>
      <c r="E1806" s="2">
        <v>2341.6799999999998</v>
      </c>
      <c r="F1806" s="2">
        <v>2180.77</v>
      </c>
      <c r="G1806" s="2"/>
      <c r="H1806" s="2"/>
      <c r="I1806" s="2"/>
      <c r="J1806" s="2"/>
      <c r="K1806" s="2">
        <v>738.09</v>
      </c>
      <c r="L1806" s="2">
        <v>5260.54</v>
      </c>
      <c r="M1806" t="s">
        <v>4400</v>
      </c>
      <c r="N1806" t="s">
        <v>4400</v>
      </c>
    </row>
    <row r="1807" spans="1:14" x14ac:dyDescent="0.4">
      <c r="A1807" t="s">
        <v>3652</v>
      </c>
      <c r="B1807" t="s">
        <v>3653</v>
      </c>
      <c r="C1807" t="s">
        <v>1</v>
      </c>
      <c r="D1807" t="s">
        <v>507</v>
      </c>
      <c r="E1807" s="2">
        <v>1458.0600000000002</v>
      </c>
      <c r="F1807" s="2">
        <v>1573.48</v>
      </c>
      <c r="G1807" s="2">
        <v>1509.7000000000003</v>
      </c>
      <c r="H1807" s="2"/>
      <c r="I1807" s="2"/>
      <c r="J1807" s="2"/>
      <c r="K1807" s="2"/>
      <c r="L1807" s="2">
        <v>4541.239999999998</v>
      </c>
      <c r="M1807" t="s">
        <v>4400</v>
      </c>
      <c r="N1807" t="s">
        <v>4403</v>
      </c>
    </row>
    <row r="1808" spans="1:14" x14ac:dyDescent="0.4">
      <c r="A1808" t="s">
        <v>3654</v>
      </c>
      <c r="B1808" t="s">
        <v>3655</v>
      </c>
      <c r="C1808" t="s">
        <v>884</v>
      </c>
      <c r="D1808" t="s">
        <v>1666</v>
      </c>
      <c r="E1808" s="2">
        <v>6185.9900000000034</v>
      </c>
      <c r="F1808" s="2">
        <v>4781.0800000000017</v>
      </c>
      <c r="G1808" s="2">
        <v>3502.9100000000003</v>
      </c>
      <c r="H1808" s="2">
        <v>4363.8599999999997</v>
      </c>
      <c r="I1808" s="2">
        <v>5132.2900000000018</v>
      </c>
      <c r="J1808" s="2">
        <v>4605.4400000000005</v>
      </c>
      <c r="K1808" s="2">
        <v>2179.3599999999997</v>
      </c>
      <c r="L1808" s="2">
        <v>30750.930000000106</v>
      </c>
      <c r="M1808" t="s">
        <v>4400</v>
      </c>
      <c r="N1808" t="s">
        <v>4400</v>
      </c>
    </row>
    <row r="1809" spans="1:14" x14ac:dyDescent="0.4">
      <c r="A1809" t="s">
        <v>3656</v>
      </c>
      <c r="B1809" t="s">
        <v>3657</v>
      </c>
      <c r="C1809" t="s">
        <v>78</v>
      </c>
      <c r="D1809" t="s">
        <v>907</v>
      </c>
      <c r="E1809" s="2"/>
      <c r="F1809" s="2">
        <v>1500.8799999999999</v>
      </c>
      <c r="G1809" s="2">
        <v>1500.8799999999999</v>
      </c>
      <c r="H1809" s="2"/>
      <c r="I1809" s="2">
        <v>740.15999999999985</v>
      </c>
      <c r="J1809" s="2">
        <v>1773.2999999999997</v>
      </c>
      <c r="K1809" s="2"/>
      <c r="L1809" s="2">
        <v>5515.2199999999993</v>
      </c>
      <c r="M1809" t="s">
        <v>4412</v>
      </c>
      <c r="N1809" t="s">
        <v>4406</v>
      </c>
    </row>
    <row r="1810" spans="1:14" x14ac:dyDescent="0.4">
      <c r="A1810" t="s">
        <v>3658</v>
      </c>
      <c r="B1810" t="s">
        <v>3659</v>
      </c>
      <c r="C1810" t="s">
        <v>64</v>
      </c>
      <c r="D1810" t="s">
        <v>2871</v>
      </c>
      <c r="E1810" s="2">
        <v>1763.02</v>
      </c>
      <c r="F1810" s="2">
        <v>2305.2899999999995</v>
      </c>
      <c r="G1810" s="2">
        <v>2572.5700000000002</v>
      </c>
      <c r="H1810" s="2">
        <v>2045.7199999999998</v>
      </c>
      <c r="I1810" s="2">
        <v>3731.639999999999</v>
      </c>
      <c r="J1810" s="2">
        <v>2454.3500000000004</v>
      </c>
      <c r="K1810" s="2">
        <v>1267.0099999999998</v>
      </c>
      <c r="L1810" s="2">
        <v>16139.600000000004</v>
      </c>
      <c r="M1810" t="s">
        <v>4400</v>
      </c>
      <c r="N1810" t="s">
        <v>4400</v>
      </c>
    </row>
    <row r="1811" spans="1:14" x14ac:dyDescent="0.4">
      <c r="A1811" t="s">
        <v>3660</v>
      </c>
      <c r="B1811" t="s">
        <v>3661</v>
      </c>
      <c r="C1811" t="s">
        <v>64</v>
      </c>
      <c r="D1811" t="s">
        <v>74</v>
      </c>
      <c r="E1811" s="2">
        <v>3978.3599999999988</v>
      </c>
      <c r="F1811" s="2">
        <v>2773.0299999999988</v>
      </c>
      <c r="G1811" s="2">
        <v>3392.3999999999983</v>
      </c>
      <c r="H1811" s="2">
        <v>3595.4299999999985</v>
      </c>
      <c r="I1811" s="2">
        <v>3415.5299999999988</v>
      </c>
      <c r="J1811" s="2">
        <v>4363.8599999999997</v>
      </c>
      <c r="K1811" s="2">
        <v>1757.8799999999997</v>
      </c>
      <c r="L1811" s="2">
        <v>23276.490000000009</v>
      </c>
      <c r="M1811" t="s">
        <v>4400</v>
      </c>
      <c r="N1811" t="s">
        <v>4400</v>
      </c>
    </row>
    <row r="1812" spans="1:14" x14ac:dyDescent="0.4">
      <c r="A1812" t="s">
        <v>3662</v>
      </c>
      <c r="B1812" t="s">
        <v>3663</v>
      </c>
      <c r="C1812" t="s">
        <v>5</v>
      </c>
      <c r="D1812" t="s">
        <v>132</v>
      </c>
      <c r="E1812" s="2"/>
      <c r="F1812" s="2">
        <v>735.01999999999987</v>
      </c>
      <c r="G1812" s="2">
        <v>745.3</v>
      </c>
      <c r="H1812" s="2">
        <v>778.70999999999981</v>
      </c>
      <c r="I1812" s="2"/>
      <c r="J1812" s="2">
        <v>866.08999999999992</v>
      </c>
      <c r="K1812" s="2"/>
      <c r="L1812" s="2">
        <v>3125.1200000000003</v>
      </c>
      <c r="M1812" t="s">
        <v>4412</v>
      </c>
      <c r="N1812" t="s">
        <v>4406</v>
      </c>
    </row>
    <row r="1813" spans="1:14" x14ac:dyDescent="0.4">
      <c r="A1813" t="s">
        <v>3664</v>
      </c>
      <c r="B1813" t="s">
        <v>3665</v>
      </c>
      <c r="C1813" t="s">
        <v>220</v>
      </c>
      <c r="D1813" t="s">
        <v>3456</v>
      </c>
      <c r="E1813" s="2">
        <v>5841.0299999999988</v>
      </c>
      <c r="F1813" s="2">
        <v>4732.3300000000017</v>
      </c>
      <c r="G1813" s="2">
        <v>2788.4399999999996</v>
      </c>
      <c r="H1813" s="2">
        <v>6278.49</v>
      </c>
      <c r="I1813" s="2">
        <v>5804.5400000000018</v>
      </c>
      <c r="J1813" s="2">
        <v>5664.8899999999985</v>
      </c>
      <c r="K1813" s="2">
        <v>1318.2699999999998</v>
      </c>
      <c r="L1813" s="2">
        <v>32427.989999999987</v>
      </c>
      <c r="M1813" t="s">
        <v>4400</v>
      </c>
      <c r="N1813" t="s">
        <v>4400</v>
      </c>
    </row>
    <row r="1814" spans="1:14" x14ac:dyDescent="0.4">
      <c r="A1814" t="s">
        <v>3666</v>
      </c>
      <c r="B1814" t="s">
        <v>3667</v>
      </c>
      <c r="C1814" t="s">
        <v>220</v>
      </c>
      <c r="D1814" t="s">
        <v>2302</v>
      </c>
      <c r="E1814" s="2">
        <v>756.34</v>
      </c>
      <c r="F1814" s="2">
        <v>1585.58</v>
      </c>
      <c r="G1814" s="2"/>
      <c r="H1814" s="2">
        <v>756.32999999999993</v>
      </c>
      <c r="I1814" s="2">
        <v>1895.3800000000003</v>
      </c>
      <c r="J1814" s="2">
        <v>1154.22</v>
      </c>
      <c r="K1814" s="2"/>
      <c r="L1814" s="2">
        <v>6147.8499999999958</v>
      </c>
      <c r="M1814" t="s">
        <v>4400</v>
      </c>
      <c r="N1814" t="s">
        <v>4406</v>
      </c>
    </row>
    <row r="1815" spans="1:14" x14ac:dyDescent="0.4">
      <c r="A1815" t="s">
        <v>3668</v>
      </c>
      <c r="B1815" t="s">
        <v>3669</v>
      </c>
      <c r="C1815" t="s">
        <v>113</v>
      </c>
      <c r="D1815" t="s">
        <v>1087</v>
      </c>
      <c r="E1815" s="2">
        <v>868.66000000000008</v>
      </c>
      <c r="F1815" s="2"/>
      <c r="G1815" s="2"/>
      <c r="H1815" s="2"/>
      <c r="I1815" s="2"/>
      <c r="J1815" s="2">
        <v>1948.0599999999995</v>
      </c>
      <c r="K1815" s="2">
        <v>2878.3999999999992</v>
      </c>
      <c r="L1815" s="2">
        <v>5695.12</v>
      </c>
      <c r="M1815" t="s">
        <v>4400</v>
      </c>
      <c r="N1815" t="s">
        <v>4400</v>
      </c>
    </row>
    <row r="1816" spans="1:14" x14ac:dyDescent="0.4">
      <c r="A1816" t="s">
        <v>3670</v>
      </c>
      <c r="B1816" t="s">
        <v>3671</v>
      </c>
      <c r="C1816" t="s">
        <v>64</v>
      </c>
      <c r="D1816" t="s">
        <v>2971</v>
      </c>
      <c r="E1816" s="2"/>
      <c r="F1816" s="2">
        <v>1187.3400000000001</v>
      </c>
      <c r="G1816" s="2"/>
      <c r="H1816" s="2">
        <v>922.62999999999988</v>
      </c>
      <c r="I1816" s="2"/>
      <c r="J1816" s="2">
        <v>3132.8299999999995</v>
      </c>
      <c r="K1816" s="2"/>
      <c r="L1816" s="2">
        <v>5242.800000000002</v>
      </c>
      <c r="M1816" t="s">
        <v>4412</v>
      </c>
      <c r="N1816" t="s">
        <v>4406</v>
      </c>
    </row>
    <row r="1817" spans="1:14" x14ac:dyDescent="0.4">
      <c r="A1817" t="s">
        <v>3672</v>
      </c>
      <c r="B1817" t="s">
        <v>3673</v>
      </c>
      <c r="C1817" t="s">
        <v>1</v>
      </c>
      <c r="D1817" t="s">
        <v>85</v>
      </c>
      <c r="E1817" s="2">
        <v>1793.8599999999994</v>
      </c>
      <c r="F1817" s="2">
        <v>1524.01</v>
      </c>
      <c r="G1817" s="2">
        <v>2253.89</v>
      </c>
      <c r="H1817" s="2">
        <v>837.81999999999994</v>
      </c>
      <c r="I1817" s="2">
        <v>2251.3199999999993</v>
      </c>
      <c r="J1817" s="2">
        <v>729.87999999999988</v>
      </c>
      <c r="K1817" s="2">
        <v>1503.4499999999998</v>
      </c>
      <c r="L1817" s="2">
        <v>10894.230000000003</v>
      </c>
      <c r="M1817" t="s">
        <v>4400</v>
      </c>
      <c r="N1817" t="s">
        <v>4400</v>
      </c>
    </row>
    <row r="1818" spans="1:14" x14ac:dyDescent="0.4">
      <c r="A1818" t="s">
        <v>3674</v>
      </c>
      <c r="B1818" t="s">
        <v>3675</v>
      </c>
      <c r="C1818" t="s">
        <v>163</v>
      </c>
      <c r="D1818" t="s">
        <v>164</v>
      </c>
      <c r="E1818" s="2">
        <v>732.45</v>
      </c>
      <c r="F1818" s="2">
        <v>745.3</v>
      </c>
      <c r="G1818" s="2">
        <v>745.3</v>
      </c>
      <c r="H1818" s="2"/>
      <c r="I1818" s="2"/>
      <c r="J1818" s="2"/>
      <c r="K1818" s="2"/>
      <c r="L1818" s="2">
        <v>2223.0499999999997</v>
      </c>
      <c r="M1818" t="s">
        <v>4400</v>
      </c>
      <c r="N1818" t="s">
        <v>4403</v>
      </c>
    </row>
    <row r="1819" spans="1:14" x14ac:dyDescent="0.4">
      <c r="A1819" t="s">
        <v>3676</v>
      </c>
      <c r="B1819" t="s">
        <v>3677</v>
      </c>
      <c r="C1819" t="s">
        <v>363</v>
      </c>
      <c r="D1819" t="s">
        <v>369</v>
      </c>
      <c r="E1819" s="2">
        <v>1448.8899999999999</v>
      </c>
      <c r="F1819" s="2">
        <v>2177.88</v>
      </c>
      <c r="G1819" s="2">
        <v>2915.9800000000005</v>
      </c>
      <c r="H1819" s="2">
        <v>3368.5099999999993</v>
      </c>
      <c r="I1819" s="2">
        <v>2991.8700000000008</v>
      </c>
      <c r="J1819" s="2">
        <v>2499.83</v>
      </c>
      <c r="K1819" s="2">
        <v>722.92000000000007</v>
      </c>
      <c r="L1819" s="2">
        <v>16125.879999999981</v>
      </c>
      <c r="M1819" t="s">
        <v>4400</v>
      </c>
      <c r="N1819" t="s">
        <v>4400</v>
      </c>
    </row>
    <row r="1820" spans="1:14" x14ac:dyDescent="0.4">
      <c r="A1820" t="s">
        <v>3678</v>
      </c>
      <c r="B1820" t="s">
        <v>3679</v>
      </c>
      <c r="C1820" t="s">
        <v>220</v>
      </c>
      <c r="D1820" t="s">
        <v>2302</v>
      </c>
      <c r="E1820" s="2">
        <v>728.99999999999989</v>
      </c>
      <c r="F1820" s="2"/>
      <c r="G1820" s="2">
        <v>1457.9800000000002</v>
      </c>
      <c r="H1820" s="2">
        <v>2229.5</v>
      </c>
      <c r="I1820" s="2">
        <v>732.03</v>
      </c>
      <c r="J1820" s="2"/>
      <c r="K1820" s="2"/>
      <c r="L1820" s="2">
        <v>5148.5100000000011</v>
      </c>
      <c r="M1820" t="s">
        <v>4400</v>
      </c>
      <c r="N1820" t="s">
        <v>4401</v>
      </c>
    </row>
    <row r="1821" spans="1:14" x14ac:dyDescent="0.4">
      <c r="A1821" t="s">
        <v>3680</v>
      </c>
      <c r="B1821" t="s">
        <v>3681</v>
      </c>
      <c r="C1821" t="s">
        <v>113</v>
      </c>
      <c r="D1821" t="s">
        <v>120</v>
      </c>
      <c r="E1821" s="2"/>
      <c r="F1821" s="2"/>
      <c r="G1821" s="2"/>
      <c r="H1821" s="2">
        <v>755.58</v>
      </c>
      <c r="I1821" s="2"/>
      <c r="J1821" s="2"/>
      <c r="K1821" s="2"/>
      <c r="L1821" s="2">
        <v>755.58</v>
      </c>
      <c r="M1821" t="s">
        <v>4409</v>
      </c>
      <c r="N1821" t="s">
        <v>4402</v>
      </c>
    </row>
    <row r="1822" spans="1:14" x14ac:dyDescent="0.4">
      <c r="A1822" t="s">
        <v>3682</v>
      </c>
      <c r="B1822" t="s">
        <v>3683</v>
      </c>
      <c r="C1822" t="s">
        <v>602</v>
      </c>
      <c r="D1822" t="s">
        <v>1638</v>
      </c>
      <c r="E1822" s="2">
        <v>4179.4999999999982</v>
      </c>
      <c r="F1822" s="2">
        <v>3632.8199999999997</v>
      </c>
      <c r="G1822" s="2">
        <v>4513.6399999999985</v>
      </c>
      <c r="H1822" s="2">
        <v>2852.16</v>
      </c>
      <c r="I1822" s="2">
        <v>4686.7800000000007</v>
      </c>
      <c r="J1822" s="2">
        <v>3389.81</v>
      </c>
      <c r="K1822" s="2">
        <v>1974.3500000000001</v>
      </c>
      <c r="L1822" s="2">
        <v>25229.060000000019</v>
      </c>
      <c r="M1822" t="s">
        <v>4400</v>
      </c>
      <c r="N1822" t="s">
        <v>4400</v>
      </c>
    </row>
    <row r="1823" spans="1:14" x14ac:dyDescent="0.4">
      <c r="A1823" t="s">
        <v>3684</v>
      </c>
      <c r="B1823" t="s">
        <v>3685</v>
      </c>
      <c r="C1823" t="s">
        <v>64</v>
      </c>
      <c r="D1823" t="s">
        <v>1143</v>
      </c>
      <c r="E1823" s="2">
        <v>2487.66</v>
      </c>
      <c r="F1823" s="2">
        <v>1464.02</v>
      </c>
      <c r="G1823" s="2">
        <v>2387.4299999999998</v>
      </c>
      <c r="H1823" s="2">
        <v>1536.9399999999998</v>
      </c>
      <c r="I1823" s="2">
        <v>1722.24</v>
      </c>
      <c r="J1823" s="2">
        <v>3134.6299999999987</v>
      </c>
      <c r="K1823" s="2">
        <v>1819.42</v>
      </c>
      <c r="L1823" s="2">
        <v>14552.33999999998</v>
      </c>
      <c r="M1823" t="s">
        <v>4400</v>
      </c>
      <c r="N1823" t="s">
        <v>4400</v>
      </c>
    </row>
    <row r="1824" spans="1:14" x14ac:dyDescent="0.4">
      <c r="A1824" t="s">
        <v>3686</v>
      </c>
      <c r="B1824" t="s">
        <v>3687</v>
      </c>
      <c r="C1824" t="s">
        <v>310</v>
      </c>
      <c r="D1824" t="s">
        <v>1140</v>
      </c>
      <c r="E1824" s="2"/>
      <c r="F1824" s="2">
        <v>1047.95</v>
      </c>
      <c r="G1824" s="2"/>
      <c r="H1824" s="2">
        <v>1032.75</v>
      </c>
      <c r="I1824" s="2"/>
      <c r="J1824" s="2">
        <v>1047.8999999999999</v>
      </c>
      <c r="K1824" s="2"/>
      <c r="L1824" s="2">
        <v>3128.6</v>
      </c>
      <c r="M1824" t="s">
        <v>4412</v>
      </c>
      <c r="N1824" t="s">
        <v>4406</v>
      </c>
    </row>
    <row r="1825" spans="1:14" x14ac:dyDescent="0.4">
      <c r="A1825" t="s">
        <v>3688</v>
      </c>
      <c r="B1825" t="s">
        <v>3689</v>
      </c>
      <c r="C1825" t="s">
        <v>1</v>
      </c>
      <c r="D1825" t="s">
        <v>88</v>
      </c>
      <c r="E1825" s="2">
        <v>986.87999999999988</v>
      </c>
      <c r="F1825" s="2">
        <v>1629.38</v>
      </c>
      <c r="G1825" s="2">
        <v>745.3</v>
      </c>
      <c r="H1825" s="2"/>
      <c r="I1825" s="2"/>
      <c r="J1825" s="2"/>
      <c r="K1825" s="2"/>
      <c r="L1825" s="2">
        <v>3361.5599999999995</v>
      </c>
      <c r="M1825" t="s">
        <v>4400</v>
      </c>
      <c r="N1825" t="s">
        <v>4403</v>
      </c>
    </row>
    <row r="1826" spans="1:14" x14ac:dyDescent="0.4">
      <c r="A1826" t="s">
        <v>3690</v>
      </c>
      <c r="B1826" t="s">
        <v>3630</v>
      </c>
      <c r="C1826" t="s">
        <v>1</v>
      </c>
      <c r="D1826" t="s">
        <v>507</v>
      </c>
      <c r="E1826" s="2">
        <v>1896.6599999999999</v>
      </c>
      <c r="F1826" s="2">
        <v>858.37999999999988</v>
      </c>
      <c r="G1826" s="2">
        <v>984.31000000000006</v>
      </c>
      <c r="H1826" s="2">
        <v>871.23</v>
      </c>
      <c r="I1826" s="2">
        <v>2022.5899999999997</v>
      </c>
      <c r="J1826" s="2">
        <v>1017.72</v>
      </c>
      <c r="K1826" s="2">
        <v>984.31</v>
      </c>
      <c r="L1826" s="2">
        <v>8635.2000000000025</v>
      </c>
      <c r="M1826" t="s">
        <v>4400</v>
      </c>
      <c r="N1826" t="s">
        <v>4400</v>
      </c>
    </row>
    <row r="1827" spans="1:14" x14ac:dyDescent="0.4">
      <c r="A1827" t="s">
        <v>3691</v>
      </c>
      <c r="B1827" t="s">
        <v>479</v>
      </c>
      <c r="C1827" t="s">
        <v>13</v>
      </c>
      <c r="D1827" t="s">
        <v>14</v>
      </c>
      <c r="E1827" s="2">
        <v>8677.8300000000017</v>
      </c>
      <c r="F1827" s="2">
        <v>3690.39</v>
      </c>
      <c r="G1827" s="2">
        <v>3796.7799999999993</v>
      </c>
      <c r="H1827" s="2">
        <v>2287.1900000000005</v>
      </c>
      <c r="I1827" s="2">
        <v>4622.9500000000007</v>
      </c>
      <c r="J1827" s="2">
        <v>3900.06</v>
      </c>
      <c r="K1827" s="2">
        <v>2408.6600000000003</v>
      </c>
      <c r="L1827" s="2">
        <v>29383.859999999975</v>
      </c>
      <c r="M1827" t="s">
        <v>4400</v>
      </c>
      <c r="N1827" t="s">
        <v>4400</v>
      </c>
    </row>
    <row r="1828" spans="1:14" x14ac:dyDescent="0.4">
      <c r="A1828" t="s">
        <v>3692</v>
      </c>
      <c r="B1828" t="s">
        <v>3693</v>
      </c>
      <c r="C1828" t="s">
        <v>163</v>
      </c>
      <c r="D1828" t="s">
        <v>618</v>
      </c>
      <c r="E1828" s="2">
        <v>1810.34</v>
      </c>
      <c r="F1828" s="2">
        <v>832.27</v>
      </c>
      <c r="G1828" s="2">
        <v>1965.2299999999996</v>
      </c>
      <c r="H1828" s="2"/>
      <c r="I1828" s="2"/>
      <c r="J1828" s="2"/>
      <c r="K1828" s="2"/>
      <c r="L1828" s="2">
        <v>4607.8400000000011</v>
      </c>
      <c r="M1828" t="s">
        <v>4400</v>
      </c>
      <c r="N1828" t="s">
        <v>4403</v>
      </c>
    </row>
    <row r="1829" spans="1:14" x14ac:dyDescent="0.4">
      <c r="A1829" t="s">
        <v>3694</v>
      </c>
      <c r="B1829" t="s">
        <v>3669</v>
      </c>
      <c r="C1829" t="s">
        <v>113</v>
      </c>
      <c r="D1829" t="s">
        <v>114</v>
      </c>
      <c r="E1829" s="2">
        <v>5566.619999999999</v>
      </c>
      <c r="F1829" s="2">
        <v>4060.6000000000022</v>
      </c>
      <c r="G1829" s="2">
        <v>3903.8300000000017</v>
      </c>
      <c r="H1829" s="2">
        <v>4757.0700000000015</v>
      </c>
      <c r="I1829" s="2">
        <v>3957.800000000002</v>
      </c>
      <c r="J1829" s="2">
        <v>3186.8000000000015</v>
      </c>
      <c r="K1829" s="2">
        <v>1652.5099999999998</v>
      </c>
      <c r="L1829" s="2">
        <v>27085.230000000014</v>
      </c>
      <c r="M1829" t="s">
        <v>4400</v>
      </c>
      <c r="N1829" t="s">
        <v>4400</v>
      </c>
    </row>
    <row r="1830" spans="1:14" x14ac:dyDescent="0.4">
      <c r="A1830" t="s">
        <v>3695</v>
      </c>
      <c r="B1830" t="s">
        <v>3696</v>
      </c>
      <c r="C1830" t="s">
        <v>64</v>
      </c>
      <c r="D1830" t="s">
        <v>1424</v>
      </c>
      <c r="E1830" s="2">
        <v>3532.5200000000004</v>
      </c>
      <c r="F1830" s="2">
        <v>3465.7000000000003</v>
      </c>
      <c r="G1830" s="2">
        <v>4580.4500000000016</v>
      </c>
      <c r="H1830" s="2">
        <v>3374.5900000000006</v>
      </c>
      <c r="I1830" s="2">
        <v>4082.3700000000013</v>
      </c>
      <c r="J1830" s="2">
        <v>3107.3100000000009</v>
      </c>
      <c r="K1830" s="2">
        <v>1506.5799999999997</v>
      </c>
      <c r="L1830" s="2">
        <v>23649.519999999957</v>
      </c>
      <c r="M1830" t="s">
        <v>4400</v>
      </c>
      <c r="N1830" t="s">
        <v>4400</v>
      </c>
    </row>
    <row r="1831" spans="1:14" x14ac:dyDescent="0.4">
      <c r="A1831" t="s">
        <v>3697</v>
      </c>
      <c r="B1831" t="s">
        <v>3698</v>
      </c>
      <c r="C1831" t="s">
        <v>64</v>
      </c>
      <c r="D1831" t="s">
        <v>708</v>
      </c>
      <c r="E1831" s="2"/>
      <c r="F1831" s="2"/>
      <c r="G1831" s="2">
        <v>1231.0299999999997</v>
      </c>
      <c r="H1831" s="2">
        <v>881.51</v>
      </c>
      <c r="I1831" s="2">
        <v>2878.3999999999996</v>
      </c>
      <c r="J1831" s="2">
        <v>1040.8499999999999</v>
      </c>
      <c r="K1831" s="2">
        <v>1333.83</v>
      </c>
      <c r="L1831" s="2">
        <v>7365.6200000000026</v>
      </c>
      <c r="M1831" t="s">
        <v>4411</v>
      </c>
      <c r="N1831" t="s">
        <v>4400</v>
      </c>
    </row>
    <row r="1832" spans="1:14" x14ac:dyDescent="0.4">
      <c r="A1832" t="s">
        <v>3699</v>
      </c>
      <c r="B1832" t="s">
        <v>1795</v>
      </c>
      <c r="C1832" t="s">
        <v>64</v>
      </c>
      <c r="D1832" t="s">
        <v>2742</v>
      </c>
      <c r="E1832" s="2"/>
      <c r="F1832" s="2"/>
      <c r="G1832" s="2"/>
      <c r="H1832" s="2">
        <v>1798.15</v>
      </c>
      <c r="I1832" s="2"/>
      <c r="J1832" s="2">
        <v>1643.19</v>
      </c>
      <c r="K1832" s="2"/>
      <c r="L1832" s="2">
        <v>3441.34</v>
      </c>
      <c r="M1832" t="s">
        <v>4409</v>
      </c>
      <c r="N1832" t="s">
        <v>4406</v>
      </c>
    </row>
    <row r="1833" spans="1:14" x14ac:dyDescent="0.4">
      <c r="A1833" t="s">
        <v>3700</v>
      </c>
      <c r="B1833" t="s">
        <v>3701</v>
      </c>
      <c r="C1833" t="s">
        <v>64</v>
      </c>
      <c r="D1833" t="s">
        <v>3638</v>
      </c>
      <c r="E1833" s="2">
        <v>771.51</v>
      </c>
      <c r="F1833" s="2"/>
      <c r="G1833" s="2"/>
      <c r="H1833" s="2"/>
      <c r="I1833" s="2"/>
      <c r="J1833" s="2"/>
      <c r="K1833" s="2"/>
      <c r="L1833" s="2">
        <v>771.51</v>
      </c>
      <c r="M1833" t="s">
        <v>4400</v>
      </c>
      <c r="N1833" t="s">
        <v>4407</v>
      </c>
    </row>
    <row r="1834" spans="1:14" x14ac:dyDescent="0.4">
      <c r="A1834" t="s">
        <v>3702</v>
      </c>
      <c r="B1834" t="s">
        <v>3703</v>
      </c>
      <c r="C1834" t="s">
        <v>2319</v>
      </c>
      <c r="D1834" t="s">
        <v>3704</v>
      </c>
      <c r="E1834" s="2">
        <v>1142.04</v>
      </c>
      <c r="F1834" s="2">
        <v>1284.81</v>
      </c>
      <c r="G1834" s="2">
        <v>917.31999999999994</v>
      </c>
      <c r="H1834" s="2">
        <v>2329.6800000000003</v>
      </c>
      <c r="I1834" s="2"/>
      <c r="J1834" s="2">
        <v>975.00999999999988</v>
      </c>
      <c r="K1834" s="2">
        <v>1309.1100000000001</v>
      </c>
      <c r="L1834" s="2">
        <v>7957.969999999993</v>
      </c>
      <c r="M1834" t="s">
        <v>4400</v>
      </c>
      <c r="N1834" t="s">
        <v>4400</v>
      </c>
    </row>
    <row r="1835" spans="1:14" x14ac:dyDescent="0.4">
      <c r="A1835" t="s">
        <v>3705</v>
      </c>
      <c r="B1835" t="s">
        <v>3468</v>
      </c>
      <c r="C1835" t="s">
        <v>78</v>
      </c>
      <c r="D1835" t="s">
        <v>841</v>
      </c>
      <c r="E1835" s="2">
        <v>914.27</v>
      </c>
      <c r="F1835" s="2">
        <v>762.39</v>
      </c>
      <c r="G1835" s="2"/>
      <c r="H1835" s="2">
        <v>993.25000000000011</v>
      </c>
      <c r="I1835" s="2">
        <v>1846.7799999999997</v>
      </c>
      <c r="J1835" s="2"/>
      <c r="K1835" s="2">
        <v>771.52</v>
      </c>
      <c r="L1835" s="2">
        <v>5288.21</v>
      </c>
      <c r="M1835" t="s">
        <v>4400</v>
      </c>
      <c r="N1835" t="s">
        <v>4400</v>
      </c>
    </row>
    <row r="1836" spans="1:14" x14ac:dyDescent="0.4">
      <c r="A1836" t="s">
        <v>3706</v>
      </c>
      <c r="B1836" t="s">
        <v>3351</v>
      </c>
      <c r="C1836" t="s">
        <v>64</v>
      </c>
      <c r="D1836" t="s">
        <v>2742</v>
      </c>
      <c r="E1836" s="2"/>
      <c r="F1836" s="2">
        <v>893.01</v>
      </c>
      <c r="G1836" s="2"/>
      <c r="H1836" s="2">
        <v>1913.5799999999997</v>
      </c>
      <c r="I1836" s="2">
        <v>1020.57</v>
      </c>
      <c r="J1836" s="2"/>
      <c r="K1836" s="2">
        <v>883.89</v>
      </c>
      <c r="L1836" s="2">
        <v>4711.0499999999993</v>
      </c>
      <c r="M1836" t="s">
        <v>4412</v>
      </c>
      <c r="N1836" t="s">
        <v>4400</v>
      </c>
    </row>
    <row r="1837" spans="1:14" x14ac:dyDescent="0.4">
      <c r="A1837" t="s">
        <v>3707</v>
      </c>
      <c r="B1837" t="s">
        <v>2973</v>
      </c>
      <c r="C1837" t="s">
        <v>64</v>
      </c>
      <c r="D1837" t="s">
        <v>1143</v>
      </c>
      <c r="E1837" s="2">
        <v>917.4899999999999</v>
      </c>
      <c r="F1837" s="2">
        <v>914.92000000000007</v>
      </c>
      <c r="G1837" s="2">
        <v>1788.7199999999998</v>
      </c>
      <c r="H1837" s="2">
        <v>735.01999999999987</v>
      </c>
      <c r="I1837" s="2">
        <v>729.88</v>
      </c>
      <c r="J1837" s="2">
        <v>1536.8600000000001</v>
      </c>
      <c r="K1837" s="2"/>
      <c r="L1837" s="2">
        <v>6622.8900000000021</v>
      </c>
      <c r="M1837" t="s">
        <v>4400</v>
      </c>
      <c r="N1837" t="s">
        <v>4406</v>
      </c>
    </row>
    <row r="1838" spans="1:14" x14ac:dyDescent="0.4">
      <c r="A1838" t="s">
        <v>3708</v>
      </c>
      <c r="B1838" t="s">
        <v>3709</v>
      </c>
      <c r="C1838" t="s">
        <v>1</v>
      </c>
      <c r="D1838" t="s">
        <v>85</v>
      </c>
      <c r="E1838" s="2"/>
      <c r="F1838" s="2"/>
      <c r="G1838" s="2"/>
      <c r="H1838" s="2"/>
      <c r="I1838" s="2">
        <v>1084.3499999999999</v>
      </c>
      <c r="J1838" s="2"/>
      <c r="K1838" s="2"/>
      <c r="L1838" s="2">
        <v>1084.3499999999999</v>
      </c>
      <c r="M1838" t="s">
        <v>4408</v>
      </c>
      <c r="N1838" t="s">
        <v>4401</v>
      </c>
    </row>
    <row r="1839" spans="1:14" x14ac:dyDescent="0.4">
      <c r="A1839" t="s">
        <v>3710</v>
      </c>
      <c r="B1839" t="s">
        <v>3659</v>
      </c>
      <c r="C1839" t="s">
        <v>64</v>
      </c>
      <c r="D1839" t="s">
        <v>3711</v>
      </c>
      <c r="E1839" s="2"/>
      <c r="F1839" s="2"/>
      <c r="G1839" s="2"/>
      <c r="H1839" s="2"/>
      <c r="I1839" s="2"/>
      <c r="J1839" s="2">
        <v>860.94999999999993</v>
      </c>
      <c r="K1839" s="2"/>
      <c r="L1839" s="2">
        <v>860.94999999999993</v>
      </c>
      <c r="M1839" t="s">
        <v>4405</v>
      </c>
      <c r="N1839" t="s">
        <v>4406</v>
      </c>
    </row>
    <row r="1840" spans="1:14" x14ac:dyDescent="0.4">
      <c r="A1840" t="s">
        <v>3712</v>
      </c>
      <c r="B1840" t="s">
        <v>3713</v>
      </c>
      <c r="C1840" t="s">
        <v>5</v>
      </c>
      <c r="D1840" t="s">
        <v>56</v>
      </c>
      <c r="E1840" s="2">
        <v>1527.8899999999999</v>
      </c>
      <c r="F1840" s="2">
        <v>2536.2599999999998</v>
      </c>
      <c r="G1840" s="2">
        <v>3183.2900000000004</v>
      </c>
      <c r="H1840" s="2">
        <v>3210.5799999999995</v>
      </c>
      <c r="I1840" s="2">
        <v>3110.2999999999997</v>
      </c>
      <c r="J1840" s="2">
        <v>1573.4</v>
      </c>
      <c r="K1840" s="2">
        <v>738.09999999999991</v>
      </c>
      <c r="L1840" s="2">
        <v>15879.819999999983</v>
      </c>
      <c r="M1840" t="s">
        <v>4400</v>
      </c>
      <c r="N1840" t="s">
        <v>4400</v>
      </c>
    </row>
    <row r="1841" spans="1:14" x14ac:dyDescent="0.4">
      <c r="A1841" t="s">
        <v>3714</v>
      </c>
      <c r="B1841" t="s">
        <v>3715</v>
      </c>
      <c r="C1841" t="s">
        <v>19</v>
      </c>
      <c r="D1841" t="s">
        <v>20</v>
      </c>
      <c r="E1841" s="2">
        <v>2949.2599999999993</v>
      </c>
      <c r="F1841" s="2">
        <v>2994.8300000000004</v>
      </c>
      <c r="G1841" s="2">
        <v>4057.9</v>
      </c>
      <c r="H1841" s="2">
        <v>3417.0199999999995</v>
      </c>
      <c r="I1841" s="2">
        <v>3805.7899999999991</v>
      </c>
      <c r="J1841" s="2">
        <v>3052.53</v>
      </c>
      <c r="K1841" s="2">
        <v>1971.2200000000003</v>
      </c>
      <c r="L1841" s="2">
        <v>22248.54999999997</v>
      </c>
      <c r="M1841" t="s">
        <v>4400</v>
      </c>
      <c r="N1841" t="s">
        <v>4400</v>
      </c>
    </row>
    <row r="1842" spans="1:14" x14ac:dyDescent="0.4">
      <c r="A1842" t="s">
        <v>3716</v>
      </c>
      <c r="B1842" t="s">
        <v>3717</v>
      </c>
      <c r="C1842" t="s">
        <v>78</v>
      </c>
      <c r="D1842" t="s">
        <v>768</v>
      </c>
      <c r="E1842" s="2"/>
      <c r="F1842" s="2">
        <v>4085.2400000000002</v>
      </c>
      <c r="G1842" s="2">
        <v>5573.6</v>
      </c>
      <c r="H1842" s="2">
        <v>4082.2200000000003</v>
      </c>
      <c r="I1842" s="2">
        <v>3113.3000000000006</v>
      </c>
      <c r="J1842" s="2">
        <v>4744.34</v>
      </c>
      <c r="K1842" s="2">
        <v>2165.63</v>
      </c>
      <c r="L1842" s="2">
        <v>23764.329999999976</v>
      </c>
      <c r="M1842" t="s">
        <v>4412</v>
      </c>
      <c r="N1842" t="s">
        <v>4400</v>
      </c>
    </row>
    <row r="1843" spans="1:14" x14ac:dyDescent="0.4">
      <c r="A1843" t="s">
        <v>3718</v>
      </c>
      <c r="B1843" t="s">
        <v>3719</v>
      </c>
      <c r="C1843" t="s">
        <v>163</v>
      </c>
      <c r="D1843" t="s">
        <v>164</v>
      </c>
      <c r="E1843" s="2">
        <v>2150.5</v>
      </c>
      <c r="F1843" s="2">
        <v>1133</v>
      </c>
      <c r="G1843" s="2">
        <v>1123.8499999999999</v>
      </c>
      <c r="H1843" s="2"/>
      <c r="I1843" s="2"/>
      <c r="J1843" s="2"/>
      <c r="K1843" s="2"/>
      <c r="L1843" s="2">
        <v>4407.3499999999995</v>
      </c>
      <c r="M1843" t="s">
        <v>4400</v>
      </c>
      <c r="N1843" t="s">
        <v>4403</v>
      </c>
    </row>
    <row r="1844" spans="1:14" x14ac:dyDescent="0.4">
      <c r="A1844" t="s">
        <v>3720</v>
      </c>
      <c r="B1844" t="s">
        <v>3721</v>
      </c>
      <c r="C1844" t="s">
        <v>64</v>
      </c>
      <c r="D1844" t="s">
        <v>630</v>
      </c>
      <c r="E1844" s="2">
        <v>1814.4199999999998</v>
      </c>
      <c r="F1844" s="2">
        <v>2559.7199999999998</v>
      </c>
      <c r="G1844" s="2">
        <v>2456.9199999999992</v>
      </c>
      <c r="H1844" s="2">
        <v>2832.139999999999</v>
      </c>
      <c r="I1844" s="2">
        <v>2546.87</v>
      </c>
      <c r="J1844" s="2">
        <v>4392.1299999999983</v>
      </c>
      <c r="K1844" s="2">
        <v>1644.7999999999997</v>
      </c>
      <c r="L1844" s="2">
        <v>18247.000000000025</v>
      </c>
      <c r="M1844" t="s">
        <v>4400</v>
      </c>
      <c r="N1844" t="s">
        <v>4400</v>
      </c>
    </row>
    <row r="1845" spans="1:14" x14ac:dyDescent="0.4">
      <c r="A1845" t="s">
        <v>3722</v>
      </c>
      <c r="B1845" t="s">
        <v>3723</v>
      </c>
      <c r="C1845" t="s">
        <v>64</v>
      </c>
      <c r="D1845" t="s">
        <v>2720</v>
      </c>
      <c r="E1845" s="2">
        <v>835.25</v>
      </c>
      <c r="F1845" s="2"/>
      <c r="G1845" s="2"/>
      <c r="H1845" s="2">
        <v>1066.55</v>
      </c>
      <c r="I1845" s="2"/>
      <c r="J1845" s="2"/>
      <c r="K1845" s="2"/>
      <c r="L1845" s="2">
        <v>1901.8</v>
      </c>
      <c r="M1845" t="s">
        <v>4400</v>
      </c>
      <c r="N1845" t="s">
        <v>4402</v>
      </c>
    </row>
    <row r="1846" spans="1:14" x14ac:dyDescent="0.4">
      <c r="A1846" t="s">
        <v>3724</v>
      </c>
      <c r="B1846" t="s">
        <v>3725</v>
      </c>
      <c r="C1846" t="s">
        <v>186</v>
      </c>
      <c r="D1846" t="s">
        <v>3726</v>
      </c>
      <c r="E1846" s="2">
        <v>3189.3599999999992</v>
      </c>
      <c r="F1846" s="2">
        <v>3040.53</v>
      </c>
      <c r="G1846" s="2">
        <v>3204.5799999999995</v>
      </c>
      <c r="H1846" s="2">
        <v>3080.0200000000004</v>
      </c>
      <c r="I1846" s="2">
        <v>2925.0499999999997</v>
      </c>
      <c r="J1846" s="2">
        <v>4337.59</v>
      </c>
      <c r="K1846" s="2">
        <v>1652.4199999999996</v>
      </c>
      <c r="L1846" s="2">
        <v>21429.549999999996</v>
      </c>
      <c r="M1846" t="s">
        <v>4400</v>
      </c>
      <c r="N1846" t="s">
        <v>4400</v>
      </c>
    </row>
    <row r="1847" spans="1:14" x14ac:dyDescent="0.4">
      <c r="A1847" t="s">
        <v>3727</v>
      </c>
      <c r="B1847" t="s">
        <v>3203</v>
      </c>
      <c r="C1847" t="s">
        <v>64</v>
      </c>
      <c r="D1847" t="s">
        <v>808</v>
      </c>
      <c r="E1847" s="2">
        <v>3996.35</v>
      </c>
      <c r="F1847" s="2">
        <v>3024.8900000000003</v>
      </c>
      <c r="G1847" s="2">
        <v>3217.6400000000003</v>
      </c>
      <c r="H1847" s="2">
        <v>3076.2899999999995</v>
      </c>
      <c r="I1847" s="2">
        <v>3793.32</v>
      </c>
      <c r="J1847" s="2">
        <v>3253.62</v>
      </c>
      <c r="K1847" s="2">
        <v>1691.0600000000002</v>
      </c>
      <c r="L1847" s="2">
        <v>22053.170000000042</v>
      </c>
      <c r="M1847" t="s">
        <v>4400</v>
      </c>
      <c r="N1847" t="s">
        <v>4400</v>
      </c>
    </row>
    <row r="1848" spans="1:14" x14ac:dyDescent="0.4">
      <c r="A1848" t="s">
        <v>3728</v>
      </c>
      <c r="B1848" t="s">
        <v>3729</v>
      </c>
      <c r="C1848" t="s">
        <v>1</v>
      </c>
      <c r="D1848" t="s">
        <v>507</v>
      </c>
      <c r="E1848" s="2">
        <v>944.66000000000008</v>
      </c>
      <c r="F1848" s="2">
        <v>1950.0800000000002</v>
      </c>
      <c r="G1848" s="2">
        <v>1898.4199999999996</v>
      </c>
      <c r="H1848" s="2">
        <v>1233.2199999999998</v>
      </c>
      <c r="I1848" s="2"/>
      <c r="J1848" s="2"/>
      <c r="K1848" s="2">
        <v>1688.8299999999997</v>
      </c>
      <c r="L1848" s="2">
        <v>7715.2100000000009</v>
      </c>
      <c r="M1848" t="s">
        <v>4400</v>
      </c>
      <c r="N1848" t="s">
        <v>4400</v>
      </c>
    </row>
    <row r="1849" spans="1:14" x14ac:dyDescent="0.4">
      <c r="A1849" t="s">
        <v>3730</v>
      </c>
      <c r="B1849" t="s">
        <v>3731</v>
      </c>
      <c r="C1849" t="s">
        <v>64</v>
      </c>
      <c r="D1849" t="s">
        <v>693</v>
      </c>
      <c r="E1849" s="2">
        <v>3030.0299999999988</v>
      </c>
      <c r="F1849" s="2">
        <v>3705.9399999999991</v>
      </c>
      <c r="G1849" s="2">
        <v>2220.4799999999996</v>
      </c>
      <c r="H1849" s="2">
        <v>2557.15</v>
      </c>
      <c r="I1849" s="2">
        <v>1436.6299999999999</v>
      </c>
      <c r="J1849" s="2">
        <v>2199.92</v>
      </c>
      <c r="K1849" s="2">
        <v>1565.1299999999999</v>
      </c>
      <c r="L1849" s="2">
        <v>16715.280000000017</v>
      </c>
      <c r="M1849" t="s">
        <v>4400</v>
      </c>
      <c r="N1849" t="s">
        <v>4400</v>
      </c>
    </row>
    <row r="1850" spans="1:14" x14ac:dyDescent="0.4">
      <c r="A1850" t="s">
        <v>3732</v>
      </c>
      <c r="B1850" t="s">
        <v>3733</v>
      </c>
      <c r="C1850" t="s">
        <v>64</v>
      </c>
      <c r="D1850" t="s">
        <v>693</v>
      </c>
      <c r="E1850" s="2">
        <v>3645.0099999999993</v>
      </c>
      <c r="F1850" s="2">
        <v>4295.05</v>
      </c>
      <c r="G1850" s="2">
        <v>3256.19</v>
      </c>
      <c r="H1850" s="2">
        <v>3590.38</v>
      </c>
      <c r="I1850" s="2">
        <v>3711.86</v>
      </c>
      <c r="J1850" s="2">
        <v>4866.079999999999</v>
      </c>
      <c r="K1850" s="2">
        <v>2900.8299999999995</v>
      </c>
      <c r="L1850" s="2">
        <v>26265.399999999991</v>
      </c>
      <c r="M1850" t="s">
        <v>4400</v>
      </c>
      <c r="N1850" t="s">
        <v>4400</v>
      </c>
    </row>
    <row r="1851" spans="1:14" x14ac:dyDescent="0.4">
      <c r="A1851" t="s">
        <v>3734</v>
      </c>
      <c r="B1851" t="s">
        <v>3735</v>
      </c>
      <c r="C1851" t="s">
        <v>220</v>
      </c>
      <c r="D1851" t="s">
        <v>221</v>
      </c>
      <c r="E1851" s="2">
        <v>1063.1299999999999</v>
      </c>
      <c r="F1851" s="2">
        <v>1230.18</v>
      </c>
      <c r="G1851" s="2">
        <v>1154.2399999999998</v>
      </c>
      <c r="H1851" s="2">
        <v>1014.5199999999998</v>
      </c>
      <c r="I1851" s="2">
        <v>786.7</v>
      </c>
      <c r="J1851" s="2">
        <v>1129.9499999999996</v>
      </c>
      <c r="K1851" s="2"/>
      <c r="L1851" s="2">
        <v>6378.7199999999975</v>
      </c>
      <c r="M1851" t="s">
        <v>4400</v>
      </c>
      <c r="N1851" t="s">
        <v>4406</v>
      </c>
    </row>
    <row r="1852" spans="1:14" x14ac:dyDescent="0.4">
      <c r="A1852" t="s">
        <v>3736</v>
      </c>
      <c r="B1852" t="s">
        <v>3331</v>
      </c>
      <c r="C1852" t="s">
        <v>64</v>
      </c>
      <c r="D1852" t="s">
        <v>2684</v>
      </c>
      <c r="E1852" s="2"/>
      <c r="F1852" s="2"/>
      <c r="G1852" s="2"/>
      <c r="H1852" s="2"/>
      <c r="I1852" s="2">
        <v>725.95999999999981</v>
      </c>
      <c r="J1852" s="2">
        <v>2059.38</v>
      </c>
      <c r="K1852" s="2"/>
      <c r="L1852" s="2">
        <v>2785.3399999999997</v>
      </c>
      <c r="M1852" t="s">
        <v>4408</v>
      </c>
      <c r="N1852" t="s">
        <v>4406</v>
      </c>
    </row>
    <row r="1853" spans="1:14" x14ac:dyDescent="0.4">
      <c r="A1853" t="s">
        <v>3737</v>
      </c>
      <c r="B1853" t="s">
        <v>3667</v>
      </c>
      <c r="C1853" t="s">
        <v>227</v>
      </c>
      <c r="D1853" t="s">
        <v>3068</v>
      </c>
      <c r="E1853" s="2">
        <v>2417.83</v>
      </c>
      <c r="F1853" s="2">
        <v>1606.82</v>
      </c>
      <c r="G1853" s="2">
        <v>2180.88</v>
      </c>
      <c r="H1853" s="2">
        <v>1779.94</v>
      </c>
      <c r="I1853" s="2">
        <v>1880.1899999999996</v>
      </c>
      <c r="J1853" s="2">
        <v>1804.25</v>
      </c>
      <c r="K1853" s="2">
        <v>1005.4000000000001</v>
      </c>
      <c r="L1853" s="2">
        <v>12675.309999999992</v>
      </c>
      <c r="M1853" t="s">
        <v>4400</v>
      </c>
      <c r="N1853" t="s">
        <v>4400</v>
      </c>
    </row>
    <row r="1854" spans="1:14" x14ac:dyDescent="0.4">
      <c r="A1854" t="s">
        <v>3738</v>
      </c>
      <c r="B1854" t="s">
        <v>3739</v>
      </c>
      <c r="C1854" t="s">
        <v>35</v>
      </c>
      <c r="D1854" t="s">
        <v>36</v>
      </c>
      <c r="E1854" s="2"/>
      <c r="F1854" s="2"/>
      <c r="G1854" s="2"/>
      <c r="H1854" s="2">
        <v>1963.4799999999996</v>
      </c>
      <c r="I1854" s="2">
        <v>850.67000000000007</v>
      </c>
      <c r="J1854" s="2">
        <v>763.29</v>
      </c>
      <c r="K1854" s="2">
        <v>845.53</v>
      </c>
      <c r="L1854" s="2">
        <v>4422.9699999999975</v>
      </c>
      <c r="M1854" t="s">
        <v>4409</v>
      </c>
      <c r="N1854" t="s">
        <v>4400</v>
      </c>
    </row>
    <row r="1855" spans="1:14" x14ac:dyDescent="0.4">
      <c r="A1855" t="s">
        <v>3740</v>
      </c>
      <c r="B1855" t="s">
        <v>3741</v>
      </c>
      <c r="C1855" t="s">
        <v>64</v>
      </c>
      <c r="D1855" t="s">
        <v>2941</v>
      </c>
      <c r="E1855" s="2">
        <v>2873.2599999999998</v>
      </c>
      <c r="F1855" s="2">
        <v>2153.6599999999994</v>
      </c>
      <c r="G1855" s="2">
        <v>2875.8299999999995</v>
      </c>
      <c r="H1855" s="2">
        <v>2161.37</v>
      </c>
      <c r="I1855" s="2">
        <v>1436.6299999999999</v>
      </c>
      <c r="J1855" s="2"/>
      <c r="K1855" s="2"/>
      <c r="L1855" s="2">
        <v>11500.750000000022</v>
      </c>
      <c r="M1855" t="s">
        <v>4400</v>
      </c>
      <c r="N1855" t="s">
        <v>4401</v>
      </c>
    </row>
    <row r="1856" spans="1:14" x14ac:dyDescent="0.4">
      <c r="A1856" t="s">
        <v>3742</v>
      </c>
      <c r="B1856" t="s">
        <v>819</v>
      </c>
      <c r="C1856" t="s">
        <v>437</v>
      </c>
      <c r="D1856" t="s">
        <v>552</v>
      </c>
      <c r="E1856" s="2"/>
      <c r="F1856" s="2"/>
      <c r="G1856" s="2"/>
      <c r="H1856" s="2"/>
      <c r="I1856" s="2"/>
      <c r="J1856" s="2">
        <v>2232.54</v>
      </c>
      <c r="K1856" s="2"/>
      <c r="L1856" s="2">
        <v>2232.54</v>
      </c>
      <c r="M1856" t="s">
        <v>4405</v>
      </c>
      <c r="N1856" t="s">
        <v>4406</v>
      </c>
    </row>
    <row r="1857" spans="1:14" x14ac:dyDescent="0.4">
      <c r="A1857" t="s">
        <v>3743</v>
      </c>
      <c r="B1857" t="s">
        <v>1431</v>
      </c>
      <c r="C1857" t="s">
        <v>310</v>
      </c>
      <c r="D1857" t="s">
        <v>311</v>
      </c>
      <c r="E1857" s="2"/>
      <c r="F1857" s="2"/>
      <c r="G1857" s="2">
        <v>1449.4799999999998</v>
      </c>
      <c r="H1857" s="2"/>
      <c r="I1857" s="2"/>
      <c r="J1857" s="2"/>
      <c r="K1857" s="2"/>
      <c r="L1857" s="2">
        <v>1449.4799999999998</v>
      </c>
      <c r="M1857" t="s">
        <v>4411</v>
      </c>
      <c r="N1857" t="s">
        <v>4403</v>
      </c>
    </row>
    <row r="1858" spans="1:14" x14ac:dyDescent="0.4">
      <c r="A1858" t="s">
        <v>3744</v>
      </c>
      <c r="B1858" t="s">
        <v>3745</v>
      </c>
      <c r="C1858" t="s">
        <v>64</v>
      </c>
      <c r="D1858" t="s">
        <v>2297</v>
      </c>
      <c r="E1858" s="2">
        <v>1758.6599999999996</v>
      </c>
      <c r="F1858" s="2"/>
      <c r="G1858" s="2">
        <v>1196.76</v>
      </c>
      <c r="H1858" s="2">
        <v>1102.5999999999999</v>
      </c>
      <c r="I1858" s="2">
        <v>1497.4699999999996</v>
      </c>
      <c r="J1858" s="2"/>
      <c r="K1858" s="2"/>
      <c r="L1858" s="2">
        <v>5555.489999999998</v>
      </c>
      <c r="M1858" t="s">
        <v>4400</v>
      </c>
      <c r="N1858" t="s">
        <v>4401</v>
      </c>
    </row>
    <row r="1859" spans="1:14" x14ac:dyDescent="0.4">
      <c r="A1859" t="s">
        <v>3746</v>
      </c>
      <c r="B1859" t="s">
        <v>3747</v>
      </c>
      <c r="C1859" t="s">
        <v>64</v>
      </c>
      <c r="D1859" t="s">
        <v>2672</v>
      </c>
      <c r="E1859" s="2">
        <v>1737.35</v>
      </c>
      <c r="F1859" s="2"/>
      <c r="G1859" s="2">
        <v>1093.42</v>
      </c>
      <c r="H1859" s="2"/>
      <c r="I1859" s="2">
        <v>892.97</v>
      </c>
      <c r="J1859" s="2">
        <v>2794.4000000000005</v>
      </c>
      <c r="K1859" s="2"/>
      <c r="L1859" s="2">
        <v>6518.14</v>
      </c>
      <c r="M1859" t="s">
        <v>4400</v>
      </c>
      <c r="N1859" t="s">
        <v>4406</v>
      </c>
    </row>
    <row r="1860" spans="1:14" x14ac:dyDescent="0.4">
      <c r="A1860" t="s">
        <v>3748</v>
      </c>
      <c r="B1860" t="s">
        <v>3749</v>
      </c>
      <c r="C1860" t="s">
        <v>64</v>
      </c>
      <c r="D1860" t="s">
        <v>2343</v>
      </c>
      <c r="E1860" s="2">
        <v>1576.38</v>
      </c>
      <c r="F1860" s="2">
        <v>1570.2900000000002</v>
      </c>
      <c r="G1860" s="2">
        <v>1467.0600000000004</v>
      </c>
      <c r="H1860" s="2">
        <v>1600.7099999999998</v>
      </c>
      <c r="I1860" s="2">
        <v>725.93</v>
      </c>
      <c r="J1860" s="2">
        <v>1497.4299999999998</v>
      </c>
      <c r="K1860" s="2">
        <v>716.81</v>
      </c>
      <c r="L1860" s="2">
        <v>9154.6099999999933</v>
      </c>
      <c r="M1860" t="s">
        <v>4400</v>
      </c>
      <c r="N1860" t="s">
        <v>4400</v>
      </c>
    </row>
    <row r="1861" spans="1:14" x14ac:dyDescent="0.4">
      <c r="A1861" t="s">
        <v>3750</v>
      </c>
      <c r="B1861" t="s">
        <v>3751</v>
      </c>
      <c r="C1861" t="s">
        <v>64</v>
      </c>
      <c r="D1861" t="s">
        <v>3711</v>
      </c>
      <c r="E1861" s="2">
        <v>1215.6099999999994</v>
      </c>
      <c r="F1861" s="2">
        <v>2269.3099999999995</v>
      </c>
      <c r="G1861" s="2"/>
      <c r="H1861" s="2">
        <v>1783.5799999999997</v>
      </c>
      <c r="I1861" s="2">
        <v>917.4899999999999</v>
      </c>
      <c r="J1861" s="2">
        <v>768.43</v>
      </c>
      <c r="K1861" s="2"/>
      <c r="L1861" s="2">
        <v>6954.4200000000073</v>
      </c>
      <c r="M1861" t="s">
        <v>4400</v>
      </c>
      <c r="N1861" t="s">
        <v>4406</v>
      </c>
    </row>
    <row r="1862" spans="1:14" x14ac:dyDescent="0.4">
      <c r="A1862" t="s">
        <v>3752</v>
      </c>
      <c r="B1862" t="s">
        <v>3753</v>
      </c>
      <c r="C1862" t="s">
        <v>220</v>
      </c>
      <c r="D1862" t="s">
        <v>2543</v>
      </c>
      <c r="E1862" s="2">
        <v>889.2199999999998</v>
      </c>
      <c r="F1862" s="2">
        <v>1020.2899999999997</v>
      </c>
      <c r="G1862" s="2">
        <v>1079.3999999999999</v>
      </c>
      <c r="H1862" s="2"/>
      <c r="I1862" s="2">
        <v>1246.45</v>
      </c>
      <c r="J1862" s="2">
        <v>2878.3999999999992</v>
      </c>
      <c r="K1862" s="2"/>
      <c r="L1862" s="2">
        <v>7113.7600000000075</v>
      </c>
      <c r="M1862" t="s">
        <v>4400</v>
      </c>
      <c r="N1862" t="s">
        <v>4406</v>
      </c>
    </row>
    <row r="1863" spans="1:14" x14ac:dyDescent="0.4">
      <c r="A1863" t="s">
        <v>3754</v>
      </c>
      <c r="B1863" t="s">
        <v>3755</v>
      </c>
      <c r="C1863" t="s">
        <v>35</v>
      </c>
      <c r="D1863" t="s">
        <v>2386</v>
      </c>
      <c r="E1863" s="2"/>
      <c r="F1863" s="2"/>
      <c r="G1863" s="2">
        <v>832.26</v>
      </c>
      <c r="H1863" s="2"/>
      <c r="I1863" s="2"/>
      <c r="J1863" s="2"/>
      <c r="K1863" s="2"/>
      <c r="L1863" s="2">
        <v>832.26</v>
      </c>
      <c r="M1863" t="s">
        <v>4411</v>
      </c>
      <c r="N1863" t="s">
        <v>4403</v>
      </c>
    </row>
    <row r="1864" spans="1:14" x14ac:dyDescent="0.4">
      <c r="A1864" t="s">
        <v>3756</v>
      </c>
      <c r="B1864" t="s">
        <v>3757</v>
      </c>
      <c r="C1864" t="s">
        <v>64</v>
      </c>
      <c r="D1864" t="s">
        <v>545</v>
      </c>
      <c r="E1864" s="2">
        <v>1980.3699999999994</v>
      </c>
      <c r="F1864" s="2">
        <v>728.97</v>
      </c>
      <c r="G1864" s="2">
        <v>747.18</v>
      </c>
      <c r="H1864" s="2">
        <v>741.12</v>
      </c>
      <c r="I1864" s="2"/>
      <c r="J1864" s="2"/>
      <c r="K1864" s="2"/>
      <c r="L1864" s="2">
        <v>4197.6400000000003</v>
      </c>
      <c r="M1864" t="s">
        <v>4400</v>
      </c>
      <c r="N1864" t="s">
        <v>4402</v>
      </c>
    </row>
    <row r="1865" spans="1:14" x14ac:dyDescent="0.4">
      <c r="A1865" t="s">
        <v>3758</v>
      </c>
      <c r="B1865" t="s">
        <v>3759</v>
      </c>
      <c r="C1865" t="s">
        <v>35</v>
      </c>
      <c r="D1865" t="s">
        <v>36</v>
      </c>
      <c r="E1865" s="2">
        <v>2986.3399999999997</v>
      </c>
      <c r="F1865" s="2">
        <v>3942.3799999999987</v>
      </c>
      <c r="G1865" s="2">
        <v>3094.28</v>
      </c>
      <c r="H1865" s="2">
        <v>3754.7699999999991</v>
      </c>
      <c r="I1865" s="2">
        <v>3019.7499999999995</v>
      </c>
      <c r="J1865" s="2">
        <v>2898.9599999999991</v>
      </c>
      <c r="K1865" s="2"/>
      <c r="L1865" s="2">
        <v>19696.480000000043</v>
      </c>
      <c r="M1865" t="s">
        <v>4400</v>
      </c>
      <c r="N1865" t="s">
        <v>4406</v>
      </c>
    </row>
    <row r="1866" spans="1:14" x14ac:dyDescent="0.4">
      <c r="A1866" t="s">
        <v>3760</v>
      </c>
      <c r="B1866" t="s">
        <v>3761</v>
      </c>
      <c r="C1866" t="s">
        <v>78</v>
      </c>
      <c r="D1866" t="s">
        <v>1553</v>
      </c>
      <c r="E1866" s="2">
        <v>5561.4799999999987</v>
      </c>
      <c r="F1866" s="2">
        <v>4027.19</v>
      </c>
      <c r="G1866" s="2">
        <v>4358.7199999999993</v>
      </c>
      <c r="H1866" s="2">
        <v>4713.3799999999983</v>
      </c>
      <c r="I1866" s="2">
        <v>6103.7499999999973</v>
      </c>
      <c r="J1866" s="2">
        <v>4374.1399999999994</v>
      </c>
      <c r="K1866" s="2">
        <v>2243.6099999999997</v>
      </c>
      <c r="L1866" s="2">
        <v>31382.269999999997</v>
      </c>
      <c r="M1866" t="s">
        <v>4400</v>
      </c>
      <c r="N1866" t="s">
        <v>4400</v>
      </c>
    </row>
    <row r="1867" spans="1:14" x14ac:dyDescent="0.4">
      <c r="A1867" t="s">
        <v>3762</v>
      </c>
      <c r="B1867" t="s">
        <v>3763</v>
      </c>
      <c r="C1867" t="s">
        <v>1</v>
      </c>
      <c r="D1867" t="s">
        <v>88</v>
      </c>
      <c r="E1867" s="2">
        <v>747.86999999999989</v>
      </c>
      <c r="F1867" s="2">
        <v>729.88</v>
      </c>
      <c r="G1867" s="2">
        <v>732.45</v>
      </c>
      <c r="H1867" s="2"/>
      <c r="I1867" s="2">
        <v>1485.4599999999998</v>
      </c>
      <c r="J1867" s="2">
        <v>801.84</v>
      </c>
      <c r="K1867" s="2"/>
      <c r="L1867" s="2">
        <v>4497.5000000000009</v>
      </c>
      <c r="M1867" t="s">
        <v>4400</v>
      </c>
      <c r="N1867" t="s">
        <v>4406</v>
      </c>
    </row>
    <row r="1868" spans="1:14" x14ac:dyDescent="0.4">
      <c r="A1868" t="s">
        <v>3764</v>
      </c>
      <c r="B1868" t="s">
        <v>3765</v>
      </c>
      <c r="C1868" t="s">
        <v>23</v>
      </c>
      <c r="D1868" t="s">
        <v>24</v>
      </c>
      <c r="E1868" s="2">
        <v>18100.099999999999</v>
      </c>
      <c r="F1868" s="2">
        <v>14177.329999999996</v>
      </c>
      <c r="G1868" s="2">
        <v>15424.110000000006</v>
      </c>
      <c r="H1868" s="2">
        <v>14002.630000000005</v>
      </c>
      <c r="I1868" s="2">
        <v>19102.47</v>
      </c>
      <c r="J1868" s="2">
        <v>15964.820000000011</v>
      </c>
      <c r="K1868" s="2">
        <v>8583.7999999999993</v>
      </c>
      <c r="L1868" s="2">
        <v>105355.25999999998</v>
      </c>
      <c r="M1868" t="s">
        <v>4400</v>
      </c>
      <c r="N1868" t="s">
        <v>4400</v>
      </c>
    </row>
    <row r="1869" spans="1:14" x14ac:dyDescent="0.4">
      <c r="A1869" t="s">
        <v>3766</v>
      </c>
      <c r="B1869" t="s">
        <v>1769</v>
      </c>
      <c r="C1869" t="s">
        <v>113</v>
      </c>
      <c r="D1869" t="s">
        <v>1087</v>
      </c>
      <c r="E1869" s="2">
        <v>3965.5099999999998</v>
      </c>
      <c r="F1869" s="2">
        <v>2066.2799999999997</v>
      </c>
      <c r="G1869" s="2">
        <v>3731.6399999999994</v>
      </c>
      <c r="H1869" s="2">
        <v>4536.05</v>
      </c>
      <c r="I1869" s="2">
        <v>2390.1</v>
      </c>
      <c r="J1869" s="2">
        <v>3071.1499999999996</v>
      </c>
      <c r="K1869" s="2">
        <v>1760.4499999999994</v>
      </c>
      <c r="L1869" s="2">
        <v>21521.180000000044</v>
      </c>
      <c r="M1869" t="s">
        <v>4400</v>
      </c>
      <c r="N1869" t="s">
        <v>4400</v>
      </c>
    </row>
    <row r="1870" spans="1:14" x14ac:dyDescent="0.4">
      <c r="A1870" t="s">
        <v>3767</v>
      </c>
      <c r="B1870" t="s">
        <v>2205</v>
      </c>
      <c r="C1870" t="s">
        <v>1</v>
      </c>
      <c r="D1870" t="s">
        <v>1030</v>
      </c>
      <c r="E1870" s="2">
        <v>3944.9500000000003</v>
      </c>
      <c r="F1870" s="2">
        <v>3747.06</v>
      </c>
      <c r="G1870" s="2">
        <v>2662.5199999999995</v>
      </c>
      <c r="H1870" s="2">
        <v>2670.2299999999996</v>
      </c>
      <c r="I1870" s="2">
        <v>2952.9299999999994</v>
      </c>
      <c r="J1870" s="2"/>
      <c r="K1870" s="2"/>
      <c r="L1870" s="2">
        <v>15977.690000000022</v>
      </c>
      <c r="M1870" t="s">
        <v>4400</v>
      </c>
      <c r="N1870" t="s">
        <v>4401</v>
      </c>
    </row>
    <row r="1871" spans="1:14" x14ac:dyDescent="0.4">
      <c r="A1871" t="s">
        <v>3768</v>
      </c>
      <c r="B1871" t="s">
        <v>3769</v>
      </c>
      <c r="C1871" t="s">
        <v>64</v>
      </c>
      <c r="D1871" t="s">
        <v>2731</v>
      </c>
      <c r="E1871" s="2">
        <v>7751.5099999999984</v>
      </c>
      <c r="F1871" s="2">
        <v>5282.0999999999985</v>
      </c>
      <c r="G1871" s="2">
        <v>4033.6999999999989</v>
      </c>
      <c r="H1871" s="2">
        <v>1464.04</v>
      </c>
      <c r="I1871" s="2">
        <v>1889.2899999999995</v>
      </c>
      <c r="J1871" s="2">
        <v>3760.3599999999992</v>
      </c>
      <c r="K1871" s="2">
        <v>1072.22</v>
      </c>
      <c r="L1871" s="2">
        <v>25253.219999999961</v>
      </c>
      <c r="M1871" t="s">
        <v>4400</v>
      </c>
      <c r="N1871" t="s">
        <v>4400</v>
      </c>
    </row>
    <row r="1872" spans="1:14" x14ac:dyDescent="0.4">
      <c r="A1872" t="s">
        <v>3770</v>
      </c>
      <c r="B1872" t="s">
        <v>3264</v>
      </c>
      <c r="C1872" t="s">
        <v>35</v>
      </c>
      <c r="D1872" t="s">
        <v>36</v>
      </c>
      <c r="E1872" s="2">
        <v>777.58999999999992</v>
      </c>
      <c r="F1872" s="2">
        <v>858.37999999999977</v>
      </c>
      <c r="G1872" s="2"/>
      <c r="H1872" s="2"/>
      <c r="I1872" s="2">
        <v>948.32999999999981</v>
      </c>
      <c r="J1872" s="2"/>
      <c r="K1872" s="2"/>
      <c r="L1872" s="2">
        <v>2584.3000000000002</v>
      </c>
      <c r="M1872" t="s">
        <v>4400</v>
      </c>
      <c r="N1872" t="s">
        <v>4401</v>
      </c>
    </row>
    <row r="1873" spans="1:14" x14ac:dyDescent="0.4">
      <c r="A1873" t="s">
        <v>3771</v>
      </c>
      <c r="B1873" t="s">
        <v>3772</v>
      </c>
      <c r="C1873" t="s">
        <v>1</v>
      </c>
      <c r="D1873" t="s">
        <v>1030</v>
      </c>
      <c r="E1873" s="2">
        <v>2215.3399999999997</v>
      </c>
      <c r="F1873" s="2"/>
      <c r="G1873" s="2">
        <v>1308.1299999999997</v>
      </c>
      <c r="H1873" s="2"/>
      <c r="I1873" s="2"/>
      <c r="J1873" s="2"/>
      <c r="K1873" s="2"/>
      <c r="L1873" s="2">
        <v>3523.4699999999989</v>
      </c>
      <c r="M1873" t="s">
        <v>4400</v>
      </c>
      <c r="N1873" t="s">
        <v>4403</v>
      </c>
    </row>
    <row r="1874" spans="1:14" x14ac:dyDescent="0.4">
      <c r="A1874" t="s">
        <v>3773</v>
      </c>
      <c r="B1874" t="s">
        <v>2870</v>
      </c>
      <c r="C1874" t="s">
        <v>64</v>
      </c>
      <c r="D1874" t="s">
        <v>2850</v>
      </c>
      <c r="E1874" s="2">
        <v>914.26</v>
      </c>
      <c r="F1874" s="2">
        <v>926.42000000000007</v>
      </c>
      <c r="G1874" s="2">
        <v>899.09</v>
      </c>
      <c r="H1874" s="2">
        <v>1096.52</v>
      </c>
      <c r="I1874" s="2">
        <v>841.36999999999989</v>
      </c>
      <c r="J1874" s="2">
        <v>1123.8400000000001</v>
      </c>
      <c r="K1874" s="2"/>
      <c r="L1874" s="2">
        <v>5801.4999999999955</v>
      </c>
      <c r="M1874" t="s">
        <v>4400</v>
      </c>
      <c r="N1874" t="s">
        <v>4406</v>
      </c>
    </row>
    <row r="1875" spans="1:14" x14ac:dyDescent="0.4">
      <c r="A1875" t="s">
        <v>3774</v>
      </c>
      <c r="B1875" t="s">
        <v>3775</v>
      </c>
      <c r="C1875" t="s">
        <v>64</v>
      </c>
      <c r="D1875" t="s">
        <v>2619</v>
      </c>
      <c r="E1875" s="2"/>
      <c r="F1875" s="2"/>
      <c r="G1875" s="2"/>
      <c r="H1875" s="2"/>
      <c r="I1875" s="2">
        <v>750.25</v>
      </c>
      <c r="J1875" s="2">
        <v>1597.69</v>
      </c>
      <c r="K1875" s="2"/>
      <c r="L1875" s="2">
        <v>2347.9399999999996</v>
      </c>
      <c r="M1875" t="s">
        <v>4408</v>
      </c>
      <c r="N1875" t="s">
        <v>4406</v>
      </c>
    </row>
    <row r="1876" spans="1:14" x14ac:dyDescent="0.4">
      <c r="A1876" t="s">
        <v>3776</v>
      </c>
      <c r="B1876" t="s">
        <v>2762</v>
      </c>
      <c r="C1876" t="s">
        <v>240</v>
      </c>
      <c r="D1876" t="s">
        <v>699</v>
      </c>
      <c r="E1876" s="2">
        <v>786.42000000000007</v>
      </c>
      <c r="F1876" s="2"/>
      <c r="G1876" s="2"/>
      <c r="H1876" s="2"/>
      <c r="I1876" s="2"/>
      <c r="J1876" s="2"/>
      <c r="K1876" s="2"/>
      <c r="L1876" s="2">
        <v>786.42000000000007</v>
      </c>
      <c r="M1876" t="s">
        <v>4400</v>
      </c>
      <c r="N1876" t="s">
        <v>4407</v>
      </c>
    </row>
    <row r="1877" spans="1:14" x14ac:dyDescent="0.4">
      <c r="A1877" t="s">
        <v>3777</v>
      </c>
      <c r="B1877" t="s">
        <v>3778</v>
      </c>
      <c r="C1877" t="s">
        <v>91</v>
      </c>
      <c r="D1877" t="s">
        <v>1296</v>
      </c>
      <c r="E1877" s="2">
        <v>3292.61</v>
      </c>
      <c r="F1877" s="2">
        <v>1704.0199999999998</v>
      </c>
      <c r="G1877" s="2">
        <v>2587.8999999999996</v>
      </c>
      <c r="H1877" s="2">
        <v>2915.95</v>
      </c>
      <c r="I1877" s="2">
        <v>4112.7300000000005</v>
      </c>
      <c r="J1877" s="2">
        <v>2724.6</v>
      </c>
      <c r="K1877" s="2"/>
      <c r="L1877" s="2">
        <v>17337.80999999999</v>
      </c>
      <c r="M1877" t="s">
        <v>4400</v>
      </c>
      <c r="N1877" t="s">
        <v>4406</v>
      </c>
    </row>
    <row r="1878" spans="1:14" x14ac:dyDescent="0.4">
      <c r="A1878" t="s">
        <v>3779</v>
      </c>
      <c r="B1878" t="s">
        <v>3780</v>
      </c>
      <c r="C1878" t="s">
        <v>64</v>
      </c>
      <c r="D1878" t="s">
        <v>74</v>
      </c>
      <c r="E1878" s="2">
        <v>755.57999999999993</v>
      </c>
      <c r="F1878" s="2">
        <v>917.4899999999999</v>
      </c>
      <c r="G1878" s="2">
        <v>959.83</v>
      </c>
      <c r="H1878" s="2">
        <v>2423.8600000000006</v>
      </c>
      <c r="I1878" s="2">
        <v>1236.23</v>
      </c>
      <c r="J1878" s="2">
        <v>1813.33</v>
      </c>
      <c r="K1878" s="2">
        <v>859.59000000000015</v>
      </c>
      <c r="L1878" s="2">
        <v>8965.9099999999908</v>
      </c>
      <c r="M1878" t="s">
        <v>4400</v>
      </c>
      <c r="N1878" t="s">
        <v>4400</v>
      </c>
    </row>
    <row r="1879" spans="1:14" x14ac:dyDescent="0.4">
      <c r="A1879" t="s">
        <v>3781</v>
      </c>
      <c r="B1879" t="s">
        <v>3782</v>
      </c>
      <c r="C1879" t="s">
        <v>64</v>
      </c>
      <c r="D1879" t="s">
        <v>630</v>
      </c>
      <c r="E1879" s="2">
        <v>2484.5600000000004</v>
      </c>
      <c r="F1879" s="2">
        <v>1518.6799999999998</v>
      </c>
      <c r="G1879" s="2">
        <v>3380.6100000000006</v>
      </c>
      <c r="H1879" s="2">
        <v>2481.58</v>
      </c>
      <c r="I1879" s="2">
        <v>1603.74</v>
      </c>
      <c r="J1879" s="2">
        <v>905.1400000000001</v>
      </c>
      <c r="K1879" s="2">
        <v>826.16000000000008</v>
      </c>
      <c r="L1879" s="2">
        <v>13200.469999999996</v>
      </c>
      <c r="M1879" t="s">
        <v>4400</v>
      </c>
      <c r="N1879" t="s">
        <v>4400</v>
      </c>
    </row>
    <row r="1880" spans="1:14" x14ac:dyDescent="0.4">
      <c r="A1880" t="s">
        <v>3783</v>
      </c>
      <c r="B1880" t="s">
        <v>622</v>
      </c>
      <c r="C1880" t="s">
        <v>113</v>
      </c>
      <c r="D1880" t="s">
        <v>114</v>
      </c>
      <c r="E1880" s="2">
        <v>4361.6799999999967</v>
      </c>
      <c r="F1880" s="2">
        <v>3924.2899999999991</v>
      </c>
      <c r="G1880" s="2">
        <v>3474.7899999999991</v>
      </c>
      <c r="H1880" s="2">
        <v>4027.5899999999992</v>
      </c>
      <c r="I1880" s="2">
        <v>4865.8799999999956</v>
      </c>
      <c r="J1880" s="2">
        <v>3590.2000000000007</v>
      </c>
      <c r="K1880" s="2">
        <v>1722.1899999999998</v>
      </c>
      <c r="L1880" s="2">
        <v>25966.620000000039</v>
      </c>
      <c r="M1880" t="s">
        <v>4400</v>
      </c>
      <c r="N1880" t="s">
        <v>4400</v>
      </c>
    </row>
    <row r="1881" spans="1:14" x14ac:dyDescent="0.4">
      <c r="A1881" t="s">
        <v>3784</v>
      </c>
      <c r="B1881" t="s">
        <v>1477</v>
      </c>
      <c r="C1881" t="s">
        <v>423</v>
      </c>
      <c r="D1881" t="s">
        <v>424</v>
      </c>
      <c r="E1881" s="2">
        <v>4747.49</v>
      </c>
      <c r="F1881" s="2">
        <v>4510.53</v>
      </c>
      <c r="G1881" s="2">
        <v>2305.38</v>
      </c>
      <c r="H1881" s="2">
        <v>2700.2299999999996</v>
      </c>
      <c r="I1881" s="2">
        <v>5640.4299999999994</v>
      </c>
      <c r="J1881" s="2">
        <v>5488.5200000000013</v>
      </c>
      <c r="K1881" s="2">
        <v>3116.3499999999995</v>
      </c>
      <c r="L1881" s="2">
        <v>28508.930000000015</v>
      </c>
      <c r="M1881" t="s">
        <v>4400</v>
      </c>
      <c r="N1881" t="s">
        <v>4400</v>
      </c>
    </row>
    <row r="1882" spans="1:14" x14ac:dyDescent="0.4">
      <c r="A1882" t="s">
        <v>3785</v>
      </c>
      <c r="B1882" t="s">
        <v>1981</v>
      </c>
      <c r="C1882" t="s">
        <v>1</v>
      </c>
      <c r="D1882" t="s">
        <v>88</v>
      </c>
      <c r="E1882" s="2">
        <v>1937.7799999999995</v>
      </c>
      <c r="F1882" s="2">
        <v>3477.2099999999996</v>
      </c>
      <c r="G1882" s="2">
        <v>3929.5300000000007</v>
      </c>
      <c r="H1882" s="2">
        <v>3027.4600000000005</v>
      </c>
      <c r="I1882" s="2">
        <v>3269.0400000000004</v>
      </c>
      <c r="J1882" s="2">
        <v>5260.7900000000009</v>
      </c>
      <c r="K1882" s="2">
        <v>1647.3700000000001</v>
      </c>
      <c r="L1882" s="2">
        <v>22549.180000000055</v>
      </c>
      <c r="M1882" t="s">
        <v>4400</v>
      </c>
      <c r="N1882" t="s">
        <v>4400</v>
      </c>
    </row>
    <row r="1883" spans="1:14" x14ac:dyDescent="0.4">
      <c r="A1883" t="s">
        <v>3786</v>
      </c>
      <c r="B1883" t="s">
        <v>3787</v>
      </c>
      <c r="C1883" t="s">
        <v>64</v>
      </c>
      <c r="D1883" t="s">
        <v>2089</v>
      </c>
      <c r="E1883" s="2">
        <v>1968.1999999999998</v>
      </c>
      <c r="F1883" s="2">
        <v>1861.94</v>
      </c>
      <c r="G1883" s="2">
        <v>1764.73</v>
      </c>
      <c r="H1883" s="2">
        <v>3061.73</v>
      </c>
      <c r="I1883" s="2">
        <v>1995.5900000000001</v>
      </c>
      <c r="J1883" s="2">
        <v>2967.5800000000004</v>
      </c>
      <c r="K1883" s="2">
        <v>1983.44</v>
      </c>
      <c r="L1883" s="2">
        <v>15603.209999999985</v>
      </c>
      <c r="M1883" t="s">
        <v>4400</v>
      </c>
      <c r="N1883" t="s">
        <v>4400</v>
      </c>
    </row>
    <row r="1884" spans="1:14" x14ac:dyDescent="0.4">
      <c r="A1884" t="s">
        <v>3788</v>
      </c>
      <c r="B1884" t="s">
        <v>3789</v>
      </c>
      <c r="C1884" t="s">
        <v>113</v>
      </c>
      <c r="D1884" t="s">
        <v>120</v>
      </c>
      <c r="E1884" s="2">
        <v>4167.4300000000012</v>
      </c>
      <c r="F1884" s="2">
        <v>3906.1900000000005</v>
      </c>
      <c r="G1884" s="2">
        <v>5415.7999999999993</v>
      </c>
      <c r="H1884" s="2">
        <v>2335.7800000000002</v>
      </c>
      <c r="I1884" s="2">
        <v>3696.57</v>
      </c>
      <c r="J1884" s="2">
        <v>4197.7499999999991</v>
      </c>
      <c r="K1884" s="2">
        <v>1868.04</v>
      </c>
      <c r="L1884" s="2">
        <v>25587.559999999983</v>
      </c>
      <c r="M1884" t="s">
        <v>4400</v>
      </c>
      <c r="N1884" t="s">
        <v>4400</v>
      </c>
    </row>
    <row r="1885" spans="1:14" x14ac:dyDescent="0.4">
      <c r="A1885" t="s">
        <v>3790</v>
      </c>
      <c r="B1885" t="s">
        <v>3791</v>
      </c>
      <c r="C1885" t="s">
        <v>64</v>
      </c>
      <c r="D1885" t="s">
        <v>708</v>
      </c>
      <c r="E1885" s="2"/>
      <c r="F1885" s="2"/>
      <c r="G1885" s="2">
        <v>2639.5700000000006</v>
      </c>
      <c r="H1885" s="2"/>
      <c r="I1885" s="2"/>
      <c r="J1885" s="2"/>
      <c r="K1885" s="2"/>
      <c r="L1885" s="2">
        <v>2639.5700000000006</v>
      </c>
      <c r="M1885" t="s">
        <v>4411</v>
      </c>
      <c r="N1885" t="s">
        <v>4403</v>
      </c>
    </row>
    <row r="1886" spans="1:14" x14ac:dyDescent="0.4">
      <c r="A1886" t="s">
        <v>3792</v>
      </c>
      <c r="B1886" t="s">
        <v>3793</v>
      </c>
      <c r="C1886" t="s">
        <v>1</v>
      </c>
      <c r="D1886" t="s">
        <v>88</v>
      </c>
      <c r="E1886" s="2"/>
      <c r="F1886" s="2"/>
      <c r="G1886" s="2"/>
      <c r="H1886" s="2"/>
      <c r="I1886" s="2">
        <v>722.16999999999985</v>
      </c>
      <c r="J1886" s="2"/>
      <c r="K1886" s="2">
        <v>717.03</v>
      </c>
      <c r="L1886" s="2">
        <v>1439.1999999999998</v>
      </c>
      <c r="M1886" t="s">
        <v>4408</v>
      </c>
      <c r="N1886" t="s">
        <v>4400</v>
      </c>
    </row>
    <row r="1887" spans="1:14" x14ac:dyDescent="0.4">
      <c r="A1887" t="s">
        <v>3794</v>
      </c>
      <c r="B1887" t="s">
        <v>3795</v>
      </c>
      <c r="C1887" t="s">
        <v>199</v>
      </c>
      <c r="D1887" t="s">
        <v>217</v>
      </c>
      <c r="E1887" s="2">
        <v>965.88</v>
      </c>
      <c r="F1887" s="2"/>
      <c r="G1887" s="2">
        <v>838.32</v>
      </c>
      <c r="H1887" s="2"/>
      <c r="I1887" s="2">
        <v>1020.6</v>
      </c>
      <c r="J1887" s="2">
        <v>956.79000000000008</v>
      </c>
      <c r="K1887" s="2"/>
      <c r="L1887" s="2">
        <v>3781.5899999999988</v>
      </c>
      <c r="M1887" t="s">
        <v>4400</v>
      </c>
      <c r="N1887" t="s">
        <v>4406</v>
      </c>
    </row>
    <row r="1888" spans="1:14" x14ac:dyDescent="0.4">
      <c r="A1888" t="s">
        <v>3796</v>
      </c>
      <c r="B1888" t="s">
        <v>3797</v>
      </c>
      <c r="C1888" t="s">
        <v>163</v>
      </c>
      <c r="D1888" t="s">
        <v>931</v>
      </c>
      <c r="E1888" s="2"/>
      <c r="F1888" s="2">
        <v>729.87999999999988</v>
      </c>
      <c r="G1888" s="2">
        <v>925.19999999999993</v>
      </c>
      <c r="H1888" s="2">
        <v>2467.2000000000003</v>
      </c>
      <c r="I1888" s="2">
        <v>2433.7899999999995</v>
      </c>
      <c r="J1888" s="2">
        <v>806.98</v>
      </c>
      <c r="K1888" s="2">
        <v>1464.8999999999996</v>
      </c>
      <c r="L1888" s="2">
        <v>8827.9500000000098</v>
      </c>
      <c r="M1888" t="s">
        <v>4412</v>
      </c>
      <c r="N1888" t="s">
        <v>4400</v>
      </c>
    </row>
    <row r="1889" spans="1:14" x14ac:dyDescent="0.4">
      <c r="A1889" t="s">
        <v>3798</v>
      </c>
      <c r="B1889" t="s">
        <v>3799</v>
      </c>
      <c r="C1889" t="s">
        <v>402</v>
      </c>
      <c r="D1889" t="s">
        <v>3800</v>
      </c>
      <c r="E1889" s="2">
        <v>814.68999999999994</v>
      </c>
      <c r="F1889" s="2">
        <v>724.74</v>
      </c>
      <c r="G1889" s="2">
        <v>737.59</v>
      </c>
      <c r="H1889" s="2">
        <v>2734.4799999999996</v>
      </c>
      <c r="I1889" s="2"/>
      <c r="J1889" s="2">
        <v>1917.2199999999998</v>
      </c>
      <c r="K1889" s="2">
        <v>804.41</v>
      </c>
      <c r="L1889" s="2">
        <v>7733.1299999999992</v>
      </c>
      <c r="M1889" t="s">
        <v>4400</v>
      </c>
      <c r="N1889" t="s">
        <v>4400</v>
      </c>
    </row>
    <row r="1890" spans="1:14" x14ac:dyDescent="0.4">
      <c r="A1890" t="s">
        <v>3801</v>
      </c>
      <c r="B1890" t="s">
        <v>3802</v>
      </c>
      <c r="C1890" t="s">
        <v>35</v>
      </c>
      <c r="D1890" t="s">
        <v>1212</v>
      </c>
      <c r="E1890" s="2">
        <v>737.58999999999992</v>
      </c>
      <c r="F1890" s="2">
        <v>1480.32</v>
      </c>
      <c r="G1890" s="2">
        <v>747.86999999999989</v>
      </c>
      <c r="H1890" s="2">
        <v>750.44</v>
      </c>
      <c r="I1890" s="2">
        <v>1022.8599999999999</v>
      </c>
      <c r="J1890" s="2">
        <v>858.37999999999988</v>
      </c>
      <c r="K1890" s="2"/>
      <c r="L1890" s="2">
        <v>5597.4600000000019</v>
      </c>
      <c r="M1890" t="s">
        <v>4400</v>
      </c>
      <c r="N1890" t="s">
        <v>4406</v>
      </c>
    </row>
    <row r="1891" spans="1:14" x14ac:dyDescent="0.4">
      <c r="A1891" t="s">
        <v>3803</v>
      </c>
      <c r="B1891" t="s">
        <v>3402</v>
      </c>
      <c r="C1891" t="s">
        <v>35</v>
      </c>
      <c r="D1891" t="s">
        <v>1212</v>
      </c>
      <c r="E1891" s="2"/>
      <c r="F1891" s="2"/>
      <c r="G1891" s="2"/>
      <c r="H1891" s="2">
        <v>1606.8</v>
      </c>
      <c r="I1891" s="2">
        <v>838.31999999999982</v>
      </c>
      <c r="J1891" s="2">
        <v>889.9799999999999</v>
      </c>
      <c r="K1891" s="2"/>
      <c r="L1891" s="2">
        <v>3335.099999999999</v>
      </c>
      <c r="M1891" t="s">
        <v>4409</v>
      </c>
      <c r="N1891" t="s">
        <v>4406</v>
      </c>
    </row>
    <row r="1892" spans="1:14" x14ac:dyDescent="0.4">
      <c r="A1892" t="s">
        <v>3804</v>
      </c>
      <c r="B1892" t="s">
        <v>84</v>
      </c>
      <c r="C1892" t="s">
        <v>1</v>
      </c>
      <c r="D1892" t="s">
        <v>85</v>
      </c>
      <c r="E1892" s="2">
        <v>2626.6000000000004</v>
      </c>
      <c r="F1892" s="2">
        <v>2381.3300000000004</v>
      </c>
      <c r="G1892" s="2">
        <v>2414.7600000000002</v>
      </c>
      <c r="H1892" s="2">
        <v>1691.83</v>
      </c>
      <c r="I1892" s="2">
        <v>750.24999999999989</v>
      </c>
      <c r="J1892" s="2"/>
      <c r="K1892" s="2"/>
      <c r="L1892" s="2">
        <v>9864.7699999999968</v>
      </c>
      <c r="M1892" t="s">
        <v>4400</v>
      </c>
      <c r="N1892" t="s">
        <v>4401</v>
      </c>
    </row>
    <row r="1893" spans="1:14" x14ac:dyDescent="0.4">
      <c r="A1893" t="s">
        <v>3805</v>
      </c>
      <c r="B1893" t="s">
        <v>2652</v>
      </c>
      <c r="C1893" t="s">
        <v>64</v>
      </c>
      <c r="D1893" t="s">
        <v>645</v>
      </c>
      <c r="E1893" s="2"/>
      <c r="F1893" s="2">
        <v>1819.5599999999997</v>
      </c>
      <c r="G1893" s="2">
        <v>832.68</v>
      </c>
      <c r="H1893" s="2">
        <v>781.28</v>
      </c>
      <c r="I1893" s="2">
        <v>907.21</v>
      </c>
      <c r="J1893" s="2">
        <v>2058.5699999999997</v>
      </c>
      <c r="K1893" s="2"/>
      <c r="L1893" s="2">
        <v>6399.3000000000011</v>
      </c>
      <c r="M1893" t="s">
        <v>4412</v>
      </c>
      <c r="N1893" t="s">
        <v>4406</v>
      </c>
    </row>
    <row r="1894" spans="1:14" x14ac:dyDescent="0.4">
      <c r="A1894" t="s">
        <v>3806</v>
      </c>
      <c r="B1894" t="s">
        <v>3807</v>
      </c>
      <c r="C1894" t="s">
        <v>64</v>
      </c>
      <c r="D1894" t="s">
        <v>2619</v>
      </c>
      <c r="E1894" s="2">
        <v>3818.0399999999995</v>
      </c>
      <c r="F1894" s="2">
        <v>3037.42</v>
      </c>
      <c r="G1894" s="2">
        <v>4352.63</v>
      </c>
      <c r="H1894" s="2">
        <v>4881.1400000000003</v>
      </c>
      <c r="I1894" s="2">
        <v>2776.2200000000003</v>
      </c>
      <c r="J1894" s="2">
        <v>3754.29</v>
      </c>
      <c r="K1894" s="2">
        <v>2010.8</v>
      </c>
      <c r="L1894" s="2">
        <v>24630.539999999972</v>
      </c>
      <c r="M1894" t="s">
        <v>4400</v>
      </c>
      <c r="N1894" t="s">
        <v>4400</v>
      </c>
    </row>
    <row r="1895" spans="1:14" x14ac:dyDescent="0.4">
      <c r="A1895" t="s">
        <v>3808</v>
      </c>
      <c r="B1895" t="s">
        <v>3809</v>
      </c>
      <c r="C1895" t="s">
        <v>602</v>
      </c>
      <c r="D1895" t="s">
        <v>1638</v>
      </c>
      <c r="E1895" s="2">
        <v>1880.1900000000003</v>
      </c>
      <c r="F1895" s="2">
        <v>1855.8899999999999</v>
      </c>
      <c r="G1895" s="2">
        <v>2135.329999999999</v>
      </c>
      <c r="H1895" s="2">
        <v>2080.66</v>
      </c>
      <c r="I1895" s="2">
        <v>3547.7399999999984</v>
      </c>
      <c r="J1895" s="2">
        <v>2490.7099999999996</v>
      </c>
      <c r="K1895" s="2">
        <v>1172.47</v>
      </c>
      <c r="L1895" s="2">
        <v>15162.989999999996</v>
      </c>
      <c r="M1895" t="s">
        <v>4400</v>
      </c>
      <c r="N1895" t="s">
        <v>4400</v>
      </c>
    </row>
    <row r="1896" spans="1:14" x14ac:dyDescent="0.4">
      <c r="A1896" t="s">
        <v>3810</v>
      </c>
      <c r="B1896" t="s">
        <v>3573</v>
      </c>
      <c r="C1896" t="s">
        <v>64</v>
      </c>
      <c r="D1896" t="s">
        <v>693</v>
      </c>
      <c r="E1896" s="2">
        <v>3192.31</v>
      </c>
      <c r="F1896" s="2">
        <v>1661.4099999999996</v>
      </c>
      <c r="G1896" s="2">
        <v>2423.83</v>
      </c>
      <c r="H1896" s="2">
        <v>3772.4600000000005</v>
      </c>
      <c r="I1896" s="2">
        <v>2357.0099999999998</v>
      </c>
      <c r="J1896" s="2">
        <v>2402.58</v>
      </c>
      <c r="K1896" s="2">
        <v>1555.1499999999999</v>
      </c>
      <c r="L1896" s="2">
        <v>17364.749999999989</v>
      </c>
      <c r="M1896" t="s">
        <v>4400</v>
      </c>
      <c r="N1896" t="s">
        <v>4400</v>
      </c>
    </row>
    <row r="1897" spans="1:14" x14ac:dyDescent="0.4">
      <c r="A1897" t="s">
        <v>3811</v>
      </c>
      <c r="B1897" t="s">
        <v>3812</v>
      </c>
      <c r="C1897" t="s">
        <v>64</v>
      </c>
      <c r="D1897" t="s">
        <v>1560</v>
      </c>
      <c r="E1897" s="2">
        <v>1727.04</v>
      </c>
      <c r="F1897" s="2">
        <v>986.87999999999988</v>
      </c>
      <c r="G1897" s="2"/>
      <c r="H1897" s="2"/>
      <c r="I1897" s="2">
        <v>1017.7199999999999</v>
      </c>
      <c r="J1897" s="2"/>
      <c r="K1897" s="2">
        <v>765.86</v>
      </c>
      <c r="L1897" s="2">
        <v>4497.4999999999991</v>
      </c>
      <c r="M1897" t="s">
        <v>4400</v>
      </c>
      <c r="N1897" t="s">
        <v>4400</v>
      </c>
    </row>
    <row r="1898" spans="1:14" x14ac:dyDescent="0.4">
      <c r="A1898" t="s">
        <v>3813</v>
      </c>
      <c r="B1898" t="s">
        <v>995</v>
      </c>
      <c r="C1898" t="s">
        <v>251</v>
      </c>
      <c r="D1898" t="s">
        <v>252</v>
      </c>
      <c r="E1898" s="2">
        <v>4556.0300000000007</v>
      </c>
      <c r="F1898" s="2">
        <v>3365.4099999999994</v>
      </c>
      <c r="G1898" s="2">
        <v>4464.9299999999994</v>
      </c>
      <c r="H1898" s="2">
        <v>3647.8699999999994</v>
      </c>
      <c r="I1898" s="2">
        <v>3611.43</v>
      </c>
      <c r="J1898" s="2">
        <v>2788.2999999999997</v>
      </c>
      <c r="K1898" s="2"/>
      <c r="L1898" s="2">
        <v>22433.969999999968</v>
      </c>
      <c r="M1898" t="s">
        <v>4400</v>
      </c>
      <c r="N1898" t="s">
        <v>4406</v>
      </c>
    </row>
    <row r="1899" spans="1:14" x14ac:dyDescent="0.4">
      <c r="A1899" t="s">
        <v>3814</v>
      </c>
      <c r="B1899" t="s">
        <v>3815</v>
      </c>
      <c r="C1899" t="s">
        <v>163</v>
      </c>
      <c r="D1899" t="s">
        <v>164</v>
      </c>
      <c r="E1899" s="2">
        <v>2250.66</v>
      </c>
      <c r="F1899" s="2">
        <v>1549.02</v>
      </c>
      <c r="G1899" s="2">
        <v>2675.8700000000003</v>
      </c>
      <c r="H1899" s="2">
        <v>1703.9499999999998</v>
      </c>
      <c r="I1899" s="2">
        <v>1640.1599999999999</v>
      </c>
      <c r="J1899" s="2">
        <v>3040.3900000000003</v>
      </c>
      <c r="K1899" s="2">
        <v>1676.6200000000001</v>
      </c>
      <c r="L1899" s="2">
        <v>14536.669999999989</v>
      </c>
      <c r="M1899" t="s">
        <v>4400</v>
      </c>
      <c r="N1899" t="s">
        <v>4400</v>
      </c>
    </row>
    <row r="1900" spans="1:14" x14ac:dyDescent="0.4">
      <c r="A1900" t="s">
        <v>3816</v>
      </c>
      <c r="B1900" t="s">
        <v>3817</v>
      </c>
      <c r="C1900" t="s">
        <v>64</v>
      </c>
      <c r="D1900" t="s">
        <v>65</v>
      </c>
      <c r="E1900" s="2"/>
      <c r="F1900" s="2"/>
      <c r="G1900" s="2"/>
      <c r="H1900" s="2"/>
      <c r="I1900" s="2"/>
      <c r="J1900" s="2">
        <v>732.44999999999993</v>
      </c>
      <c r="K1900" s="2"/>
      <c r="L1900" s="2">
        <v>732.44999999999993</v>
      </c>
      <c r="M1900" t="s">
        <v>4405</v>
      </c>
      <c r="N1900" t="s">
        <v>4406</v>
      </c>
    </row>
    <row r="1901" spans="1:14" x14ac:dyDescent="0.4">
      <c r="A1901" t="s">
        <v>3818</v>
      </c>
      <c r="B1901" t="s">
        <v>3819</v>
      </c>
      <c r="C1901" t="s">
        <v>78</v>
      </c>
      <c r="D1901" t="s">
        <v>841</v>
      </c>
      <c r="E1901" s="2">
        <v>2562.2899999999995</v>
      </c>
      <c r="F1901" s="2"/>
      <c r="G1901" s="2"/>
      <c r="H1901" s="2"/>
      <c r="I1901" s="2"/>
      <c r="J1901" s="2">
        <v>719.59999999999991</v>
      </c>
      <c r="K1901" s="2"/>
      <c r="L1901" s="2">
        <v>3281.8899999999994</v>
      </c>
      <c r="M1901" t="s">
        <v>4400</v>
      </c>
      <c r="N1901" t="s">
        <v>4406</v>
      </c>
    </row>
    <row r="1902" spans="1:14" x14ac:dyDescent="0.4">
      <c r="A1902" t="s">
        <v>3820</v>
      </c>
      <c r="B1902" t="s">
        <v>3821</v>
      </c>
      <c r="C1902" t="s">
        <v>78</v>
      </c>
      <c r="D1902" t="s">
        <v>768</v>
      </c>
      <c r="E1902" s="2"/>
      <c r="F1902" s="2"/>
      <c r="G1902" s="2">
        <v>912.34999999999991</v>
      </c>
      <c r="H1902" s="2"/>
      <c r="I1902" s="2"/>
      <c r="J1902" s="2"/>
      <c r="K1902" s="2"/>
      <c r="L1902" s="2">
        <v>912.34999999999991</v>
      </c>
      <c r="M1902" t="s">
        <v>4411</v>
      </c>
      <c r="N1902" t="s">
        <v>4403</v>
      </c>
    </row>
    <row r="1903" spans="1:14" x14ac:dyDescent="0.4">
      <c r="A1903" t="s">
        <v>3822</v>
      </c>
      <c r="B1903" t="s">
        <v>3823</v>
      </c>
      <c r="C1903" t="s">
        <v>220</v>
      </c>
      <c r="D1903" t="s">
        <v>928</v>
      </c>
      <c r="E1903" s="2"/>
      <c r="F1903" s="2">
        <v>740.16</v>
      </c>
      <c r="G1903" s="2"/>
      <c r="H1903" s="2"/>
      <c r="I1903" s="2">
        <v>747.87</v>
      </c>
      <c r="J1903" s="2">
        <v>727.31000000000006</v>
      </c>
      <c r="K1903" s="2"/>
      <c r="L1903" s="2">
        <v>2215.3399999999997</v>
      </c>
      <c r="M1903" t="s">
        <v>4412</v>
      </c>
      <c r="N1903" t="s">
        <v>4406</v>
      </c>
    </row>
    <row r="1904" spans="1:14" x14ac:dyDescent="0.4">
      <c r="A1904" t="s">
        <v>3824</v>
      </c>
      <c r="B1904" t="s">
        <v>3679</v>
      </c>
      <c r="C1904" t="s">
        <v>31</v>
      </c>
      <c r="D1904" t="s">
        <v>471</v>
      </c>
      <c r="E1904" s="2">
        <v>1694.8799999999997</v>
      </c>
      <c r="F1904" s="2">
        <v>2634.1999999999994</v>
      </c>
      <c r="G1904" s="2">
        <v>3459.6400000000003</v>
      </c>
      <c r="H1904" s="2">
        <v>1524.7799999999997</v>
      </c>
      <c r="I1904" s="2">
        <v>3362.4500000000003</v>
      </c>
      <c r="J1904" s="2">
        <v>3620.639999999999</v>
      </c>
      <c r="K1904" s="2">
        <v>1169.4099999999999</v>
      </c>
      <c r="L1904" s="2">
        <v>17465.999999999996</v>
      </c>
      <c r="M1904" t="s">
        <v>4400</v>
      </c>
      <c r="N1904" t="s">
        <v>4400</v>
      </c>
    </row>
    <row r="1905" spans="1:14" x14ac:dyDescent="0.4">
      <c r="A1905" t="s">
        <v>3825</v>
      </c>
      <c r="B1905" t="s">
        <v>3826</v>
      </c>
      <c r="C1905" t="s">
        <v>279</v>
      </c>
      <c r="D1905" t="s">
        <v>280</v>
      </c>
      <c r="E1905" s="2">
        <v>3189.3199999999993</v>
      </c>
      <c r="F1905" s="2">
        <v>2196.08</v>
      </c>
      <c r="G1905" s="2"/>
      <c r="H1905" s="2"/>
      <c r="I1905" s="2">
        <v>2855.1999999999994</v>
      </c>
      <c r="J1905" s="2">
        <v>1057.0199999999998</v>
      </c>
      <c r="K1905" s="2"/>
      <c r="L1905" s="2">
        <v>9297.6199999999953</v>
      </c>
      <c r="M1905" t="s">
        <v>4400</v>
      </c>
      <c r="N1905" t="s">
        <v>4406</v>
      </c>
    </row>
    <row r="1906" spans="1:14" x14ac:dyDescent="0.4">
      <c r="A1906" t="s">
        <v>3827</v>
      </c>
      <c r="B1906" t="s">
        <v>3828</v>
      </c>
      <c r="C1906" t="s">
        <v>103</v>
      </c>
      <c r="D1906" t="s">
        <v>1619</v>
      </c>
      <c r="E1906" s="2"/>
      <c r="F1906" s="2"/>
      <c r="G1906" s="2">
        <v>950.72</v>
      </c>
      <c r="H1906" s="2"/>
      <c r="I1906" s="2"/>
      <c r="J1906" s="2">
        <v>759.37999999999988</v>
      </c>
      <c r="K1906" s="2"/>
      <c r="L1906" s="2">
        <v>1710.1</v>
      </c>
      <c r="M1906" t="s">
        <v>4411</v>
      </c>
      <c r="N1906" t="s">
        <v>4406</v>
      </c>
    </row>
    <row r="1907" spans="1:14" x14ac:dyDescent="0.4">
      <c r="A1907" t="s">
        <v>3829</v>
      </c>
      <c r="B1907" t="s">
        <v>3669</v>
      </c>
      <c r="C1907" t="s">
        <v>113</v>
      </c>
      <c r="D1907" t="s">
        <v>120</v>
      </c>
      <c r="E1907" s="2">
        <v>3230.4899999999989</v>
      </c>
      <c r="F1907" s="2">
        <v>3258.76</v>
      </c>
      <c r="G1907" s="2">
        <v>1488.03</v>
      </c>
      <c r="H1907" s="2">
        <v>2963.2099999999996</v>
      </c>
      <c r="I1907" s="2">
        <v>2243.6099999999992</v>
      </c>
      <c r="J1907" s="2">
        <v>2328.42</v>
      </c>
      <c r="K1907" s="2">
        <v>1462.33</v>
      </c>
      <c r="L1907" s="2">
        <v>16974.850000000009</v>
      </c>
      <c r="M1907" t="s">
        <v>4400</v>
      </c>
      <c r="N1907" t="s">
        <v>4400</v>
      </c>
    </row>
    <row r="1908" spans="1:14" x14ac:dyDescent="0.4">
      <c r="A1908" t="s">
        <v>3830</v>
      </c>
      <c r="B1908" t="s">
        <v>3831</v>
      </c>
      <c r="C1908" t="s">
        <v>78</v>
      </c>
      <c r="D1908" t="s">
        <v>79</v>
      </c>
      <c r="E1908" s="2"/>
      <c r="F1908" s="2"/>
      <c r="G1908" s="2"/>
      <c r="H1908" s="2"/>
      <c r="I1908" s="2"/>
      <c r="J1908" s="2">
        <v>735.07</v>
      </c>
      <c r="K1908" s="2"/>
      <c r="L1908" s="2">
        <v>735.07</v>
      </c>
      <c r="M1908" t="s">
        <v>4405</v>
      </c>
      <c r="N1908" t="s">
        <v>4406</v>
      </c>
    </row>
    <row r="1909" spans="1:14" x14ac:dyDescent="0.4">
      <c r="A1909" t="s">
        <v>3832</v>
      </c>
      <c r="B1909" t="s">
        <v>3833</v>
      </c>
      <c r="C1909" t="s">
        <v>64</v>
      </c>
      <c r="D1909" t="s">
        <v>74</v>
      </c>
      <c r="E1909" s="2"/>
      <c r="F1909" s="2"/>
      <c r="G1909" s="2"/>
      <c r="H1909" s="2"/>
      <c r="I1909" s="2">
        <v>1096.49</v>
      </c>
      <c r="J1909" s="2"/>
      <c r="K1909" s="2"/>
      <c r="L1909" s="2">
        <v>1096.49</v>
      </c>
      <c r="M1909" t="s">
        <v>4408</v>
      </c>
      <c r="N1909" t="s">
        <v>4401</v>
      </c>
    </row>
    <row r="1910" spans="1:14" x14ac:dyDescent="0.4">
      <c r="A1910" t="s">
        <v>3834</v>
      </c>
      <c r="B1910" t="s">
        <v>3363</v>
      </c>
      <c r="C1910" t="s">
        <v>31</v>
      </c>
      <c r="D1910" t="s">
        <v>471</v>
      </c>
      <c r="E1910" s="2">
        <v>5953.2299999999959</v>
      </c>
      <c r="F1910" s="2">
        <v>5094.2799999999988</v>
      </c>
      <c r="G1910" s="2">
        <v>4926.6299999999992</v>
      </c>
      <c r="H1910" s="2">
        <v>2867.3099999999986</v>
      </c>
      <c r="I1910" s="2">
        <v>6059.5399999999981</v>
      </c>
      <c r="J1910" s="2">
        <v>4631.9899999999989</v>
      </c>
      <c r="K1910" s="2">
        <v>2846.0100000000007</v>
      </c>
      <c r="L1910" s="2">
        <v>32378.99</v>
      </c>
      <c r="M1910" t="s">
        <v>4400</v>
      </c>
      <c r="N1910" t="s">
        <v>4400</v>
      </c>
    </row>
    <row r="1911" spans="1:14" x14ac:dyDescent="0.4">
      <c r="A1911" t="s">
        <v>3835</v>
      </c>
      <c r="B1911" t="s">
        <v>1960</v>
      </c>
      <c r="C1911" t="s">
        <v>9</v>
      </c>
      <c r="D1911" t="s">
        <v>10</v>
      </c>
      <c r="E1911" s="2">
        <v>3493.01</v>
      </c>
      <c r="F1911" s="2">
        <v>3477.8700000000003</v>
      </c>
      <c r="G1911" s="2">
        <v>1752.6000000000004</v>
      </c>
      <c r="H1911" s="2">
        <v>3329.01</v>
      </c>
      <c r="I1911" s="2">
        <v>993.25000000000011</v>
      </c>
      <c r="J1911" s="2">
        <v>3219.6000000000004</v>
      </c>
      <c r="K1911" s="2">
        <v>747.2</v>
      </c>
      <c r="L1911" s="2">
        <v>17012.539999999983</v>
      </c>
      <c r="M1911" t="s">
        <v>4400</v>
      </c>
      <c r="N1911" t="s">
        <v>4400</v>
      </c>
    </row>
    <row r="1912" spans="1:14" x14ac:dyDescent="0.4">
      <c r="A1912" t="s">
        <v>3836</v>
      </c>
      <c r="B1912" t="s">
        <v>3837</v>
      </c>
      <c r="C1912" t="s">
        <v>64</v>
      </c>
      <c r="D1912" t="s">
        <v>2089</v>
      </c>
      <c r="E1912" s="2">
        <v>3289.5299999999993</v>
      </c>
      <c r="F1912" s="2">
        <v>1606.8</v>
      </c>
      <c r="G1912" s="2">
        <v>1515.6899999999998</v>
      </c>
      <c r="H1912" s="2"/>
      <c r="I1912" s="2"/>
      <c r="J1912" s="2"/>
      <c r="K1912" s="2"/>
      <c r="L1912" s="2">
        <v>6412.0199999999986</v>
      </c>
      <c r="M1912" t="s">
        <v>4400</v>
      </c>
      <c r="N1912" t="s">
        <v>4403</v>
      </c>
    </row>
    <row r="1913" spans="1:14" x14ac:dyDescent="0.4">
      <c r="A1913" t="s">
        <v>3838</v>
      </c>
      <c r="B1913" t="s">
        <v>3839</v>
      </c>
      <c r="C1913" t="s">
        <v>78</v>
      </c>
      <c r="D1913" t="s">
        <v>1553</v>
      </c>
      <c r="E1913" s="2"/>
      <c r="F1913" s="2"/>
      <c r="G1913" s="2">
        <v>886.89999999999986</v>
      </c>
      <c r="H1913" s="2">
        <v>786.66999999999985</v>
      </c>
      <c r="I1913" s="2">
        <v>1998.58</v>
      </c>
      <c r="J1913" s="2">
        <v>826.17</v>
      </c>
      <c r="K1913" s="2">
        <v>780.61</v>
      </c>
      <c r="L1913" s="2">
        <v>5278.9299999999985</v>
      </c>
      <c r="M1913" t="s">
        <v>4411</v>
      </c>
      <c r="N1913" t="s">
        <v>4400</v>
      </c>
    </row>
    <row r="1914" spans="1:14" x14ac:dyDescent="0.4">
      <c r="A1914" t="s">
        <v>3840</v>
      </c>
      <c r="B1914" t="s">
        <v>685</v>
      </c>
      <c r="C1914" t="s">
        <v>186</v>
      </c>
      <c r="D1914" t="s">
        <v>1209</v>
      </c>
      <c r="E1914" s="2">
        <v>2235.8999999999996</v>
      </c>
      <c r="F1914" s="2">
        <v>2970.9199999999992</v>
      </c>
      <c r="G1914" s="2">
        <v>1583.1200000000001</v>
      </c>
      <c r="H1914" s="2">
        <v>1446.9099999999999</v>
      </c>
      <c r="I1914" s="2">
        <v>2233.329999999999</v>
      </c>
      <c r="J1914" s="2">
        <v>1464.8999999999996</v>
      </c>
      <c r="K1914" s="2">
        <v>729.87999999999988</v>
      </c>
      <c r="L1914" s="2">
        <v>12664.960000000015</v>
      </c>
      <c r="M1914" t="s">
        <v>4400</v>
      </c>
      <c r="N1914" t="s">
        <v>4400</v>
      </c>
    </row>
    <row r="1915" spans="1:14" x14ac:dyDescent="0.4">
      <c r="A1915" t="s">
        <v>3841</v>
      </c>
      <c r="B1915" t="s">
        <v>2937</v>
      </c>
      <c r="C1915" t="s">
        <v>423</v>
      </c>
      <c r="D1915" t="s">
        <v>430</v>
      </c>
      <c r="E1915" s="2">
        <v>2250.6999999999998</v>
      </c>
      <c r="F1915" s="2">
        <v>2211.2199999999998</v>
      </c>
      <c r="G1915" s="2">
        <v>1448.8500000000001</v>
      </c>
      <c r="H1915" s="2">
        <v>2278.0899999999997</v>
      </c>
      <c r="I1915" s="2">
        <v>3073.86</v>
      </c>
      <c r="J1915" s="2"/>
      <c r="K1915" s="2"/>
      <c r="L1915" s="2">
        <v>11262.719999999996</v>
      </c>
      <c r="M1915" t="s">
        <v>4400</v>
      </c>
      <c r="N1915" t="s">
        <v>4401</v>
      </c>
    </row>
    <row r="1916" spans="1:14" x14ac:dyDescent="0.4">
      <c r="A1916" t="s">
        <v>3842</v>
      </c>
      <c r="B1916" t="s">
        <v>2502</v>
      </c>
      <c r="C1916" t="s">
        <v>35</v>
      </c>
      <c r="D1916" t="s">
        <v>2386</v>
      </c>
      <c r="E1916" s="2">
        <v>1810.3199999999997</v>
      </c>
      <c r="F1916" s="2">
        <v>2724.6099999999997</v>
      </c>
      <c r="G1916" s="2">
        <v>1837.67</v>
      </c>
      <c r="H1916" s="2">
        <v>2587.8599999999997</v>
      </c>
      <c r="I1916" s="2">
        <v>1834.6200000000001</v>
      </c>
      <c r="J1916" s="2"/>
      <c r="K1916" s="2"/>
      <c r="L1916" s="2">
        <v>10795.079999999996</v>
      </c>
      <c r="M1916" t="s">
        <v>4400</v>
      </c>
      <c r="N1916" t="s">
        <v>4401</v>
      </c>
    </row>
    <row r="1917" spans="1:14" x14ac:dyDescent="0.4">
      <c r="A1917" t="s">
        <v>3843</v>
      </c>
      <c r="B1917" t="s">
        <v>3844</v>
      </c>
      <c r="C1917" t="s">
        <v>35</v>
      </c>
      <c r="D1917" t="s">
        <v>36</v>
      </c>
      <c r="E1917" s="2">
        <v>2248.7499999999995</v>
      </c>
      <c r="F1917" s="2">
        <v>5052.6199999999981</v>
      </c>
      <c r="G1917" s="2">
        <v>2950.3600000000006</v>
      </c>
      <c r="H1917" s="2">
        <v>2996.6200000000003</v>
      </c>
      <c r="I1917" s="2">
        <v>2112.5399999999995</v>
      </c>
      <c r="J1917" s="2">
        <v>2364.3999999999996</v>
      </c>
      <c r="K1917" s="2">
        <v>1320.9799999999998</v>
      </c>
      <c r="L1917" s="2">
        <v>19046.270000000062</v>
      </c>
      <c r="M1917" t="s">
        <v>4400</v>
      </c>
      <c r="N1917" t="s">
        <v>4400</v>
      </c>
    </row>
    <row r="1918" spans="1:14" x14ac:dyDescent="0.4">
      <c r="A1918" t="s">
        <v>3845</v>
      </c>
      <c r="B1918" t="s">
        <v>3846</v>
      </c>
      <c r="C1918" t="s">
        <v>884</v>
      </c>
      <c r="D1918" t="s">
        <v>1666</v>
      </c>
      <c r="E1918" s="2">
        <v>792.75</v>
      </c>
      <c r="F1918" s="2">
        <v>1497.4399999999998</v>
      </c>
      <c r="G1918" s="2"/>
      <c r="H1918" s="2"/>
      <c r="I1918" s="2"/>
      <c r="J1918" s="2"/>
      <c r="K1918" s="2"/>
      <c r="L1918" s="2">
        <v>2290.1899999999996</v>
      </c>
      <c r="M1918" t="s">
        <v>4400</v>
      </c>
      <c r="N1918" t="s">
        <v>4410</v>
      </c>
    </row>
    <row r="1919" spans="1:14" x14ac:dyDescent="0.4">
      <c r="A1919" t="s">
        <v>3847</v>
      </c>
      <c r="B1919" t="s">
        <v>3337</v>
      </c>
      <c r="C1919" t="s">
        <v>35</v>
      </c>
      <c r="D1919" t="s">
        <v>2386</v>
      </c>
      <c r="E1919" s="2">
        <v>4225.1299999999992</v>
      </c>
      <c r="F1919" s="2">
        <v>3514.39</v>
      </c>
      <c r="G1919" s="2">
        <v>5756.0799999999981</v>
      </c>
      <c r="H1919" s="2">
        <v>2590.96</v>
      </c>
      <c r="I1919" s="2">
        <v>2618.2900000000004</v>
      </c>
      <c r="J1919" s="2">
        <v>3441.4299999999994</v>
      </c>
      <c r="K1919" s="2">
        <v>1880.2299999999996</v>
      </c>
      <c r="L1919" s="2">
        <v>24026.509999999969</v>
      </c>
      <c r="M1919" t="s">
        <v>4400</v>
      </c>
      <c r="N1919" t="s">
        <v>4400</v>
      </c>
    </row>
    <row r="1920" spans="1:14" x14ac:dyDescent="0.4">
      <c r="A1920" t="s">
        <v>3848</v>
      </c>
      <c r="B1920" t="s">
        <v>3849</v>
      </c>
      <c r="C1920" t="s">
        <v>64</v>
      </c>
      <c r="D1920" t="s">
        <v>1424</v>
      </c>
      <c r="E1920" s="2">
        <v>2402.6200000000003</v>
      </c>
      <c r="F1920" s="2">
        <v>2897.73</v>
      </c>
      <c r="G1920" s="2">
        <v>3219.68</v>
      </c>
      <c r="H1920" s="2">
        <v>4048.9099999999994</v>
      </c>
      <c r="I1920" s="2">
        <v>3553.7999999999993</v>
      </c>
      <c r="J1920" s="2">
        <v>3456.61</v>
      </c>
      <c r="K1920" s="2">
        <v>1880.1799999999998</v>
      </c>
      <c r="L1920" s="2">
        <v>21459.529999999988</v>
      </c>
      <c r="M1920" t="s">
        <v>4400</v>
      </c>
      <c r="N1920" t="s">
        <v>4400</v>
      </c>
    </row>
    <row r="1921" spans="1:14" x14ac:dyDescent="0.4">
      <c r="A1921" t="s">
        <v>3850</v>
      </c>
      <c r="B1921" t="s">
        <v>3851</v>
      </c>
      <c r="C1921" t="s">
        <v>113</v>
      </c>
      <c r="D1921" t="s">
        <v>120</v>
      </c>
      <c r="E1921" s="2"/>
      <c r="F1921" s="2"/>
      <c r="G1921" s="2"/>
      <c r="H1921" s="2"/>
      <c r="I1921" s="2"/>
      <c r="J1921" s="2">
        <v>1989.54</v>
      </c>
      <c r="K1921" s="2">
        <v>835.27</v>
      </c>
      <c r="L1921" s="2">
        <v>2824.81</v>
      </c>
      <c r="M1921" t="s">
        <v>4405</v>
      </c>
      <c r="N1921" t="s">
        <v>4400</v>
      </c>
    </row>
    <row r="1922" spans="1:14" x14ac:dyDescent="0.4">
      <c r="A1922" t="s">
        <v>3852</v>
      </c>
      <c r="B1922" t="s">
        <v>3853</v>
      </c>
      <c r="C1922" t="s">
        <v>1</v>
      </c>
      <c r="D1922" t="s">
        <v>3854</v>
      </c>
      <c r="E1922" s="2">
        <v>7920.7400000000016</v>
      </c>
      <c r="F1922" s="2">
        <v>4351.0099999999993</v>
      </c>
      <c r="G1922" s="2">
        <v>5050.0499999999984</v>
      </c>
      <c r="H1922" s="2">
        <v>4687.6799999999985</v>
      </c>
      <c r="I1922" s="2">
        <v>4081.1599999999989</v>
      </c>
      <c r="J1922" s="2">
        <v>5427.8399999999983</v>
      </c>
      <c r="K1922" s="2">
        <v>2158.7999999999997</v>
      </c>
      <c r="L1922" s="2">
        <v>33677.280000000028</v>
      </c>
      <c r="M1922" t="s">
        <v>4400</v>
      </c>
      <c r="N1922" t="s">
        <v>4400</v>
      </c>
    </row>
    <row r="1923" spans="1:14" x14ac:dyDescent="0.4">
      <c r="A1923" t="s">
        <v>3855</v>
      </c>
      <c r="B1923" t="s">
        <v>3856</v>
      </c>
      <c r="C1923" t="s">
        <v>64</v>
      </c>
      <c r="D1923" t="s">
        <v>545</v>
      </c>
      <c r="E1923" s="2">
        <v>1035.71</v>
      </c>
      <c r="F1923" s="2">
        <v>791.56</v>
      </c>
      <c r="G1923" s="2">
        <v>783.84999999999991</v>
      </c>
      <c r="H1923" s="2">
        <v>804.41</v>
      </c>
      <c r="I1923" s="2">
        <v>1781.01</v>
      </c>
      <c r="J1923" s="2">
        <v>1107.6699999999998</v>
      </c>
      <c r="K1923" s="2"/>
      <c r="L1923" s="2">
        <v>6304.2100000000019</v>
      </c>
      <c r="M1923" t="s">
        <v>4400</v>
      </c>
      <c r="N1923" t="s">
        <v>4406</v>
      </c>
    </row>
    <row r="1924" spans="1:14" x14ac:dyDescent="0.4">
      <c r="A1924" t="s">
        <v>3857</v>
      </c>
      <c r="B1924" t="s">
        <v>3858</v>
      </c>
      <c r="C1924" t="s">
        <v>64</v>
      </c>
      <c r="D1924" t="s">
        <v>1560</v>
      </c>
      <c r="E1924" s="2">
        <v>2408.66</v>
      </c>
      <c r="F1924" s="2">
        <v>1542.9799999999998</v>
      </c>
      <c r="G1924" s="2">
        <v>2451.16</v>
      </c>
      <c r="H1924" s="2">
        <v>2548.3699999999994</v>
      </c>
      <c r="I1924" s="2">
        <v>2451.1699999999996</v>
      </c>
      <c r="J1924" s="2">
        <v>3231.7999999999997</v>
      </c>
      <c r="K1924" s="2">
        <v>798.84</v>
      </c>
      <c r="L1924" s="2">
        <v>15432.979999999992</v>
      </c>
      <c r="M1924" t="s">
        <v>4400</v>
      </c>
      <c r="N1924" t="s">
        <v>4400</v>
      </c>
    </row>
    <row r="1925" spans="1:14" x14ac:dyDescent="0.4">
      <c r="A1925" t="s">
        <v>3859</v>
      </c>
      <c r="B1925" t="s">
        <v>3860</v>
      </c>
      <c r="C1925" t="s">
        <v>291</v>
      </c>
      <c r="D1925" t="s">
        <v>1290</v>
      </c>
      <c r="E1925" s="2"/>
      <c r="F1925" s="2">
        <v>1318.23</v>
      </c>
      <c r="G1925" s="2"/>
      <c r="H1925" s="2"/>
      <c r="I1925" s="2"/>
      <c r="J1925" s="2"/>
      <c r="K1925" s="2"/>
      <c r="L1925" s="2">
        <v>1318.23</v>
      </c>
      <c r="M1925" t="s">
        <v>4412</v>
      </c>
      <c r="N1925" t="s">
        <v>4410</v>
      </c>
    </row>
    <row r="1926" spans="1:14" x14ac:dyDescent="0.4">
      <c r="A1926" t="s">
        <v>3861</v>
      </c>
      <c r="B1926" t="s">
        <v>3862</v>
      </c>
      <c r="C1926" t="s">
        <v>103</v>
      </c>
      <c r="D1926" t="s">
        <v>104</v>
      </c>
      <c r="E1926" s="2">
        <v>4853.71</v>
      </c>
      <c r="F1926" s="2">
        <v>4701.82</v>
      </c>
      <c r="G1926" s="2">
        <v>5388.23</v>
      </c>
      <c r="H1926" s="2">
        <v>3969.8399999999992</v>
      </c>
      <c r="I1926" s="2">
        <v>4920.53</v>
      </c>
      <c r="J1926" s="2">
        <v>7089.159999999998</v>
      </c>
      <c r="K1926" s="2">
        <v>1682.6999999999998</v>
      </c>
      <c r="L1926" s="2">
        <v>32605.989999999976</v>
      </c>
      <c r="M1926" t="s">
        <v>4400</v>
      </c>
      <c r="N1926" t="s">
        <v>4400</v>
      </c>
    </row>
    <row r="1927" spans="1:14" x14ac:dyDescent="0.4">
      <c r="A1927" t="s">
        <v>3863</v>
      </c>
      <c r="B1927" t="s">
        <v>3864</v>
      </c>
      <c r="C1927" t="s">
        <v>64</v>
      </c>
      <c r="D1927" t="s">
        <v>2742</v>
      </c>
      <c r="E1927" s="2">
        <v>1855.54</v>
      </c>
      <c r="F1927" s="2">
        <v>1783.5799999999997</v>
      </c>
      <c r="G1927" s="2">
        <v>3168.809999999999</v>
      </c>
      <c r="H1927" s="2">
        <v>920.05999999999983</v>
      </c>
      <c r="I1927" s="2">
        <v>776.13999999999987</v>
      </c>
      <c r="J1927" s="2"/>
      <c r="K1927" s="2"/>
      <c r="L1927" s="2">
        <v>8504.1299999999974</v>
      </c>
      <c r="M1927" t="s">
        <v>4400</v>
      </c>
      <c r="N1927" t="s">
        <v>4401</v>
      </c>
    </row>
    <row r="1928" spans="1:14" x14ac:dyDescent="0.4">
      <c r="A1928" t="s">
        <v>3865</v>
      </c>
      <c r="B1928" t="s">
        <v>3866</v>
      </c>
      <c r="C1928" t="s">
        <v>337</v>
      </c>
      <c r="D1928" t="s">
        <v>338</v>
      </c>
      <c r="E1928" s="2">
        <v>2229.4800000000005</v>
      </c>
      <c r="F1928" s="2">
        <v>3040.6</v>
      </c>
      <c r="G1928" s="2">
        <v>3225.8999999999996</v>
      </c>
      <c r="H1928" s="2">
        <v>1461.05</v>
      </c>
      <c r="I1928" s="2">
        <v>1476.23</v>
      </c>
      <c r="J1928" s="2">
        <v>2296.3999999999996</v>
      </c>
      <c r="K1928" s="2"/>
      <c r="L1928" s="2">
        <v>13729.659999999998</v>
      </c>
      <c r="M1928" t="s">
        <v>4400</v>
      </c>
      <c r="N1928" t="s">
        <v>4406</v>
      </c>
    </row>
    <row r="1929" spans="1:14" x14ac:dyDescent="0.4">
      <c r="A1929" t="s">
        <v>3867</v>
      </c>
      <c r="B1929" t="s">
        <v>3868</v>
      </c>
      <c r="C1929" t="s">
        <v>35</v>
      </c>
      <c r="D1929" t="s">
        <v>1921</v>
      </c>
      <c r="E1929" s="2">
        <v>747.20999999999992</v>
      </c>
      <c r="F1929" s="2">
        <v>2226.46</v>
      </c>
      <c r="G1929" s="2">
        <v>1482.2900000000002</v>
      </c>
      <c r="H1929" s="2">
        <v>1442.8000000000004</v>
      </c>
      <c r="I1929" s="2">
        <v>1467.0999999999997</v>
      </c>
      <c r="J1929" s="2">
        <v>747.21999999999991</v>
      </c>
      <c r="K1929" s="2">
        <v>719.88999999999987</v>
      </c>
      <c r="L1929" s="2">
        <v>8832.9699999999903</v>
      </c>
      <c r="M1929" t="s">
        <v>4400</v>
      </c>
      <c r="N1929" t="s">
        <v>4400</v>
      </c>
    </row>
    <row r="1930" spans="1:14" x14ac:dyDescent="0.4">
      <c r="A1930" t="s">
        <v>3869</v>
      </c>
      <c r="B1930" t="s">
        <v>3870</v>
      </c>
      <c r="C1930" t="s">
        <v>64</v>
      </c>
      <c r="D1930" t="s">
        <v>71</v>
      </c>
      <c r="E1930" s="2">
        <v>3116.3300000000008</v>
      </c>
      <c r="F1930" s="2">
        <v>3417.0300000000007</v>
      </c>
      <c r="G1930" s="2">
        <v>3216.5600000000004</v>
      </c>
      <c r="H1930" s="2">
        <v>4856.739999999998</v>
      </c>
      <c r="I1930" s="2">
        <v>3760.2499999999995</v>
      </c>
      <c r="J1930" s="2">
        <v>3793.6599999999989</v>
      </c>
      <c r="K1930" s="2">
        <v>1962.1299999999997</v>
      </c>
      <c r="L1930" s="2">
        <v>24122.700000000015</v>
      </c>
      <c r="M1930" t="s">
        <v>4400</v>
      </c>
      <c r="N1930" t="s">
        <v>4400</v>
      </c>
    </row>
    <row r="1931" spans="1:14" x14ac:dyDescent="0.4">
      <c r="A1931" t="s">
        <v>3871</v>
      </c>
      <c r="B1931" t="s">
        <v>3872</v>
      </c>
      <c r="C1931" t="s">
        <v>64</v>
      </c>
      <c r="D1931" t="s">
        <v>2126</v>
      </c>
      <c r="E1931" s="2">
        <v>1269.58</v>
      </c>
      <c r="F1931" s="2">
        <v>1305.5599999999997</v>
      </c>
      <c r="G1931" s="2">
        <v>2107.4</v>
      </c>
      <c r="H1931" s="2">
        <v>1004.87</v>
      </c>
      <c r="I1931" s="2"/>
      <c r="J1931" s="2">
        <v>3161.099999999999</v>
      </c>
      <c r="K1931" s="2">
        <v>1058.8399999999999</v>
      </c>
      <c r="L1931" s="2">
        <v>9907.350000000004</v>
      </c>
      <c r="M1931" t="s">
        <v>4400</v>
      </c>
      <c r="N1931" t="s">
        <v>4400</v>
      </c>
    </row>
    <row r="1932" spans="1:14" x14ac:dyDescent="0.4">
      <c r="A1932" t="s">
        <v>3873</v>
      </c>
      <c r="B1932" t="s">
        <v>3874</v>
      </c>
      <c r="C1932" t="s">
        <v>64</v>
      </c>
      <c r="D1932" t="s">
        <v>2971</v>
      </c>
      <c r="E1932" s="2">
        <v>2918.9399999999996</v>
      </c>
      <c r="F1932" s="2">
        <v>3505.06</v>
      </c>
      <c r="G1932" s="2">
        <v>2764.0599999999995</v>
      </c>
      <c r="H1932" s="2">
        <v>1828.54</v>
      </c>
      <c r="I1932" s="2">
        <v>3814.9399999999996</v>
      </c>
      <c r="J1932" s="2">
        <v>2032.0399999999995</v>
      </c>
      <c r="K1932" s="2">
        <v>2019.88</v>
      </c>
      <c r="L1932" s="2">
        <v>18883.46</v>
      </c>
      <c r="M1932" t="s">
        <v>4400</v>
      </c>
      <c r="N1932" t="s">
        <v>4400</v>
      </c>
    </row>
    <row r="1933" spans="1:14" x14ac:dyDescent="0.4">
      <c r="A1933" t="s">
        <v>3875</v>
      </c>
      <c r="B1933" t="s">
        <v>3468</v>
      </c>
      <c r="C1933" t="s">
        <v>35</v>
      </c>
      <c r="D1933" t="s">
        <v>36</v>
      </c>
      <c r="E1933" s="2">
        <v>908.19999999999993</v>
      </c>
      <c r="F1933" s="2">
        <v>1227.1399999999999</v>
      </c>
      <c r="G1933" s="2">
        <v>2329.7399999999998</v>
      </c>
      <c r="H1933" s="2"/>
      <c r="I1933" s="2">
        <v>1928.83</v>
      </c>
      <c r="J1933" s="2">
        <v>1819.4599999999998</v>
      </c>
      <c r="K1933" s="2"/>
      <c r="L1933" s="2">
        <v>8213.3699999999953</v>
      </c>
      <c r="M1933" t="s">
        <v>4400</v>
      </c>
      <c r="N1933" t="s">
        <v>4406</v>
      </c>
    </row>
    <row r="1934" spans="1:14" x14ac:dyDescent="0.4">
      <c r="A1934" t="s">
        <v>3876</v>
      </c>
      <c r="B1934" t="s">
        <v>3877</v>
      </c>
      <c r="C1934" t="s">
        <v>64</v>
      </c>
      <c r="D1934" t="s">
        <v>2742</v>
      </c>
      <c r="E1934" s="2">
        <v>5741.3799999999983</v>
      </c>
      <c r="F1934" s="2">
        <v>4312.46</v>
      </c>
      <c r="G1934" s="2">
        <v>4554.0399999999991</v>
      </c>
      <c r="H1934" s="2">
        <v>5037.2</v>
      </c>
      <c r="I1934" s="2">
        <v>3916.6799999999989</v>
      </c>
      <c r="J1934" s="2">
        <v>3747.06</v>
      </c>
      <c r="K1934" s="2">
        <v>1816.9899999999998</v>
      </c>
      <c r="L1934" s="2">
        <v>29125.81000000003</v>
      </c>
      <c r="M1934" t="s">
        <v>4400</v>
      </c>
      <c r="N1934" t="s">
        <v>4400</v>
      </c>
    </row>
    <row r="1935" spans="1:14" x14ac:dyDescent="0.4">
      <c r="A1935" t="s">
        <v>3878</v>
      </c>
      <c r="B1935" t="s">
        <v>3879</v>
      </c>
      <c r="C1935" t="s">
        <v>447</v>
      </c>
      <c r="D1935" t="s">
        <v>448</v>
      </c>
      <c r="E1935" s="2">
        <v>4467.99</v>
      </c>
      <c r="F1935" s="2">
        <v>3681.2799999999997</v>
      </c>
      <c r="G1935" s="2">
        <v>4929.6499999999996</v>
      </c>
      <c r="H1935" s="2">
        <v>2308.39</v>
      </c>
      <c r="I1935" s="2">
        <v>4847.63</v>
      </c>
      <c r="J1935" s="2">
        <v>6053.4599999999991</v>
      </c>
      <c r="K1935" s="2">
        <v>2162.5999999999995</v>
      </c>
      <c r="L1935" s="2">
        <v>28450.999999999913</v>
      </c>
      <c r="M1935" t="s">
        <v>4400</v>
      </c>
      <c r="N1935" t="s">
        <v>4400</v>
      </c>
    </row>
    <row r="1936" spans="1:14" x14ac:dyDescent="0.4">
      <c r="A1936" t="s">
        <v>3880</v>
      </c>
      <c r="B1936" t="s">
        <v>3881</v>
      </c>
      <c r="C1936" t="s">
        <v>433</v>
      </c>
      <c r="D1936" t="s">
        <v>434</v>
      </c>
      <c r="E1936" s="2"/>
      <c r="F1936" s="2"/>
      <c r="G1936" s="2">
        <v>747.24000000000012</v>
      </c>
      <c r="H1936" s="2">
        <v>792.81000000000006</v>
      </c>
      <c r="I1936" s="2"/>
      <c r="J1936" s="2"/>
      <c r="K1936" s="2">
        <v>1476.2600000000002</v>
      </c>
      <c r="L1936" s="2">
        <v>3016.3099999999995</v>
      </c>
      <c r="M1936" t="s">
        <v>4411</v>
      </c>
      <c r="N1936" t="s">
        <v>4400</v>
      </c>
    </row>
    <row r="1937" spans="1:14" x14ac:dyDescent="0.4">
      <c r="A1937" t="s">
        <v>3882</v>
      </c>
      <c r="B1937" t="s">
        <v>1960</v>
      </c>
      <c r="C1937" t="s">
        <v>9</v>
      </c>
      <c r="D1937" t="s">
        <v>45</v>
      </c>
      <c r="E1937" s="2">
        <v>2193.0299999999997</v>
      </c>
      <c r="F1937" s="2">
        <v>3462.81</v>
      </c>
      <c r="G1937" s="2">
        <v>3131.6400000000003</v>
      </c>
      <c r="H1937" s="2">
        <v>2648.68</v>
      </c>
      <c r="I1937" s="2"/>
      <c r="J1937" s="2"/>
      <c r="K1937" s="2"/>
      <c r="L1937" s="2">
        <v>11436.159999999996</v>
      </c>
      <c r="M1937" t="s">
        <v>4400</v>
      </c>
      <c r="N1937" t="s">
        <v>4402</v>
      </c>
    </row>
    <row r="1938" spans="1:14" x14ac:dyDescent="0.4">
      <c r="A1938" t="s">
        <v>3883</v>
      </c>
      <c r="B1938" t="s">
        <v>3884</v>
      </c>
      <c r="C1938" t="s">
        <v>64</v>
      </c>
      <c r="D1938" t="s">
        <v>2297</v>
      </c>
      <c r="E1938" s="2">
        <v>3983.4999999999995</v>
      </c>
      <c r="F1938" s="2">
        <v>1788.7199999999996</v>
      </c>
      <c r="G1938" s="2">
        <v>2793.5899999999997</v>
      </c>
      <c r="H1938" s="2">
        <v>2695.9299999999994</v>
      </c>
      <c r="I1938" s="2">
        <v>5397.0000000000018</v>
      </c>
      <c r="J1938" s="2">
        <v>4502.6399999999994</v>
      </c>
      <c r="K1938" s="2">
        <v>2567.4299999999998</v>
      </c>
      <c r="L1938" s="2">
        <v>23728.810000000049</v>
      </c>
      <c r="M1938" t="s">
        <v>4400</v>
      </c>
      <c r="N1938" t="s">
        <v>4400</v>
      </c>
    </row>
    <row r="1939" spans="1:14" x14ac:dyDescent="0.4">
      <c r="A1939" t="s">
        <v>3885</v>
      </c>
      <c r="B1939" t="s">
        <v>2082</v>
      </c>
      <c r="C1939" t="s">
        <v>447</v>
      </c>
      <c r="D1939" t="s">
        <v>1381</v>
      </c>
      <c r="E1939" s="2">
        <v>4158.28</v>
      </c>
      <c r="F1939" s="2">
        <v>4592.5699999999988</v>
      </c>
      <c r="G1939" s="2">
        <v>6147.6799999999994</v>
      </c>
      <c r="H1939" s="2">
        <v>6357.2499999999973</v>
      </c>
      <c r="I1939" s="2">
        <v>5840.9099999999953</v>
      </c>
      <c r="J1939" s="2">
        <v>6487.8599999999933</v>
      </c>
      <c r="K1939" s="2">
        <v>2596.9499999999994</v>
      </c>
      <c r="L1939" s="2">
        <v>36181.500000000051</v>
      </c>
      <c r="M1939" t="s">
        <v>4400</v>
      </c>
      <c r="N1939" t="s">
        <v>4400</v>
      </c>
    </row>
    <row r="1940" spans="1:14" x14ac:dyDescent="0.4">
      <c r="A1940" t="s">
        <v>3886</v>
      </c>
      <c r="B1940" t="s">
        <v>3887</v>
      </c>
      <c r="C1940" t="s">
        <v>1525</v>
      </c>
      <c r="D1940" t="s">
        <v>1526</v>
      </c>
      <c r="E1940" s="2">
        <v>768.49</v>
      </c>
      <c r="F1940" s="2">
        <v>874.7700000000001</v>
      </c>
      <c r="G1940" s="2">
        <v>771.5</v>
      </c>
      <c r="H1940" s="2"/>
      <c r="I1940" s="2"/>
      <c r="J1940" s="2"/>
      <c r="K1940" s="2"/>
      <c r="L1940" s="2">
        <v>2414.7599999999998</v>
      </c>
      <c r="M1940" t="s">
        <v>4400</v>
      </c>
      <c r="N1940" t="s">
        <v>4403</v>
      </c>
    </row>
    <row r="1941" spans="1:14" x14ac:dyDescent="0.4">
      <c r="A1941" t="s">
        <v>3888</v>
      </c>
      <c r="B1941" t="s">
        <v>3321</v>
      </c>
      <c r="C1941" t="s">
        <v>1</v>
      </c>
      <c r="D1941" t="s">
        <v>85</v>
      </c>
      <c r="E1941" s="2">
        <v>929.46</v>
      </c>
      <c r="F1941" s="2">
        <v>2402.6299999999997</v>
      </c>
      <c r="G1941" s="2">
        <v>3222.6799999999994</v>
      </c>
      <c r="H1941" s="2"/>
      <c r="I1941" s="2"/>
      <c r="J1941" s="2"/>
      <c r="K1941" s="2"/>
      <c r="L1941" s="2">
        <v>6554.7699999999932</v>
      </c>
      <c r="M1941" t="s">
        <v>4400</v>
      </c>
      <c r="N1941" t="s">
        <v>4403</v>
      </c>
    </row>
    <row r="1942" spans="1:14" x14ac:dyDescent="0.4">
      <c r="A1942" t="s">
        <v>3889</v>
      </c>
      <c r="B1942" t="s">
        <v>3890</v>
      </c>
      <c r="C1942" t="s">
        <v>64</v>
      </c>
      <c r="D1942" t="s">
        <v>2089</v>
      </c>
      <c r="E1942" s="2">
        <v>2187.0700000000006</v>
      </c>
      <c r="F1942" s="2">
        <v>3112.2699999999995</v>
      </c>
      <c r="G1942" s="2">
        <v>3811.309999999999</v>
      </c>
      <c r="H1942" s="2">
        <v>2945.22</v>
      </c>
      <c r="I1942" s="2">
        <v>2958.0699999999993</v>
      </c>
      <c r="J1942" s="2">
        <v>3906.3999999999987</v>
      </c>
      <c r="K1942" s="2">
        <v>1493.1699999999998</v>
      </c>
      <c r="L1942" s="2">
        <v>20413.510000000024</v>
      </c>
      <c r="M1942" t="s">
        <v>4400</v>
      </c>
      <c r="N1942" t="s">
        <v>4400</v>
      </c>
    </row>
    <row r="1943" spans="1:14" x14ac:dyDescent="0.4">
      <c r="A1943" t="s">
        <v>3891</v>
      </c>
      <c r="B1943" t="s">
        <v>2774</v>
      </c>
      <c r="C1943" t="s">
        <v>64</v>
      </c>
      <c r="D1943" t="s">
        <v>2297</v>
      </c>
      <c r="E1943" s="2">
        <v>38066.959999999977</v>
      </c>
      <c r="F1943" s="2">
        <v>30737.629999999983</v>
      </c>
      <c r="G1943" s="2">
        <v>39855.769999999975</v>
      </c>
      <c r="H1943" s="2">
        <v>32198.599999999973</v>
      </c>
      <c r="I1943" s="2">
        <v>31742.969999999976</v>
      </c>
      <c r="J1943" s="2">
        <v>27894.549999999981</v>
      </c>
      <c r="K1943" s="2">
        <v>11475.020000000002</v>
      </c>
      <c r="L1943" s="2">
        <v>211971.50000000081</v>
      </c>
      <c r="M1943" t="s">
        <v>4400</v>
      </c>
      <c r="N1943" t="s">
        <v>4400</v>
      </c>
    </row>
    <row r="1944" spans="1:14" x14ac:dyDescent="0.4">
      <c r="A1944" t="s">
        <v>3892</v>
      </c>
      <c r="B1944" t="s">
        <v>3893</v>
      </c>
      <c r="C1944" t="s">
        <v>423</v>
      </c>
      <c r="D1944" t="s">
        <v>430</v>
      </c>
      <c r="E1944" s="2">
        <v>1476.12</v>
      </c>
      <c r="F1944" s="2">
        <v>3189.2499999999991</v>
      </c>
      <c r="G1944" s="2">
        <v>4814.2900000000009</v>
      </c>
      <c r="H1944" s="2">
        <v>1634.0499999999997</v>
      </c>
      <c r="I1944" s="2">
        <v>722.89</v>
      </c>
      <c r="J1944" s="2">
        <v>841.3599999999999</v>
      </c>
      <c r="K1944" s="2">
        <v>719.84999999999991</v>
      </c>
      <c r="L1944" s="2">
        <v>13397.810000000009</v>
      </c>
      <c r="M1944" t="s">
        <v>4400</v>
      </c>
      <c r="N1944" t="s">
        <v>4400</v>
      </c>
    </row>
    <row r="1945" spans="1:14" x14ac:dyDescent="0.4">
      <c r="A1945" t="s">
        <v>3894</v>
      </c>
      <c r="B1945" t="s">
        <v>3895</v>
      </c>
      <c r="C1945" t="s">
        <v>447</v>
      </c>
      <c r="D1945" t="s">
        <v>1016</v>
      </c>
      <c r="E1945" s="2">
        <v>6334.02</v>
      </c>
      <c r="F1945" s="2">
        <v>4674.68</v>
      </c>
      <c r="G1945" s="2">
        <v>8114.2599999999975</v>
      </c>
      <c r="H1945" s="2">
        <v>6272.3499999999995</v>
      </c>
      <c r="I1945" s="2">
        <v>6305.7400000000007</v>
      </c>
      <c r="J1945" s="2">
        <v>7997.5999999999995</v>
      </c>
      <c r="K1945" s="2">
        <v>3611.5399999999991</v>
      </c>
      <c r="L1945" s="2">
        <v>43310.189999999981</v>
      </c>
      <c r="M1945" t="s">
        <v>4400</v>
      </c>
      <c r="N1945" t="s">
        <v>4400</v>
      </c>
    </row>
    <row r="1946" spans="1:14" x14ac:dyDescent="0.4">
      <c r="A1946" t="s">
        <v>3896</v>
      </c>
      <c r="B1946" t="s">
        <v>3897</v>
      </c>
      <c r="C1946" t="s">
        <v>64</v>
      </c>
      <c r="D1946" t="s">
        <v>2850</v>
      </c>
      <c r="E1946" s="2"/>
      <c r="F1946" s="2"/>
      <c r="G1946" s="2"/>
      <c r="H1946" s="2"/>
      <c r="I1946" s="2"/>
      <c r="J1946" s="2">
        <v>2211.2199999999998</v>
      </c>
      <c r="K1946" s="2"/>
      <c r="L1946" s="2">
        <v>2211.2199999999998</v>
      </c>
      <c r="M1946" t="s">
        <v>4405</v>
      </c>
      <c r="N1946" t="s">
        <v>4406</v>
      </c>
    </row>
    <row r="1947" spans="1:14" x14ac:dyDescent="0.4">
      <c r="A1947" t="s">
        <v>3898</v>
      </c>
      <c r="B1947" t="s">
        <v>1837</v>
      </c>
      <c r="C1947" t="s">
        <v>423</v>
      </c>
      <c r="D1947" t="s">
        <v>424</v>
      </c>
      <c r="E1947" s="2">
        <v>2350.89</v>
      </c>
      <c r="F1947" s="2">
        <v>2408.6099999999997</v>
      </c>
      <c r="G1947" s="2">
        <v>3866.5499999999993</v>
      </c>
      <c r="H1947" s="2">
        <v>3104.1399999999994</v>
      </c>
      <c r="I1947" s="2">
        <v>3930.3799999999997</v>
      </c>
      <c r="J1947" s="2">
        <v>5430.7999999999993</v>
      </c>
      <c r="K1947" s="2">
        <v>3028.309999999999</v>
      </c>
      <c r="L1947" s="2">
        <v>24119.679999999957</v>
      </c>
      <c r="M1947" t="s">
        <v>4400</v>
      </c>
      <c r="N1947" t="s">
        <v>4400</v>
      </c>
    </row>
    <row r="1948" spans="1:14" x14ac:dyDescent="0.4">
      <c r="A1948" t="s">
        <v>3899</v>
      </c>
      <c r="B1948" t="s">
        <v>3900</v>
      </c>
      <c r="C1948" t="s">
        <v>64</v>
      </c>
      <c r="D1948" t="s">
        <v>1377</v>
      </c>
      <c r="E1948" s="2">
        <v>1460.98</v>
      </c>
      <c r="F1948" s="2">
        <v>1053.97</v>
      </c>
      <c r="G1948" s="2"/>
      <c r="H1948" s="2">
        <v>1877.0799999999997</v>
      </c>
      <c r="I1948" s="2"/>
      <c r="J1948" s="2">
        <v>759.35</v>
      </c>
      <c r="K1948" s="2">
        <v>801.87</v>
      </c>
      <c r="L1948" s="2">
        <v>5953.2499999999945</v>
      </c>
      <c r="M1948" t="s">
        <v>4400</v>
      </c>
      <c r="N1948" t="s">
        <v>4400</v>
      </c>
    </row>
    <row r="1949" spans="1:14" x14ac:dyDescent="0.4">
      <c r="A1949" t="s">
        <v>3901</v>
      </c>
      <c r="B1949" t="s">
        <v>3902</v>
      </c>
      <c r="C1949" t="s">
        <v>64</v>
      </c>
      <c r="D1949" t="s">
        <v>71</v>
      </c>
      <c r="E1949" s="2">
        <v>1506.5399999999997</v>
      </c>
      <c r="F1949" s="2">
        <v>2341.8199999999997</v>
      </c>
      <c r="G1949" s="2">
        <v>1509.58</v>
      </c>
      <c r="H1949" s="2">
        <v>1482.2600000000002</v>
      </c>
      <c r="I1949" s="2">
        <v>1500.5000000000002</v>
      </c>
      <c r="J1949" s="2">
        <v>1579.46</v>
      </c>
      <c r="K1949" s="2">
        <v>1652.36</v>
      </c>
      <c r="L1949" s="2">
        <v>11572.519999999997</v>
      </c>
      <c r="M1949" t="s">
        <v>4400</v>
      </c>
      <c r="N1949" t="s">
        <v>4400</v>
      </c>
    </row>
    <row r="1950" spans="1:14" x14ac:dyDescent="0.4">
      <c r="A1950" t="s">
        <v>3903</v>
      </c>
      <c r="B1950" t="s">
        <v>70</v>
      </c>
      <c r="C1950" t="s">
        <v>64</v>
      </c>
      <c r="D1950" t="s">
        <v>2850</v>
      </c>
      <c r="E1950" s="2">
        <v>756.33</v>
      </c>
      <c r="F1950" s="2">
        <v>738.11</v>
      </c>
      <c r="G1950" s="2">
        <v>1057.05</v>
      </c>
      <c r="H1950" s="2">
        <v>1290.9100000000001</v>
      </c>
      <c r="I1950" s="2">
        <v>1284.8399999999997</v>
      </c>
      <c r="J1950" s="2">
        <v>1193.7</v>
      </c>
      <c r="K1950" s="2"/>
      <c r="L1950" s="2">
        <v>6320.9400000000005</v>
      </c>
      <c r="M1950" t="s">
        <v>4400</v>
      </c>
      <c r="N1950" t="s">
        <v>4406</v>
      </c>
    </row>
    <row r="1951" spans="1:14" x14ac:dyDescent="0.4">
      <c r="A1951" t="s">
        <v>3904</v>
      </c>
      <c r="B1951" t="s">
        <v>3905</v>
      </c>
      <c r="C1951" t="s">
        <v>52</v>
      </c>
      <c r="D1951" t="s">
        <v>147</v>
      </c>
      <c r="E1951" s="2">
        <v>740.16</v>
      </c>
      <c r="F1951" s="2">
        <v>755.58</v>
      </c>
      <c r="G1951" s="2">
        <v>745.3</v>
      </c>
      <c r="H1951" s="2">
        <v>819.82999999999993</v>
      </c>
      <c r="I1951" s="2"/>
      <c r="J1951" s="2">
        <v>1914.6499999999996</v>
      </c>
      <c r="K1951" s="2">
        <v>1685.9199999999996</v>
      </c>
      <c r="L1951" s="2">
        <v>6661.4400000000023</v>
      </c>
      <c r="M1951" t="s">
        <v>4400</v>
      </c>
      <c r="N1951" t="s">
        <v>4400</v>
      </c>
    </row>
    <row r="1952" spans="1:14" x14ac:dyDescent="0.4">
      <c r="A1952" t="s">
        <v>3906</v>
      </c>
      <c r="B1952" t="s">
        <v>3907</v>
      </c>
      <c r="C1952" t="s">
        <v>163</v>
      </c>
      <c r="D1952" t="s">
        <v>164</v>
      </c>
      <c r="E1952" s="2">
        <v>1467.0600000000002</v>
      </c>
      <c r="F1952" s="2">
        <v>738.06</v>
      </c>
      <c r="G1952" s="2">
        <v>1606.7699999999998</v>
      </c>
      <c r="H1952" s="2">
        <v>1321.2599999999998</v>
      </c>
      <c r="I1952" s="2">
        <v>1849.7999999999997</v>
      </c>
      <c r="J1952" s="2"/>
      <c r="K1952" s="2">
        <v>902.12999999999988</v>
      </c>
      <c r="L1952" s="2">
        <v>7885.0800000000036</v>
      </c>
      <c r="M1952" t="s">
        <v>4400</v>
      </c>
      <c r="N1952" t="s">
        <v>4400</v>
      </c>
    </row>
    <row r="1953" spans="1:14" x14ac:dyDescent="0.4">
      <c r="A1953" t="s">
        <v>3908</v>
      </c>
      <c r="B1953" t="s">
        <v>3640</v>
      </c>
      <c r="C1953" t="s">
        <v>78</v>
      </c>
      <c r="D1953" t="s">
        <v>768</v>
      </c>
      <c r="E1953" s="2"/>
      <c r="F1953" s="2">
        <v>893.00000000000011</v>
      </c>
      <c r="G1953" s="2"/>
      <c r="H1953" s="2">
        <v>1755.6299999999999</v>
      </c>
      <c r="I1953" s="2">
        <v>719.86999999999989</v>
      </c>
      <c r="J1953" s="2">
        <v>719.87</v>
      </c>
      <c r="K1953" s="2">
        <v>1713.12</v>
      </c>
      <c r="L1953" s="2">
        <v>5801.4900000000007</v>
      </c>
      <c r="M1953" t="s">
        <v>4412</v>
      </c>
      <c r="N1953" t="s">
        <v>4400</v>
      </c>
    </row>
    <row r="1954" spans="1:14" x14ac:dyDescent="0.4">
      <c r="A1954" t="s">
        <v>3909</v>
      </c>
      <c r="B1954" t="s">
        <v>3910</v>
      </c>
      <c r="C1954" t="s">
        <v>113</v>
      </c>
      <c r="D1954" t="s">
        <v>120</v>
      </c>
      <c r="E1954" s="2">
        <v>4067.1100000000006</v>
      </c>
      <c r="F1954" s="2">
        <v>2894.61</v>
      </c>
      <c r="G1954" s="2">
        <v>1567.2799999999997</v>
      </c>
      <c r="H1954" s="2">
        <v>2423.7999999999997</v>
      </c>
      <c r="I1954" s="2">
        <v>1518.6699999999996</v>
      </c>
      <c r="J1954" s="2"/>
      <c r="K1954" s="2"/>
      <c r="L1954" s="2">
        <v>12471.47</v>
      </c>
      <c r="M1954" t="s">
        <v>4400</v>
      </c>
      <c r="N1954" t="s">
        <v>4401</v>
      </c>
    </row>
    <row r="1955" spans="1:14" x14ac:dyDescent="0.4">
      <c r="A1955" t="s">
        <v>3911</v>
      </c>
      <c r="B1955" t="s">
        <v>3331</v>
      </c>
      <c r="C1955" t="s">
        <v>64</v>
      </c>
      <c r="D1955" t="s">
        <v>693</v>
      </c>
      <c r="E1955" s="2"/>
      <c r="F1955" s="2"/>
      <c r="G1955" s="2"/>
      <c r="H1955" s="2"/>
      <c r="I1955" s="2"/>
      <c r="J1955" s="2">
        <v>747.20999999999992</v>
      </c>
      <c r="K1955" s="2">
        <v>744.17000000000007</v>
      </c>
      <c r="L1955" s="2">
        <v>1491.38</v>
      </c>
      <c r="M1955" t="s">
        <v>4405</v>
      </c>
      <c r="N1955" t="s">
        <v>4400</v>
      </c>
    </row>
    <row r="1956" spans="1:14" x14ac:dyDescent="0.4">
      <c r="A1956" t="s">
        <v>3912</v>
      </c>
      <c r="B1956" t="s">
        <v>3913</v>
      </c>
      <c r="C1956" t="s">
        <v>64</v>
      </c>
      <c r="D1956" t="s">
        <v>985</v>
      </c>
      <c r="E1956" s="2">
        <v>1743.5099999999995</v>
      </c>
      <c r="F1956" s="2">
        <v>2773.19</v>
      </c>
      <c r="G1956" s="2">
        <v>3614.6299999999997</v>
      </c>
      <c r="H1956" s="2">
        <v>4598.75</v>
      </c>
      <c r="I1956" s="2">
        <v>6563.760000000002</v>
      </c>
      <c r="J1956" s="2">
        <v>3465.6900000000005</v>
      </c>
      <c r="K1956" s="2">
        <v>2788.2700000000004</v>
      </c>
      <c r="L1956" s="2">
        <v>25547.799999999952</v>
      </c>
      <c r="M1956" t="s">
        <v>4400</v>
      </c>
      <c r="N1956" t="s">
        <v>4400</v>
      </c>
    </row>
    <row r="1957" spans="1:14" x14ac:dyDescent="0.4">
      <c r="A1957" t="s">
        <v>3914</v>
      </c>
      <c r="B1957" t="s">
        <v>3016</v>
      </c>
      <c r="C1957" t="s">
        <v>19</v>
      </c>
      <c r="D1957" t="s">
        <v>20</v>
      </c>
      <c r="E1957" s="2">
        <v>3225.73</v>
      </c>
      <c r="F1957" s="2">
        <v>3420.1499999999996</v>
      </c>
      <c r="G1957" s="2">
        <v>4641.1899999999996</v>
      </c>
      <c r="H1957" s="2">
        <v>3714.7799999999988</v>
      </c>
      <c r="I1957" s="2">
        <v>3517.3499999999995</v>
      </c>
      <c r="J1957" s="2">
        <v>841.37000000000012</v>
      </c>
      <c r="K1957" s="2"/>
      <c r="L1957" s="2">
        <v>19360.57</v>
      </c>
      <c r="M1957" t="s">
        <v>4400</v>
      </c>
      <c r="N1957" t="s">
        <v>4406</v>
      </c>
    </row>
    <row r="1958" spans="1:14" x14ac:dyDescent="0.4">
      <c r="A1958" t="s">
        <v>3915</v>
      </c>
      <c r="B1958" t="s">
        <v>3340</v>
      </c>
      <c r="C1958" t="s">
        <v>13</v>
      </c>
      <c r="D1958" t="s">
        <v>14</v>
      </c>
      <c r="E1958" s="2">
        <v>2627.3900000000003</v>
      </c>
      <c r="F1958" s="2">
        <v>4182.54</v>
      </c>
      <c r="G1958" s="2">
        <v>4859.8700000000008</v>
      </c>
      <c r="H1958" s="2">
        <v>4458.9299999999994</v>
      </c>
      <c r="I1958" s="2">
        <v>1023.62</v>
      </c>
      <c r="J1958" s="2">
        <v>4680.6400000000003</v>
      </c>
      <c r="K1958" s="2">
        <v>2326.66</v>
      </c>
      <c r="L1958" s="2">
        <v>24159.649999999994</v>
      </c>
      <c r="M1958" t="s">
        <v>4400</v>
      </c>
      <c r="N1958" t="s">
        <v>4400</v>
      </c>
    </row>
    <row r="1959" spans="1:14" x14ac:dyDescent="0.4">
      <c r="A1959" t="s">
        <v>3916</v>
      </c>
      <c r="B1959" t="s">
        <v>2781</v>
      </c>
      <c r="C1959" t="s">
        <v>291</v>
      </c>
      <c r="D1959" t="s">
        <v>295</v>
      </c>
      <c r="E1959" s="2">
        <v>911.19999999999993</v>
      </c>
      <c r="F1959" s="2"/>
      <c r="G1959" s="2"/>
      <c r="H1959" s="2"/>
      <c r="I1959" s="2"/>
      <c r="J1959" s="2"/>
      <c r="K1959" s="2"/>
      <c r="L1959" s="2">
        <v>911.19999999999993</v>
      </c>
      <c r="M1959" t="s">
        <v>4400</v>
      </c>
      <c r="N1959" t="s">
        <v>4407</v>
      </c>
    </row>
    <row r="1960" spans="1:14" x14ac:dyDescent="0.4">
      <c r="A1960" t="s">
        <v>3917</v>
      </c>
      <c r="B1960" t="s">
        <v>3918</v>
      </c>
      <c r="C1960" t="s">
        <v>96</v>
      </c>
      <c r="D1960" t="s">
        <v>1010</v>
      </c>
      <c r="E1960" s="2"/>
      <c r="F1960" s="2"/>
      <c r="G1960" s="2"/>
      <c r="H1960" s="2"/>
      <c r="I1960" s="2"/>
      <c r="J1960" s="2">
        <v>728.99</v>
      </c>
      <c r="K1960" s="2"/>
      <c r="L1960" s="2">
        <v>728.99</v>
      </c>
      <c r="M1960" t="s">
        <v>4405</v>
      </c>
      <c r="N1960" t="s">
        <v>4406</v>
      </c>
    </row>
    <row r="1961" spans="1:14" x14ac:dyDescent="0.4">
      <c r="A1961" t="s">
        <v>3919</v>
      </c>
      <c r="B1961" t="s">
        <v>3920</v>
      </c>
      <c r="C1961" t="s">
        <v>103</v>
      </c>
      <c r="D1961" t="s">
        <v>104</v>
      </c>
      <c r="E1961" s="2"/>
      <c r="F1961" s="2">
        <v>753.25999999999988</v>
      </c>
      <c r="G1961" s="2"/>
      <c r="H1961" s="2">
        <v>716.82</v>
      </c>
      <c r="I1961" s="2"/>
      <c r="J1961" s="2"/>
      <c r="K1961" s="2"/>
      <c r="L1961" s="2">
        <v>1470.08</v>
      </c>
      <c r="M1961" t="s">
        <v>4412</v>
      </c>
      <c r="N1961" t="s">
        <v>4402</v>
      </c>
    </row>
    <row r="1962" spans="1:14" x14ac:dyDescent="0.4">
      <c r="A1962" t="s">
        <v>3921</v>
      </c>
      <c r="B1962" t="s">
        <v>3922</v>
      </c>
      <c r="C1962" t="s">
        <v>96</v>
      </c>
      <c r="D1962" t="s">
        <v>97</v>
      </c>
      <c r="E1962" s="2">
        <v>2256.77</v>
      </c>
      <c r="F1962" s="2">
        <v>3514.2700000000004</v>
      </c>
      <c r="G1962" s="2">
        <v>2694.17</v>
      </c>
      <c r="H1962" s="2">
        <v>4337.3599999999997</v>
      </c>
      <c r="I1962" s="2">
        <v>795.79000000000008</v>
      </c>
      <c r="J1962" s="2">
        <v>807.92000000000007</v>
      </c>
      <c r="K1962" s="2">
        <v>741.10000000000014</v>
      </c>
      <c r="L1962" s="2">
        <v>15147.379999999992</v>
      </c>
      <c r="M1962" t="s">
        <v>4400</v>
      </c>
      <c r="N1962" t="s">
        <v>4400</v>
      </c>
    </row>
    <row r="1963" spans="1:14" x14ac:dyDescent="0.4">
      <c r="A1963" t="s">
        <v>3923</v>
      </c>
      <c r="B1963" t="s">
        <v>3924</v>
      </c>
      <c r="C1963" t="s">
        <v>113</v>
      </c>
      <c r="D1963" t="s">
        <v>117</v>
      </c>
      <c r="E1963" s="2">
        <v>1066.1499999999999</v>
      </c>
      <c r="F1963" s="2">
        <v>893.02</v>
      </c>
      <c r="G1963" s="2">
        <v>1594.6799999999998</v>
      </c>
      <c r="H1963" s="2">
        <v>1108.67</v>
      </c>
      <c r="I1963" s="2">
        <v>2016.8900000000003</v>
      </c>
      <c r="J1963" s="2">
        <v>771.52</v>
      </c>
      <c r="K1963" s="2">
        <v>893.02</v>
      </c>
      <c r="L1963" s="2">
        <v>8343.9499999999935</v>
      </c>
      <c r="M1963" t="s">
        <v>4400</v>
      </c>
      <c r="N1963" t="s">
        <v>4400</v>
      </c>
    </row>
    <row r="1964" spans="1:14" x14ac:dyDescent="0.4">
      <c r="A1964" t="s">
        <v>3925</v>
      </c>
      <c r="B1964" t="s">
        <v>3926</v>
      </c>
      <c r="C1964" t="s">
        <v>178</v>
      </c>
      <c r="D1964" t="s">
        <v>558</v>
      </c>
      <c r="E1964" s="2">
        <v>804.96</v>
      </c>
      <c r="F1964" s="2"/>
      <c r="G1964" s="2">
        <v>1536.9899999999998</v>
      </c>
      <c r="H1964" s="2">
        <v>786.71</v>
      </c>
      <c r="I1964" s="2">
        <v>777.62</v>
      </c>
      <c r="J1964" s="2">
        <v>859.63</v>
      </c>
      <c r="K1964" s="2">
        <v>738.12</v>
      </c>
      <c r="L1964" s="2">
        <v>5504.0300000000034</v>
      </c>
      <c r="M1964" t="s">
        <v>4400</v>
      </c>
      <c r="N1964" t="s">
        <v>4400</v>
      </c>
    </row>
    <row r="1965" spans="1:14" x14ac:dyDescent="0.4">
      <c r="A1965" t="s">
        <v>3927</v>
      </c>
      <c r="B1965" t="s">
        <v>3928</v>
      </c>
      <c r="C1965" t="s">
        <v>64</v>
      </c>
      <c r="D1965" t="s">
        <v>693</v>
      </c>
      <c r="E1965" s="2">
        <v>2202.1299999999997</v>
      </c>
      <c r="F1965" s="2">
        <v>902.11999999999989</v>
      </c>
      <c r="G1965" s="2">
        <v>817.06000000000006</v>
      </c>
      <c r="H1965" s="2">
        <v>1846.7500000000002</v>
      </c>
      <c r="I1965" s="2">
        <v>1145.1100000000001</v>
      </c>
      <c r="J1965" s="2">
        <v>2226.4200000000005</v>
      </c>
      <c r="K1965" s="2"/>
      <c r="L1965" s="2">
        <v>9139.5899999999874</v>
      </c>
      <c r="M1965" t="s">
        <v>4400</v>
      </c>
      <c r="N1965" t="s">
        <v>4406</v>
      </c>
    </row>
    <row r="1966" spans="1:14" x14ac:dyDescent="0.4">
      <c r="A1966" t="s">
        <v>3929</v>
      </c>
      <c r="B1966" t="s">
        <v>2781</v>
      </c>
      <c r="C1966" t="s">
        <v>423</v>
      </c>
      <c r="D1966" t="s">
        <v>424</v>
      </c>
      <c r="E1966" s="2">
        <v>3459.4900000000002</v>
      </c>
      <c r="F1966" s="2">
        <v>3292.3300000000004</v>
      </c>
      <c r="G1966" s="2">
        <v>4750.2800000000007</v>
      </c>
      <c r="H1966" s="2">
        <v>4018.2999999999997</v>
      </c>
      <c r="I1966" s="2">
        <v>2818.6000000000004</v>
      </c>
      <c r="J1966" s="2">
        <v>2724.4399999999996</v>
      </c>
      <c r="K1966" s="2">
        <v>1618.88</v>
      </c>
      <c r="L1966" s="2">
        <v>22682.319999999974</v>
      </c>
      <c r="M1966" t="s">
        <v>4400</v>
      </c>
      <c r="N1966" t="s">
        <v>4400</v>
      </c>
    </row>
    <row r="1967" spans="1:14" x14ac:dyDescent="0.4">
      <c r="A1967" t="s">
        <v>3930</v>
      </c>
      <c r="B1967" t="s">
        <v>3931</v>
      </c>
      <c r="C1967" t="s">
        <v>240</v>
      </c>
      <c r="D1967" t="s">
        <v>241</v>
      </c>
      <c r="E1967" s="2">
        <v>724.7399999999999</v>
      </c>
      <c r="F1967" s="2">
        <v>724.7399999999999</v>
      </c>
      <c r="G1967" s="2"/>
      <c r="H1967" s="2">
        <v>958.6099999999999</v>
      </c>
      <c r="I1967" s="2"/>
      <c r="J1967" s="2">
        <v>876.36999999999989</v>
      </c>
      <c r="K1967" s="2"/>
      <c r="L1967" s="2">
        <v>3284.4599999999991</v>
      </c>
      <c r="M1967" t="s">
        <v>4400</v>
      </c>
      <c r="N1967" t="s">
        <v>4406</v>
      </c>
    </row>
    <row r="1968" spans="1:14" x14ac:dyDescent="0.4">
      <c r="A1968" t="s">
        <v>3932</v>
      </c>
      <c r="B1968" t="s">
        <v>3933</v>
      </c>
      <c r="C1968" t="s">
        <v>113</v>
      </c>
      <c r="D1968" t="s">
        <v>615</v>
      </c>
      <c r="E1968" s="2">
        <v>3596.3799999999997</v>
      </c>
      <c r="F1968" s="2">
        <v>2606.1800000000003</v>
      </c>
      <c r="G1968" s="2">
        <v>2624.4</v>
      </c>
      <c r="H1968" s="2">
        <v>3490.0899999999988</v>
      </c>
      <c r="I1968" s="2">
        <v>5464.4399999999969</v>
      </c>
      <c r="J1968" s="2">
        <v>3942.690000000001</v>
      </c>
      <c r="K1968" s="2">
        <v>1956.16</v>
      </c>
      <c r="L1968" s="2">
        <v>23680.340000000018</v>
      </c>
      <c r="M1968" t="s">
        <v>4400</v>
      </c>
      <c r="N1968" t="s">
        <v>4400</v>
      </c>
    </row>
    <row r="1969" spans="1:14" x14ac:dyDescent="0.4">
      <c r="A1969" t="s">
        <v>3934</v>
      </c>
      <c r="B1969" t="s">
        <v>3935</v>
      </c>
      <c r="C1969" t="s">
        <v>64</v>
      </c>
      <c r="D1969" t="s">
        <v>1560</v>
      </c>
      <c r="E1969" s="2">
        <v>3374.41</v>
      </c>
      <c r="F1969" s="2">
        <v>3553.62</v>
      </c>
      <c r="G1969" s="2">
        <v>3055.48</v>
      </c>
      <c r="H1969" s="2">
        <v>2375.1499999999996</v>
      </c>
      <c r="I1969" s="2">
        <v>2581.69</v>
      </c>
      <c r="J1969" s="2">
        <v>3252.9</v>
      </c>
      <c r="K1969" s="2">
        <v>1618.8500000000001</v>
      </c>
      <c r="L1969" s="2">
        <v>19812.099999999984</v>
      </c>
      <c r="M1969" t="s">
        <v>4400</v>
      </c>
      <c r="N1969" t="s">
        <v>4400</v>
      </c>
    </row>
    <row r="1970" spans="1:14" x14ac:dyDescent="0.4">
      <c r="A1970" t="s">
        <v>3936</v>
      </c>
      <c r="B1970" t="s">
        <v>3937</v>
      </c>
      <c r="C1970" t="s">
        <v>64</v>
      </c>
      <c r="D1970" t="s">
        <v>1112</v>
      </c>
      <c r="E1970" s="2">
        <v>4534.93</v>
      </c>
      <c r="F1970" s="2">
        <v>5698.27</v>
      </c>
      <c r="G1970" s="2">
        <v>5664.8599999999988</v>
      </c>
      <c r="H1970" s="2">
        <v>6077.9400000000005</v>
      </c>
      <c r="I1970" s="2">
        <v>3997.3099999999995</v>
      </c>
      <c r="J1970" s="2">
        <v>6044.56</v>
      </c>
      <c r="K1970" s="2">
        <v>2949.3599999999997</v>
      </c>
      <c r="L1970" s="2">
        <v>34967.22999999996</v>
      </c>
      <c r="M1970" t="s">
        <v>4400</v>
      </c>
      <c r="N1970" t="s">
        <v>4400</v>
      </c>
    </row>
    <row r="1971" spans="1:14" x14ac:dyDescent="0.4">
      <c r="A1971" t="s">
        <v>3938</v>
      </c>
      <c r="B1971" t="s">
        <v>3053</v>
      </c>
      <c r="C1971" t="s">
        <v>35</v>
      </c>
      <c r="D1971" t="s">
        <v>1212</v>
      </c>
      <c r="E1971" s="2">
        <v>4135.13</v>
      </c>
      <c r="F1971" s="2">
        <v>1714.1899999999996</v>
      </c>
      <c r="G1971" s="2">
        <v>2194.7799999999997</v>
      </c>
      <c r="H1971" s="2">
        <v>3227.9199999999992</v>
      </c>
      <c r="I1971" s="2">
        <v>2976.0599999999986</v>
      </c>
      <c r="J1971" s="2">
        <v>2968.349999999999</v>
      </c>
      <c r="K1971" s="2">
        <v>1500.8799999999997</v>
      </c>
      <c r="L1971" s="2">
        <v>18717.310000000041</v>
      </c>
      <c r="M1971" t="s">
        <v>4400</v>
      </c>
      <c r="N1971" t="s">
        <v>4400</v>
      </c>
    </row>
    <row r="1972" spans="1:14" x14ac:dyDescent="0.4">
      <c r="A1972" t="s">
        <v>3939</v>
      </c>
      <c r="B1972" t="s">
        <v>3940</v>
      </c>
      <c r="C1972" t="s">
        <v>113</v>
      </c>
      <c r="D1972" t="s">
        <v>120</v>
      </c>
      <c r="E1972" s="2">
        <v>768.43</v>
      </c>
      <c r="F1972" s="2">
        <v>2320.7099999999996</v>
      </c>
      <c r="G1972" s="2">
        <v>745.3</v>
      </c>
      <c r="H1972" s="2"/>
      <c r="I1972" s="2"/>
      <c r="J1972" s="2"/>
      <c r="K1972" s="2"/>
      <c r="L1972" s="2">
        <v>3834.4399999999991</v>
      </c>
      <c r="M1972" t="s">
        <v>4400</v>
      </c>
      <c r="N1972" t="s">
        <v>4403</v>
      </c>
    </row>
    <row r="1973" spans="1:14" x14ac:dyDescent="0.4">
      <c r="A1973" t="s">
        <v>3941</v>
      </c>
      <c r="B1973" t="s">
        <v>3942</v>
      </c>
      <c r="C1973" t="s">
        <v>64</v>
      </c>
      <c r="D1973" t="s">
        <v>1377</v>
      </c>
      <c r="E1973" s="2">
        <v>1795.11</v>
      </c>
      <c r="F1973" s="2">
        <v>3647.9199999999992</v>
      </c>
      <c r="G1973" s="2">
        <v>2949.3199999999993</v>
      </c>
      <c r="H1973" s="2">
        <v>1801.1999999999996</v>
      </c>
      <c r="I1973" s="2">
        <v>1950.0099999999998</v>
      </c>
      <c r="J1973" s="2">
        <v>3483.8799999999992</v>
      </c>
      <c r="K1973" s="2">
        <v>892.99</v>
      </c>
      <c r="L1973" s="2">
        <v>16520.429999999986</v>
      </c>
      <c r="M1973" t="s">
        <v>4400</v>
      </c>
      <c r="N1973" t="s">
        <v>4400</v>
      </c>
    </row>
    <row r="1974" spans="1:14" x14ac:dyDescent="0.4">
      <c r="A1974" t="s">
        <v>3943</v>
      </c>
      <c r="B1974" t="s">
        <v>3172</v>
      </c>
      <c r="C1974" t="s">
        <v>113</v>
      </c>
      <c r="D1974" t="s">
        <v>120</v>
      </c>
      <c r="E1974" s="2">
        <v>5616.2800000000025</v>
      </c>
      <c r="F1974" s="2">
        <v>4872.0900000000011</v>
      </c>
      <c r="G1974" s="2">
        <v>4276.7499999999991</v>
      </c>
      <c r="H1974" s="2">
        <v>4155.2599999999993</v>
      </c>
      <c r="I1974" s="2">
        <v>4535.0100000000011</v>
      </c>
      <c r="J1974" s="2">
        <v>3495.2</v>
      </c>
      <c r="K1974" s="2">
        <v>1685.9199999999996</v>
      </c>
      <c r="L1974" s="2">
        <v>28636.509999999958</v>
      </c>
      <c r="M1974" t="s">
        <v>4400</v>
      </c>
      <c r="N1974" t="s">
        <v>4400</v>
      </c>
    </row>
    <row r="1975" spans="1:14" x14ac:dyDescent="0.4">
      <c r="A1975" t="s">
        <v>3944</v>
      </c>
      <c r="B1975" t="s">
        <v>3945</v>
      </c>
      <c r="C1975" t="s">
        <v>291</v>
      </c>
      <c r="D1975" t="s">
        <v>300</v>
      </c>
      <c r="E1975" s="2">
        <v>2399.5299999999997</v>
      </c>
      <c r="F1975" s="2">
        <v>3450.4700000000003</v>
      </c>
      <c r="G1975" s="2">
        <v>4449.7499999999991</v>
      </c>
      <c r="H1975" s="2">
        <v>4531.7599999999984</v>
      </c>
      <c r="I1975" s="2">
        <v>3070.7899999999981</v>
      </c>
      <c r="J1975" s="2">
        <v>3833.1699999999996</v>
      </c>
      <c r="K1975" s="2">
        <v>1685.7199999999998</v>
      </c>
      <c r="L1975" s="2">
        <v>23421.189999999988</v>
      </c>
      <c r="M1975" t="s">
        <v>4400</v>
      </c>
      <c r="N1975" t="s">
        <v>4400</v>
      </c>
    </row>
    <row r="1976" spans="1:14" x14ac:dyDescent="0.4">
      <c r="A1976" t="s">
        <v>3946</v>
      </c>
      <c r="B1976" t="s">
        <v>3059</v>
      </c>
      <c r="C1976" t="s">
        <v>64</v>
      </c>
      <c r="D1976" t="s">
        <v>545</v>
      </c>
      <c r="E1976" s="2">
        <v>1880.1699999999998</v>
      </c>
      <c r="F1976" s="2">
        <v>3927.3900000000003</v>
      </c>
      <c r="G1976" s="2">
        <v>3225.75</v>
      </c>
      <c r="H1976" s="2">
        <v>2864.29</v>
      </c>
      <c r="I1976" s="2">
        <v>3198.38</v>
      </c>
      <c r="J1976" s="2">
        <v>3073.83</v>
      </c>
      <c r="K1976" s="2">
        <v>2016.8199999999997</v>
      </c>
      <c r="L1976" s="2">
        <v>20186.629999999994</v>
      </c>
      <c r="M1976" t="s">
        <v>4400</v>
      </c>
      <c r="N1976" t="s">
        <v>4400</v>
      </c>
    </row>
    <row r="1977" spans="1:14" x14ac:dyDescent="0.4">
      <c r="A1977" t="s">
        <v>3947</v>
      </c>
      <c r="B1977" t="s">
        <v>3948</v>
      </c>
      <c r="C1977" t="s">
        <v>159</v>
      </c>
      <c r="D1977" t="s">
        <v>833</v>
      </c>
      <c r="E1977" s="2">
        <v>1546.04</v>
      </c>
      <c r="F1977" s="2">
        <v>856.56000000000006</v>
      </c>
      <c r="G1977" s="2">
        <v>1889.28</v>
      </c>
      <c r="H1977" s="2">
        <v>1093.47</v>
      </c>
      <c r="I1977" s="2"/>
      <c r="J1977" s="2"/>
      <c r="K1977" s="2"/>
      <c r="L1977" s="2">
        <v>5385.3499999999985</v>
      </c>
      <c r="M1977" t="s">
        <v>4400</v>
      </c>
      <c r="N1977" t="s">
        <v>4402</v>
      </c>
    </row>
    <row r="1978" spans="1:14" x14ac:dyDescent="0.4">
      <c r="A1978" t="s">
        <v>3949</v>
      </c>
      <c r="B1978" t="s">
        <v>3950</v>
      </c>
      <c r="C1978" t="s">
        <v>178</v>
      </c>
      <c r="D1978" t="s">
        <v>558</v>
      </c>
      <c r="E1978" s="2">
        <v>2633.45</v>
      </c>
      <c r="F1978" s="2">
        <v>2982.7299999999996</v>
      </c>
      <c r="G1978" s="2"/>
      <c r="H1978" s="2"/>
      <c r="I1978" s="2"/>
      <c r="J1978" s="2"/>
      <c r="K1978" s="2"/>
      <c r="L1978" s="2">
        <v>5616.1800000000012</v>
      </c>
      <c r="M1978" t="s">
        <v>4400</v>
      </c>
      <c r="N1978" t="s">
        <v>4410</v>
      </c>
    </row>
    <row r="1979" spans="1:14" x14ac:dyDescent="0.4">
      <c r="A1979" t="s">
        <v>3951</v>
      </c>
      <c r="B1979" t="s">
        <v>3952</v>
      </c>
      <c r="C1979" t="s">
        <v>1</v>
      </c>
      <c r="D1979" t="s">
        <v>1030</v>
      </c>
      <c r="E1979" s="2">
        <v>4929.2599999999993</v>
      </c>
      <c r="F1979" s="2">
        <v>3806.1699999999987</v>
      </c>
      <c r="G1979" s="2">
        <v>5304.4800000000005</v>
      </c>
      <c r="H1979" s="2">
        <v>5463.8199999999979</v>
      </c>
      <c r="I1979" s="2">
        <v>5687.409999999998</v>
      </c>
      <c r="J1979" s="2">
        <v>5001.2199999999984</v>
      </c>
      <c r="K1979" s="2">
        <v>1554.8499999999997</v>
      </c>
      <c r="L1979" s="2">
        <v>31747.210000000028</v>
      </c>
      <c r="M1979" t="s">
        <v>4400</v>
      </c>
      <c r="N1979" t="s">
        <v>4400</v>
      </c>
    </row>
    <row r="1980" spans="1:14" x14ac:dyDescent="0.4">
      <c r="A1980" t="s">
        <v>3953</v>
      </c>
      <c r="B1980" t="s">
        <v>3954</v>
      </c>
      <c r="C1980" t="s">
        <v>113</v>
      </c>
      <c r="D1980" t="s">
        <v>114</v>
      </c>
      <c r="E1980" s="2">
        <v>1349.2499999999998</v>
      </c>
      <c r="F1980" s="2">
        <v>2534.0199999999995</v>
      </c>
      <c r="G1980" s="2">
        <v>745.3</v>
      </c>
      <c r="H1980" s="2"/>
      <c r="I1980" s="2"/>
      <c r="J1980" s="2"/>
      <c r="K1980" s="2"/>
      <c r="L1980" s="2">
        <v>4628.57</v>
      </c>
      <c r="M1980" t="s">
        <v>4400</v>
      </c>
      <c r="N1980" t="s">
        <v>4403</v>
      </c>
    </row>
    <row r="1981" spans="1:14" x14ac:dyDescent="0.4">
      <c r="A1981" t="s">
        <v>3955</v>
      </c>
      <c r="B1981" t="s">
        <v>70</v>
      </c>
      <c r="C1981" t="s">
        <v>64</v>
      </c>
      <c r="D1981" t="s">
        <v>545</v>
      </c>
      <c r="E1981" s="2">
        <v>2724.6499999999992</v>
      </c>
      <c r="F1981" s="2">
        <v>1072.24</v>
      </c>
      <c r="G1981" s="2">
        <v>741.12000000000012</v>
      </c>
      <c r="H1981" s="2">
        <v>2423.9</v>
      </c>
      <c r="I1981" s="2">
        <v>938.58999999999992</v>
      </c>
      <c r="J1981" s="2">
        <v>1069.1899999999998</v>
      </c>
      <c r="K1981" s="2">
        <v>865.68999999999983</v>
      </c>
      <c r="L1981" s="2">
        <v>9835.3799999999956</v>
      </c>
      <c r="M1981" t="s">
        <v>4400</v>
      </c>
      <c r="N1981" t="s">
        <v>4400</v>
      </c>
    </row>
    <row r="1982" spans="1:14" x14ac:dyDescent="0.4">
      <c r="A1982" t="s">
        <v>3956</v>
      </c>
      <c r="B1982" t="s">
        <v>3957</v>
      </c>
      <c r="C1982" t="s">
        <v>35</v>
      </c>
      <c r="D1982" t="s">
        <v>1921</v>
      </c>
      <c r="E1982" s="2">
        <v>3520.8999999999983</v>
      </c>
      <c r="F1982" s="2">
        <v>3919.2499999999995</v>
      </c>
      <c r="G1982" s="2">
        <v>3572.2999999999993</v>
      </c>
      <c r="H1982" s="2">
        <v>2623.9699999999993</v>
      </c>
      <c r="I1982" s="2">
        <v>4081.1600000000003</v>
      </c>
      <c r="J1982" s="2">
        <v>2644.5299999999993</v>
      </c>
      <c r="K1982" s="2">
        <v>1845.2600000000002</v>
      </c>
      <c r="L1982" s="2">
        <v>22207.370000000006</v>
      </c>
      <c r="M1982" t="s">
        <v>4400</v>
      </c>
      <c r="N1982" t="s">
        <v>4400</v>
      </c>
    </row>
    <row r="1983" spans="1:14" x14ac:dyDescent="0.4">
      <c r="A1983" t="s">
        <v>3958</v>
      </c>
      <c r="B1983" t="s">
        <v>3959</v>
      </c>
      <c r="C1983" t="s">
        <v>9</v>
      </c>
      <c r="D1983" t="s">
        <v>693</v>
      </c>
      <c r="E1983" s="2">
        <v>1953.0399999999997</v>
      </c>
      <c r="F1983" s="2">
        <v>1943.9499999999998</v>
      </c>
      <c r="G1983" s="2">
        <v>1919.6</v>
      </c>
      <c r="H1983" s="2">
        <v>871.73</v>
      </c>
      <c r="I1983" s="2">
        <v>1084.3499999999999</v>
      </c>
      <c r="J1983" s="2">
        <v>1804.1999999999998</v>
      </c>
      <c r="K1983" s="2">
        <v>1931.7600000000002</v>
      </c>
      <c r="L1983" s="2">
        <v>11508.629999999986</v>
      </c>
      <c r="M1983" t="s">
        <v>4400</v>
      </c>
      <c r="N1983" t="s">
        <v>4400</v>
      </c>
    </row>
    <row r="1984" spans="1:14" x14ac:dyDescent="0.4">
      <c r="A1984" t="s">
        <v>3960</v>
      </c>
      <c r="B1984" t="s">
        <v>3961</v>
      </c>
      <c r="C1984" t="s">
        <v>35</v>
      </c>
      <c r="D1984" t="s">
        <v>1712</v>
      </c>
      <c r="E1984" s="2">
        <v>3813.88</v>
      </c>
      <c r="F1984" s="2">
        <v>3831.87</v>
      </c>
      <c r="G1984" s="2">
        <v>2744.76</v>
      </c>
      <c r="H1984" s="2">
        <v>3247.0000000000005</v>
      </c>
      <c r="I1984" s="2">
        <v>3693.51</v>
      </c>
      <c r="J1984" s="2">
        <v>3389.7800000000007</v>
      </c>
      <c r="K1984" s="2">
        <v>1260.54</v>
      </c>
      <c r="L1984" s="2">
        <v>21981.340000000026</v>
      </c>
      <c r="M1984" t="s">
        <v>4400</v>
      </c>
      <c r="N1984" t="s">
        <v>4400</v>
      </c>
    </row>
    <row r="1985" spans="1:14" x14ac:dyDescent="0.4">
      <c r="A1985" t="s">
        <v>3962</v>
      </c>
      <c r="B1985" t="s">
        <v>3963</v>
      </c>
      <c r="C1985" t="s">
        <v>109</v>
      </c>
      <c r="D1985" t="s">
        <v>1374</v>
      </c>
      <c r="E1985" s="2">
        <v>4665.5199999999986</v>
      </c>
      <c r="F1985" s="2">
        <v>1539.96</v>
      </c>
      <c r="G1985" s="2"/>
      <c r="H1985" s="2"/>
      <c r="I1985" s="2"/>
      <c r="J1985" s="2"/>
      <c r="K1985" s="2"/>
      <c r="L1985" s="2">
        <v>6205.4799999999987</v>
      </c>
      <c r="M1985" t="s">
        <v>4400</v>
      </c>
      <c r="N1985" t="s">
        <v>4410</v>
      </c>
    </row>
    <row r="1986" spans="1:14" x14ac:dyDescent="0.4">
      <c r="A1986" t="s">
        <v>3964</v>
      </c>
      <c r="B1986" t="s">
        <v>3965</v>
      </c>
      <c r="C1986" t="s">
        <v>64</v>
      </c>
      <c r="D1986" t="s">
        <v>693</v>
      </c>
      <c r="E1986" s="2">
        <v>3012.0399999999986</v>
      </c>
      <c r="F1986" s="2">
        <v>2320.7099999999991</v>
      </c>
      <c r="G1986" s="2">
        <v>3176.5199999999995</v>
      </c>
      <c r="H1986" s="2">
        <v>3006.8999999999992</v>
      </c>
      <c r="I1986" s="2">
        <v>2282.1599999999994</v>
      </c>
      <c r="J1986" s="2">
        <v>3523.47</v>
      </c>
      <c r="K1986" s="2">
        <v>1711.6200000000003</v>
      </c>
      <c r="L1986" s="2">
        <v>19033.42000000002</v>
      </c>
      <c r="M1986" t="s">
        <v>4400</v>
      </c>
      <c r="N1986" t="s">
        <v>4400</v>
      </c>
    </row>
    <row r="1987" spans="1:14" x14ac:dyDescent="0.4">
      <c r="A1987" t="s">
        <v>3966</v>
      </c>
      <c r="B1987" t="s">
        <v>3967</v>
      </c>
      <c r="C1987" t="s">
        <v>310</v>
      </c>
      <c r="D1987" t="s">
        <v>314</v>
      </c>
      <c r="E1987" s="2"/>
      <c r="F1987" s="2">
        <v>714.46</v>
      </c>
      <c r="G1987" s="2">
        <v>1518.8699999999997</v>
      </c>
      <c r="H1987" s="2">
        <v>1552.2799999999995</v>
      </c>
      <c r="I1987" s="2">
        <v>1552.2799999999995</v>
      </c>
      <c r="J1987" s="2">
        <v>776.13999999999987</v>
      </c>
      <c r="K1987" s="2"/>
      <c r="L1987" s="2">
        <v>6114.0299999999979</v>
      </c>
      <c r="M1987" t="s">
        <v>4412</v>
      </c>
      <c r="N1987" t="s">
        <v>4406</v>
      </c>
    </row>
    <row r="1988" spans="1:14" x14ac:dyDescent="0.4">
      <c r="A1988" t="s">
        <v>3968</v>
      </c>
      <c r="B1988" t="s">
        <v>3969</v>
      </c>
      <c r="C1988" t="s">
        <v>172</v>
      </c>
      <c r="D1988" t="s">
        <v>173</v>
      </c>
      <c r="E1988" s="2"/>
      <c r="F1988" s="2">
        <v>801.86</v>
      </c>
      <c r="G1988" s="2">
        <v>1518.72</v>
      </c>
      <c r="H1988" s="2">
        <v>1594.6500000000003</v>
      </c>
      <c r="I1988" s="2">
        <v>768.4699999999998</v>
      </c>
      <c r="J1988" s="2"/>
      <c r="K1988" s="2"/>
      <c r="L1988" s="2">
        <v>4683.7</v>
      </c>
      <c r="M1988" t="s">
        <v>4412</v>
      </c>
      <c r="N1988" t="s">
        <v>4401</v>
      </c>
    </row>
    <row r="1989" spans="1:14" x14ac:dyDescent="0.4">
      <c r="A1989" t="s">
        <v>3970</v>
      </c>
      <c r="B1989" t="s">
        <v>3971</v>
      </c>
      <c r="C1989" t="s">
        <v>447</v>
      </c>
      <c r="D1989" t="s">
        <v>451</v>
      </c>
      <c r="E1989" s="2">
        <v>3966.9999999999991</v>
      </c>
      <c r="F1989" s="2">
        <v>3417.1299999999997</v>
      </c>
      <c r="G1989" s="2">
        <v>4969.3099999999977</v>
      </c>
      <c r="H1989" s="2">
        <v>4468.1699999999983</v>
      </c>
      <c r="I1989" s="2">
        <v>3994.2899999999995</v>
      </c>
      <c r="J1989" s="2">
        <v>4291.92</v>
      </c>
      <c r="K1989" s="2">
        <v>1910.54</v>
      </c>
      <c r="L1989" s="2">
        <v>27018.36000000003</v>
      </c>
      <c r="M1989" t="s">
        <v>4400</v>
      </c>
      <c r="N1989" t="s">
        <v>4400</v>
      </c>
    </row>
    <row r="1990" spans="1:14" x14ac:dyDescent="0.4">
      <c r="A1990" t="s">
        <v>3972</v>
      </c>
      <c r="B1990" t="s">
        <v>3973</v>
      </c>
      <c r="C1990" t="s">
        <v>363</v>
      </c>
      <c r="D1990" t="s">
        <v>1195</v>
      </c>
      <c r="E1990" s="2">
        <v>9871.06</v>
      </c>
      <c r="F1990" s="2">
        <v>7930.87</v>
      </c>
      <c r="G1990" s="2">
        <v>11053.340000000002</v>
      </c>
      <c r="H1990" s="2">
        <v>11673.110000000004</v>
      </c>
      <c r="I1990" s="2">
        <v>10491.460000000001</v>
      </c>
      <c r="J1990" s="2">
        <v>17410.929999999993</v>
      </c>
      <c r="K1990" s="2">
        <v>3438.4499999999994</v>
      </c>
      <c r="L1990" s="2">
        <v>71869.219999999972</v>
      </c>
      <c r="M1990" t="s">
        <v>4400</v>
      </c>
      <c r="N1990" t="s">
        <v>4400</v>
      </c>
    </row>
    <row r="1991" spans="1:14" x14ac:dyDescent="0.4">
      <c r="A1991" t="s">
        <v>3974</v>
      </c>
      <c r="B1991" t="s">
        <v>3975</v>
      </c>
      <c r="C1991" t="s">
        <v>423</v>
      </c>
      <c r="D1991" t="s">
        <v>424</v>
      </c>
      <c r="E1991" s="2">
        <v>917.29</v>
      </c>
      <c r="F1991" s="2"/>
      <c r="G1991" s="2"/>
      <c r="H1991" s="2"/>
      <c r="I1991" s="2">
        <v>865.65000000000009</v>
      </c>
      <c r="J1991" s="2"/>
      <c r="K1991" s="2"/>
      <c r="L1991" s="2">
        <v>1782.9399999999998</v>
      </c>
      <c r="M1991" t="s">
        <v>4400</v>
      </c>
      <c r="N1991" t="s">
        <v>4401</v>
      </c>
    </row>
    <row r="1992" spans="1:14" x14ac:dyDescent="0.4">
      <c r="A1992" t="s">
        <v>3976</v>
      </c>
      <c r="B1992" t="s">
        <v>3221</v>
      </c>
      <c r="C1992" t="s">
        <v>186</v>
      </c>
      <c r="D1992" t="s">
        <v>190</v>
      </c>
      <c r="E1992" s="2"/>
      <c r="F1992" s="2"/>
      <c r="G1992" s="2"/>
      <c r="H1992" s="2">
        <v>759.3599999999999</v>
      </c>
      <c r="I1992" s="2"/>
      <c r="J1992" s="2">
        <v>741.13999999999987</v>
      </c>
      <c r="K1992" s="2"/>
      <c r="L1992" s="2">
        <v>1500.5000000000002</v>
      </c>
      <c r="M1992" t="s">
        <v>4409</v>
      </c>
      <c r="N1992" t="s">
        <v>4406</v>
      </c>
    </row>
    <row r="1993" spans="1:14" x14ac:dyDescent="0.4">
      <c r="A1993" t="s">
        <v>3977</v>
      </c>
      <c r="B1993" t="s">
        <v>3978</v>
      </c>
      <c r="C1993" t="s">
        <v>178</v>
      </c>
      <c r="D1993" t="s">
        <v>179</v>
      </c>
      <c r="E1993" s="2">
        <v>8993.6900000000023</v>
      </c>
      <c r="F1993" s="2">
        <v>4847.7000000000007</v>
      </c>
      <c r="G1993" s="2">
        <v>4838.5500000000011</v>
      </c>
      <c r="H1993" s="2"/>
      <c r="I1993" s="2"/>
      <c r="J1993" s="2"/>
      <c r="K1993" s="2"/>
      <c r="L1993" s="2">
        <v>18679.939999999995</v>
      </c>
      <c r="M1993" t="s">
        <v>4400</v>
      </c>
      <c r="N1993" t="s">
        <v>4403</v>
      </c>
    </row>
    <row r="1994" spans="1:14" x14ac:dyDescent="0.4">
      <c r="A1994" t="s">
        <v>3979</v>
      </c>
      <c r="B1994" t="s">
        <v>3980</v>
      </c>
      <c r="C1994" t="s">
        <v>5</v>
      </c>
      <c r="D1994" t="s">
        <v>1059</v>
      </c>
      <c r="E1994" s="2">
        <v>4656.3500000000004</v>
      </c>
      <c r="F1994" s="2">
        <v>2186.9299999999998</v>
      </c>
      <c r="G1994" s="2">
        <v>3073.8500000000008</v>
      </c>
      <c r="H1994" s="2">
        <v>1536.9499999999998</v>
      </c>
      <c r="I1994" s="2">
        <v>741.1400000000001</v>
      </c>
      <c r="J1994" s="2">
        <v>2982.7699999999995</v>
      </c>
      <c r="K1994" s="2">
        <v>774.55000000000007</v>
      </c>
      <c r="L1994" s="2">
        <v>15952.539999999988</v>
      </c>
      <c r="M1994" t="s">
        <v>4400</v>
      </c>
      <c r="N1994" t="s">
        <v>4400</v>
      </c>
    </row>
    <row r="1995" spans="1:14" x14ac:dyDescent="0.4">
      <c r="A1995" t="s">
        <v>3981</v>
      </c>
      <c r="B1995" t="s">
        <v>3982</v>
      </c>
      <c r="C1995" t="s">
        <v>64</v>
      </c>
      <c r="D1995" t="s">
        <v>808</v>
      </c>
      <c r="E1995" s="2"/>
      <c r="F1995" s="2">
        <v>1508.5900000000001</v>
      </c>
      <c r="G1995" s="2">
        <v>1182.2</v>
      </c>
      <c r="H1995" s="2"/>
      <c r="I1995" s="2">
        <v>742.7299999999999</v>
      </c>
      <c r="J1995" s="2">
        <v>770.99999999999989</v>
      </c>
      <c r="K1995" s="2"/>
      <c r="L1995" s="2">
        <v>4204.5199999999995</v>
      </c>
      <c r="M1995" t="s">
        <v>4412</v>
      </c>
      <c r="N1995" t="s">
        <v>4406</v>
      </c>
    </row>
    <row r="1996" spans="1:14" x14ac:dyDescent="0.4">
      <c r="A1996" t="s">
        <v>3983</v>
      </c>
      <c r="B1996" t="s">
        <v>3984</v>
      </c>
      <c r="C1996" t="s">
        <v>13</v>
      </c>
      <c r="D1996" t="s">
        <v>14</v>
      </c>
      <c r="E1996" s="2">
        <v>4111.9999999999991</v>
      </c>
      <c r="F1996" s="2">
        <v>3158.5299999999988</v>
      </c>
      <c r="G1996" s="2">
        <v>2289.869999999999</v>
      </c>
      <c r="H1996" s="2"/>
      <c r="I1996" s="2"/>
      <c r="J1996" s="2"/>
      <c r="K1996" s="2">
        <v>1781.0099999999995</v>
      </c>
      <c r="L1996" s="2">
        <v>11341.410000000003</v>
      </c>
      <c r="M1996" t="s">
        <v>4400</v>
      </c>
      <c r="N1996" t="s">
        <v>4400</v>
      </c>
    </row>
    <row r="1997" spans="1:14" x14ac:dyDescent="0.4">
      <c r="A1997" t="s">
        <v>3985</v>
      </c>
      <c r="B1997" t="s">
        <v>2888</v>
      </c>
      <c r="C1997" t="s">
        <v>1</v>
      </c>
      <c r="D1997" t="s">
        <v>507</v>
      </c>
      <c r="E1997" s="2">
        <v>6867.66</v>
      </c>
      <c r="F1997" s="2">
        <v>6864.46</v>
      </c>
      <c r="G1997" s="2">
        <v>9130.2800000000007</v>
      </c>
      <c r="H1997" s="2">
        <v>4079.2000000000003</v>
      </c>
      <c r="I1997" s="2">
        <v>8936.1299999999992</v>
      </c>
      <c r="J1997" s="2">
        <v>7854.7399999999971</v>
      </c>
      <c r="K1997" s="2">
        <v>3253.0099999999998</v>
      </c>
      <c r="L1997" s="2">
        <v>46985.48000000001</v>
      </c>
      <c r="M1997" t="s">
        <v>4400</v>
      </c>
      <c r="N1997" t="s">
        <v>4400</v>
      </c>
    </row>
    <row r="1998" spans="1:14" x14ac:dyDescent="0.4">
      <c r="A1998" t="s">
        <v>3986</v>
      </c>
      <c r="B1998" t="s">
        <v>3987</v>
      </c>
      <c r="C1998" t="s">
        <v>64</v>
      </c>
      <c r="D1998" t="s">
        <v>645</v>
      </c>
      <c r="E1998" s="2">
        <v>1063.17</v>
      </c>
      <c r="F1998" s="2">
        <v>1136.0800000000002</v>
      </c>
      <c r="G1998" s="2"/>
      <c r="H1998" s="2"/>
      <c r="I1998" s="2"/>
      <c r="J1998" s="2">
        <v>922.62999999999988</v>
      </c>
      <c r="K1998" s="2"/>
      <c r="L1998" s="2">
        <v>3121.8799999999997</v>
      </c>
      <c r="M1998" t="s">
        <v>4400</v>
      </c>
      <c r="N1998" t="s">
        <v>4406</v>
      </c>
    </row>
    <row r="1999" spans="1:14" x14ac:dyDescent="0.4">
      <c r="A1999" t="s">
        <v>3988</v>
      </c>
      <c r="B1999" t="s">
        <v>3989</v>
      </c>
      <c r="C1999" t="s">
        <v>1</v>
      </c>
      <c r="D1999" t="s">
        <v>1030</v>
      </c>
      <c r="E1999" s="2">
        <v>3687.349999999999</v>
      </c>
      <c r="F1999" s="2">
        <v>3650.8800000000006</v>
      </c>
      <c r="G1999" s="2">
        <v>1883.15</v>
      </c>
      <c r="H1999" s="2">
        <v>3881.7499999999995</v>
      </c>
      <c r="I1999" s="2">
        <v>2739.6900000000005</v>
      </c>
      <c r="J1999" s="2">
        <v>4701.8100000000004</v>
      </c>
      <c r="K1999" s="2">
        <v>920.31</v>
      </c>
      <c r="L1999" s="2">
        <v>21464.94000000001</v>
      </c>
      <c r="M1999" t="s">
        <v>4400</v>
      </c>
      <c r="N1999" t="s">
        <v>4400</v>
      </c>
    </row>
    <row r="2000" spans="1:14" x14ac:dyDescent="0.4">
      <c r="A2000" t="s">
        <v>3990</v>
      </c>
      <c r="B2000" t="s">
        <v>3991</v>
      </c>
      <c r="C2000" t="s">
        <v>64</v>
      </c>
      <c r="D2000" t="s">
        <v>2728</v>
      </c>
      <c r="E2000" s="2">
        <v>1451.8899999999999</v>
      </c>
      <c r="F2000" s="2">
        <v>728.97</v>
      </c>
      <c r="G2000" s="2">
        <v>1457.9399999999998</v>
      </c>
      <c r="H2000" s="2">
        <v>786.68999999999994</v>
      </c>
      <c r="I2000" s="2">
        <v>735.05</v>
      </c>
      <c r="J2000" s="2"/>
      <c r="K2000" s="2"/>
      <c r="L2000" s="2">
        <v>5160.54</v>
      </c>
      <c r="M2000" t="s">
        <v>4400</v>
      </c>
      <c r="N2000" t="s">
        <v>4401</v>
      </c>
    </row>
    <row r="2001" spans="1:14" x14ac:dyDescent="0.4">
      <c r="A2001" t="s">
        <v>3992</v>
      </c>
      <c r="B2001" t="s">
        <v>2447</v>
      </c>
      <c r="C2001" t="s">
        <v>310</v>
      </c>
      <c r="D2001" t="s">
        <v>317</v>
      </c>
      <c r="E2001" s="2">
        <v>1461</v>
      </c>
      <c r="F2001" s="2"/>
      <c r="G2001" s="2"/>
      <c r="H2001" s="2"/>
      <c r="I2001" s="2">
        <v>728.98</v>
      </c>
      <c r="J2001" s="2">
        <v>725.96</v>
      </c>
      <c r="K2001" s="2"/>
      <c r="L2001" s="2">
        <v>2915.9399999999991</v>
      </c>
      <c r="M2001" t="s">
        <v>4400</v>
      </c>
      <c r="N2001" t="s">
        <v>4406</v>
      </c>
    </row>
    <row r="2002" spans="1:14" x14ac:dyDescent="0.4">
      <c r="A2002" t="s">
        <v>3993</v>
      </c>
      <c r="B2002" t="s">
        <v>3994</v>
      </c>
      <c r="C2002" t="s">
        <v>64</v>
      </c>
      <c r="D2002" t="s">
        <v>3077</v>
      </c>
      <c r="E2002" s="2"/>
      <c r="F2002" s="2"/>
      <c r="G2002" s="2"/>
      <c r="H2002" s="2">
        <v>1482.2499999999998</v>
      </c>
      <c r="I2002" s="2">
        <v>722.88</v>
      </c>
      <c r="J2002" s="2"/>
      <c r="K2002" s="2"/>
      <c r="L2002" s="2">
        <v>2205.1299999999997</v>
      </c>
      <c r="M2002" t="s">
        <v>4409</v>
      </c>
      <c r="N2002" t="s">
        <v>4401</v>
      </c>
    </row>
    <row r="2003" spans="1:14" x14ac:dyDescent="0.4">
      <c r="A2003" t="s">
        <v>3995</v>
      </c>
      <c r="B2003" t="s">
        <v>622</v>
      </c>
      <c r="C2003" t="s">
        <v>64</v>
      </c>
      <c r="D2003" t="s">
        <v>2277</v>
      </c>
      <c r="E2003" s="2">
        <v>4097.49</v>
      </c>
      <c r="F2003" s="2">
        <v>5391.41</v>
      </c>
      <c r="G2003" s="2">
        <v>4583.42</v>
      </c>
      <c r="H2003" s="2">
        <v>4759.6399999999985</v>
      </c>
      <c r="I2003" s="2">
        <v>6685.36</v>
      </c>
      <c r="J2003" s="2">
        <v>5075.5199999999986</v>
      </c>
      <c r="K2003" s="2">
        <v>3095.1400000000003</v>
      </c>
      <c r="L2003" s="2">
        <v>33687.979999999996</v>
      </c>
      <c r="M2003" t="s">
        <v>4400</v>
      </c>
      <c r="N2003" t="s">
        <v>4400</v>
      </c>
    </row>
    <row r="2004" spans="1:14" x14ac:dyDescent="0.4">
      <c r="A2004" t="s">
        <v>3996</v>
      </c>
      <c r="B2004" t="s">
        <v>3997</v>
      </c>
      <c r="C2004" t="s">
        <v>64</v>
      </c>
      <c r="D2004" t="s">
        <v>1143</v>
      </c>
      <c r="E2004" s="2"/>
      <c r="F2004" s="2"/>
      <c r="G2004" s="2"/>
      <c r="H2004" s="2"/>
      <c r="I2004" s="2">
        <v>1105.5899999999999</v>
      </c>
      <c r="J2004" s="2">
        <v>1053.95</v>
      </c>
      <c r="K2004" s="2"/>
      <c r="L2004" s="2">
        <v>2159.54</v>
      </c>
      <c r="M2004" t="s">
        <v>4408</v>
      </c>
      <c r="N2004" t="s">
        <v>4406</v>
      </c>
    </row>
    <row r="2005" spans="1:14" x14ac:dyDescent="0.4">
      <c r="A2005" t="s">
        <v>3998</v>
      </c>
      <c r="B2005" t="s">
        <v>3264</v>
      </c>
      <c r="C2005" t="s">
        <v>64</v>
      </c>
      <c r="D2005" t="s">
        <v>2165</v>
      </c>
      <c r="E2005" s="2">
        <v>1776.91</v>
      </c>
      <c r="F2005" s="2">
        <v>1652.51</v>
      </c>
      <c r="G2005" s="2">
        <v>1613.9599999999998</v>
      </c>
      <c r="H2005" s="2">
        <v>1500.88</v>
      </c>
      <c r="I2005" s="2">
        <v>1652.5100000000002</v>
      </c>
      <c r="J2005" s="2">
        <v>809.55</v>
      </c>
      <c r="K2005" s="2">
        <v>855.81</v>
      </c>
      <c r="L2005" s="2">
        <v>9862.1300000000065</v>
      </c>
      <c r="M2005" t="s">
        <v>4400</v>
      </c>
      <c r="N2005" t="s">
        <v>4400</v>
      </c>
    </row>
    <row r="2006" spans="1:14" x14ac:dyDescent="0.4">
      <c r="A2006" t="s">
        <v>3999</v>
      </c>
      <c r="B2006" t="s">
        <v>4000</v>
      </c>
      <c r="C2006" t="s">
        <v>5</v>
      </c>
      <c r="D2006" t="s">
        <v>56</v>
      </c>
      <c r="E2006" s="2">
        <v>732.0100000000001</v>
      </c>
      <c r="F2006" s="2">
        <v>753.29</v>
      </c>
      <c r="G2006" s="2">
        <v>1205.8499999999999</v>
      </c>
      <c r="H2006" s="2">
        <v>1002.33</v>
      </c>
      <c r="I2006" s="2">
        <v>2338.79</v>
      </c>
      <c r="J2006" s="2">
        <v>2642.5099999999998</v>
      </c>
      <c r="K2006" s="2">
        <v>1500.4799999999998</v>
      </c>
      <c r="L2006" s="2">
        <v>10175.26</v>
      </c>
      <c r="M2006" t="s">
        <v>4400</v>
      </c>
      <c r="N2006" t="s">
        <v>4400</v>
      </c>
    </row>
    <row r="2007" spans="1:14" x14ac:dyDescent="0.4">
      <c r="A2007" t="s">
        <v>4001</v>
      </c>
      <c r="B2007" t="s">
        <v>4002</v>
      </c>
      <c r="C2007" t="s">
        <v>1</v>
      </c>
      <c r="D2007" t="s">
        <v>88</v>
      </c>
      <c r="E2007" s="2">
        <v>2868.119999999999</v>
      </c>
      <c r="F2007" s="2">
        <v>2978.6299999999987</v>
      </c>
      <c r="G2007" s="2">
        <v>3199.6499999999996</v>
      </c>
      <c r="H2007" s="2">
        <v>2762.7499999999991</v>
      </c>
      <c r="I2007" s="2">
        <v>3515.7599999999984</v>
      </c>
      <c r="J2007" s="2"/>
      <c r="K2007" s="2"/>
      <c r="L2007" s="2">
        <v>15324.910000000022</v>
      </c>
      <c r="M2007" t="s">
        <v>4400</v>
      </c>
      <c r="N2007" t="s">
        <v>4401</v>
      </c>
    </row>
    <row r="2008" spans="1:14" x14ac:dyDescent="0.4">
      <c r="A2008" t="s">
        <v>4003</v>
      </c>
      <c r="B2008" t="s">
        <v>4004</v>
      </c>
      <c r="C2008" t="s">
        <v>64</v>
      </c>
      <c r="D2008" t="s">
        <v>1377</v>
      </c>
      <c r="E2008" s="2"/>
      <c r="F2008" s="2">
        <v>844.4</v>
      </c>
      <c r="G2008" s="2"/>
      <c r="H2008" s="2"/>
      <c r="I2008" s="2"/>
      <c r="J2008" s="2"/>
      <c r="K2008" s="2"/>
      <c r="L2008" s="2">
        <v>844.4</v>
      </c>
      <c r="M2008" t="s">
        <v>4412</v>
      </c>
      <c r="N2008" t="s">
        <v>4410</v>
      </c>
    </row>
    <row r="2009" spans="1:14" x14ac:dyDescent="0.4">
      <c r="A2009" t="s">
        <v>4005</v>
      </c>
      <c r="B2009" t="s">
        <v>1981</v>
      </c>
      <c r="C2009" t="s">
        <v>64</v>
      </c>
      <c r="D2009" t="s">
        <v>1033</v>
      </c>
      <c r="E2009" s="2">
        <v>4186.53</v>
      </c>
      <c r="F2009" s="2">
        <v>2477.4799999999996</v>
      </c>
      <c r="G2009" s="2">
        <v>4204.5200000000004</v>
      </c>
      <c r="H2009" s="2">
        <v>2598.2699999999995</v>
      </c>
      <c r="I2009" s="2">
        <v>4692.8200000000006</v>
      </c>
      <c r="J2009" s="2">
        <v>3711.079999999999</v>
      </c>
      <c r="K2009" s="2">
        <v>1824.6999999999996</v>
      </c>
      <c r="L2009" s="2">
        <v>23695.400000000016</v>
      </c>
      <c r="M2009" t="s">
        <v>4400</v>
      </c>
      <c r="N2009" t="s">
        <v>4400</v>
      </c>
    </row>
    <row r="2010" spans="1:14" x14ac:dyDescent="0.4">
      <c r="A2010" t="s">
        <v>4006</v>
      </c>
      <c r="B2010" t="s">
        <v>3468</v>
      </c>
      <c r="C2010" t="s">
        <v>178</v>
      </c>
      <c r="D2010" t="s">
        <v>179</v>
      </c>
      <c r="E2010" s="2"/>
      <c r="F2010" s="2">
        <v>732.05</v>
      </c>
      <c r="G2010" s="2">
        <v>1767.8399999999997</v>
      </c>
      <c r="H2010" s="2"/>
      <c r="I2010" s="2"/>
      <c r="J2010" s="2"/>
      <c r="K2010" s="2"/>
      <c r="L2010" s="2">
        <v>2499.8899999999994</v>
      </c>
      <c r="M2010" t="s">
        <v>4412</v>
      </c>
      <c r="N2010" t="s">
        <v>4403</v>
      </c>
    </row>
    <row r="2011" spans="1:14" x14ac:dyDescent="0.4">
      <c r="A2011" t="s">
        <v>4007</v>
      </c>
      <c r="B2011" t="s">
        <v>3346</v>
      </c>
      <c r="C2011" t="s">
        <v>23</v>
      </c>
      <c r="D2011" t="s">
        <v>3347</v>
      </c>
      <c r="E2011" s="2">
        <v>7441.7</v>
      </c>
      <c r="F2011" s="2">
        <v>6802.9</v>
      </c>
      <c r="G2011" s="2">
        <v>6712.6999999999989</v>
      </c>
      <c r="H2011" s="2">
        <v>7927.6500000000005</v>
      </c>
      <c r="I2011" s="2">
        <v>3007.0499999999997</v>
      </c>
      <c r="J2011" s="2">
        <v>2642.55</v>
      </c>
      <c r="K2011" s="2"/>
      <c r="L2011" s="2">
        <v>34534.550000000003</v>
      </c>
      <c r="M2011" t="s">
        <v>4400</v>
      </c>
      <c r="N2011" t="s">
        <v>4406</v>
      </c>
    </row>
    <row r="2012" spans="1:14" x14ac:dyDescent="0.4">
      <c r="A2012" t="s">
        <v>4008</v>
      </c>
      <c r="B2012" t="s">
        <v>3661</v>
      </c>
      <c r="C2012" t="s">
        <v>35</v>
      </c>
      <c r="D2012" t="s">
        <v>1921</v>
      </c>
      <c r="E2012" s="2">
        <v>5890.4400000000041</v>
      </c>
      <c r="F2012" s="2">
        <v>5656.5700000000015</v>
      </c>
      <c r="G2012" s="2">
        <v>4841.8800000000028</v>
      </c>
      <c r="H2012" s="2">
        <v>4918.9800000000014</v>
      </c>
      <c r="I2012" s="2">
        <v>5157.99</v>
      </c>
      <c r="J2012" s="2">
        <v>5073.1800000000012</v>
      </c>
      <c r="K2012" s="2">
        <v>2295.0099999999993</v>
      </c>
      <c r="L2012" s="2">
        <v>33834.050000000017</v>
      </c>
      <c r="M2012" t="s">
        <v>4400</v>
      </c>
      <c r="N2012" t="s">
        <v>4400</v>
      </c>
    </row>
    <row r="2013" spans="1:14" x14ac:dyDescent="0.4">
      <c r="A2013" t="s">
        <v>4009</v>
      </c>
      <c r="B2013" t="s">
        <v>4010</v>
      </c>
      <c r="C2013" t="s">
        <v>310</v>
      </c>
      <c r="D2013" t="s">
        <v>314</v>
      </c>
      <c r="E2013" s="2">
        <v>732.0100000000001</v>
      </c>
      <c r="F2013" s="2">
        <v>725.96</v>
      </c>
      <c r="G2013" s="2">
        <v>729</v>
      </c>
      <c r="H2013" s="2"/>
      <c r="I2013" s="2"/>
      <c r="J2013" s="2"/>
      <c r="K2013" s="2"/>
      <c r="L2013" s="2">
        <v>2186.9700000000003</v>
      </c>
      <c r="M2013" t="s">
        <v>4400</v>
      </c>
      <c r="N2013" t="s">
        <v>4403</v>
      </c>
    </row>
    <row r="2014" spans="1:14" x14ac:dyDescent="0.4">
      <c r="A2014" t="s">
        <v>4011</v>
      </c>
      <c r="B2014" t="s">
        <v>1981</v>
      </c>
      <c r="C2014" t="s">
        <v>64</v>
      </c>
      <c r="D2014" t="s">
        <v>1033</v>
      </c>
      <c r="E2014" s="2"/>
      <c r="F2014" s="2">
        <v>745.3</v>
      </c>
      <c r="G2014" s="2"/>
      <c r="H2014" s="2"/>
      <c r="I2014" s="2"/>
      <c r="J2014" s="2"/>
      <c r="K2014" s="2">
        <v>786.42</v>
      </c>
      <c r="L2014" s="2">
        <v>1531.72</v>
      </c>
      <c r="M2014" t="s">
        <v>4412</v>
      </c>
      <c r="N2014" t="s">
        <v>4400</v>
      </c>
    </row>
    <row r="2015" spans="1:14" x14ac:dyDescent="0.4">
      <c r="A2015" t="s">
        <v>4012</v>
      </c>
      <c r="B2015" t="s">
        <v>4013</v>
      </c>
      <c r="C2015" t="s">
        <v>64</v>
      </c>
      <c r="D2015" t="s">
        <v>2126</v>
      </c>
      <c r="E2015" s="2"/>
      <c r="F2015" s="2">
        <v>1764.7299999999998</v>
      </c>
      <c r="G2015" s="2">
        <v>962.84999999999991</v>
      </c>
      <c r="H2015" s="2"/>
      <c r="I2015" s="2"/>
      <c r="J2015" s="2"/>
      <c r="K2015" s="2"/>
      <c r="L2015" s="2">
        <v>2727.5799999999995</v>
      </c>
      <c r="M2015" t="s">
        <v>4412</v>
      </c>
      <c r="N2015" t="s">
        <v>4403</v>
      </c>
    </row>
    <row r="2016" spans="1:14" x14ac:dyDescent="0.4">
      <c r="A2016" t="s">
        <v>4014</v>
      </c>
      <c r="B2016" t="s">
        <v>3329</v>
      </c>
      <c r="C2016" t="s">
        <v>303</v>
      </c>
      <c r="D2016" t="s">
        <v>334</v>
      </c>
      <c r="E2016" s="2">
        <v>3535.5099999999993</v>
      </c>
      <c r="F2016" s="2">
        <v>1287.8699999999999</v>
      </c>
      <c r="G2016" s="2">
        <v>2718.4399999999996</v>
      </c>
      <c r="H2016" s="2">
        <v>2542.33</v>
      </c>
      <c r="I2016" s="2">
        <v>2490.6799999999998</v>
      </c>
      <c r="J2016" s="2">
        <v>4619.9199999999973</v>
      </c>
      <c r="K2016" s="2">
        <v>929.44</v>
      </c>
      <c r="L2016" s="2">
        <v>18124.189999999984</v>
      </c>
      <c r="M2016" t="s">
        <v>4400</v>
      </c>
      <c r="N2016" t="s">
        <v>4400</v>
      </c>
    </row>
    <row r="2017" spans="1:14" x14ac:dyDescent="0.4">
      <c r="A2017" t="s">
        <v>4015</v>
      </c>
      <c r="B2017" t="s">
        <v>4016</v>
      </c>
      <c r="C2017" t="s">
        <v>178</v>
      </c>
      <c r="D2017" t="s">
        <v>179</v>
      </c>
      <c r="E2017" s="2">
        <v>5364.0599999999995</v>
      </c>
      <c r="F2017" s="2">
        <v>3083.0099999999998</v>
      </c>
      <c r="G2017" s="2"/>
      <c r="H2017" s="2"/>
      <c r="I2017" s="2"/>
      <c r="J2017" s="2"/>
      <c r="K2017" s="2"/>
      <c r="L2017" s="2">
        <v>8447.0699999999979</v>
      </c>
      <c r="M2017" t="s">
        <v>4400</v>
      </c>
      <c r="N2017" t="s">
        <v>4410</v>
      </c>
    </row>
    <row r="2018" spans="1:14" x14ac:dyDescent="0.4">
      <c r="A2018" t="s">
        <v>4017</v>
      </c>
      <c r="B2018" t="s">
        <v>3221</v>
      </c>
      <c r="C2018" t="s">
        <v>186</v>
      </c>
      <c r="D2018" t="s">
        <v>190</v>
      </c>
      <c r="E2018" s="2"/>
      <c r="F2018" s="2">
        <v>768.46</v>
      </c>
      <c r="G2018" s="2"/>
      <c r="H2018" s="2"/>
      <c r="I2018" s="2"/>
      <c r="J2018" s="2"/>
      <c r="K2018" s="2"/>
      <c r="L2018" s="2">
        <v>768.46</v>
      </c>
      <c r="M2018" t="s">
        <v>4412</v>
      </c>
      <c r="N2018" t="s">
        <v>4410</v>
      </c>
    </row>
    <row r="2019" spans="1:14" x14ac:dyDescent="0.4">
      <c r="A2019" t="s">
        <v>4018</v>
      </c>
      <c r="B2019" t="s">
        <v>3337</v>
      </c>
      <c r="C2019" t="s">
        <v>35</v>
      </c>
      <c r="D2019" t="s">
        <v>1212</v>
      </c>
      <c r="E2019" s="2">
        <v>1959.2199999999998</v>
      </c>
      <c r="F2019" s="2">
        <v>1543.0700000000002</v>
      </c>
      <c r="G2019" s="2">
        <v>1154.25</v>
      </c>
      <c r="H2019" s="2">
        <v>2511.96</v>
      </c>
      <c r="I2019" s="2">
        <v>1953.1</v>
      </c>
      <c r="J2019" s="2">
        <v>1026.6499999999999</v>
      </c>
      <c r="K2019" s="2"/>
      <c r="L2019" s="2">
        <v>10148.25</v>
      </c>
      <c r="M2019" t="s">
        <v>4400</v>
      </c>
      <c r="N2019" t="s">
        <v>4406</v>
      </c>
    </row>
    <row r="2020" spans="1:14" x14ac:dyDescent="0.4">
      <c r="A2020" t="s">
        <v>4019</v>
      </c>
      <c r="B2020" t="s">
        <v>4020</v>
      </c>
      <c r="C2020" t="s">
        <v>123</v>
      </c>
      <c r="D2020" t="s">
        <v>129</v>
      </c>
      <c r="E2020" s="2">
        <v>5296.7699999999995</v>
      </c>
      <c r="F2020" s="2">
        <v>2778.1699999999992</v>
      </c>
      <c r="G2020" s="2">
        <v>3986.0699999999993</v>
      </c>
      <c r="H2020" s="2">
        <v>4980.6600000000008</v>
      </c>
      <c r="I2020" s="2">
        <v>2415.7999999999997</v>
      </c>
      <c r="J2020" s="2">
        <v>2670.23</v>
      </c>
      <c r="K2020" s="2">
        <v>2127.9599999999996</v>
      </c>
      <c r="L2020" s="2">
        <v>24255.660000000011</v>
      </c>
      <c r="M2020" t="s">
        <v>4400</v>
      </c>
      <c r="N2020" t="s">
        <v>4400</v>
      </c>
    </row>
    <row r="2021" spans="1:14" x14ac:dyDescent="0.4">
      <c r="A2021" t="s">
        <v>4021</v>
      </c>
      <c r="B2021" t="s">
        <v>4022</v>
      </c>
      <c r="C2021" t="s">
        <v>64</v>
      </c>
      <c r="D2021" t="s">
        <v>2778</v>
      </c>
      <c r="E2021" s="2">
        <v>1145.0999999999999</v>
      </c>
      <c r="F2021" s="2">
        <v>1840.7099999999998</v>
      </c>
      <c r="G2021" s="2"/>
      <c r="H2021" s="2">
        <v>893.02</v>
      </c>
      <c r="I2021" s="2"/>
      <c r="J2021" s="2">
        <v>865.64999999999986</v>
      </c>
      <c r="K2021" s="2">
        <v>865.64999999999986</v>
      </c>
      <c r="L2021" s="2">
        <v>5610.130000000001</v>
      </c>
      <c r="M2021" t="s">
        <v>4400</v>
      </c>
      <c r="N2021" t="s">
        <v>4400</v>
      </c>
    </row>
    <row r="2022" spans="1:14" x14ac:dyDescent="0.4">
      <c r="A2022" t="s">
        <v>4023</v>
      </c>
      <c r="B2022" t="s">
        <v>2652</v>
      </c>
      <c r="C2022" t="s">
        <v>9</v>
      </c>
      <c r="D2022" t="s">
        <v>45</v>
      </c>
      <c r="E2022" s="2"/>
      <c r="F2022" s="2"/>
      <c r="G2022" s="2"/>
      <c r="H2022" s="2">
        <v>1464.8999999999999</v>
      </c>
      <c r="I2022" s="2">
        <v>1454.62</v>
      </c>
      <c r="J2022" s="2">
        <v>1490.6</v>
      </c>
      <c r="K2022" s="2">
        <v>729.88</v>
      </c>
      <c r="L2022" s="2">
        <v>5140.0000000000009</v>
      </c>
      <c r="M2022" t="s">
        <v>4409</v>
      </c>
      <c r="N2022" t="s">
        <v>4400</v>
      </c>
    </row>
    <row r="2023" spans="1:14" x14ac:dyDescent="0.4">
      <c r="A2023" t="s">
        <v>4024</v>
      </c>
      <c r="B2023" t="s">
        <v>1769</v>
      </c>
      <c r="C2023" t="s">
        <v>113</v>
      </c>
      <c r="D2023" t="s">
        <v>1087</v>
      </c>
      <c r="E2023" s="2">
        <v>3243.3399999999988</v>
      </c>
      <c r="F2023" s="2">
        <v>2988.9099999999985</v>
      </c>
      <c r="G2023" s="2">
        <v>3112.2699999999986</v>
      </c>
      <c r="H2023" s="2">
        <v>5160.5600000000022</v>
      </c>
      <c r="I2023" s="2">
        <v>3932.0999999999985</v>
      </c>
      <c r="J2023" s="2">
        <v>3523.4699999999984</v>
      </c>
      <c r="K2023" s="2">
        <v>1914.6499999999994</v>
      </c>
      <c r="L2023" s="2">
        <v>23875.300000000054</v>
      </c>
      <c r="M2023" t="s">
        <v>4400</v>
      </c>
      <c r="N2023" t="s">
        <v>4400</v>
      </c>
    </row>
    <row r="2024" spans="1:14" x14ac:dyDescent="0.4">
      <c r="A2024" t="s">
        <v>4025</v>
      </c>
      <c r="B2024" t="s">
        <v>4026</v>
      </c>
      <c r="C2024" t="s">
        <v>1</v>
      </c>
      <c r="D2024" t="s">
        <v>507</v>
      </c>
      <c r="E2024" s="2">
        <v>1123.83</v>
      </c>
      <c r="F2024" s="2"/>
      <c r="G2024" s="2"/>
      <c r="H2024" s="2"/>
      <c r="I2024" s="2"/>
      <c r="J2024" s="2"/>
      <c r="K2024" s="2"/>
      <c r="L2024" s="2">
        <v>1123.83</v>
      </c>
      <c r="M2024" t="s">
        <v>4400</v>
      </c>
      <c r="N2024" t="s">
        <v>4407</v>
      </c>
    </row>
    <row r="2025" spans="1:14" x14ac:dyDescent="0.4">
      <c r="A2025" t="s">
        <v>4027</v>
      </c>
      <c r="B2025" t="s">
        <v>2878</v>
      </c>
      <c r="C2025" t="s">
        <v>113</v>
      </c>
      <c r="D2025" t="s">
        <v>114</v>
      </c>
      <c r="E2025" s="2">
        <v>7293.6600000000017</v>
      </c>
      <c r="F2025" s="2">
        <v>4520.6299999999992</v>
      </c>
      <c r="G2025" s="2">
        <v>4284.1899999999996</v>
      </c>
      <c r="H2025" s="2">
        <v>3320.4399999999996</v>
      </c>
      <c r="I2025" s="2">
        <v>4022.0499999999997</v>
      </c>
      <c r="J2025" s="2">
        <v>3392.3999999999996</v>
      </c>
      <c r="K2025" s="2">
        <v>1832.41</v>
      </c>
      <c r="L2025" s="2">
        <v>28665.780000000024</v>
      </c>
      <c r="M2025" t="s">
        <v>4400</v>
      </c>
      <c r="N2025" t="s">
        <v>4400</v>
      </c>
    </row>
    <row r="2026" spans="1:14" x14ac:dyDescent="0.4">
      <c r="A2026" t="s">
        <v>4028</v>
      </c>
      <c r="B2026" t="s">
        <v>4029</v>
      </c>
      <c r="C2026" t="s">
        <v>258</v>
      </c>
      <c r="D2026" t="s">
        <v>259</v>
      </c>
      <c r="E2026" s="2">
        <v>5137.4299999999985</v>
      </c>
      <c r="F2026" s="2">
        <v>3837.0099999999998</v>
      </c>
      <c r="G2026" s="2">
        <v>4569.4599999999991</v>
      </c>
      <c r="H2026" s="2">
        <v>4536.0499999999993</v>
      </c>
      <c r="I2026" s="2">
        <v>5530.64</v>
      </c>
      <c r="J2026" s="2">
        <v>4320.1699999999992</v>
      </c>
      <c r="K2026" s="2">
        <v>2066.2799999999997</v>
      </c>
      <c r="L2026" s="2">
        <v>29997.039999999986</v>
      </c>
      <c r="M2026" t="s">
        <v>4400</v>
      </c>
      <c r="N2026" t="s">
        <v>4400</v>
      </c>
    </row>
    <row r="2027" spans="1:14" x14ac:dyDescent="0.4">
      <c r="A2027" t="s">
        <v>4030</v>
      </c>
      <c r="B2027" t="s">
        <v>1816</v>
      </c>
      <c r="C2027" t="s">
        <v>35</v>
      </c>
      <c r="D2027" t="s">
        <v>1712</v>
      </c>
      <c r="E2027" s="2">
        <v>1661.45</v>
      </c>
      <c r="F2027" s="2">
        <v>1719.1899999999996</v>
      </c>
      <c r="G2027" s="2">
        <v>2320.5900000000006</v>
      </c>
      <c r="H2027" s="2">
        <v>1615.9199999999998</v>
      </c>
      <c r="I2027" s="2">
        <v>1986.4599999999998</v>
      </c>
      <c r="J2027" s="2">
        <v>1786.01</v>
      </c>
      <c r="K2027" s="2">
        <v>1761.7199999999998</v>
      </c>
      <c r="L2027" s="2">
        <v>12851.339999999989</v>
      </c>
      <c r="M2027" t="s">
        <v>4400</v>
      </c>
      <c r="N2027" t="s">
        <v>4400</v>
      </c>
    </row>
    <row r="2028" spans="1:14" x14ac:dyDescent="0.4">
      <c r="A2028" t="s">
        <v>4031</v>
      </c>
      <c r="B2028" t="s">
        <v>4032</v>
      </c>
      <c r="C2028" t="s">
        <v>78</v>
      </c>
      <c r="D2028" t="s">
        <v>1240</v>
      </c>
      <c r="E2028" s="2"/>
      <c r="F2028" s="2">
        <v>2196.09</v>
      </c>
      <c r="G2028" s="2">
        <v>735.07</v>
      </c>
      <c r="H2028" s="2">
        <v>2302.3999999999996</v>
      </c>
      <c r="I2028" s="2">
        <v>3040.5</v>
      </c>
      <c r="J2028" s="2">
        <v>3122.5300000000007</v>
      </c>
      <c r="K2028" s="2">
        <v>789.75</v>
      </c>
      <c r="L2028" s="2">
        <v>12186.339999999989</v>
      </c>
      <c r="M2028" t="s">
        <v>4412</v>
      </c>
      <c r="N2028" t="s">
        <v>4400</v>
      </c>
    </row>
    <row r="2029" spans="1:14" x14ac:dyDescent="0.4">
      <c r="A2029" t="s">
        <v>4033</v>
      </c>
      <c r="B2029" t="s">
        <v>3044</v>
      </c>
      <c r="C2029" t="s">
        <v>113</v>
      </c>
      <c r="D2029" t="s">
        <v>117</v>
      </c>
      <c r="E2029" s="2">
        <v>735.04</v>
      </c>
      <c r="F2029" s="2">
        <v>735.02</v>
      </c>
      <c r="G2029" s="2">
        <v>801.83999999999992</v>
      </c>
      <c r="H2029" s="2">
        <v>911.18</v>
      </c>
      <c r="I2029" s="2"/>
      <c r="J2029" s="2">
        <v>795.78</v>
      </c>
      <c r="K2029" s="2"/>
      <c r="L2029" s="2">
        <v>3978.8599999999988</v>
      </c>
      <c r="M2029" t="s">
        <v>4400</v>
      </c>
      <c r="N2029" t="s">
        <v>4406</v>
      </c>
    </row>
    <row r="2030" spans="1:14" x14ac:dyDescent="0.4">
      <c r="A2030" t="s">
        <v>4034</v>
      </c>
      <c r="B2030" t="s">
        <v>2650</v>
      </c>
      <c r="C2030" t="s">
        <v>64</v>
      </c>
      <c r="D2030" t="s">
        <v>1560</v>
      </c>
      <c r="E2030" s="2">
        <v>744.15</v>
      </c>
      <c r="F2030" s="2"/>
      <c r="G2030" s="2"/>
      <c r="H2030" s="2"/>
      <c r="I2030" s="2">
        <v>841.37</v>
      </c>
      <c r="J2030" s="2"/>
      <c r="K2030" s="2"/>
      <c r="L2030" s="2">
        <v>1585.5199999999998</v>
      </c>
      <c r="M2030" t="s">
        <v>4400</v>
      </c>
      <c r="N2030" t="s">
        <v>4401</v>
      </c>
    </row>
    <row r="2031" spans="1:14" x14ac:dyDescent="0.4">
      <c r="A2031" t="s">
        <v>4035</v>
      </c>
      <c r="B2031" t="s">
        <v>4036</v>
      </c>
      <c r="C2031" t="s">
        <v>258</v>
      </c>
      <c r="D2031" t="s">
        <v>259</v>
      </c>
      <c r="E2031" s="2">
        <v>2396.5400000000004</v>
      </c>
      <c r="F2031" s="2">
        <v>2290.2199999999998</v>
      </c>
      <c r="G2031" s="2">
        <v>2189.98</v>
      </c>
      <c r="H2031" s="2">
        <v>3034.3899999999994</v>
      </c>
      <c r="I2031" s="2">
        <v>3860.5699999999997</v>
      </c>
      <c r="J2031" s="2">
        <v>3420.1700000000005</v>
      </c>
      <c r="K2031" s="2">
        <v>1764.7599999999998</v>
      </c>
      <c r="L2031" s="2">
        <v>18956.629999999997</v>
      </c>
      <c r="M2031" t="s">
        <v>4400</v>
      </c>
      <c r="N2031" t="s">
        <v>4400</v>
      </c>
    </row>
    <row r="2032" spans="1:14" x14ac:dyDescent="0.4">
      <c r="A2032" t="s">
        <v>4037</v>
      </c>
      <c r="B2032" t="s">
        <v>4038</v>
      </c>
      <c r="C2032" t="s">
        <v>542</v>
      </c>
      <c r="D2032" t="s">
        <v>1800</v>
      </c>
      <c r="E2032" s="2">
        <v>789.74</v>
      </c>
      <c r="F2032" s="2">
        <v>2247.7399999999998</v>
      </c>
      <c r="G2032" s="2">
        <v>3307.8499999999995</v>
      </c>
      <c r="H2032" s="2">
        <v>3411.1099999999992</v>
      </c>
      <c r="I2032" s="2">
        <v>2618.3200000000002</v>
      </c>
      <c r="J2032" s="2">
        <v>3657.1399999999985</v>
      </c>
      <c r="K2032" s="2">
        <v>1852.86</v>
      </c>
      <c r="L2032" s="2">
        <v>17884.760000000006</v>
      </c>
      <c r="M2032" t="s">
        <v>4400</v>
      </c>
      <c r="N2032" t="s">
        <v>4400</v>
      </c>
    </row>
    <row r="2033" spans="1:14" x14ac:dyDescent="0.4">
      <c r="A2033" t="s">
        <v>4039</v>
      </c>
      <c r="B2033" t="s">
        <v>4040</v>
      </c>
      <c r="C2033" t="s">
        <v>35</v>
      </c>
      <c r="D2033" t="s">
        <v>36</v>
      </c>
      <c r="E2033" s="2"/>
      <c r="F2033" s="2"/>
      <c r="G2033" s="2"/>
      <c r="H2033" s="2">
        <v>1428.9199999999998</v>
      </c>
      <c r="I2033" s="2">
        <v>2243.6099999999997</v>
      </c>
      <c r="J2033" s="2"/>
      <c r="K2033" s="2">
        <v>863.52</v>
      </c>
      <c r="L2033" s="2">
        <v>4536.05</v>
      </c>
      <c r="M2033" t="s">
        <v>4409</v>
      </c>
      <c r="N2033" t="s">
        <v>4400</v>
      </c>
    </row>
    <row r="2034" spans="1:14" x14ac:dyDescent="0.4">
      <c r="A2034" t="s">
        <v>4041</v>
      </c>
      <c r="B2034" t="s">
        <v>81</v>
      </c>
      <c r="C2034" t="s">
        <v>1</v>
      </c>
      <c r="D2034" t="s">
        <v>82</v>
      </c>
      <c r="E2034" s="2">
        <v>3618.5599999999995</v>
      </c>
      <c r="F2034" s="2">
        <v>3618.5599999999995</v>
      </c>
      <c r="G2034" s="2">
        <v>3595.4299999999985</v>
      </c>
      <c r="H2034" s="2">
        <v>4898.420000000001</v>
      </c>
      <c r="I2034" s="2">
        <v>3587.7199999999984</v>
      </c>
      <c r="J2034" s="2">
        <v>4117.1399999999994</v>
      </c>
      <c r="K2034" s="2">
        <v>2058.5699999999997</v>
      </c>
      <c r="L2034" s="2">
        <v>25494.400000000012</v>
      </c>
      <c r="M2034" t="s">
        <v>4400</v>
      </c>
      <c r="N2034" t="s">
        <v>4400</v>
      </c>
    </row>
    <row r="2035" spans="1:14" x14ac:dyDescent="0.4">
      <c r="A2035" t="s">
        <v>4042</v>
      </c>
      <c r="B2035" t="s">
        <v>2810</v>
      </c>
      <c r="C2035" t="s">
        <v>163</v>
      </c>
      <c r="D2035" t="s">
        <v>2811</v>
      </c>
      <c r="E2035" s="2">
        <v>760.7199999999998</v>
      </c>
      <c r="F2035" s="2">
        <v>1472.61</v>
      </c>
      <c r="G2035" s="2">
        <v>1647.3699999999994</v>
      </c>
      <c r="H2035" s="2">
        <v>2243.6099999999992</v>
      </c>
      <c r="I2035" s="2">
        <v>3783.0399999999991</v>
      </c>
      <c r="J2035" s="2">
        <v>3112.2700000000009</v>
      </c>
      <c r="K2035" s="2">
        <v>1567.7</v>
      </c>
      <c r="L2035" s="2">
        <v>14587.320000000031</v>
      </c>
      <c r="M2035" t="s">
        <v>4400</v>
      </c>
      <c r="N2035" t="s">
        <v>4400</v>
      </c>
    </row>
    <row r="2036" spans="1:14" x14ac:dyDescent="0.4">
      <c r="A2036" t="s">
        <v>4043</v>
      </c>
      <c r="B2036" t="s">
        <v>4044</v>
      </c>
      <c r="C2036" t="s">
        <v>27</v>
      </c>
      <c r="D2036" t="s">
        <v>28</v>
      </c>
      <c r="E2036" s="2">
        <v>896.93</v>
      </c>
      <c r="F2036" s="2">
        <v>765.86000000000013</v>
      </c>
      <c r="G2036" s="2"/>
      <c r="H2036" s="2"/>
      <c r="I2036" s="2"/>
      <c r="J2036" s="2"/>
      <c r="K2036" s="2"/>
      <c r="L2036" s="2">
        <v>1662.79</v>
      </c>
      <c r="M2036" t="s">
        <v>4400</v>
      </c>
      <c r="N2036" t="s">
        <v>4410</v>
      </c>
    </row>
    <row r="2037" spans="1:14" x14ac:dyDescent="0.4">
      <c r="A2037" t="s">
        <v>4045</v>
      </c>
      <c r="B2037" t="s">
        <v>4046</v>
      </c>
      <c r="C2037" t="s">
        <v>78</v>
      </c>
      <c r="D2037" t="s">
        <v>841</v>
      </c>
      <c r="E2037" s="2">
        <v>1032.72</v>
      </c>
      <c r="F2037" s="2">
        <v>1075.25</v>
      </c>
      <c r="G2037" s="2"/>
      <c r="H2037" s="2">
        <v>1962.15</v>
      </c>
      <c r="I2037" s="2">
        <v>1072.21</v>
      </c>
      <c r="J2037" s="2">
        <v>2032.05</v>
      </c>
      <c r="K2037" s="2">
        <v>999.30000000000007</v>
      </c>
      <c r="L2037" s="2">
        <v>8173.6799999999985</v>
      </c>
      <c r="M2037" t="s">
        <v>4400</v>
      </c>
      <c r="N2037" t="s">
        <v>4400</v>
      </c>
    </row>
    <row r="2038" spans="1:14" x14ac:dyDescent="0.4">
      <c r="A2038" t="s">
        <v>4047</v>
      </c>
      <c r="B2038" t="s">
        <v>3331</v>
      </c>
      <c r="C2038" t="s">
        <v>64</v>
      </c>
      <c r="D2038" t="s">
        <v>2684</v>
      </c>
      <c r="E2038" s="2"/>
      <c r="F2038" s="2"/>
      <c r="G2038" s="2"/>
      <c r="H2038" s="2"/>
      <c r="I2038" s="2">
        <v>859.59999999999991</v>
      </c>
      <c r="J2038" s="2">
        <v>1804.2300000000002</v>
      </c>
      <c r="K2038" s="2"/>
      <c r="L2038" s="2">
        <v>2663.83</v>
      </c>
      <c r="M2038" t="s">
        <v>4408</v>
      </c>
      <c r="N2038" t="s">
        <v>4406</v>
      </c>
    </row>
    <row r="2039" spans="1:14" x14ac:dyDescent="0.4">
      <c r="A2039" t="s">
        <v>4048</v>
      </c>
      <c r="B2039" t="s">
        <v>3872</v>
      </c>
      <c r="C2039" t="s">
        <v>64</v>
      </c>
      <c r="D2039" t="s">
        <v>1560</v>
      </c>
      <c r="E2039" s="2">
        <v>763.29</v>
      </c>
      <c r="F2039" s="2">
        <v>850.67</v>
      </c>
      <c r="G2039" s="2">
        <v>719.6</v>
      </c>
      <c r="H2039" s="2">
        <v>1148.79</v>
      </c>
      <c r="I2039" s="2">
        <v>912.34999999999991</v>
      </c>
      <c r="J2039" s="2">
        <v>896.93</v>
      </c>
      <c r="K2039" s="2">
        <v>1056.27</v>
      </c>
      <c r="L2039" s="2">
        <v>6347.9000000000033</v>
      </c>
      <c r="M2039" t="s">
        <v>4400</v>
      </c>
      <c r="N2039" t="s">
        <v>4400</v>
      </c>
    </row>
    <row r="2040" spans="1:14" x14ac:dyDescent="0.4">
      <c r="A2040" t="s">
        <v>4049</v>
      </c>
      <c r="B2040" t="s">
        <v>4050</v>
      </c>
      <c r="C2040" t="s">
        <v>35</v>
      </c>
      <c r="D2040" t="s">
        <v>36</v>
      </c>
      <c r="E2040" s="2">
        <v>7423.5400000000009</v>
      </c>
      <c r="F2040" s="2">
        <v>5394.45</v>
      </c>
      <c r="G2040" s="2">
        <v>4534.9000000000005</v>
      </c>
      <c r="H2040" s="2">
        <v>4668.5400000000009</v>
      </c>
      <c r="I2040" s="2">
        <v>5087.67</v>
      </c>
      <c r="J2040" s="2">
        <v>4115.7</v>
      </c>
      <c r="K2040" s="2">
        <v>2068.4899999999998</v>
      </c>
      <c r="L2040" s="2">
        <v>33293.289999999957</v>
      </c>
      <c r="M2040" t="s">
        <v>4400</v>
      </c>
      <c r="N2040" t="s">
        <v>4400</v>
      </c>
    </row>
    <row r="2041" spans="1:14" x14ac:dyDescent="0.4">
      <c r="A2041" t="s">
        <v>4051</v>
      </c>
      <c r="B2041" t="s">
        <v>3056</v>
      </c>
      <c r="C2041" t="s">
        <v>64</v>
      </c>
      <c r="D2041" t="s">
        <v>71</v>
      </c>
      <c r="E2041" s="2">
        <v>829.20999999999981</v>
      </c>
      <c r="F2041" s="2">
        <v>1561.22</v>
      </c>
      <c r="G2041" s="2">
        <v>735.05</v>
      </c>
      <c r="H2041" s="2">
        <v>756.28999999999985</v>
      </c>
      <c r="I2041" s="2">
        <v>1995.5600000000004</v>
      </c>
      <c r="J2041" s="2">
        <v>1242.28</v>
      </c>
      <c r="K2041" s="2"/>
      <c r="L2041" s="2">
        <v>7119.6099999999933</v>
      </c>
      <c r="M2041" t="s">
        <v>4400</v>
      </c>
      <c r="N2041" t="s">
        <v>4406</v>
      </c>
    </row>
    <row r="2042" spans="1:14" x14ac:dyDescent="0.4">
      <c r="A2042" t="s">
        <v>4052</v>
      </c>
      <c r="B2042" t="s">
        <v>995</v>
      </c>
      <c r="C2042" t="s">
        <v>251</v>
      </c>
      <c r="D2042" t="s">
        <v>252</v>
      </c>
      <c r="E2042" s="2">
        <v>3444.38</v>
      </c>
      <c r="F2042" s="2">
        <v>3972.91</v>
      </c>
      <c r="G2042" s="2">
        <v>4422.4199999999992</v>
      </c>
      <c r="H2042" s="2">
        <v>3945.51</v>
      </c>
      <c r="I2042" s="2">
        <v>3675.2000000000003</v>
      </c>
      <c r="J2042" s="2">
        <v>4659.32</v>
      </c>
      <c r="K2042" s="2">
        <v>1874.0499999999997</v>
      </c>
      <c r="L2042" s="2">
        <v>25993.789999999964</v>
      </c>
      <c r="M2042" t="s">
        <v>4400</v>
      </c>
      <c r="N2042" t="s">
        <v>4400</v>
      </c>
    </row>
    <row r="2043" spans="1:14" x14ac:dyDescent="0.4">
      <c r="A2043" t="s">
        <v>4053</v>
      </c>
      <c r="B2043" t="s">
        <v>4054</v>
      </c>
      <c r="C2043" t="s">
        <v>113</v>
      </c>
      <c r="D2043" t="s">
        <v>117</v>
      </c>
      <c r="E2043" s="2"/>
      <c r="F2043" s="2"/>
      <c r="G2043" s="2"/>
      <c r="H2043" s="2"/>
      <c r="I2043" s="2"/>
      <c r="J2043" s="2">
        <v>744.2</v>
      </c>
      <c r="K2043" s="2"/>
      <c r="L2043" s="2">
        <v>744.2</v>
      </c>
      <c r="M2043" t="s">
        <v>4405</v>
      </c>
      <c r="N2043" t="s">
        <v>4406</v>
      </c>
    </row>
    <row r="2044" spans="1:14" x14ac:dyDescent="0.4">
      <c r="A2044" t="s">
        <v>4055</v>
      </c>
      <c r="B2044" t="s">
        <v>4056</v>
      </c>
      <c r="C2044" t="s">
        <v>64</v>
      </c>
      <c r="D2044" t="s">
        <v>1427</v>
      </c>
      <c r="E2044" s="2">
        <v>2296.2299999999996</v>
      </c>
      <c r="F2044" s="2">
        <v>2545.27</v>
      </c>
      <c r="G2044" s="2">
        <v>2645.52</v>
      </c>
      <c r="H2044" s="2">
        <v>1877.0800000000004</v>
      </c>
      <c r="I2044" s="2">
        <v>3438.2099999999996</v>
      </c>
      <c r="J2044" s="2">
        <v>2180.7899999999995</v>
      </c>
      <c r="K2044" s="2"/>
      <c r="L2044" s="2">
        <v>14983.099999999984</v>
      </c>
      <c r="M2044" t="s">
        <v>4400</v>
      </c>
      <c r="N2044" t="s">
        <v>4406</v>
      </c>
    </row>
    <row r="2045" spans="1:14" x14ac:dyDescent="0.4">
      <c r="A2045" t="s">
        <v>4057</v>
      </c>
      <c r="B2045" t="s">
        <v>1981</v>
      </c>
      <c r="C2045" t="s">
        <v>1</v>
      </c>
      <c r="D2045" t="s">
        <v>1030</v>
      </c>
      <c r="E2045" s="2">
        <v>2924.6599999999994</v>
      </c>
      <c r="F2045" s="2">
        <v>3109.7</v>
      </c>
      <c r="G2045" s="2">
        <v>2595.6999999999998</v>
      </c>
      <c r="H2045" s="2">
        <v>3824.1599999999985</v>
      </c>
      <c r="I2045" s="2">
        <v>3243.3399999999992</v>
      </c>
      <c r="J2045" s="2">
        <v>3896.119999999999</v>
      </c>
      <c r="K2045" s="2">
        <v>2341.2699999999991</v>
      </c>
      <c r="L2045" s="2">
        <v>21934.950000000048</v>
      </c>
      <c r="M2045" t="s">
        <v>4400</v>
      </c>
      <c r="N2045" t="s">
        <v>4400</v>
      </c>
    </row>
    <row r="2046" spans="1:14" x14ac:dyDescent="0.4">
      <c r="A2046" t="s">
        <v>4058</v>
      </c>
      <c r="B2046" t="s">
        <v>4059</v>
      </c>
      <c r="C2046" t="s">
        <v>31</v>
      </c>
      <c r="D2046" t="s">
        <v>591</v>
      </c>
      <c r="E2046" s="2">
        <v>6283.6500000000005</v>
      </c>
      <c r="F2046" s="2">
        <v>3919.2499999999991</v>
      </c>
      <c r="G2046" s="2">
        <v>4399.8399999999992</v>
      </c>
      <c r="H2046" s="2">
        <v>4546.33</v>
      </c>
      <c r="I2046" s="2">
        <v>5887.8699999999981</v>
      </c>
      <c r="J2046" s="2">
        <v>4723.6599999999989</v>
      </c>
      <c r="K2046" s="2">
        <v>2264.1699999999992</v>
      </c>
      <c r="L2046" s="2">
        <v>32024.77000000007</v>
      </c>
      <c r="M2046" t="s">
        <v>4400</v>
      </c>
      <c r="N2046" t="s">
        <v>4400</v>
      </c>
    </row>
    <row r="2047" spans="1:14" x14ac:dyDescent="0.4">
      <c r="A2047" t="s">
        <v>4060</v>
      </c>
      <c r="B2047" t="s">
        <v>4061</v>
      </c>
      <c r="C2047" t="s">
        <v>64</v>
      </c>
      <c r="D2047" t="s">
        <v>645</v>
      </c>
      <c r="E2047" s="2">
        <v>3815.0000000000005</v>
      </c>
      <c r="F2047" s="2">
        <v>1281.79</v>
      </c>
      <c r="G2047" s="2">
        <v>4042.7599999999993</v>
      </c>
      <c r="H2047" s="2">
        <v>4759.5600000000004</v>
      </c>
      <c r="I2047" s="2">
        <v>3997.1600000000008</v>
      </c>
      <c r="J2047" s="2">
        <v>6724.7300000000014</v>
      </c>
      <c r="K2047" s="2">
        <v>1649.31</v>
      </c>
      <c r="L2047" s="2">
        <v>26270.310000000009</v>
      </c>
      <c r="M2047" t="s">
        <v>4400</v>
      </c>
      <c r="N2047" t="s">
        <v>4400</v>
      </c>
    </row>
    <row r="2048" spans="1:14" x14ac:dyDescent="0.4">
      <c r="A2048" t="s">
        <v>4062</v>
      </c>
      <c r="B2048" t="s">
        <v>3802</v>
      </c>
      <c r="C2048" t="s">
        <v>113</v>
      </c>
      <c r="D2048" t="s">
        <v>114</v>
      </c>
      <c r="E2048" s="2">
        <v>1559.9899999999998</v>
      </c>
      <c r="F2048" s="2"/>
      <c r="G2048" s="2">
        <v>801.83999999999992</v>
      </c>
      <c r="H2048" s="2">
        <v>755.57999999999993</v>
      </c>
      <c r="I2048" s="2">
        <v>812.11999999999978</v>
      </c>
      <c r="J2048" s="2"/>
      <c r="K2048" s="2"/>
      <c r="L2048" s="2">
        <v>3929.5299999999997</v>
      </c>
      <c r="M2048" t="s">
        <v>4400</v>
      </c>
      <c r="N2048" t="s">
        <v>4401</v>
      </c>
    </row>
    <row r="2049" spans="1:14" x14ac:dyDescent="0.4">
      <c r="A2049" t="s">
        <v>4063</v>
      </c>
      <c r="B2049" t="s">
        <v>4064</v>
      </c>
      <c r="C2049" t="s">
        <v>279</v>
      </c>
      <c r="D2049" t="s">
        <v>596</v>
      </c>
      <c r="E2049" s="2">
        <v>780.62</v>
      </c>
      <c r="F2049" s="2"/>
      <c r="G2049" s="2"/>
      <c r="H2049" s="2"/>
      <c r="I2049" s="2"/>
      <c r="J2049" s="2"/>
      <c r="K2049" s="2"/>
      <c r="L2049" s="2">
        <v>780.62</v>
      </c>
      <c r="M2049" t="s">
        <v>4400</v>
      </c>
      <c r="N2049" t="s">
        <v>4407</v>
      </c>
    </row>
    <row r="2050" spans="1:14" x14ac:dyDescent="0.4">
      <c r="A2050" t="s">
        <v>4065</v>
      </c>
      <c r="B2050" t="s">
        <v>1804</v>
      </c>
      <c r="C2050" t="s">
        <v>220</v>
      </c>
      <c r="D2050" t="s">
        <v>2302</v>
      </c>
      <c r="E2050" s="2">
        <v>3095.099999999999</v>
      </c>
      <c r="F2050" s="2">
        <v>2214.2899999999995</v>
      </c>
      <c r="G2050" s="2"/>
      <c r="H2050" s="2"/>
      <c r="I2050" s="2"/>
      <c r="J2050" s="2"/>
      <c r="K2050" s="2"/>
      <c r="L2050" s="2">
        <v>5309.3899999999994</v>
      </c>
      <c r="M2050" t="s">
        <v>4400</v>
      </c>
      <c r="N2050" t="s">
        <v>4410</v>
      </c>
    </row>
    <row r="2051" spans="1:14" x14ac:dyDescent="0.4">
      <c r="A2051" t="s">
        <v>4066</v>
      </c>
      <c r="B2051" t="s">
        <v>3826</v>
      </c>
      <c r="C2051" t="s">
        <v>279</v>
      </c>
      <c r="D2051" t="s">
        <v>280</v>
      </c>
      <c r="E2051" s="2">
        <v>2499.7999999999997</v>
      </c>
      <c r="F2051" s="2">
        <v>2499.8099999999995</v>
      </c>
      <c r="G2051" s="2">
        <v>959.83999999999992</v>
      </c>
      <c r="H2051" s="2">
        <v>1436.7000000000003</v>
      </c>
      <c r="I2051" s="2">
        <v>2001.6599999999999</v>
      </c>
      <c r="J2051" s="2">
        <v>2050.2600000000002</v>
      </c>
      <c r="K2051" s="2">
        <v>999.31999999999982</v>
      </c>
      <c r="L2051" s="2">
        <v>12447.389999999998</v>
      </c>
      <c r="M2051" t="s">
        <v>4400</v>
      </c>
      <c r="N2051" t="s">
        <v>4400</v>
      </c>
    </row>
    <row r="2052" spans="1:14" x14ac:dyDescent="0.4">
      <c r="A2052" t="s">
        <v>4067</v>
      </c>
      <c r="B2052" t="s">
        <v>4068</v>
      </c>
      <c r="C2052" t="s">
        <v>423</v>
      </c>
      <c r="D2052" t="s">
        <v>424</v>
      </c>
      <c r="E2052" s="2">
        <v>3274.3999999999987</v>
      </c>
      <c r="F2052" s="2">
        <v>3371.61</v>
      </c>
      <c r="G2052" s="2">
        <v>1646.32</v>
      </c>
      <c r="H2052" s="2"/>
      <c r="I2052" s="2"/>
      <c r="J2052" s="2"/>
      <c r="K2052" s="2"/>
      <c r="L2052" s="2">
        <v>8292.3300000000017</v>
      </c>
      <c r="M2052" t="s">
        <v>4400</v>
      </c>
      <c r="N2052" t="s">
        <v>4403</v>
      </c>
    </row>
    <row r="2053" spans="1:14" x14ac:dyDescent="0.4">
      <c r="A2053" t="s">
        <v>4069</v>
      </c>
      <c r="B2053" t="s">
        <v>4070</v>
      </c>
      <c r="C2053" t="s">
        <v>433</v>
      </c>
      <c r="D2053" t="s">
        <v>1174</v>
      </c>
      <c r="E2053" s="2">
        <v>14509.749999999996</v>
      </c>
      <c r="F2053" s="2">
        <v>12772.149999999998</v>
      </c>
      <c r="G2053" s="2">
        <v>11624.34</v>
      </c>
      <c r="H2053" s="2">
        <v>7147.0499999999993</v>
      </c>
      <c r="I2053" s="2">
        <v>9534.6399999999976</v>
      </c>
      <c r="J2053" s="2">
        <v>8565.6000000000022</v>
      </c>
      <c r="K2053" s="2">
        <v>4941.9199999999992</v>
      </c>
      <c r="L2053" s="2">
        <v>69095.450000000099</v>
      </c>
      <c r="M2053" t="s">
        <v>4400</v>
      </c>
      <c r="N2053" t="s">
        <v>4400</v>
      </c>
    </row>
    <row r="2054" spans="1:14" x14ac:dyDescent="0.4">
      <c r="A2054" t="s">
        <v>4071</v>
      </c>
      <c r="B2054" t="s">
        <v>1837</v>
      </c>
      <c r="C2054" t="s">
        <v>423</v>
      </c>
      <c r="D2054" t="s">
        <v>424</v>
      </c>
      <c r="E2054" s="2">
        <v>2970.4899999999989</v>
      </c>
      <c r="F2054" s="2">
        <v>3003.8899999999994</v>
      </c>
      <c r="G2054" s="2">
        <v>4349.5</v>
      </c>
      <c r="H2054" s="2">
        <v>5421.69</v>
      </c>
      <c r="I2054" s="2">
        <v>6348.0899999999992</v>
      </c>
      <c r="J2054" s="2">
        <v>3918.099999999999</v>
      </c>
      <c r="K2054" s="2">
        <v>1694.81</v>
      </c>
      <c r="L2054" s="2">
        <v>27706.570000000003</v>
      </c>
      <c r="M2054" t="s">
        <v>4400</v>
      </c>
      <c r="N2054" t="s">
        <v>4400</v>
      </c>
    </row>
    <row r="2055" spans="1:14" x14ac:dyDescent="0.4">
      <c r="A2055" t="s">
        <v>4072</v>
      </c>
      <c r="B2055" t="s">
        <v>4073</v>
      </c>
      <c r="C2055" t="s">
        <v>64</v>
      </c>
      <c r="D2055" t="s">
        <v>2731</v>
      </c>
      <c r="E2055" s="2">
        <v>744.16000000000008</v>
      </c>
      <c r="F2055" s="2">
        <v>716.81</v>
      </c>
      <c r="G2055" s="2">
        <v>741.1</v>
      </c>
      <c r="H2055" s="2">
        <v>1457.9099999999999</v>
      </c>
      <c r="I2055" s="2">
        <v>719.85</v>
      </c>
      <c r="J2055" s="2">
        <v>1439.71</v>
      </c>
      <c r="K2055" s="2"/>
      <c r="L2055" s="2">
        <v>5819.54</v>
      </c>
      <c r="M2055" t="s">
        <v>4400</v>
      </c>
      <c r="N2055" t="s">
        <v>4406</v>
      </c>
    </row>
    <row r="2056" spans="1:14" x14ac:dyDescent="0.4">
      <c r="A2056" t="s">
        <v>4074</v>
      </c>
      <c r="B2056" t="s">
        <v>3581</v>
      </c>
      <c r="C2056" t="s">
        <v>35</v>
      </c>
      <c r="D2056" t="s">
        <v>1212</v>
      </c>
      <c r="E2056" s="2">
        <v>853.51999999999964</v>
      </c>
      <c r="F2056" s="2"/>
      <c r="G2056" s="2">
        <v>735.06</v>
      </c>
      <c r="H2056" s="2">
        <v>2505.8399999999997</v>
      </c>
      <c r="I2056" s="2">
        <v>902.10999999999979</v>
      </c>
      <c r="J2056" s="2">
        <v>1026.6299999999999</v>
      </c>
      <c r="K2056" s="2">
        <v>932.45999999999992</v>
      </c>
      <c r="L2056" s="2">
        <v>6955.6199999999899</v>
      </c>
      <c r="M2056" t="s">
        <v>4400</v>
      </c>
      <c r="N2056" t="s">
        <v>4400</v>
      </c>
    </row>
    <row r="2057" spans="1:14" x14ac:dyDescent="0.4">
      <c r="A2057" t="s">
        <v>4075</v>
      </c>
      <c r="B2057" t="s">
        <v>1983</v>
      </c>
      <c r="C2057" t="s">
        <v>258</v>
      </c>
      <c r="D2057" t="s">
        <v>259</v>
      </c>
      <c r="E2057" s="2"/>
      <c r="F2057" s="2"/>
      <c r="G2057" s="2"/>
      <c r="H2057" s="2">
        <v>745.30000000000007</v>
      </c>
      <c r="I2057" s="2"/>
      <c r="J2057" s="2">
        <v>912.34999999999991</v>
      </c>
      <c r="K2057" s="2"/>
      <c r="L2057" s="2">
        <v>1657.6500000000003</v>
      </c>
      <c r="M2057" t="s">
        <v>4409</v>
      </c>
      <c r="N2057" t="s">
        <v>4406</v>
      </c>
    </row>
    <row r="2058" spans="1:14" x14ac:dyDescent="0.4">
      <c r="A2058" t="s">
        <v>4076</v>
      </c>
      <c r="B2058" t="s">
        <v>2652</v>
      </c>
      <c r="C2058" t="s">
        <v>220</v>
      </c>
      <c r="D2058" t="s">
        <v>2302</v>
      </c>
      <c r="E2058" s="2">
        <v>788.9899999999999</v>
      </c>
      <c r="F2058" s="2"/>
      <c r="G2058" s="2"/>
      <c r="H2058" s="2">
        <v>788.9899999999999</v>
      </c>
      <c r="I2058" s="2"/>
      <c r="J2058" s="2"/>
      <c r="K2058" s="2"/>
      <c r="L2058" s="2">
        <v>1577.9799999999998</v>
      </c>
      <c r="M2058" t="s">
        <v>4400</v>
      </c>
      <c r="N2058" t="s">
        <v>4402</v>
      </c>
    </row>
    <row r="2059" spans="1:14" x14ac:dyDescent="0.4">
      <c r="A2059" t="s">
        <v>4077</v>
      </c>
      <c r="B2059" t="s">
        <v>4078</v>
      </c>
      <c r="C2059" t="s">
        <v>64</v>
      </c>
      <c r="D2059" t="s">
        <v>1427</v>
      </c>
      <c r="E2059" s="2">
        <v>2035.0399999999997</v>
      </c>
      <c r="F2059" s="2">
        <v>1269.6099999999999</v>
      </c>
      <c r="G2059" s="2">
        <v>1491.33</v>
      </c>
      <c r="H2059" s="2"/>
      <c r="I2059" s="2">
        <v>1205.83</v>
      </c>
      <c r="J2059" s="2">
        <v>1160.23</v>
      </c>
      <c r="K2059" s="2"/>
      <c r="L2059" s="2">
        <v>7162.0399999999991</v>
      </c>
      <c r="M2059" t="s">
        <v>4400</v>
      </c>
      <c r="N2059" t="s">
        <v>4406</v>
      </c>
    </row>
    <row r="2060" spans="1:14" x14ac:dyDescent="0.4">
      <c r="A2060" t="s">
        <v>4079</v>
      </c>
      <c r="B2060" t="s">
        <v>95</v>
      </c>
      <c r="C2060" t="s">
        <v>96</v>
      </c>
      <c r="D2060" t="s">
        <v>97</v>
      </c>
      <c r="E2060" s="2">
        <v>2636.4800000000005</v>
      </c>
      <c r="F2060" s="2">
        <v>3168.0400000000004</v>
      </c>
      <c r="G2060" s="2">
        <v>3784.6300000000006</v>
      </c>
      <c r="H2060" s="2">
        <v>4953.9999999999982</v>
      </c>
      <c r="I2060" s="2">
        <v>3641.8599999999992</v>
      </c>
      <c r="J2060" s="2">
        <v>3508.22</v>
      </c>
      <c r="K2060" s="2">
        <v>1877.13</v>
      </c>
      <c r="L2060" s="2">
        <v>23570.36</v>
      </c>
      <c r="M2060" t="s">
        <v>4400</v>
      </c>
      <c r="N2060" t="s">
        <v>4400</v>
      </c>
    </row>
    <row r="2061" spans="1:14" x14ac:dyDescent="0.4">
      <c r="A2061" t="s">
        <v>4080</v>
      </c>
      <c r="B2061" t="s">
        <v>4081</v>
      </c>
      <c r="C2061" t="s">
        <v>447</v>
      </c>
      <c r="D2061" t="s">
        <v>448</v>
      </c>
      <c r="E2061" s="2">
        <v>2429.92</v>
      </c>
      <c r="F2061" s="2">
        <v>2417.7599999999998</v>
      </c>
      <c r="G2061" s="2">
        <v>3951.6900000000005</v>
      </c>
      <c r="H2061" s="2">
        <v>2405.6200000000003</v>
      </c>
      <c r="I2061" s="2">
        <v>2527.13</v>
      </c>
      <c r="J2061" s="2">
        <v>2299.31</v>
      </c>
      <c r="K2061" s="2">
        <v>1676.6399999999999</v>
      </c>
      <c r="L2061" s="2">
        <v>17708.069999999985</v>
      </c>
      <c r="M2061" t="s">
        <v>4400</v>
      </c>
      <c r="N2061" t="s">
        <v>4400</v>
      </c>
    </row>
    <row r="2062" spans="1:14" x14ac:dyDescent="0.4">
      <c r="A2062" t="s">
        <v>4082</v>
      </c>
      <c r="B2062" t="s">
        <v>4083</v>
      </c>
      <c r="C2062" t="s">
        <v>35</v>
      </c>
      <c r="D2062" t="s">
        <v>36</v>
      </c>
      <c r="E2062" s="2"/>
      <c r="F2062" s="2"/>
      <c r="G2062" s="2"/>
      <c r="H2062" s="2">
        <v>3068.58</v>
      </c>
      <c r="I2062" s="2">
        <v>3248.4799999999996</v>
      </c>
      <c r="J2062" s="2">
        <v>3078.8599999999983</v>
      </c>
      <c r="K2062" s="2">
        <v>1254.1599999999999</v>
      </c>
      <c r="L2062" s="2">
        <v>10650.080000000005</v>
      </c>
      <c r="M2062" t="s">
        <v>4409</v>
      </c>
      <c r="N2062" t="s">
        <v>4400</v>
      </c>
    </row>
    <row r="2063" spans="1:14" x14ac:dyDescent="0.4">
      <c r="A2063" t="s">
        <v>4084</v>
      </c>
      <c r="B2063" t="s">
        <v>4085</v>
      </c>
      <c r="C2063" t="s">
        <v>199</v>
      </c>
      <c r="D2063" t="s">
        <v>206</v>
      </c>
      <c r="E2063" s="2">
        <v>3948.579999999999</v>
      </c>
      <c r="F2063" s="2">
        <v>4057.9199999999996</v>
      </c>
      <c r="G2063" s="2">
        <v>4859.82</v>
      </c>
      <c r="H2063" s="2">
        <v>3499.05</v>
      </c>
      <c r="I2063" s="2">
        <v>4461.8900000000003</v>
      </c>
      <c r="J2063" s="2">
        <v>3180.1299999999997</v>
      </c>
      <c r="K2063" s="2">
        <v>2372.1800000000003</v>
      </c>
      <c r="L2063" s="2">
        <v>26379.569999999992</v>
      </c>
      <c r="M2063" t="s">
        <v>4400</v>
      </c>
      <c r="N2063" t="s">
        <v>4400</v>
      </c>
    </row>
    <row r="2064" spans="1:14" x14ac:dyDescent="0.4">
      <c r="A2064" t="s">
        <v>4086</v>
      </c>
      <c r="B2064" t="s">
        <v>4087</v>
      </c>
      <c r="C2064" t="s">
        <v>91</v>
      </c>
      <c r="D2064" t="s">
        <v>1885</v>
      </c>
      <c r="E2064" s="2">
        <v>2742.7899999999995</v>
      </c>
      <c r="F2064" s="2">
        <v>1886.25</v>
      </c>
      <c r="G2064" s="2">
        <v>2551.4899999999998</v>
      </c>
      <c r="H2064" s="2">
        <v>3830.2600000000007</v>
      </c>
      <c r="I2064" s="2">
        <v>6773.5800000000008</v>
      </c>
      <c r="J2064" s="2">
        <v>6235.9499999999989</v>
      </c>
      <c r="K2064" s="2">
        <v>1992.58</v>
      </c>
      <c r="L2064" s="2">
        <v>26012.899999999987</v>
      </c>
      <c r="M2064" t="s">
        <v>4400</v>
      </c>
      <c r="N2064" t="s">
        <v>4400</v>
      </c>
    </row>
    <row r="2065" spans="1:14" x14ac:dyDescent="0.4">
      <c r="A2065" t="s">
        <v>4088</v>
      </c>
      <c r="B2065" t="s">
        <v>4089</v>
      </c>
      <c r="C2065" t="s">
        <v>291</v>
      </c>
      <c r="D2065" t="s">
        <v>295</v>
      </c>
      <c r="E2065" s="2"/>
      <c r="F2065" s="2"/>
      <c r="G2065" s="2"/>
      <c r="H2065" s="2"/>
      <c r="I2065" s="2">
        <v>923.38</v>
      </c>
      <c r="J2065" s="2"/>
      <c r="K2065" s="2"/>
      <c r="L2065" s="2">
        <v>923.38</v>
      </c>
      <c r="M2065" t="s">
        <v>4408</v>
      </c>
      <c r="N2065" t="s">
        <v>4401</v>
      </c>
    </row>
    <row r="2066" spans="1:14" x14ac:dyDescent="0.4">
      <c r="A2066" t="s">
        <v>4090</v>
      </c>
      <c r="B2066" t="s">
        <v>4091</v>
      </c>
      <c r="C2066" t="s">
        <v>60</v>
      </c>
      <c r="D2066" t="s">
        <v>61</v>
      </c>
      <c r="E2066" s="2">
        <v>2736.8299999999995</v>
      </c>
      <c r="F2066" s="2">
        <v>1625.09</v>
      </c>
      <c r="G2066" s="2">
        <v>2563.6799999999998</v>
      </c>
      <c r="H2066" s="2"/>
      <c r="I2066" s="2"/>
      <c r="J2066" s="2"/>
      <c r="K2066" s="2"/>
      <c r="L2066" s="2">
        <v>6925.5999999999995</v>
      </c>
      <c r="M2066" t="s">
        <v>4400</v>
      </c>
      <c r="N2066" t="s">
        <v>4403</v>
      </c>
    </row>
    <row r="2067" spans="1:14" x14ac:dyDescent="0.4">
      <c r="A2067" t="s">
        <v>4092</v>
      </c>
      <c r="B2067" t="s">
        <v>4093</v>
      </c>
      <c r="C2067" t="s">
        <v>123</v>
      </c>
      <c r="D2067" t="s">
        <v>4094</v>
      </c>
      <c r="E2067" s="2">
        <v>3362.5199999999995</v>
      </c>
      <c r="F2067" s="2">
        <v>3083.05</v>
      </c>
      <c r="G2067" s="2">
        <v>4170.3500000000004</v>
      </c>
      <c r="H2067" s="2">
        <v>4884.25</v>
      </c>
      <c r="I2067" s="2">
        <v>3960.8599999999992</v>
      </c>
      <c r="J2067" s="2"/>
      <c r="K2067" s="2"/>
      <c r="L2067" s="2">
        <v>19461.029999999995</v>
      </c>
      <c r="M2067" t="s">
        <v>4400</v>
      </c>
      <c r="N2067" t="s">
        <v>4401</v>
      </c>
    </row>
    <row r="2068" spans="1:14" x14ac:dyDescent="0.4">
      <c r="A2068" t="s">
        <v>4095</v>
      </c>
      <c r="B2068" t="s">
        <v>762</v>
      </c>
      <c r="C2068" t="s">
        <v>113</v>
      </c>
      <c r="D2068" t="s">
        <v>120</v>
      </c>
      <c r="E2068" s="2">
        <v>2351.5499999999993</v>
      </c>
      <c r="F2068" s="2">
        <v>3086.5699999999993</v>
      </c>
      <c r="G2068" s="2">
        <v>3140.5399999999986</v>
      </c>
      <c r="H2068" s="2">
        <v>3066.0099999999989</v>
      </c>
      <c r="I2068" s="2">
        <v>3875.5599999999986</v>
      </c>
      <c r="J2068" s="2">
        <v>3063.4399999999996</v>
      </c>
      <c r="K2068" s="2">
        <v>1467.4699999999996</v>
      </c>
      <c r="L2068" s="2">
        <v>20051.140000000018</v>
      </c>
      <c r="M2068" t="s">
        <v>4400</v>
      </c>
      <c r="N2068" t="s">
        <v>4400</v>
      </c>
    </row>
    <row r="2069" spans="1:14" x14ac:dyDescent="0.4">
      <c r="A2069" t="s">
        <v>4096</v>
      </c>
      <c r="B2069" t="s">
        <v>4097</v>
      </c>
      <c r="C2069" t="s">
        <v>64</v>
      </c>
      <c r="D2069" t="s">
        <v>1760</v>
      </c>
      <c r="E2069" s="2">
        <v>3359.3299999999995</v>
      </c>
      <c r="F2069" s="2">
        <v>3058.6300000000006</v>
      </c>
      <c r="G2069" s="2">
        <v>4750.4399999999996</v>
      </c>
      <c r="H2069" s="2">
        <v>4622.87</v>
      </c>
      <c r="I2069" s="2">
        <v>4419.3</v>
      </c>
      <c r="J2069" s="2">
        <v>2463.2799999999997</v>
      </c>
      <c r="K2069" s="2">
        <v>2499.73</v>
      </c>
      <c r="L2069" s="2">
        <v>25173.579999999962</v>
      </c>
      <c r="M2069" t="s">
        <v>4400</v>
      </c>
      <c r="N2069" t="s">
        <v>4400</v>
      </c>
    </row>
    <row r="2070" spans="1:14" x14ac:dyDescent="0.4">
      <c r="A2070" t="s">
        <v>4098</v>
      </c>
      <c r="B2070" t="s">
        <v>4099</v>
      </c>
      <c r="C2070" t="s">
        <v>5</v>
      </c>
      <c r="D2070" t="s">
        <v>56</v>
      </c>
      <c r="E2070" s="2">
        <v>3687.4799999999996</v>
      </c>
      <c r="F2070" s="2">
        <v>3189.3000000000006</v>
      </c>
      <c r="G2070" s="2">
        <v>3778.6100000000015</v>
      </c>
      <c r="H2070" s="2">
        <v>3280.4300000000007</v>
      </c>
      <c r="I2070" s="2">
        <v>4164.3</v>
      </c>
      <c r="J2070" s="2">
        <v>2864.2900000000004</v>
      </c>
      <c r="K2070" s="2">
        <v>1919.6599999999994</v>
      </c>
      <c r="L2070" s="2">
        <v>22884.069999999978</v>
      </c>
      <c r="M2070" t="s">
        <v>4400</v>
      </c>
      <c r="N2070" t="s">
        <v>4400</v>
      </c>
    </row>
    <row r="2071" spans="1:14" x14ac:dyDescent="0.4">
      <c r="A2071" t="s">
        <v>4100</v>
      </c>
      <c r="B2071" t="s">
        <v>4101</v>
      </c>
      <c r="C2071" t="s">
        <v>310</v>
      </c>
      <c r="D2071" t="s">
        <v>314</v>
      </c>
      <c r="E2071" s="2"/>
      <c r="F2071" s="2"/>
      <c r="G2071" s="2"/>
      <c r="H2071" s="2">
        <v>1038.79</v>
      </c>
      <c r="I2071" s="2"/>
      <c r="J2071" s="2"/>
      <c r="K2071" s="2"/>
      <c r="L2071" s="2">
        <v>1038.79</v>
      </c>
      <c r="M2071" t="s">
        <v>4409</v>
      </c>
      <c r="N2071" t="s">
        <v>4402</v>
      </c>
    </row>
    <row r="2072" spans="1:14" x14ac:dyDescent="0.4">
      <c r="A2072" t="s">
        <v>4102</v>
      </c>
      <c r="B2072" t="s">
        <v>3687</v>
      </c>
      <c r="C2072" t="s">
        <v>310</v>
      </c>
      <c r="D2072" t="s">
        <v>314</v>
      </c>
      <c r="E2072" s="2">
        <v>1017.55</v>
      </c>
      <c r="F2072" s="2">
        <v>2202.1499999999996</v>
      </c>
      <c r="G2072" s="2">
        <v>2536.3000000000002</v>
      </c>
      <c r="H2072" s="2">
        <v>3553.8</v>
      </c>
      <c r="I2072" s="2">
        <v>2065.5</v>
      </c>
      <c r="J2072" s="2">
        <v>896.05</v>
      </c>
      <c r="K2072" s="2">
        <v>896.05</v>
      </c>
      <c r="L2072" s="2">
        <v>13167.399999999996</v>
      </c>
      <c r="M2072" t="s">
        <v>4400</v>
      </c>
      <c r="N2072" t="s">
        <v>4400</v>
      </c>
    </row>
    <row r="2073" spans="1:14" x14ac:dyDescent="0.4">
      <c r="A2073" t="s">
        <v>4103</v>
      </c>
      <c r="B2073" t="s">
        <v>4104</v>
      </c>
      <c r="C2073" t="s">
        <v>23</v>
      </c>
      <c r="D2073" t="s">
        <v>24</v>
      </c>
      <c r="E2073" s="2">
        <v>8034.1200000000008</v>
      </c>
      <c r="F2073" s="2">
        <v>6256.5400000000018</v>
      </c>
      <c r="G2073" s="2">
        <v>847.45999999999992</v>
      </c>
      <c r="H2073" s="2"/>
      <c r="I2073" s="2"/>
      <c r="J2073" s="2"/>
      <c r="K2073" s="2"/>
      <c r="L2073" s="2">
        <v>15138.119999999999</v>
      </c>
      <c r="M2073" t="s">
        <v>4400</v>
      </c>
      <c r="N2073" t="s">
        <v>4403</v>
      </c>
    </row>
    <row r="2074" spans="1:14" x14ac:dyDescent="0.4">
      <c r="A2074" t="s">
        <v>4105</v>
      </c>
      <c r="B2074" t="s">
        <v>4106</v>
      </c>
      <c r="C2074" t="s">
        <v>64</v>
      </c>
      <c r="D2074" t="s">
        <v>3077</v>
      </c>
      <c r="E2074" s="2"/>
      <c r="F2074" s="2"/>
      <c r="G2074" s="2">
        <v>811</v>
      </c>
      <c r="H2074" s="2">
        <v>765.42</v>
      </c>
      <c r="I2074" s="2">
        <v>1600.6999999999998</v>
      </c>
      <c r="J2074" s="2">
        <v>1533.8500000000004</v>
      </c>
      <c r="K2074" s="2">
        <v>923.34999999999991</v>
      </c>
      <c r="L2074" s="2">
        <v>5634.319999999997</v>
      </c>
      <c r="M2074" t="s">
        <v>4411</v>
      </c>
      <c r="N2074" t="s">
        <v>4400</v>
      </c>
    </row>
    <row r="2075" spans="1:14" x14ac:dyDescent="0.4">
      <c r="A2075" t="s">
        <v>4107</v>
      </c>
      <c r="B2075" t="s">
        <v>4108</v>
      </c>
      <c r="C2075" t="s">
        <v>1</v>
      </c>
      <c r="D2075" t="s">
        <v>1030</v>
      </c>
      <c r="E2075" s="2">
        <v>1697.92</v>
      </c>
      <c r="F2075" s="2">
        <v>1880.1699999999998</v>
      </c>
      <c r="G2075" s="2">
        <v>938.58</v>
      </c>
      <c r="H2075" s="2">
        <v>2111.02</v>
      </c>
      <c r="I2075" s="2">
        <v>1776.9099999999999</v>
      </c>
      <c r="J2075" s="2">
        <v>941.61</v>
      </c>
      <c r="K2075" s="2">
        <v>938.58</v>
      </c>
      <c r="L2075" s="2">
        <v>10284.790000000001</v>
      </c>
      <c r="M2075" t="s">
        <v>4400</v>
      </c>
      <c r="N2075" t="s">
        <v>4400</v>
      </c>
    </row>
    <row r="2076" spans="1:14" x14ac:dyDescent="0.4">
      <c r="A2076" t="s">
        <v>4109</v>
      </c>
      <c r="B2076" t="s">
        <v>4110</v>
      </c>
      <c r="C2076" t="s">
        <v>291</v>
      </c>
      <c r="D2076" t="s">
        <v>295</v>
      </c>
      <c r="E2076" s="2"/>
      <c r="F2076" s="2"/>
      <c r="G2076" s="2"/>
      <c r="H2076" s="2"/>
      <c r="I2076" s="2"/>
      <c r="J2076" s="2">
        <v>929.5</v>
      </c>
      <c r="K2076" s="2"/>
      <c r="L2076" s="2">
        <v>929.5</v>
      </c>
      <c r="M2076" t="s">
        <v>4405</v>
      </c>
      <c r="N2076" t="s">
        <v>4406</v>
      </c>
    </row>
    <row r="2077" spans="1:14" x14ac:dyDescent="0.4">
      <c r="A2077" t="s">
        <v>4111</v>
      </c>
      <c r="B2077" t="s">
        <v>4112</v>
      </c>
      <c r="C2077" t="s">
        <v>447</v>
      </c>
      <c r="D2077" t="s">
        <v>784</v>
      </c>
      <c r="E2077" s="2">
        <v>3067.8199999999997</v>
      </c>
      <c r="F2077" s="2">
        <v>3152.8399999999997</v>
      </c>
      <c r="G2077" s="2">
        <v>3699.5999999999995</v>
      </c>
      <c r="H2077" s="2">
        <v>3167.9999999999995</v>
      </c>
      <c r="I2077" s="2">
        <v>3085.98</v>
      </c>
      <c r="J2077" s="2">
        <v>3981.9700000000003</v>
      </c>
      <c r="K2077" s="2">
        <v>1512.5400000000002</v>
      </c>
      <c r="L2077" s="2">
        <v>21668.749999999985</v>
      </c>
      <c r="M2077" t="s">
        <v>4400</v>
      </c>
      <c r="N2077" t="s">
        <v>4400</v>
      </c>
    </row>
    <row r="2078" spans="1:14" x14ac:dyDescent="0.4">
      <c r="A2078" t="s">
        <v>4113</v>
      </c>
      <c r="B2078" t="s">
        <v>4114</v>
      </c>
      <c r="C2078" t="s">
        <v>9</v>
      </c>
      <c r="D2078" t="s">
        <v>1161</v>
      </c>
      <c r="E2078" s="2">
        <v>3256.1800000000007</v>
      </c>
      <c r="F2078" s="2">
        <v>2287.1799999999998</v>
      </c>
      <c r="G2078" s="2">
        <v>2633.4700000000003</v>
      </c>
      <c r="H2078" s="2">
        <v>3988.2100000000009</v>
      </c>
      <c r="I2078" s="2">
        <v>3881.8600000000006</v>
      </c>
      <c r="J2078" s="2">
        <v>5364.1100000000015</v>
      </c>
      <c r="K2078" s="2">
        <v>2472.48</v>
      </c>
      <c r="L2078" s="2">
        <v>23883.489999999962</v>
      </c>
      <c r="M2078" t="s">
        <v>4400</v>
      </c>
      <c r="N2078" t="s">
        <v>4400</v>
      </c>
    </row>
    <row r="2079" spans="1:14" x14ac:dyDescent="0.4">
      <c r="A2079" t="s">
        <v>4115</v>
      </c>
      <c r="B2079" t="s">
        <v>4116</v>
      </c>
      <c r="C2079" t="s">
        <v>220</v>
      </c>
      <c r="D2079" t="s">
        <v>797</v>
      </c>
      <c r="E2079" s="2">
        <v>2066.2799999999997</v>
      </c>
      <c r="F2079" s="2">
        <v>2842.42</v>
      </c>
      <c r="G2079" s="2"/>
      <c r="H2079" s="2"/>
      <c r="I2079" s="2">
        <v>727.31000000000006</v>
      </c>
      <c r="J2079" s="2">
        <v>3263.8999999999992</v>
      </c>
      <c r="K2079" s="2">
        <v>714.45999999999992</v>
      </c>
      <c r="L2079" s="2">
        <v>9614.3700000000117</v>
      </c>
      <c r="M2079" t="s">
        <v>4400</v>
      </c>
      <c r="N2079" t="s">
        <v>4400</v>
      </c>
    </row>
    <row r="2080" spans="1:14" x14ac:dyDescent="0.4">
      <c r="A2080" t="s">
        <v>4117</v>
      </c>
      <c r="B2080" t="s">
        <v>4118</v>
      </c>
      <c r="C2080" t="s">
        <v>60</v>
      </c>
      <c r="D2080" t="s">
        <v>61</v>
      </c>
      <c r="E2080" s="2">
        <v>753.31</v>
      </c>
      <c r="F2080" s="2"/>
      <c r="G2080" s="2">
        <v>722.93</v>
      </c>
      <c r="H2080" s="2"/>
      <c r="I2080" s="2">
        <v>1664.4799999999998</v>
      </c>
      <c r="J2080" s="2">
        <v>3635.85</v>
      </c>
      <c r="K2080" s="2">
        <v>1570.3899999999999</v>
      </c>
      <c r="L2080" s="2">
        <v>8346.9599999999955</v>
      </c>
      <c r="M2080" t="s">
        <v>4400</v>
      </c>
      <c r="N2080" t="s">
        <v>4400</v>
      </c>
    </row>
    <row r="2081" spans="1:14" x14ac:dyDescent="0.4">
      <c r="A2081" t="s">
        <v>4119</v>
      </c>
      <c r="B2081" t="s">
        <v>4120</v>
      </c>
      <c r="C2081" t="s">
        <v>31</v>
      </c>
      <c r="D2081" t="s">
        <v>32</v>
      </c>
      <c r="E2081" s="2">
        <v>7684.56</v>
      </c>
      <c r="F2081" s="2">
        <v>6985.9600000000009</v>
      </c>
      <c r="G2081" s="2">
        <v>10084.059999999998</v>
      </c>
      <c r="H2081" s="2">
        <v>6013.9299999999967</v>
      </c>
      <c r="I2081" s="2">
        <v>6390.6499999999987</v>
      </c>
      <c r="J2081" s="2">
        <v>7219.7999999999993</v>
      </c>
      <c r="K2081" s="2">
        <v>2915.8799999999997</v>
      </c>
      <c r="L2081" s="2">
        <v>47294.840000000055</v>
      </c>
      <c r="M2081" t="s">
        <v>4400</v>
      </c>
      <c r="N2081" t="s">
        <v>4400</v>
      </c>
    </row>
    <row r="2082" spans="1:14" x14ac:dyDescent="0.4">
      <c r="A2082" t="s">
        <v>4121</v>
      </c>
      <c r="B2082" t="s">
        <v>2652</v>
      </c>
      <c r="C2082" t="s">
        <v>9</v>
      </c>
      <c r="D2082" t="s">
        <v>45</v>
      </c>
      <c r="E2082" s="2"/>
      <c r="F2082" s="2">
        <v>824.97</v>
      </c>
      <c r="G2082" s="2">
        <v>884.08</v>
      </c>
      <c r="H2082" s="2">
        <v>2773.0299999999997</v>
      </c>
      <c r="I2082" s="2">
        <v>938.04999999999984</v>
      </c>
      <c r="J2082" s="2">
        <v>1598.5399999999997</v>
      </c>
      <c r="K2082" s="2">
        <v>753.01</v>
      </c>
      <c r="L2082" s="2">
        <v>7771.6800000000012</v>
      </c>
      <c r="M2082" t="s">
        <v>4412</v>
      </c>
      <c r="N2082" t="s">
        <v>4400</v>
      </c>
    </row>
    <row r="2083" spans="1:14" x14ac:dyDescent="0.4">
      <c r="A2083" t="s">
        <v>4122</v>
      </c>
      <c r="B2083" t="s">
        <v>4123</v>
      </c>
      <c r="C2083" t="s">
        <v>163</v>
      </c>
      <c r="D2083" t="s">
        <v>164</v>
      </c>
      <c r="E2083" s="2">
        <v>1615.8799999999999</v>
      </c>
      <c r="F2083" s="2">
        <v>1032.72</v>
      </c>
      <c r="G2083" s="2">
        <v>889.95999999999992</v>
      </c>
      <c r="H2083" s="2">
        <v>999.33999999999992</v>
      </c>
      <c r="I2083" s="2">
        <v>1688.8400000000001</v>
      </c>
      <c r="J2083" s="2"/>
      <c r="K2083" s="2">
        <v>902.12000000000012</v>
      </c>
      <c r="L2083" s="2">
        <v>7128.859999999996</v>
      </c>
      <c r="M2083" t="s">
        <v>4400</v>
      </c>
      <c r="N2083" t="s">
        <v>4400</v>
      </c>
    </row>
    <row r="2084" spans="1:14" x14ac:dyDescent="0.4">
      <c r="A2084" t="s">
        <v>4124</v>
      </c>
      <c r="B2084" t="s">
        <v>4125</v>
      </c>
      <c r="C2084" t="s">
        <v>350</v>
      </c>
      <c r="D2084" t="s">
        <v>351</v>
      </c>
      <c r="E2084" s="2">
        <v>868.66000000000008</v>
      </c>
      <c r="F2084" s="2"/>
      <c r="G2084" s="2"/>
      <c r="H2084" s="2"/>
      <c r="I2084" s="2"/>
      <c r="J2084" s="2"/>
      <c r="K2084" s="2"/>
      <c r="L2084" s="2">
        <v>868.66000000000008</v>
      </c>
      <c r="M2084" t="s">
        <v>4400</v>
      </c>
      <c r="N2084" t="s">
        <v>4407</v>
      </c>
    </row>
    <row r="2085" spans="1:14" x14ac:dyDescent="0.4">
      <c r="A2085" t="s">
        <v>4126</v>
      </c>
      <c r="B2085" t="s">
        <v>3987</v>
      </c>
      <c r="C2085" t="s">
        <v>64</v>
      </c>
      <c r="D2085" t="s">
        <v>645</v>
      </c>
      <c r="E2085" s="2">
        <v>2223.54</v>
      </c>
      <c r="F2085" s="2">
        <v>2460.46</v>
      </c>
      <c r="G2085" s="2">
        <v>3168.81</v>
      </c>
      <c r="H2085" s="2">
        <v>5070.6100000000006</v>
      </c>
      <c r="I2085" s="2">
        <v>3757.34</v>
      </c>
      <c r="J2085" s="2">
        <v>2549.44</v>
      </c>
      <c r="K2085" s="2">
        <v>1930.07</v>
      </c>
      <c r="L2085" s="2">
        <v>21160.270000000004</v>
      </c>
      <c r="M2085" t="s">
        <v>4400</v>
      </c>
      <c r="N2085" t="s">
        <v>4400</v>
      </c>
    </row>
    <row r="2086" spans="1:14" x14ac:dyDescent="0.4">
      <c r="A2086" t="s">
        <v>4127</v>
      </c>
      <c r="B2086" t="s">
        <v>4128</v>
      </c>
      <c r="C2086" t="s">
        <v>78</v>
      </c>
      <c r="D2086" t="s">
        <v>841</v>
      </c>
      <c r="E2086" s="2">
        <v>4747.3600000000006</v>
      </c>
      <c r="F2086" s="2">
        <v>2915.8100000000004</v>
      </c>
      <c r="G2086" s="2"/>
      <c r="H2086" s="2"/>
      <c r="I2086" s="2"/>
      <c r="J2086" s="2">
        <v>3152.7999999999988</v>
      </c>
      <c r="K2086" s="2"/>
      <c r="L2086" s="2">
        <v>10815.97</v>
      </c>
      <c r="M2086" t="s">
        <v>4400</v>
      </c>
      <c r="N2086" t="s">
        <v>4406</v>
      </c>
    </row>
    <row r="2087" spans="1:14" x14ac:dyDescent="0.4">
      <c r="A2087" t="s">
        <v>4129</v>
      </c>
      <c r="B2087" t="s">
        <v>2935</v>
      </c>
      <c r="C2087" t="s">
        <v>78</v>
      </c>
      <c r="D2087" t="s">
        <v>1240</v>
      </c>
      <c r="E2087" s="2">
        <v>2329.6499999999996</v>
      </c>
      <c r="F2087" s="2">
        <v>2997.92</v>
      </c>
      <c r="G2087" s="2">
        <v>2250.7299999999996</v>
      </c>
      <c r="H2087" s="2">
        <v>3049.5500000000011</v>
      </c>
      <c r="I2087" s="2">
        <v>3107.2500000000005</v>
      </c>
      <c r="J2087" s="2">
        <v>2317.5400000000004</v>
      </c>
      <c r="K2087" s="2">
        <v>1485.29</v>
      </c>
      <c r="L2087" s="2">
        <v>17537.929999999986</v>
      </c>
      <c r="M2087" t="s">
        <v>4400</v>
      </c>
      <c r="N2087" t="s">
        <v>4400</v>
      </c>
    </row>
    <row r="2088" spans="1:14" x14ac:dyDescent="0.4">
      <c r="A2088" t="s">
        <v>4130</v>
      </c>
      <c r="B2088" t="s">
        <v>12</v>
      </c>
      <c r="C2088" t="s">
        <v>13</v>
      </c>
      <c r="D2088" t="s">
        <v>14</v>
      </c>
      <c r="E2088" s="2">
        <v>6949.6200000000008</v>
      </c>
      <c r="F2088" s="2">
        <v>5974.590000000002</v>
      </c>
      <c r="G2088" s="2">
        <v>5701.2800000000007</v>
      </c>
      <c r="H2088" s="2">
        <v>5443.07</v>
      </c>
      <c r="I2088" s="2">
        <v>6861.6600000000008</v>
      </c>
      <c r="J2088" s="2">
        <v>7083.2800000000007</v>
      </c>
      <c r="K2088" s="2">
        <v>3341.18</v>
      </c>
      <c r="L2088" s="2">
        <v>41354.68</v>
      </c>
      <c r="M2088" t="s">
        <v>4400</v>
      </c>
      <c r="N2088" t="s">
        <v>4400</v>
      </c>
    </row>
    <row r="2089" spans="1:14" x14ac:dyDescent="0.4">
      <c r="A2089" t="s">
        <v>4131</v>
      </c>
      <c r="B2089" t="s">
        <v>3503</v>
      </c>
      <c r="C2089" t="s">
        <v>447</v>
      </c>
      <c r="D2089" t="s">
        <v>784</v>
      </c>
      <c r="E2089" s="2">
        <v>3184.23</v>
      </c>
      <c r="F2089" s="2">
        <v>5427.840000000002</v>
      </c>
      <c r="G2089" s="2">
        <v>3245.9099999999994</v>
      </c>
      <c r="H2089" s="2"/>
      <c r="I2089" s="2">
        <v>4250.7799999999988</v>
      </c>
      <c r="J2089" s="2">
        <v>3078.8599999999997</v>
      </c>
      <c r="K2089" s="2">
        <v>1446.91</v>
      </c>
      <c r="L2089" s="2">
        <v>20634.530000000032</v>
      </c>
      <c r="M2089" t="s">
        <v>4400</v>
      </c>
      <c r="N2089" t="s">
        <v>4400</v>
      </c>
    </row>
    <row r="2090" spans="1:14" x14ac:dyDescent="0.4">
      <c r="A2090" t="s">
        <v>4132</v>
      </c>
      <c r="B2090" t="s">
        <v>2880</v>
      </c>
      <c r="C2090" t="s">
        <v>113</v>
      </c>
      <c r="D2090" t="s">
        <v>120</v>
      </c>
      <c r="E2090" s="2"/>
      <c r="F2090" s="2">
        <v>1148.7899999999997</v>
      </c>
      <c r="G2090" s="2">
        <v>1092.25</v>
      </c>
      <c r="H2090" s="2"/>
      <c r="I2090" s="2"/>
      <c r="J2090" s="2">
        <v>956.04000000000008</v>
      </c>
      <c r="K2090" s="2"/>
      <c r="L2090" s="2">
        <v>3197.079999999999</v>
      </c>
      <c r="M2090" t="s">
        <v>4412</v>
      </c>
      <c r="N2090" t="s">
        <v>4406</v>
      </c>
    </row>
    <row r="2091" spans="1:14" x14ac:dyDescent="0.4">
      <c r="A2091" t="s">
        <v>4133</v>
      </c>
      <c r="B2091" t="s">
        <v>4134</v>
      </c>
      <c r="C2091" t="s">
        <v>35</v>
      </c>
      <c r="D2091" t="s">
        <v>1212</v>
      </c>
      <c r="E2091" s="2"/>
      <c r="F2091" s="2"/>
      <c r="G2091" s="2"/>
      <c r="H2091" s="2"/>
      <c r="I2091" s="2"/>
      <c r="J2091" s="2"/>
      <c r="K2091" s="2">
        <v>1125.6599999999999</v>
      </c>
      <c r="L2091" s="2">
        <v>1125.6599999999999</v>
      </c>
      <c r="M2091" t="s">
        <v>4404</v>
      </c>
      <c r="N2091" t="s">
        <v>4400</v>
      </c>
    </row>
    <row r="2092" spans="1:14" x14ac:dyDescent="0.4">
      <c r="A2092" t="s">
        <v>4135</v>
      </c>
      <c r="B2092" t="s">
        <v>3264</v>
      </c>
      <c r="C2092" t="s">
        <v>9</v>
      </c>
      <c r="D2092" t="s">
        <v>10</v>
      </c>
      <c r="E2092" s="2">
        <v>729.87999999999988</v>
      </c>
      <c r="F2092" s="2">
        <v>2456.92</v>
      </c>
      <c r="G2092" s="2">
        <v>2169.08</v>
      </c>
      <c r="H2092" s="2">
        <v>2428.65</v>
      </c>
      <c r="I2092" s="2">
        <v>2726.7699999999995</v>
      </c>
      <c r="J2092" s="2">
        <v>1788.7199999999998</v>
      </c>
      <c r="K2092" s="2">
        <v>889.22</v>
      </c>
      <c r="L2092" s="2">
        <v>13189.240000000036</v>
      </c>
      <c r="M2092" t="s">
        <v>4400</v>
      </c>
      <c r="N2092" t="s">
        <v>4400</v>
      </c>
    </row>
    <row r="2093" spans="1:14" x14ac:dyDescent="0.4">
      <c r="A2093" t="s">
        <v>4136</v>
      </c>
      <c r="B2093" t="s">
        <v>4137</v>
      </c>
      <c r="C2093" t="s">
        <v>64</v>
      </c>
      <c r="D2093" t="s">
        <v>3077</v>
      </c>
      <c r="E2093" s="2">
        <v>1946.9599999999998</v>
      </c>
      <c r="F2093" s="2">
        <v>2107.9499999999998</v>
      </c>
      <c r="G2093" s="2"/>
      <c r="H2093" s="2"/>
      <c r="I2093" s="2">
        <v>959.83999999999992</v>
      </c>
      <c r="J2093" s="2">
        <v>2572.6099999999997</v>
      </c>
      <c r="K2093" s="2"/>
      <c r="L2093" s="2">
        <v>7587.359999999996</v>
      </c>
      <c r="M2093" t="s">
        <v>4400</v>
      </c>
      <c r="N2093" t="s">
        <v>4406</v>
      </c>
    </row>
    <row r="2094" spans="1:14" x14ac:dyDescent="0.4">
      <c r="A2094" t="s">
        <v>4138</v>
      </c>
      <c r="B2094" t="s">
        <v>4139</v>
      </c>
      <c r="C2094" t="s">
        <v>35</v>
      </c>
      <c r="D2094" t="s">
        <v>1212</v>
      </c>
      <c r="E2094" s="2">
        <v>719.86999999999989</v>
      </c>
      <c r="F2094" s="2">
        <v>1473.1700000000003</v>
      </c>
      <c r="G2094" s="2">
        <v>1442.8299999999997</v>
      </c>
      <c r="H2094" s="2">
        <v>1716.16</v>
      </c>
      <c r="I2094" s="2">
        <v>1965.2200000000003</v>
      </c>
      <c r="J2094" s="2">
        <v>1230.19</v>
      </c>
      <c r="K2094" s="2">
        <v>1108.67</v>
      </c>
      <c r="L2094" s="2">
        <v>9656.1099999999969</v>
      </c>
      <c r="M2094" t="s">
        <v>4400</v>
      </c>
      <c r="N2094" t="s">
        <v>4400</v>
      </c>
    </row>
    <row r="2095" spans="1:14" x14ac:dyDescent="0.4">
      <c r="A2095" t="s">
        <v>4140</v>
      </c>
      <c r="B2095" t="s">
        <v>4141</v>
      </c>
      <c r="C2095" t="s">
        <v>186</v>
      </c>
      <c r="D2095" t="s">
        <v>1318</v>
      </c>
      <c r="E2095" s="2">
        <v>2369.2199999999998</v>
      </c>
      <c r="F2095" s="2">
        <v>2952.440000000001</v>
      </c>
      <c r="G2095" s="2">
        <v>732.05000000000007</v>
      </c>
      <c r="H2095" s="2">
        <v>1454.9499999999998</v>
      </c>
      <c r="I2095" s="2">
        <v>735.08</v>
      </c>
      <c r="J2095" s="2">
        <v>1500.53</v>
      </c>
      <c r="K2095" s="2"/>
      <c r="L2095" s="2">
        <v>9744.269999999995</v>
      </c>
      <c r="M2095" t="s">
        <v>4400</v>
      </c>
      <c r="N2095" t="s">
        <v>4406</v>
      </c>
    </row>
    <row r="2096" spans="1:14" x14ac:dyDescent="0.4">
      <c r="A2096" t="s">
        <v>4142</v>
      </c>
      <c r="B2096" t="s">
        <v>4143</v>
      </c>
      <c r="C2096" t="s">
        <v>791</v>
      </c>
      <c r="D2096" t="s">
        <v>792</v>
      </c>
      <c r="E2096" s="2">
        <v>744.18000000000006</v>
      </c>
      <c r="F2096" s="2">
        <v>4195.5300000000007</v>
      </c>
      <c r="G2096" s="2">
        <v>4480.3100000000004</v>
      </c>
      <c r="H2096" s="2">
        <v>6169.19</v>
      </c>
      <c r="I2096" s="2">
        <v>2493.8000000000006</v>
      </c>
      <c r="J2096" s="2">
        <v>856.58000000000015</v>
      </c>
      <c r="K2096" s="2"/>
      <c r="L2096" s="2">
        <v>18939.589999999993</v>
      </c>
      <c r="M2096" t="s">
        <v>4400</v>
      </c>
      <c r="N2096" t="s">
        <v>4406</v>
      </c>
    </row>
    <row r="2097" spans="1:14" x14ac:dyDescent="0.4">
      <c r="A2097" t="s">
        <v>4144</v>
      </c>
      <c r="B2097" t="s">
        <v>1837</v>
      </c>
      <c r="C2097" t="s">
        <v>423</v>
      </c>
      <c r="D2097" t="s">
        <v>424</v>
      </c>
      <c r="E2097" s="2">
        <v>7739.350000000004</v>
      </c>
      <c r="F2097" s="2">
        <v>7423.4400000000005</v>
      </c>
      <c r="G2097" s="2">
        <v>7052.84</v>
      </c>
      <c r="H2097" s="2">
        <v>6457.4999999999973</v>
      </c>
      <c r="I2097" s="2">
        <v>3909.1599999999994</v>
      </c>
      <c r="J2097" s="2">
        <v>1743.4399999999994</v>
      </c>
      <c r="K2097" s="2">
        <v>926.40000000000009</v>
      </c>
      <c r="L2097" s="2">
        <v>35252.129999999968</v>
      </c>
      <c r="M2097" t="s">
        <v>4400</v>
      </c>
      <c r="N2097" t="s">
        <v>4400</v>
      </c>
    </row>
    <row r="2098" spans="1:14" x14ac:dyDescent="0.4">
      <c r="A2098" t="s">
        <v>4145</v>
      </c>
      <c r="B2098" t="s">
        <v>4146</v>
      </c>
      <c r="C2098" t="s">
        <v>542</v>
      </c>
      <c r="D2098" t="s">
        <v>802</v>
      </c>
      <c r="E2098" s="2">
        <v>744.17</v>
      </c>
      <c r="F2098" s="2">
        <v>744.17</v>
      </c>
      <c r="G2098" s="2">
        <v>738.1</v>
      </c>
      <c r="H2098" s="2">
        <v>1485.29</v>
      </c>
      <c r="I2098" s="2">
        <v>753.2700000000001</v>
      </c>
      <c r="J2098" s="2">
        <v>1661.4499999999998</v>
      </c>
      <c r="K2098" s="2">
        <v>807.95000000000016</v>
      </c>
      <c r="L2098" s="2">
        <v>6934.3999999999933</v>
      </c>
      <c r="M2098" t="s">
        <v>4400</v>
      </c>
      <c r="N2098" t="s">
        <v>4400</v>
      </c>
    </row>
    <row r="2099" spans="1:14" x14ac:dyDescent="0.4">
      <c r="A2099" t="s">
        <v>4147</v>
      </c>
      <c r="B2099" t="s">
        <v>4148</v>
      </c>
      <c r="C2099" t="s">
        <v>291</v>
      </c>
      <c r="D2099" t="s">
        <v>295</v>
      </c>
      <c r="E2099" s="2">
        <v>750.26</v>
      </c>
      <c r="F2099" s="2">
        <v>2408.6999999999994</v>
      </c>
      <c r="G2099" s="2">
        <v>3811.9799999999987</v>
      </c>
      <c r="H2099" s="2">
        <v>3234.849999999999</v>
      </c>
      <c r="I2099" s="2">
        <v>1989.5399999999997</v>
      </c>
      <c r="J2099" s="2">
        <v>2885.5499999999988</v>
      </c>
      <c r="K2099" s="2">
        <v>926.42000000000007</v>
      </c>
      <c r="L2099" s="2">
        <v>16007.299999999992</v>
      </c>
      <c r="M2099" t="s">
        <v>4400</v>
      </c>
      <c r="N2099" t="s">
        <v>4400</v>
      </c>
    </row>
    <row r="2100" spans="1:14" x14ac:dyDescent="0.4">
      <c r="A2100" t="s">
        <v>4149</v>
      </c>
      <c r="B2100" t="s">
        <v>4150</v>
      </c>
      <c r="C2100" t="s">
        <v>113</v>
      </c>
      <c r="D2100" t="s">
        <v>615</v>
      </c>
      <c r="E2100" s="2">
        <v>3082.9499999999989</v>
      </c>
      <c r="F2100" s="2">
        <v>1470.1000000000001</v>
      </c>
      <c r="G2100" s="2">
        <v>3975.8899999999994</v>
      </c>
      <c r="H2100" s="2">
        <v>3313.75</v>
      </c>
      <c r="I2100" s="2">
        <v>4549.9699999999984</v>
      </c>
      <c r="J2100" s="2">
        <v>4306.9900000000016</v>
      </c>
      <c r="K2100" s="2">
        <v>2074.5299999999997</v>
      </c>
      <c r="L2100" s="2">
        <v>22774.180000000004</v>
      </c>
      <c r="M2100" t="s">
        <v>4400</v>
      </c>
      <c r="N2100" t="s">
        <v>4400</v>
      </c>
    </row>
    <row r="2101" spans="1:14" x14ac:dyDescent="0.4">
      <c r="A2101" t="s">
        <v>4151</v>
      </c>
      <c r="B2101" t="s">
        <v>3144</v>
      </c>
      <c r="C2101" t="s">
        <v>1</v>
      </c>
      <c r="D2101" t="s">
        <v>88</v>
      </c>
      <c r="E2101" s="2">
        <v>2329.66</v>
      </c>
      <c r="F2101" s="2">
        <v>2460.25</v>
      </c>
      <c r="G2101" s="2">
        <v>2533.1099999999997</v>
      </c>
      <c r="H2101" s="2">
        <v>2192.9299999999998</v>
      </c>
      <c r="I2101" s="2">
        <v>2323.56</v>
      </c>
      <c r="J2101" s="2">
        <v>1451.8399999999997</v>
      </c>
      <c r="K2101" s="2">
        <v>1527.7599999999998</v>
      </c>
      <c r="L2101" s="2">
        <v>14819.109999999986</v>
      </c>
      <c r="M2101" t="s">
        <v>4400</v>
      </c>
      <c r="N2101" t="s">
        <v>4400</v>
      </c>
    </row>
    <row r="2102" spans="1:14" x14ac:dyDescent="0.4">
      <c r="A2102" t="s">
        <v>4152</v>
      </c>
      <c r="B2102" t="s">
        <v>4153</v>
      </c>
      <c r="C2102" t="s">
        <v>274</v>
      </c>
      <c r="D2102" t="s">
        <v>275</v>
      </c>
      <c r="E2102" s="2">
        <v>2341.2699999999995</v>
      </c>
      <c r="F2102" s="2">
        <v>1629.3799999999999</v>
      </c>
      <c r="G2102" s="2">
        <v>2611.1199999999994</v>
      </c>
      <c r="H2102" s="2">
        <v>2582.85</v>
      </c>
      <c r="I2102" s="2">
        <v>3245.9099999999994</v>
      </c>
      <c r="J2102" s="2">
        <v>3055.7299999999991</v>
      </c>
      <c r="K2102" s="2">
        <v>1570.2699999999998</v>
      </c>
      <c r="L2102" s="2">
        <v>17036.530000000021</v>
      </c>
      <c r="M2102" t="s">
        <v>4400</v>
      </c>
      <c r="N2102" t="s">
        <v>4400</v>
      </c>
    </row>
    <row r="2103" spans="1:14" x14ac:dyDescent="0.4">
      <c r="A2103" t="s">
        <v>4154</v>
      </c>
      <c r="B2103" t="s">
        <v>4155</v>
      </c>
      <c r="C2103" t="s">
        <v>27</v>
      </c>
      <c r="D2103" t="s">
        <v>1333</v>
      </c>
      <c r="E2103" s="2">
        <v>3019.2000000000003</v>
      </c>
      <c r="F2103" s="2">
        <v>3383.6300000000006</v>
      </c>
      <c r="G2103" s="2">
        <v>3016.0800000000004</v>
      </c>
      <c r="H2103" s="2"/>
      <c r="I2103" s="2">
        <v>1002.32</v>
      </c>
      <c r="J2103" s="2">
        <v>2873.3699999999994</v>
      </c>
      <c r="K2103" s="2">
        <v>1029.69</v>
      </c>
      <c r="L2103" s="2">
        <v>14324.289999999994</v>
      </c>
      <c r="M2103" t="s">
        <v>4400</v>
      </c>
      <c r="N2103" t="s">
        <v>4400</v>
      </c>
    </row>
    <row r="2104" spans="1:14" x14ac:dyDescent="0.4">
      <c r="A2104" t="s">
        <v>4156</v>
      </c>
      <c r="B2104" t="s">
        <v>4157</v>
      </c>
      <c r="C2104" t="s">
        <v>1525</v>
      </c>
      <c r="D2104" t="s">
        <v>1526</v>
      </c>
      <c r="E2104" s="2">
        <v>4006.4599999999996</v>
      </c>
      <c r="F2104" s="2">
        <v>2235.5899999999997</v>
      </c>
      <c r="G2104" s="2">
        <v>3766.4999999999991</v>
      </c>
      <c r="H2104" s="2">
        <v>3089.1499999999996</v>
      </c>
      <c r="I2104" s="2">
        <v>2943.3699999999994</v>
      </c>
      <c r="J2104" s="2">
        <v>3702.7599999999998</v>
      </c>
      <c r="K2104" s="2">
        <v>1541.9499999999998</v>
      </c>
      <c r="L2104" s="2">
        <v>21285.779999999988</v>
      </c>
      <c r="M2104" t="s">
        <v>4400</v>
      </c>
      <c r="N2104" t="s">
        <v>4400</v>
      </c>
    </row>
    <row r="2105" spans="1:14" x14ac:dyDescent="0.4">
      <c r="A2105" t="s">
        <v>4158</v>
      </c>
      <c r="B2105" t="s">
        <v>4159</v>
      </c>
      <c r="C2105" t="s">
        <v>52</v>
      </c>
      <c r="D2105" t="s">
        <v>156</v>
      </c>
      <c r="E2105" s="2">
        <v>4899.3</v>
      </c>
      <c r="F2105" s="2">
        <v>5725.47</v>
      </c>
      <c r="G2105" s="2">
        <v>6891.8200000000006</v>
      </c>
      <c r="H2105" s="2">
        <v>4419.3599999999997</v>
      </c>
      <c r="I2105" s="2">
        <v>3101.2000000000003</v>
      </c>
      <c r="J2105" s="2">
        <v>5111.949999999998</v>
      </c>
      <c r="K2105" s="2">
        <v>1752.5900000000001</v>
      </c>
      <c r="L2105" s="2">
        <v>31901.689999999995</v>
      </c>
      <c r="M2105" t="s">
        <v>4400</v>
      </c>
      <c r="N2105" t="s">
        <v>4400</v>
      </c>
    </row>
    <row r="2106" spans="1:14" x14ac:dyDescent="0.4">
      <c r="A2106" t="s">
        <v>4160</v>
      </c>
      <c r="B2106" t="s">
        <v>4161</v>
      </c>
      <c r="C2106" t="s">
        <v>35</v>
      </c>
      <c r="D2106" t="s">
        <v>36</v>
      </c>
      <c r="E2106" s="2">
        <v>5317.3300000000027</v>
      </c>
      <c r="F2106" s="2">
        <v>3880.6999999999985</v>
      </c>
      <c r="G2106" s="2">
        <v>3577.4399999999987</v>
      </c>
      <c r="H2106" s="2">
        <v>2307.8599999999992</v>
      </c>
      <c r="I2106" s="2">
        <v>3808.7399999999984</v>
      </c>
      <c r="J2106" s="2">
        <v>2981.1999999999989</v>
      </c>
      <c r="K2106" s="2">
        <v>1446.9099999999999</v>
      </c>
      <c r="L2106" s="2">
        <v>23320.18000000004</v>
      </c>
      <c r="M2106" t="s">
        <v>4400</v>
      </c>
      <c r="N2106" t="s">
        <v>4400</v>
      </c>
    </row>
    <row r="2107" spans="1:14" x14ac:dyDescent="0.4">
      <c r="A2107" t="s">
        <v>4162</v>
      </c>
      <c r="B2107" t="s">
        <v>750</v>
      </c>
      <c r="C2107" t="s">
        <v>433</v>
      </c>
      <c r="D2107" t="s">
        <v>1174</v>
      </c>
      <c r="E2107" s="2">
        <v>4868.9100000000017</v>
      </c>
      <c r="F2107" s="2">
        <v>5727.9000000000005</v>
      </c>
      <c r="G2107" s="2">
        <v>7444.5299999999988</v>
      </c>
      <c r="H2107" s="2">
        <v>7189.3300000000008</v>
      </c>
      <c r="I2107" s="2">
        <v>9655.6299999999992</v>
      </c>
      <c r="J2107" s="2">
        <v>7404.9500000000016</v>
      </c>
      <c r="K2107" s="2">
        <v>2262.83</v>
      </c>
      <c r="L2107" s="2">
        <v>44554.079999999987</v>
      </c>
      <c r="M2107" t="s">
        <v>4400</v>
      </c>
      <c r="N2107" t="s">
        <v>4400</v>
      </c>
    </row>
    <row r="2108" spans="1:14" x14ac:dyDescent="0.4">
      <c r="A2108" t="s">
        <v>4163</v>
      </c>
      <c r="B2108" t="s">
        <v>3313</v>
      </c>
      <c r="C2108" t="s">
        <v>113</v>
      </c>
      <c r="D2108" t="s">
        <v>805</v>
      </c>
      <c r="E2108" s="2">
        <v>729</v>
      </c>
      <c r="F2108" s="2"/>
      <c r="G2108" s="2"/>
      <c r="H2108" s="2"/>
      <c r="I2108" s="2"/>
      <c r="J2108" s="2"/>
      <c r="K2108" s="2"/>
      <c r="L2108" s="2">
        <v>729</v>
      </c>
      <c r="M2108" t="s">
        <v>4400</v>
      </c>
      <c r="N2108" t="s">
        <v>4407</v>
      </c>
    </row>
    <row r="2109" spans="1:14" x14ac:dyDescent="0.4">
      <c r="A2109" t="s">
        <v>4164</v>
      </c>
      <c r="B2109" t="s">
        <v>3331</v>
      </c>
      <c r="C2109" t="s">
        <v>64</v>
      </c>
      <c r="D2109" t="s">
        <v>693</v>
      </c>
      <c r="E2109" s="2"/>
      <c r="F2109" s="2"/>
      <c r="G2109" s="2"/>
      <c r="H2109" s="2"/>
      <c r="I2109" s="2">
        <v>920.37000000000012</v>
      </c>
      <c r="J2109" s="2">
        <v>1512.63</v>
      </c>
      <c r="K2109" s="2"/>
      <c r="L2109" s="2">
        <v>2433.0000000000005</v>
      </c>
      <c r="M2109" t="s">
        <v>4408</v>
      </c>
      <c r="N2109" t="s">
        <v>4406</v>
      </c>
    </row>
    <row r="2110" spans="1:14" x14ac:dyDescent="0.4">
      <c r="A2110" t="s">
        <v>4165</v>
      </c>
      <c r="B2110" t="s">
        <v>3661</v>
      </c>
      <c r="C2110" t="s">
        <v>35</v>
      </c>
      <c r="D2110" t="s">
        <v>1712</v>
      </c>
      <c r="E2110" s="2">
        <v>4764.7800000000016</v>
      </c>
      <c r="F2110" s="2">
        <v>3633.9799999999982</v>
      </c>
      <c r="G2110" s="2">
        <v>3415.5299999999984</v>
      </c>
      <c r="H2110" s="2">
        <v>3513.1899999999982</v>
      </c>
      <c r="I2110" s="2">
        <v>3988.6399999999985</v>
      </c>
      <c r="J2110" s="2">
        <v>4823.8900000000003</v>
      </c>
      <c r="K2110" s="2">
        <v>2120.2499999999995</v>
      </c>
      <c r="L2110" s="2">
        <v>26260.260000000017</v>
      </c>
      <c r="M2110" t="s">
        <v>4400</v>
      </c>
      <c r="N2110" t="s">
        <v>4400</v>
      </c>
    </row>
    <row r="2111" spans="1:14" x14ac:dyDescent="0.4">
      <c r="A2111" t="s">
        <v>4166</v>
      </c>
      <c r="B2111" t="s">
        <v>4167</v>
      </c>
      <c r="C2111" t="s">
        <v>291</v>
      </c>
      <c r="D2111" t="s">
        <v>295</v>
      </c>
      <c r="E2111" s="2">
        <v>3805.9900000000002</v>
      </c>
      <c r="F2111" s="2">
        <v>3049.6300000000006</v>
      </c>
      <c r="G2111" s="2">
        <v>1734.3899999999999</v>
      </c>
      <c r="H2111" s="2">
        <v>2600.0800000000004</v>
      </c>
      <c r="I2111" s="2">
        <v>2357.1199999999994</v>
      </c>
      <c r="J2111" s="2">
        <v>741.16</v>
      </c>
      <c r="K2111" s="2">
        <v>719.87999999999988</v>
      </c>
      <c r="L2111" s="2">
        <v>15008.249999999985</v>
      </c>
      <c r="M2111" t="s">
        <v>4400</v>
      </c>
      <c r="N2111" t="s">
        <v>4400</v>
      </c>
    </row>
    <row r="2112" spans="1:14" x14ac:dyDescent="0.4">
      <c r="A2112" t="s">
        <v>4168</v>
      </c>
      <c r="B2112" t="s">
        <v>2810</v>
      </c>
      <c r="C2112" t="s">
        <v>163</v>
      </c>
      <c r="D2112" t="s">
        <v>2811</v>
      </c>
      <c r="E2112" s="2">
        <v>3022.3199999999993</v>
      </c>
      <c r="F2112" s="2">
        <v>2366.9700000000007</v>
      </c>
      <c r="G2112" s="2">
        <v>3045.4499999999994</v>
      </c>
      <c r="H2112" s="2">
        <v>3130.2599999999998</v>
      </c>
      <c r="I2112" s="2">
        <v>2313.0000000000005</v>
      </c>
      <c r="J2112" s="2">
        <v>3125.12</v>
      </c>
      <c r="K2112" s="2">
        <v>968.88999999999987</v>
      </c>
      <c r="L2112" s="2">
        <v>17972.010000000009</v>
      </c>
      <c r="M2112" t="s">
        <v>4400</v>
      </c>
      <c r="N2112" t="s">
        <v>4400</v>
      </c>
    </row>
    <row r="2113" spans="1:14" x14ac:dyDescent="0.4">
      <c r="A2113" t="s">
        <v>4169</v>
      </c>
      <c r="B2113" t="s">
        <v>3581</v>
      </c>
      <c r="C2113" t="s">
        <v>64</v>
      </c>
      <c r="D2113" t="s">
        <v>68</v>
      </c>
      <c r="E2113" s="2">
        <v>2296.3200000000006</v>
      </c>
      <c r="F2113" s="2">
        <v>2381.35</v>
      </c>
      <c r="G2113" s="2">
        <v>2363.13</v>
      </c>
      <c r="H2113" s="2">
        <v>719.87</v>
      </c>
      <c r="I2113" s="2">
        <v>1776.9099999999999</v>
      </c>
      <c r="J2113" s="2">
        <v>1710.0599999999997</v>
      </c>
      <c r="K2113" s="2"/>
      <c r="L2113" s="2">
        <v>11247.639999999983</v>
      </c>
      <c r="M2113" t="s">
        <v>4400</v>
      </c>
      <c r="N2113" t="s">
        <v>4406</v>
      </c>
    </row>
    <row r="2114" spans="1:14" x14ac:dyDescent="0.4">
      <c r="A2114" t="s">
        <v>4170</v>
      </c>
      <c r="B2114" t="s">
        <v>2652</v>
      </c>
      <c r="C2114" t="s">
        <v>64</v>
      </c>
      <c r="D2114" t="s">
        <v>2223</v>
      </c>
      <c r="E2114" s="2">
        <v>3723.9299999999994</v>
      </c>
      <c r="F2114" s="2">
        <v>1781.01</v>
      </c>
      <c r="G2114" s="2">
        <v>1547.14</v>
      </c>
      <c r="H2114" s="2">
        <v>2693.3599999999992</v>
      </c>
      <c r="I2114" s="2">
        <v>2731.9099999999994</v>
      </c>
      <c r="J2114" s="2">
        <v>2785.8799999999997</v>
      </c>
      <c r="K2114" s="2">
        <v>1935.2099999999998</v>
      </c>
      <c r="L2114" s="2">
        <v>17198.44000000001</v>
      </c>
      <c r="M2114" t="s">
        <v>4400</v>
      </c>
      <c r="N2114" t="s">
        <v>4400</v>
      </c>
    </row>
    <row r="2115" spans="1:14" x14ac:dyDescent="0.4">
      <c r="A2115" t="s">
        <v>4171</v>
      </c>
      <c r="B2115" t="s">
        <v>4172</v>
      </c>
      <c r="C2115" t="s">
        <v>35</v>
      </c>
      <c r="D2115" t="s">
        <v>36</v>
      </c>
      <c r="E2115" s="2">
        <v>1506.54</v>
      </c>
      <c r="F2115" s="2">
        <v>1621.97</v>
      </c>
      <c r="G2115" s="2">
        <v>1541.3299999999995</v>
      </c>
      <c r="H2115" s="2">
        <v>3004.329999999999</v>
      </c>
      <c r="I2115" s="2"/>
      <c r="J2115" s="2">
        <v>750.44</v>
      </c>
      <c r="K2115" s="2">
        <v>763.29</v>
      </c>
      <c r="L2115" s="2">
        <v>9187.9000000000051</v>
      </c>
      <c r="M2115" t="s">
        <v>4400</v>
      </c>
      <c r="N2115" t="s">
        <v>4400</v>
      </c>
    </row>
    <row r="2116" spans="1:14" x14ac:dyDescent="0.4">
      <c r="A2116" t="s">
        <v>4173</v>
      </c>
      <c r="B2116" t="s">
        <v>4174</v>
      </c>
      <c r="C2116" t="s">
        <v>23</v>
      </c>
      <c r="D2116" t="s">
        <v>24</v>
      </c>
      <c r="E2116" s="2"/>
      <c r="F2116" s="2"/>
      <c r="G2116" s="2">
        <v>765.44</v>
      </c>
      <c r="H2116" s="2"/>
      <c r="I2116" s="2"/>
      <c r="J2116" s="2"/>
      <c r="K2116" s="2"/>
      <c r="L2116" s="2">
        <v>765.44</v>
      </c>
      <c r="M2116" t="s">
        <v>4411</v>
      </c>
      <c r="N2116" t="s">
        <v>4403</v>
      </c>
    </row>
    <row r="2117" spans="1:14" x14ac:dyDescent="0.4">
      <c r="A2117" t="s">
        <v>4175</v>
      </c>
      <c r="B2117" t="s">
        <v>4176</v>
      </c>
      <c r="C2117" t="s">
        <v>64</v>
      </c>
      <c r="D2117" t="s">
        <v>2728</v>
      </c>
      <c r="E2117" s="2">
        <v>3168.02</v>
      </c>
      <c r="F2117" s="2">
        <v>4659.3999999999987</v>
      </c>
      <c r="G2117" s="2">
        <v>5980.7099999999955</v>
      </c>
      <c r="H2117" s="2">
        <v>3818.0699999999988</v>
      </c>
      <c r="I2117" s="2">
        <v>4440.7099999999973</v>
      </c>
      <c r="J2117" s="2">
        <v>4632.0499999999965</v>
      </c>
      <c r="K2117" s="2">
        <v>1779.92</v>
      </c>
      <c r="L2117" s="2">
        <v>28478.880000000019</v>
      </c>
      <c r="M2117" t="s">
        <v>4400</v>
      </c>
      <c r="N2117" t="s">
        <v>4400</v>
      </c>
    </row>
    <row r="2118" spans="1:14" x14ac:dyDescent="0.4">
      <c r="A2118" t="s">
        <v>4177</v>
      </c>
      <c r="B2118" t="s">
        <v>4178</v>
      </c>
      <c r="C2118" t="s">
        <v>163</v>
      </c>
      <c r="D2118" t="s">
        <v>2623</v>
      </c>
      <c r="E2118" s="2">
        <v>2256.8699999999994</v>
      </c>
      <c r="F2118" s="2">
        <v>2931.18</v>
      </c>
      <c r="G2118" s="2">
        <v>750.27</v>
      </c>
      <c r="H2118" s="2"/>
      <c r="I2118" s="2"/>
      <c r="J2118" s="2"/>
      <c r="K2118" s="2"/>
      <c r="L2118" s="2">
        <v>5938.3199999999979</v>
      </c>
      <c r="M2118" t="s">
        <v>4400</v>
      </c>
      <c r="N2118" t="s">
        <v>4403</v>
      </c>
    </row>
    <row r="2119" spans="1:14" x14ac:dyDescent="0.4">
      <c r="A2119" t="s">
        <v>4179</v>
      </c>
      <c r="B2119" t="s">
        <v>4180</v>
      </c>
      <c r="C2119" t="s">
        <v>64</v>
      </c>
      <c r="D2119" t="s">
        <v>808</v>
      </c>
      <c r="E2119" s="2">
        <v>2575.71</v>
      </c>
      <c r="F2119" s="2">
        <v>2408.6499999999996</v>
      </c>
      <c r="G2119" s="2">
        <v>1078.27</v>
      </c>
      <c r="H2119" s="2"/>
      <c r="I2119" s="2"/>
      <c r="J2119" s="2"/>
      <c r="K2119" s="2"/>
      <c r="L2119" s="2">
        <v>6062.6299999999992</v>
      </c>
      <c r="M2119" t="s">
        <v>4400</v>
      </c>
      <c r="N2119" t="s">
        <v>4403</v>
      </c>
    </row>
    <row r="2120" spans="1:14" x14ac:dyDescent="0.4">
      <c r="A2120" t="s">
        <v>4181</v>
      </c>
      <c r="B2120" t="s">
        <v>4182</v>
      </c>
      <c r="C2120" t="s">
        <v>35</v>
      </c>
      <c r="D2120" t="s">
        <v>1702</v>
      </c>
      <c r="E2120" s="2">
        <v>938.05</v>
      </c>
      <c r="F2120" s="2"/>
      <c r="G2120" s="2">
        <v>1045.99</v>
      </c>
      <c r="H2120" s="2">
        <v>1603.6799999999998</v>
      </c>
      <c r="I2120" s="2">
        <v>938.04999999999984</v>
      </c>
      <c r="J2120" s="2">
        <v>956.04</v>
      </c>
      <c r="K2120" s="2"/>
      <c r="L2120" s="2">
        <v>5481.81</v>
      </c>
      <c r="M2120" t="s">
        <v>4400</v>
      </c>
      <c r="N2120" t="s">
        <v>4406</v>
      </c>
    </row>
    <row r="2121" spans="1:14" x14ac:dyDescent="0.4">
      <c r="A2121" t="s">
        <v>4183</v>
      </c>
      <c r="B2121" t="s">
        <v>4184</v>
      </c>
      <c r="C2121" t="s">
        <v>13</v>
      </c>
      <c r="D2121" t="s">
        <v>14</v>
      </c>
      <c r="E2121" s="2">
        <v>3526.0400000000004</v>
      </c>
      <c r="F2121" s="2">
        <v>3410.3899999999994</v>
      </c>
      <c r="G2121" s="2">
        <v>3294.7400000000002</v>
      </c>
      <c r="H2121" s="2">
        <v>3705.94</v>
      </c>
      <c r="I2121" s="2">
        <v>2223.0499999999997</v>
      </c>
      <c r="J2121" s="2">
        <v>3137.97</v>
      </c>
      <c r="K2121" s="2">
        <v>1536.86</v>
      </c>
      <c r="L2121" s="2">
        <v>20834.990000000031</v>
      </c>
      <c r="M2121" t="s">
        <v>4400</v>
      </c>
      <c r="N2121" t="s">
        <v>4400</v>
      </c>
    </row>
    <row r="2122" spans="1:14" x14ac:dyDescent="0.4">
      <c r="A2122" t="s">
        <v>4185</v>
      </c>
      <c r="B2122" t="s">
        <v>4186</v>
      </c>
      <c r="C2122" t="s">
        <v>172</v>
      </c>
      <c r="D2122" t="s">
        <v>173</v>
      </c>
      <c r="E2122" s="2">
        <v>2192.9700000000003</v>
      </c>
      <c r="F2122" s="2">
        <v>2946.28</v>
      </c>
      <c r="G2122" s="2">
        <v>3684.3999999999992</v>
      </c>
      <c r="H2122" s="2">
        <v>2268.9599999999996</v>
      </c>
      <c r="I2122" s="2">
        <v>2262.8799999999997</v>
      </c>
      <c r="J2122" s="2">
        <v>3690.44</v>
      </c>
      <c r="K2122" s="2">
        <v>738.08</v>
      </c>
      <c r="L2122" s="2">
        <v>17784.00999999998</v>
      </c>
      <c r="M2122" t="s">
        <v>4400</v>
      </c>
      <c r="N2122" t="s">
        <v>4400</v>
      </c>
    </row>
    <row r="2123" spans="1:14" x14ac:dyDescent="0.4">
      <c r="A2123" t="s">
        <v>4187</v>
      </c>
      <c r="B2123" t="s">
        <v>4188</v>
      </c>
      <c r="C2123" t="s">
        <v>103</v>
      </c>
      <c r="D2123" t="s">
        <v>1619</v>
      </c>
      <c r="E2123" s="2">
        <v>716.81999999999994</v>
      </c>
      <c r="F2123" s="2">
        <v>777.6</v>
      </c>
      <c r="G2123" s="2"/>
      <c r="H2123" s="2">
        <v>777.57999999999993</v>
      </c>
      <c r="I2123" s="2"/>
      <c r="J2123" s="2"/>
      <c r="K2123" s="2"/>
      <c r="L2123" s="2">
        <v>2272.0000000000005</v>
      </c>
      <c r="M2123" t="s">
        <v>4400</v>
      </c>
      <c r="N2123" t="s">
        <v>4402</v>
      </c>
    </row>
    <row r="2124" spans="1:14" x14ac:dyDescent="0.4">
      <c r="A2124" t="s">
        <v>4189</v>
      </c>
      <c r="B2124" t="s">
        <v>4190</v>
      </c>
      <c r="C2124" t="s">
        <v>103</v>
      </c>
      <c r="D2124" t="s">
        <v>1882</v>
      </c>
      <c r="E2124" s="2">
        <v>1494.3899999999996</v>
      </c>
      <c r="F2124" s="2">
        <v>3204.4699999999993</v>
      </c>
      <c r="G2124" s="2">
        <v>892.98</v>
      </c>
      <c r="H2124" s="2"/>
      <c r="I2124" s="2">
        <v>1612.86</v>
      </c>
      <c r="J2124" s="2">
        <v>3237.8599999999992</v>
      </c>
      <c r="K2124" s="2">
        <v>1485.3</v>
      </c>
      <c r="L2124" s="2">
        <v>11927.85999999999</v>
      </c>
      <c r="M2124" t="s">
        <v>4400</v>
      </c>
      <c r="N2124" t="s">
        <v>4400</v>
      </c>
    </row>
    <row r="2125" spans="1:14" x14ac:dyDescent="0.4">
      <c r="A2125" t="s">
        <v>4191</v>
      </c>
      <c r="B2125" t="s">
        <v>3952</v>
      </c>
      <c r="C2125" t="s">
        <v>113</v>
      </c>
      <c r="D2125" t="s">
        <v>114</v>
      </c>
      <c r="E2125" s="2">
        <v>3194.51</v>
      </c>
      <c r="F2125" s="2">
        <v>3495.1999999999994</v>
      </c>
      <c r="G2125" s="2">
        <v>3610.849999999999</v>
      </c>
      <c r="H2125" s="2">
        <v>4261.0599999999995</v>
      </c>
      <c r="I2125" s="2">
        <v>1858.11</v>
      </c>
      <c r="J2125" s="2"/>
      <c r="K2125" s="2"/>
      <c r="L2125" s="2">
        <v>16419.73000000001</v>
      </c>
      <c r="M2125" t="s">
        <v>4400</v>
      </c>
      <c r="N2125" t="s">
        <v>4401</v>
      </c>
    </row>
    <row r="2126" spans="1:14" x14ac:dyDescent="0.4">
      <c r="A2126" t="s">
        <v>4192</v>
      </c>
      <c r="B2126" t="s">
        <v>4193</v>
      </c>
      <c r="C2126" t="s">
        <v>64</v>
      </c>
      <c r="D2126" t="s">
        <v>2971</v>
      </c>
      <c r="E2126" s="2"/>
      <c r="F2126" s="2">
        <v>899.49999999999977</v>
      </c>
      <c r="G2126" s="2"/>
      <c r="H2126" s="2"/>
      <c r="I2126" s="2"/>
      <c r="J2126" s="2"/>
      <c r="K2126" s="2"/>
      <c r="L2126" s="2">
        <v>899.49999999999977</v>
      </c>
      <c r="M2126" t="s">
        <v>4412</v>
      </c>
      <c r="N2126" t="s">
        <v>4410</v>
      </c>
    </row>
    <row r="2127" spans="1:14" x14ac:dyDescent="0.4">
      <c r="A2127" t="s">
        <v>4194</v>
      </c>
      <c r="B2127" t="s">
        <v>4195</v>
      </c>
      <c r="C2127" t="s">
        <v>64</v>
      </c>
      <c r="D2127" t="s">
        <v>2720</v>
      </c>
      <c r="E2127" s="2">
        <v>1561.2199999999998</v>
      </c>
      <c r="F2127" s="2">
        <v>3632.7500000000005</v>
      </c>
      <c r="G2127" s="2">
        <v>1056.99</v>
      </c>
      <c r="H2127" s="2"/>
      <c r="I2127" s="2"/>
      <c r="J2127" s="2"/>
      <c r="K2127" s="2"/>
      <c r="L2127" s="2">
        <v>6250.9599999999964</v>
      </c>
      <c r="M2127" t="s">
        <v>4400</v>
      </c>
      <c r="N2127" t="s">
        <v>4403</v>
      </c>
    </row>
    <row r="2128" spans="1:14" x14ac:dyDescent="0.4">
      <c r="A2128" t="s">
        <v>4196</v>
      </c>
      <c r="B2128" t="s">
        <v>2960</v>
      </c>
      <c r="C2128" t="s">
        <v>27</v>
      </c>
      <c r="D2128" t="s">
        <v>28</v>
      </c>
      <c r="E2128" s="2">
        <v>2475.4700000000003</v>
      </c>
      <c r="F2128" s="2">
        <v>2338.7700000000004</v>
      </c>
      <c r="G2128" s="2">
        <v>1591.5799999999997</v>
      </c>
      <c r="H2128" s="2"/>
      <c r="I2128" s="2"/>
      <c r="J2128" s="2"/>
      <c r="K2128" s="2"/>
      <c r="L2128" s="2">
        <v>6405.8199999999952</v>
      </c>
      <c r="M2128" t="s">
        <v>4400</v>
      </c>
      <c r="N2128" t="s">
        <v>4403</v>
      </c>
    </row>
    <row r="2129" spans="1:14" x14ac:dyDescent="0.4">
      <c r="A2129" t="s">
        <v>4197</v>
      </c>
      <c r="B2129" t="s">
        <v>4198</v>
      </c>
      <c r="C2129" t="s">
        <v>64</v>
      </c>
      <c r="D2129" t="s">
        <v>68</v>
      </c>
      <c r="E2129" s="2">
        <v>2609.1699999999992</v>
      </c>
      <c r="F2129" s="2">
        <v>741.15000000000009</v>
      </c>
      <c r="G2129" s="2">
        <v>741.14</v>
      </c>
      <c r="H2129" s="2">
        <v>1451.8899999999999</v>
      </c>
      <c r="I2129" s="2"/>
      <c r="J2129" s="2">
        <v>1011.4499999999999</v>
      </c>
      <c r="K2129" s="2"/>
      <c r="L2129" s="2">
        <v>6554.7999999999975</v>
      </c>
      <c r="M2129" t="s">
        <v>4400</v>
      </c>
      <c r="N2129" t="s">
        <v>4406</v>
      </c>
    </row>
    <row r="2130" spans="1:14" x14ac:dyDescent="0.4">
      <c r="A2130" t="s">
        <v>4199</v>
      </c>
      <c r="B2130" t="s">
        <v>4200</v>
      </c>
      <c r="C2130" t="s">
        <v>220</v>
      </c>
      <c r="D2130" t="s">
        <v>797</v>
      </c>
      <c r="E2130" s="2"/>
      <c r="F2130" s="2"/>
      <c r="G2130" s="2"/>
      <c r="H2130" s="2">
        <v>1081.3300000000002</v>
      </c>
      <c r="I2130" s="2"/>
      <c r="J2130" s="2"/>
      <c r="K2130" s="2"/>
      <c r="L2130" s="2">
        <v>1081.3300000000002</v>
      </c>
      <c r="M2130" t="s">
        <v>4409</v>
      </c>
      <c r="N2130" t="s">
        <v>4402</v>
      </c>
    </row>
    <row r="2131" spans="1:14" x14ac:dyDescent="0.4">
      <c r="A2131" t="s">
        <v>4201</v>
      </c>
      <c r="B2131" t="s">
        <v>3844</v>
      </c>
      <c r="C2131" t="s">
        <v>35</v>
      </c>
      <c r="D2131" t="s">
        <v>36</v>
      </c>
      <c r="E2131" s="2">
        <v>4672.2599999999993</v>
      </c>
      <c r="F2131" s="2">
        <v>4358.72</v>
      </c>
      <c r="G2131" s="2">
        <v>2402.9500000000003</v>
      </c>
      <c r="H2131" s="2">
        <v>4137.7000000000007</v>
      </c>
      <c r="I2131" s="2">
        <v>5240.5400000000009</v>
      </c>
      <c r="J2131" s="2">
        <v>2359.2599999999993</v>
      </c>
      <c r="K2131" s="2">
        <v>1107.6699999999998</v>
      </c>
      <c r="L2131" s="2">
        <v>24279.100000000046</v>
      </c>
      <c r="M2131" t="s">
        <v>4400</v>
      </c>
      <c r="N2131" t="s">
        <v>4400</v>
      </c>
    </row>
    <row r="2132" spans="1:14" x14ac:dyDescent="0.4">
      <c r="A2132" t="s">
        <v>4202</v>
      </c>
      <c r="B2132" t="s">
        <v>4203</v>
      </c>
      <c r="C2132" t="s">
        <v>267</v>
      </c>
      <c r="D2132" t="s">
        <v>268</v>
      </c>
      <c r="E2132" s="2">
        <v>3620.6800000000003</v>
      </c>
      <c r="F2132" s="2">
        <v>3311.86</v>
      </c>
      <c r="G2132" s="2">
        <v>3222.7799999999997</v>
      </c>
      <c r="H2132" s="2">
        <v>5253.08</v>
      </c>
      <c r="I2132" s="2">
        <v>3646.8299999999981</v>
      </c>
      <c r="J2132" s="2">
        <v>3633.9799999999987</v>
      </c>
      <c r="K2132" s="2">
        <v>2202.12</v>
      </c>
      <c r="L2132" s="2">
        <v>24891.330000000053</v>
      </c>
      <c r="M2132" t="s">
        <v>4400</v>
      </c>
      <c r="N2132" t="s">
        <v>4400</v>
      </c>
    </row>
    <row r="2133" spans="1:14" x14ac:dyDescent="0.4">
      <c r="A2133" t="s">
        <v>4204</v>
      </c>
      <c r="B2133" t="s">
        <v>4205</v>
      </c>
      <c r="C2133" t="s">
        <v>64</v>
      </c>
      <c r="D2133" t="s">
        <v>2742</v>
      </c>
      <c r="E2133" s="2">
        <v>1242.3200000000002</v>
      </c>
      <c r="F2133" s="2">
        <v>732.02999999999986</v>
      </c>
      <c r="G2133" s="2">
        <v>2238.5899999999997</v>
      </c>
      <c r="H2133" s="2">
        <v>908.2</v>
      </c>
      <c r="I2133" s="2">
        <v>1090.45</v>
      </c>
      <c r="J2133" s="2">
        <v>1871.0599999999995</v>
      </c>
      <c r="K2133" s="2">
        <v>804.92</v>
      </c>
      <c r="L2133" s="2">
        <v>8887.57</v>
      </c>
      <c r="M2133" t="s">
        <v>4400</v>
      </c>
      <c r="N2133" t="s">
        <v>4400</v>
      </c>
    </row>
    <row r="2134" spans="1:14" x14ac:dyDescent="0.4">
      <c r="A2134" t="s">
        <v>4206</v>
      </c>
      <c r="B2134" t="s">
        <v>4207</v>
      </c>
      <c r="C2134" t="s">
        <v>35</v>
      </c>
      <c r="D2134" t="s">
        <v>1212</v>
      </c>
      <c r="E2134" s="2">
        <v>3344.14</v>
      </c>
      <c r="F2134" s="2">
        <v>5503.6900000000005</v>
      </c>
      <c r="G2134" s="2">
        <v>9859.2300000000014</v>
      </c>
      <c r="H2134" s="2">
        <v>3790.6</v>
      </c>
      <c r="I2134" s="2">
        <v>4747.3700000000008</v>
      </c>
      <c r="J2134" s="2">
        <v>4580.34</v>
      </c>
      <c r="K2134" s="2">
        <v>1600.69</v>
      </c>
      <c r="L2134" s="2">
        <v>33426.059999999969</v>
      </c>
      <c r="M2134" t="s">
        <v>4400</v>
      </c>
      <c r="N2134" t="s">
        <v>4400</v>
      </c>
    </row>
    <row r="2135" spans="1:14" x14ac:dyDescent="0.4">
      <c r="A2135" t="s">
        <v>4208</v>
      </c>
      <c r="B2135" t="s">
        <v>4209</v>
      </c>
      <c r="C2135" t="s">
        <v>113</v>
      </c>
      <c r="D2135" t="s">
        <v>114</v>
      </c>
      <c r="E2135" s="2"/>
      <c r="F2135" s="2">
        <v>722.91000000000008</v>
      </c>
      <c r="G2135" s="2"/>
      <c r="H2135" s="2">
        <v>725.95</v>
      </c>
      <c r="I2135" s="2">
        <v>2305.44</v>
      </c>
      <c r="J2135" s="2">
        <v>1503.55</v>
      </c>
      <c r="K2135" s="2">
        <v>783.66999999999985</v>
      </c>
      <c r="L2135" s="2">
        <v>6041.5199999999977</v>
      </c>
      <c r="M2135" t="s">
        <v>4412</v>
      </c>
      <c r="N2135" t="s">
        <v>4400</v>
      </c>
    </row>
    <row r="2136" spans="1:14" x14ac:dyDescent="0.4">
      <c r="A2136" t="s">
        <v>4210</v>
      </c>
      <c r="B2136" t="s">
        <v>4211</v>
      </c>
      <c r="C2136" t="s">
        <v>35</v>
      </c>
      <c r="D2136" t="s">
        <v>1212</v>
      </c>
      <c r="E2136" s="2">
        <v>1760.4500000000003</v>
      </c>
      <c r="F2136" s="2"/>
      <c r="G2136" s="2"/>
      <c r="H2136" s="2">
        <v>876.36999999999989</v>
      </c>
      <c r="I2136" s="2"/>
      <c r="J2136" s="2"/>
      <c r="K2136" s="2">
        <v>997.15999999999985</v>
      </c>
      <c r="L2136" s="2">
        <v>3633.98</v>
      </c>
      <c r="M2136" t="s">
        <v>4400</v>
      </c>
      <c r="N2136" t="s">
        <v>4400</v>
      </c>
    </row>
    <row r="2137" spans="1:14" x14ac:dyDescent="0.4">
      <c r="A2137" t="s">
        <v>4212</v>
      </c>
      <c r="B2137" t="s">
        <v>4213</v>
      </c>
      <c r="C2137" t="s">
        <v>163</v>
      </c>
      <c r="D2137" t="s">
        <v>164</v>
      </c>
      <c r="E2137" s="2">
        <v>1986.4499999999996</v>
      </c>
      <c r="F2137" s="2">
        <v>750.22</v>
      </c>
      <c r="G2137" s="2"/>
      <c r="H2137" s="2">
        <v>768.43000000000006</v>
      </c>
      <c r="I2137" s="2"/>
      <c r="J2137" s="2"/>
      <c r="K2137" s="2"/>
      <c r="L2137" s="2">
        <v>3505.1000000000004</v>
      </c>
      <c r="M2137" t="s">
        <v>4400</v>
      </c>
      <c r="N2137" t="s">
        <v>4402</v>
      </c>
    </row>
    <row r="2138" spans="1:14" x14ac:dyDescent="0.4">
      <c r="A2138" t="s">
        <v>4214</v>
      </c>
      <c r="B2138" t="s">
        <v>4215</v>
      </c>
      <c r="C2138" t="s">
        <v>113</v>
      </c>
      <c r="D2138" t="s">
        <v>114</v>
      </c>
      <c r="E2138" s="2">
        <v>2186.9100000000003</v>
      </c>
      <c r="F2138" s="2">
        <v>722.89999999999986</v>
      </c>
      <c r="G2138" s="2">
        <v>728.98</v>
      </c>
      <c r="H2138" s="2">
        <v>719.6</v>
      </c>
      <c r="I2138" s="2">
        <v>745.3</v>
      </c>
      <c r="J2138" s="2">
        <v>719.6</v>
      </c>
      <c r="K2138" s="2">
        <v>727.31</v>
      </c>
      <c r="L2138" s="2">
        <v>6550.6000000000022</v>
      </c>
      <c r="M2138" t="s">
        <v>4400</v>
      </c>
      <c r="N2138" t="s">
        <v>4400</v>
      </c>
    </row>
    <row r="2139" spans="1:14" x14ac:dyDescent="0.4">
      <c r="A2139" t="s">
        <v>4216</v>
      </c>
      <c r="B2139" t="s">
        <v>2502</v>
      </c>
      <c r="C2139" t="s">
        <v>291</v>
      </c>
      <c r="D2139" t="s">
        <v>295</v>
      </c>
      <c r="E2139" s="2">
        <v>1470.1299999999999</v>
      </c>
      <c r="F2139" s="2">
        <v>2199.1199999999994</v>
      </c>
      <c r="G2139" s="2">
        <v>1448.8700000000001</v>
      </c>
      <c r="H2139" s="2">
        <v>2308.4500000000003</v>
      </c>
      <c r="I2139" s="2">
        <v>2159.66</v>
      </c>
      <c r="J2139" s="2">
        <v>1937.9099999999999</v>
      </c>
      <c r="K2139" s="2">
        <v>716.85</v>
      </c>
      <c r="L2139" s="2">
        <v>12240.989999999994</v>
      </c>
      <c r="M2139" t="s">
        <v>4400</v>
      </c>
      <c r="N2139" t="s">
        <v>4400</v>
      </c>
    </row>
    <row r="2140" spans="1:14" x14ac:dyDescent="0.4">
      <c r="A2140" t="s">
        <v>4217</v>
      </c>
      <c r="B2140" t="s">
        <v>4218</v>
      </c>
      <c r="C2140" t="s">
        <v>178</v>
      </c>
      <c r="D2140" t="s">
        <v>179</v>
      </c>
      <c r="E2140" s="2">
        <v>1901.48</v>
      </c>
      <c r="F2140" s="2">
        <v>1600.75</v>
      </c>
      <c r="G2140" s="2">
        <v>1761.7</v>
      </c>
      <c r="H2140" s="2">
        <v>968.92000000000007</v>
      </c>
      <c r="I2140" s="2">
        <v>896.05</v>
      </c>
      <c r="J2140" s="2">
        <v>789.74</v>
      </c>
      <c r="K2140" s="2">
        <v>1051</v>
      </c>
      <c r="L2140" s="2">
        <v>8969.6400000000012</v>
      </c>
      <c r="M2140" t="s">
        <v>4400</v>
      </c>
      <c r="N2140" t="s">
        <v>4400</v>
      </c>
    </row>
    <row r="2141" spans="1:14" x14ac:dyDescent="0.4">
      <c r="A2141" t="s">
        <v>4219</v>
      </c>
      <c r="B2141" t="s">
        <v>4220</v>
      </c>
      <c r="C2141" t="s">
        <v>5</v>
      </c>
      <c r="D2141" t="s">
        <v>1354</v>
      </c>
      <c r="E2141" s="2">
        <v>771.5</v>
      </c>
      <c r="F2141" s="2"/>
      <c r="G2141" s="2"/>
      <c r="H2141" s="2"/>
      <c r="I2141" s="2"/>
      <c r="J2141" s="2"/>
      <c r="K2141" s="2"/>
      <c r="L2141" s="2">
        <v>771.5</v>
      </c>
      <c r="M2141" t="s">
        <v>4400</v>
      </c>
      <c r="N2141" t="s">
        <v>4407</v>
      </c>
    </row>
    <row r="2142" spans="1:14" x14ac:dyDescent="0.4">
      <c r="A2142" t="s">
        <v>4221</v>
      </c>
      <c r="B2142" t="s">
        <v>4222</v>
      </c>
      <c r="C2142" t="s">
        <v>1</v>
      </c>
      <c r="D2142" t="s">
        <v>2</v>
      </c>
      <c r="E2142" s="2">
        <v>1575.4099999999996</v>
      </c>
      <c r="F2142" s="2">
        <v>1480.3199999999997</v>
      </c>
      <c r="G2142" s="2">
        <v>1462.3299999999997</v>
      </c>
      <c r="H2142" s="2">
        <v>737.58999999999992</v>
      </c>
      <c r="I2142" s="2"/>
      <c r="J2142" s="2">
        <v>1601.11</v>
      </c>
      <c r="K2142" s="2">
        <v>881.51</v>
      </c>
      <c r="L2142" s="2">
        <v>7738.2700000000086</v>
      </c>
      <c r="M2142" t="s">
        <v>4400</v>
      </c>
      <c r="N2142" t="s">
        <v>4400</v>
      </c>
    </row>
    <row r="2143" spans="1:14" x14ac:dyDescent="0.4">
      <c r="A2143" t="s">
        <v>4223</v>
      </c>
      <c r="B2143" t="s">
        <v>4224</v>
      </c>
      <c r="C2143" t="s">
        <v>602</v>
      </c>
      <c r="D2143" t="s">
        <v>1638</v>
      </c>
      <c r="E2143" s="2">
        <v>1187.6500000000001</v>
      </c>
      <c r="F2143" s="2">
        <v>4911.6400000000021</v>
      </c>
      <c r="G2143" s="2">
        <v>4881.2100000000009</v>
      </c>
      <c r="H2143" s="2">
        <v>7013.4799999999987</v>
      </c>
      <c r="I2143" s="2">
        <v>2375.2700000000004</v>
      </c>
      <c r="J2143" s="2">
        <v>2253.7800000000007</v>
      </c>
      <c r="K2143" s="2">
        <v>1694.8700000000001</v>
      </c>
      <c r="L2143" s="2">
        <v>24317.900000000009</v>
      </c>
      <c r="M2143" t="s">
        <v>4400</v>
      </c>
      <c r="N2143" t="s">
        <v>4400</v>
      </c>
    </row>
    <row r="2144" spans="1:14" x14ac:dyDescent="0.4">
      <c r="A2144" t="s">
        <v>4225</v>
      </c>
      <c r="B2144" t="s">
        <v>3769</v>
      </c>
      <c r="C2144" t="s">
        <v>64</v>
      </c>
      <c r="D2144" t="s">
        <v>1424</v>
      </c>
      <c r="E2144" s="2">
        <v>905.14</v>
      </c>
      <c r="F2144" s="2">
        <v>899.09</v>
      </c>
      <c r="G2144" s="2"/>
      <c r="H2144" s="2"/>
      <c r="I2144" s="2"/>
      <c r="J2144" s="2"/>
      <c r="K2144" s="2"/>
      <c r="L2144" s="2">
        <v>1804.23</v>
      </c>
      <c r="M2144" t="s">
        <v>4400</v>
      </c>
      <c r="N2144" t="s">
        <v>4410</v>
      </c>
    </row>
    <row r="2145" spans="1:14" x14ac:dyDescent="0.4">
      <c r="A2145" t="s">
        <v>4226</v>
      </c>
      <c r="B2145" t="s">
        <v>4227</v>
      </c>
      <c r="C2145" t="s">
        <v>64</v>
      </c>
      <c r="D2145" t="s">
        <v>630</v>
      </c>
      <c r="E2145" s="2">
        <v>1002.36</v>
      </c>
      <c r="F2145" s="2"/>
      <c r="G2145" s="2"/>
      <c r="H2145" s="2"/>
      <c r="I2145" s="2"/>
      <c r="J2145" s="2"/>
      <c r="K2145" s="2"/>
      <c r="L2145" s="2">
        <v>1002.36</v>
      </c>
      <c r="M2145" t="s">
        <v>4400</v>
      </c>
      <c r="N2145" t="s">
        <v>4407</v>
      </c>
    </row>
    <row r="2146" spans="1:14" x14ac:dyDescent="0.4">
      <c r="A2146" t="s">
        <v>4228</v>
      </c>
      <c r="B2146" t="s">
        <v>4229</v>
      </c>
      <c r="C2146" t="s">
        <v>64</v>
      </c>
      <c r="D2146" t="s">
        <v>545</v>
      </c>
      <c r="E2146" s="2">
        <v>2238.59</v>
      </c>
      <c r="F2146" s="2">
        <v>3657.0999999999995</v>
      </c>
      <c r="G2146" s="2">
        <v>2229.5099999999998</v>
      </c>
      <c r="H2146" s="2">
        <v>2578.8099999999995</v>
      </c>
      <c r="I2146" s="2">
        <v>3960.849999999999</v>
      </c>
      <c r="J2146" s="2">
        <v>2557.5500000000002</v>
      </c>
      <c r="K2146" s="2">
        <v>729</v>
      </c>
      <c r="L2146" s="2">
        <v>17951.410000000007</v>
      </c>
      <c r="M2146" t="s">
        <v>4400</v>
      </c>
      <c r="N2146" t="s">
        <v>4400</v>
      </c>
    </row>
    <row r="2147" spans="1:14" x14ac:dyDescent="0.4">
      <c r="A2147" t="s">
        <v>4230</v>
      </c>
      <c r="B2147" t="s">
        <v>4231</v>
      </c>
      <c r="C2147" t="s">
        <v>78</v>
      </c>
      <c r="D2147" t="s">
        <v>768</v>
      </c>
      <c r="E2147" s="2">
        <v>2527.14</v>
      </c>
      <c r="F2147" s="2">
        <v>2405.62</v>
      </c>
      <c r="G2147" s="2">
        <v>3596.2900000000009</v>
      </c>
      <c r="H2147" s="2">
        <v>2815.68</v>
      </c>
      <c r="I2147" s="2">
        <v>4173.3899999999994</v>
      </c>
      <c r="J2147" s="2">
        <v>3462.66</v>
      </c>
      <c r="K2147" s="2">
        <v>1697.94</v>
      </c>
      <c r="L2147" s="2">
        <v>20678.72</v>
      </c>
      <c r="M2147" t="s">
        <v>4400</v>
      </c>
      <c r="N2147" t="s">
        <v>4400</v>
      </c>
    </row>
    <row r="2148" spans="1:14" x14ac:dyDescent="0.4">
      <c r="A2148" t="s">
        <v>4232</v>
      </c>
      <c r="B2148" t="s">
        <v>4233</v>
      </c>
      <c r="C2148" t="s">
        <v>35</v>
      </c>
      <c r="D2148" t="s">
        <v>36</v>
      </c>
      <c r="E2148" s="2"/>
      <c r="F2148" s="2"/>
      <c r="G2148" s="2"/>
      <c r="H2148" s="2">
        <v>1233.5999999999999</v>
      </c>
      <c r="I2148" s="2">
        <v>2384.9599999999996</v>
      </c>
      <c r="J2148" s="2">
        <v>4605.4399999999996</v>
      </c>
      <c r="K2148" s="2"/>
      <c r="L2148" s="2">
        <v>8224</v>
      </c>
      <c r="M2148" t="s">
        <v>4409</v>
      </c>
      <c r="N2148" t="s">
        <v>4406</v>
      </c>
    </row>
    <row r="2149" spans="1:14" x14ac:dyDescent="0.4">
      <c r="A2149" t="s">
        <v>4234</v>
      </c>
      <c r="B2149" t="s">
        <v>4235</v>
      </c>
      <c r="C2149" t="s">
        <v>64</v>
      </c>
      <c r="D2149" t="s">
        <v>2871</v>
      </c>
      <c r="E2149" s="2"/>
      <c r="F2149" s="2"/>
      <c r="G2149" s="2">
        <v>747.87</v>
      </c>
      <c r="H2149" s="2">
        <v>2744.7599999999998</v>
      </c>
      <c r="I2149" s="2">
        <v>1680.7800000000002</v>
      </c>
      <c r="J2149" s="2">
        <v>714.46</v>
      </c>
      <c r="K2149" s="2"/>
      <c r="L2149" s="2">
        <v>5887.8700000000035</v>
      </c>
      <c r="M2149" t="s">
        <v>4411</v>
      </c>
      <c r="N2149" t="s">
        <v>4406</v>
      </c>
    </row>
    <row r="2150" spans="1:14" x14ac:dyDescent="0.4">
      <c r="A2150" t="s">
        <v>4236</v>
      </c>
      <c r="B2150" t="s">
        <v>575</v>
      </c>
      <c r="C2150" t="s">
        <v>363</v>
      </c>
      <c r="D2150" t="s">
        <v>576</v>
      </c>
      <c r="E2150" s="2">
        <v>4920.6399999999994</v>
      </c>
      <c r="F2150" s="2">
        <v>3684.2799999999997</v>
      </c>
      <c r="G2150" s="2">
        <v>4659.32</v>
      </c>
      <c r="H2150" s="2">
        <v>3131.45</v>
      </c>
      <c r="I2150" s="2">
        <v>7359.4900000000025</v>
      </c>
      <c r="J2150" s="2">
        <v>7408.1600000000026</v>
      </c>
      <c r="K2150" s="2">
        <v>2921.9</v>
      </c>
      <c r="L2150" s="2">
        <v>34085.239999999954</v>
      </c>
      <c r="M2150" t="s">
        <v>4400</v>
      </c>
      <c r="N2150" t="s">
        <v>4400</v>
      </c>
    </row>
    <row r="2151" spans="1:14" x14ac:dyDescent="0.4">
      <c r="A2151" t="s">
        <v>4237</v>
      </c>
      <c r="B2151" t="s">
        <v>4238</v>
      </c>
      <c r="C2151" t="s">
        <v>78</v>
      </c>
      <c r="D2151" t="s">
        <v>768</v>
      </c>
      <c r="E2151" s="2">
        <v>2903.7399999999993</v>
      </c>
      <c r="F2151" s="2">
        <v>3374.4700000000003</v>
      </c>
      <c r="G2151" s="2">
        <v>3477.7400000000002</v>
      </c>
      <c r="H2151" s="2">
        <v>1044.8499999999999</v>
      </c>
      <c r="I2151" s="2">
        <v>2031.9799999999998</v>
      </c>
      <c r="J2151" s="2">
        <v>2545.3699999999994</v>
      </c>
      <c r="K2151" s="2"/>
      <c r="L2151" s="2">
        <v>15378.150000000007</v>
      </c>
      <c r="M2151" t="s">
        <v>4400</v>
      </c>
      <c r="N2151" t="s">
        <v>4406</v>
      </c>
    </row>
    <row r="2152" spans="1:14" x14ac:dyDescent="0.4">
      <c r="A2152" t="s">
        <v>4239</v>
      </c>
      <c r="B2152" t="s">
        <v>3287</v>
      </c>
      <c r="C2152" t="s">
        <v>167</v>
      </c>
      <c r="D2152" t="s">
        <v>168</v>
      </c>
      <c r="E2152" s="2"/>
      <c r="F2152" s="2">
        <v>801.90000000000009</v>
      </c>
      <c r="G2152" s="2">
        <v>768.49</v>
      </c>
      <c r="H2152" s="2">
        <v>768.49</v>
      </c>
      <c r="I2152" s="2">
        <v>768.49000000000012</v>
      </c>
      <c r="J2152" s="2">
        <v>777.61</v>
      </c>
      <c r="K2152" s="2">
        <v>1002.3600000000001</v>
      </c>
      <c r="L2152" s="2">
        <v>4887.34</v>
      </c>
      <c r="M2152" t="s">
        <v>4412</v>
      </c>
      <c r="N2152" t="s">
        <v>4400</v>
      </c>
    </row>
    <row r="2153" spans="1:14" x14ac:dyDescent="0.4">
      <c r="A2153" t="s">
        <v>4240</v>
      </c>
      <c r="B2153" t="s">
        <v>4241</v>
      </c>
      <c r="C2153" t="s">
        <v>64</v>
      </c>
      <c r="D2153" t="s">
        <v>1377</v>
      </c>
      <c r="E2153" s="2">
        <v>1539.9499999999998</v>
      </c>
      <c r="F2153" s="2">
        <v>1612.8400000000001</v>
      </c>
      <c r="G2153" s="2">
        <v>3392.7499999999991</v>
      </c>
      <c r="H2153" s="2">
        <v>2830.8300000000004</v>
      </c>
      <c r="I2153" s="2">
        <v>3137.619999999999</v>
      </c>
      <c r="J2153" s="2">
        <v>2888.5600000000004</v>
      </c>
      <c r="K2153" s="2">
        <v>987.15000000000009</v>
      </c>
      <c r="L2153" s="2">
        <v>16389.699999999983</v>
      </c>
      <c r="M2153" t="s">
        <v>4400</v>
      </c>
      <c r="N2153" t="s">
        <v>4400</v>
      </c>
    </row>
    <row r="2154" spans="1:14" x14ac:dyDescent="0.4">
      <c r="A2154" t="s">
        <v>4242</v>
      </c>
      <c r="B2154" t="s">
        <v>4243</v>
      </c>
      <c r="C2154" t="s">
        <v>113</v>
      </c>
      <c r="D2154" t="s">
        <v>615</v>
      </c>
      <c r="E2154" s="2"/>
      <c r="F2154" s="2"/>
      <c r="G2154" s="2">
        <v>1612.8700000000001</v>
      </c>
      <c r="H2154" s="2">
        <v>747.19999999999993</v>
      </c>
      <c r="I2154" s="2">
        <v>814.02</v>
      </c>
      <c r="J2154" s="2">
        <v>3028.2900000000004</v>
      </c>
      <c r="K2154" s="2">
        <v>753.28</v>
      </c>
      <c r="L2154" s="2">
        <v>6955.6599999999917</v>
      </c>
      <c r="M2154" t="s">
        <v>4411</v>
      </c>
      <c r="N2154" t="s">
        <v>4400</v>
      </c>
    </row>
    <row r="2155" spans="1:14" x14ac:dyDescent="0.4">
      <c r="A2155" t="s">
        <v>4244</v>
      </c>
      <c r="B2155" t="s">
        <v>4245</v>
      </c>
      <c r="C2155" t="s">
        <v>35</v>
      </c>
      <c r="D2155" t="s">
        <v>2386</v>
      </c>
      <c r="E2155" s="2">
        <v>729</v>
      </c>
      <c r="F2155" s="2"/>
      <c r="G2155" s="2"/>
      <c r="H2155" s="2"/>
      <c r="I2155" s="2"/>
      <c r="J2155" s="2"/>
      <c r="K2155" s="2"/>
      <c r="L2155" s="2">
        <v>729</v>
      </c>
      <c r="M2155" t="s">
        <v>4400</v>
      </c>
      <c r="N2155" t="s">
        <v>4407</v>
      </c>
    </row>
    <row r="2156" spans="1:14" x14ac:dyDescent="0.4">
      <c r="A2156" t="s">
        <v>4246</v>
      </c>
      <c r="B2156" t="s">
        <v>4247</v>
      </c>
      <c r="C2156" t="s">
        <v>35</v>
      </c>
      <c r="D2156" t="s">
        <v>1212</v>
      </c>
      <c r="E2156" s="2">
        <v>1807.2499999999998</v>
      </c>
      <c r="F2156" s="2"/>
      <c r="G2156" s="2"/>
      <c r="H2156" s="2">
        <v>2991.9100000000003</v>
      </c>
      <c r="I2156" s="2">
        <v>1807.25</v>
      </c>
      <c r="J2156" s="2">
        <v>1494.3999999999999</v>
      </c>
      <c r="K2156" s="2">
        <v>1521.77</v>
      </c>
      <c r="L2156" s="2">
        <v>9622.5799999999908</v>
      </c>
      <c r="M2156" t="s">
        <v>4400</v>
      </c>
      <c r="N2156" t="s">
        <v>4400</v>
      </c>
    </row>
    <row r="2157" spans="1:14" x14ac:dyDescent="0.4">
      <c r="A2157" t="s">
        <v>4248</v>
      </c>
      <c r="B2157" t="s">
        <v>896</v>
      </c>
      <c r="C2157" t="s">
        <v>199</v>
      </c>
      <c r="D2157" t="s">
        <v>612</v>
      </c>
      <c r="E2157" s="2"/>
      <c r="F2157" s="2">
        <v>2508.86</v>
      </c>
      <c r="G2157" s="2">
        <v>2302.33</v>
      </c>
      <c r="H2157" s="2">
        <v>2508.9500000000003</v>
      </c>
      <c r="I2157" s="2">
        <v>2508.8599999999997</v>
      </c>
      <c r="J2157" s="2">
        <v>2077.59</v>
      </c>
      <c r="K2157" s="2">
        <v>2214.2999999999997</v>
      </c>
      <c r="L2157" s="2">
        <v>14120.889999999998</v>
      </c>
      <c r="M2157" t="s">
        <v>4412</v>
      </c>
      <c r="N2157" t="s">
        <v>4400</v>
      </c>
    </row>
    <row r="2158" spans="1:14" x14ac:dyDescent="0.4">
      <c r="A2158" t="s">
        <v>4249</v>
      </c>
      <c r="B2158" t="s">
        <v>4250</v>
      </c>
      <c r="C2158" t="s">
        <v>64</v>
      </c>
      <c r="D2158" t="s">
        <v>74</v>
      </c>
      <c r="E2158" s="2">
        <v>725.95</v>
      </c>
      <c r="F2158" s="2">
        <v>735.07000000000016</v>
      </c>
      <c r="G2158" s="2"/>
      <c r="H2158" s="2"/>
      <c r="I2158" s="2"/>
      <c r="J2158" s="2"/>
      <c r="K2158" s="2"/>
      <c r="L2158" s="2">
        <v>1461.0200000000002</v>
      </c>
      <c r="M2158" t="s">
        <v>4400</v>
      </c>
      <c r="N2158" t="s">
        <v>4410</v>
      </c>
    </row>
    <row r="2159" spans="1:14" x14ac:dyDescent="0.4">
      <c r="A2159" t="s">
        <v>4251</v>
      </c>
      <c r="B2159" t="s">
        <v>4252</v>
      </c>
      <c r="C2159" t="s">
        <v>178</v>
      </c>
      <c r="D2159" t="s">
        <v>179</v>
      </c>
      <c r="E2159" s="2">
        <v>2782.24</v>
      </c>
      <c r="F2159" s="2">
        <v>2205.1499999999996</v>
      </c>
      <c r="G2159" s="2"/>
      <c r="H2159" s="2"/>
      <c r="I2159" s="2">
        <v>1725.2399999999998</v>
      </c>
      <c r="J2159" s="2">
        <v>2964.5</v>
      </c>
      <c r="K2159" s="2">
        <v>850.47</v>
      </c>
      <c r="L2159" s="2">
        <v>10527.599999999999</v>
      </c>
      <c r="M2159" t="s">
        <v>4400</v>
      </c>
      <c r="N2159" t="s">
        <v>4400</v>
      </c>
    </row>
    <row r="2160" spans="1:14" x14ac:dyDescent="0.4">
      <c r="A2160" t="s">
        <v>4253</v>
      </c>
      <c r="B2160" t="s">
        <v>4254</v>
      </c>
      <c r="C2160" t="s">
        <v>64</v>
      </c>
      <c r="D2160" t="s">
        <v>545</v>
      </c>
      <c r="E2160" s="2"/>
      <c r="F2160" s="2"/>
      <c r="G2160" s="2"/>
      <c r="H2160" s="2">
        <v>732.44999999999993</v>
      </c>
      <c r="I2160" s="2"/>
      <c r="J2160" s="2"/>
      <c r="K2160" s="2"/>
      <c r="L2160" s="2">
        <v>732.44999999999993</v>
      </c>
      <c r="M2160" t="s">
        <v>4409</v>
      </c>
      <c r="N2160" t="s">
        <v>4402</v>
      </c>
    </row>
    <row r="2161" spans="1:14" x14ac:dyDescent="0.4">
      <c r="A2161" t="s">
        <v>4255</v>
      </c>
      <c r="B2161" t="s">
        <v>4256</v>
      </c>
      <c r="C2161" t="s">
        <v>113</v>
      </c>
      <c r="D2161" t="s">
        <v>120</v>
      </c>
      <c r="E2161" s="2">
        <v>1558.17</v>
      </c>
      <c r="F2161" s="2"/>
      <c r="G2161" s="2">
        <v>1193.7</v>
      </c>
      <c r="H2161" s="2">
        <v>768.45999999999992</v>
      </c>
      <c r="I2161" s="2">
        <v>1047.8999999999999</v>
      </c>
      <c r="J2161" s="2">
        <v>1728.2599999999995</v>
      </c>
      <c r="K2161" s="2"/>
      <c r="L2161" s="2">
        <v>6296.4900000000007</v>
      </c>
      <c r="M2161" t="s">
        <v>4400</v>
      </c>
      <c r="N2161" t="s">
        <v>4406</v>
      </c>
    </row>
    <row r="2162" spans="1:14" x14ac:dyDescent="0.4">
      <c r="A2162" t="s">
        <v>4257</v>
      </c>
      <c r="B2162" t="s">
        <v>4258</v>
      </c>
      <c r="C2162" t="s">
        <v>113</v>
      </c>
      <c r="D2162" t="s">
        <v>114</v>
      </c>
      <c r="E2162" s="2"/>
      <c r="F2162" s="2">
        <v>1480.32</v>
      </c>
      <c r="G2162" s="2">
        <v>753.01</v>
      </c>
      <c r="H2162" s="2">
        <v>1444.3399999999997</v>
      </c>
      <c r="I2162" s="2">
        <v>737.58999999999992</v>
      </c>
      <c r="J2162" s="2"/>
      <c r="K2162" s="2">
        <v>735.01999999999987</v>
      </c>
      <c r="L2162" s="2">
        <v>5150.2800000000016</v>
      </c>
      <c r="M2162" t="s">
        <v>4412</v>
      </c>
      <c r="N2162" t="s">
        <v>4400</v>
      </c>
    </row>
    <row r="2163" spans="1:14" x14ac:dyDescent="0.4">
      <c r="A2163" t="s">
        <v>4259</v>
      </c>
      <c r="B2163" t="s">
        <v>4260</v>
      </c>
      <c r="C2163" t="s">
        <v>1</v>
      </c>
      <c r="D2163" t="s">
        <v>507</v>
      </c>
      <c r="E2163" s="2">
        <v>2495.4699999999993</v>
      </c>
      <c r="F2163" s="2">
        <v>786.69</v>
      </c>
      <c r="G2163" s="2"/>
      <c r="H2163" s="2"/>
      <c r="I2163" s="2">
        <v>1539.9900000000002</v>
      </c>
      <c r="J2163" s="2">
        <v>771.51</v>
      </c>
      <c r="K2163" s="2">
        <v>786.72</v>
      </c>
      <c r="L2163" s="2">
        <v>6380.3799999999947</v>
      </c>
      <c r="M2163" t="s">
        <v>4400</v>
      </c>
      <c r="N2163" t="s">
        <v>4400</v>
      </c>
    </row>
    <row r="2164" spans="1:14" x14ac:dyDescent="0.4">
      <c r="A2164" t="s">
        <v>4261</v>
      </c>
      <c r="B2164" t="s">
        <v>4262</v>
      </c>
      <c r="C2164" t="s">
        <v>64</v>
      </c>
      <c r="D2164" t="s">
        <v>2871</v>
      </c>
      <c r="E2164" s="2"/>
      <c r="F2164" s="2"/>
      <c r="G2164" s="2"/>
      <c r="H2164" s="2">
        <v>1832.4100000000003</v>
      </c>
      <c r="I2164" s="2"/>
      <c r="J2164" s="2">
        <v>753.00999999999988</v>
      </c>
      <c r="K2164" s="2"/>
      <c r="L2164" s="2">
        <v>2585.4200000000005</v>
      </c>
      <c r="M2164" t="s">
        <v>4409</v>
      </c>
      <c r="N2164" t="s">
        <v>4406</v>
      </c>
    </row>
    <row r="2165" spans="1:14" x14ac:dyDescent="0.4">
      <c r="A2165" t="s">
        <v>4263</v>
      </c>
      <c r="B2165" t="s">
        <v>4235</v>
      </c>
      <c r="C2165" t="s">
        <v>64</v>
      </c>
      <c r="D2165" t="s">
        <v>2871</v>
      </c>
      <c r="E2165" s="2"/>
      <c r="F2165" s="2"/>
      <c r="G2165" s="2">
        <v>917.4899999999999</v>
      </c>
      <c r="H2165" s="2">
        <v>4235.3599999999997</v>
      </c>
      <c r="I2165" s="2">
        <v>4034.9</v>
      </c>
      <c r="J2165" s="2">
        <v>2189.64</v>
      </c>
      <c r="K2165" s="2">
        <v>735.01999999999987</v>
      </c>
      <c r="L2165" s="2">
        <v>12112.410000000014</v>
      </c>
      <c r="M2165" t="s">
        <v>4411</v>
      </c>
      <c r="N2165" t="s">
        <v>4400</v>
      </c>
    </row>
    <row r="2166" spans="1:14" x14ac:dyDescent="0.4">
      <c r="A2166" t="s">
        <v>4264</v>
      </c>
      <c r="B2166" t="s">
        <v>4265</v>
      </c>
      <c r="C2166" t="s">
        <v>64</v>
      </c>
      <c r="D2166" t="s">
        <v>2885</v>
      </c>
      <c r="E2166" s="2">
        <v>892.98</v>
      </c>
      <c r="F2166" s="2"/>
      <c r="G2166" s="2"/>
      <c r="H2166" s="2"/>
      <c r="I2166" s="2"/>
      <c r="J2166" s="2"/>
      <c r="K2166" s="2"/>
      <c r="L2166" s="2">
        <v>892.98</v>
      </c>
      <c r="M2166" t="s">
        <v>4400</v>
      </c>
      <c r="N2166" t="s">
        <v>4407</v>
      </c>
    </row>
    <row r="2167" spans="1:14" x14ac:dyDescent="0.4">
      <c r="A2167" t="s">
        <v>4266</v>
      </c>
      <c r="B2167" t="s">
        <v>4267</v>
      </c>
      <c r="C2167" t="s">
        <v>35</v>
      </c>
      <c r="D2167" t="s">
        <v>1212</v>
      </c>
      <c r="E2167" s="2">
        <v>1579.5000000000002</v>
      </c>
      <c r="F2167" s="2">
        <v>768.49</v>
      </c>
      <c r="G2167" s="2"/>
      <c r="H2167" s="2"/>
      <c r="I2167" s="2"/>
      <c r="J2167" s="2"/>
      <c r="K2167" s="2"/>
      <c r="L2167" s="2">
        <v>2347.9900000000007</v>
      </c>
      <c r="M2167" t="s">
        <v>4400</v>
      </c>
      <c r="N2167" t="s">
        <v>4410</v>
      </c>
    </row>
    <row r="2168" spans="1:14" x14ac:dyDescent="0.4">
      <c r="A2168" t="s">
        <v>4268</v>
      </c>
      <c r="B2168" t="s">
        <v>4269</v>
      </c>
      <c r="C2168" t="s">
        <v>103</v>
      </c>
      <c r="D2168" t="s">
        <v>104</v>
      </c>
      <c r="E2168" s="2">
        <v>7520.6299999999992</v>
      </c>
      <c r="F2168" s="2">
        <v>6995.1799999999994</v>
      </c>
      <c r="G2168" s="2">
        <v>8914.9500000000007</v>
      </c>
      <c r="H2168" s="2">
        <v>6542.6299999999992</v>
      </c>
      <c r="I2168" s="2">
        <v>8270.9500000000007</v>
      </c>
      <c r="J2168" s="2">
        <v>7818.3599999999988</v>
      </c>
      <c r="K2168" s="2">
        <v>4097.49</v>
      </c>
      <c r="L2168" s="2">
        <v>50160.189999999988</v>
      </c>
      <c r="M2168" t="s">
        <v>4400</v>
      </c>
      <c r="N2168" t="s">
        <v>4400</v>
      </c>
    </row>
    <row r="2169" spans="1:14" x14ac:dyDescent="0.4">
      <c r="A2169" t="s">
        <v>4270</v>
      </c>
      <c r="B2169" t="s">
        <v>4271</v>
      </c>
      <c r="C2169" t="s">
        <v>103</v>
      </c>
      <c r="D2169" t="s">
        <v>653</v>
      </c>
      <c r="E2169" s="2">
        <v>1494.4299999999998</v>
      </c>
      <c r="F2169" s="2">
        <v>735.05999999999983</v>
      </c>
      <c r="G2169" s="2">
        <v>747.21999999999991</v>
      </c>
      <c r="H2169" s="2"/>
      <c r="I2169" s="2"/>
      <c r="J2169" s="2">
        <v>1509.5699999999995</v>
      </c>
      <c r="K2169" s="2">
        <v>941.59999999999991</v>
      </c>
      <c r="L2169" s="2">
        <v>5427.8799999999983</v>
      </c>
      <c r="M2169" t="s">
        <v>4400</v>
      </c>
      <c r="N2169" t="s">
        <v>4400</v>
      </c>
    </row>
    <row r="2170" spans="1:14" x14ac:dyDescent="0.4">
      <c r="A2170" t="s">
        <v>4272</v>
      </c>
      <c r="B2170" t="s">
        <v>2781</v>
      </c>
      <c r="C2170" t="s">
        <v>291</v>
      </c>
      <c r="D2170" t="s">
        <v>295</v>
      </c>
      <c r="E2170" s="2">
        <v>2214.27</v>
      </c>
      <c r="F2170" s="2">
        <v>2356.9500000000003</v>
      </c>
      <c r="G2170" s="2"/>
      <c r="H2170" s="2"/>
      <c r="I2170" s="2"/>
      <c r="J2170" s="2"/>
      <c r="K2170" s="2"/>
      <c r="L2170" s="2">
        <v>4571.2199999999984</v>
      </c>
      <c r="M2170" t="s">
        <v>4400</v>
      </c>
      <c r="N2170" t="s">
        <v>4410</v>
      </c>
    </row>
    <row r="2171" spans="1:14" x14ac:dyDescent="0.4">
      <c r="A2171" t="s">
        <v>4273</v>
      </c>
      <c r="B2171" t="s">
        <v>4274</v>
      </c>
      <c r="C2171" t="s">
        <v>19</v>
      </c>
      <c r="D2171" t="s">
        <v>681</v>
      </c>
      <c r="E2171" s="2"/>
      <c r="F2171" s="2">
        <v>2824.81</v>
      </c>
      <c r="G2171" s="2">
        <v>3945.63</v>
      </c>
      <c r="H2171" s="2">
        <v>2970.6299999999987</v>
      </c>
      <c r="I2171" s="2">
        <v>2934.15</v>
      </c>
      <c r="J2171" s="2">
        <v>3887.85</v>
      </c>
      <c r="K2171" s="2">
        <v>1688.8</v>
      </c>
      <c r="L2171" s="2">
        <v>18251.869999999988</v>
      </c>
      <c r="M2171" t="s">
        <v>4412</v>
      </c>
      <c r="N2171" t="s">
        <v>4400</v>
      </c>
    </row>
    <row r="2172" spans="1:14" x14ac:dyDescent="0.4">
      <c r="A2172" t="s">
        <v>4275</v>
      </c>
      <c r="B2172" t="s">
        <v>4276</v>
      </c>
      <c r="C2172" t="s">
        <v>31</v>
      </c>
      <c r="D2172" t="s">
        <v>471</v>
      </c>
      <c r="E2172" s="2">
        <v>4954.0599999999995</v>
      </c>
      <c r="F2172" s="2">
        <v>5008.7399999999989</v>
      </c>
      <c r="G2172" s="2">
        <v>2402.6299999999997</v>
      </c>
      <c r="H2172" s="2">
        <v>4003.3200000000006</v>
      </c>
      <c r="I2172" s="2">
        <v>3165.0400000000004</v>
      </c>
      <c r="J2172" s="2">
        <v>3951.7100000000009</v>
      </c>
      <c r="K2172" s="2">
        <v>2196.0700000000006</v>
      </c>
      <c r="L2172" s="2">
        <v>25681.570000000047</v>
      </c>
      <c r="M2172" t="s">
        <v>4400</v>
      </c>
      <c r="N2172" t="s">
        <v>4400</v>
      </c>
    </row>
    <row r="2173" spans="1:14" x14ac:dyDescent="0.4">
      <c r="A2173" t="s">
        <v>4277</v>
      </c>
      <c r="B2173" t="s">
        <v>4278</v>
      </c>
      <c r="C2173" t="s">
        <v>35</v>
      </c>
      <c r="D2173" t="s">
        <v>36</v>
      </c>
      <c r="E2173" s="2"/>
      <c r="F2173" s="2"/>
      <c r="G2173" s="2"/>
      <c r="H2173" s="2">
        <v>3431.74</v>
      </c>
      <c r="I2173" s="2">
        <v>2431.2199999999993</v>
      </c>
      <c r="J2173" s="2">
        <v>2498.04</v>
      </c>
      <c r="K2173" s="2"/>
      <c r="L2173" s="2">
        <v>8361</v>
      </c>
      <c r="M2173" t="s">
        <v>4409</v>
      </c>
      <c r="N2173" t="s">
        <v>4406</v>
      </c>
    </row>
    <row r="2174" spans="1:14" x14ac:dyDescent="0.4">
      <c r="A2174" t="s">
        <v>4279</v>
      </c>
      <c r="B2174" t="s">
        <v>2502</v>
      </c>
      <c r="C2174" t="s">
        <v>291</v>
      </c>
      <c r="D2174" t="s">
        <v>295</v>
      </c>
      <c r="E2174" s="2">
        <v>1457.96</v>
      </c>
      <c r="F2174" s="2">
        <v>722.92</v>
      </c>
      <c r="G2174" s="2">
        <v>1476.19</v>
      </c>
      <c r="H2174" s="2">
        <v>756.31999999999994</v>
      </c>
      <c r="I2174" s="2">
        <v>774.53</v>
      </c>
      <c r="J2174" s="2">
        <v>750.23</v>
      </c>
      <c r="K2174" s="2">
        <v>735.04</v>
      </c>
      <c r="L2174" s="2">
        <v>6673.189999999996</v>
      </c>
      <c r="M2174" t="s">
        <v>4400</v>
      </c>
      <c r="N2174" t="s">
        <v>4400</v>
      </c>
    </row>
    <row r="2175" spans="1:14" x14ac:dyDescent="0.4">
      <c r="A2175" t="s">
        <v>4280</v>
      </c>
      <c r="B2175" t="s">
        <v>4281</v>
      </c>
      <c r="C2175" t="s">
        <v>64</v>
      </c>
      <c r="D2175" t="s">
        <v>1377</v>
      </c>
      <c r="E2175" s="2">
        <v>2384.39</v>
      </c>
      <c r="F2175" s="2">
        <v>1679.71</v>
      </c>
      <c r="G2175" s="2">
        <v>3228.7700000000004</v>
      </c>
      <c r="H2175" s="2">
        <v>3289.5400000000004</v>
      </c>
      <c r="I2175" s="2">
        <v>3972.9400000000005</v>
      </c>
      <c r="J2175" s="2">
        <v>3608.440000000001</v>
      </c>
      <c r="K2175" s="2">
        <v>1886.22</v>
      </c>
      <c r="L2175" s="2">
        <v>20050.009999999955</v>
      </c>
      <c r="M2175" t="s">
        <v>4400</v>
      </c>
      <c r="N2175" t="s">
        <v>4400</v>
      </c>
    </row>
    <row r="2176" spans="1:14" x14ac:dyDescent="0.4">
      <c r="A2176" t="s">
        <v>4282</v>
      </c>
      <c r="B2176" t="s">
        <v>4283</v>
      </c>
      <c r="C2176" t="s">
        <v>113</v>
      </c>
      <c r="D2176" t="s">
        <v>114</v>
      </c>
      <c r="E2176" s="2"/>
      <c r="F2176" s="2"/>
      <c r="G2176" s="2"/>
      <c r="H2176" s="2"/>
      <c r="I2176" s="2">
        <v>999.31999999999994</v>
      </c>
      <c r="J2176" s="2">
        <v>3924.3199999999997</v>
      </c>
      <c r="K2176" s="2">
        <v>2019.9199999999996</v>
      </c>
      <c r="L2176" s="2">
        <v>6943.5600000000013</v>
      </c>
      <c r="M2176" t="s">
        <v>4408</v>
      </c>
      <c r="N2176" t="s">
        <v>4400</v>
      </c>
    </row>
    <row r="2177" spans="1:14" x14ac:dyDescent="0.4">
      <c r="A2177" t="s">
        <v>4284</v>
      </c>
      <c r="B2177" t="s">
        <v>819</v>
      </c>
      <c r="C2177" t="s">
        <v>437</v>
      </c>
      <c r="D2177" t="s">
        <v>438</v>
      </c>
      <c r="E2177" s="2">
        <v>774.57</v>
      </c>
      <c r="F2177" s="2"/>
      <c r="G2177" s="2"/>
      <c r="H2177" s="2"/>
      <c r="I2177" s="2"/>
      <c r="J2177" s="2"/>
      <c r="K2177" s="2"/>
      <c r="L2177" s="2">
        <v>774.57</v>
      </c>
      <c r="M2177" t="s">
        <v>4400</v>
      </c>
      <c r="N2177" t="s">
        <v>4407</v>
      </c>
    </row>
    <row r="2178" spans="1:14" x14ac:dyDescent="0.4">
      <c r="A2178" t="s">
        <v>4285</v>
      </c>
      <c r="B2178" t="s">
        <v>4286</v>
      </c>
      <c r="C2178" t="s">
        <v>291</v>
      </c>
      <c r="D2178" t="s">
        <v>295</v>
      </c>
      <c r="E2178" s="2"/>
      <c r="F2178" s="2"/>
      <c r="G2178" s="2"/>
      <c r="H2178" s="2"/>
      <c r="I2178" s="2"/>
      <c r="J2178" s="2">
        <v>768.46</v>
      </c>
      <c r="K2178" s="2"/>
      <c r="L2178" s="2">
        <v>768.46</v>
      </c>
      <c r="M2178" t="s">
        <v>4405</v>
      </c>
      <c r="N2178" t="s">
        <v>4406</v>
      </c>
    </row>
    <row r="2179" spans="1:14" x14ac:dyDescent="0.4">
      <c r="A2179" t="s">
        <v>4287</v>
      </c>
      <c r="B2179" t="s">
        <v>4288</v>
      </c>
      <c r="C2179" t="s">
        <v>64</v>
      </c>
      <c r="D2179" t="s">
        <v>1377</v>
      </c>
      <c r="E2179" s="2"/>
      <c r="F2179" s="2"/>
      <c r="G2179" s="2">
        <v>3101.2200000000003</v>
      </c>
      <c r="H2179" s="2"/>
      <c r="I2179" s="2"/>
      <c r="J2179" s="2"/>
      <c r="K2179" s="2"/>
      <c r="L2179" s="2">
        <v>3101.2200000000003</v>
      </c>
      <c r="M2179" t="s">
        <v>4411</v>
      </c>
      <c r="N2179" t="s">
        <v>4403</v>
      </c>
    </row>
    <row r="2180" spans="1:14" x14ac:dyDescent="0.4">
      <c r="A2180" t="s">
        <v>4289</v>
      </c>
      <c r="B2180" t="s">
        <v>3137</v>
      </c>
      <c r="C2180" t="s">
        <v>103</v>
      </c>
      <c r="D2180" t="s">
        <v>1619</v>
      </c>
      <c r="E2180" s="2">
        <v>2563.5999999999995</v>
      </c>
      <c r="F2180" s="2">
        <v>877.81000000000006</v>
      </c>
      <c r="G2180" s="2">
        <v>865.68000000000006</v>
      </c>
      <c r="H2180" s="2"/>
      <c r="I2180" s="2">
        <v>1946.9899999999998</v>
      </c>
      <c r="J2180" s="2">
        <v>908.18</v>
      </c>
      <c r="K2180" s="2"/>
      <c r="L2180" s="2">
        <v>7162.2599999999975</v>
      </c>
      <c r="M2180" t="s">
        <v>4400</v>
      </c>
      <c r="N2180" t="s">
        <v>4406</v>
      </c>
    </row>
    <row r="2181" spans="1:14" x14ac:dyDescent="0.4">
      <c r="A2181" t="s">
        <v>4290</v>
      </c>
      <c r="B2181" t="s">
        <v>3933</v>
      </c>
      <c r="C2181" t="s">
        <v>113</v>
      </c>
      <c r="D2181" t="s">
        <v>114</v>
      </c>
      <c r="E2181" s="2">
        <v>3480.9599999999987</v>
      </c>
      <c r="F2181" s="2">
        <v>1971.3300000000002</v>
      </c>
      <c r="G2181" s="2">
        <v>2873.4499999999989</v>
      </c>
      <c r="H2181" s="2">
        <v>2609.2199999999993</v>
      </c>
      <c r="I2181" s="2">
        <v>3875.8499999999995</v>
      </c>
      <c r="J2181" s="2">
        <v>3784.7499999999995</v>
      </c>
      <c r="K2181" s="2">
        <v>1998.6800000000003</v>
      </c>
      <c r="L2181" s="2">
        <v>20594.239999999994</v>
      </c>
      <c r="M2181" t="s">
        <v>4400</v>
      </c>
      <c r="N2181" t="s">
        <v>4400</v>
      </c>
    </row>
    <row r="2182" spans="1:14" x14ac:dyDescent="0.4">
      <c r="A2182" t="s">
        <v>4291</v>
      </c>
      <c r="B2182" t="s">
        <v>4256</v>
      </c>
      <c r="C2182" t="s">
        <v>113</v>
      </c>
      <c r="D2182" t="s">
        <v>120</v>
      </c>
      <c r="E2182" s="2">
        <v>792.75</v>
      </c>
      <c r="F2182" s="2">
        <v>744.15</v>
      </c>
      <c r="G2182" s="2">
        <v>1491.3499999999995</v>
      </c>
      <c r="H2182" s="2">
        <v>1564.26</v>
      </c>
      <c r="I2182" s="2">
        <v>1263.56</v>
      </c>
      <c r="J2182" s="2"/>
      <c r="K2182" s="2"/>
      <c r="L2182" s="2">
        <v>5856.0700000000006</v>
      </c>
      <c r="M2182" t="s">
        <v>4400</v>
      </c>
      <c r="N2182" t="s">
        <v>4401</v>
      </c>
    </row>
    <row r="2183" spans="1:14" x14ac:dyDescent="0.4">
      <c r="A2183" t="s">
        <v>4292</v>
      </c>
      <c r="B2183" t="s">
        <v>4293</v>
      </c>
      <c r="C2183" t="s">
        <v>64</v>
      </c>
      <c r="D2183" t="s">
        <v>65</v>
      </c>
      <c r="E2183" s="2">
        <v>1477.75</v>
      </c>
      <c r="F2183" s="2">
        <v>735.02</v>
      </c>
      <c r="G2183" s="2"/>
      <c r="H2183" s="2"/>
      <c r="I2183" s="2"/>
      <c r="J2183" s="2"/>
      <c r="K2183" s="2"/>
      <c r="L2183" s="2">
        <v>2212.77</v>
      </c>
      <c r="M2183" t="s">
        <v>4400</v>
      </c>
      <c r="N2183" t="s">
        <v>4410</v>
      </c>
    </row>
    <row r="2184" spans="1:14" x14ac:dyDescent="0.4">
      <c r="A2184" t="s">
        <v>4294</v>
      </c>
      <c r="B2184" t="s">
        <v>1394</v>
      </c>
      <c r="C2184" t="s">
        <v>410</v>
      </c>
      <c r="D2184" t="s">
        <v>414</v>
      </c>
      <c r="E2184" s="2"/>
      <c r="F2184" s="2"/>
      <c r="G2184" s="2"/>
      <c r="H2184" s="2"/>
      <c r="I2184" s="2">
        <v>3584.1999999999994</v>
      </c>
      <c r="J2184" s="2">
        <v>5910.8399999999992</v>
      </c>
      <c r="K2184" s="2">
        <v>2521.06</v>
      </c>
      <c r="L2184" s="2">
        <v>12016.099999999984</v>
      </c>
      <c r="M2184" t="s">
        <v>4408</v>
      </c>
      <c r="N2184" t="s">
        <v>4400</v>
      </c>
    </row>
    <row r="2185" spans="1:14" x14ac:dyDescent="0.4">
      <c r="A2185" t="s">
        <v>4295</v>
      </c>
      <c r="B2185" t="s">
        <v>3984</v>
      </c>
      <c r="C2185" t="s">
        <v>13</v>
      </c>
      <c r="D2185" t="s">
        <v>14</v>
      </c>
      <c r="E2185" s="2">
        <v>4328.38</v>
      </c>
      <c r="F2185" s="2">
        <v>3070.8299999999995</v>
      </c>
      <c r="G2185" s="2">
        <v>2578.7699999999995</v>
      </c>
      <c r="H2185" s="2"/>
      <c r="I2185" s="2"/>
      <c r="J2185" s="2"/>
      <c r="K2185" s="2">
        <v>2168.7400000000002</v>
      </c>
      <c r="L2185" s="2">
        <v>12146.719999999992</v>
      </c>
      <c r="M2185" t="s">
        <v>4400</v>
      </c>
      <c r="N2185" t="s">
        <v>4400</v>
      </c>
    </row>
    <row r="2186" spans="1:14" x14ac:dyDescent="0.4">
      <c r="A2186" t="s">
        <v>4296</v>
      </c>
      <c r="B2186" t="s">
        <v>3419</v>
      </c>
      <c r="C2186" t="s">
        <v>291</v>
      </c>
      <c r="D2186" t="s">
        <v>745</v>
      </c>
      <c r="E2186" s="2">
        <v>2675.9399999999991</v>
      </c>
      <c r="F2186" s="2">
        <v>2949.3199999999997</v>
      </c>
      <c r="G2186" s="2">
        <v>2600.02</v>
      </c>
      <c r="H2186" s="2">
        <v>2660.7800000000007</v>
      </c>
      <c r="I2186" s="2">
        <v>2408.6600000000003</v>
      </c>
      <c r="J2186" s="2">
        <v>3189.26</v>
      </c>
      <c r="K2186" s="2">
        <v>732.01</v>
      </c>
      <c r="L2186" s="2">
        <v>17215.989999999983</v>
      </c>
      <c r="M2186" t="s">
        <v>4400</v>
      </c>
      <c r="N2186" t="s">
        <v>4400</v>
      </c>
    </row>
    <row r="2187" spans="1:14" x14ac:dyDescent="0.4">
      <c r="A2187" t="s">
        <v>4297</v>
      </c>
      <c r="B2187" t="s">
        <v>4247</v>
      </c>
      <c r="C2187" t="s">
        <v>35</v>
      </c>
      <c r="D2187" t="s">
        <v>1212</v>
      </c>
      <c r="E2187" s="2"/>
      <c r="F2187" s="2"/>
      <c r="G2187" s="2"/>
      <c r="H2187" s="2"/>
      <c r="I2187" s="2"/>
      <c r="J2187" s="2">
        <v>1940.9100000000003</v>
      </c>
      <c r="K2187" s="2"/>
      <c r="L2187" s="2">
        <v>1940.9100000000003</v>
      </c>
      <c r="M2187" t="s">
        <v>4405</v>
      </c>
      <c r="N2187" t="s">
        <v>4406</v>
      </c>
    </row>
    <row r="2188" spans="1:14" x14ac:dyDescent="0.4">
      <c r="A2188" t="s">
        <v>4298</v>
      </c>
      <c r="B2188" t="s">
        <v>4299</v>
      </c>
      <c r="C2188" t="s">
        <v>78</v>
      </c>
      <c r="D2188" t="s">
        <v>841</v>
      </c>
      <c r="E2188" s="2">
        <v>1661.4299999999998</v>
      </c>
      <c r="F2188" s="2"/>
      <c r="G2188" s="2"/>
      <c r="H2188" s="2"/>
      <c r="I2188" s="2"/>
      <c r="J2188" s="2"/>
      <c r="K2188" s="2">
        <v>1664.4999999999998</v>
      </c>
      <c r="L2188" s="2">
        <v>3325.9299999999994</v>
      </c>
      <c r="M2188" t="s">
        <v>4400</v>
      </c>
      <c r="N2188" t="s">
        <v>4400</v>
      </c>
    </row>
    <row r="2189" spans="1:14" x14ac:dyDescent="0.4">
      <c r="A2189" t="s">
        <v>4300</v>
      </c>
      <c r="B2189" t="s">
        <v>4301</v>
      </c>
      <c r="C2189" t="s">
        <v>96</v>
      </c>
      <c r="D2189" t="s">
        <v>1010</v>
      </c>
      <c r="E2189" s="2"/>
      <c r="F2189" s="2">
        <v>1552.1299999999997</v>
      </c>
      <c r="G2189" s="2"/>
      <c r="H2189" s="2"/>
      <c r="I2189" s="2">
        <v>738.1099999999999</v>
      </c>
      <c r="J2189" s="2">
        <v>747.22999999999979</v>
      </c>
      <c r="K2189" s="2"/>
      <c r="L2189" s="2">
        <v>3037.47</v>
      </c>
      <c r="M2189" t="s">
        <v>4412</v>
      </c>
      <c r="N2189" t="s">
        <v>4406</v>
      </c>
    </row>
    <row r="2190" spans="1:14" x14ac:dyDescent="0.4">
      <c r="A2190" t="s">
        <v>4302</v>
      </c>
      <c r="B2190" t="s">
        <v>4303</v>
      </c>
      <c r="C2190" t="s">
        <v>113</v>
      </c>
      <c r="D2190" t="s">
        <v>114</v>
      </c>
      <c r="E2190" s="2">
        <v>844.39999999999986</v>
      </c>
      <c r="F2190" s="2">
        <v>5139.3899999999994</v>
      </c>
      <c r="G2190" s="2">
        <v>3471.7899999999995</v>
      </c>
      <c r="H2190" s="2">
        <v>4234.1600000000008</v>
      </c>
      <c r="I2190" s="2">
        <v>1117.79</v>
      </c>
      <c r="J2190" s="2">
        <v>883.91000000000008</v>
      </c>
      <c r="K2190" s="2"/>
      <c r="L2190" s="2">
        <v>15691.439999999986</v>
      </c>
      <c r="M2190" t="s">
        <v>4400</v>
      </c>
      <c r="N2190" t="s">
        <v>4406</v>
      </c>
    </row>
    <row r="2191" spans="1:14" x14ac:dyDescent="0.4">
      <c r="A2191" t="s">
        <v>4304</v>
      </c>
      <c r="B2191" t="s">
        <v>4305</v>
      </c>
      <c r="C2191" t="s">
        <v>220</v>
      </c>
      <c r="D2191" t="s">
        <v>2302</v>
      </c>
      <c r="E2191" s="2">
        <v>2375.2399999999998</v>
      </c>
      <c r="F2191" s="2">
        <v>1761.6699999999996</v>
      </c>
      <c r="G2191" s="2">
        <v>3313.7999999999997</v>
      </c>
      <c r="H2191" s="2">
        <v>3575.0099999999993</v>
      </c>
      <c r="I2191" s="2">
        <v>3486.9199999999996</v>
      </c>
      <c r="J2191" s="2"/>
      <c r="K2191" s="2"/>
      <c r="L2191" s="2">
        <v>14512.640000000003</v>
      </c>
      <c r="M2191" t="s">
        <v>4400</v>
      </c>
      <c r="N2191" t="s">
        <v>4401</v>
      </c>
    </row>
    <row r="2192" spans="1:14" x14ac:dyDescent="0.4">
      <c r="A2192" t="s">
        <v>4306</v>
      </c>
      <c r="B2192" t="s">
        <v>4303</v>
      </c>
      <c r="C2192" t="s">
        <v>113</v>
      </c>
      <c r="D2192" t="s">
        <v>114</v>
      </c>
      <c r="E2192" s="2">
        <v>1482.24</v>
      </c>
      <c r="F2192" s="2">
        <v>1530.8499999999997</v>
      </c>
      <c r="G2192" s="2"/>
      <c r="H2192" s="2"/>
      <c r="I2192" s="2"/>
      <c r="J2192" s="2">
        <v>2101.91</v>
      </c>
      <c r="K2192" s="2"/>
      <c r="L2192" s="2">
        <v>5115</v>
      </c>
      <c r="M2192" t="s">
        <v>4400</v>
      </c>
      <c r="N2192" t="s">
        <v>4406</v>
      </c>
    </row>
    <row r="2193" spans="1:14" x14ac:dyDescent="0.4">
      <c r="A2193" t="s">
        <v>4307</v>
      </c>
      <c r="B2193" t="s">
        <v>4308</v>
      </c>
      <c r="C2193" t="s">
        <v>64</v>
      </c>
      <c r="D2193" t="s">
        <v>693</v>
      </c>
      <c r="E2193" s="2"/>
      <c r="F2193" s="2"/>
      <c r="G2193" s="2"/>
      <c r="H2193" s="2">
        <v>1747.6</v>
      </c>
      <c r="I2193" s="2"/>
      <c r="J2193" s="2"/>
      <c r="K2193" s="2"/>
      <c r="L2193" s="2">
        <v>1747.6</v>
      </c>
      <c r="M2193" t="s">
        <v>4409</v>
      </c>
      <c r="N2193" t="s">
        <v>4402</v>
      </c>
    </row>
    <row r="2194" spans="1:14" x14ac:dyDescent="0.4">
      <c r="A2194" t="s">
        <v>4309</v>
      </c>
      <c r="B2194" t="s">
        <v>3950</v>
      </c>
      <c r="C2194" t="s">
        <v>178</v>
      </c>
      <c r="D2194" t="s">
        <v>558</v>
      </c>
      <c r="E2194" s="2"/>
      <c r="F2194" s="2">
        <v>883.8900000000001</v>
      </c>
      <c r="G2194" s="2">
        <v>1248.3599999999999</v>
      </c>
      <c r="H2194" s="2">
        <v>2168.6699999999996</v>
      </c>
      <c r="I2194" s="2">
        <v>856.53000000000009</v>
      </c>
      <c r="J2194" s="2"/>
      <c r="K2194" s="2"/>
      <c r="L2194" s="2">
        <v>5157.449999999998</v>
      </c>
      <c r="M2194" t="s">
        <v>4412</v>
      </c>
      <c r="N2194" t="s">
        <v>4401</v>
      </c>
    </row>
    <row r="2195" spans="1:14" x14ac:dyDescent="0.4">
      <c r="A2195" t="s">
        <v>4310</v>
      </c>
      <c r="B2195" t="s">
        <v>4311</v>
      </c>
      <c r="C2195" t="s">
        <v>19</v>
      </c>
      <c r="D2195" t="s">
        <v>20</v>
      </c>
      <c r="E2195" s="2"/>
      <c r="F2195" s="2"/>
      <c r="G2195" s="2"/>
      <c r="H2195" s="2">
        <v>728.97</v>
      </c>
      <c r="I2195" s="2"/>
      <c r="J2195" s="2"/>
      <c r="K2195" s="2"/>
      <c r="L2195" s="2">
        <v>728.97</v>
      </c>
      <c r="M2195" t="s">
        <v>4409</v>
      </c>
      <c r="N2195" t="s">
        <v>4402</v>
      </c>
    </row>
    <row r="2196" spans="1:14" x14ac:dyDescent="0.4">
      <c r="A2196" t="s">
        <v>4312</v>
      </c>
      <c r="B2196" t="s">
        <v>4235</v>
      </c>
      <c r="C2196" t="s">
        <v>64</v>
      </c>
      <c r="D2196" t="s">
        <v>2514</v>
      </c>
      <c r="E2196" s="2"/>
      <c r="F2196" s="2"/>
      <c r="G2196" s="2"/>
      <c r="H2196" s="2">
        <v>2834.71</v>
      </c>
      <c r="I2196" s="2">
        <v>3140.54</v>
      </c>
      <c r="J2196" s="2"/>
      <c r="K2196" s="2">
        <v>724.7399999999999</v>
      </c>
      <c r="L2196" s="2">
        <v>6699.9900000000016</v>
      </c>
      <c r="M2196" t="s">
        <v>4409</v>
      </c>
      <c r="N2196" t="s">
        <v>4400</v>
      </c>
    </row>
    <row r="2197" spans="1:14" x14ac:dyDescent="0.4">
      <c r="A2197" t="s">
        <v>4313</v>
      </c>
      <c r="B2197" t="s">
        <v>4032</v>
      </c>
      <c r="C2197" t="s">
        <v>1</v>
      </c>
      <c r="D2197" t="s">
        <v>507</v>
      </c>
      <c r="E2197" s="2"/>
      <c r="F2197" s="2">
        <v>2074.5600000000004</v>
      </c>
      <c r="G2197" s="2">
        <v>3912.2700000000004</v>
      </c>
      <c r="H2197" s="2">
        <v>4996.6499999999978</v>
      </c>
      <c r="I2197" s="2">
        <v>4030.6899999999996</v>
      </c>
      <c r="J2197" s="2">
        <v>2226.4300000000003</v>
      </c>
      <c r="K2197" s="2">
        <v>2186.94</v>
      </c>
      <c r="L2197" s="2">
        <v>19427.539999999979</v>
      </c>
      <c r="M2197" t="s">
        <v>4412</v>
      </c>
      <c r="N2197" t="s">
        <v>4400</v>
      </c>
    </row>
    <row r="2198" spans="1:14" x14ac:dyDescent="0.4">
      <c r="A2198" t="s">
        <v>4314</v>
      </c>
      <c r="B2198" t="s">
        <v>3402</v>
      </c>
      <c r="C2198" t="s">
        <v>35</v>
      </c>
      <c r="D2198" t="s">
        <v>1921</v>
      </c>
      <c r="E2198" s="2"/>
      <c r="F2198" s="2"/>
      <c r="G2198" s="2"/>
      <c r="H2198" s="2"/>
      <c r="I2198" s="2">
        <v>1925.7200000000003</v>
      </c>
      <c r="J2198" s="2">
        <v>1555.1699999999998</v>
      </c>
      <c r="K2198" s="2">
        <v>771.49999999999989</v>
      </c>
      <c r="L2198" s="2">
        <v>4252.3899999999994</v>
      </c>
      <c r="M2198" t="s">
        <v>4408</v>
      </c>
      <c r="N2198" t="s">
        <v>4400</v>
      </c>
    </row>
    <row r="2199" spans="1:14" x14ac:dyDescent="0.4">
      <c r="A2199" t="s">
        <v>4315</v>
      </c>
      <c r="B2199" t="s">
        <v>4316</v>
      </c>
      <c r="C2199" t="s">
        <v>78</v>
      </c>
      <c r="D2199" t="s">
        <v>79</v>
      </c>
      <c r="E2199" s="2"/>
      <c r="F2199" s="2"/>
      <c r="G2199" s="2">
        <v>728.96</v>
      </c>
      <c r="H2199" s="2">
        <v>1494.4399999999998</v>
      </c>
      <c r="I2199" s="2">
        <v>744.19</v>
      </c>
      <c r="J2199" s="2">
        <v>3055.7599999999984</v>
      </c>
      <c r="K2199" s="2">
        <v>738.11999999999989</v>
      </c>
      <c r="L2199" s="2">
        <v>6761.4700000000021</v>
      </c>
      <c r="M2199" t="s">
        <v>4411</v>
      </c>
      <c r="N2199" t="s">
        <v>4400</v>
      </c>
    </row>
    <row r="2200" spans="1:14" x14ac:dyDescent="0.4">
      <c r="A2200" t="s">
        <v>4317</v>
      </c>
      <c r="B2200" t="s">
        <v>4318</v>
      </c>
      <c r="C2200" t="s">
        <v>1</v>
      </c>
      <c r="D2200" t="s">
        <v>85</v>
      </c>
      <c r="E2200" s="2"/>
      <c r="F2200" s="2">
        <v>1931.76</v>
      </c>
      <c r="G2200" s="2">
        <v>3909.059999999999</v>
      </c>
      <c r="H2200" s="2">
        <v>2150.48</v>
      </c>
      <c r="I2200" s="2">
        <v>1409.3600000000001</v>
      </c>
      <c r="J2200" s="2">
        <v>4009.3900000000003</v>
      </c>
      <c r="K2200" s="2">
        <v>984.12</v>
      </c>
      <c r="L2200" s="2">
        <v>14394.169999999987</v>
      </c>
      <c r="M2200" t="s">
        <v>4412</v>
      </c>
      <c r="N2200" t="s">
        <v>4400</v>
      </c>
    </row>
    <row r="2201" spans="1:14" x14ac:dyDescent="0.4">
      <c r="A2201" t="s">
        <v>4319</v>
      </c>
      <c r="B2201" t="s">
        <v>4320</v>
      </c>
      <c r="C2201" t="s">
        <v>78</v>
      </c>
      <c r="D2201" t="s">
        <v>841</v>
      </c>
      <c r="E2201" s="2"/>
      <c r="F2201" s="2">
        <v>2256.8200000000002</v>
      </c>
      <c r="G2201" s="2">
        <v>3654.0499999999997</v>
      </c>
      <c r="H2201" s="2">
        <v>3432.2799999999993</v>
      </c>
      <c r="I2201" s="2">
        <v>4282.7500000000009</v>
      </c>
      <c r="J2201" s="2">
        <v>1983.4299999999996</v>
      </c>
      <c r="K2201" s="2">
        <v>1804.2099999999998</v>
      </c>
      <c r="L2201" s="2">
        <v>17413.539999999968</v>
      </c>
      <c r="M2201" t="s">
        <v>4412</v>
      </c>
      <c r="N2201" t="s">
        <v>4400</v>
      </c>
    </row>
    <row r="2202" spans="1:14" x14ac:dyDescent="0.4">
      <c r="A2202" t="s">
        <v>4321</v>
      </c>
      <c r="B2202" t="s">
        <v>4322</v>
      </c>
      <c r="C2202" t="s">
        <v>5</v>
      </c>
      <c r="D2202" t="s">
        <v>56</v>
      </c>
      <c r="E2202" s="2"/>
      <c r="F2202" s="2"/>
      <c r="G2202" s="2">
        <v>795.8</v>
      </c>
      <c r="H2202" s="2"/>
      <c r="I2202" s="2"/>
      <c r="J2202" s="2"/>
      <c r="K2202" s="2"/>
      <c r="L2202" s="2">
        <v>795.8</v>
      </c>
      <c r="M2202" t="s">
        <v>4411</v>
      </c>
      <c r="N2202" t="s">
        <v>4403</v>
      </c>
    </row>
    <row r="2203" spans="1:14" x14ac:dyDescent="0.4">
      <c r="A2203" t="s">
        <v>4323</v>
      </c>
      <c r="B2203" t="s">
        <v>4324</v>
      </c>
      <c r="C2203" t="s">
        <v>35</v>
      </c>
      <c r="D2203" t="s">
        <v>1212</v>
      </c>
      <c r="E2203" s="2"/>
      <c r="F2203" s="2"/>
      <c r="G2203" s="2"/>
      <c r="H2203" s="2">
        <v>1139.0400000000002</v>
      </c>
      <c r="I2203" s="2"/>
      <c r="J2203" s="2"/>
      <c r="K2203" s="2"/>
      <c r="L2203" s="2">
        <v>1139.0400000000002</v>
      </c>
      <c r="M2203" t="s">
        <v>4409</v>
      </c>
      <c r="N2203" t="s">
        <v>4402</v>
      </c>
    </row>
    <row r="2204" spans="1:14" x14ac:dyDescent="0.4">
      <c r="A2204" t="s">
        <v>4325</v>
      </c>
      <c r="B2204" t="s">
        <v>4326</v>
      </c>
      <c r="C2204" t="s">
        <v>437</v>
      </c>
      <c r="D2204" t="s">
        <v>438</v>
      </c>
      <c r="E2204" s="2"/>
      <c r="F2204" s="2"/>
      <c r="G2204" s="2">
        <v>1099.5999999999999</v>
      </c>
      <c r="H2204" s="2">
        <v>1208.97</v>
      </c>
      <c r="I2204" s="2">
        <v>3864.32</v>
      </c>
      <c r="J2204" s="2"/>
      <c r="K2204" s="2"/>
      <c r="L2204" s="2">
        <v>6172.8899999999994</v>
      </c>
      <c r="M2204" t="s">
        <v>4411</v>
      </c>
      <c r="N2204" t="s">
        <v>4401</v>
      </c>
    </row>
    <row r="2205" spans="1:14" x14ac:dyDescent="0.4">
      <c r="A2205" t="s">
        <v>4327</v>
      </c>
      <c r="B2205" t="s">
        <v>4328</v>
      </c>
      <c r="C2205" t="s">
        <v>5</v>
      </c>
      <c r="D2205" t="s">
        <v>56</v>
      </c>
      <c r="E2205" s="2"/>
      <c r="F2205" s="2">
        <v>1014.5</v>
      </c>
      <c r="G2205" s="2">
        <v>3244.04</v>
      </c>
      <c r="H2205" s="2">
        <v>1591.6100000000001</v>
      </c>
      <c r="I2205" s="2">
        <v>3064.83</v>
      </c>
      <c r="J2205" s="2">
        <v>3438.3700000000013</v>
      </c>
      <c r="K2205" s="2">
        <v>1072.21</v>
      </c>
      <c r="L2205" s="2">
        <v>13425.560000000003</v>
      </c>
      <c r="M2205" t="s">
        <v>4412</v>
      </c>
      <c r="N2205" t="s">
        <v>4400</v>
      </c>
    </row>
    <row r="2206" spans="1:14" x14ac:dyDescent="0.4">
      <c r="A2206" t="s">
        <v>4329</v>
      </c>
      <c r="B2206" t="s">
        <v>4330</v>
      </c>
      <c r="C2206" t="s">
        <v>291</v>
      </c>
      <c r="D2206" t="s">
        <v>295</v>
      </c>
      <c r="E2206" s="2"/>
      <c r="F2206" s="2">
        <v>817.07</v>
      </c>
      <c r="G2206" s="2">
        <v>1491.36</v>
      </c>
      <c r="H2206" s="2">
        <v>753.26</v>
      </c>
      <c r="I2206" s="2"/>
      <c r="J2206" s="2"/>
      <c r="K2206" s="2"/>
      <c r="L2206" s="2">
        <v>3061.6899999999996</v>
      </c>
      <c r="M2206" t="s">
        <v>4412</v>
      </c>
      <c r="N2206" t="s">
        <v>4402</v>
      </c>
    </row>
    <row r="2207" spans="1:14" x14ac:dyDescent="0.4">
      <c r="A2207" t="s">
        <v>4331</v>
      </c>
      <c r="B2207" t="s">
        <v>4332</v>
      </c>
      <c r="C2207" t="s">
        <v>419</v>
      </c>
      <c r="D2207" t="s">
        <v>420</v>
      </c>
      <c r="E2207" s="2"/>
      <c r="F2207" s="2"/>
      <c r="G2207" s="2">
        <v>729.00999999999988</v>
      </c>
      <c r="H2207" s="2">
        <v>3152.85</v>
      </c>
      <c r="I2207" s="2">
        <v>3435.3199999999993</v>
      </c>
      <c r="J2207" s="2">
        <v>2675.99</v>
      </c>
      <c r="K2207" s="2">
        <v>1585.5599999999995</v>
      </c>
      <c r="L2207" s="2">
        <v>11578.729999999998</v>
      </c>
      <c r="M2207" t="s">
        <v>4411</v>
      </c>
      <c r="N2207" t="s">
        <v>4400</v>
      </c>
    </row>
    <row r="2208" spans="1:14" x14ac:dyDescent="0.4">
      <c r="A2208" t="s">
        <v>4333</v>
      </c>
      <c r="B2208" t="s">
        <v>4334</v>
      </c>
      <c r="C2208" t="s">
        <v>291</v>
      </c>
      <c r="D2208" t="s">
        <v>292</v>
      </c>
      <c r="E2208" s="2"/>
      <c r="F2208" s="2"/>
      <c r="G2208" s="2"/>
      <c r="H2208" s="2"/>
      <c r="I2208" s="2">
        <v>1020.5799999999999</v>
      </c>
      <c r="J2208" s="2">
        <v>2593.92</v>
      </c>
      <c r="K2208" s="2"/>
      <c r="L2208" s="2">
        <v>3614.4999999999995</v>
      </c>
      <c r="M2208" t="s">
        <v>4408</v>
      </c>
      <c r="N2208" t="s">
        <v>4406</v>
      </c>
    </row>
    <row r="2209" spans="1:14" x14ac:dyDescent="0.4">
      <c r="A2209" t="s">
        <v>4335</v>
      </c>
      <c r="B2209" t="s">
        <v>4336</v>
      </c>
      <c r="C2209" t="s">
        <v>113</v>
      </c>
      <c r="D2209" t="s">
        <v>120</v>
      </c>
      <c r="E2209" s="2"/>
      <c r="F2209" s="2"/>
      <c r="G2209" s="2"/>
      <c r="H2209" s="2">
        <v>716.81</v>
      </c>
      <c r="I2209" s="2">
        <v>2730.67</v>
      </c>
      <c r="J2209" s="2">
        <v>3638.7900000000004</v>
      </c>
      <c r="K2209" s="2">
        <v>3395.849999999999</v>
      </c>
      <c r="L2209" s="2">
        <v>10482.119999999999</v>
      </c>
      <c r="M2209" t="s">
        <v>4409</v>
      </c>
      <c r="N2209" t="s">
        <v>4400</v>
      </c>
    </row>
    <row r="2210" spans="1:14" x14ac:dyDescent="0.4">
      <c r="A2210" t="s">
        <v>4337</v>
      </c>
      <c r="B2210" t="s">
        <v>4338</v>
      </c>
      <c r="C2210" t="s">
        <v>587</v>
      </c>
      <c r="D2210" t="s">
        <v>1935</v>
      </c>
      <c r="E2210" s="2"/>
      <c r="F2210" s="2"/>
      <c r="G2210" s="2"/>
      <c r="H2210" s="2">
        <v>3204.5400000000004</v>
      </c>
      <c r="I2210" s="2">
        <v>2035.1</v>
      </c>
      <c r="J2210" s="2">
        <v>1823.4999999999998</v>
      </c>
      <c r="K2210" s="2"/>
      <c r="L2210" s="2">
        <v>7063.1399999999985</v>
      </c>
      <c r="M2210" t="s">
        <v>4409</v>
      </c>
      <c r="N2210" t="s">
        <v>4406</v>
      </c>
    </row>
    <row r="2211" spans="1:14" x14ac:dyDescent="0.4">
      <c r="A2211" t="s">
        <v>4339</v>
      </c>
      <c r="B2211" t="s">
        <v>4340</v>
      </c>
      <c r="C2211" t="s">
        <v>1</v>
      </c>
      <c r="D2211" t="s">
        <v>1030</v>
      </c>
      <c r="E2211" s="2"/>
      <c r="F2211" s="2"/>
      <c r="G2211" s="2"/>
      <c r="H2211" s="2">
        <v>929.45999999999981</v>
      </c>
      <c r="I2211" s="2"/>
      <c r="J2211" s="2"/>
      <c r="K2211" s="2"/>
      <c r="L2211" s="2">
        <v>929.45999999999981</v>
      </c>
      <c r="M2211" t="s">
        <v>4409</v>
      </c>
      <c r="N2211" t="s">
        <v>4402</v>
      </c>
    </row>
    <row r="2212" spans="1:14" x14ac:dyDescent="0.4">
      <c r="A2212" t="s">
        <v>4341</v>
      </c>
      <c r="B2212" t="s">
        <v>3793</v>
      </c>
      <c r="C2212" t="s">
        <v>1</v>
      </c>
      <c r="D2212" t="s">
        <v>88</v>
      </c>
      <c r="E2212" s="2"/>
      <c r="F2212" s="2"/>
      <c r="G2212" s="2"/>
      <c r="H2212" s="2">
        <v>6275.2899999999981</v>
      </c>
      <c r="I2212" s="2">
        <v>4085.3999999999987</v>
      </c>
      <c r="J2212" s="2">
        <v>1032.72</v>
      </c>
      <c r="K2212" s="2"/>
      <c r="L2212" s="2">
        <v>11393.409999999996</v>
      </c>
      <c r="M2212" t="s">
        <v>4409</v>
      </c>
      <c r="N2212" t="s">
        <v>4406</v>
      </c>
    </row>
    <row r="2213" spans="1:14" x14ac:dyDescent="0.4">
      <c r="A2213" t="s">
        <v>4342</v>
      </c>
      <c r="B2213" t="s">
        <v>4247</v>
      </c>
      <c r="C2213" t="s">
        <v>64</v>
      </c>
      <c r="D2213" t="s">
        <v>1760</v>
      </c>
      <c r="E2213" s="2"/>
      <c r="F2213" s="2"/>
      <c r="G2213" s="2"/>
      <c r="H2213" s="2"/>
      <c r="I2213" s="2"/>
      <c r="J2213" s="2">
        <v>759.35999999999979</v>
      </c>
      <c r="K2213" s="2"/>
      <c r="L2213" s="2">
        <v>759.35999999999979</v>
      </c>
      <c r="M2213" t="s">
        <v>4405</v>
      </c>
      <c r="N2213" t="s">
        <v>4406</v>
      </c>
    </row>
    <row r="2214" spans="1:14" x14ac:dyDescent="0.4">
      <c r="A2214" t="s">
        <v>4343</v>
      </c>
      <c r="B2214" t="s">
        <v>4344</v>
      </c>
      <c r="C2214" t="s">
        <v>113</v>
      </c>
      <c r="D2214" t="s">
        <v>117</v>
      </c>
      <c r="E2214" s="2"/>
      <c r="F2214" s="2"/>
      <c r="G2214" s="2">
        <v>1388.1</v>
      </c>
      <c r="H2214" s="2">
        <v>2025.9399999999998</v>
      </c>
      <c r="I2214" s="2">
        <v>2600.09</v>
      </c>
      <c r="J2214" s="2">
        <v>1864.99</v>
      </c>
      <c r="K2214" s="2">
        <v>1145.1200000000001</v>
      </c>
      <c r="L2214" s="2">
        <v>9024.2399999999961</v>
      </c>
      <c r="M2214" t="s">
        <v>4411</v>
      </c>
      <c r="N2214" t="s">
        <v>4400</v>
      </c>
    </row>
    <row r="2215" spans="1:14" x14ac:dyDescent="0.4">
      <c r="A2215" t="s">
        <v>4345</v>
      </c>
      <c r="B2215" t="s">
        <v>4346</v>
      </c>
      <c r="C2215" t="s">
        <v>167</v>
      </c>
      <c r="D2215" t="s">
        <v>1275</v>
      </c>
      <c r="E2215" s="2"/>
      <c r="F2215" s="2"/>
      <c r="G2215" s="2">
        <v>1166.3400000000001</v>
      </c>
      <c r="H2215" s="2">
        <v>3587.22</v>
      </c>
      <c r="I2215" s="2">
        <v>2402.5099999999998</v>
      </c>
      <c r="J2215" s="2">
        <v>2256.7899999999995</v>
      </c>
      <c r="K2215" s="2">
        <v>1464.08</v>
      </c>
      <c r="L2215" s="2">
        <v>10876.939999999995</v>
      </c>
      <c r="M2215" t="s">
        <v>4411</v>
      </c>
      <c r="N2215" t="s">
        <v>4400</v>
      </c>
    </row>
    <row r="2216" spans="1:14" x14ac:dyDescent="0.4">
      <c r="A2216" t="s">
        <v>4347</v>
      </c>
      <c r="B2216" t="s">
        <v>2862</v>
      </c>
      <c r="C2216" t="s">
        <v>337</v>
      </c>
      <c r="D2216" t="s">
        <v>347</v>
      </c>
      <c r="E2216" s="2"/>
      <c r="F2216" s="2"/>
      <c r="G2216" s="2">
        <v>3675.2400000000002</v>
      </c>
      <c r="H2216" s="2">
        <v>3486.9999999999995</v>
      </c>
      <c r="I2216" s="2">
        <v>3866.72</v>
      </c>
      <c r="J2216" s="2">
        <v>3301.77</v>
      </c>
      <c r="K2216" s="2">
        <v>1585.59</v>
      </c>
      <c r="L2216" s="2">
        <v>15916.320000000002</v>
      </c>
      <c r="M2216" t="s">
        <v>4411</v>
      </c>
      <c r="N2216" t="s">
        <v>4400</v>
      </c>
    </row>
    <row r="2217" spans="1:14" x14ac:dyDescent="0.4">
      <c r="A2217" t="s">
        <v>4348</v>
      </c>
      <c r="B2217" t="s">
        <v>4349</v>
      </c>
      <c r="C2217" t="s">
        <v>64</v>
      </c>
      <c r="D2217" t="s">
        <v>3154</v>
      </c>
      <c r="E2217" s="2"/>
      <c r="F2217" s="2"/>
      <c r="G2217" s="2"/>
      <c r="H2217" s="2">
        <v>1776.9199999999998</v>
      </c>
      <c r="I2217" s="2">
        <v>899.09000000000015</v>
      </c>
      <c r="J2217" s="2">
        <v>735.06999999999994</v>
      </c>
      <c r="K2217" s="2">
        <v>735.06999999999994</v>
      </c>
      <c r="L2217" s="2">
        <v>4146.1500000000005</v>
      </c>
      <c r="M2217" t="s">
        <v>4409</v>
      </c>
      <c r="N2217" t="s">
        <v>4400</v>
      </c>
    </row>
    <row r="2218" spans="1:14" x14ac:dyDescent="0.4">
      <c r="A2218" t="s">
        <v>4350</v>
      </c>
      <c r="B2218" t="s">
        <v>4351</v>
      </c>
      <c r="C2218" t="s">
        <v>186</v>
      </c>
      <c r="D2218" t="s">
        <v>190</v>
      </c>
      <c r="E2218" s="2"/>
      <c r="F2218" s="2"/>
      <c r="G2218" s="2"/>
      <c r="H2218" s="2"/>
      <c r="I2218" s="2"/>
      <c r="J2218" s="2">
        <v>880.8599999999999</v>
      </c>
      <c r="K2218" s="2"/>
      <c r="L2218" s="2">
        <v>880.8599999999999</v>
      </c>
      <c r="M2218" t="s">
        <v>4405</v>
      </c>
      <c r="N2218" t="s">
        <v>4406</v>
      </c>
    </row>
    <row r="2219" spans="1:14" x14ac:dyDescent="0.4">
      <c r="A2219" t="s">
        <v>4352</v>
      </c>
      <c r="B2219" t="s">
        <v>4353</v>
      </c>
      <c r="C2219" t="s">
        <v>113</v>
      </c>
      <c r="D2219" t="s">
        <v>120</v>
      </c>
      <c r="E2219" s="2"/>
      <c r="F2219" s="2"/>
      <c r="G2219" s="2"/>
      <c r="H2219" s="2"/>
      <c r="I2219" s="2">
        <v>2606.1</v>
      </c>
      <c r="J2219" s="2">
        <v>1564.2699999999995</v>
      </c>
      <c r="K2219" s="2">
        <v>716.83999999999992</v>
      </c>
      <c r="L2219" s="2">
        <v>4887.2100000000009</v>
      </c>
      <c r="M2219" t="s">
        <v>4408</v>
      </c>
      <c r="N2219" t="s">
        <v>4400</v>
      </c>
    </row>
    <row r="2220" spans="1:14" x14ac:dyDescent="0.4">
      <c r="A2220" t="s">
        <v>4354</v>
      </c>
      <c r="B2220" t="s">
        <v>4355</v>
      </c>
      <c r="C2220" t="s">
        <v>113</v>
      </c>
      <c r="D2220" t="s">
        <v>805</v>
      </c>
      <c r="E2220" s="2"/>
      <c r="F2220" s="2"/>
      <c r="G2220" s="2"/>
      <c r="H2220" s="2">
        <v>1707.0200000000002</v>
      </c>
      <c r="I2220" s="2">
        <v>1014.4999999999999</v>
      </c>
      <c r="J2220" s="2"/>
      <c r="K2220" s="2">
        <v>962.85000000000014</v>
      </c>
      <c r="L2220" s="2">
        <v>3684.3700000000008</v>
      </c>
      <c r="M2220" t="s">
        <v>4409</v>
      </c>
      <c r="N2220" t="s">
        <v>4400</v>
      </c>
    </row>
    <row r="2221" spans="1:14" x14ac:dyDescent="0.4">
      <c r="A2221" t="s">
        <v>4356</v>
      </c>
      <c r="B2221" t="s">
        <v>4357</v>
      </c>
      <c r="C2221" t="s">
        <v>602</v>
      </c>
      <c r="D2221" t="s">
        <v>1638</v>
      </c>
      <c r="E2221" s="2"/>
      <c r="F2221" s="2"/>
      <c r="G2221" s="2"/>
      <c r="H2221" s="2">
        <v>2299.3499999999995</v>
      </c>
      <c r="I2221" s="2">
        <v>1618.9600000000003</v>
      </c>
      <c r="J2221" s="2">
        <v>3058.71</v>
      </c>
      <c r="K2221" s="2">
        <v>1470.1200000000003</v>
      </c>
      <c r="L2221" s="2">
        <v>8447.1399999999921</v>
      </c>
      <c r="M2221" t="s">
        <v>4409</v>
      </c>
      <c r="N2221" t="s">
        <v>4400</v>
      </c>
    </row>
    <row r="2222" spans="1:14" x14ac:dyDescent="0.4">
      <c r="A2222" t="s">
        <v>4358</v>
      </c>
      <c r="B2222" t="s">
        <v>4359</v>
      </c>
      <c r="C2222" t="s">
        <v>267</v>
      </c>
      <c r="D2222" t="s">
        <v>518</v>
      </c>
      <c r="E2222" s="2"/>
      <c r="F2222" s="2"/>
      <c r="G2222" s="2"/>
      <c r="H2222" s="2">
        <v>7830.5800000000017</v>
      </c>
      <c r="I2222" s="2">
        <v>1017.57</v>
      </c>
      <c r="J2222" s="2">
        <v>2934.2</v>
      </c>
      <c r="K2222" s="2">
        <v>1023.61</v>
      </c>
      <c r="L2222" s="2">
        <v>12805.959999999995</v>
      </c>
      <c r="M2222" t="s">
        <v>4409</v>
      </c>
      <c r="N2222" t="s">
        <v>4400</v>
      </c>
    </row>
    <row r="2223" spans="1:14" x14ac:dyDescent="0.4">
      <c r="A2223" t="s">
        <v>4360</v>
      </c>
      <c r="B2223" t="s">
        <v>4361</v>
      </c>
      <c r="C2223" t="s">
        <v>64</v>
      </c>
      <c r="D2223" t="s">
        <v>2691</v>
      </c>
      <c r="E2223" s="2"/>
      <c r="F2223" s="2"/>
      <c r="G2223" s="2"/>
      <c r="H2223" s="2"/>
      <c r="I2223" s="2">
        <v>2527.2100000000005</v>
      </c>
      <c r="J2223" s="2">
        <v>3052.67</v>
      </c>
      <c r="K2223" s="2">
        <v>1099.58</v>
      </c>
      <c r="L2223" s="2">
        <v>6679.4599999999982</v>
      </c>
      <c r="M2223" t="s">
        <v>4408</v>
      </c>
      <c r="N2223" t="s">
        <v>4400</v>
      </c>
    </row>
    <row r="2224" spans="1:14" x14ac:dyDescent="0.4">
      <c r="A2224" t="s">
        <v>4362</v>
      </c>
      <c r="B2224" t="s">
        <v>2878</v>
      </c>
      <c r="C2224" t="s">
        <v>64</v>
      </c>
      <c r="D2224" t="s">
        <v>645</v>
      </c>
      <c r="E2224" s="2"/>
      <c r="F2224" s="2"/>
      <c r="G2224" s="2">
        <v>1184.5899999999999</v>
      </c>
      <c r="H2224" s="2">
        <v>2038.2899999999997</v>
      </c>
      <c r="I2224" s="2">
        <v>2919.5199999999995</v>
      </c>
      <c r="J2224" s="2">
        <v>2151.09</v>
      </c>
      <c r="K2224" s="2">
        <v>873.8</v>
      </c>
      <c r="L2224" s="2">
        <v>9167.2899999999972</v>
      </c>
      <c r="M2224" t="s">
        <v>4411</v>
      </c>
      <c r="N2224" t="s">
        <v>4400</v>
      </c>
    </row>
    <row r="2225" spans="1:14" x14ac:dyDescent="0.4">
      <c r="A2225" t="s">
        <v>4363</v>
      </c>
      <c r="B2225" t="s">
        <v>3434</v>
      </c>
      <c r="C2225" t="s">
        <v>1</v>
      </c>
      <c r="D2225" t="s">
        <v>1030</v>
      </c>
      <c r="E2225" s="2"/>
      <c r="F2225" s="2"/>
      <c r="G2225" s="2"/>
      <c r="H2225" s="2">
        <v>2882.46</v>
      </c>
      <c r="I2225" s="2">
        <v>4647.1499999999987</v>
      </c>
      <c r="J2225" s="2">
        <v>6183.9799999999977</v>
      </c>
      <c r="K2225" s="2">
        <v>2344.79</v>
      </c>
      <c r="L2225" s="2">
        <v>16058.379999999988</v>
      </c>
      <c r="M2225" t="s">
        <v>4409</v>
      </c>
      <c r="N2225" t="s">
        <v>4400</v>
      </c>
    </row>
    <row r="2226" spans="1:14" x14ac:dyDescent="0.4">
      <c r="A2226" t="s">
        <v>4364</v>
      </c>
      <c r="B2226" t="s">
        <v>3725</v>
      </c>
      <c r="C2226" t="s">
        <v>220</v>
      </c>
      <c r="D2226" t="s">
        <v>569</v>
      </c>
      <c r="E2226" s="2"/>
      <c r="F2226" s="2"/>
      <c r="G2226" s="2"/>
      <c r="H2226" s="2">
        <v>2117.1099999999997</v>
      </c>
      <c r="I2226" s="2">
        <v>3948.6600000000008</v>
      </c>
      <c r="J2226" s="2">
        <v>5072.489999999998</v>
      </c>
      <c r="K2226" s="2">
        <v>1877.1199999999997</v>
      </c>
      <c r="L2226" s="2">
        <v>13015.379999999994</v>
      </c>
      <c r="M2226" t="s">
        <v>4409</v>
      </c>
      <c r="N2226" t="s">
        <v>4400</v>
      </c>
    </row>
    <row r="2227" spans="1:14" x14ac:dyDescent="0.4">
      <c r="A2227" t="s">
        <v>4365</v>
      </c>
      <c r="B2227" t="s">
        <v>4366</v>
      </c>
      <c r="C2227" t="s">
        <v>113</v>
      </c>
      <c r="D2227" t="s">
        <v>120</v>
      </c>
      <c r="E2227" s="2"/>
      <c r="F2227" s="2"/>
      <c r="G2227" s="2"/>
      <c r="H2227" s="2"/>
      <c r="I2227" s="2"/>
      <c r="J2227" s="2">
        <v>2247.6499999999996</v>
      </c>
      <c r="K2227" s="2"/>
      <c r="L2227" s="2">
        <v>2247.6499999999996</v>
      </c>
      <c r="M2227" t="s">
        <v>4405</v>
      </c>
      <c r="N2227" t="s">
        <v>4406</v>
      </c>
    </row>
    <row r="2228" spans="1:14" x14ac:dyDescent="0.4">
      <c r="A2228" t="s">
        <v>4367</v>
      </c>
      <c r="B2228" t="s">
        <v>4368</v>
      </c>
      <c r="C2228" t="s">
        <v>64</v>
      </c>
      <c r="D2228" t="s">
        <v>2297</v>
      </c>
      <c r="E2228" s="2"/>
      <c r="F2228" s="2"/>
      <c r="G2228" s="2"/>
      <c r="H2228" s="2"/>
      <c r="I2228" s="2">
        <v>1336.46</v>
      </c>
      <c r="J2228" s="2"/>
      <c r="K2228" s="2"/>
      <c r="L2228" s="2">
        <v>1336.46</v>
      </c>
      <c r="M2228" t="s">
        <v>4408</v>
      </c>
      <c r="N2228" t="s">
        <v>4401</v>
      </c>
    </row>
    <row r="2229" spans="1:14" x14ac:dyDescent="0.4">
      <c r="A2229" t="s">
        <v>4369</v>
      </c>
      <c r="B2229" t="s">
        <v>4370</v>
      </c>
      <c r="C2229" t="s">
        <v>64</v>
      </c>
      <c r="D2229" t="s">
        <v>1033</v>
      </c>
      <c r="E2229" s="2"/>
      <c r="F2229" s="2"/>
      <c r="G2229" s="2"/>
      <c r="H2229" s="2"/>
      <c r="I2229" s="2">
        <v>911.23000000000013</v>
      </c>
      <c r="J2229" s="2">
        <v>1801.1700000000003</v>
      </c>
      <c r="K2229" s="2"/>
      <c r="L2229" s="2">
        <v>2712.4</v>
      </c>
      <c r="M2229" t="s">
        <v>4408</v>
      </c>
      <c r="N2229" t="s">
        <v>4406</v>
      </c>
    </row>
    <row r="2230" spans="1:14" x14ac:dyDescent="0.4">
      <c r="A2230" t="s">
        <v>4371</v>
      </c>
      <c r="B2230" t="s">
        <v>4372</v>
      </c>
      <c r="C2230" t="s">
        <v>423</v>
      </c>
      <c r="D2230" t="s">
        <v>838</v>
      </c>
      <c r="E2230" s="2"/>
      <c r="F2230" s="2"/>
      <c r="G2230" s="2"/>
      <c r="H2230" s="2">
        <v>3073.8499999999995</v>
      </c>
      <c r="I2230" s="2">
        <v>4805.1699999999992</v>
      </c>
      <c r="J2230" s="2">
        <v>6439.29</v>
      </c>
      <c r="K2230" s="2">
        <v>2606.1000000000004</v>
      </c>
      <c r="L2230" s="2">
        <v>16924.409999999996</v>
      </c>
      <c r="M2230" t="s">
        <v>4409</v>
      </c>
      <c r="N2230" t="s">
        <v>4400</v>
      </c>
    </row>
    <row r="2231" spans="1:14" x14ac:dyDescent="0.4">
      <c r="A2231" t="s">
        <v>4373</v>
      </c>
      <c r="B2231" t="s">
        <v>4374</v>
      </c>
      <c r="C2231" t="s">
        <v>64</v>
      </c>
      <c r="D2231" t="s">
        <v>2941</v>
      </c>
      <c r="E2231" s="2"/>
      <c r="F2231" s="2"/>
      <c r="G2231" s="2"/>
      <c r="H2231" s="2"/>
      <c r="I2231" s="2">
        <v>947.67000000000007</v>
      </c>
      <c r="J2231" s="2">
        <v>1452.05</v>
      </c>
      <c r="K2231" s="2">
        <v>2680.5099999999993</v>
      </c>
      <c r="L2231" s="2">
        <v>5080.2300000000005</v>
      </c>
      <c r="M2231" t="s">
        <v>4408</v>
      </c>
      <c r="N2231" t="s">
        <v>4400</v>
      </c>
    </row>
    <row r="2232" spans="1:14" x14ac:dyDescent="0.4">
      <c r="A2232" t="s">
        <v>4375</v>
      </c>
      <c r="B2232" t="s">
        <v>4376</v>
      </c>
      <c r="C2232" t="s">
        <v>1</v>
      </c>
      <c r="D2232" t="s">
        <v>507</v>
      </c>
      <c r="E2232" s="2"/>
      <c r="F2232" s="2"/>
      <c r="G2232" s="2"/>
      <c r="H2232" s="2"/>
      <c r="I2232" s="2"/>
      <c r="J2232" s="2">
        <v>270.32</v>
      </c>
      <c r="K2232" s="2"/>
      <c r="L2232" s="2">
        <v>270.32</v>
      </c>
      <c r="M2232" t="s">
        <v>4405</v>
      </c>
      <c r="N2232" t="s">
        <v>4406</v>
      </c>
    </row>
    <row r="2233" spans="1:14" x14ac:dyDescent="0.4">
      <c r="A2233" t="s">
        <v>4375</v>
      </c>
      <c r="B2233" t="s">
        <v>4376</v>
      </c>
      <c r="C2233" t="s">
        <v>96</v>
      </c>
      <c r="D2233" t="s">
        <v>97</v>
      </c>
      <c r="E2233" s="2"/>
      <c r="F2233" s="2"/>
      <c r="G2233" s="2"/>
      <c r="H2233" s="2"/>
      <c r="I2233" s="2"/>
      <c r="J2233" s="2">
        <v>470.80999999999995</v>
      </c>
      <c r="K2233" s="2"/>
      <c r="L2233" s="2">
        <v>470.80999999999995</v>
      </c>
      <c r="M2233" t="s">
        <v>4405</v>
      </c>
      <c r="N2233" t="s">
        <v>4406</v>
      </c>
    </row>
    <row r="2234" spans="1:14" x14ac:dyDescent="0.4">
      <c r="A2234" t="s">
        <v>4377</v>
      </c>
      <c r="B2234" t="s">
        <v>4378</v>
      </c>
      <c r="C2234" t="s">
        <v>447</v>
      </c>
      <c r="D2234" t="s">
        <v>784</v>
      </c>
      <c r="E2234" s="2"/>
      <c r="F2234" s="2"/>
      <c r="G2234" s="2"/>
      <c r="H2234" s="2">
        <v>1136.04</v>
      </c>
      <c r="I2234" s="2">
        <v>4067.0999999999985</v>
      </c>
      <c r="J2234" s="2">
        <v>3243.97</v>
      </c>
      <c r="K2234" s="2">
        <v>1506.5600000000002</v>
      </c>
      <c r="L2234" s="2">
        <v>9953.6699999999964</v>
      </c>
      <c r="M2234" t="s">
        <v>4409</v>
      </c>
      <c r="N2234" t="s">
        <v>4400</v>
      </c>
    </row>
    <row r="2235" spans="1:14" x14ac:dyDescent="0.4">
      <c r="A2235" t="s">
        <v>4379</v>
      </c>
      <c r="B2235" t="s">
        <v>4380</v>
      </c>
      <c r="C2235" t="s">
        <v>1</v>
      </c>
      <c r="D2235" t="s">
        <v>85</v>
      </c>
      <c r="E2235" s="2"/>
      <c r="F2235" s="2"/>
      <c r="G2235" s="2"/>
      <c r="H2235" s="2"/>
      <c r="I2235" s="2">
        <v>1823.5699999999997</v>
      </c>
      <c r="J2235" s="2">
        <v>3313.8399999999997</v>
      </c>
      <c r="K2235" s="2"/>
      <c r="L2235" s="2">
        <v>5137.41</v>
      </c>
      <c r="M2235" t="s">
        <v>4408</v>
      </c>
      <c r="N2235" t="s">
        <v>4406</v>
      </c>
    </row>
    <row r="2236" spans="1:14" x14ac:dyDescent="0.4">
      <c r="A2236" t="s">
        <v>4381</v>
      </c>
      <c r="B2236" t="s">
        <v>2652</v>
      </c>
      <c r="C2236" t="s">
        <v>64</v>
      </c>
      <c r="D2236" t="s">
        <v>708</v>
      </c>
      <c r="E2236" s="2"/>
      <c r="F2236" s="2"/>
      <c r="G2236" s="2"/>
      <c r="H2236" s="2"/>
      <c r="I2236" s="2"/>
      <c r="J2236" s="2">
        <v>4525.7699999999995</v>
      </c>
      <c r="K2236" s="2"/>
      <c r="L2236" s="2">
        <v>4525.7699999999995</v>
      </c>
      <c r="M2236" t="s">
        <v>4405</v>
      </c>
      <c r="N2236" t="s">
        <v>4406</v>
      </c>
    </row>
    <row r="2237" spans="1:14" x14ac:dyDescent="0.4">
      <c r="A2237" t="s">
        <v>4382</v>
      </c>
      <c r="B2237" t="s">
        <v>4383</v>
      </c>
      <c r="C2237" t="s">
        <v>1</v>
      </c>
      <c r="D2237" t="s">
        <v>507</v>
      </c>
      <c r="E2237" s="2"/>
      <c r="F2237" s="2"/>
      <c r="G2237" s="2"/>
      <c r="H2237" s="2"/>
      <c r="I2237" s="2"/>
      <c r="J2237" s="2">
        <v>814.03</v>
      </c>
      <c r="K2237" s="2"/>
      <c r="L2237" s="2">
        <v>814.03</v>
      </c>
      <c r="M2237" t="s">
        <v>4405</v>
      </c>
      <c r="N2237" t="s">
        <v>4406</v>
      </c>
    </row>
    <row r="2238" spans="1:14" x14ac:dyDescent="0.4">
      <c r="A2238" t="s">
        <v>4384</v>
      </c>
      <c r="B2238" t="s">
        <v>4139</v>
      </c>
      <c r="C2238" t="s">
        <v>35</v>
      </c>
      <c r="D2238" t="s">
        <v>1212</v>
      </c>
      <c r="E2238" s="2"/>
      <c r="F2238" s="2"/>
      <c r="G2238" s="2"/>
      <c r="H2238" s="2"/>
      <c r="I2238" s="2">
        <v>2022.9199999999996</v>
      </c>
      <c r="J2238" s="2"/>
      <c r="K2238" s="2"/>
      <c r="L2238" s="2">
        <v>2022.9199999999996</v>
      </c>
      <c r="M2238" t="s">
        <v>4408</v>
      </c>
      <c r="N2238" t="s">
        <v>4401</v>
      </c>
    </row>
    <row r="2239" spans="1:14" x14ac:dyDescent="0.4">
      <c r="A2239" t="s">
        <v>4385</v>
      </c>
      <c r="B2239" t="s">
        <v>4139</v>
      </c>
      <c r="C2239" t="s">
        <v>35</v>
      </c>
      <c r="D2239" t="s">
        <v>1212</v>
      </c>
      <c r="E2239" s="2"/>
      <c r="F2239" s="2"/>
      <c r="G2239" s="2"/>
      <c r="H2239" s="2"/>
      <c r="I2239" s="2"/>
      <c r="J2239" s="2">
        <v>2354.0299999999997</v>
      </c>
      <c r="K2239" s="2"/>
      <c r="L2239" s="2">
        <v>2354.0299999999997</v>
      </c>
      <c r="M2239" t="s">
        <v>4405</v>
      </c>
      <c r="N2239" t="s">
        <v>4406</v>
      </c>
    </row>
    <row r="2240" spans="1:14" x14ac:dyDescent="0.4">
      <c r="A2240" t="s">
        <v>4386</v>
      </c>
      <c r="B2240" t="s">
        <v>3367</v>
      </c>
      <c r="C2240" t="s">
        <v>78</v>
      </c>
      <c r="D2240" t="s">
        <v>768</v>
      </c>
      <c r="E2240" s="2"/>
      <c r="F2240" s="2"/>
      <c r="G2240" s="2"/>
      <c r="H2240" s="2"/>
      <c r="I2240" s="2"/>
      <c r="J2240" s="2">
        <v>3325.8899999999994</v>
      </c>
      <c r="K2240" s="2"/>
      <c r="L2240" s="2">
        <v>3325.8899999999994</v>
      </c>
      <c r="M2240" t="s">
        <v>4405</v>
      </c>
      <c r="N2240" t="s">
        <v>4406</v>
      </c>
    </row>
    <row r="2241" spans="1:14" x14ac:dyDescent="0.4">
      <c r="A2241" t="s">
        <v>4387</v>
      </c>
      <c r="B2241" t="s">
        <v>3419</v>
      </c>
      <c r="C2241" t="s">
        <v>291</v>
      </c>
      <c r="D2241" t="s">
        <v>295</v>
      </c>
      <c r="E2241" s="2"/>
      <c r="F2241" s="2"/>
      <c r="G2241" s="2"/>
      <c r="H2241" s="2"/>
      <c r="I2241" s="2"/>
      <c r="J2241" s="2">
        <v>1691.89</v>
      </c>
      <c r="K2241" s="2"/>
      <c r="L2241" s="2">
        <v>1691.89</v>
      </c>
      <c r="M2241" t="s">
        <v>4405</v>
      </c>
      <c r="N2241" t="s">
        <v>4406</v>
      </c>
    </row>
    <row r="2242" spans="1:14" x14ac:dyDescent="0.4">
      <c r="A2242" t="s">
        <v>4388</v>
      </c>
      <c r="B2242" t="s">
        <v>2973</v>
      </c>
      <c r="C2242" t="s">
        <v>64</v>
      </c>
      <c r="D2242" t="s">
        <v>2672</v>
      </c>
      <c r="E2242" s="2"/>
      <c r="F2242" s="2"/>
      <c r="G2242" s="2"/>
      <c r="H2242" s="2"/>
      <c r="I2242" s="2"/>
      <c r="J2242" s="2">
        <v>844.39999999999986</v>
      </c>
      <c r="K2242" s="2"/>
      <c r="L2242" s="2">
        <v>844.39999999999986</v>
      </c>
      <c r="M2242" t="s">
        <v>4405</v>
      </c>
      <c r="N2242" t="s">
        <v>4406</v>
      </c>
    </row>
    <row r="2243" spans="1:14" x14ac:dyDescent="0.4">
      <c r="A2243" t="s">
        <v>4389</v>
      </c>
      <c r="B2243" t="s">
        <v>4134</v>
      </c>
      <c r="C2243" t="s">
        <v>419</v>
      </c>
      <c r="D2243" t="s">
        <v>420</v>
      </c>
      <c r="E2243" s="2"/>
      <c r="F2243" s="2"/>
      <c r="G2243" s="2"/>
      <c r="H2243" s="2"/>
      <c r="I2243" s="2"/>
      <c r="J2243" s="2">
        <v>1719.3299999999997</v>
      </c>
      <c r="K2243" s="2"/>
      <c r="L2243" s="2">
        <v>1719.3299999999997</v>
      </c>
      <c r="M2243" t="s">
        <v>4405</v>
      </c>
      <c r="N2243" t="s">
        <v>4406</v>
      </c>
    </row>
    <row r="2244" spans="1:14" x14ac:dyDescent="0.4">
      <c r="A2244" t="s">
        <v>4390</v>
      </c>
      <c r="B2244" t="s">
        <v>3987</v>
      </c>
      <c r="C2244" t="s">
        <v>64</v>
      </c>
      <c r="D2244" t="s">
        <v>2089</v>
      </c>
      <c r="E2244" s="2"/>
      <c r="F2244" s="2"/>
      <c r="G2244" s="2"/>
      <c r="H2244" s="2"/>
      <c r="I2244" s="2"/>
      <c r="J2244" s="2">
        <v>729.00000000000011</v>
      </c>
      <c r="K2244" s="2"/>
      <c r="L2244" s="2">
        <v>729.00000000000011</v>
      </c>
      <c r="M2244" t="s">
        <v>4405</v>
      </c>
      <c r="N2244" t="s">
        <v>4406</v>
      </c>
    </row>
    <row r="2245" spans="1:14" x14ac:dyDescent="0.4">
      <c r="A2245" t="s">
        <v>4391</v>
      </c>
      <c r="B2245" t="s">
        <v>4392</v>
      </c>
      <c r="C2245" t="s">
        <v>64</v>
      </c>
      <c r="D2245" t="s">
        <v>1377</v>
      </c>
      <c r="E2245" s="2"/>
      <c r="F2245" s="2"/>
      <c r="G2245" s="2"/>
      <c r="H2245" s="2"/>
      <c r="I2245" s="2"/>
      <c r="J2245" s="2">
        <v>1084.3599999999999</v>
      </c>
      <c r="K2245" s="2"/>
      <c r="L2245" s="2">
        <v>1084.3599999999999</v>
      </c>
      <c r="M2245" t="s">
        <v>4405</v>
      </c>
      <c r="N2245" t="s">
        <v>4406</v>
      </c>
    </row>
    <row r="2246" spans="1:14" x14ac:dyDescent="0.4">
      <c r="A2246" t="s">
        <v>4393</v>
      </c>
      <c r="E2246" s="2">
        <v>6264162.7400001185</v>
      </c>
      <c r="F2246" s="2">
        <v>5692901.4400000898</v>
      </c>
      <c r="G2246" s="2">
        <v>6220625.1100001</v>
      </c>
      <c r="H2246" s="2">
        <v>5994961.2700000713</v>
      </c>
      <c r="I2246" s="2">
        <v>5862011.1800000817</v>
      </c>
      <c r="J2246" s="2">
        <v>5877046.4600000819</v>
      </c>
      <c r="K2246" s="2">
        <v>2716960.3400000022</v>
      </c>
      <c r="L2246" s="2">
        <v>38628668.540000565</v>
      </c>
      <c r="M2246" t="s">
        <v>4400</v>
      </c>
      <c r="N2246" t="s">
        <v>4400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CA28-974A-4B3C-85AF-FE7D4BB2702F}">
  <dimension ref="A1:N132"/>
  <sheetViews>
    <sheetView topLeftCell="C1" zoomScale="60" zoomScaleNormal="60" workbookViewId="0">
      <selection activeCell="P1" sqref="P1:S1048576"/>
    </sheetView>
  </sheetViews>
  <sheetFormatPr defaultRowHeight="16.8" x14ac:dyDescent="0.4"/>
  <cols>
    <col min="1" max="1" width="11.69921875" bestFit="1" customWidth="1"/>
    <col min="2" max="2" width="28" customWidth="1"/>
    <col min="3" max="3" width="13.3984375" bestFit="1" customWidth="1"/>
    <col min="4" max="4" width="16.59765625" bestFit="1" customWidth="1"/>
    <col min="5" max="10" width="12.5" style="2" bestFit="1" customWidth="1"/>
    <col min="11" max="11" width="11.09765625" style="2" bestFit="1" customWidth="1"/>
    <col min="12" max="12" width="13.59765625" style="2" bestFit="1" customWidth="1"/>
    <col min="13" max="13" width="14.59765625" customWidth="1"/>
    <col min="14" max="14" width="12.8984375" customWidth="1"/>
  </cols>
  <sheetData>
    <row r="1" spans="1:14" x14ac:dyDescent="0.4">
      <c r="A1" s="7" t="s">
        <v>4394</v>
      </c>
      <c r="B1" s="7" t="s">
        <v>4395</v>
      </c>
      <c r="C1" s="7" t="s">
        <v>4396</v>
      </c>
      <c r="D1" s="7" t="s">
        <v>4397</v>
      </c>
      <c r="E1" s="7">
        <v>1</v>
      </c>
      <c r="F1" s="7">
        <v>2</v>
      </c>
      <c r="G1" s="7">
        <v>3</v>
      </c>
      <c r="H1" s="7">
        <v>4</v>
      </c>
      <c r="I1" s="7">
        <v>5</v>
      </c>
      <c r="J1" s="7">
        <v>6</v>
      </c>
      <c r="K1" s="7">
        <v>7</v>
      </c>
      <c r="L1" s="7" t="s">
        <v>4393</v>
      </c>
      <c r="M1" s="3" t="s">
        <v>4398</v>
      </c>
      <c r="N1" s="3" t="s">
        <v>4399</v>
      </c>
    </row>
    <row r="2" spans="1:14" x14ac:dyDescent="0.4">
      <c r="A2" t="s">
        <v>4417</v>
      </c>
      <c r="B2" t="s">
        <v>4418</v>
      </c>
      <c r="C2" t="s">
        <v>337</v>
      </c>
      <c r="D2" t="s">
        <v>347</v>
      </c>
      <c r="E2" s="2">
        <v>1625</v>
      </c>
      <c r="F2" s="2">
        <v>1170</v>
      </c>
      <c r="H2" s="2">
        <v>2580</v>
      </c>
      <c r="I2" s="2">
        <v>725</v>
      </c>
      <c r="J2" s="2">
        <v>1860</v>
      </c>
      <c r="K2" s="2">
        <v>1545</v>
      </c>
      <c r="L2" s="2">
        <v>9505</v>
      </c>
      <c r="M2" t="str" cm="1">
        <f t="array" ref="M2">_xlfn.LET(_xlpm.sales,E2:K2,_xlpm.firstsale,IFERROR(_xlfn.XMATCH(TRUE,_xlpm.sales&gt;0),0),IF(_xlpm.firstsale&gt;1,"ลูกค้าใหม่เดือน "&amp;INDEX($E$1:$K$1,1,_xlpm.firstsale),""))</f>
        <v/>
      </c>
      <c r="N2" t="str" cm="1">
        <f t="array" ref="N2">IF(K2&gt;0,"",IFERROR("หายเดือน "&amp;INDEX($E$1:$K$1,1,LOOKUP(2,1/(E2:K2&gt;0),COLUMN(E2:K2)-COLUMN(E2)+1)+1),""))</f>
        <v/>
      </c>
    </row>
    <row r="3" spans="1:14" x14ac:dyDescent="0.4">
      <c r="A3" t="s">
        <v>4419</v>
      </c>
      <c r="B3" t="s">
        <v>4420</v>
      </c>
      <c r="C3" t="s">
        <v>5</v>
      </c>
      <c r="D3" t="s">
        <v>1354</v>
      </c>
      <c r="E3" s="2">
        <v>28080</v>
      </c>
      <c r="F3" s="2">
        <v>13937</v>
      </c>
      <c r="G3" s="2">
        <v>23782</v>
      </c>
      <c r="H3" s="2">
        <v>21776</v>
      </c>
      <c r="I3" s="2">
        <v>19852</v>
      </c>
      <c r="J3" s="2">
        <v>26319</v>
      </c>
      <c r="K3" s="2">
        <v>11185</v>
      </c>
      <c r="L3" s="2">
        <v>144931</v>
      </c>
      <c r="M3" t="str" cm="1">
        <f t="array" ref="M3">_xlfn.LET(_xlpm.sales,E3:K3,_xlpm.firstsale,IFERROR(_xlfn.XMATCH(TRUE,_xlpm.sales&gt;0),0),IF(_xlpm.firstsale&gt;1,"ลูกค้าใหม่เดือน "&amp;INDEX($E$1:$K$1,1,_xlpm.firstsale),""))</f>
        <v/>
      </c>
      <c r="N3" t="str" cm="1">
        <f t="array" ref="N3">IF(K3&gt;0,"",IFERROR("หายเดือน "&amp;INDEX($E$1:$K$1,1,LOOKUP(2,1/(E3:K3&gt;0),COLUMN(E3:K3)-COLUMN(E3)+1)+1),""))</f>
        <v/>
      </c>
    </row>
    <row r="4" spans="1:14" x14ac:dyDescent="0.4">
      <c r="A4" t="s">
        <v>4421</v>
      </c>
      <c r="B4" t="s">
        <v>4422</v>
      </c>
      <c r="C4" t="s">
        <v>602</v>
      </c>
      <c r="D4" t="s">
        <v>1638</v>
      </c>
      <c r="E4" s="2">
        <v>7105</v>
      </c>
      <c r="F4" s="2">
        <v>3670</v>
      </c>
      <c r="G4" s="2">
        <v>4130</v>
      </c>
      <c r="H4" s="2">
        <v>6000</v>
      </c>
      <c r="I4" s="2">
        <v>1720</v>
      </c>
      <c r="J4" s="2">
        <v>1764</v>
      </c>
      <c r="K4" s="2">
        <v>940</v>
      </c>
      <c r="L4" s="2">
        <v>25329</v>
      </c>
      <c r="M4" t="str" cm="1">
        <f t="array" ref="M4">_xlfn.LET(_xlpm.sales,E4:K4,_xlpm.firstsale,IFERROR(_xlfn.XMATCH(TRUE,_xlpm.sales&gt;0),0),IF(_xlpm.firstsale&gt;1,"ลูกค้าใหม่เดือน "&amp;INDEX($E$1:$K$1,1,_xlpm.firstsale),""))</f>
        <v/>
      </c>
      <c r="N4" t="str" cm="1">
        <f t="array" ref="N4">IF(K4&gt;0,"",IFERROR("หายเดือน "&amp;INDEX($E$1:$K$1,1,LOOKUP(2,1/(E4:K4&gt;0),COLUMN(E4:K4)-COLUMN(E4)+1)+1),""))</f>
        <v/>
      </c>
    </row>
    <row r="5" spans="1:14" x14ac:dyDescent="0.4">
      <c r="A5" t="s">
        <v>4423</v>
      </c>
      <c r="B5" t="s">
        <v>4424</v>
      </c>
      <c r="C5" t="s">
        <v>64</v>
      </c>
      <c r="D5" t="s">
        <v>2297</v>
      </c>
      <c r="E5" s="2">
        <v>1690</v>
      </c>
      <c r="F5" s="2">
        <v>1640</v>
      </c>
      <c r="G5" s="2">
        <v>2550</v>
      </c>
      <c r="H5" s="2">
        <v>1720</v>
      </c>
      <c r="I5" s="2">
        <v>1585</v>
      </c>
      <c r="J5" s="2">
        <v>1015</v>
      </c>
      <c r="K5" s="2">
        <v>1675</v>
      </c>
      <c r="L5" s="2">
        <v>11875</v>
      </c>
      <c r="M5" t="str" cm="1">
        <f t="array" ref="M5">_xlfn.LET(_xlpm.sales,E5:K5,_xlpm.firstsale,IFERROR(_xlfn.XMATCH(TRUE,_xlpm.sales&gt;0),0),IF(_xlpm.firstsale&gt;1,"ลูกค้าใหม่เดือน "&amp;INDEX($E$1:$K$1,1,_xlpm.firstsale),""))</f>
        <v/>
      </c>
      <c r="N5" t="str" cm="1">
        <f t="array" ref="N5">IF(K5&gt;0,"",IFERROR("หายเดือน "&amp;INDEX($E$1:$K$1,1,LOOKUP(2,1/(E5:K5&gt;0),COLUMN(E5:K5)-COLUMN(E5)+1)+1),""))</f>
        <v/>
      </c>
    </row>
    <row r="6" spans="1:14" x14ac:dyDescent="0.4">
      <c r="A6" t="s">
        <v>4425</v>
      </c>
      <c r="B6" t="s">
        <v>4426</v>
      </c>
      <c r="C6" t="s">
        <v>1</v>
      </c>
      <c r="D6" t="s">
        <v>507</v>
      </c>
      <c r="E6" s="2">
        <v>17545</v>
      </c>
      <c r="F6" s="2">
        <v>16305</v>
      </c>
      <c r="G6" s="2">
        <v>18090</v>
      </c>
      <c r="H6" s="2">
        <v>14360</v>
      </c>
      <c r="I6" s="2">
        <v>18210</v>
      </c>
      <c r="J6" s="2">
        <v>22035</v>
      </c>
      <c r="K6" s="2">
        <v>8330</v>
      </c>
      <c r="L6" s="2">
        <v>114875</v>
      </c>
      <c r="M6" t="str" cm="1">
        <f t="array" ref="M6">_xlfn.LET(_xlpm.sales,E6:K6,_xlpm.firstsale,IFERROR(_xlfn.XMATCH(TRUE,_xlpm.sales&gt;0),0),IF(_xlpm.firstsale&gt;1,"ลูกค้าใหม่เดือน "&amp;INDEX($E$1:$K$1,1,_xlpm.firstsale),""))</f>
        <v/>
      </c>
      <c r="N6" t="str" cm="1">
        <f t="array" ref="N6">IF(K6&gt;0,"",IFERROR("หายเดือน "&amp;INDEX($E$1:$K$1,1,LOOKUP(2,1/(E6:K6&gt;0),COLUMN(E6:K6)-COLUMN(E6)+1)+1),""))</f>
        <v/>
      </c>
    </row>
    <row r="7" spans="1:14" x14ac:dyDescent="0.4">
      <c r="A7" t="s">
        <v>4427</v>
      </c>
      <c r="B7" t="s">
        <v>4428</v>
      </c>
      <c r="C7" t="s">
        <v>103</v>
      </c>
      <c r="D7" t="s">
        <v>1882</v>
      </c>
      <c r="E7" s="2">
        <v>6750</v>
      </c>
      <c r="F7" s="2">
        <v>6450</v>
      </c>
      <c r="G7" s="2">
        <v>7075</v>
      </c>
      <c r="H7" s="2">
        <v>9300</v>
      </c>
      <c r="L7" s="2">
        <v>29575</v>
      </c>
      <c r="M7" t="str" cm="1">
        <f t="array" ref="M7">_xlfn.LET(_xlpm.sales,E7:K7,_xlpm.firstsale,IFERROR(_xlfn.XMATCH(TRUE,_xlpm.sales&gt;0),0),IF(_xlpm.firstsale&gt;1,"ลูกค้าใหม่เดือน "&amp;INDEX($E$1:$K$1,1,_xlpm.firstsale),""))</f>
        <v/>
      </c>
      <c r="N7" t="str" cm="1">
        <f t="array" ref="N7">IF(K7&gt;0,"",IFERROR("หายเดือน "&amp;INDEX($E$1:$K$1,1,LOOKUP(2,1/(E7:K7&gt;0),COLUMN(E7:K7)-COLUMN(E7)+1)+1),""))</f>
        <v>หายเดือน 5</v>
      </c>
    </row>
    <row r="8" spans="1:14" x14ac:dyDescent="0.4">
      <c r="A8" t="s">
        <v>4429</v>
      </c>
      <c r="B8" t="s">
        <v>4430</v>
      </c>
      <c r="C8" t="s">
        <v>178</v>
      </c>
      <c r="D8" t="s">
        <v>179</v>
      </c>
      <c r="E8" s="2">
        <v>1830</v>
      </c>
      <c r="F8" s="2">
        <v>1700</v>
      </c>
      <c r="G8" s="2">
        <v>1890</v>
      </c>
      <c r="H8" s="2">
        <v>2585</v>
      </c>
      <c r="L8" s="2">
        <v>8005</v>
      </c>
      <c r="M8" t="str" cm="1">
        <f t="array" ref="M8">_xlfn.LET(_xlpm.sales,E8:K8,_xlpm.firstsale,IFERROR(_xlfn.XMATCH(TRUE,_xlpm.sales&gt;0),0),IF(_xlpm.firstsale&gt;1,"ลูกค้าใหม่เดือน "&amp;INDEX($E$1:$K$1,1,_xlpm.firstsale),""))</f>
        <v/>
      </c>
      <c r="N8" t="str" cm="1">
        <f t="array" ref="N8">IF(K8&gt;0,"",IFERROR("หายเดือน "&amp;INDEX($E$1:$K$1,1,LOOKUP(2,1/(E8:K8&gt;0),COLUMN(E8:K8)-COLUMN(E8)+1)+1),""))</f>
        <v>หายเดือน 5</v>
      </c>
    </row>
    <row r="9" spans="1:14" x14ac:dyDescent="0.4">
      <c r="A9" t="s">
        <v>4431</v>
      </c>
      <c r="B9" t="s">
        <v>4432</v>
      </c>
      <c r="C9" t="s">
        <v>64</v>
      </c>
      <c r="D9" t="s">
        <v>2871</v>
      </c>
      <c r="E9" s="2">
        <v>25926</v>
      </c>
      <c r="F9" s="2">
        <v>17648</v>
      </c>
      <c r="G9" s="2">
        <v>19656</v>
      </c>
      <c r="H9" s="2">
        <v>17266</v>
      </c>
      <c r="I9" s="2">
        <v>15750</v>
      </c>
      <c r="J9" s="2">
        <v>14922</v>
      </c>
      <c r="K9" s="2">
        <v>13646</v>
      </c>
      <c r="L9" s="2">
        <v>124814</v>
      </c>
      <c r="M9" t="str" cm="1">
        <f t="array" ref="M9">_xlfn.LET(_xlpm.sales,E9:K9,_xlpm.firstsale,IFERROR(_xlfn.XMATCH(TRUE,_xlpm.sales&gt;0),0),IF(_xlpm.firstsale&gt;1,"ลูกค้าใหม่เดือน "&amp;INDEX($E$1:$K$1,1,_xlpm.firstsale),""))</f>
        <v/>
      </c>
      <c r="N9" t="str" cm="1">
        <f t="array" ref="N9">IF(K9&gt;0,"",IFERROR("หายเดือน "&amp;INDEX($E$1:$K$1,1,LOOKUP(2,1/(E9:K9&gt;0),COLUMN(E9:K9)-COLUMN(E9)+1)+1),""))</f>
        <v/>
      </c>
    </row>
    <row r="10" spans="1:14" x14ac:dyDescent="0.4">
      <c r="A10" t="s">
        <v>4433</v>
      </c>
      <c r="B10" t="s">
        <v>4434</v>
      </c>
      <c r="C10" t="s">
        <v>64</v>
      </c>
      <c r="D10" t="s">
        <v>3711</v>
      </c>
      <c r="E10" s="2">
        <v>26737</v>
      </c>
      <c r="F10" s="2">
        <v>19222</v>
      </c>
      <c r="G10" s="2">
        <v>20429</v>
      </c>
      <c r="H10" s="2">
        <v>17662</v>
      </c>
      <c r="I10" s="2">
        <v>21908</v>
      </c>
      <c r="J10" s="2">
        <v>34343</v>
      </c>
      <c r="K10" s="2">
        <v>14005</v>
      </c>
      <c r="L10" s="2">
        <v>154306</v>
      </c>
      <c r="M10" t="str" cm="1">
        <f t="array" ref="M10">_xlfn.LET(_xlpm.sales,E10:K10,_xlpm.firstsale,IFERROR(_xlfn.XMATCH(TRUE,_xlpm.sales&gt;0),0),IF(_xlpm.firstsale&gt;1,"ลูกค้าใหม่เดือน "&amp;INDEX($E$1:$K$1,1,_xlpm.firstsale),""))</f>
        <v/>
      </c>
      <c r="N10" t="str" cm="1">
        <f t="array" ref="N10">IF(K10&gt;0,"",IFERROR("หายเดือน "&amp;INDEX($E$1:$K$1,1,LOOKUP(2,1/(E10:K10&gt;0),COLUMN(E10:K10)-COLUMN(E10)+1)+1),""))</f>
        <v/>
      </c>
    </row>
    <row r="11" spans="1:14" x14ac:dyDescent="0.4">
      <c r="A11" t="s">
        <v>4435</v>
      </c>
      <c r="B11" t="s">
        <v>4436</v>
      </c>
      <c r="C11" t="s">
        <v>5</v>
      </c>
      <c r="D11" t="s">
        <v>6</v>
      </c>
      <c r="E11" s="2">
        <v>535</v>
      </c>
      <c r="L11" s="2">
        <v>535</v>
      </c>
      <c r="M11" t="str" cm="1">
        <f t="array" ref="M11">_xlfn.LET(_xlpm.sales,E11:K11,_xlpm.firstsale,IFERROR(_xlfn.XMATCH(TRUE,_xlpm.sales&gt;0),0),IF(_xlpm.firstsale&gt;1,"ลูกค้าใหม่เดือน "&amp;INDEX($E$1:$K$1,1,_xlpm.firstsale),""))</f>
        <v/>
      </c>
      <c r="N11" t="str" cm="1">
        <f t="array" ref="N11">IF(K11&gt;0,"",IFERROR("หายเดือน "&amp;INDEX($E$1:$K$1,1,LOOKUP(2,1/(E11:K11&gt;0),COLUMN(E11:K11)-COLUMN(E11)+1)+1),""))</f>
        <v>หายเดือน 2</v>
      </c>
    </row>
    <row r="12" spans="1:14" x14ac:dyDescent="0.4">
      <c r="A12" t="s">
        <v>4437</v>
      </c>
      <c r="B12" t="s">
        <v>4438</v>
      </c>
      <c r="C12" t="s">
        <v>5</v>
      </c>
      <c r="D12" t="s">
        <v>1354</v>
      </c>
      <c r="E12" s="2">
        <v>1300</v>
      </c>
      <c r="F12" s="2">
        <v>1400</v>
      </c>
      <c r="G12" s="2">
        <v>1465</v>
      </c>
      <c r="H12" s="2">
        <v>1150</v>
      </c>
      <c r="I12" s="2">
        <v>700</v>
      </c>
      <c r="K12" s="2">
        <v>1600</v>
      </c>
      <c r="L12" s="2">
        <v>7615</v>
      </c>
      <c r="M12" t="str" cm="1">
        <f t="array" ref="M12">_xlfn.LET(_xlpm.sales,E12:K12,_xlpm.firstsale,IFERROR(_xlfn.XMATCH(TRUE,_xlpm.sales&gt;0),0),IF(_xlpm.firstsale&gt;1,"ลูกค้าใหม่เดือน "&amp;INDEX($E$1:$K$1,1,_xlpm.firstsale),""))</f>
        <v/>
      </c>
      <c r="N12" t="str" cm="1">
        <f t="array" ref="N12">IF(K12&gt;0,"",IFERROR("หายเดือน "&amp;INDEX($E$1:$K$1,1,LOOKUP(2,1/(E12:K12&gt;0),COLUMN(E12:K12)-COLUMN(E12)+1)+1),""))</f>
        <v/>
      </c>
    </row>
    <row r="13" spans="1:14" x14ac:dyDescent="0.4">
      <c r="A13" t="s">
        <v>4439</v>
      </c>
      <c r="B13" t="s">
        <v>4440</v>
      </c>
      <c r="C13" t="s">
        <v>5</v>
      </c>
      <c r="D13" t="s">
        <v>1354</v>
      </c>
      <c r="E13" s="2">
        <v>35350</v>
      </c>
      <c r="F13" s="2">
        <v>14850</v>
      </c>
      <c r="G13" s="2">
        <v>14050</v>
      </c>
      <c r="H13" s="2">
        <v>16960</v>
      </c>
      <c r="I13" s="2">
        <v>8940</v>
      </c>
      <c r="J13" s="2">
        <v>20820</v>
      </c>
      <c r="K13" s="2">
        <v>7900</v>
      </c>
      <c r="L13" s="2">
        <v>118870</v>
      </c>
      <c r="M13" t="str" cm="1">
        <f t="array" ref="M13">_xlfn.LET(_xlpm.sales,E13:K13,_xlpm.firstsale,IFERROR(_xlfn.XMATCH(TRUE,_xlpm.sales&gt;0),0),IF(_xlpm.firstsale&gt;1,"ลูกค้าใหม่เดือน "&amp;INDEX($E$1:$K$1,1,_xlpm.firstsale),""))</f>
        <v/>
      </c>
      <c r="N13" t="str" cm="1">
        <f t="array" ref="N13">IF(K13&gt;0,"",IFERROR("หายเดือน "&amp;INDEX($E$1:$K$1,1,LOOKUP(2,1/(E13:K13&gt;0),COLUMN(E13:K13)-COLUMN(E13)+1)+1),""))</f>
        <v/>
      </c>
    </row>
    <row r="14" spans="1:14" x14ac:dyDescent="0.4">
      <c r="A14" t="s">
        <v>4441</v>
      </c>
      <c r="B14" t="s">
        <v>4442</v>
      </c>
      <c r="C14" t="s">
        <v>96</v>
      </c>
      <c r="D14" t="s">
        <v>100</v>
      </c>
      <c r="E14" s="2">
        <v>32050</v>
      </c>
      <c r="F14" s="2">
        <v>15705</v>
      </c>
      <c r="G14" s="2">
        <v>19005</v>
      </c>
      <c r="H14" s="2">
        <v>21975</v>
      </c>
      <c r="I14" s="2">
        <v>11260</v>
      </c>
      <c r="J14" s="2">
        <v>3325</v>
      </c>
      <c r="L14" s="2">
        <v>103320</v>
      </c>
      <c r="M14" t="str" cm="1">
        <f t="array" ref="M14">_xlfn.LET(_xlpm.sales,E14:K14,_xlpm.firstsale,IFERROR(_xlfn.XMATCH(TRUE,_xlpm.sales&gt;0),0),IF(_xlpm.firstsale&gt;1,"ลูกค้าใหม่เดือน "&amp;INDEX($E$1:$K$1,1,_xlpm.firstsale),""))</f>
        <v/>
      </c>
      <c r="N14" t="str" cm="1">
        <f t="array" ref="N14">IF(K14&gt;0,"",IFERROR("หายเดือน "&amp;INDEX($E$1:$K$1,1,LOOKUP(2,1/(E14:K14&gt;0),COLUMN(E14:K14)-COLUMN(E14)+1)+1),""))</f>
        <v>หายเดือน 7</v>
      </c>
    </row>
    <row r="15" spans="1:14" x14ac:dyDescent="0.4">
      <c r="A15" t="s">
        <v>4443</v>
      </c>
      <c r="B15" t="s">
        <v>4444</v>
      </c>
      <c r="C15" t="s">
        <v>96</v>
      </c>
      <c r="D15" t="s">
        <v>1010</v>
      </c>
      <c r="E15" s="2">
        <v>30775</v>
      </c>
      <c r="F15" s="2">
        <v>16275</v>
      </c>
      <c r="G15" s="2">
        <v>14450</v>
      </c>
      <c r="H15" s="2">
        <v>22675</v>
      </c>
      <c r="I15" s="2">
        <v>6550</v>
      </c>
      <c r="J15" s="2">
        <v>2100</v>
      </c>
      <c r="L15" s="2">
        <v>92825</v>
      </c>
      <c r="M15" t="str" cm="1">
        <f t="array" ref="M15">_xlfn.LET(_xlpm.sales,E15:K15,_xlpm.firstsale,IFERROR(_xlfn.XMATCH(TRUE,_xlpm.sales&gt;0),0),IF(_xlpm.firstsale&gt;1,"ลูกค้าใหม่เดือน "&amp;INDEX($E$1:$K$1,1,_xlpm.firstsale),""))</f>
        <v/>
      </c>
      <c r="N15" t="str" cm="1">
        <f t="array" ref="N15">IF(K15&gt;0,"",IFERROR("หายเดือน "&amp;INDEX($E$1:$K$1,1,LOOKUP(2,1/(E15:K15&gt;0),COLUMN(E15:K15)-COLUMN(E15)+1)+1),""))</f>
        <v>หายเดือน 7</v>
      </c>
    </row>
    <row r="16" spans="1:14" x14ac:dyDescent="0.4">
      <c r="A16" t="s">
        <v>4445</v>
      </c>
      <c r="B16" t="s">
        <v>4446</v>
      </c>
      <c r="C16" t="s">
        <v>96</v>
      </c>
      <c r="D16" t="s">
        <v>100</v>
      </c>
      <c r="E16" s="2">
        <v>4810</v>
      </c>
      <c r="F16" s="2">
        <v>1240</v>
      </c>
      <c r="G16" s="2">
        <v>1325</v>
      </c>
      <c r="L16" s="2">
        <v>7375</v>
      </c>
      <c r="M16" t="str" cm="1">
        <f t="array" ref="M16">_xlfn.LET(_xlpm.sales,E16:K16,_xlpm.firstsale,IFERROR(_xlfn.XMATCH(TRUE,_xlpm.sales&gt;0),0),IF(_xlpm.firstsale&gt;1,"ลูกค้าใหม่เดือน "&amp;INDEX($E$1:$K$1,1,_xlpm.firstsale),""))</f>
        <v/>
      </c>
      <c r="N16" t="str" cm="1">
        <f t="array" ref="N16">IF(K16&gt;0,"",IFERROR("หายเดือน "&amp;INDEX($E$1:$K$1,1,LOOKUP(2,1/(E16:K16&gt;0),COLUMN(E16:K16)-COLUMN(E16)+1)+1),""))</f>
        <v>หายเดือน 4</v>
      </c>
    </row>
    <row r="17" spans="1:14" x14ac:dyDescent="0.4">
      <c r="A17" t="s">
        <v>4447</v>
      </c>
      <c r="B17" t="s">
        <v>4448</v>
      </c>
      <c r="C17" t="s">
        <v>96</v>
      </c>
      <c r="D17" t="s">
        <v>97</v>
      </c>
      <c r="E17" s="2">
        <v>7000</v>
      </c>
      <c r="F17" s="2">
        <v>3500</v>
      </c>
      <c r="G17" s="2">
        <v>5600</v>
      </c>
      <c r="H17" s="2">
        <v>5600</v>
      </c>
      <c r="I17" s="2">
        <v>4200</v>
      </c>
      <c r="J17" s="2">
        <v>4900</v>
      </c>
      <c r="K17" s="2">
        <v>2800</v>
      </c>
      <c r="L17" s="2">
        <v>33600</v>
      </c>
      <c r="M17" t="str" cm="1">
        <f t="array" ref="M17">_xlfn.LET(_xlpm.sales,E17:K17,_xlpm.firstsale,IFERROR(_xlfn.XMATCH(TRUE,_xlpm.sales&gt;0),0),IF(_xlpm.firstsale&gt;1,"ลูกค้าใหม่เดือน "&amp;INDEX($E$1:$K$1,1,_xlpm.firstsale),""))</f>
        <v/>
      </c>
      <c r="N17" t="str" cm="1">
        <f t="array" ref="N17">IF(K17&gt;0,"",IFERROR("หายเดือน "&amp;INDEX($E$1:$K$1,1,LOOKUP(2,1/(E17:K17&gt;0),COLUMN(E17:K17)-COLUMN(E17)+1)+1),""))</f>
        <v/>
      </c>
    </row>
    <row r="18" spans="1:14" x14ac:dyDescent="0.4">
      <c r="A18" t="s">
        <v>4449</v>
      </c>
      <c r="B18" t="s">
        <v>4450</v>
      </c>
      <c r="C18" t="s">
        <v>96</v>
      </c>
      <c r="D18" t="s">
        <v>1010</v>
      </c>
      <c r="E18" s="2">
        <v>4200</v>
      </c>
      <c r="F18" s="2">
        <v>2800</v>
      </c>
      <c r="G18" s="2">
        <v>4200</v>
      </c>
      <c r="H18" s="2">
        <v>3500</v>
      </c>
      <c r="J18" s="2">
        <v>4200</v>
      </c>
      <c r="K18" s="2">
        <v>1400</v>
      </c>
      <c r="L18" s="2">
        <v>20300</v>
      </c>
      <c r="M18" t="str" cm="1">
        <f t="array" ref="M18">_xlfn.LET(_xlpm.sales,E18:K18,_xlpm.firstsale,IFERROR(_xlfn.XMATCH(TRUE,_xlpm.sales&gt;0),0),IF(_xlpm.firstsale&gt;1,"ลูกค้าใหม่เดือน "&amp;INDEX($E$1:$K$1,1,_xlpm.firstsale),""))</f>
        <v/>
      </c>
      <c r="N18" t="str" cm="1">
        <f t="array" ref="N18">IF(K18&gt;0,"",IFERROR("หายเดือน "&amp;INDEX($E$1:$K$1,1,LOOKUP(2,1/(E18:K18&gt;0),COLUMN(E18:K18)-COLUMN(E18)+1)+1),""))</f>
        <v/>
      </c>
    </row>
    <row r="19" spans="1:14" x14ac:dyDescent="0.4">
      <c r="A19" t="s">
        <v>4451</v>
      </c>
      <c r="B19" t="s">
        <v>4452</v>
      </c>
      <c r="C19" t="s">
        <v>220</v>
      </c>
      <c r="D19" t="s">
        <v>4453</v>
      </c>
      <c r="E19" s="2">
        <v>2200</v>
      </c>
      <c r="F19" s="2">
        <v>1600</v>
      </c>
      <c r="G19" s="2">
        <v>1080</v>
      </c>
      <c r="H19" s="2">
        <v>1400</v>
      </c>
      <c r="I19" s="2">
        <v>3140</v>
      </c>
      <c r="J19" s="2">
        <v>1600</v>
      </c>
      <c r="K19" s="2">
        <v>800</v>
      </c>
      <c r="L19" s="2">
        <v>11820</v>
      </c>
      <c r="M19" t="str" cm="1">
        <f t="array" ref="M19">_xlfn.LET(_xlpm.sales,E19:K19,_xlpm.firstsale,IFERROR(_xlfn.XMATCH(TRUE,_xlpm.sales&gt;0),0),IF(_xlpm.firstsale&gt;1,"ลูกค้าใหม่เดือน "&amp;INDEX($E$1:$K$1,1,_xlpm.firstsale),""))</f>
        <v/>
      </c>
      <c r="N19" t="str" cm="1">
        <f t="array" ref="N19">IF(K19&gt;0,"",IFERROR("หายเดือน "&amp;INDEX($E$1:$K$1,1,LOOKUP(2,1/(E19:K19&gt;0),COLUMN(E19:K19)-COLUMN(E19)+1)+1),""))</f>
        <v/>
      </c>
    </row>
    <row r="20" spans="1:14" x14ac:dyDescent="0.4">
      <c r="A20" t="s">
        <v>4454</v>
      </c>
      <c r="B20" t="s">
        <v>4455</v>
      </c>
      <c r="C20" t="s">
        <v>1</v>
      </c>
      <c r="D20" t="s">
        <v>1030</v>
      </c>
      <c r="E20" s="2">
        <v>6890</v>
      </c>
      <c r="F20" s="2">
        <v>4480</v>
      </c>
      <c r="G20" s="2">
        <v>5275</v>
      </c>
      <c r="H20" s="2">
        <v>7300</v>
      </c>
      <c r="I20" s="2">
        <v>4740</v>
      </c>
      <c r="J20" s="2">
        <v>7300</v>
      </c>
      <c r="K20" s="2">
        <v>2735</v>
      </c>
      <c r="L20" s="2">
        <v>38720</v>
      </c>
      <c r="M20" t="str" cm="1">
        <f t="array" ref="M20">_xlfn.LET(_xlpm.sales,E20:K20,_xlpm.firstsale,IFERROR(_xlfn.XMATCH(TRUE,_xlpm.sales&gt;0),0),IF(_xlpm.firstsale&gt;1,"ลูกค้าใหม่เดือน "&amp;INDEX($E$1:$K$1,1,_xlpm.firstsale),""))</f>
        <v/>
      </c>
      <c r="N20" t="str" cm="1">
        <f t="array" ref="N20">IF(K20&gt;0,"",IFERROR("หายเดือน "&amp;INDEX($E$1:$K$1,1,LOOKUP(2,1/(E20:K20&gt;0),COLUMN(E20:K20)-COLUMN(E20)+1)+1),""))</f>
        <v/>
      </c>
    </row>
    <row r="21" spans="1:14" x14ac:dyDescent="0.4">
      <c r="A21" t="s">
        <v>4456</v>
      </c>
      <c r="B21" t="s">
        <v>4457</v>
      </c>
      <c r="C21" t="s">
        <v>123</v>
      </c>
      <c r="D21" t="s">
        <v>124</v>
      </c>
      <c r="E21" s="2">
        <v>3350</v>
      </c>
      <c r="F21" s="2">
        <v>2300</v>
      </c>
      <c r="G21" s="2">
        <v>3150</v>
      </c>
      <c r="H21" s="2">
        <v>2000</v>
      </c>
      <c r="I21" s="2">
        <v>1500</v>
      </c>
      <c r="J21" s="2">
        <v>3750</v>
      </c>
      <c r="L21" s="2">
        <v>16050</v>
      </c>
      <c r="M21" t="str" cm="1">
        <f t="array" ref="M21">_xlfn.LET(_xlpm.sales,E21:K21,_xlpm.firstsale,IFERROR(_xlfn.XMATCH(TRUE,_xlpm.sales&gt;0),0),IF(_xlpm.firstsale&gt;1,"ลูกค้าใหม่เดือน "&amp;INDEX($E$1:$K$1,1,_xlpm.firstsale),""))</f>
        <v/>
      </c>
      <c r="N21" t="str" cm="1">
        <f t="array" ref="N21">IF(K21&gt;0,"",IFERROR("หายเดือน "&amp;INDEX($E$1:$K$1,1,LOOKUP(2,1/(E21:K21&gt;0),COLUMN(E21:K21)-COLUMN(E21)+1)+1),""))</f>
        <v>หายเดือน 7</v>
      </c>
    </row>
    <row r="22" spans="1:14" x14ac:dyDescent="0.4">
      <c r="A22" t="s">
        <v>4458</v>
      </c>
      <c r="B22" t="s">
        <v>4459</v>
      </c>
      <c r="C22" t="s">
        <v>123</v>
      </c>
      <c r="D22" t="s">
        <v>1025</v>
      </c>
      <c r="E22" s="2">
        <v>40450</v>
      </c>
      <c r="F22" s="2">
        <v>21300</v>
      </c>
      <c r="G22" s="2">
        <v>21800</v>
      </c>
      <c r="H22" s="2">
        <v>39100</v>
      </c>
      <c r="I22" s="2">
        <v>33600</v>
      </c>
      <c r="J22" s="2">
        <v>22850</v>
      </c>
      <c r="K22" s="2">
        <v>15450</v>
      </c>
      <c r="L22" s="2">
        <v>194550</v>
      </c>
      <c r="M22" t="str" cm="1">
        <f t="array" ref="M22">_xlfn.LET(_xlpm.sales,E22:K22,_xlpm.firstsale,IFERROR(_xlfn.XMATCH(TRUE,_xlpm.sales&gt;0),0),IF(_xlpm.firstsale&gt;1,"ลูกค้าใหม่เดือน "&amp;INDEX($E$1:$K$1,1,_xlpm.firstsale),""))</f>
        <v/>
      </c>
      <c r="N22" t="str" cm="1">
        <f t="array" ref="N22">IF(K22&gt;0,"",IFERROR("หายเดือน "&amp;INDEX($E$1:$K$1,1,LOOKUP(2,1/(E22:K22&gt;0),COLUMN(E22:K22)-COLUMN(E22)+1)+1),""))</f>
        <v/>
      </c>
    </row>
    <row r="23" spans="1:14" x14ac:dyDescent="0.4">
      <c r="A23" t="s">
        <v>4460</v>
      </c>
      <c r="B23" t="s">
        <v>4461</v>
      </c>
      <c r="C23" t="s">
        <v>1</v>
      </c>
      <c r="D23" t="s">
        <v>1030</v>
      </c>
      <c r="E23" s="2">
        <v>6660</v>
      </c>
      <c r="F23" s="2">
        <v>4640</v>
      </c>
      <c r="G23" s="2">
        <v>5220</v>
      </c>
      <c r="H23" s="2">
        <v>8895</v>
      </c>
      <c r="I23" s="2">
        <v>4900</v>
      </c>
      <c r="J23" s="2">
        <v>7160</v>
      </c>
      <c r="K23" s="2">
        <v>2795</v>
      </c>
      <c r="L23" s="2">
        <v>40270</v>
      </c>
      <c r="M23" t="str" cm="1">
        <f t="array" ref="M23">_xlfn.LET(_xlpm.sales,E23:K23,_xlpm.firstsale,IFERROR(_xlfn.XMATCH(TRUE,_xlpm.sales&gt;0),0),IF(_xlpm.firstsale&gt;1,"ลูกค้าใหม่เดือน "&amp;INDEX($E$1:$K$1,1,_xlpm.firstsale),""))</f>
        <v/>
      </c>
      <c r="N23" t="str" cm="1">
        <f t="array" ref="N23">IF(K23&gt;0,"",IFERROR("หายเดือน "&amp;INDEX($E$1:$K$1,1,LOOKUP(2,1/(E23:K23&gt;0),COLUMN(E23:K23)-COLUMN(E23)+1)+1),""))</f>
        <v/>
      </c>
    </row>
    <row r="24" spans="1:14" x14ac:dyDescent="0.4">
      <c r="A24" t="s">
        <v>4462</v>
      </c>
      <c r="B24" t="s">
        <v>4463</v>
      </c>
      <c r="C24" t="s">
        <v>220</v>
      </c>
      <c r="D24" t="s">
        <v>221</v>
      </c>
      <c r="E24" s="2">
        <v>83475</v>
      </c>
      <c r="F24" s="2">
        <v>31150</v>
      </c>
      <c r="G24" s="2">
        <v>28575</v>
      </c>
      <c r="H24" s="2">
        <v>37925</v>
      </c>
      <c r="I24" s="2">
        <v>29025</v>
      </c>
      <c r="J24" s="2">
        <v>31205</v>
      </c>
      <c r="K24" s="2">
        <v>12235</v>
      </c>
      <c r="L24" s="2">
        <v>253590</v>
      </c>
      <c r="M24" t="str" cm="1">
        <f t="array" ref="M24">_xlfn.LET(_xlpm.sales,E24:K24,_xlpm.firstsale,IFERROR(_xlfn.XMATCH(TRUE,_xlpm.sales&gt;0),0),IF(_xlpm.firstsale&gt;1,"ลูกค้าใหม่เดือน "&amp;INDEX($E$1:$K$1,1,_xlpm.firstsale),""))</f>
        <v/>
      </c>
      <c r="N24" t="str" cm="1">
        <f t="array" ref="N24">IF(K24&gt;0,"",IFERROR("หายเดือน "&amp;INDEX($E$1:$K$1,1,LOOKUP(2,1/(E24:K24&gt;0),COLUMN(E24:K24)-COLUMN(E24)+1)+1),""))</f>
        <v/>
      </c>
    </row>
    <row r="25" spans="1:14" x14ac:dyDescent="0.4">
      <c r="A25" t="s">
        <v>4464</v>
      </c>
      <c r="B25" t="s">
        <v>4465</v>
      </c>
      <c r="C25" t="s">
        <v>220</v>
      </c>
      <c r="D25" t="s">
        <v>221</v>
      </c>
      <c r="E25" s="2">
        <v>38465</v>
      </c>
      <c r="F25" s="2">
        <v>26395</v>
      </c>
      <c r="G25" s="2">
        <v>39245</v>
      </c>
      <c r="H25" s="2">
        <v>48115</v>
      </c>
      <c r="I25" s="2">
        <v>35665</v>
      </c>
      <c r="J25" s="2">
        <v>38088</v>
      </c>
      <c r="K25" s="2">
        <v>17395</v>
      </c>
      <c r="L25" s="2">
        <v>243368</v>
      </c>
      <c r="M25" t="str" cm="1">
        <f t="array" ref="M25">_xlfn.LET(_xlpm.sales,E25:K25,_xlpm.firstsale,IFERROR(_xlfn.XMATCH(TRUE,_xlpm.sales&gt;0),0),IF(_xlpm.firstsale&gt;1,"ลูกค้าใหม่เดือน "&amp;INDEX($E$1:$K$1,1,_xlpm.firstsale),""))</f>
        <v/>
      </c>
      <c r="N25" t="str" cm="1">
        <f t="array" ref="N25">IF(K25&gt;0,"",IFERROR("หายเดือน "&amp;INDEX($E$1:$K$1,1,LOOKUP(2,1/(E25:K25&gt;0),COLUMN(E25:K25)-COLUMN(E25)+1)+1),""))</f>
        <v/>
      </c>
    </row>
    <row r="26" spans="1:14" x14ac:dyDescent="0.4">
      <c r="A26" t="s">
        <v>4466</v>
      </c>
      <c r="B26" t="s">
        <v>4467</v>
      </c>
      <c r="C26" t="s">
        <v>220</v>
      </c>
      <c r="D26" t="s">
        <v>221</v>
      </c>
      <c r="E26" s="2">
        <v>98950</v>
      </c>
      <c r="F26" s="2">
        <v>30025</v>
      </c>
      <c r="G26" s="2">
        <v>36325</v>
      </c>
      <c r="H26" s="2">
        <v>59850</v>
      </c>
      <c r="I26" s="2">
        <v>47850</v>
      </c>
      <c r="J26" s="2">
        <v>31750</v>
      </c>
      <c r="K26" s="2">
        <v>17240</v>
      </c>
      <c r="L26" s="2">
        <v>321990</v>
      </c>
      <c r="M26" t="str" cm="1">
        <f t="array" ref="M26">_xlfn.LET(_xlpm.sales,E26:K26,_xlpm.firstsale,IFERROR(_xlfn.XMATCH(TRUE,_xlpm.sales&gt;0),0),IF(_xlpm.firstsale&gt;1,"ลูกค้าใหม่เดือน "&amp;INDEX($E$1:$K$1,1,_xlpm.firstsale),""))</f>
        <v/>
      </c>
      <c r="N26" t="str" cm="1">
        <f t="array" ref="N26">IF(K26&gt;0,"",IFERROR("หายเดือน "&amp;INDEX($E$1:$K$1,1,LOOKUP(2,1/(E26:K26&gt;0),COLUMN(E26:K26)-COLUMN(E26)+1)+1),""))</f>
        <v/>
      </c>
    </row>
    <row r="27" spans="1:14" x14ac:dyDescent="0.4">
      <c r="A27" t="s">
        <v>4468</v>
      </c>
      <c r="B27" t="s">
        <v>4469</v>
      </c>
      <c r="C27" t="s">
        <v>310</v>
      </c>
      <c r="D27" t="s">
        <v>317</v>
      </c>
      <c r="E27" s="2">
        <v>2000</v>
      </c>
      <c r="F27" s="2">
        <v>1400</v>
      </c>
      <c r="G27" s="2">
        <v>1400</v>
      </c>
      <c r="H27" s="2">
        <v>1400</v>
      </c>
      <c r="I27" s="2">
        <v>1400</v>
      </c>
      <c r="J27" s="2">
        <v>1400</v>
      </c>
      <c r="L27" s="2">
        <v>9000</v>
      </c>
      <c r="M27" t="str" cm="1">
        <f t="array" ref="M27">_xlfn.LET(_xlpm.sales,E27:K27,_xlpm.firstsale,IFERROR(_xlfn.XMATCH(TRUE,_xlpm.sales&gt;0),0),IF(_xlpm.firstsale&gt;1,"ลูกค้าใหม่เดือน "&amp;INDEX($E$1:$K$1,1,_xlpm.firstsale),""))</f>
        <v/>
      </c>
      <c r="N27" t="str" cm="1">
        <f t="array" ref="N27">IF(K27&gt;0,"",IFERROR("หายเดือน "&amp;INDEX($E$1:$K$1,1,LOOKUP(2,1/(E27:K27&gt;0),COLUMN(E27:K27)-COLUMN(E27)+1)+1),""))</f>
        <v>หายเดือน 7</v>
      </c>
    </row>
    <row r="28" spans="1:14" x14ac:dyDescent="0.4">
      <c r="A28" t="s">
        <v>4470</v>
      </c>
      <c r="B28" t="s">
        <v>4471</v>
      </c>
      <c r="C28" t="s">
        <v>310</v>
      </c>
      <c r="D28" t="s">
        <v>320</v>
      </c>
      <c r="E28" s="2">
        <v>1150</v>
      </c>
      <c r="F28" s="2">
        <v>700</v>
      </c>
      <c r="G28" s="2">
        <v>1100</v>
      </c>
      <c r="H28" s="2">
        <v>1050</v>
      </c>
      <c r="I28" s="2">
        <v>840</v>
      </c>
      <c r="J28" s="2">
        <v>840</v>
      </c>
      <c r="K28" s="2">
        <v>350</v>
      </c>
      <c r="L28" s="2">
        <v>6030</v>
      </c>
      <c r="M28" t="str" cm="1">
        <f t="array" ref="M28">_xlfn.LET(_xlpm.sales,E28:K28,_xlpm.firstsale,IFERROR(_xlfn.XMATCH(TRUE,_xlpm.sales&gt;0),0),IF(_xlpm.firstsale&gt;1,"ลูกค้าใหม่เดือน "&amp;INDEX($E$1:$K$1,1,_xlpm.firstsale),""))</f>
        <v/>
      </c>
      <c r="N28" t="str" cm="1">
        <f t="array" ref="N28">IF(K28&gt;0,"",IFERROR("หายเดือน "&amp;INDEX($E$1:$K$1,1,LOOKUP(2,1/(E28:K28&gt;0),COLUMN(E28:K28)-COLUMN(E28)+1)+1),""))</f>
        <v/>
      </c>
    </row>
    <row r="29" spans="1:14" x14ac:dyDescent="0.4">
      <c r="A29" t="s">
        <v>4472</v>
      </c>
      <c r="B29" t="s">
        <v>4473</v>
      </c>
      <c r="C29" t="s">
        <v>310</v>
      </c>
      <c r="D29" t="s">
        <v>314</v>
      </c>
      <c r="E29" s="2">
        <v>46895</v>
      </c>
      <c r="F29" s="2">
        <v>17375</v>
      </c>
      <c r="G29" s="2">
        <v>34900</v>
      </c>
      <c r="H29" s="2">
        <v>29400</v>
      </c>
      <c r="I29" s="2">
        <v>16350</v>
      </c>
      <c r="L29" s="2">
        <v>144920</v>
      </c>
      <c r="M29" t="str" cm="1">
        <f t="array" ref="M29">_xlfn.LET(_xlpm.sales,E29:K29,_xlpm.firstsale,IFERROR(_xlfn.XMATCH(TRUE,_xlpm.sales&gt;0),0),IF(_xlpm.firstsale&gt;1,"ลูกค้าใหม่เดือน "&amp;INDEX($E$1:$K$1,1,_xlpm.firstsale),""))</f>
        <v/>
      </c>
      <c r="N29" t="str" cm="1">
        <f t="array" ref="N29">IF(K29&gt;0,"",IFERROR("หายเดือน "&amp;INDEX($E$1:$K$1,1,LOOKUP(2,1/(E29:K29&gt;0),COLUMN(E29:K29)-COLUMN(E29)+1)+1),""))</f>
        <v>หายเดือน 6</v>
      </c>
    </row>
    <row r="30" spans="1:14" x14ac:dyDescent="0.4">
      <c r="A30" t="s">
        <v>4474</v>
      </c>
      <c r="B30" t="s">
        <v>4475</v>
      </c>
      <c r="C30" t="s">
        <v>310</v>
      </c>
      <c r="D30" t="s">
        <v>314</v>
      </c>
      <c r="E30" s="2">
        <v>116000</v>
      </c>
      <c r="F30" s="2">
        <v>81900</v>
      </c>
      <c r="G30" s="2">
        <v>106150</v>
      </c>
      <c r="H30" s="2">
        <v>140700</v>
      </c>
      <c r="I30" s="2">
        <v>105900</v>
      </c>
      <c r="J30" s="2">
        <v>100350</v>
      </c>
      <c r="K30" s="2">
        <v>40350</v>
      </c>
      <c r="L30" s="2">
        <v>691350</v>
      </c>
      <c r="M30" t="str" cm="1">
        <f t="array" ref="M30">_xlfn.LET(_xlpm.sales,E30:K30,_xlpm.firstsale,IFERROR(_xlfn.XMATCH(TRUE,_xlpm.sales&gt;0),0),IF(_xlpm.firstsale&gt;1,"ลูกค้าใหม่เดือน "&amp;INDEX($E$1:$K$1,1,_xlpm.firstsale),""))</f>
        <v/>
      </c>
      <c r="N30" t="str" cm="1">
        <f t="array" ref="N30">IF(K30&gt;0,"",IFERROR("หายเดือน "&amp;INDEX($E$1:$K$1,1,LOOKUP(2,1/(E30:K30&gt;0),COLUMN(E30:K30)-COLUMN(E30)+1)+1),""))</f>
        <v/>
      </c>
    </row>
    <row r="31" spans="1:14" x14ac:dyDescent="0.4">
      <c r="A31" t="s">
        <v>4476</v>
      </c>
      <c r="B31" t="s">
        <v>4477</v>
      </c>
      <c r="C31" t="s">
        <v>310</v>
      </c>
      <c r="D31" t="s">
        <v>320</v>
      </c>
      <c r="E31" s="2">
        <v>1350</v>
      </c>
      <c r="F31" s="2">
        <v>2750</v>
      </c>
      <c r="G31" s="2">
        <v>2750</v>
      </c>
      <c r="H31" s="2">
        <v>4800</v>
      </c>
      <c r="I31" s="2">
        <v>2050</v>
      </c>
      <c r="J31" s="2">
        <v>2750</v>
      </c>
      <c r="K31" s="2">
        <v>700</v>
      </c>
      <c r="L31" s="2">
        <v>17150</v>
      </c>
      <c r="M31" t="str" cm="1">
        <f t="array" ref="M31">_xlfn.LET(_xlpm.sales,E31:K31,_xlpm.firstsale,IFERROR(_xlfn.XMATCH(TRUE,_xlpm.sales&gt;0),0),IF(_xlpm.firstsale&gt;1,"ลูกค้าใหม่เดือน "&amp;INDEX($E$1:$K$1,1,_xlpm.firstsale),""))</f>
        <v/>
      </c>
      <c r="N31" t="str" cm="1">
        <f t="array" ref="N31">IF(K31&gt;0,"",IFERROR("หายเดือน "&amp;INDEX($E$1:$K$1,1,LOOKUP(2,1/(E31:K31&gt;0),COLUMN(E31:K31)-COLUMN(E31)+1)+1),""))</f>
        <v/>
      </c>
    </row>
    <row r="32" spans="1:14" x14ac:dyDescent="0.4">
      <c r="A32" t="s">
        <v>4478</v>
      </c>
      <c r="B32" t="s">
        <v>4479</v>
      </c>
      <c r="C32" t="s">
        <v>1</v>
      </c>
      <c r="D32" t="s">
        <v>82</v>
      </c>
      <c r="E32" s="2">
        <v>1885</v>
      </c>
      <c r="F32" s="2">
        <v>2075</v>
      </c>
      <c r="G32" s="2">
        <v>1320</v>
      </c>
      <c r="H32" s="2">
        <v>2635</v>
      </c>
      <c r="I32" s="2">
        <v>3765</v>
      </c>
      <c r="J32" s="2">
        <v>3020</v>
      </c>
      <c r="K32" s="2">
        <v>1885</v>
      </c>
      <c r="L32" s="2">
        <v>16585</v>
      </c>
      <c r="M32" t="str" cm="1">
        <f t="array" ref="M32">_xlfn.LET(_xlpm.sales,E32:K32,_xlpm.firstsale,IFERROR(_xlfn.XMATCH(TRUE,_xlpm.sales&gt;0),0),IF(_xlpm.firstsale&gt;1,"ลูกค้าใหม่เดือน "&amp;INDEX($E$1:$K$1,1,_xlpm.firstsale),""))</f>
        <v/>
      </c>
      <c r="N32" t="str" cm="1">
        <f t="array" ref="N32">IF(K32&gt;0,"",IFERROR("หายเดือน "&amp;INDEX($E$1:$K$1,1,LOOKUP(2,1/(E32:K32&gt;0),COLUMN(E32:K32)-COLUMN(E32)+1)+1),""))</f>
        <v/>
      </c>
    </row>
    <row r="33" spans="1:14" x14ac:dyDescent="0.4">
      <c r="A33" t="s">
        <v>4480</v>
      </c>
      <c r="B33" t="s">
        <v>4481</v>
      </c>
      <c r="C33" t="s">
        <v>310</v>
      </c>
      <c r="D33" t="s">
        <v>311</v>
      </c>
      <c r="E33" s="2">
        <v>110125</v>
      </c>
      <c r="F33" s="2">
        <v>111925</v>
      </c>
      <c r="G33" s="2">
        <v>142950</v>
      </c>
      <c r="H33" s="2">
        <v>157475</v>
      </c>
      <c r="I33" s="2">
        <v>124050</v>
      </c>
      <c r="J33" s="2">
        <v>98150</v>
      </c>
      <c r="K33" s="2">
        <v>31750</v>
      </c>
      <c r="L33" s="2">
        <v>776425</v>
      </c>
      <c r="M33" t="str" cm="1">
        <f t="array" ref="M33">_xlfn.LET(_xlpm.sales,E33:K33,_xlpm.firstsale,IFERROR(_xlfn.XMATCH(TRUE,_xlpm.sales&gt;0),0),IF(_xlpm.firstsale&gt;1,"ลูกค้าใหม่เดือน "&amp;INDEX($E$1:$K$1,1,_xlpm.firstsale),""))</f>
        <v/>
      </c>
      <c r="N33" t="str" cm="1">
        <f t="array" ref="N33">IF(K33&gt;0,"",IFERROR("หายเดือน "&amp;INDEX($E$1:$K$1,1,LOOKUP(2,1/(E33:K33&gt;0),COLUMN(E33:K33)-COLUMN(E33)+1)+1),""))</f>
        <v/>
      </c>
    </row>
    <row r="34" spans="1:14" x14ac:dyDescent="0.4">
      <c r="A34" t="s">
        <v>4482</v>
      </c>
      <c r="B34" t="s">
        <v>4483</v>
      </c>
      <c r="C34" t="s">
        <v>310</v>
      </c>
      <c r="D34" t="s">
        <v>314</v>
      </c>
      <c r="E34" s="2">
        <v>3649</v>
      </c>
      <c r="F34" s="2">
        <v>3436</v>
      </c>
      <c r="G34" s="2">
        <v>3938</v>
      </c>
      <c r="H34" s="2">
        <v>3081</v>
      </c>
      <c r="I34" s="2">
        <v>1901</v>
      </c>
      <c r="J34" s="2">
        <v>2807</v>
      </c>
      <c r="K34" s="2">
        <v>1463</v>
      </c>
      <c r="L34" s="2">
        <v>20275</v>
      </c>
      <c r="M34" t="str" cm="1">
        <f t="array" ref="M34">_xlfn.LET(_xlpm.sales,E34:K34,_xlpm.firstsale,IFERROR(_xlfn.XMATCH(TRUE,_xlpm.sales&gt;0),0),IF(_xlpm.firstsale&gt;1,"ลูกค้าใหม่เดือน "&amp;INDEX($E$1:$K$1,1,_xlpm.firstsale),""))</f>
        <v/>
      </c>
      <c r="N34" t="str" cm="1">
        <f t="array" ref="N34">IF(K34&gt;0,"",IFERROR("หายเดือน "&amp;INDEX($E$1:$K$1,1,LOOKUP(2,1/(E34:K34&gt;0),COLUMN(E34:K34)-COLUMN(E34)+1)+1),""))</f>
        <v/>
      </c>
    </row>
    <row r="35" spans="1:14" x14ac:dyDescent="0.4">
      <c r="A35" t="s">
        <v>4484</v>
      </c>
      <c r="B35" t="s">
        <v>4485</v>
      </c>
      <c r="C35" t="s">
        <v>103</v>
      </c>
      <c r="D35" t="s">
        <v>653</v>
      </c>
      <c r="E35" s="2">
        <v>7000</v>
      </c>
      <c r="F35" s="2">
        <v>2850</v>
      </c>
      <c r="G35" s="2">
        <v>4300</v>
      </c>
      <c r="H35" s="2">
        <v>6850</v>
      </c>
      <c r="I35" s="2">
        <v>3950</v>
      </c>
      <c r="J35" s="2">
        <v>5050</v>
      </c>
      <c r="K35" s="2">
        <v>2200</v>
      </c>
      <c r="L35" s="2">
        <v>32200</v>
      </c>
      <c r="M35" t="str" cm="1">
        <f t="array" ref="M35">_xlfn.LET(_xlpm.sales,E35:K35,_xlpm.firstsale,IFERROR(_xlfn.XMATCH(TRUE,_xlpm.sales&gt;0),0),IF(_xlpm.firstsale&gt;1,"ลูกค้าใหม่เดือน "&amp;INDEX($E$1:$K$1,1,_xlpm.firstsale),""))</f>
        <v/>
      </c>
      <c r="N35" t="str" cm="1">
        <f t="array" ref="N35">IF(K35&gt;0,"",IFERROR("หายเดือน "&amp;INDEX($E$1:$K$1,1,LOOKUP(2,1/(E35:K35&gt;0),COLUMN(E35:K35)-COLUMN(E35)+1)+1),""))</f>
        <v/>
      </c>
    </row>
    <row r="36" spans="1:14" x14ac:dyDescent="0.4">
      <c r="A36" t="s">
        <v>4486</v>
      </c>
      <c r="B36" t="s">
        <v>4487</v>
      </c>
      <c r="C36" t="s">
        <v>78</v>
      </c>
      <c r="D36" t="s">
        <v>907</v>
      </c>
      <c r="F36" s="2">
        <v>3600</v>
      </c>
      <c r="H36" s="2">
        <v>3600</v>
      </c>
      <c r="J36" s="2">
        <v>3600</v>
      </c>
      <c r="L36" s="2">
        <v>10800</v>
      </c>
      <c r="M36" t="str" cm="1">
        <f t="array" ref="M36">_xlfn.LET(_xlpm.sales,E36:K36,_xlpm.firstsale,IFERROR(_xlfn.XMATCH(TRUE,_xlpm.sales&gt;0),0),IF(_xlpm.firstsale&gt;1,"ลูกค้าใหม่เดือน "&amp;INDEX($E$1:$K$1,1,_xlpm.firstsale),""))</f>
        <v>ลูกค้าใหม่เดือน 2</v>
      </c>
      <c r="N36" t="str" cm="1">
        <f t="array" ref="N36">IF(K36&gt;0,"",IFERROR("หายเดือน "&amp;INDEX($E$1:$K$1,1,LOOKUP(2,1/(E36:K36&gt;0),COLUMN(E36:K36)-COLUMN(E36)+1)+1),""))</f>
        <v>หายเดือน 7</v>
      </c>
    </row>
    <row r="37" spans="1:14" x14ac:dyDescent="0.4">
      <c r="A37" t="s">
        <v>4488</v>
      </c>
      <c r="B37" t="s">
        <v>4489</v>
      </c>
      <c r="C37" t="s">
        <v>199</v>
      </c>
      <c r="D37" t="s">
        <v>4490</v>
      </c>
      <c r="E37" s="2">
        <v>82300</v>
      </c>
      <c r="F37" s="2">
        <v>42800</v>
      </c>
      <c r="G37" s="2">
        <v>36400</v>
      </c>
      <c r="H37" s="2">
        <v>50000</v>
      </c>
      <c r="I37" s="2">
        <v>52650</v>
      </c>
      <c r="J37" s="2">
        <v>31150</v>
      </c>
      <c r="K37" s="2">
        <v>16900</v>
      </c>
      <c r="L37" s="2">
        <v>312200</v>
      </c>
      <c r="M37" t="str" cm="1">
        <f t="array" ref="M37">_xlfn.LET(_xlpm.sales,E37:K37,_xlpm.firstsale,IFERROR(_xlfn.XMATCH(TRUE,_xlpm.sales&gt;0),0),IF(_xlpm.firstsale&gt;1,"ลูกค้าใหม่เดือน "&amp;INDEX($E$1:$K$1,1,_xlpm.firstsale),""))</f>
        <v/>
      </c>
      <c r="N37" t="str" cm="1">
        <f t="array" ref="N37">IF(K37&gt;0,"",IFERROR("หายเดือน "&amp;INDEX($E$1:$K$1,1,LOOKUP(2,1/(E37:K37&gt;0),COLUMN(E37:K37)-COLUMN(E37)+1)+1),""))</f>
        <v/>
      </c>
    </row>
    <row r="38" spans="1:14" x14ac:dyDescent="0.4">
      <c r="A38" t="s">
        <v>4491</v>
      </c>
      <c r="B38" t="s">
        <v>4492</v>
      </c>
      <c r="C38" t="s">
        <v>199</v>
      </c>
      <c r="D38" t="s">
        <v>4490</v>
      </c>
      <c r="E38" s="2">
        <v>8400</v>
      </c>
      <c r="F38" s="2">
        <v>9800</v>
      </c>
      <c r="G38" s="2">
        <v>5600</v>
      </c>
      <c r="H38" s="2">
        <v>14000</v>
      </c>
      <c r="I38" s="2">
        <v>12600</v>
      </c>
      <c r="J38" s="2">
        <v>9800</v>
      </c>
      <c r="K38" s="2">
        <v>2100</v>
      </c>
      <c r="L38" s="2">
        <v>62300</v>
      </c>
      <c r="M38" t="str" cm="1">
        <f t="array" ref="M38">_xlfn.LET(_xlpm.sales,E38:K38,_xlpm.firstsale,IFERROR(_xlfn.XMATCH(TRUE,_xlpm.sales&gt;0),0),IF(_xlpm.firstsale&gt;1,"ลูกค้าใหม่เดือน "&amp;INDEX($E$1:$K$1,1,_xlpm.firstsale),""))</f>
        <v/>
      </c>
      <c r="N38" t="str" cm="1">
        <f t="array" ref="N38">IF(K38&gt;0,"",IFERROR("หายเดือน "&amp;INDEX($E$1:$K$1,1,LOOKUP(2,1/(E38:K38&gt;0),COLUMN(E38:K38)-COLUMN(E38)+1)+1),""))</f>
        <v/>
      </c>
    </row>
    <row r="39" spans="1:14" x14ac:dyDescent="0.4">
      <c r="A39" t="s">
        <v>4493</v>
      </c>
      <c r="B39" t="s">
        <v>4494</v>
      </c>
      <c r="C39" t="s">
        <v>220</v>
      </c>
      <c r="D39" t="s">
        <v>2302</v>
      </c>
      <c r="E39" s="2">
        <v>4530</v>
      </c>
      <c r="F39" s="2">
        <v>3630</v>
      </c>
      <c r="G39" s="2">
        <v>1970</v>
      </c>
      <c r="H39" s="2">
        <v>5545</v>
      </c>
      <c r="I39" s="2">
        <v>1815</v>
      </c>
      <c r="J39" s="2">
        <v>1620</v>
      </c>
      <c r="K39" s="2">
        <v>1825</v>
      </c>
      <c r="L39" s="2">
        <v>20935</v>
      </c>
      <c r="M39" t="str" cm="1">
        <f t="array" ref="M39">_xlfn.LET(_xlpm.sales,E39:K39,_xlpm.firstsale,IFERROR(_xlfn.XMATCH(TRUE,_xlpm.sales&gt;0),0),IF(_xlpm.firstsale&gt;1,"ลูกค้าใหม่เดือน "&amp;INDEX($E$1:$K$1,1,_xlpm.firstsale),""))</f>
        <v/>
      </c>
      <c r="N39" t="str" cm="1">
        <f t="array" ref="N39">IF(K39&gt;0,"",IFERROR("หายเดือน "&amp;INDEX($E$1:$K$1,1,LOOKUP(2,1/(E39:K39&gt;0),COLUMN(E39:K39)-COLUMN(E39)+1)+1),""))</f>
        <v/>
      </c>
    </row>
    <row r="40" spans="1:14" x14ac:dyDescent="0.4">
      <c r="A40" t="s">
        <v>4495</v>
      </c>
      <c r="B40" t="s">
        <v>4496</v>
      </c>
      <c r="C40" t="s">
        <v>220</v>
      </c>
      <c r="D40" t="s">
        <v>797</v>
      </c>
      <c r="E40" s="2">
        <v>10375</v>
      </c>
      <c r="G40" s="2">
        <v>3060</v>
      </c>
      <c r="H40" s="2">
        <v>3275</v>
      </c>
      <c r="I40" s="2">
        <v>3525</v>
      </c>
      <c r="J40" s="2">
        <v>3875</v>
      </c>
      <c r="K40" s="2">
        <v>1786</v>
      </c>
      <c r="L40" s="2">
        <v>25896</v>
      </c>
      <c r="M40" t="str" cm="1">
        <f t="array" ref="M40">_xlfn.LET(_xlpm.sales,E40:K40,_xlpm.firstsale,IFERROR(_xlfn.XMATCH(TRUE,_xlpm.sales&gt;0),0),IF(_xlpm.firstsale&gt;1,"ลูกค้าใหม่เดือน "&amp;INDEX($E$1:$K$1,1,_xlpm.firstsale),""))</f>
        <v/>
      </c>
      <c r="N40" t="str" cm="1">
        <f t="array" ref="N40">IF(K40&gt;0,"",IFERROR("หายเดือน "&amp;INDEX($E$1:$K$1,1,LOOKUP(2,1/(E40:K40&gt;0),COLUMN(E40:K40)-COLUMN(E40)+1)+1),""))</f>
        <v/>
      </c>
    </row>
    <row r="41" spans="1:14" x14ac:dyDescent="0.4">
      <c r="A41" t="s">
        <v>4497</v>
      </c>
      <c r="B41" t="s">
        <v>4498</v>
      </c>
      <c r="C41" t="s">
        <v>220</v>
      </c>
      <c r="D41" t="s">
        <v>2302</v>
      </c>
      <c r="E41" s="2">
        <v>1450</v>
      </c>
      <c r="F41" s="2">
        <v>1240</v>
      </c>
      <c r="G41" s="2">
        <v>255</v>
      </c>
      <c r="L41" s="2">
        <v>2945</v>
      </c>
      <c r="M41" t="str" cm="1">
        <f t="array" ref="M41">_xlfn.LET(_xlpm.sales,E41:K41,_xlpm.firstsale,IFERROR(_xlfn.XMATCH(TRUE,_xlpm.sales&gt;0),0),IF(_xlpm.firstsale&gt;1,"ลูกค้าใหม่เดือน "&amp;INDEX($E$1:$K$1,1,_xlpm.firstsale),""))</f>
        <v/>
      </c>
      <c r="N41" t="str" cm="1">
        <f t="array" ref="N41">IF(K41&gt;0,"",IFERROR("หายเดือน "&amp;INDEX($E$1:$K$1,1,LOOKUP(2,1/(E41:K41&gt;0),COLUMN(E41:K41)-COLUMN(E41)+1)+1),""))</f>
        <v>หายเดือน 4</v>
      </c>
    </row>
    <row r="42" spans="1:14" x14ac:dyDescent="0.4">
      <c r="A42" t="s">
        <v>4499</v>
      </c>
      <c r="B42" t="s">
        <v>4500</v>
      </c>
      <c r="C42" t="s">
        <v>220</v>
      </c>
      <c r="D42" t="s">
        <v>797</v>
      </c>
      <c r="E42" s="2">
        <v>19650</v>
      </c>
      <c r="F42" s="2">
        <v>9450</v>
      </c>
      <c r="G42" s="2">
        <v>6150</v>
      </c>
      <c r="H42" s="2">
        <v>5710</v>
      </c>
      <c r="I42" s="2">
        <v>6350</v>
      </c>
      <c r="J42" s="2">
        <v>5350</v>
      </c>
      <c r="K42" s="2">
        <v>3250</v>
      </c>
      <c r="L42" s="2">
        <v>55910</v>
      </c>
      <c r="M42" t="str" cm="1">
        <f t="array" ref="M42">_xlfn.LET(_xlpm.sales,E42:K42,_xlpm.firstsale,IFERROR(_xlfn.XMATCH(TRUE,_xlpm.sales&gt;0),0),IF(_xlpm.firstsale&gt;1,"ลูกค้าใหม่เดือน "&amp;INDEX($E$1:$K$1,1,_xlpm.firstsale),""))</f>
        <v/>
      </c>
      <c r="N42" t="str" cm="1">
        <f t="array" ref="N42">IF(K42&gt;0,"",IFERROR("หายเดือน "&amp;INDEX($E$1:$K$1,1,LOOKUP(2,1/(E42:K42&gt;0),COLUMN(E42:K42)-COLUMN(E42)+1)+1),""))</f>
        <v/>
      </c>
    </row>
    <row r="43" spans="1:14" x14ac:dyDescent="0.4">
      <c r="A43" t="s">
        <v>4501</v>
      </c>
      <c r="B43" t="s">
        <v>4502</v>
      </c>
      <c r="C43" t="s">
        <v>186</v>
      </c>
      <c r="D43" t="s">
        <v>187</v>
      </c>
      <c r="E43" s="2">
        <v>10250</v>
      </c>
      <c r="F43" s="2">
        <v>12700</v>
      </c>
      <c r="G43" s="2">
        <v>6800</v>
      </c>
      <c r="H43" s="2">
        <v>16200</v>
      </c>
      <c r="I43" s="2">
        <v>9875</v>
      </c>
      <c r="J43" s="2">
        <v>7875</v>
      </c>
      <c r="K43" s="2">
        <v>3525</v>
      </c>
      <c r="L43" s="2">
        <v>67225</v>
      </c>
      <c r="M43" t="str" cm="1">
        <f t="array" ref="M43">_xlfn.LET(_xlpm.sales,E43:K43,_xlpm.firstsale,IFERROR(_xlfn.XMATCH(TRUE,_xlpm.sales&gt;0),0),IF(_xlpm.firstsale&gt;1,"ลูกค้าใหม่เดือน "&amp;INDEX($E$1:$K$1,1,_xlpm.firstsale),""))</f>
        <v/>
      </c>
      <c r="N43" t="str" cm="1">
        <f t="array" ref="N43">IF(K43&gt;0,"",IFERROR("หายเดือน "&amp;INDEX($E$1:$K$1,1,LOOKUP(2,1/(E43:K43&gt;0),COLUMN(E43:K43)-COLUMN(E43)+1)+1),""))</f>
        <v/>
      </c>
    </row>
    <row r="44" spans="1:14" x14ac:dyDescent="0.4">
      <c r="A44" t="s">
        <v>4503</v>
      </c>
      <c r="B44" t="s">
        <v>4504</v>
      </c>
      <c r="C44" t="s">
        <v>542</v>
      </c>
      <c r="D44" t="s">
        <v>2506</v>
      </c>
      <c r="E44" s="2">
        <v>2250</v>
      </c>
      <c r="F44" s="2">
        <v>2250</v>
      </c>
      <c r="G44" s="2">
        <v>2250</v>
      </c>
      <c r="H44" s="2">
        <v>2250</v>
      </c>
      <c r="I44" s="2">
        <v>2250</v>
      </c>
      <c r="L44" s="2">
        <v>11250</v>
      </c>
      <c r="M44" t="str" cm="1">
        <f t="array" ref="M44">_xlfn.LET(_xlpm.sales,E44:K44,_xlpm.firstsale,IFERROR(_xlfn.XMATCH(TRUE,_xlpm.sales&gt;0),0),IF(_xlpm.firstsale&gt;1,"ลูกค้าใหม่เดือน "&amp;INDEX($E$1:$K$1,1,_xlpm.firstsale),""))</f>
        <v/>
      </c>
      <c r="N44" t="str" cm="1">
        <f t="array" ref="N44">IF(K44&gt;0,"",IFERROR("หายเดือน "&amp;INDEX($E$1:$K$1,1,LOOKUP(2,1/(E44:K44&gt;0),COLUMN(E44:K44)-COLUMN(E44)+1)+1),""))</f>
        <v>หายเดือน 6</v>
      </c>
    </row>
    <row r="45" spans="1:14" x14ac:dyDescent="0.4">
      <c r="A45" t="s">
        <v>4505</v>
      </c>
      <c r="B45" t="s">
        <v>4506</v>
      </c>
      <c r="C45" t="s">
        <v>113</v>
      </c>
      <c r="D45" t="s">
        <v>2506</v>
      </c>
      <c r="E45" s="2">
        <v>4750</v>
      </c>
      <c r="F45" s="2">
        <v>4000</v>
      </c>
      <c r="G45" s="2">
        <v>6000</v>
      </c>
      <c r="H45" s="2">
        <v>2000</v>
      </c>
      <c r="I45" s="2">
        <v>3000</v>
      </c>
      <c r="J45" s="2">
        <v>3000</v>
      </c>
      <c r="L45" s="2">
        <v>22750</v>
      </c>
      <c r="M45" t="str" cm="1">
        <f t="array" ref="M45">_xlfn.LET(_xlpm.sales,E45:K45,_xlpm.firstsale,IFERROR(_xlfn.XMATCH(TRUE,_xlpm.sales&gt;0),0),IF(_xlpm.firstsale&gt;1,"ลูกค้าใหม่เดือน "&amp;INDEX($E$1:$K$1,1,_xlpm.firstsale),""))</f>
        <v/>
      </c>
      <c r="N45" t="str" cm="1">
        <f t="array" ref="N45">IF(K45&gt;0,"",IFERROR("หายเดือน "&amp;INDEX($E$1:$K$1,1,LOOKUP(2,1/(E45:K45&gt;0),COLUMN(E45:K45)-COLUMN(E45)+1)+1),""))</f>
        <v>หายเดือน 7</v>
      </c>
    </row>
    <row r="46" spans="1:14" x14ac:dyDescent="0.4">
      <c r="A46" t="s">
        <v>4507</v>
      </c>
      <c r="B46" t="s">
        <v>4508</v>
      </c>
      <c r="C46" t="s">
        <v>113</v>
      </c>
      <c r="D46" t="s">
        <v>2506</v>
      </c>
      <c r="E46" s="2">
        <v>2250</v>
      </c>
      <c r="F46" s="2">
        <v>750</v>
      </c>
      <c r="G46" s="2">
        <v>3750</v>
      </c>
      <c r="H46" s="2">
        <v>750</v>
      </c>
      <c r="J46" s="2">
        <v>2250</v>
      </c>
      <c r="L46" s="2">
        <v>9750</v>
      </c>
      <c r="M46" t="str" cm="1">
        <f t="array" ref="M46">_xlfn.LET(_xlpm.sales,E46:K46,_xlpm.firstsale,IFERROR(_xlfn.XMATCH(TRUE,_xlpm.sales&gt;0),0),IF(_xlpm.firstsale&gt;1,"ลูกค้าใหม่เดือน "&amp;INDEX($E$1:$K$1,1,_xlpm.firstsale),""))</f>
        <v/>
      </c>
      <c r="N46" t="str" cm="1">
        <f t="array" ref="N46">IF(K46&gt;0,"",IFERROR("หายเดือน "&amp;INDEX($E$1:$K$1,1,LOOKUP(2,1/(E46:K46&gt;0),COLUMN(E46:K46)-COLUMN(E46)+1)+1),""))</f>
        <v>หายเดือน 7</v>
      </c>
    </row>
    <row r="47" spans="1:14" x14ac:dyDescent="0.4">
      <c r="A47" t="s">
        <v>4509</v>
      </c>
      <c r="B47" t="s">
        <v>4510</v>
      </c>
      <c r="C47" t="s">
        <v>113</v>
      </c>
      <c r="D47" t="s">
        <v>2506</v>
      </c>
      <c r="E47" s="2">
        <v>7000</v>
      </c>
      <c r="F47" s="2">
        <v>4625</v>
      </c>
      <c r="G47" s="2">
        <v>5875</v>
      </c>
      <c r="H47" s="2">
        <v>3750</v>
      </c>
      <c r="I47" s="2">
        <v>1000</v>
      </c>
      <c r="L47" s="2">
        <v>22250</v>
      </c>
      <c r="M47" t="str" cm="1">
        <f t="array" ref="M47">_xlfn.LET(_xlpm.sales,E47:K47,_xlpm.firstsale,IFERROR(_xlfn.XMATCH(TRUE,_xlpm.sales&gt;0),0),IF(_xlpm.firstsale&gt;1,"ลูกค้าใหม่เดือน "&amp;INDEX($E$1:$K$1,1,_xlpm.firstsale),""))</f>
        <v/>
      </c>
      <c r="N47" t="str" cm="1">
        <f t="array" ref="N47">IF(K47&gt;0,"",IFERROR("หายเดือน "&amp;INDEX($E$1:$K$1,1,LOOKUP(2,1/(E47:K47&gt;0),COLUMN(E47:K47)-COLUMN(E47)+1)+1),""))</f>
        <v>หายเดือน 6</v>
      </c>
    </row>
    <row r="48" spans="1:14" x14ac:dyDescent="0.4">
      <c r="A48" t="s">
        <v>4511</v>
      </c>
      <c r="B48" t="s">
        <v>4512</v>
      </c>
      <c r="C48" t="s">
        <v>113</v>
      </c>
      <c r="D48" t="s">
        <v>2506</v>
      </c>
      <c r="E48" s="2">
        <v>1125</v>
      </c>
      <c r="F48" s="2">
        <v>1125</v>
      </c>
      <c r="G48" s="2">
        <v>1875</v>
      </c>
      <c r="H48" s="2">
        <v>1500</v>
      </c>
      <c r="I48" s="2">
        <v>1500</v>
      </c>
      <c r="J48" s="2">
        <v>375</v>
      </c>
      <c r="L48" s="2">
        <v>7500</v>
      </c>
      <c r="M48" t="str" cm="1">
        <f t="array" ref="M48">_xlfn.LET(_xlpm.sales,E48:K48,_xlpm.firstsale,IFERROR(_xlfn.XMATCH(TRUE,_xlpm.sales&gt;0),0),IF(_xlpm.firstsale&gt;1,"ลูกค้าใหม่เดือน "&amp;INDEX($E$1:$K$1,1,_xlpm.firstsale),""))</f>
        <v/>
      </c>
      <c r="N48" t="str" cm="1">
        <f t="array" ref="N48">IF(K48&gt;0,"",IFERROR("หายเดือน "&amp;INDEX($E$1:$K$1,1,LOOKUP(2,1/(E48:K48&gt;0),COLUMN(E48:K48)-COLUMN(E48)+1)+1),""))</f>
        <v>หายเดือน 7</v>
      </c>
    </row>
    <row r="49" spans="1:14" x14ac:dyDescent="0.4">
      <c r="A49" t="s">
        <v>4513</v>
      </c>
      <c r="B49" t="s">
        <v>4514</v>
      </c>
      <c r="C49" t="s">
        <v>9</v>
      </c>
      <c r="D49" t="s">
        <v>45</v>
      </c>
      <c r="E49" s="2">
        <v>1770</v>
      </c>
      <c r="F49" s="2">
        <v>1445</v>
      </c>
      <c r="G49" s="2">
        <v>885</v>
      </c>
      <c r="H49" s="2">
        <v>2485</v>
      </c>
      <c r="I49" s="2">
        <v>1190</v>
      </c>
      <c r="J49" s="2">
        <v>700</v>
      </c>
      <c r="K49" s="2">
        <v>850</v>
      </c>
      <c r="L49" s="2">
        <v>9325</v>
      </c>
      <c r="M49" t="str" cm="1">
        <f t="array" ref="M49">_xlfn.LET(_xlpm.sales,E49:K49,_xlpm.firstsale,IFERROR(_xlfn.XMATCH(TRUE,_xlpm.sales&gt;0),0),IF(_xlpm.firstsale&gt;1,"ลูกค้าใหม่เดือน "&amp;INDEX($E$1:$K$1,1,_xlpm.firstsale),""))</f>
        <v/>
      </c>
      <c r="N49" t="str" cm="1">
        <f t="array" ref="N49">IF(K49&gt;0,"",IFERROR("หายเดือน "&amp;INDEX($E$1:$K$1,1,LOOKUP(2,1/(E49:K49&gt;0),COLUMN(E49:K49)-COLUMN(E49)+1)+1),""))</f>
        <v/>
      </c>
    </row>
    <row r="50" spans="1:14" x14ac:dyDescent="0.4">
      <c r="A50" t="s">
        <v>4515</v>
      </c>
      <c r="B50" t="s">
        <v>4516</v>
      </c>
      <c r="C50" t="s">
        <v>91</v>
      </c>
      <c r="D50" t="s">
        <v>92</v>
      </c>
      <c r="E50" s="2">
        <v>89050</v>
      </c>
      <c r="F50" s="2">
        <v>61200</v>
      </c>
      <c r="G50" s="2">
        <v>50200</v>
      </c>
      <c r="H50" s="2">
        <v>100150</v>
      </c>
      <c r="I50" s="2">
        <v>70400</v>
      </c>
      <c r="J50" s="2">
        <v>61550</v>
      </c>
      <c r="K50" s="2">
        <v>13550</v>
      </c>
      <c r="L50" s="2">
        <v>446100</v>
      </c>
      <c r="M50" t="str" cm="1">
        <f t="array" ref="M50">_xlfn.LET(_xlpm.sales,E50:K50,_xlpm.firstsale,IFERROR(_xlfn.XMATCH(TRUE,_xlpm.sales&gt;0),0),IF(_xlpm.firstsale&gt;1,"ลูกค้าใหม่เดือน "&amp;INDEX($E$1:$K$1,1,_xlpm.firstsale),""))</f>
        <v/>
      </c>
      <c r="N50" t="str" cm="1">
        <f t="array" ref="N50">IF(K50&gt;0,"",IFERROR("หายเดือน "&amp;INDEX($E$1:$K$1,1,LOOKUP(2,1/(E50:K50&gt;0),COLUMN(E50:K50)-COLUMN(E50)+1)+1),""))</f>
        <v/>
      </c>
    </row>
    <row r="51" spans="1:14" x14ac:dyDescent="0.4">
      <c r="A51" t="s">
        <v>4517</v>
      </c>
      <c r="B51" t="s">
        <v>4518</v>
      </c>
      <c r="C51" t="s">
        <v>91</v>
      </c>
      <c r="D51" t="s">
        <v>92</v>
      </c>
      <c r="E51" s="2">
        <v>23000</v>
      </c>
      <c r="F51" s="2">
        <v>21780</v>
      </c>
      <c r="G51" s="2">
        <v>34340</v>
      </c>
      <c r="H51" s="2">
        <v>50970</v>
      </c>
      <c r="I51" s="2">
        <v>73490</v>
      </c>
      <c r="J51" s="2">
        <v>27160</v>
      </c>
      <c r="K51" s="2">
        <v>17560</v>
      </c>
      <c r="L51" s="2">
        <v>248300</v>
      </c>
      <c r="M51" t="str" cm="1">
        <f t="array" ref="M51">_xlfn.LET(_xlpm.sales,E51:K51,_xlpm.firstsale,IFERROR(_xlfn.XMATCH(TRUE,_xlpm.sales&gt;0),0),IF(_xlpm.firstsale&gt;1,"ลูกค้าใหม่เดือน "&amp;INDEX($E$1:$K$1,1,_xlpm.firstsale),""))</f>
        <v/>
      </c>
      <c r="N51" t="str" cm="1">
        <f t="array" ref="N51">IF(K51&gt;0,"",IFERROR("หายเดือน "&amp;INDEX($E$1:$K$1,1,LOOKUP(2,1/(E51:K51&gt;0),COLUMN(E51:K51)-COLUMN(E51)+1)+1),""))</f>
        <v/>
      </c>
    </row>
    <row r="52" spans="1:14" x14ac:dyDescent="0.4">
      <c r="A52" t="s">
        <v>4519</v>
      </c>
      <c r="B52" t="s">
        <v>4520</v>
      </c>
      <c r="C52" t="s">
        <v>91</v>
      </c>
      <c r="D52" t="s">
        <v>92</v>
      </c>
      <c r="E52" s="2">
        <v>81950</v>
      </c>
      <c r="F52" s="2">
        <v>39300</v>
      </c>
      <c r="G52" s="2">
        <v>39050</v>
      </c>
      <c r="H52" s="2">
        <v>70050</v>
      </c>
      <c r="I52" s="2">
        <v>57300</v>
      </c>
      <c r="J52" s="2">
        <v>35400</v>
      </c>
      <c r="K52" s="2">
        <v>9650</v>
      </c>
      <c r="L52" s="2">
        <v>332700</v>
      </c>
      <c r="M52" t="str" cm="1">
        <f t="array" ref="M52">_xlfn.LET(_xlpm.sales,E52:K52,_xlpm.firstsale,IFERROR(_xlfn.XMATCH(TRUE,_xlpm.sales&gt;0),0),IF(_xlpm.firstsale&gt;1,"ลูกค้าใหม่เดือน "&amp;INDEX($E$1:$K$1,1,_xlpm.firstsale),""))</f>
        <v/>
      </c>
      <c r="N52" t="str" cm="1">
        <f t="array" ref="N52">IF(K52&gt;0,"",IFERROR("หายเดือน "&amp;INDEX($E$1:$K$1,1,LOOKUP(2,1/(E52:K52&gt;0),COLUMN(E52:K52)-COLUMN(E52)+1)+1),""))</f>
        <v/>
      </c>
    </row>
    <row r="53" spans="1:14" x14ac:dyDescent="0.4">
      <c r="A53" t="s">
        <v>4521</v>
      </c>
      <c r="B53" t="s">
        <v>4522</v>
      </c>
      <c r="C53" t="s">
        <v>91</v>
      </c>
      <c r="D53" t="s">
        <v>1296</v>
      </c>
      <c r="E53" s="2">
        <v>16500</v>
      </c>
      <c r="F53" s="2">
        <v>6750</v>
      </c>
      <c r="G53" s="2">
        <v>12750</v>
      </c>
      <c r="H53" s="2">
        <v>18750</v>
      </c>
      <c r="I53" s="2">
        <v>34500</v>
      </c>
      <c r="J53" s="2">
        <v>3000</v>
      </c>
      <c r="K53" s="2">
        <v>2625</v>
      </c>
      <c r="L53" s="2">
        <v>94875</v>
      </c>
      <c r="M53" t="str" cm="1">
        <f t="array" ref="M53">_xlfn.LET(_xlpm.sales,E53:K53,_xlpm.firstsale,IFERROR(_xlfn.XMATCH(TRUE,_xlpm.sales&gt;0),0),IF(_xlpm.firstsale&gt;1,"ลูกค้าใหม่เดือน "&amp;INDEX($E$1:$K$1,1,_xlpm.firstsale),""))</f>
        <v/>
      </c>
      <c r="N53" t="str" cm="1">
        <f t="array" ref="N53">IF(K53&gt;0,"",IFERROR("หายเดือน "&amp;INDEX($E$1:$K$1,1,LOOKUP(2,1/(E53:K53&gt;0),COLUMN(E53:K53)-COLUMN(E53)+1)+1),""))</f>
        <v/>
      </c>
    </row>
    <row r="54" spans="1:14" x14ac:dyDescent="0.4">
      <c r="A54" t="s">
        <v>4523</v>
      </c>
      <c r="B54" t="s">
        <v>4524</v>
      </c>
      <c r="C54" t="s">
        <v>91</v>
      </c>
      <c r="D54" t="s">
        <v>1296</v>
      </c>
      <c r="E54" s="2">
        <v>5600</v>
      </c>
      <c r="F54" s="2">
        <v>2800</v>
      </c>
      <c r="G54" s="2">
        <v>6300</v>
      </c>
      <c r="H54" s="2">
        <v>7000</v>
      </c>
      <c r="I54" s="2">
        <v>7090</v>
      </c>
      <c r="J54" s="2">
        <v>2800</v>
      </c>
      <c r="L54" s="2">
        <v>31590</v>
      </c>
      <c r="M54" t="str" cm="1">
        <f t="array" ref="M54">_xlfn.LET(_xlpm.sales,E54:K54,_xlpm.firstsale,IFERROR(_xlfn.XMATCH(TRUE,_xlpm.sales&gt;0),0),IF(_xlpm.firstsale&gt;1,"ลูกค้าใหม่เดือน "&amp;INDEX($E$1:$K$1,1,_xlpm.firstsale),""))</f>
        <v/>
      </c>
      <c r="N54" t="str" cm="1">
        <f t="array" ref="N54">IF(K54&gt;0,"",IFERROR("หายเดือน "&amp;INDEX($E$1:$K$1,1,LOOKUP(2,1/(E54:K54&gt;0),COLUMN(E54:K54)-COLUMN(E54)+1)+1),""))</f>
        <v>หายเดือน 7</v>
      </c>
    </row>
    <row r="55" spans="1:14" x14ac:dyDescent="0.4">
      <c r="A55" t="s">
        <v>4525</v>
      </c>
      <c r="B55" t="s">
        <v>4526</v>
      </c>
      <c r="C55" t="s">
        <v>91</v>
      </c>
      <c r="D55" t="s">
        <v>868</v>
      </c>
      <c r="E55" s="2">
        <v>1230</v>
      </c>
      <c r="F55" s="2">
        <v>1620</v>
      </c>
      <c r="L55" s="2">
        <v>2850</v>
      </c>
      <c r="M55" t="str" cm="1">
        <f t="array" ref="M55">_xlfn.LET(_xlpm.sales,E55:K55,_xlpm.firstsale,IFERROR(_xlfn.XMATCH(TRUE,_xlpm.sales&gt;0),0),IF(_xlpm.firstsale&gt;1,"ลูกค้าใหม่เดือน "&amp;INDEX($E$1:$K$1,1,_xlpm.firstsale),""))</f>
        <v/>
      </c>
      <c r="N55" t="str" cm="1">
        <f t="array" ref="N55">IF(K55&gt;0,"",IFERROR("หายเดือน "&amp;INDEX($E$1:$K$1,1,LOOKUP(2,1/(E55:K55&gt;0),COLUMN(E55:K55)-COLUMN(E55)+1)+1),""))</f>
        <v>หายเดือน 3</v>
      </c>
    </row>
    <row r="56" spans="1:14" x14ac:dyDescent="0.4">
      <c r="A56" t="s">
        <v>4527</v>
      </c>
      <c r="B56" t="s">
        <v>4528</v>
      </c>
      <c r="C56" t="s">
        <v>123</v>
      </c>
      <c r="D56" t="s">
        <v>129</v>
      </c>
      <c r="E56" s="2">
        <v>83275</v>
      </c>
      <c r="F56" s="2">
        <v>64400</v>
      </c>
      <c r="G56" s="2">
        <v>76275</v>
      </c>
      <c r="H56" s="2">
        <v>126095</v>
      </c>
      <c r="I56" s="2">
        <v>107075</v>
      </c>
      <c r="J56" s="2">
        <v>99475</v>
      </c>
      <c r="K56" s="2">
        <v>56925</v>
      </c>
      <c r="L56" s="2">
        <v>613520</v>
      </c>
      <c r="M56" t="str" cm="1">
        <f t="array" ref="M56">_xlfn.LET(_xlpm.sales,E56:K56,_xlpm.firstsale,IFERROR(_xlfn.XMATCH(TRUE,_xlpm.sales&gt;0),0),IF(_xlpm.firstsale&gt;1,"ลูกค้าใหม่เดือน "&amp;INDEX($E$1:$K$1,1,_xlpm.firstsale),""))</f>
        <v/>
      </c>
      <c r="N56" t="str" cm="1">
        <f t="array" ref="N56">IF(K56&gt;0,"",IFERROR("หายเดือน "&amp;INDEX($E$1:$K$1,1,LOOKUP(2,1/(E56:K56&gt;0),COLUMN(E56:K56)-COLUMN(E56)+1)+1),""))</f>
        <v/>
      </c>
    </row>
    <row r="57" spans="1:14" x14ac:dyDescent="0.4">
      <c r="A57" t="s">
        <v>4529</v>
      </c>
      <c r="B57" t="s">
        <v>4530</v>
      </c>
      <c r="C57" t="s">
        <v>496</v>
      </c>
      <c r="D57" t="s">
        <v>713</v>
      </c>
      <c r="E57" s="2">
        <v>3262</v>
      </c>
      <c r="F57" s="2">
        <v>1510</v>
      </c>
      <c r="G57" s="2">
        <v>3377</v>
      </c>
      <c r="H57" s="2">
        <v>1740</v>
      </c>
      <c r="I57" s="2">
        <v>3100</v>
      </c>
      <c r="J57" s="2">
        <v>2065</v>
      </c>
      <c r="L57" s="2">
        <v>15054</v>
      </c>
      <c r="M57" t="str" cm="1">
        <f t="array" ref="M57">_xlfn.LET(_xlpm.sales,E57:K57,_xlpm.firstsale,IFERROR(_xlfn.XMATCH(TRUE,_xlpm.sales&gt;0),0),IF(_xlpm.firstsale&gt;1,"ลูกค้าใหม่เดือน "&amp;INDEX($E$1:$K$1,1,_xlpm.firstsale),""))</f>
        <v/>
      </c>
      <c r="N57" t="str" cm="1">
        <f t="array" ref="N57">IF(K57&gt;0,"",IFERROR("หายเดือน "&amp;INDEX($E$1:$K$1,1,LOOKUP(2,1/(E57:K57&gt;0),COLUMN(E57:K57)-COLUMN(E57)+1)+1),""))</f>
        <v>หายเดือน 7</v>
      </c>
    </row>
    <row r="58" spans="1:14" x14ac:dyDescent="0.4">
      <c r="A58" t="s">
        <v>4531</v>
      </c>
      <c r="B58" t="s">
        <v>4532</v>
      </c>
      <c r="C58" t="s">
        <v>279</v>
      </c>
      <c r="D58" t="s">
        <v>280</v>
      </c>
      <c r="E58" s="2">
        <v>3200</v>
      </c>
      <c r="H58" s="2">
        <v>5350</v>
      </c>
      <c r="J58" s="2">
        <v>6150</v>
      </c>
      <c r="L58" s="2">
        <v>14700</v>
      </c>
      <c r="M58" t="str" cm="1">
        <f t="array" ref="M58">_xlfn.LET(_xlpm.sales,E58:K58,_xlpm.firstsale,IFERROR(_xlfn.XMATCH(TRUE,_xlpm.sales&gt;0),0),IF(_xlpm.firstsale&gt;1,"ลูกค้าใหม่เดือน "&amp;INDEX($E$1:$K$1,1,_xlpm.firstsale),""))</f>
        <v/>
      </c>
      <c r="N58" t="str" cm="1">
        <f t="array" ref="N58">IF(K58&gt;0,"",IFERROR("หายเดือน "&amp;INDEX($E$1:$K$1,1,LOOKUP(2,1/(E58:K58&gt;0),COLUMN(E58:K58)-COLUMN(E58)+1)+1),""))</f>
        <v>หายเดือน 7</v>
      </c>
    </row>
    <row r="59" spans="1:14" x14ac:dyDescent="0.4">
      <c r="A59" t="s">
        <v>4533</v>
      </c>
      <c r="B59" t="s">
        <v>4534</v>
      </c>
      <c r="C59" t="s">
        <v>91</v>
      </c>
      <c r="D59" t="s">
        <v>868</v>
      </c>
      <c r="E59" s="2">
        <v>11250</v>
      </c>
      <c r="F59" s="2">
        <v>4125</v>
      </c>
      <c r="G59" s="2">
        <v>4125</v>
      </c>
      <c r="H59" s="2">
        <v>13500</v>
      </c>
      <c r="I59" s="2">
        <v>7500</v>
      </c>
      <c r="J59" s="2">
        <v>4500</v>
      </c>
      <c r="K59" s="2">
        <v>3375</v>
      </c>
      <c r="L59" s="2">
        <v>48375</v>
      </c>
      <c r="M59" t="str" cm="1">
        <f t="array" ref="M59">_xlfn.LET(_xlpm.sales,E59:K59,_xlpm.firstsale,IFERROR(_xlfn.XMATCH(TRUE,_xlpm.sales&gt;0),0),IF(_xlpm.firstsale&gt;1,"ลูกค้าใหม่เดือน "&amp;INDEX($E$1:$K$1,1,_xlpm.firstsale),""))</f>
        <v/>
      </c>
      <c r="N59" t="str" cm="1">
        <f t="array" ref="N59">IF(K59&gt;0,"",IFERROR("หายเดือน "&amp;INDEX($E$1:$K$1,1,LOOKUP(2,1/(E59:K59&gt;0),COLUMN(E59:K59)-COLUMN(E59)+1)+1),""))</f>
        <v/>
      </c>
    </row>
    <row r="60" spans="1:14" x14ac:dyDescent="0.4">
      <c r="A60" t="s">
        <v>4535</v>
      </c>
      <c r="B60" t="s">
        <v>4536</v>
      </c>
      <c r="C60" t="s">
        <v>291</v>
      </c>
      <c r="D60" t="s">
        <v>295</v>
      </c>
      <c r="E60" s="2">
        <v>9850</v>
      </c>
      <c r="F60" s="2">
        <v>7525</v>
      </c>
      <c r="G60" s="2">
        <v>7525</v>
      </c>
      <c r="H60" s="2">
        <v>8800</v>
      </c>
      <c r="I60" s="2">
        <v>4725</v>
      </c>
      <c r="J60" s="2">
        <v>3125</v>
      </c>
      <c r="K60" s="2">
        <v>2000</v>
      </c>
      <c r="L60" s="2">
        <v>43550</v>
      </c>
      <c r="M60" t="str" cm="1">
        <f t="array" ref="M60">_xlfn.LET(_xlpm.sales,E60:K60,_xlpm.firstsale,IFERROR(_xlfn.XMATCH(TRUE,_xlpm.sales&gt;0),0),IF(_xlpm.firstsale&gt;1,"ลูกค้าใหม่เดือน "&amp;INDEX($E$1:$K$1,1,_xlpm.firstsale),""))</f>
        <v/>
      </c>
      <c r="N60" t="str" cm="1">
        <f t="array" ref="N60">IF(K60&gt;0,"",IFERROR("หายเดือน "&amp;INDEX($E$1:$K$1,1,LOOKUP(2,1/(E60:K60&gt;0),COLUMN(E60:K60)-COLUMN(E60)+1)+1),""))</f>
        <v/>
      </c>
    </row>
    <row r="61" spans="1:14" x14ac:dyDescent="0.4">
      <c r="A61" t="s">
        <v>4537</v>
      </c>
      <c r="B61" t="s">
        <v>4538</v>
      </c>
      <c r="C61" t="s">
        <v>602</v>
      </c>
      <c r="D61" t="s">
        <v>894</v>
      </c>
      <c r="E61" s="2">
        <v>4325</v>
      </c>
      <c r="F61" s="2">
        <v>1600</v>
      </c>
      <c r="G61" s="2">
        <v>2400</v>
      </c>
      <c r="H61" s="2">
        <v>1600</v>
      </c>
      <c r="I61" s="2">
        <v>2000</v>
      </c>
      <c r="J61" s="2">
        <v>725</v>
      </c>
      <c r="L61" s="2">
        <v>12650</v>
      </c>
      <c r="M61" t="str" cm="1">
        <f t="array" ref="M61">_xlfn.LET(_xlpm.sales,E61:K61,_xlpm.firstsale,IFERROR(_xlfn.XMATCH(TRUE,_xlpm.sales&gt;0),0),IF(_xlpm.firstsale&gt;1,"ลูกค้าใหม่เดือน "&amp;INDEX($E$1:$K$1,1,_xlpm.firstsale),""))</f>
        <v/>
      </c>
      <c r="N61" t="str" cm="1">
        <f t="array" ref="N61">IF(K61&gt;0,"",IFERROR("หายเดือน "&amp;INDEX($E$1:$K$1,1,LOOKUP(2,1/(E61:K61&gt;0),COLUMN(E61:K61)-COLUMN(E61)+1)+1),""))</f>
        <v>หายเดือน 7</v>
      </c>
    </row>
    <row r="62" spans="1:14" x14ac:dyDescent="0.4">
      <c r="A62" t="s">
        <v>4539</v>
      </c>
      <c r="B62" t="s">
        <v>4540</v>
      </c>
      <c r="C62" t="s">
        <v>1</v>
      </c>
      <c r="D62" t="s">
        <v>88</v>
      </c>
      <c r="E62" s="2">
        <v>3005</v>
      </c>
      <c r="F62" s="2">
        <v>3315</v>
      </c>
      <c r="G62" s="2">
        <v>1540</v>
      </c>
      <c r="H62" s="2">
        <v>2740</v>
      </c>
      <c r="I62" s="2">
        <v>1875</v>
      </c>
      <c r="J62" s="2">
        <v>1795</v>
      </c>
      <c r="K62" s="2">
        <v>1885</v>
      </c>
      <c r="L62" s="2">
        <v>16155</v>
      </c>
      <c r="M62" t="str" cm="1">
        <f t="array" ref="M62">_xlfn.LET(_xlpm.sales,E62:K62,_xlpm.firstsale,IFERROR(_xlfn.XMATCH(TRUE,_xlpm.sales&gt;0),0),IF(_xlpm.firstsale&gt;1,"ลูกค้าใหม่เดือน "&amp;INDEX($E$1:$K$1,1,_xlpm.firstsale),""))</f>
        <v/>
      </c>
      <c r="N62" t="str" cm="1">
        <f t="array" ref="N62">IF(K62&gt;0,"",IFERROR("หายเดือน "&amp;INDEX($E$1:$K$1,1,LOOKUP(2,1/(E62:K62&gt;0),COLUMN(E62:K62)-COLUMN(E62)+1)+1),""))</f>
        <v/>
      </c>
    </row>
    <row r="63" spans="1:14" x14ac:dyDescent="0.4">
      <c r="A63" t="s">
        <v>4541</v>
      </c>
      <c r="B63" t="s">
        <v>4542</v>
      </c>
      <c r="C63" t="s">
        <v>9</v>
      </c>
      <c r="D63" t="s">
        <v>4543</v>
      </c>
      <c r="E63" s="2">
        <v>2180</v>
      </c>
      <c r="L63" s="2">
        <v>2180</v>
      </c>
      <c r="M63" t="str" cm="1">
        <f t="array" ref="M63">_xlfn.LET(_xlpm.sales,E63:K63,_xlpm.firstsale,IFERROR(_xlfn.XMATCH(TRUE,_xlpm.sales&gt;0),0),IF(_xlpm.firstsale&gt;1,"ลูกค้าใหม่เดือน "&amp;INDEX($E$1:$K$1,1,_xlpm.firstsale),""))</f>
        <v/>
      </c>
      <c r="N63" t="str" cm="1">
        <f t="array" ref="N63">IF(K63&gt;0,"",IFERROR("หายเดือน "&amp;INDEX($E$1:$K$1,1,LOOKUP(2,1/(E63:K63&gt;0),COLUMN(E63:K63)-COLUMN(E63)+1)+1),""))</f>
        <v>หายเดือน 2</v>
      </c>
    </row>
    <row r="64" spans="1:14" x14ac:dyDescent="0.4">
      <c r="A64" t="s">
        <v>4544</v>
      </c>
      <c r="B64" t="s">
        <v>4545</v>
      </c>
      <c r="C64" t="s">
        <v>167</v>
      </c>
      <c r="D64" t="s">
        <v>1050</v>
      </c>
      <c r="E64" s="2">
        <v>14000</v>
      </c>
      <c r="F64" s="2">
        <v>5950</v>
      </c>
      <c r="G64" s="2">
        <v>5950</v>
      </c>
      <c r="H64" s="2">
        <v>17500</v>
      </c>
      <c r="I64" s="2">
        <v>10500</v>
      </c>
      <c r="J64" s="2">
        <v>8750</v>
      </c>
      <c r="K64" s="2">
        <v>4200</v>
      </c>
      <c r="L64" s="2">
        <v>66850</v>
      </c>
      <c r="M64" t="str" cm="1">
        <f t="array" ref="M64">_xlfn.LET(_xlpm.sales,E64:K64,_xlpm.firstsale,IFERROR(_xlfn.XMATCH(TRUE,_xlpm.sales&gt;0),0),IF(_xlpm.firstsale&gt;1,"ลูกค้าใหม่เดือน "&amp;INDEX($E$1:$K$1,1,_xlpm.firstsale),""))</f>
        <v/>
      </c>
      <c r="N64" t="str" cm="1">
        <f t="array" ref="N64">IF(K64&gt;0,"",IFERROR("หายเดือน "&amp;INDEX($E$1:$K$1,1,LOOKUP(2,1/(E64:K64&gt;0),COLUMN(E64:K64)-COLUMN(E64)+1)+1),""))</f>
        <v/>
      </c>
    </row>
    <row r="65" spans="1:14" x14ac:dyDescent="0.4">
      <c r="A65" t="s">
        <v>4546</v>
      </c>
      <c r="B65" t="s">
        <v>4547</v>
      </c>
      <c r="C65" t="s">
        <v>251</v>
      </c>
      <c r="D65" t="s">
        <v>255</v>
      </c>
      <c r="E65" s="2">
        <v>15400</v>
      </c>
      <c r="F65" s="2">
        <v>4200</v>
      </c>
      <c r="G65" s="2">
        <v>5600</v>
      </c>
      <c r="H65" s="2">
        <v>11200</v>
      </c>
      <c r="I65" s="2">
        <v>7700</v>
      </c>
      <c r="J65" s="2">
        <v>5600</v>
      </c>
      <c r="K65" s="2">
        <v>1400</v>
      </c>
      <c r="L65" s="2">
        <v>51100</v>
      </c>
      <c r="M65" t="str" cm="1">
        <f t="array" ref="M65">_xlfn.LET(_xlpm.sales,E65:K65,_xlpm.firstsale,IFERROR(_xlfn.XMATCH(TRUE,_xlpm.sales&gt;0),0),IF(_xlpm.firstsale&gt;1,"ลูกค้าใหม่เดือน "&amp;INDEX($E$1:$K$1,1,_xlpm.firstsale),""))</f>
        <v/>
      </c>
      <c r="N65" t="str" cm="1">
        <f t="array" ref="N65">IF(K65&gt;0,"",IFERROR("หายเดือน "&amp;INDEX($E$1:$K$1,1,LOOKUP(2,1/(E65:K65&gt;0),COLUMN(E65:K65)-COLUMN(E65)+1)+1),""))</f>
        <v/>
      </c>
    </row>
    <row r="66" spans="1:14" x14ac:dyDescent="0.4">
      <c r="A66" t="s">
        <v>4548</v>
      </c>
      <c r="B66" t="s">
        <v>4549</v>
      </c>
      <c r="C66" t="s">
        <v>220</v>
      </c>
      <c r="D66" t="s">
        <v>2302</v>
      </c>
      <c r="E66" s="2">
        <v>7850</v>
      </c>
      <c r="F66" s="2">
        <v>17050</v>
      </c>
      <c r="G66" s="2">
        <v>14750</v>
      </c>
      <c r="H66" s="2">
        <v>23250</v>
      </c>
      <c r="I66" s="2">
        <v>17550</v>
      </c>
      <c r="J66" s="2">
        <v>11200</v>
      </c>
      <c r="K66" s="2">
        <v>8750</v>
      </c>
      <c r="L66" s="2">
        <v>100400</v>
      </c>
      <c r="M66" t="str" cm="1">
        <f t="array" ref="M66">_xlfn.LET(_xlpm.sales,E66:K66,_xlpm.firstsale,IFERROR(_xlfn.XMATCH(TRUE,_xlpm.sales&gt;0),0),IF(_xlpm.firstsale&gt;1,"ลูกค้าใหม่เดือน "&amp;INDEX($E$1:$K$1,1,_xlpm.firstsale),""))</f>
        <v/>
      </c>
      <c r="N66" t="str" cm="1">
        <f t="array" ref="N66">IF(K66&gt;0,"",IFERROR("หายเดือน "&amp;INDEX($E$1:$K$1,1,LOOKUP(2,1/(E66:K66&gt;0),COLUMN(E66:K66)-COLUMN(E66)+1)+1),""))</f>
        <v/>
      </c>
    </row>
    <row r="67" spans="1:14" x14ac:dyDescent="0.4">
      <c r="A67" t="s">
        <v>4550</v>
      </c>
      <c r="B67" t="s">
        <v>4551</v>
      </c>
      <c r="C67" t="s">
        <v>258</v>
      </c>
      <c r="D67" t="s">
        <v>1247</v>
      </c>
      <c r="E67" s="2">
        <v>70730</v>
      </c>
      <c r="F67" s="2">
        <v>46085</v>
      </c>
      <c r="G67" s="2">
        <v>46785</v>
      </c>
      <c r="H67" s="2">
        <v>115500</v>
      </c>
      <c r="I67" s="2">
        <v>50570</v>
      </c>
      <c r="J67" s="2">
        <v>31904</v>
      </c>
      <c r="K67" s="2">
        <v>16120</v>
      </c>
      <c r="L67" s="2">
        <v>377694</v>
      </c>
      <c r="M67" t="str" cm="1">
        <f t="array" ref="M67">_xlfn.LET(_xlpm.sales,E67:K67,_xlpm.firstsale,IFERROR(_xlfn.XMATCH(TRUE,_xlpm.sales&gt;0),0),IF(_xlpm.firstsale&gt;1,"ลูกค้าใหม่เดือน "&amp;INDEX($E$1:$K$1,1,_xlpm.firstsale),""))</f>
        <v/>
      </c>
      <c r="N67" t="str" cm="1">
        <f t="array" ref="N67">IF(K67&gt;0,"",IFERROR("หายเดือน "&amp;INDEX($E$1:$K$1,1,LOOKUP(2,1/(E67:K67&gt;0),COLUMN(E67:K67)-COLUMN(E67)+1)+1),""))</f>
        <v/>
      </c>
    </row>
    <row r="68" spans="1:14" x14ac:dyDescent="0.4">
      <c r="A68" t="s">
        <v>4552</v>
      </c>
      <c r="B68" t="s">
        <v>4553</v>
      </c>
      <c r="C68" t="s">
        <v>5</v>
      </c>
      <c r="D68" t="s">
        <v>4554</v>
      </c>
      <c r="E68" s="2">
        <v>27956.599999999995</v>
      </c>
      <c r="F68" s="2">
        <v>25758.800000000003</v>
      </c>
      <c r="G68" s="2">
        <v>25834.399999999994</v>
      </c>
      <c r="H68" s="2">
        <v>24026.999999999993</v>
      </c>
      <c r="I68" s="2">
        <v>21434.100000000002</v>
      </c>
      <c r="J68" s="2">
        <v>33901.799999999996</v>
      </c>
      <c r="K68" s="2">
        <v>20951.099999999999</v>
      </c>
      <c r="L68" s="2">
        <v>179863.8</v>
      </c>
      <c r="M68" t="str" cm="1">
        <f t="array" ref="M68">_xlfn.LET(_xlpm.sales,E68:K68,_xlpm.firstsale,IFERROR(_xlfn.XMATCH(TRUE,_xlpm.sales&gt;0),0),IF(_xlpm.firstsale&gt;1,"ลูกค้าใหม่เดือน "&amp;INDEX($E$1:$K$1,1,_xlpm.firstsale),""))</f>
        <v/>
      </c>
      <c r="N68" t="str" cm="1">
        <f t="array" ref="N68">IF(K68&gt;0,"",IFERROR("หายเดือน "&amp;INDEX($E$1:$K$1,1,LOOKUP(2,1/(E68:K68&gt;0),COLUMN(E68:K68)-COLUMN(E68)+1)+1),""))</f>
        <v/>
      </c>
    </row>
    <row r="69" spans="1:14" x14ac:dyDescent="0.4">
      <c r="A69" t="s">
        <v>4555</v>
      </c>
      <c r="B69" t="s">
        <v>4556</v>
      </c>
      <c r="C69" t="s">
        <v>5</v>
      </c>
      <c r="D69" t="s">
        <v>56</v>
      </c>
      <c r="E69" s="2">
        <v>43854</v>
      </c>
      <c r="F69" s="2">
        <v>34840</v>
      </c>
      <c r="G69" s="2">
        <v>36580</v>
      </c>
      <c r="H69" s="2">
        <v>25880</v>
      </c>
      <c r="I69" s="2">
        <v>28700</v>
      </c>
      <c r="J69" s="2">
        <v>35500</v>
      </c>
      <c r="K69" s="2">
        <v>17240</v>
      </c>
      <c r="L69" s="2">
        <v>222594</v>
      </c>
      <c r="M69" t="str" cm="1">
        <f t="array" ref="M69">_xlfn.LET(_xlpm.sales,E69:K69,_xlpm.firstsale,IFERROR(_xlfn.XMATCH(TRUE,_xlpm.sales&gt;0),0),IF(_xlpm.firstsale&gt;1,"ลูกค้าใหม่เดือน "&amp;INDEX($E$1:$K$1,1,_xlpm.firstsale),""))</f>
        <v/>
      </c>
      <c r="N69" t="str" cm="1">
        <f t="array" ref="N69">IF(K69&gt;0,"",IFERROR("หายเดือน "&amp;INDEX($E$1:$K$1,1,LOOKUP(2,1/(E69:K69&gt;0),COLUMN(E69:K69)-COLUMN(E69)+1)+1),""))</f>
        <v/>
      </c>
    </row>
    <row r="70" spans="1:14" x14ac:dyDescent="0.4">
      <c r="A70" t="s">
        <v>4557</v>
      </c>
      <c r="B70" t="s">
        <v>4558</v>
      </c>
      <c r="C70" t="s">
        <v>195</v>
      </c>
      <c r="D70" t="s">
        <v>665</v>
      </c>
      <c r="E70" s="2">
        <v>7700</v>
      </c>
      <c r="F70" s="2">
        <v>2100</v>
      </c>
      <c r="G70" s="2">
        <v>7700</v>
      </c>
      <c r="H70" s="2">
        <v>12250</v>
      </c>
      <c r="I70" s="2">
        <v>6300</v>
      </c>
      <c r="J70" s="2">
        <v>4200</v>
      </c>
      <c r="L70" s="2">
        <v>40250</v>
      </c>
      <c r="M70" t="str" cm="1">
        <f t="array" ref="M70">_xlfn.LET(_xlpm.sales,E70:K70,_xlpm.firstsale,IFERROR(_xlfn.XMATCH(TRUE,_xlpm.sales&gt;0),0),IF(_xlpm.firstsale&gt;1,"ลูกค้าใหม่เดือน "&amp;INDEX($E$1:$K$1,1,_xlpm.firstsale),""))</f>
        <v/>
      </c>
      <c r="N70" t="str" cm="1">
        <f t="array" ref="N70">IF(K70&gt;0,"",IFERROR("หายเดือน "&amp;INDEX($E$1:$K$1,1,LOOKUP(2,1/(E70:K70&gt;0),COLUMN(E70:K70)-COLUMN(E70)+1)+1),""))</f>
        <v>หายเดือน 7</v>
      </c>
    </row>
    <row r="71" spans="1:14" x14ac:dyDescent="0.4">
      <c r="A71" t="s">
        <v>4559</v>
      </c>
      <c r="B71" t="s">
        <v>4560</v>
      </c>
      <c r="C71" t="s">
        <v>220</v>
      </c>
      <c r="D71" t="s">
        <v>797</v>
      </c>
      <c r="E71" s="2">
        <v>4260</v>
      </c>
      <c r="F71" s="2">
        <v>2405</v>
      </c>
      <c r="G71" s="2">
        <v>4160</v>
      </c>
      <c r="H71" s="2">
        <v>5980</v>
      </c>
      <c r="I71" s="2">
        <v>4185</v>
      </c>
      <c r="J71" s="2">
        <v>2820</v>
      </c>
      <c r="K71" s="2">
        <v>1930</v>
      </c>
      <c r="L71" s="2">
        <v>25740</v>
      </c>
      <c r="M71" t="str" cm="1">
        <f t="array" ref="M71">_xlfn.LET(_xlpm.sales,E71:K71,_xlpm.firstsale,IFERROR(_xlfn.XMATCH(TRUE,_xlpm.sales&gt;0),0),IF(_xlpm.firstsale&gt;1,"ลูกค้าใหม่เดือน "&amp;INDEX($E$1:$K$1,1,_xlpm.firstsale),""))</f>
        <v/>
      </c>
      <c r="N71" t="str" cm="1">
        <f t="array" ref="N71">IF(K71&gt;0,"",IFERROR("หายเดือน "&amp;INDEX($E$1:$K$1,1,LOOKUP(2,1/(E71:K71&gt;0),COLUMN(E71:K71)-COLUMN(E71)+1)+1),""))</f>
        <v/>
      </c>
    </row>
    <row r="72" spans="1:14" x14ac:dyDescent="0.4">
      <c r="A72" t="s">
        <v>4561</v>
      </c>
      <c r="B72" t="s">
        <v>4562</v>
      </c>
      <c r="C72" t="s">
        <v>496</v>
      </c>
      <c r="D72" t="s">
        <v>4554</v>
      </c>
      <c r="E72" s="2">
        <v>5330</v>
      </c>
      <c r="F72" s="2">
        <v>3980</v>
      </c>
      <c r="G72" s="2">
        <v>4940</v>
      </c>
      <c r="H72" s="2">
        <v>4890</v>
      </c>
      <c r="I72" s="2">
        <v>5790</v>
      </c>
      <c r="J72" s="2">
        <v>4490</v>
      </c>
      <c r="K72" s="2">
        <v>2220</v>
      </c>
      <c r="L72" s="2">
        <v>31640</v>
      </c>
      <c r="M72" t="str" cm="1">
        <f t="array" ref="M72">_xlfn.LET(_xlpm.sales,E72:K72,_xlpm.firstsale,IFERROR(_xlfn.XMATCH(TRUE,_xlpm.sales&gt;0),0),IF(_xlpm.firstsale&gt;1,"ลูกค้าใหม่เดือน "&amp;INDEX($E$1:$K$1,1,_xlpm.firstsale),""))</f>
        <v/>
      </c>
      <c r="N72" t="str" cm="1">
        <f t="array" ref="N72">IF(K72&gt;0,"",IFERROR("หายเดือน "&amp;INDEX($E$1:$K$1,1,LOOKUP(2,1/(E72:K72&gt;0),COLUMN(E72:K72)-COLUMN(E72)+1)+1),""))</f>
        <v/>
      </c>
    </row>
    <row r="73" spans="1:14" x14ac:dyDescent="0.4">
      <c r="A73" t="s">
        <v>4563</v>
      </c>
      <c r="B73" t="s">
        <v>4564</v>
      </c>
      <c r="C73" t="s">
        <v>113</v>
      </c>
      <c r="D73" t="s">
        <v>615</v>
      </c>
      <c r="E73" s="2">
        <v>1050</v>
      </c>
      <c r="K73" s="2">
        <v>2100</v>
      </c>
      <c r="L73" s="2">
        <v>3150</v>
      </c>
      <c r="M73" t="str" cm="1">
        <f t="array" ref="M73">_xlfn.LET(_xlpm.sales,E73:K73,_xlpm.firstsale,IFERROR(_xlfn.XMATCH(TRUE,_xlpm.sales&gt;0),0),IF(_xlpm.firstsale&gt;1,"ลูกค้าใหม่เดือน "&amp;INDEX($E$1:$K$1,1,_xlpm.firstsale),""))</f>
        <v/>
      </c>
      <c r="N73" t="str" cm="1">
        <f t="array" ref="N73">IF(K73&gt;0,"",IFERROR("หายเดือน "&amp;INDEX($E$1:$K$1,1,LOOKUP(2,1/(E73:K73&gt;0),COLUMN(E73:K73)-COLUMN(E73)+1)+1),""))</f>
        <v/>
      </c>
    </row>
    <row r="74" spans="1:14" x14ac:dyDescent="0.4">
      <c r="A74" t="s">
        <v>4565</v>
      </c>
      <c r="B74" t="s">
        <v>4566</v>
      </c>
      <c r="C74" t="s">
        <v>258</v>
      </c>
      <c r="D74" t="s">
        <v>4567</v>
      </c>
      <c r="E74" s="2">
        <v>40220</v>
      </c>
      <c r="F74" s="2">
        <v>42800</v>
      </c>
      <c r="G74" s="2">
        <v>20150</v>
      </c>
      <c r="H74" s="2">
        <v>44420</v>
      </c>
      <c r="I74" s="2">
        <v>36470</v>
      </c>
      <c r="J74" s="2">
        <v>21880</v>
      </c>
      <c r="K74" s="2">
        <v>13140</v>
      </c>
      <c r="L74" s="2">
        <v>219080</v>
      </c>
      <c r="M74" t="str" cm="1">
        <f t="array" ref="M74">_xlfn.LET(_xlpm.sales,E74:K74,_xlpm.firstsale,IFERROR(_xlfn.XMATCH(TRUE,_xlpm.sales&gt;0),0),IF(_xlpm.firstsale&gt;1,"ลูกค้าใหม่เดือน "&amp;INDEX($E$1:$K$1,1,_xlpm.firstsale),""))</f>
        <v/>
      </c>
      <c r="N74" t="str" cm="1">
        <f t="array" ref="N74">IF(K74&gt;0,"",IFERROR("หายเดือน "&amp;INDEX($E$1:$K$1,1,LOOKUP(2,1/(E74:K74&gt;0),COLUMN(E74:K74)-COLUMN(E74)+1)+1),""))</f>
        <v/>
      </c>
    </row>
    <row r="75" spans="1:14" x14ac:dyDescent="0.4">
      <c r="A75" t="s">
        <v>4568</v>
      </c>
      <c r="B75" t="s">
        <v>4569</v>
      </c>
      <c r="C75" t="s">
        <v>258</v>
      </c>
      <c r="D75" t="s">
        <v>4567</v>
      </c>
      <c r="E75" s="2">
        <v>24250</v>
      </c>
      <c r="F75" s="2">
        <v>18760</v>
      </c>
      <c r="G75" s="2">
        <v>19400</v>
      </c>
      <c r="H75" s="2">
        <v>32650</v>
      </c>
      <c r="I75" s="2">
        <v>36860</v>
      </c>
      <c r="J75" s="2">
        <v>19400</v>
      </c>
      <c r="K75" s="2">
        <v>9700</v>
      </c>
      <c r="L75" s="2">
        <v>161020</v>
      </c>
      <c r="M75" t="str" cm="1">
        <f t="array" ref="M75">_xlfn.LET(_xlpm.sales,E75:K75,_xlpm.firstsale,IFERROR(_xlfn.XMATCH(TRUE,_xlpm.sales&gt;0),0),IF(_xlpm.firstsale&gt;1,"ลูกค้าใหม่เดือน "&amp;INDEX($E$1:$K$1,1,_xlpm.firstsale),""))</f>
        <v/>
      </c>
      <c r="N75" t="str" cm="1">
        <f t="array" ref="N75">IF(K75&gt;0,"",IFERROR("หายเดือน "&amp;INDEX($E$1:$K$1,1,LOOKUP(2,1/(E75:K75&gt;0),COLUMN(E75:K75)-COLUMN(E75)+1)+1),""))</f>
        <v/>
      </c>
    </row>
    <row r="76" spans="1:14" x14ac:dyDescent="0.4">
      <c r="A76" t="s">
        <v>4570</v>
      </c>
      <c r="B76" t="s">
        <v>4571</v>
      </c>
      <c r="C76" t="s">
        <v>5</v>
      </c>
      <c r="D76" t="s">
        <v>56</v>
      </c>
      <c r="E76" s="2">
        <v>4635</v>
      </c>
      <c r="F76" s="2">
        <v>3110</v>
      </c>
      <c r="G76" s="2">
        <v>4735</v>
      </c>
      <c r="H76" s="2">
        <v>7080</v>
      </c>
      <c r="I76" s="2">
        <v>6850</v>
      </c>
      <c r="J76" s="2">
        <v>4690</v>
      </c>
      <c r="K76" s="2">
        <v>3740</v>
      </c>
      <c r="L76" s="2">
        <v>34840</v>
      </c>
      <c r="M76" t="str" cm="1">
        <f t="array" ref="M76">_xlfn.LET(_xlpm.sales,E76:K76,_xlpm.firstsale,IFERROR(_xlfn.XMATCH(TRUE,_xlpm.sales&gt;0),0),IF(_xlpm.firstsale&gt;1,"ลูกค้าใหม่เดือน "&amp;INDEX($E$1:$K$1,1,_xlpm.firstsale),""))</f>
        <v/>
      </c>
      <c r="N76" t="str" cm="1">
        <f t="array" ref="N76">IF(K76&gt;0,"",IFERROR("หายเดือน "&amp;INDEX($E$1:$K$1,1,LOOKUP(2,1/(E76:K76&gt;0),COLUMN(E76:K76)-COLUMN(E76)+1)+1),""))</f>
        <v/>
      </c>
    </row>
    <row r="77" spans="1:14" x14ac:dyDescent="0.4">
      <c r="A77" t="s">
        <v>4572</v>
      </c>
      <c r="B77" t="s">
        <v>4573</v>
      </c>
      <c r="C77" t="s">
        <v>5</v>
      </c>
      <c r="D77" t="s">
        <v>132</v>
      </c>
      <c r="F77" s="2">
        <v>10245</v>
      </c>
      <c r="G77" s="2">
        <v>17420</v>
      </c>
      <c r="H77" s="2">
        <v>20555</v>
      </c>
      <c r="I77" s="2">
        <v>8855</v>
      </c>
      <c r="J77" s="2">
        <v>19650</v>
      </c>
      <c r="K77" s="2">
        <v>4775</v>
      </c>
      <c r="L77" s="2">
        <v>81500</v>
      </c>
      <c r="M77" t="str" cm="1">
        <f t="array" ref="M77">_xlfn.LET(_xlpm.sales,E77:K77,_xlpm.firstsale,IFERROR(_xlfn.XMATCH(TRUE,_xlpm.sales&gt;0),0),IF(_xlpm.firstsale&gt;1,"ลูกค้าใหม่เดือน "&amp;INDEX($E$1:$K$1,1,_xlpm.firstsale),""))</f>
        <v>ลูกค้าใหม่เดือน 2</v>
      </c>
      <c r="N77" t="str" cm="1">
        <f t="array" ref="N77">IF(K77&gt;0,"",IFERROR("หายเดือน "&amp;INDEX($E$1:$K$1,1,LOOKUP(2,1/(E77:K77&gt;0),COLUMN(E77:K77)-COLUMN(E77)+1)+1),""))</f>
        <v/>
      </c>
    </row>
    <row r="78" spans="1:14" x14ac:dyDescent="0.4">
      <c r="A78" t="s">
        <v>4574</v>
      </c>
      <c r="B78" t="s">
        <v>4575</v>
      </c>
      <c r="C78" t="s">
        <v>5</v>
      </c>
      <c r="D78" t="s">
        <v>1354</v>
      </c>
      <c r="E78" s="2">
        <v>1240</v>
      </c>
      <c r="F78" s="2">
        <v>360</v>
      </c>
      <c r="G78" s="2">
        <v>600</v>
      </c>
      <c r="H78" s="2">
        <v>360</v>
      </c>
      <c r="J78" s="2">
        <v>600</v>
      </c>
      <c r="K78" s="2">
        <v>880</v>
      </c>
      <c r="L78" s="2">
        <v>4040</v>
      </c>
      <c r="M78" t="str" cm="1">
        <f t="array" ref="M78">_xlfn.LET(_xlpm.sales,E78:K78,_xlpm.firstsale,IFERROR(_xlfn.XMATCH(TRUE,_xlpm.sales&gt;0),0),IF(_xlpm.firstsale&gt;1,"ลูกค้าใหม่เดือน "&amp;INDEX($E$1:$K$1,1,_xlpm.firstsale),""))</f>
        <v/>
      </c>
      <c r="N78" t="str" cm="1">
        <f t="array" ref="N78">IF(K78&gt;0,"",IFERROR("หายเดือน "&amp;INDEX($E$1:$K$1,1,LOOKUP(2,1/(E78:K78&gt;0),COLUMN(E78:K78)-COLUMN(E78)+1)+1),""))</f>
        <v/>
      </c>
    </row>
    <row r="79" spans="1:14" x14ac:dyDescent="0.4">
      <c r="A79" t="s">
        <v>4576</v>
      </c>
      <c r="B79" t="s">
        <v>4577</v>
      </c>
      <c r="C79" t="s">
        <v>5</v>
      </c>
      <c r="D79" t="s">
        <v>4554</v>
      </c>
      <c r="E79" s="2">
        <v>15545</v>
      </c>
      <c r="F79" s="2">
        <v>12030</v>
      </c>
      <c r="G79" s="2">
        <v>12675</v>
      </c>
      <c r="H79" s="2">
        <v>12695</v>
      </c>
      <c r="I79" s="2">
        <v>13420</v>
      </c>
      <c r="J79" s="2">
        <v>9545</v>
      </c>
      <c r="K79" s="2">
        <v>6790</v>
      </c>
      <c r="L79" s="2">
        <v>82700</v>
      </c>
      <c r="M79" t="str" cm="1">
        <f t="array" ref="M79">_xlfn.LET(_xlpm.sales,E79:K79,_xlpm.firstsale,IFERROR(_xlfn.XMATCH(TRUE,_xlpm.sales&gt;0),0),IF(_xlpm.firstsale&gt;1,"ลูกค้าใหม่เดือน "&amp;INDEX($E$1:$K$1,1,_xlpm.firstsale),""))</f>
        <v/>
      </c>
      <c r="N79" t="str" cm="1">
        <f t="array" ref="N79">IF(K79&gt;0,"",IFERROR("หายเดือน "&amp;INDEX($E$1:$K$1,1,LOOKUP(2,1/(E79:K79&gt;0),COLUMN(E79:K79)-COLUMN(E79)+1)+1),""))</f>
        <v/>
      </c>
    </row>
    <row r="80" spans="1:14" x14ac:dyDescent="0.4">
      <c r="A80" t="s">
        <v>4578</v>
      </c>
      <c r="B80" t="s">
        <v>4579</v>
      </c>
      <c r="C80" t="s">
        <v>1</v>
      </c>
      <c r="D80" t="s">
        <v>88</v>
      </c>
      <c r="E80" s="2">
        <v>4100</v>
      </c>
      <c r="F80" s="2">
        <v>6150</v>
      </c>
      <c r="J80" s="2">
        <v>3450</v>
      </c>
      <c r="L80" s="2">
        <v>13700</v>
      </c>
      <c r="M80" t="str" cm="1">
        <f t="array" ref="M80">_xlfn.LET(_xlpm.sales,E80:K80,_xlpm.firstsale,IFERROR(_xlfn.XMATCH(TRUE,_xlpm.sales&gt;0),0),IF(_xlpm.firstsale&gt;1,"ลูกค้าใหม่เดือน "&amp;INDEX($E$1:$K$1,1,_xlpm.firstsale),""))</f>
        <v/>
      </c>
      <c r="N80" t="str" cm="1">
        <f t="array" ref="N80">IF(K80&gt;0,"",IFERROR("หายเดือน "&amp;INDEX($E$1:$K$1,1,LOOKUP(2,1/(E80:K80&gt;0),COLUMN(E80:K80)-COLUMN(E80)+1)+1),""))</f>
        <v>หายเดือน 7</v>
      </c>
    </row>
    <row r="81" spans="1:14" x14ac:dyDescent="0.4">
      <c r="A81" t="s">
        <v>4580</v>
      </c>
      <c r="B81" t="s">
        <v>4581</v>
      </c>
      <c r="C81" t="s">
        <v>78</v>
      </c>
      <c r="D81" t="s">
        <v>1240</v>
      </c>
      <c r="E81" s="2">
        <v>2529</v>
      </c>
      <c r="F81" s="2">
        <v>2529</v>
      </c>
      <c r="G81" s="2">
        <v>2654</v>
      </c>
      <c r="H81" s="2">
        <v>2429</v>
      </c>
      <c r="I81" s="2">
        <v>2457</v>
      </c>
      <c r="J81" s="2">
        <v>2478</v>
      </c>
      <c r="K81" s="2">
        <v>1014</v>
      </c>
      <c r="L81" s="2">
        <v>16090</v>
      </c>
      <c r="M81" t="str" cm="1">
        <f t="array" ref="M81">_xlfn.LET(_xlpm.sales,E81:K81,_xlpm.firstsale,IFERROR(_xlfn.XMATCH(TRUE,_xlpm.sales&gt;0),0),IF(_xlpm.firstsale&gt;1,"ลูกค้าใหม่เดือน "&amp;INDEX($E$1:$K$1,1,_xlpm.firstsale),""))</f>
        <v/>
      </c>
      <c r="N81" t="str" cm="1">
        <f t="array" ref="N81">IF(K81&gt;0,"",IFERROR("หายเดือน "&amp;INDEX($E$1:$K$1,1,LOOKUP(2,1/(E81:K81&gt;0),COLUMN(E81:K81)-COLUMN(E81)+1)+1),""))</f>
        <v/>
      </c>
    </row>
    <row r="82" spans="1:14" x14ac:dyDescent="0.4">
      <c r="A82" t="s">
        <v>4582</v>
      </c>
      <c r="B82" t="s">
        <v>4583</v>
      </c>
      <c r="C82" t="s">
        <v>64</v>
      </c>
      <c r="D82" t="s">
        <v>2297</v>
      </c>
      <c r="E82" s="2">
        <v>2400</v>
      </c>
      <c r="L82" s="2">
        <v>2400</v>
      </c>
      <c r="M82" t="str" cm="1">
        <f t="array" ref="M82">_xlfn.LET(_xlpm.sales,E82:K82,_xlpm.firstsale,IFERROR(_xlfn.XMATCH(TRUE,_xlpm.sales&gt;0),0),IF(_xlpm.firstsale&gt;1,"ลูกค้าใหม่เดือน "&amp;INDEX($E$1:$K$1,1,_xlpm.firstsale),""))</f>
        <v/>
      </c>
      <c r="N82" t="str" cm="1">
        <f t="array" ref="N82">IF(K82&gt;0,"",IFERROR("หายเดือน "&amp;INDEX($E$1:$K$1,1,LOOKUP(2,1/(E82:K82&gt;0),COLUMN(E82:K82)-COLUMN(E82)+1)+1),""))</f>
        <v>หายเดือน 2</v>
      </c>
    </row>
    <row r="83" spans="1:14" x14ac:dyDescent="0.4">
      <c r="A83" t="s">
        <v>4584</v>
      </c>
      <c r="B83" t="s">
        <v>4585</v>
      </c>
      <c r="C83" t="s">
        <v>220</v>
      </c>
      <c r="D83" t="s">
        <v>4453</v>
      </c>
      <c r="E83" s="2">
        <v>5200</v>
      </c>
      <c r="F83" s="2">
        <v>2800</v>
      </c>
      <c r="G83" s="2">
        <v>3200</v>
      </c>
      <c r="H83" s="2">
        <v>4400</v>
      </c>
      <c r="I83" s="2">
        <v>4000</v>
      </c>
      <c r="J83" s="2">
        <v>2400</v>
      </c>
      <c r="K83" s="2">
        <v>1600</v>
      </c>
      <c r="L83" s="2">
        <v>23600</v>
      </c>
      <c r="M83" t="str" cm="1">
        <f t="array" ref="M83">_xlfn.LET(_xlpm.sales,E83:K83,_xlpm.firstsale,IFERROR(_xlfn.XMATCH(TRUE,_xlpm.sales&gt;0),0),IF(_xlpm.firstsale&gt;1,"ลูกค้าใหม่เดือน "&amp;INDEX($E$1:$K$1,1,_xlpm.firstsale),""))</f>
        <v/>
      </c>
      <c r="N83" t="str" cm="1">
        <f t="array" ref="N83">IF(K83&gt;0,"",IFERROR("หายเดือน "&amp;INDEX($E$1:$K$1,1,LOOKUP(2,1/(E83:K83&gt;0),COLUMN(E83:K83)-COLUMN(E83)+1)+1),""))</f>
        <v/>
      </c>
    </row>
    <row r="84" spans="1:14" x14ac:dyDescent="0.4">
      <c r="A84" t="s">
        <v>4586</v>
      </c>
      <c r="B84" t="s">
        <v>4587</v>
      </c>
      <c r="C84" t="s">
        <v>220</v>
      </c>
      <c r="D84" t="s">
        <v>4453</v>
      </c>
      <c r="E84" s="2">
        <v>8800</v>
      </c>
      <c r="F84" s="2">
        <v>3760</v>
      </c>
      <c r="G84" s="2">
        <v>3600</v>
      </c>
      <c r="H84" s="2">
        <v>5920</v>
      </c>
      <c r="I84" s="2">
        <v>4560</v>
      </c>
      <c r="J84" s="2">
        <v>2400</v>
      </c>
      <c r="K84" s="2">
        <v>2560</v>
      </c>
      <c r="L84" s="2">
        <v>31600</v>
      </c>
      <c r="M84" t="str" cm="1">
        <f t="array" ref="M84">_xlfn.LET(_xlpm.sales,E84:K84,_xlpm.firstsale,IFERROR(_xlfn.XMATCH(TRUE,_xlpm.sales&gt;0),0),IF(_xlpm.firstsale&gt;1,"ลูกค้าใหม่เดือน "&amp;INDEX($E$1:$K$1,1,_xlpm.firstsale),""))</f>
        <v/>
      </c>
      <c r="N84" t="str" cm="1">
        <f t="array" ref="N84">IF(K84&gt;0,"",IFERROR("หายเดือน "&amp;INDEX($E$1:$K$1,1,LOOKUP(2,1/(E84:K84&gt;0),COLUMN(E84:K84)-COLUMN(E84)+1)+1),""))</f>
        <v/>
      </c>
    </row>
    <row r="85" spans="1:14" x14ac:dyDescent="0.4">
      <c r="A85" t="s">
        <v>4588</v>
      </c>
      <c r="B85" t="s">
        <v>4589</v>
      </c>
      <c r="C85" t="s">
        <v>220</v>
      </c>
      <c r="D85" t="s">
        <v>2302</v>
      </c>
      <c r="E85" s="2">
        <v>96900</v>
      </c>
      <c r="F85" s="2">
        <v>57625</v>
      </c>
      <c r="G85" s="2">
        <v>51100</v>
      </c>
      <c r="H85" s="2">
        <v>119850</v>
      </c>
      <c r="I85" s="2">
        <v>83550</v>
      </c>
      <c r="J85" s="2">
        <v>47800</v>
      </c>
      <c r="K85" s="2">
        <v>16850</v>
      </c>
      <c r="L85" s="2">
        <v>473675</v>
      </c>
      <c r="M85" t="str" cm="1">
        <f t="array" ref="M85">_xlfn.LET(_xlpm.sales,E85:K85,_xlpm.firstsale,IFERROR(_xlfn.XMATCH(TRUE,_xlpm.sales&gt;0),0),IF(_xlpm.firstsale&gt;1,"ลูกค้าใหม่เดือน "&amp;INDEX($E$1:$K$1,1,_xlpm.firstsale),""))</f>
        <v/>
      </c>
      <c r="N85" t="str" cm="1">
        <f t="array" ref="N85">IF(K85&gt;0,"",IFERROR("หายเดือน "&amp;INDEX($E$1:$K$1,1,LOOKUP(2,1/(E85:K85&gt;0),COLUMN(E85:K85)-COLUMN(E85)+1)+1),""))</f>
        <v/>
      </c>
    </row>
    <row r="86" spans="1:14" x14ac:dyDescent="0.4">
      <c r="A86" t="s">
        <v>4590</v>
      </c>
      <c r="B86" t="s">
        <v>4591</v>
      </c>
      <c r="C86" t="s">
        <v>220</v>
      </c>
      <c r="D86" t="s">
        <v>2302</v>
      </c>
      <c r="E86" s="2">
        <v>142500</v>
      </c>
      <c r="F86" s="2">
        <v>76475</v>
      </c>
      <c r="G86" s="2">
        <v>83150</v>
      </c>
      <c r="H86" s="2">
        <v>107850</v>
      </c>
      <c r="I86" s="2">
        <v>95300</v>
      </c>
      <c r="J86" s="2">
        <v>63850</v>
      </c>
      <c r="K86" s="2">
        <v>41350</v>
      </c>
      <c r="L86" s="2">
        <v>610475</v>
      </c>
      <c r="M86" t="str" cm="1">
        <f t="array" ref="M86">_xlfn.LET(_xlpm.sales,E86:K86,_xlpm.firstsale,IFERROR(_xlfn.XMATCH(TRUE,_xlpm.sales&gt;0),0),IF(_xlpm.firstsale&gt;1,"ลูกค้าใหม่เดือน "&amp;INDEX($E$1:$K$1,1,_xlpm.firstsale),""))</f>
        <v/>
      </c>
      <c r="N86" t="str" cm="1">
        <f t="array" ref="N86">IF(K86&gt;0,"",IFERROR("หายเดือน "&amp;INDEX($E$1:$K$1,1,LOOKUP(2,1/(E86:K86&gt;0),COLUMN(E86:K86)-COLUMN(E86)+1)+1),""))</f>
        <v/>
      </c>
    </row>
    <row r="87" spans="1:14" x14ac:dyDescent="0.4">
      <c r="A87" t="s">
        <v>4592</v>
      </c>
      <c r="B87" t="s">
        <v>4593</v>
      </c>
      <c r="C87" t="s">
        <v>350</v>
      </c>
      <c r="D87" t="s">
        <v>1735</v>
      </c>
      <c r="E87" s="2">
        <v>1505</v>
      </c>
      <c r="F87" s="2">
        <v>1694</v>
      </c>
      <c r="G87" s="2">
        <v>1605</v>
      </c>
      <c r="H87" s="2">
        <v>1350</v>
      </c>
      <c r="I87" s="2">
        <v>1595</v>
      </c>
      <c r="J87" s="2">
        <v>1850</v>
      </c>
      <c r="K87" s="2">
        <v>535</v>
      </c>
      <c r="L87" s="2">
        <v>10134</v>
      </c>
      <c r="M87" t="str" cm="1">
        <f t="array" ref="M87">_xlfn.LET(_xlpm.sales,E87:K87,_xlpm.firstsale,IFERROR(_xlfn.XMATCH(TRUE,_xlpm.sales&gt;0),0),IF(_xlpm.firstsale&gt;1,"ลูกค้าใหม่เดือน "&amp;INDEX($E$1:$K$1,1,_xlpm.firstsale),""))</f>
        <v/>
      </c>
      <c r="N87" t="str" cm="1">
        <f t="array" ref="N87">IF(K87&gt;0,"",IFERROR("หายเดือน "&amp;INDEX($E$1:$K$1,1,LOOKUP(2,1/(E87:K87&gt;0),COLUMN(E87:K87)-COLUMN(E87)+1)+1),""))</f>
        <v/>
      </c>
    </row>
    <row r="88" spans="1:14" x14ac:dyDescent="0.4">
      <c r="A88" t="s">
        <v>4594</v>
      </c>
      <c r="B88" t="s">
        <v>4595</v>
      </c>
      <c r="C88" t="s">
        <v>258</v>
      </c>
      <c r="D88" t="s">
        <v>4554</v>
      </c>
      <c r="E88" s="2">
        <v>7400</v>
      </c>
      <c r="F88" s="2">
        <v>5045</v>
      </c>
      <c r="G88" s="2">
        <v>5560</v>
      </c>
      <c r="H88" s="2">
        <v>9795</v>
      </c>
      <c r="I88" s="2">
        <v>6210</v>
      </c>
      <c r="J88" s="2">
        <v>7395</v>
      </c>
      <c r="K88" s="2">
        <v>2435</v>
      </c>
      <c r="L88" s="2">
        <v>43840</v>
      </c>
      <c r="M88" t="str" cm="1">
        <f t="array" ref="M88">_xlfn.LET(_xlpm.sales,E88:K88,_xlpm.firstsale,IFERROR(_xlfn.XMATCH(TRUE,_xlpm.sales&gt;0),0),IF(_xlpm.firstsale&gt;1,"ลูกค้าใหม่เดือน "&amp;INDEX($E$1:$K$1,1,_xlpm.firstsale),""))</f>
        <v/>
      </c>
      <c r="N88" t="str" cm="1">
        <f t="array" ref="N88">IF(K88&gt;0,"",IFERROR("หายเดือน "&amp;INDEX($E$1:$K$1,1,LOOKUP(2,1/(E88:K88&gt;0),COLUMN(E88:K88)-COLUMN(E88)+1)+1),""))</f>
        <v/>
      </c>
    </row>
    <row r="89" spans="1:14" x14ac:dyDescent="0.4">
      <c r="A89" t="s">
        <v>4596</v>
      </c>
      <c r="B89" t="s">
        <v>4597</v>
      </c>
      <c r="C89" t="s">
        <v>78</v>
      </c>
      <c r="D89" t="s">
        <v>1240</v>
      </c>
      <c r="E89" s="2">
        <v>1650</v>
      </c>
      <c r="F89" s="2">
        <v>1200</v>
      </c>
      <c r="G89" s="2">
        <v>1830</v>
      </c>
      <c r="H89" s="2">
        <v>920</v>
      </c>
      <c r="I89" s="2">
        <v>1795</v>
      </c>
      <c r="J89" s="2">
        <v>815</v>
      </c>
      <c r="L89" s="2">
        <v>8210</v>
      </c>
      <c r="M89" t="str" cm="1">
        <f t="array" ref="M89">_xlfn.LET(_xlpm.sales,E89:K89,_xlpm.firstsale,IFERROR(_xlfn.XMATCH(TRUE,_xlpm.sales&gt;0),0),IF(_xlpm.firstsale&gt;1,"ลูกค้าใหม่เดือน "&amp;INDEX($E$1:$K$1,1,_xlpm.firstsale),""))</f>
        <v/>
      </c>
      <c r="N89" t="str" cm="1">
        <f t="array" ref="N89">IF(K89&gt;0,"",IFERROR("หายเดือน "&amp;INDEX($E$1:$K$1,1,LOOKUP(2,1/(E89:K89&gt;0),COLUMN(E89:K89)-COLUMN(E89)+1)+1),""))</f>
        <v>หายเดือน 7</v>
      </c>
    </row>
    <row r="90" spans="1:14" x14ac:dyDescent="0.4">
      <c r="A90" t="s">
        <v>4598</v>
      </c>
      <c r="B90" t="s">
        <v>4599</v>
      </c>
      <c r="C90" t="s">
        <v>5</v>
      </c>
      <c r="D90" t="s">
        <v>4600</v>
      </c>
      <c r="E90" s="2">
        <v>20825</v>
      </c>
      <c r="F90" s="2">
        <v>17325</v>
      </c>
      <c r="G90" s="2">
        <v>12250</v>
      </c>
      <c r="H90" s="2">
        <v>15540</v>
      </c>
      <c r="I90" s="2">
        <v>12845</v>
      </c>
      <c r="J90" s="2">
        <v>17815</v>
      </c>
      <c r="K90" s="2">
        <v>7280</v>
      </c>
      <c r="L90" s="2">
        <v>103880</v>
      </c>
      <c r="M90" t="str" cm="1">
        <f t="array" ref="M90">_xlfn.LET(_xlpm.sales,E90:K90,_xlpm.firstsale,IFERROR(_xlfn.XMATCH(TRUE,_xlpm.sales&gt;0),0),IF(_xlpm.firstsale&gt;1,"ลูกค้าใหม่เดือน "&amp;INDEX($E$1:$K$1,1,_xlpm.firstsale),""))</f>
        <v/>
      </c>
      <c r="N90" t="str" cm="1">
        <f t="array" ref="N90">IF(K90&gt;0,"",IFERROR("หายเดือน "&amp;INDEX($E$1:$K$1,1,LOOKUP(2,1/(E90:K90&gt;0),COLUMN(E90:K90)-COLUMN(E90)+1)+1),""))</f>
        <v/>
      </c>
    </row>
    <row r="91" spans="1:14" x14ac:dyDescent="0.4">
      <c r="A91" t="s">
        <v>4601</v>
      </c>
      <c r="B91" t="s">
        <v>4602</v>
      </c>
      <c r="C91" t="s">
        <v>5</v>
      </c>
      <c r="D91" t="s">
        <v>1354</v>
      </c>
      <c r="E91" s="2">
        <v>8500</v>
      </c>
      <c r="F91" s="2">
        <v>2620</v>
      </c>
      <c r="L91" s="2">
        <v>11120</v>
      </c>
      <c r="M91" t="str" cm="1">
        <f t="array" ref="M91">_xlfn.LET(_xlpm.sales,E91:K91,_xlpm.firstsale,IFERROR(_xlfn.XMATCH(TRUE,_xlpm.sales&gt;0),0),IF(_xlpm.firstsale&gt;1,"ลูกค้าใหม่เดือน "&amp;INDEX($E$1:$K$1,1,_xlpm.firstsale),""))</f>
        <v/>
      </c>
      <c r="N91" t="str" cm="1">
        <f t="array" ref="N91">IF(K91&gt;0,"",IFERROR("หายเดือน "&amp;INDEX($E$1:$K$1,1,LOOKUP(2,1/(E91:K91&gt;0),COLUMN(E91:K91)-COLUMN(E91)+1)+1),""))</f>
        <v>หายเดือน 3</v>
      </c>
    </row>
    <row r="92" spans="1:14" x14ac:dyDescent="0.4">
      <c r="A92" t="s">
        <v>4603</v>
      </c>
      <c r="B92" t="s">
        <v>4604</v>
      </c>
      <c r="C92" t="s">
        <v>199</v>
      </c>
      <c r="D92" t="s">
        <v>690</v>
      </c>
      <c r="E92" s="2">
        <v>23310</v>
      </c>
      <c r="F92" s="2">
        <v>14645</v>
      </c>
      <c r="G92" s="2">
        <v>14520</v>
      </c>
      <c r="H92" s="2">
        <v>15365</v>
      </c>
      <c r="I92" s="2">
        <v>17550</v>
      </c>
      <c r="J92" s="2">
        <v>9860</v>
      </c>
      <c r="K92" s="2">
        <v>6160</v>
      </c>
      <c r="L92" s="2">
        <v>101410</v>
      </c>
      <c r="M92" t="str" cm="1">
        <f t="array" ref="M92">_xlfn.LET(_xlpm.sales,E92:K92,_xlpm.firstsale,IFERROR(_xlfn.XMATCH(TRUE,_xlpm.sales&gt;0),0),IF(_xlpm.firstsale&gt;1,"ลูกค้าใหม่เดือน "&amp;INDEX($E$1:$K$1,1,_xlpm.firstsale),""))</f>
        <v/>
      </c>
      <c r="N92" t="str" cm="1">
        <f t="array" ref="N92">IF(K92&gt;0,"",IFERROR("หายเดือน "&amp;INDEX($E$1:$K$1,1,LOOKUP(2,1/(E92:K92&gt;0),COLUMN(E92:K92)-COLUMN(E92)+1)+1),""))</f>
        <v/>
      </c>
    </row>
    <row r="93" spans="1:14" x14ac:dyDescent="0.4">
      <c r="A93" t="s">
        <v>4605</v>
      </c>
      <c r="B93" t="s">
        <v>4606</v>
      </c>
      <c r="C93" t="s">
        <v>496</v>
      </c>
      <c r="D93" t="s">
        <v>1128</v>
      </c>
      <c r="E93" s="2">
        <v>7200</v>
      </c>
      <c r="F93" s="2">
        <v>9600</v>
      </c>
      <c r="G93" s="2">
        <v>3200</v>
      </c>
      <c r="H93" s="2">
        <v>11200</v>
      </c>
      <c r="I93" s="2">
        <v>12800</v>
      </c>
      <c r="J93" s="2">
        <v>3200</v>
      </c>
      <c r="K93" s="2">
        <v>6400</v>
      </c>
      <c r="L93" s="2">
        <v>53600</v>
      </c>
      <c r="M93" t="str" cm="1">
        <f t="array" ref="M93">_xlfn.LET(_xlpm.sales,E93:K93,_xlpm.firstsale,IFERROR(_xlfn.XMATCH(TRUE,_xlpm.sales&gt;0),0),IF(_xlpm.firstsale&gt;1,"ลูกค้าใหม่เดือน "&amp;INDEX($E$1:$K$1,1,_xlpm.firstsale),""))</f>
        <v/>
      </c>
      <c r="N93" t="str" cm="1">
        <f t="array" ref="N93">IF(K93&gt;0,"",IFERROR("หายเดือน "&amp;INDEX($E$1:$K$1,1,LOOKUP(2,1/(E93:K93&gt;0),COLUMN(E93:K93)-COLUMN(E93)+1)+1),""))</f>
        <v/>
      </c>
    </row>
    <row r="94" spans="1:14" x14ac:dyDescent="0.4">
      <c r="A94" t="s">
        <v>4607</v>
      </c>
      <c r="B94" t="s">
        <v>4608</v>
      </c>
      <c r="C94" t="s">
        <v>227</v>
      </c>
      <c r="D94" t="s">
        <v>1166</v>
      </c>
      <c r="E94" s="2">
        <v>16900</v>
      </c>
      <c r="F94" s="2">
        <v>2100</v>
      </c>
      <c r="L94" s="2">
        <v>19000</v>
      </c>
      <c r="M94" t="str" cm="1">
        <f t="array" ref="M94">_xlfn.LET(_xlpm.sales,E94:K94,_xlpm.firstsale,IFERROR(_xlfn.XMATCH(TRUE,_xlpm.sales&gt;0),0),IF(_xlpm.firstsale&gt;1,"ลูกค้าใหม่เดือน "&amp;INDEX($E$1:$K$1,1,_xlpm.firstsale),""))</f>
        <v/>
      </c>
      <c r="N94" t="str" cm="1">
        <f t="array" ref="N94">IF(K94&gt;0,"",IFERROR("หายเดือน "&amp;INDEX($E$1:$K$1,1,LOOKUP(2,1/(E94:K94&gt;0),COLUMN(E94:K94)-COLUMN(E94)+1)+1),""))</f>
        <v>หายเดือน 3</v>
      </c>
    </row>
    <row r="95" spans="1:14" x14ac:dyDescent="0.4">
      <c r="A95" t="s">
        <v>4609</v>
      </c>
      <c r="B95" t="s">
        <v>4610</v>
      </c>
      <c r="C95" t="s">
        <v>227</v>
      </c>
      <c r="D95" t="s">
        <v>228</v>
      </c>
      <c r="E95" s="2">
        <v>5600</v>
      </c>
      <c r="F95" s="2">
        <v>3200</v>
      </c>
      <c r="G95" s="2">
        <v>2400</v>
      </c>
      <c r="H95" s="2">
        <v>8000</v>
      </c>
      <c r="I95" s="2">
        <v>3200</v>
      </c>
      <c r="J95" s="2">
        <v>800</v>
      </c>
      <c r="K95" s="2">
        <v>1600</v>
      </c>
      <c r="L95" s="2">
        <v>24800</v>
      </c>
      <c r="M95" t="str" cm="1">
        <f t="array" ref="M95">_xlfn.LET(_xlpm.sales,E95:K95,_xlpm.firstsale,IFERROR(_xlfn.XMATCH(TRUE,_xlpm.sales&gt;0),0),IF(_xlpm.firstsale&gt;1,"ลูกค้าใหม่เดือน "&amp;INDEX($E$1:$K$1,1,_xlpm.firstsale),""))</f>
        <v/>
      </c>
      <c r="N95" t="str" cm="1">
        <f t="array" ref="N95">IF(K95&gt;0,"",IFERROR("หายเดือน "&amp;INDEX($E$1:$K$1,1,LOOKUP(2,1/(E95:K95&gt;0),COLUMN(E95:K95)-COLUMN(E95)+1)+1),""))</f>
        <v/>
      </c>
    </row>
    <row r="96" spans="1:14" x14ac:dyDescent="0.4">
      <c r="A96" t="s">
        <v>4611</v>
      </c>
      <c r="B96" t="s">
        <v>4612</v>
      </c>
      <c r="C96" t="s">
        <v>195</v>
      </c>
      <c r="D96" t="s">
        <v>4613</v>
      </c>
      <c r="E96" s="2">
        <v>1950</v>
      </c>
      <c r="F96" s="2">
        <v>1225</v>
      </c>
      <c r="G96" s="2">
        <v>850</v>
      </c>
      <c r="H96" s="2">
        <v>3860</v>
      </c>
      <c r="I96" s="2">
        <v>1765</v>
      </c>
      <c r="J96" s="2">
        <v>1565</v>
      </c>
      <c r="K96" s="2">
        <v>595</v>
      </c>
      <c r="L96" s="2">
        <v>11810</v>
      </c>
      <c r="M96" t="str" cm="1">
        <f t="array" ref="M96">_xlfn.LET(_xlpm.sales,E96:K96,_xlpm.firstsale,IFERROR(_xlfn.XMATCH(TRUE,_xlpm.sales&gt;0),0),IF(_xlpm.firstsale&gt;1,"ลูกค้าใหม่เดือน "&amp;INDEX($E$1:$K$1,1,_xlpm.firstsale),""))</f>
        <v/>
      </c>
      <c r="N96" t="str" cm="1">
        <f t="array" ref="N96">IF(K96&gt;0,"",IFERROR("หายเดือน "&amp;INDEX($E$1:$K$1,1,LOOKUP(2,1/(E96:K96&gt;0),COLUMN(E96:K96)-COLUMN(E96)+1)+1),""))</f>
        <v/>
      </c>
    </row>
    <row r="97" spans="1:14" x14ac:dyDescent="0.4">
      <c r="A97" t="s">
        <v>4614</v>
      </c>
      <c r="B97" t="s">
        <v>4615</v>
      </c>
      <c r="C97" t="s">
        <v>195</v>
      </c>
      <c r="D97" t="s">
        <v>4613</v>
      </c>
      <c r="E97" s="2">
        <v>800</v>
      </c>
      <c r="F97" s="2">
        <v>800</v>
      </c>
      <c r="G97" s="2">
        <v>935</v>
      </c>
      <c r="H97" s="2">
        <v>2400</v>
      </c>
      <c r="I97" s="2">
        <v>1200</v>
      </c>
      <c r="J97" s="2">
        <v>400</v>
      </c>
      <c r="K97" s="2">
        <v>400</v>
      </c>
      <c r="L97" s="2">
        <v>6935</v>
      </c>
      <c r="M97" t="str" cm="1">
        <f t="array" ref="M97">_xlfn.LET(_xlpm.sales,E97:K97,_xlpm.firstsale,IFERROR(_xlfn.XMATCH(TRUE,_xlpm.sales&gt;0),0),IF(_xlpm.firstsale&gt;1,"ลูกค้าใหม่เดือน "&amp;INDEX($E$1:$K$1,1,_xlpm.firstsale),""))</f>
        <v/>
      </c>
      <c r="N97" t="str" cm="1">
        <f t="array" ref="N97">IF(K97&gt;0,"",IFERROR("หายเดือน "&amp;INDEX($E$1:$K$1,1,LOOKUP(2,1/(E97:K97&gt;0),COLUMN(E97:K97)-COLUMN(E97)+1)+1),""))</f>
        <v/>
      </c>
    </row>
    <row r="98" spans="1:14" x14ac:dyDescent="0.4">
      <c r="A98" t="s">
        <v>4616</v>
      </c>
      <c r="B98" t="s">
        <v>4617</v>
      </c>
      <c r="C98" t="s">
        <v>220</v>
      </c>
      <c r="D98" t="s">
        <v>2543</v>
      </c>
      <c r="E98" s="2">
        <v>12925</v>
      </c>
      <c r="F98" s="2">
        <v>9950</v>
      </c>
      <c r="G98" s="2">
        <v>6380</v>
      </c>
      <c r="H98" s="2">
        <v>12455</v>
      </c>
      <c r="I98" s="2">
        <v>9780</v>
      </c>
      <c r="J98" s="2">
        <v>8100</v>
      </c>
      <c r="K98" s="2">
        <v>4000</v>
      </c>
      <c r="L98" s="2">
        <v>63590</v>
      </c>
      <c r="M98" t="str" cm="1">
        <f t="array" ref="M98">_xlfn.LET(_xlpm.sales,E98:K98,_xlpm.firstsale,IFERROR(_xlfn.XMATCH(TRUE,_xlpm.sales&gt;0),0),IF(_xlpm.firstsale&gt;1,"ลูกค้าใหม่เดือน "&amp;INDEX($E$1:$K$1,1,_xlpm.firstsale),""))</f>
        <v/>
      </c>
      <c r="N98" t="str" cm="1">
        <f t="array" ref="N98">IF(K98&gt;0,"",IFERROR("หายเดือน "&amp;INDEX($E$1:$K$1,1,LOOKUP(2,1/(E98:K98&gt;0),COLUMN(E98:K98)-COLUMN(E98)+1)+1),""))</f>
        <v/>
      </c>
    </row>
    <row r="99" spans="1:14" x14ac:dyDescent="0.4">
      <c r="A99" t="s">
        <v>4618</v>
      </c>
      <c r="B99" t="s">
        <v>4619</v>
      </c>
      <c r="C99" t="s">
        <v>310</v>
      </c>
      <c r="D99" t="s">
        <v>314</v>
      </c>
      <c r="E99" s="2">
        <v>9800</v>
      </c>
      <c r="F99" s="2">
        <v>6300</v>
      </c>
      <c r="G99" s="2">
        <v>9800</v>
      </c>
      <c r="H99" s="2">
        <v>17500</v>
      </c>
      <c r="I99" s="2">
        <v>11900</v>
      </c>
      <c r="J99" s="2">
        <v>8400</v>
      </c>
      <c r="K99" s="2">
        <v>2100</v>
      </c>
      <c r="L99" s="2">
        <v>65800</v>
      </c>
      <c r="M99" t="str" cm="1">
        <f t="array" ref="M99">_xlfn.LET(_xlpm.sales,E99:K99,_xlpm.firstsale,IFERROR(_xlfn.XMATCH(TRUE,_xlpm.sales&gt;0),0),IF(_xlpm.firstsale&gt;1,"ลูกค้าใหม่เดือน "&amp;INDEX($E$1:$K$1,1,_xlpm.firstsale),""))</f>
        <v/>
      </c>
      <c r="N99" t="str" cm="1">
        <f t="array" ref="N99">IF(K99&gt;0,"",IFERROR("หายเดือน "&amp;INDEX($E$1:$K$1,1,LOOKUP(2,1/(E99:K99&gt;0),COLUMN(E99:K99)-COLUMN(E99)+1)+1),""))</f>
        <v/>
      </c>
    </row>
    <row r="100" spans="1:14" x14ac:dyDescent="0.4">
      <c r="A100" t="s">
        <v>4620</v>
      </c>
      <c r="B100" t="s">
        <v>4621</v>
      </c>
      <c r="C100" t="s">
        <v>195</v>
      </c>
      <c r="D100" t="s">
        <v>196</v>
      </c>
      <c r="E100" s="2">
        <v>21800</v>
      </c>
      <c r="F100" s="2">
        <v>8850</v>
      </c>
      <c r="G100" s="2">
        <v>8000</v>
      </c>
      <c r="H100" s="2">
        <v>15600</v>
      </c>
      <c r="I100" s="2">
        <v>10900</v>
      </c>
      <c r="J100" s="2">
        <v>5400</v>
      </c>
      <c r="K100" s="2">
        <v>4550</v>
      </c>
      <c r="L100" s="2">
        <v>75100</v>
      </c>
      <c r="M100" t="str" cm="1">
        <f t="array" ref="M100">_xlfn.LET(_xlpm.sales,E100:K100,_xlpm.firstsale,IFERROR(_xlfn.XMATCH(TRUE,_xlpm.sales&gt;0),0),IF(_xlpm.firstsale&gt;1,"ลูกค้าใหม่เดือน "&amp;INDEX($E$1:$K$1,1,_xlpm.firstsale),""))</f>
        <v/>
      </c>
      <c r="N100" t="str" cm="1">
        <f t="array" ref="N100">IF(K100&gt;0,"",IFERROR("หายเดือน "&amp;INDEX($E$1:$K$1,1,LOOKUP(2,1/(E100:K100&gt;0),COLUMN(E100:K100)-COLUMN(E100)+1)+1),""))</f>
        <v/>
      </c>
    </row>
    <row r="101" spans="1:14" x14ac:dyDescent="0.4">
      <c r="A101" t="s">
        <v>4622</v>
      </c>
      <c r="B101" t="s">
        <v>4623</v>
      </c>
      <c r="C101" t="s">
        <v>199</v>
      </c>
      <c r="D101" t="s">
        <v>206</v>
      </c>
      <c r="E101" s="2">
        <v>18575</v>
      </c>
      <c r="F101" s="2">
        <v>13545</v>
      </c>
      <c r="G101" s="2">
        <v>8975</v>
      </c>
      <c r="H101" s="2">
        <v>14080</v>
      </c>
      <c r="I101" s="2">
        <v>14030</v>
      </c>
      <c r="J101" s="2">
        <v>12425</v>
      </c>
      <c r="K101" s="2">
        <v>6205</v>
      </c>
      <c r="L101" s="2">
        <v>87835</v>
      </c>
      <c r="M101" t="str" cm="1">
        <f t="array" ref="M101">_xlfn.LET(_xlpm.sales,E101:K101,_xlpm.firstsale,IFERROR(_xlfn.XMATCH(TRUE,_xlpm.sales&gt;0),0),IF(_xlpm.firstsale&gt;1,"ลูกค้าใหม่เดือน "&amp;INDEX($E$1:$K$1,1,_xlpm.firstsale),""))</f>
        <v/>
      </c>
      <c r="N101" t="str" cm="1">
        <f t="array" ref="N101">IF(K101&gt;0,"",IFERROR("หายเดือน "&amp;INDEX($E$1:$K$1,1,LOOKUP(2,1/(E101:K101&gt;0),COLUMN(E101:K101)-COLUMN(E101)+1)+1),""))</f>
        <v/>
      </c>
    </row>
    <row r="102" spans="1:14" x14ac:dyDescent="0.4">
      <c r="A102" t="s">
        <v>4624</v>
      </c>
      <c r="B102" t="s">
        <v>4625</v>
      </c>
      <c r="C102" t="s">
        <v>496</v>
      </c>
      <c r="D102" t="s">
        <v>2490</v>
      </c>
      <c r="E102" s="2">
        <v>8455</v>
      </c>
      <c r="F102" s="2">
        <v>4925</v>
      </c>
      <c r="G102" s="2">
        <v>6560</v>
      </c>
      <c r="H102" s="2">
        <v>6615</v>
      </c>
      <c r="I102" s="2">
        <v>10865</v>
      </c>
      <c r="J102" s="2">
        <v>7980</v>
      </c>
      <c r="K102" s="2">
        <v>3840</v>
      </c>
      <c r="L102" s="2">
        <v>49240</v>
      </c>
      <c r="M102" t="str" cm="1">
        <f t="array" ref="M102">_xlfn.LET(_xlpm.sales,E102:K102,_xlpm.firstsale,IFERROR(_xlfn.XMATCH(TRUE,_xlpm.sales&gt;0),0),IF(_xlpm.firstsale&gt;1,"ลูกค้าใหม่เดือน "&amp;INDEX($E$1:$K$1,1,_xlpm.firstsale),""))</f>
        <v/>
      </c>
      <c r="N102" t="str" cm="1">
        <f t="array" ref="N102">IF(K102&gt;0,"",IFERROR("หายเดือน "&amp;INDEX($E$1:$K$1,1,LOOKUP(2,1/(E102:K102&gt;0),COLUMN(E102:K102)-COLUMN(E102)+1)+1),""))</f>
        <v/>
      </c>
    </row>
    <row r="103" spans="1:14" x14ac:dyDescent="0.4">
      <c r="A103" t="s">
        <v>4626</v>
      </c>
      <c r="B103" t="s">
        <v>4627</v>
      </c>
      <c r="C103" t="s">
        <v>258</v>
      </c>
      <c r="D103" t="s">
        <v>4628</v>
      </c>
      <c r="E103" s="2">
        <v>2250</v>
      </c>
      <c r="F103" s="2">
        <v>4500</v>
      </c>
      <c r="G103" s="2">
        <v>3000</v>
      </c>
      <c r="H103" s="2">
        <v>5250</v>
      </c>
      <c r="I103" s="2">
        <v>4500</v>
      </c>
      <c r="J103" s="2">
        <v>5100</v>
      </c>
      <c r="K103" s="2">
        <v>2250</v>
      </c>
      <c r="L103" s="2">
        <v>26850</v>
      </c>
      <c r="M103" t="str" cm="1">
        <f t="array" ref="M103">_xlfn.LET(_xlpm.sales,E103:K103,_xlpm.firstsale,IFERROR(_xlfn.XMATCH(TRUE,_xlpm.sales&gt;0),0),IF(_xlpm.firstsale&gt;1,"ลูกค้าใหม่เดือน "&amp;INDEX($E$1:$K$1,1,_xlpm.firstsale),""))</f>
        <v/>
      </c>
      <c r="N103" t="str" cm="1">
        <f t="array" ref="N103">IF(K103&gt;0,"",IFERROR("หายเดือน "&amp;INDEX($E$1:$K$1,1,LOOKUP(2,1/(E103:K103&gt;0),COLUMN(E103:K103)-COLUMN(E103)+1)+1),""))</f>
        <v/>
      </c>
    </row>
    <row r="104" spans="1:14" x14ac:dyDescent="0.4">
      <c r="A104" t="s">
        <v>4629</v>
      </c>
      <c r="B104" t="s">
        <v>4630</v>
      </c>
      <c r="C104" t="s">
        <v>258</v>
      </c>
      <c r="D104" t="s">
        <v>259</v>
      </c>
      <c r="E104" s="2">
        <v>71550</v>
      </c>
      <c r="F104" s="2">
        <v>45200</v>
      </c>
      <c r="G104" s="2">
        <v>84150</v>
      </c>
      <c r="H104" s="2">
        <v>107000</v>
      </c>
      <c r="I104" s="2">
        <v>60200</v>
      </c>
      <c r="J104" s="2">
        <v>51350</v>
      </c>
      <c r="K104" s="2">
        <v>19500</v>
      </c>
      <c r="L104" s="2">
        <v>438950</v>
      </c>
      <c r="M104" t="str" cm="1">
        <f t="array" ref="M104">_xlfn.LET(_xlpm.sales,E104:K104,_xlpm.firstsale,IFERROR(_xlfn.XMATCH(TRUE,_xlpm.sales&gt;0),0),IF(_xlpm.firstsale&gt;1,"ลูกค้าใหม่เดือน "&amp;INDEX($E$1:$K$1,1,_xlpm.firstsale),""))</f>
        <v/>
      </c>
      <c r="N104" t="str" cm="1">
        <f t="array" ref="N104">IF(K104&gt;0,"",IFERROR("หายเดือน "&amp;INDEX($E$1:$K$1,1,LOOKUP(2,1/(E104:K104&gt;0),COLUMN(E104:K104)-COLUMN(E104)+1)+1),""))</f>
        <v/>
      </c>
    </row>
    <row r="105" spans="1:14" x14ac:dyDescent="0.4">
      <c r="A105" t="s">
        <v>4631</v>
      </c>
      <c r="B105" t="s">
        <v>4632</v>
      </c>
      <c r="C105" t="s">
        <v>39</v>
      </c>
      <c r="D105" t="s">
        <v>40</v>
      </c>
      <c r="E105" s="2">
        <v>12000</v>
      </c>
      <c r="F105" s="2">
        <v>16000</v>
      </c>
      <c r="G105" s="2">
        <v>20000</v>
      </c>
      <c r="H105" s="2">
        <v>21600</v>
      </c>
      <c r="I105" s="2">
        <v>12000</v>
      </c>
      <c r="J105" s="2">
        <v>11200</v>
      </c>
      <c r="K105" s="2">
        <v>4000</v>
      </c>
      <c r="L105" s="2">
        <v>96800</v>
      </c>
      <c r="M105" t="str" cm="1">
        <f t="array" ref="M105">_xlfn.LET(_xlpm.sales,E105:K105,_xlpm.firstsale,IFERROR(_xlfn.XMATCH(TRUE,_xlpm.sales&gt;0),0),IF(_xlpm.firstsale&gt;1,"ลูกค้าใหม่เดือน "&amp;INDEX($E$1:$K$1,1,_xlpm.firstsale),""))</f>
        <v/>
      </c>
      <c r="N105" t="str" cm="1">
        <f t="array" ref="N105">IF(K105&gt;0,"",IFERROR("หายเดือน "&amp;INDEX($E$1:$K$1,1,LOOKUP(2,1/(E105:K105&gt;0),COLUMN(E105:K105)-COLUMN(E105)+1)+1),""))</f>
        <v/>
      </c>
    </row>
    <row r="106" spans="1:14" x14ac:dyDescent="0.4">
      <c r="A106" t="s">
        <v>4633</v>
      </c>
      <c r="B106" t="s">
        <v>4634</v>
      </c>
      <c r="C106" t="s">
        <v>496</v>
      </c>
      <c r="D106" t="s">
        <v>497</v>
      </c>
      <c r="E106" s="2">
        <v>47400</v>
      </c>
      <c r="F106" s="2">
        <v>6800</v>
      </c>
      <c r="G106" s="2">
        <v>6500</v>
      </c>
      <c r="H106" s="2">
        <v>7200</v>
      </c>
      <c r="I106" s="2">
        <v>9100</v>
      </c>
      <c r="L106" s="2">
        <v>77000</v>
      </c>
      <c r="M106" t="str" cm="1">
        <f t="array" ref="M106">_xlfn.LET(_xlpm.sales,E106:K106,_xlpm.firstsale,IFERROR(_xlfn.XMATCH(TRUE,_xlpm.sales&gt;0),0),IF(_xlpm.firstsale&gt;1,"ลูกค้าใหม่เดือน "&amp;INDEX($E$1:$K$1,1,_xlpm.firstsale),""))</f>
        <v/>
      </c>
      <c r="N106" t="str" cm="1">
        <f t="array" ref="N106">IF(K106&gt;0,"",IFERROR("หายเดือน "&amp;INDEX($E$1:$K$1,1,LOOKUP(2,1/(E106:K106&gt;0),COLUMN(E106:K106)-COLUMN(E106)+1)+1),""))</f>
        <v>หายเดือน 6</v>
      </c>
    </row>
    <row r="107" spans="1:14" x14ac:dyDescent="0.4">
      <c r="A107" t="s">
        <v>4635</v>
      </c>
      <c r="B107" t="s">
        <v>4636</v>
      </c>
      <c r="C107" t="s">
        <v>227</v>
      </c>
      <c r="D107" t="s">
        <v>228</v>
      </c>
      <c r="E107" s="2">
        <v>32000</v>
      </c>
      <c r="F107" s="2">
        <v>22400</v>
      </c>
      <c r="G107" s="2">
        <v>14400</v>
      </c>
      <c r="H107" s="2">
        <v>29600</v>
      </c>
      <c r="I107" s="2">
        <v>32800</v>
      </c>
      <c r="J107" s="2">
        <v>12000</v>
      </c>
      <c r="K107" s="2">
        <v>9600</v>
      </c>
      <c r="L107" s="2">
        <v>152800</v>
      </c>
      <c r="M107" t="str" cm="1">
        <f t="array" ref="M107">_xlfn.LET(_xlpm.sales,E107:K107,_xlpm.firstsale,IFERROR(_xlfn.XMATCH(TRUE,_xlpm.sales&gt;0),0),IF(_xlpm.firstsale&gt;1,"ลูกค้าใหม่เดือน "&amp;INDEX($E$1:$K$1,1,_xlpm.firstsale),""))</f>
        <v/>
      </c>
      <c r="N107" t="str" cm="1">
        <f t="array" ref="N107">IF(K107&gt;0,"",IFERROR("หายเดือน "&amp;INDEX($E$1:$K$1,1,LOOKUP(2,1/(E107:K107&gt;0),COLUMN(E107:K107)-COLUMN(E107)+1)+1),""))</f>
        <v/>
      </c>
    </row>
    <row r="108" spans="1:14" x14ac:dyDescent="0.4">
      <c r="A108" t="s">
        <v>4637</v>
      </c>
      <c r="B108" t="s">
        <v>4638</v>
      </c>
      <c r="C108" t="s">
        <v>258</v>
      </c>
      <c r="D108" t="s">
        <v>259</v>
      </c>
      <c r="F108" s="2">
        <v>1600</v>
      </c>
      <c r="H108" s="2">
        <v>1000</v>
      </c>
      <c r="L108" s="2">
        <v>2600</v>
      </c>
      <c r="M108" t="str" cm="1">
        <f t="array" ref="M108">_xlfn.LET(_xlpm.sales,E108:K108,_xlpm.firstsale,IFERROR(_xlfn.XMATCH(TRUE,_xlpm.sales&gt;0),0),IF(_xlpm.firstsale&gt;1,"ลูกค้าใหม่เดือน "&amp;INDEX($E$1:$K$1,1,_xlpm.firstsale),""))</f>
        <v>ลูกค้าใหม่เดือน 2</v>
      </c>
      <c r="N108" t="str" cm="1">
        <f t="array" ref="N108">IF(K108&gt;0,"",IFERROR("หายเดือน "&amp;INDEX($E$1:$K$1,1,LOOKUP(2,1/(E108:K108&gt;0),COLUMN(E108:K108)-COLUMN(E108)+1)+1),""))</f>
        <v>หายเดือน 5</v>
      </c>
    </row>
    <row r="109" spans="1:14" x14ac:dyDescent="0.4">
      <c r="A109" t="s">
        <v>4639</v>
      </c>
      <c r="B109" t="s">
        <v>4640</v>
      </c>
      <c r="C109" t="s">
        <v>437</v>
      </c>
      <c r="D109" t="s">
        <v>552</v>
      </c>
      <c r="E109" s="2">
        <v>2800</v>
      </c>
      <c r="F109" s="2">
        <v>4400</v>
      </c>
      <c r="G109" s="2">
        <v>1600</v>
      </c>
      <c r="H109" s="2">
        <v>3200</v>
      </c>
      <c r="I109" s="2">
        <v>3200</v>
      </c>
      <c r="J109" s="2">
        <v>1600</v>
      </c>
      <c r="K109" s="2">
        <v>1200</v>
      </c>
      <c r="L109" s="2">
        <v>18000</v>
      </c>
      <c r="M109" t="str" cm="1">
        <f t="array" ref="M109">_xlfn.LET(_xlpm.sales,E109:K109,_xlpm.firstsale,IFERROR(_xlfn.XMATCH(TRUE,_xlpm.sales&gt;0),0),IF(_xlpm.firstsale&gt;1,"ลูกค้าใหม่เดือน "&amp;INDEX($E$1:$K$1,1,_xlpm.firstsale),""))</f>
        <v/>
      </c>
      <c r="N109" t="str" cm="1">
        <f t="array" ref="N109">IF(K109&gt;0,"",IFERROR("หายเดือน "&amp;INDEX($E$1:$K$1,1,LOOKUP(2,1/(E109:K109&gt;0),COLUMN(E109:K109)-COLUMN(E109)+1)+1),""))</f>
        <v/>
      </c>
    </row>
    <row r="110" spans="1:14" x14ac:dyDescent="0.4">
      <c r="A110" t="s">
        <v>4641</v>
      </c>
      <c r="B110" t="s">
        <v>4642</v>
      </c>
      <c r="C110" t="s">
        <v>52</v>
      </c>
      <c r="D110" t="s">
        <v>150</v>
      </c>
      <c r="E110" s="2">
        <v>35100</v>
      </c>
      <c r="F110" s="2">
        <v>29850</v>
      </c>
      <c r="G110" s="2">
        <v>19900</v>
      </c>
      <c r="H110" s="2">
        <v>30100</v>
      </c>
      <c r="I110" s="2">
        <v>19600</v>
      </c>
      <c r="J110" s="2">
        <v>13300</v>
      </c>
      <c r="K110" s="2">
        <v>6300</v>
      </c>
      <c r="L110" s="2">
        <v>154150</v>
      </c>
      <c r="M110" t="str" cm="1">
        <f t="array" ref="M110">_xlfn.LET(_xlpm.sales,E110:K110,_xlpm.firstsale,IFERROR(_xlfn.XMATCH(TRUE,_xlpm.sales&gt;0),0),IF(_xlpm.firstsale&gt;1,"ลูกค้าใหม่เดือน "&amp;INDEX($E$1:$K$1,1,_xlpm.firstsale),""))</f>
        <v/>
      </c>
      <c r="N110" t="str" cm="1">
        <f t="array" ref="N110">IF(K110&gt;0,"",IFERROR("หายเดือน "&amp;INDEX($E$1:$K$1,1,LOOKUP(2,1/(E110:K110&gt;0),COLUMN(E110:K110)-COLUMN(E110)+1)+1),""))</f>
        <v/>
      </c>
    </row>
    <row r="111" spans="1:14" x14ac:dyDescent="0.4">
      <c r="A111" t="s">
        <v>4643</v>
      </c>
      <c r="B111" t="s">
        <v>4644</v>
      </c>
      <c r="C111" t="s">
        <v>437</v>
      </c>
      <c r="D111" t="s">
        <v>552</v>
      </c>
      <c r="E111" s="2">
        <v>3200</v>
      </c>
      <c r="F111" s="2">
        <v>4000</v>
      </c>
      <c r="G111" s="2">
        <v>1600</v>
      </c>
      <c r="H111" s="2">
        <v>5600</v>
      </c>
      <c r="I111" s="2">
        <v>3200</v>
      </c>
      <c r="J111" s="2">
        <v>8000</v>
      </c>
      <c r="K111" s="2">
        <v>4800</v>
      </c>
      <c r="L111" s="2">
        <v>30400</v>
      </c>
      <c r="M111" t="str" cm="1">
        <f t="array" ref="M111">_xlfn.LET(_xlpm.sales,E111:K111,_xlpm.firstsale,IFERROR(_xlfn.XMATCH(TRUE,_xlpm.sales&gt;0),0),IF(_xlpm.firstsale&gt;1,"ลูกค้าใหม่เดือน "&amp;INDEX($E$1:$K$1,1,_xlpm.firstsale),""))</f>
        <v/>
      </c>
      <c r="N111" t="str" cm="1">
        <f t="array" ref="N111">IF(K111&gt;0,"",IFERROR("หายเดือน "&amp;INDEX($E$1:$K$1,1,LOOKUP(2,1/(E111:K111&gt;0),COLUMN(E111:K111)-COLUMN(E111)+1)+1),""))</f>
        <v/>
      </c>
    </row>
    <row r="112" spans="1:14" x14ac:dyDescent="0.4">
      <c r="A112" t="s">
        <v>4645</v>
      </c>
      <c r="B112" t="s">
        <v>4646</v>
      </c>
      <c r="C112" t="s">
        <v>258</v>
      </c>
      <c r="D112" t="s">
        <v>4628</v>
      </c>
      <c r="E112" s="2">
        <v>8000</v>
      </c>
      <c r="F112" s="2">
        <v>8000</v>
      </c>
      <c r="G112" s="2">
        <v>11200</v>
      </c>
      <c r="H112" s="2">
        <v>19200</v>
      </c>
      <c r="I112" s="2">
        <v>8800</v>
      </c>
      <c r="J112" s="2">
        <v>10400</v>
      </c>
      <c r="K112" s="2">
        <v>3200</v>
      </c>
      <c r="L112" s="2">
        <v>68800</v>
      </c>
      <c r="M112" t="str" cm="1">
        <f t="array" ref="M112">_xlfn.LET(_xlpm.sales,E112:K112,_xlpm.firstsale,IFERROR(_xlfn.XMATCH(TRUE,_xlpm.sales&gt;0),0),IF(_xlpm.firstsale&gt;1,"ลูกค้าใหม่เดือน "&amp;INDEX($E$1:$K$1,1,_xlpm.firstsale),""))</f>
        <v/>
      </c>
      <c r="N112" t="str" cm="1">
        <f t="array" ref="N112">IF(K112&gt;0,"",IFERROR("หายเดือน "&amp;INDEX($E$1:$K$1,1,LOOKUP(2,1/(E112:K112&gt;0),COLUMN(E112:K112)-COLUMN(E112)+1)+1),""))</f>
        <v/>
      </c>
    </row>
    <row r="113" spans="1:14" x14ac:dyDescent="0.4">
      <c r="A113" t="s">
        <v>4647</v>
      </c>
      <c r="B113" t="s">
        <v>4648</v>
      </c>
      <c r="C113" t="s">
        <v>350</v>
      </c>
      <c r="D113" t="s">
        <v>351</v>
      </c>
      <c r="E113" s="2">
        <v>13800</v>
      </c>
      <c r="F113" s="2">
        <v>12200</v>
      </c>
      <c r="G113" s="2">
        <v>9400</v>
      </c>
      <c r="H113" s="2">
        <v>8475</v>
      </c>
      <c r="I113" s="2">
        <v>5200</v>
      </c>
      <c r="L113" s="2">
        <v>49075</v>
      </c>
      <c r="M113" t="str" cm="1">
        <f t="array" ref="M113">_xlfn.LET(_xlpm.sales,E113:K113,_xlpm.firstsale,IFERROR(_xlfn.XMATCH(TRUE,_xlpm.sales&gt;0),0),IF(_xlpm.firstsale&gt;1,"ลูกค้าใหม่เดือน "&amp;INDEX($E$1:$K$1,1,_xlpm.firstsale),""))</f>
        <v/>
      </c>
      <c r="N113" t="str" cm="1">
        <f t="array" ref="N113">IF(K113&gt;0,"",IFERROR("หายเดือน "&amp;INDEX($E$1:$K$1,1,LOOKUP(2,1/(E113:K113&gt;0),COLUMN(E113:K113)-COLUMN(E113)+1)+1),""))</f>
        <v>หายเดือน 6</v>
      </c>
    </row>
    <row r="114" spans="1:14" x14ac:dyDescent="0.4">
      <c r="A114" t="s">
        <v>4649</v>
      </c>
      <c r="B114" t="s">
        <v>4650</v>
      </c>
      <c r="C114" t="s">
        <v>186</v>
      </c>
      <c r="D114" t="s">
        <v>187</v>
      </c>
      <c r="E114" s="2">
        <v>15600</v>
      </c>
      <c r="F114" s="2">
        <v>9950</v>
      </c>
      <c r="G114" s="2">
        <v>13650</v>
      </c>
      <c r="H114" s="2">
        <v>20115</v>
      </c>
      <c r="I114" s="2">
        <v>16050</v>
      </c>
      <c r="J114" s="2">
        <v>12200</v>
      </c>
      <c r="K114" s="2">
        <v>6100</v>
      </c>
      <c r="L114" s="2">
        <v>93665</v>
      </c>
      <c r="M114" t="str" cm="1">
        <f t="array" ref="M114">_xlfn.LET(_xlpm.sales,E114:K114,_xlpm.firstsale,IFERROR(_xlfn.XMATCH(TRUE,_xlpm.sales&gt;0),0),IF(_xlpm.firstsale&gt;1,"ลูกค้าใหม่เดือน "&amp;INDEX($E$1:$K$1,1,_xlpm.firstsale),""))</f>
        <v/>
      </c>
      <c r="N114" t="str" cm="1">
        <f t="array" ref="N114">IF(K114&gt;0,"",IFERROR("หายเดือน "&amp;INDEX($E$1:$K$1,1,LOOKUP(2,1/(E114:K114&gt;0),COLUMN(E114:K114)-COLUMN(E114)+1)+1),""))</f>
        <v/>
      </c>
    </row>
    <row r="115" spans="1:14" x14ac:dyDescent="0.4">
      <c r="A115" t="s">
        <v>4651</v>
      </c>
      <c r="B115" t="s">
        <v>4652</v>
      </c>
      <c r="C115" t="s">
        <v>291</v>
      </c>
      <c r="D115" t="s">
        <v>1649</v>
      </c>
      <c r="E115" s="2">
        <v>38400</v>
      </c>
      <c r="F115" s="2">
        <v>33050</v>
      </c>
      <c r="G115" s="2">
        <v>29200</v>
      </c>
      <c r="H115" s="2">
        <v>43805</v>
      </c>
      <c r="I115" s="2">
        <v>28850</v>
      </c>
      <c r="J115" s="2">
        <v>23025</v>
      </c>
      <c r="K115" s="2">
        <v>19800</v>
      </c>
      <c r="L115" s="2">
        <v>216130</v>
      </c>
      <c r="M115" t="str" cm="1">
        <f t="array" ref="M115">_xlfn.LET(_xlpm.sales,E115:K115,_xlpm.firstsale,IFERROR(_xlfn.XMATCH(TRUE,_xlpm.sales&gt;0),0),IF(_xlpm.firstsale&gt;1,"ลูกค้าใหม่เดือน "&amp;INDEX($E$1:$K$1,1,_xlpm.firstsale),""))</f>
        <v/>
      </c>
      <c r="N115" t="str" cm="1">
        <f t="array" ref="N115">IF(K115&gt;0,"",IFERROR("หายเดือน "&amp;INDEX($E$1:$K$1,1,LOOKUP(2,1/(E115:K115&gt;0),COLUMN(E115:K115)-COLUMN(E115)+1)+1),""))</f>
        <v/>
      </c>
    </row>
    <row r="116" spans="1:14" x14ac:dyDescent="0.4">
      <c r="A116" t="s">
        <v>4653</v>
      </c>
      <c r="B116" t="s">
        <v>4654</v>
      </c>
      <c r="C116" t="s">
        <v>602</v>
      </c>
      <c r="D116" t="s">
        <v>1638</v>
      </c>
      <c r="E116" s="2">
        <v>51470</v>
      </c>
      <c r="F116" s="2">
        <v>11710</v>
      </c>
      <c r="G116" s="2">
        <v>34080</v>
      </c>
      <c r="H116" s="2">
        <v>29580</v>
      </c>
      <c r="I116" s="2">
        <v>18470</v>
      </c>
      <c r="J116" s="2">
        <v>10660</v>
      </c>
      <c r="K116" s="2">
        <v>10660</v>
      </c>
      <c r="L116" s="2">
        <v>166630</v>
      </c>
      <c r="M116" t="str" cm="1">
        <f t="array" ref="M116">_xlfn.LET(_xlpm.sales,E116:K116,_xlpm.firstsale,IFERROR(_xlfn.XMATCH(TRUE,_xlpm.sales&gt;0),0),IF(_xlpm.firstsale&gt;1,"ลูกค้าใหม่เดือน "&amp;INDEX($E$1:$K$1,1,_xlpm.firstsale),""))</f>
        <v/>
      </c>
      <c r="N116" t="str" cm="1">
        <f t="array" ref="N116">IF(K116&gt;0,"",IFERROR("หายเดือน "&amp;INDEX($E$1:$K$1,1,LOOKUP(2,1/(E116:K116&gt;0),COLUMN(E116:K116)-COLUMN(E116)+1)+1),""))</f>
        <v/>
      </c>
    </row>
    <row r="117" spans="1:14" x14ac:dyDescent="0.4">
      <c r="A117" t="s">
        <v>4655</v>
      </c>
      <c r="B117" t="s">
        <v>4656</v>
      </c>
      <c r="C117" t="s">
        <v>291</v>
      </c>
      <c r="D117" t="s">
        <v>295</v>
      </c>
      <c r="E117" s="2">
        <v>52020</v>
      </c>
      <c r="F117" s="2">
        <v>37520</v>
      </c>
      <c r="G117" s="2">
        <v>42440</v>
      </c>
      <c r="H117" s="2">
        <v>38560</v>
      </c>
      <c r="I117" s="2">
        <v>36820</v>
      </c>
      <c r="J117" s="2">
        <v>43805</v>
      </c>
      <c r="K117" s="2">
        <v>20735</v>
      </c>
      <c r="L117" s="2">
        <v>271900</v>
      </c>
      <c r="M117" t="str" cm="1">
        <f t="array" ref="M117">_xlfn.LET(_xlpm.sales,E117:K117,_xlpm.firstsale,IFERROR(_xlfn.XMATCH(TRUE,_xlpm.sales&gt;0),0),IF(_xlpm.firstsale&gt;1,"ลูกค้าใหม่เดือน "&amp;INDEX($E$1:$K$1,1,_xlpm.firstsale),""))</f>
        <v/>
      </c>
      <c r="N117" t="str" cm="1">
        <f t="array" ref="N117">IF(K117&gt;0,"",IFERROR("หายเดือน "&amp;INDEX($E$1:$K$1,1,LOOKUP(2,1/(E117:K117&gt;0),COLUMN(E117:K117)-COLUMN(E117)+1)+1),""))</f>
        <v/>
      </c>
    </row>
    <row r="118" spans="1:14" x14ac:dyDescent="0.4">
      <c r="A118" t="s">
        <v>4657</v>
      </c>
      <c r="B118" t="s">
        <v>4658</v>
      </c>
      <c r="C118" t="s">
        <v>291</v>
      </c>
      <c r="D118" t="s">
        <v>295</v>
      </c>
      <c r="E118" s="2">
        <v>16160</v>
      </c>
      <c r="F118" s="2">
        <v>11220</v>
      </c>
      <c r="G118" s="2">
        <v>13110</v>
      </c>
      <c r="L118" s="2">
        <v>40490</v>
      </c>
      <c r="M118" t="str" cm="1">
        <f t="array" ref="M118">_xlfn.LET(_xlpm.sales,E118:K118,_xlpm.firstsale,IFERROR(_xlfn.XMATCH(TRUE,_xlpm.sales&gt;0),0),IF(_xlpm.firstsale&gt;1,"ลูกค้าใหม่เดือน "&amp;INDEX($E$1:$K$1,1,_xlpm.firstsale),""))</f>
        <v/>
      </c>
      <c r="N118" t="str" cm="1">
        <f t="array" ref="N118">IF(K118&gt;0,"",IFERROR("หายเดือน "&amp;INDEX($E$1:$K$1,1,LOOKUP(2,1/(E118:K118&gt;0),COLUMN(E118:K118)-COLUMN(E118)+1)+1),""))</f>
        <v>หายเดือน 4</v>
      </c>
    </row>
    <row r="119" spans="1:14" x14ac:dyDescent="0.4">
      <c r="A119" t="s">
        <v>4659</v>
      </c>
      <c r="B119" t="s">
        <v>4660</v>
      </c>
      <c r="C119" t="s">
        <v>602</v>
      </c>
      <c r="D119" t="s">
        <v>1638</v>
      </c>
      <c r="E119" s="2">
        <v>6835</v>
      </c>
      <c r="F119" s="2">
        <v>4010</v>
      </c>
      <c r="G119" s="2">
        <v>5650</v>
      </c>
      <c r="H119" s="2">
        <v>8045</v>
      </c>
      <c r="I119" s="2">
        <v>1740</v>
      </c>
      <c r="J119" s="2">
        <v>2460</v>
      </c>
      <c r="K119" s="2">
        <v>1330</v>
      </c>
      <c r="L119" s="2">
        <v>30070</v>
      </c>
      <c r="M119" t="str" cm="1">
        <f t="array" ref="M119">_xlfn.LET(_xlpm.sales,E119:K119,_xlpm.firstsale,IFERROR(_xlfn.XMATCH(TRUE,_xlpm.sales&gt;0),0),IF(_xlpm.firstsale&gt;1,"ลูกค้าใหม่เดือน "&amp;INDEX($E$1:$K$1,1,_xlpm.firstsale),""))</f>
        <v/>
      </c>
      <c r="N119" t="str" cm="1">
        <f t="array" ref="N119">IF(K119&gt;0,"",IFERROR("หายเดือน "&amp;INDEX($E$1:$K$1,1,LOOKUP(2,1/(E119:K119&gt;0),COLUMN(E119:K119)-COLUMN(E119)+1)+1),""))</f>
        <v/>
      </c>
    </row>
    <row r="120" spans="1:14" x14ac:dyDescent="0.4">
      <c r="A120" t="s">
        <v>4661</v>
      </c>
      <c r="B120" t="s">
        <v>4662</v>
      </c>
      <c r="C120" t="s">
        <v>602</v>
      </c>
      <c r="D120" t="s">
        <v>1638</v>
      </c>
      <c r="E120" s="2">
        <v>7560</v>
      </c>
      <c r="F120" s="2">
        <v>4975</v>
      </c>
      <c r="G120" s="2">
        <v>7120</v>
      </c>
      <c r="H120" s="2">
        <v>10195</v>
      </c>
      <c r="I120" s="2">
        <v>3505</v>
      </c>
      <c r="J120" s="2">
        <v>2560</v>
      </c>
      <c r="K120" s="2">
        <v>1750</v>
      </c>
      <c r="L120" s="2">
        <v>37665</v>
      </c>
      <c r="M120" t="str" cm="1">
        <f t="array" ref="M120">_xlfn.LET(_xlpm.sales,E120:K120,_xlpm.firstsale,IFERROR(_xlfn.XMATCH(TRUE,_xlpm.sales&gt;0),0),IF(_xlpm.firstsale&gt;1,"ลูกค้าใหม่เดือน "&amp;INDEX($E$1:$K$1,1,_xlpm.firstsale),""))</f>
        <v/>
      </c>
      <c r="N120" t="str" cm="1">
        <f t="array" ref="N120">IF(K120&gt;0,"",IFERROR("หายเดือน "&amp;INDEX($E$1:$K$1,1,LOOKUP(2,1/(E120:K120&gt;0),COLUMN(E120:K120)-COLUMN(E120)+1)+1),""))</f>
        <v/>
      </c>
    </row>
    <row r="121" spans="1:14" x14ac:dyDescent="0.4">
      <c r="A121" t="s">
        <v>4663</v>
      </c>
      <c r="B121" t="s">
        <v>4664</v>
      </c>
      <c r="C121" t="s">
        <v>602</v>
      </c>
      <c r="D121" t="s">
        <v>1638</v>
      </c>
      <c r="E121" s="2">
        <v>2405</v>
      </c>
      <c r="F121" s="2">
        <v>2285</v>
      </c>
      <c r="G121" s="2">
        <v>1160</v>
      </c>
      <c r="H121" s="2">
        <v>2975</v>
      </c>
      <c r="I121" s="2">
        <v>894</v>
      </c>
      <c r="J121" s="2">
        <v>1530</v>
      </c>
      <c r="K121" s="2">
        <v>620</v>
      </c>
      <c r="L121" s="2">
        <v>11869</v>
      </c>
      <c r="M121" t="str" cm="1">
        <f t="array" ref="M121">_xlfn.LET(_xlpm.sales,E121:K121,_xlpm.firstsale,IFERROR(_xlfn.XMATCH(TRUE,_xlpm.sales&gt;0),0),IF(_xlpm.firstsale&gt;1,"ลูกค้าใหม่เดือน "&amp;INDEX($E$1:$K$1,1,_xlpm.firstsale),""))</f>
        <v/>
      </c>
      <c r="N121" t="str" cm="1">
        <f t="array" ref="N121">IF(K121&gt;0,"",IFERROR("หายเดือน "&amp;INDEX($E$1:$K$1,1,LOOKUP(2,1/(E121:K121&gt;0),COLUMN(E121:K121)-COLUMN(E121)+1)+1),""))</f>
        <v/>
      </c>
    </row>
    <row r="122" spans="1:14" x14ac:dyDescent="0.4">
      <c r="A122" t="s">
        <v>4665</v>
      </c>
      <c r="B122" t="s">
        <v>4666</v>
      </c>
      <c r="C122" t="s">
        <v>2319</v>
      </c>
      <c r="D122" t="s">
        <v>4554</v>
      </c>
      <c r="E122" s="2">
        <v>6100</v>
      </c>
      <c r="F122" s="2">
        <v>4500</v>
      </c>
      <c r="G122" s="2">
        <v>2900</v>
      </c>
      <c r="H122" s="2">
        <v>4500</v>
      </c>
      <c r="I122" s="2">
        <v>6750</v>
      </c>
      <c r="J122" s="2">
        <v>2900</v>
      </c>
      <c r="K122" s="2">
        <v>3050</v>
      </c>
      <c r="L122" s="2">
        <v>30700</v>
      </c>
      <c r="M122" t="str" cm="1">
        <f t="array" ref="M122">_xlfn.LET(_xlpm.sales,E122:K122,_xlpm.firstsale,IFERROR(_xlfn.XMATCH(TRUE,_xlpm.sales&gt;0),0),IF(_xlpm.firstsale&gt;1,"ลูกค้าใหม่เดือน "&amp;INDEX($E$1:$K$1,1,_xlpm.firstsale),""))</f>
        <v/>
      </c>
      <c r="N122" t="str" cm="1">
        <f t="array" ref="N122">IF(K122&gt;0,"",IFERROR("หายเดือน "&amp;INDEX($E$1:$K$1,1,LOOKUP(2,1/(E122:K122&gt;0),COLUMN(E122:K122)-COLUMN(E122)+1)+1),""))</f>
        <v/>
      </c>
    </row>
    <row r="123" spans="1:14" x14ac:dyDescent="0.4">
      <c r="A123" t="s">
        <v>4667</v>
      </c>
      <c r="B123" t="s">
        <v>4668</v>
      </c>
      <c r="C123" t="s">
        <v>602</v>
      </c>
      <c r="D123" t="s">
        <v>1638</v>
      </c>
      <c r="E123" s="2">
        <v>1500</v>
      </c>
      <c r="F123" s="2">
        <v>1480</v>
      </c>
      <c r="G123" s="2">
        <v>1305</v>
      </c>
      <c r="H123" s="2">
        <v>1385</v>
      </c>
      <c r="I123" s="2">
        <v>960</v>
      </c>
      <c r="J123" s="2">
        <v>1060</v>
      </c>
      <c r="K123" s="2">
        <v>360</v>
      </c>
      <c r="L123" s="2">
        <v>8050</v>
      </c>
      <c r="M123" t="str" cm="1">
        <f t="array" ref="M123">_xlfn.LET(_xlpm.sales,E123:K123,_xlpm.firstsale,IFERROR(_xlfn.XMATCH(TRUE,_xlpm.sales&gt;0),0),IF(_xlpm.firstsale&gt;1,"ลูกค้าใหม่เดือน "&amp;INDEX($E$1:$K$1,1,_xlpm.firstsale),""))</f>
        <v/>
      </c>
      <c r="N123" t="str" cm="1">
        <f t="array" ref="N123">IF(K123&gt;0,"",IFERROR("หายเดือน "&amp;INDEX($E$1:$K$1,1,LOOKUP(2,1/(E123:K123&gt;0),COLUMN(E123:K123)-COLUMN(E123)+1)+1),""))</f>
        <v/>
      </c>
    </row>
    <row r="124" spans="1:14" x14ac:dyDescent="0.4">
      <c r="A124" t="s">
        <v>4669</v>
      </c>
      <c r="B124" t="s">
        <v>4670</v>
      </c>
      <c r="C124" t="s">
        <v>602</v>
      </c>
      <c r="D124" t="s">
        <v>1638</v>
      </c>
      <c r="E124" s="2">
        <v>680</v>
      </c>
      <c r="F124" s="2">
        <v>160</v>
      </c>
      <c r="G124" s="2">
        <v>680</v>
      </c>
      <c r="H124" s="2">
        <v>400</v>
      </c>
      <c r="I124" s="2">
        <v>240</v>
      </c>
      <c r="J124" s="2">
        <v>560</v>
      </c>
      <c r="K124" s="2">
        <v>240</v>
      </c>
      <c r="L124" s="2">
        <v>2960</v>
      </c>
      <c r="M124" t="str" cm="1">
        <f t="array" ref="M124">_xlfn.LET(_xlpm.sales,E124:K124,_xlpm.firstsale,IFERROR(_xlfn.XMATCH(TRUE,_xlpm.sales&gt;0),0),IF(_xlpm.firstsale&gt;1,"ลูกค้าใหม่เดือน "&amp;INDEX($E$1:$K$1,1,_xlpm.firstsale),""))</f>
        <v/>
      </c>
      <c r="N124" t="str" cm="1">
        <f t="array" ref="N124">IF(K124&gt;0,"",IFERROR("หายเดือน "&amp;INDEX($E$1:$K$1,1,LOOKUP(2,1/(E124:K124&gt;0),COLUMN(E124:K124)-COLUMN(E124)+1)+1),""))</f>
        <v/>
      </c>
    </row>
    <row r="125" spans="1:14" x14ac:dyDescent="0.4">
      <c r="A125" t="s">
        <v>4671</v>
      </c>
      <c r="B125" t="s">
        <v>4672</v>
      </c>
      <c r="C125" t="s">
        <v>64</v>
      </c>
      <c r="D125" t="s">
        <v>74</v>
      </c>
      <c r="E125" s="2">
        <v>1200</v>
      </c>
      <c r="F125" s="2">
        <v>800</v>
      </c>
      <c r="G125" s="2">
        <v>800</v>
      </c>
      <c r="H125" s="2">
        <v>800</v>
      </c>
      <c r="I125" s="2">
        <v>400</v>
      </c>
      <c r="J125" s="2">
        <v>1200</v>
      </c>
      <c r="K125" s="2">
        <v>400</v>
      </c>
      <c r="L125" s="2">
        <v>5600</v>
      </c>
      <c r="M125" t="str" cm="1">
        <f t="array" ref="M125">_xlfn.LET(_xlpm.sales,E125:K125,_xlpm.firstsale,IFERROR(_xlfn.XMATCH(TRUE,_xlpm.sales&gt;0),0),IF(_xlpm.firstsale&gt;1,"ลูกค้าใหม่เดือน "&amp;INDEX($E$1:$K$1,1,_xlpm.firstsale),""))</f>
        <v/>
      </c>
      <c r="N125" t="str" cm="1">
        <f t="array" ref="N125">IF(K125&gt;0,"",IFERROR("หายเดือน "&amp;INDEX($E$1:$K$1,1,LOOKUP(2,1/(E125:K125&gt;0),COLUMN(E125:K125)-COLUMN(E125)+1)+1),""))</f>
        <v/>
      </c>
    </row>
    <row r="126" spans="1:14" x14ac:dyDescent="0.4">
      <c r="A126" t="s">
        <v>4673</v>
      </c>
      <c r="B126" t="s">
        <v>4674</v>
      </c>
      <c r="C126" t="s">
        <v>291</v>
      </c>
      <c r="D126" t="s">
        <v>292</v>
      </c>
      <c r="E126" s="2">
        <v>6735</v>
      </c>
      <c r="F126" s="2">
        <v>8030</v>
      </c>
      <c r="G126" s="2">
        <v>6145</v>
      </c>
      <c r="H126" s="2">
        <v>6495</v>
      </c>
      <c r="I126" s="2">
        <v>3665</v>
      </c>
      <c r="J126" s="2">
        <v>6675</v>
      </c>
      <c r="K126" s="2">
        <v>3295</v>
      </c>
      <c r="L126" s="2">
        <v>41040</v>
      </c>
      <c r="M126" t="str" cm="1">
        <f t="array" ref="M126">_xlfn.LET(_xlpm.sales,E126:K126,_xlpm.firstsale,IFERROR(_xlfn.XMATCH(TRUE,_xlpm.sales&gt;0),0),IF(_xlpm.firstsale&gt;1,"ลูกค้าใหม่เดือน "&amp;INDEX($E$1:$K$1,1,_xlpm.firstsale),""))</f>
        <v/>
      </c>
      <c r="N126" t="str" cm="1">
        <f t="array" ref="N126">IF(K126&gt;0,"",IFERROR("หายเดือน "&amp;INDEX($E$1:$K$1,1,LOOKUP(2,1/(E126:K126&gt;0),COLUMN(E126:K126)-COLUMN(E126)+1)+1),""))</f>
        <v/>
      </c>
    </row>
    <row r="127" spans="1:14" x14ac:dyDescent="0.4">
      <c r="A127" t="s">
        <v>4675</v>
      </c>
      <c r="B127" t="s">
        <v>4676</v>
      </c>
      <c r="C127" t="s">
        <v>64</v>
      </c>
      <c r="D127" t="s">
        <v>985</v>
      </c>
      <c r="J127" s="2">
        <v>1892.4</v>
      </c>
      <c r="L127" s="2">
        <v>1892.4</v>
      </c>
      <c r="M127" t="str" cm="1">
        <f t="array" ref="M127">_xlfn.LET(_xlpm.sales,E127:K127,_xlpm.firstsale,IFERROR(_xlfn.XMATCH(TRUE,_xlpm.sales&gt;0),0),IF(_xlpm.firstsale&gt;1,"ลูกค้าใหม่เดือน "&amp;INDEX($E$1:$K$1,1,_xlpm.firstsale),""))</f>
        <v>ลูกค้าใหม่เดือน 6</v>
      </c>
      <c r="N127" t="str" cm="1">
        <f t="array" ref="N127">IF(K127&gt;0,"",IFERROR("หายเดือน "&amp;INDEX($E$1:$K$1,1,LOOKUP(2,1/(E127:K127&gt;0),COLUMN(E127:K127)-COLUMN(E127)+1)+1),""))</f>
        <v>หายเดือน 7</v>
      </c>
    </row>
    <row r="128" spans="1:14" x14ac:dyDescent="0.4">
      <c r="A128" t="s">
        <v>4675</v>
      </c>
      <c r="B128" t="s">
        <v>4676</v>
      </c>
      <c r="C128" t="s">
        <v>103</v>
      </c>
      <c r="D128" t="s">
        <v>104</v>
      </c>
      <c r="K128" s="2">
        <v>2928.0600000000004</v>
      </c>
      <c r="L128" s="2">
        <v>2928.0600000000004</v>
      </c>
      <c r="M128" t="str" cm="1">
        <f t="array" ref="M128">_xlfn.LET(_xlpm.sales,E128:K128,_xlpm.firstsale,IFERROR(_xlfn.XMATCH(TRUE,_xlpm.sales&gt;0),0),IF(_xlpm.firstsale&gt;1,"ลูกค้าใหม่เดือน "&amp;INDEX($E$1:$K$1,1,_xlpm.firstsale),""))</f>
        <v>ลูกค้าใหม่เดือน 7</v>
      </c>
      <c r="N128" t="str" cm="1">
        <f t="array" ref="N128">IF(K128&gt;0,"",IFERROR("หายเดือน "&amp;INDEX($E$1:$K$1,1,LOOKUP(2,1/(E128:K128&gt;0),COLUMN(E128:K128)-COLUMN(E128)+1)+1),""))</f>
        <v/>
      </c>
    </row>
    <row r="129" spans="1:14" x14ac:dyDescent="0.4">
      <c r="A129" t="s">
        <v>4677</v>
      </c>
      <c r="B129" t="s">
        <v>4678</v>
      </c>
      <c r="C129" t="s">
        <v>103</v>
      </c>
      <c r="D129" t="s">
        <v>1767</v>
      </c>
      <c r="E129" s="2">
        <v>8035</v>
      </c>
      <c r="F129" s="2">
        <v>6460</v>
      </c>
      <c r="G129" s="2">
        <v>4840</v>
      </c>
      <c r="H129" s="2">
        <v>6355</v>
      </c>
      <c r="I129" s="2">
        <v>2880</v>
      </c>
      <c r="J129" s="2">
        <v>2520</v>
      </c>
      <c r="K129" s="2">
        <v>1560</v>
      </c>
      <c r="L129" s="2">
        <v>32650</v>
      </c>
      <c r="M129" t="str" cm="1">
        <f t="array" ref="M129">_xlfn.LET(_xlpm.sales,E129:K129,_xlpm.firstsale,IFERROR(_xlfn.XMATCH(TRUE,_xlpm.sales&gt;0),0),IF(_xlpm.firstsale&gt;1,"ลูกค้าใหม่เดือน "&amp;INDEX($E$1:$K$1,1,_xlpm.firstsale),""))</f>
        <v/>
      </c>
      <c r="N129" t="str" cm="1">
        <f t="array" ref="N129">IF(K129&gt;0,"",IFERROR("หายเดือน "&amp;INDEX($E$1:$K$1,1,LOOKUP(2,1/(E129:K129&gt;0),COLUMN(E129:K129)-COLUMN(E129)+1)+1),""))</f>
        <v/>
      </c>
    </row>
    <row r="130" spans="1:14" x14ac:dyDescent="0.4">
      <c r="A130" t="s">
        <v>4679</v>
      </c>
      <c r="B130" t="s">
        <v>4680</v>
      </c>
      <c r="C130" t="s">
        <v>220</v>
      </c>
      <c r="D130" t="s">
        <v>2302</v>
      </c>
      <c r="E130" s="2">
        <v>48525</v>
      </c>
      <c r="F130" s="2">
        <v>30700</v>
      </c>
      <c r="G130" s="2">
        <v>25900</v>
      </c>
      <c r="H130" s="2">
        <v>29500</v>
      </c>
      <c r="I130" s="2">
        <v>35850</v>
      </c>
      <c r="J130" s="2">
        <v>17700</v>
      </c>
      <c r="K130" s="2">
        <v>7600</v>
      </c>
      <c r="L130" s="2">
        <v>195775</v>
      </c>
      <c r="M130" t="str" cm="1">
        <f t="array" ref="M130">_xlfn.LET(_xlpm.sales,E130:K130,_xlpm.firstsale,IFERROR(_xlfn.XMATCH(TRUE,_xlpm.sales&gt;0),0),IF(_xlpm.firstsale&gt;1,"ลูกค้าใหม่เดือน "&amp;INDEX($E$1:$K$1,1,_xlpm.firstsale),""))</f>
        <v/>
      </c>
      <c r="N130" t="str" cm="1">
        <f t="array" ref="N130">IF(K130&gt;0,"",IFERROR("หายเดือน "&amp;INDEX($E$1:$K$1,1,LOOKUP(2,1/(E130:K130&gt;0),COLUMN(E130:K130)-COLUMN(E130)+1)+1),""))</f>
        <v/>
      </c>
    </row>
    <row r="131" spans="1:14" x14ac:dyDescent="0.4">
      <c r="A131" t="s">
        <v>4681</v>
      </c>
      <c r="B131" t="s">
        <v>4682</v>
      </c>
      <c r="C131" t="s">
        <v>251</v>
      </c>
      <c r="D131" t="s">
        <v>4683</v>
      </c>
      <c r="E131" s="2">
        <v>5600</v>
      </c>
      <c r="F131" s="2">
        <v>2100</v>
      </c>
      <c r="G131" s="2">
        <v>2100</v>
      </c>
      <c r="H131" s="2">
        <v>2800</v>
      </c>
      <c r="I131" s="2">
        <v>1400</v>
      </c>
      <c r="J131" s="2">
        <v>1400</v>
      </c>
      <c r="K131" s="2">
        <v>700</v>
      </c>
      <c r="L131" s="2">
        <v>16100</v>
      </c>
      <c r="M131" t="str" cm="1">
        <f t="array" ref="M131">_xlfn.LET(_xlpm.sales,E131:K131,_xlpm.firstsale,IFERROR(_xlfn.XMATCH(TRUE,_xlpm.sales&gt;0),0),IF(_xlpm.firstsale&gt;1,"ลูกค้าใหม่เดือน "&amp;INDEX($E$1:$K$1,1,_xlpm.firstsale),""))</f>
        <v/>
      </c>
      <c r="N131" t="str" cm="1">
        <f t="array" ref="N131">IF(K131&gt;0,"",IFERROR("หายเดือน "&amp;INDEX($E$1:$K$1,1,LOOKUP(2,1/(E131:K131&gt;0),COLUMN(E131:K131)-COLUMN(E131)+1)+1),""))</f>
        <v/>
      </c>
    </row>
    <row r="132" spans="1:14" x14ac:dyDescent="0.4">
      <c r="A132" t="s">
        <v>4393</v>
      </c>
      <c r="E132" s="2">
        <v>2508148.6</v>
      </c>
      <c r="F132" s="2">
        <v>1603089.8</v>
      </c>
      <c r="G132" s="2">
        <v>1732605.4</v>
      </c>
      <c r="H132" s="2">
        <v>2411996</v>
      </c>
      <c r="I132" s="2">
        <v>1875396.1</v>
      </c>
      <c r="J132" s="2">
        <v>1480624.2</v>
      </c>
      <c r="K132" s="2">
        <v>705568.16</v>
      </c>
      <c r="L132" s="2">
        <v>12317428.260000002</v>
      </c>
      <c r="M132" t="str" cm="1">
        <f t="array" ref="M132">_xlfn.LET(_xlpm.sales,E132:K132,_xlpm.firstsale,IFERROR(_xlfn.XMATCH(TRUE,_xlpm.sales&gt;0),0),IF(_xlpm.firstsale&gt;1,"ลูกค้าใหม่เดือน "&amp;INDEX($E$1:$K$1,1,_xlpm.firstsale),""))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Amazon</vt:lpstr>
      <vt:lpstr>ร้านขายของฝาก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Manager_Sale Wanwanach</dc:creator>
  <cp:lastModifiedBy>Manager_Sale Wanwanach</cp:lastModifiedBy>
  <dcterms:created xsi:type="dcterms:W3CDTF">2026-07-20T09:28:26Z</dcterms:created>
  <dcterms:modified xsi:type="dcterms:W3CDTF">2026-07-20T10:35:12Z</dcterms:modified>
</cp:coreProperties>
</file>